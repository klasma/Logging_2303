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45981</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45981</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45981</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45981</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45981</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45981</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45981</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45981</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45981</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45981</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45981</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45981</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45981</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54810-2021</t>
        </is>
      </c>
      <c r="B18" s="1" t="n">
        <v>44473</v>
      </c>
      <c r="C18" s="1" t="n">
        <v>45981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59762-2024</t>
        </is>
      </c>
      <c r="B19" s="1" t="n">
        <v>45639.55269675926</v>
      </c>
      <c r="C19" s="1" t="n">
        <v>45981</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55404-2024</t>
        </is>
      </c>
      <c r="B20" s="1" t="n">
        <v>45622</v>
      </c>
      <c r="C20" s="1" t="n">
        <v>45981</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43533-2025</t>
        </is>
      </c>
      <c r="B21" s="1" t="n">
        <v>45911</v>
      </c>
      <c r="C21" s="1" t="n">
        <v>45981</v>
      </c>
      <c r="D21" t="inlineStr">
        <is>
          <t>JÄMTLANDS LÄN</t>
        </is>
      </c>
      <c r="E21" t="inlineStr">
        <is>
          <t>RAGUNDA</t>
        </is>
      </c>
      <c r="G21" t="n">
        <v>19</v>
      </c>
      <c r="H21" t="n">
        <v>5</v>
      </c>
      <c r="I21" t="n">
        <v>5</v>
      </c>
      <c r="J21" t="n">
        <v>4</v>
      </c>
      <c r="K21" t="n">
        <v>2</v>
      </c>
      <c r="L21" t="n">
        <v>0</v>
      </c>
      <c r="M21" t="n">
        <v>0</v>
      </c>
      <c r="N21" t="n">
        <v>0</v>
      </c>
      <c r="O21" t="n">
        <v>6</v>
      </c>
      <c r="P21" t="n">
        <v>2</v>
      </c>
      <c r="Q21" t="n">
        <v>13</v>
      </c>
      <c r="R21" s="2" t="inlineStr">
        <is>
          <t>Doftticka
Knärot
Garnlav
Lunglav
Skrovellav
Tretåig hackspett
Fjällig taggsvamp s.str.
Kransrams
Stuplav
Svavelriska
Tibast
Lavskrika
Blåsippa</t>
        </is>
      </c>
      <c r="S21">
        <f>HYPERLINK("https://klasma.github.io/Logging_2303/artfynd/A 43533-2025 artfynd.xlsx", "A 43533-2025")</f>
        <v/>
      </c>
      <c r="T21">
        <f>HYPERLINK("https://klasma.github.io/Logging_2303/kartor/A 43533-2025 karta.png", "A 43533-2025")</f>
        <v/>
      </c>
      <c r="U21">
        <f>HYPERLINK("https://klasma.github.io/Logging_2303/knärot/A 43533-2025 karta knärot.png", "A 43533-2025")</f>
        <v/>
      </c>
      <c r="V21">
        <f>HYPERLINK("https://klasma.github.io/Logging_2303/klagomål/A 43533-2025 FSC-klagomål.docx", "A 43533-2025")</f>
        <v/>
      </c>
      <c r="W21">
        <f>HYPERLINK("https://klasma.github.io/Logging_2303/klagomålsmail/A 43533-2025 FSC-klagomål mail.docx", "A 43533-2025")</f>
        <v/>
      </c>
      <c r="X21">
        <f>HYPERLINK("https://klasma.github.io/Logging_2303/tillsyn/A 43533-2025 tillsynsbegäran.docx", "A 43533-2025")</f>
        <v/>
      </c>
      <c r="Y21">
        <f>HYPERLINK("https://klasma.github.io/Logging_2303/tillsynsmail/A 43533-2025 tillsynsbegäran mail.docx", "A 43533-2025")</f>
        <v/>
      </c>
      <c r="Z21">
        <f>HYPERLINK("https://klasma.github.io/Logging_2303/fåglar/A 43533-2025 prioriterade fågelarter.docx", "A 43533-2025")</f>
        <v/>
      </c>
    </row>
    <row r="22" ht="15" customHeight="1">
      <c r="A22" t="inlineStr">
        <is>
          <t>A 29209-2024</t>
        </is>
      </c>
      <c r="B22" s="1" t="n">
        <v>45482.63819444444</v>
      </c>
      <c r="C22" s="1" t="n">
        <v>45981</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45981</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45981</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45981</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31839-2022</t>
        </is>
      </c>
      <c r="B26" s="1" t="n">
        <v>44776</v>
      </c>
      <c r="C26" s="1" t="n">
        <v>45981</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25632-2025</t>
        </is>
      </c>
      <c r="B27" s="1" t="n">
        <v>45803.59474537037</v>
      </c>
      <c r="C27" s="1" t="n">
        <v>45981</v>
      </c>
      <c r="D27" t="inlineStr">
        <is>
          <t>JÄMTLANDS LÄN</t>
        </is>
      </c>
      <c r="E27" t="inlineStr">
        <is>
          <t>RAGUNDA</t>
        </is>
      </c>
      <c r="G27" t="n">
        <v>13.3</v>
      </c>
      <c r="H27" t="n">
        <v>6</v>
      </c>
      <c r="I27" t="n">
        <v>3</v>
      </c>
      <c r="J27" t="n">
        <v>5</v>
      </c>
      <c r="K27" t="n">
        <v>1</v>
      </c>
      <c r="L27" t="n">
        <v>0</v>
      </c>
      <c r="M27" t="n">
        <v>0</v>
      </c>
      <c r="N27" t="n">
        <v>0</v>
      </c>
      <c r="O27" t="n">
        <v>6</v>
      </c>
      <c r="P27" t="n">
        <v>1</v>
      </c>
      <c r="Q27" t="n">
        <v>11</v>
      </c>
      <c r="R27" s="2" t="inlineStr">
        <is>
          <t>Knärot
Lunglav
Rödvingetrast
Skrovellav
Spillkråka
Tretåig hackspett
Bårdlav
Stuplav
Svart trolldruva
Blåsippa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32741-2025</t>
        </is>
      </c>
      <c r="B28" s="1" t="n">
        <v>45839.42482638889</v>
      </c>
      <c r="C28" s="1" t="n">
        <v>45981</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9347-2024</t>
        </is>
      </c>
      <c r="B29" s="1" t="n">
        <v>45358.99375</v>
      </c>
      <c r="C29" s="1" t="n">
        <v>45981</v>
      </c>
      <c r="D29" t="inlineStr">
        <is>
          <t>JÄMTLANDS LÄN</t>
        </is>
      </c>
      <c r="E29" t="inlineStr">
        <is>
          <t>RAGUNDA</t>
        </is>
      </c>
      <c r="F29" t="inlineStr">
        <is>
          <t>SCA</t>
        </is>
      </c>
      <c r="G29" t="n">
        <v>1.6</v>
      </c>
      <c r="H29" t="n">
        <v>2</v>
      </c>
      <c r="I29" t="n">
        <v>3</v>
      </c>
      <c r="J29" t="n">
        <v>6</v>
      </c>
      <c r="K29" t="n">
        <v>2</v>
      </c>
      <c r="L29" t="n">
        <v>0</v>
      </c>
      <c r="M29" t="n">
        <v>0</v>
      </c>
      <c r="N29" t="n">
        <v>0</v>
      </c>
      <c r="O29" t="n">
        <v>8</v>
      </c>
      <c r="P29" t="n">
        <v>2</v>
      </c>
      <c r="Q29" t="n">
        <v>11</v>
      </c>
      <c r="R29" s="2" t="inlineStr">
        <is>
          <t>Knärot
Rynkskinn
Garnlav
Gultoppig fingersvamp
Kolflarnlav
Mörk kolflarnlav
Rosenticka
Vedskivlav
Rödfläckig zontaggsvamp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36943-2022</t>
        </is>
      </c>
      <c r="B30" s="1" t="n">
        <v>44805</v>
      </c>
      <c r="C30" s="1" t="n">
        <v>45981</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45981</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45981</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45981</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13483-2022</t>
        </is>
      </c>
      <c r="B34" s="1" t="n">
        <v>44645.99859953704</v>
      </c>
      <c r="C34" s="1" t="n">
        <v>45981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45981</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4146-2025</t>
        </is>
      </c>
      <c r="B36" s="1" t="n">
        <v>45685.36501157407</v>
      </c>
      <c r="C36" s="1" t="n">
        <v>45981</v>
      </c>
      <c r="D36" t="inlineStr">
        <is>
          <t>JÄMTLANDS LÄN</t>
        </is>
      </c>
      <c r="E36" t="inlineStr">
        <is>
          <t>RAGUNDA</t>
        </is>
      </c>
      <c r="G36" t="n">
        <v>10.7</v>
      </c>
      <c r="H36" t="n">
        <v>1</v>
      </c>
      <c r="I36" t="n">
        <v>5</v>
      </c>
      <c r="J36" t="n">
        <v>2</v>
      </c>
      <c r="K36" t="n">
        <v>2</v>
      </c>
      <c r="L36" t="n">
        <v>0</v>
      </c>
      <c r="M36" t="n">
        <v>0</v>
      </c>
      <c r="N36" t="n">
        <v>0</v>
      </c>
      <c r="O36" t="n">
        <v>4</v>
      </c>
      <c r="P36" t="n">
        <v>2</v>
      </c>
      <c r="Q36" t="n">
        <v>9</v>
      </c>
      <c r="R36" s="2" t="inlineStr">
        <is>
          <t>Knärot
Kopparspindling
Kolflarnlav
Lunglav
Dropptaggsvamp
Dvärgtufs
Korallblylav
Skinnlav
Stuplav</t>
        </is>
      </c>
      <c r="S36">
        <f>HYPERLINK("https://klasma.github.io/Logging_2303/artfynd/A 4146-2025 artfynd.xlsx", "A 4146-2025")</f>
        <v/>
      </c>
      <c r="T36">
        <f>HYPERLINK("https://klasma.github.io/Logging_2303/kartor/A 4146-2025 karta.png", "A 4146-2025")</f>
        <v/>
      </c>
      <c r="U36">
        <f>HYPERLINK("https://klasma.github.io/Logging_2303/knärot/A 4146-2025 karta knärot.png", "A 4146-2025")</f>
        <v/>
      </c>
      <c r="V36">
        <f>HYPERLINK("https://klasma.github.io/Logging_2303/klagomål/A 4146-2025 FSC-klagomål.docx", "A 4146-2025")</f>
        <v/>
      </c>
      <c r="W36">
        <f>HYPERLINK("https://klasma.github.io/Logging_2303/klagomålsmail/A 4146-2025 FSC-klagomål mail.docx", "A 4146-2025")</f>
        <v/>
      </c>
      <c r="X36">
        <f>HYPERLINK("https://klasma.github.io/Logging_2303/tillsyn/A 4146-2025 tillsynsbegäran.docx", "A 4146-2025")</f>
        <v/>
      </c>
      <c r="Y36">
        <f>HYPERLINK("https://klasma.github.io/Logging_2303/tillsynsmail/A 4146-2025 tillsynsbegäran mail.docx", "A 4146-2025")</f>
        <v/>
      </c>
    </row>
    <row r="37" ht="15" customHeight="1">
      <c r="A37" t="inlineStr">
        <is>
          <t>A 33822-2023</t>
        </is>
      </c>
      <c r="B37" s="1" t="n">
        <v>45121</v>
      </c>
      <c r="C37" s="1" t="n">
        <v>45981</v>
      </c>
      <c r="D37" t="inlineStr">
        <is>
          <t>JÄMTLANDS LÄN</t>
        </is>
      </c>
      <c r="E37" t="inlineStr">
        <is>
          <t>RAGUNDA</t>
        </is>
      </c>
      <c r="G37" t="n">
        <v>3.9</v>
      </c>
      <c r="H37" t="n">
        <v>1</v>
      </c>
      <c r="I37" t="n">
        <v>2</v>
      </c>
      <c r="J37" t="n">
        <v>7</v>
      </c>
      <c r="K37" t="n">
        <v>0</v>
      </c>
      <c r="L37" t="n">
        <v>0</v>
      </c>
      <c r="M37" t="n">
        <v>0</v>
      </c>
      <c r="N37" t="n">
        <v>0</v>
      </c>
      <c r="O37" t="n">
        <v>7</v>
      </c>
      <c r="P37" t="n">
        <v>0</v>
      </c>
      <c r="Q37" t="n">
        <v>9</v>
      </c>
      <c r="R37" s="2" t="inlineStr">
        <is>
          <t>Grynig filtlav
Lunglav
Skrovellav
Tretåig hackspett
Ullticka
Vedskivlav
Vitgrynig nållav
Strimspindling
Stuplav</t>
        </is>
      </c>
      <c r="S37">
        <f>HYPERLINK("https://klasma.github.io/Logging_2303/artfynd/A 33822-2023 artfynd.xlsx", "A 33822-2023")</f>
        <v/>
      </c>
      <c r="T37">
        <f>HYPERLINK("https://klasma.github.io/Logging_2303/kartor/A 33822-2023 karta.png", "A 33822-2023")</f>
        <v/>
      </c>
      <c r="V37">
        <f>HYPERLINK("https://klasma.github.io/Logging_2303/klagomål/A 33822-2023 FSC-klagomål.docx", "A 33822-2023")</f>
        <v/>
      </c>
      <c r="W37">
        <f>HYPERLINK("https://klasma.github.io/Logging_2303/klagomålsmail/A 33822-2023 FSC-klagomål mail.docx", "A 33822-2023")</f>
        <v/>
      </c>
      <c r="X37">
        <f>HYPERLINK("https://klasma.github.io/Logging_2303/tillsyn/A 33822-2023 tillsynsbegäran.docx", "A 33822-2023")</f>
        <v/>
      </c>
      <c r="Y37">
        <f>HYPERLINK("https://klasma.github.io/Logging_2303/tillsynsmail/A 33822-2023 tillsynsbegäran mail.docx", "A 33822-2023")</f>
        <v/>
      </c>
      <c r="Z37">
        <f>HYPERLINK("https://klasma.github.io/Logging_2303/fåglar/A 33822-2023 prioriterade fågelarter.docx", "A 33822-2023")</f>
        <v/>
      </c>
    </row>
    <row r="38" ht="15" customHeight="1">
      <c r="A38" t="inlineStr">
        <is>
          <t>A 32068-2024</t>
        </is>
      </c>
      <c r="B38" s="1" t="n">
        <v>45510</v>
      </c>
      <c r="C38" s="1" t="n">
        <v>45981</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45981</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25016-2025</t>
        </is>
      </c>
      <c r="B40" s="1" t="n">
        <v>45799.63574074074</v>
      </c>
      <c r="C40" s="1" t="n">
        <v>45981</v>
      </c>
      <c r="D40" t="inlineStr">
        <is>
          <t>JÄMTLANDS LÄN</t>
        </is>
      </c>
      <c r="E40" t="inlineStr">
        <is>
          <t>RAGUNDA</t>
        </is>
      </c>
      <c r="F40" t="inlineStr">
        <is>
          <t>SCA</t>
        </is>
      </c>
      <c r="G40" t="n">
        <v>17.9</v>
      </c>
      <c r="H40" t="n">
        <v>2</v>
      </c>
      <c r="I40" t="n">
        <v>3</v>
      </c>
      <c r="J40" t="n">
        <v>6</v>
      </c>
      <c r="K40" t="n">
        <v>0</v>
      </c>
      <c r="L40" t="n">
        <v>0</v>
      </c>
      <c r="M40" t="n">
        <v>0</v>
      </c>
      <c r="N40" t="n">
        <v>0</v>
      </c>
      <c r="O40" t="n">
        <v>6</v>
      </c>
      <c r="P40" t="n">
        <v>0</v>
      </c>
      <c r="Q40" t="n">
        <v>9</v>
      </c>
      <c r="R40" s="2" t="inlineStr">
        <is>
          <t>Garnlav
Granticka
Lunglav
Spillkråka
Tretåig hackspett
Ullticka
Bårdlav
Stuplav
Vedticka</t>
        </is>
      </c>
      <c r="S40">
        <f>HYPERLINK("https://klasma.github.io/Logging_2303/artfynd/A 25016-2025 artfynd.xlsx", "A 25016-2025")</f>
        <v/>
      </c>
      <c r="T40">
        <f>HYPERLINK("https://klasma.github.io/Logging_2303/kartor/A 25016-2025 karta.png", "A 25016-2025")</f>
        <v/>
      </c>
      <c r="V40">
        <f>HYPERLINK("https://klasma.github.io/Logging_2303/klagomål/A 25016-2025 FSC-klagomål.docx", "A 25016-2025")</f>
        <v/>
      </c>
      <c r="W40">
        <f>HYPERLINK("https://klasma.github.io/Logging_2303/klagomålsmail/A 25016-2025 FSC-klagomål mail.docx", "A 25016-2025")</f>
        <v/>
      </c>
      <c r="X40">
        <f>HYPERLINK("https://klasma.github.io/Logging_2303/tillsyn/A 25016-2025 tillsynsbegäran.docx", "A 25016-2025")</f>
        <v/>
      </c>
      <c r="Y40">
        <f>HYPERLINK("https://klasma.github.io/Logging_2303/tillsynsmail/A 25016-2025 tillsynsbegäran mail.docx", "A 25016-2025")</f>
        <v/>
      </c>
      <c r="Z40">
        <f>HYPERLINK("https://klasma.github.io/Logging_2303/fåglar/A 25016-2025 prioriterade fågelarter.docx", "A 25016-2025")</f>
        <v/>
      </c>
    </row>
    <row r="41" ht="15" customHeight="1">
      <c r="A41" t="inlineStr">
        <is>
          <t>A 24735-2025</t>
        </is>
      </c>
      <c r="B41" s="1" t="n">
        <v>45799.34461805555</v>
      </c>
      <c r="C41" s="1" t="n">
        <v>45981</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45008-2023</t>
        </is>
      </c>
      <c r="B42" s="1" t="n">
        <v>45190.96092592592</v>
      </c>
      <c r="C42" s="1" t="n">
        <v>45981</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62948-2021</t>
        </is>
      </c>
      <c r="B43" s="1" t="n">
        <v>44504</v>
      </c>
      <c r="C43" s="1" t="n">
        <v>45981</v>
      </c>
      <c r="D43" t="inlineStr">
        <is>
          <t>JÄMTLANDS LÄN</t>
        </is>
      </c>
      <c r="E43" t="inlineStr">
        <is>
          <t>RAGUNDA</t>
        </is>
      </c>
      <c r="F43" t="inlineStr">
        <is>
          <t>SCA</t>
        </is>
      </c>
      <c r="G43" t="n">
        <v>3.5</v>
      </c>
      <c r="H43" t="n">
        <v>2</v>
      </c>
      <c r="I43" t="n">
        <v>5</v>
      </c>
      <c r="J43" t="n">
        <v>4</v>
      </c>
      <c r="K43" t="n">
        <v>0</v>
      </c>
      <c r="L43" t="n">
        <v>0</v>
      </c>
      <c r="M43" t="n">
        <v>0</v>
      </c>
      <c r="N43" t="n">
        <v>0</v>
      </c>
      <c r="O43" t="n">
        <v>4</v>
      </c>
      <c r="P43" t="n">
        <v>0</v>
      </c>
      <c r="Q43" t="n">
        <v>9</v>
      </c>
      <c r="R43" s="2" t="inlineStr">
        <is>
          <t>Brunpudrad nållav
Garnlav
Ullticka
Vitgrynig nållav
Dropptaggsvamp
Grönkulla
Guckusko
Gulnål
Tibast</t>
        </is>
      </c>
      <c r="S43">
        <f>HYPERLINK("https://klasma.github.io/Logging_2303/artfynd/A 62948-2021 artfynd.xlsx", "A 62948-2021")</f>
        <v/>
      </c>
      <c r="T43">
        <f>HYPERLINK("https://klasma.github.io/Logging_2303/kartor/A 62948-2021 karta.png", "A 62948-2021")</f>
        <v/>
      </c>
      <c r="U43">
        <f>HYPERLINK("https://klasma.github.io/Logging_2303/knärot/A 62948-2021 karta knärot.png", "A 62948-2021")</f>
        <v/>
      </c>
      <c r="V43">
        <f>HYPERLINK("https://klasma.github.io/Logging_2303/klagomål/A 62948-2021 FSC-klagomål.docx", "A 62948-2021")</f>
        <v/>
      </c>
      <c r="W43">
        <f>HYPERLINK("https://klasma.github.io/Logging_2303/klagomålsmail/A 62948-2021 FSC-klagomål mail.docx", "A 62948-2021")</f>
        <v/>
      </c>
      <c r="X43">
        <f>HYPERLINK("https://klasma.github.io/Logging_2303/tillsyn/A 62948-2021 tillsynsbegäran.docx", "A 62948-2021")</f>
        <v/>
      </c>
      <c r="Y43">
        <f>HYPERLINK("https://klasma.github.io/Logging_2303/tillsynsmail/A 62948-2021 tillsynsbegäran mail.docx", "A 62948-2021")</f>
        <v/>
      </c>
    </row>
    <row r="44" ht="15" customHeight="1">
      <c r="A44" t="inlineStr">
        <is>
          <t>A 42393-2025</t>
        </is>
      </c>
      <c r="B44" s="1" t="n">
        <v>45905</v>
      </c>
      <c r="C44" s="1" t="n">
        <v>45981</v>
      </c>
      <c r="D44" t="inlineStr">
        <is>
          <t>JÄMTLANDS LÄN</t>
        </is>
      </c>
      <c r="E44" t="inlineStr">
        <is>
          <t>RAGUNDA</t>
        </is>
      </c>
      <c r="G44" t="n">
        <v>8.800000000000001</v>
      </c>
      <c r="H44" t="n">
        <v>6</v>
      </c>
      <c r="I44" t="n">
        <v>0</v>
      </c>
      <c r="J44" t="n">
        <v>4</v>
      </c>
      <c r="K44" t="n">
        <v>2</v>
      </c>
      <c r="L44" t="n">
        <v>0</v>
      </c>
      <c r="M44" t="n">
        <v>0</v>
      </c>
      <c r="N44" t="n">
        <v>0</v>
      </c>
      <c r="O44" t="n">
        <v>6</v>
      </c>
      <c r="P44" t="n">
        <v>2</v>
      </c>
      <c r="Q44" t="n">
        <v>9</v>
      </c>
      <c r="R44" s="2" t="inlineStr">
        <is>
          <t>Doftticka
Knärot
Garnlav
Lunglav
Tallticka
Tretåig hackspett
Lavskrika
Fläcknycklar
Blåsippa</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12372-2024</t>
        </is>
      </c>
      <c r="B45" s="1" t="n">
        <v>45378</v>
      </c>
      <c r="C45" s="1" t="n">
        <v>45981</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30876-2025</t>
        </is>
      </c>
      <c r="B46" s="1" t="n">
        <v>45832.34461805555</v>
      </c>
      <c r="C46" s="1" t="n">
        <v>45981</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3634-2024</t>
        </is>
      </c>
      <c r="B47" s="1" t="n">
        <v>45320</v>
      </c>
      <c r="C47" s="1" t="n">
        <v>45981</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51037-2025</t>
        </is>
      </c>
      <c r="B48" s="1" t="n">
        <v>45947.40729166667</v>
      </c>
      <c r="C48" s="1" t="n">
        <v>45981</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24732-2025</t>
        </is>
      </c>
      <c r="B49" s="1" t="n">
        <v>45799.34421296296</v>
      </c>
      <c r="C49" s="1" t="n">
        <v>45981</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32475-2023</t>
        </is>
      </c>
      <c r="B50" s="1" t="n">
        <v>45120</v>
      </c>
      <c r="C50" s="1" t="n">
        <v>45981</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30335-2025</t>
        </is>
      </c>
      <c r="B51" s="1" t="n">
        <v>45827.5110300926</v>
      </c>
      <c r="C51" s="1" t="n">
        <v>45981</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20397-2024</t>
        </is>
      </c>
      <c r="B52" s="1" t="n">
        <v>45435.54734953704</v>
      </c>
      <c r="C52" s="1" t="n">
        <v>45981</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15665-2022</t>
        </is>
      </c>
      <c r="B53" s="1" t="n">
        <v>44662</v>
      </c>
      <c r="C53" s="1" t="n">
        <v>45981</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45981</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11829-2023</t>
        </is>
      </c>
      <c r="B55" s="1" t="n">
        <v>44994</v>
      </c>
      <c r="C55" s="1" t="n">
        <v>45981</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45981</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26750-2025</t>
        </is>
      </c>
      <c r="B57" s="1" t="n">
        <v>45810.55061342593</v>
      </c>
      <c r="C57" s="1" t="n">
        <v>45981</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24169-2021</t>
        </is>
      </c>
      <c r="B58" s="1" t="n">
        <v>44336</v>
      </c>
      <c r="C58" s="1" t="n">
        <v>45981</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41929-2023</t>
        </is>
      </c>
      <c r="B59" s="1" t="n">
        <v>45176</v>
      </c>
      <c r="C59" s="1" t="n">
        <v>45981</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45981</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27913-2024</t>
        </is>
      </c>
      <c r="B61" s="1" t="n">
        <v>45475.94796296296</v>
      </c>
      <c r="C61" s="1" t="n">
        <v>45981</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61386-2022</t>
        </is>
      </c>
      <c r="B62" s="1" t="n">
        <v>44915</v>
      </c>
      <c r="C62" s="1" t="n">
        <v>45981</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19399-2025</t>
        </is>
      </c>
      <c r="B63" s="1" t="n">
        <v>45769.67740740741</v>
      </c>
      <c r="C63" s="1" t="n">
        <v>45981</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15977-2024</t>
        </is>
      </c>
      <c r="B64" s="1" t="n">
        <v>45405.57392361111</v>
      </c>
      <c r="C64" s="1" t="n">
        <v>45981</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1762-2021</t>
        </is>
      </c>
      <c r="B65" s="1" t="n">
        <v>44209</v>
      </c>
      <c r="C65" s="1" t="n">
        <v>45981</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933-2023</t>
        </is>
      </c>
      <c r="B66" s="1" t="n">
        <v>44932</v>
      </c>
      <c r="C66" s="1" t="n">
        <v>45981</v>
      </c>
      <c r="D66" t="inlineStr">
        <is>
          <t>JÄMTLANDS LÄN</t>
        </is>
      </c>
      <c r="E66" t="inlineStr">
        <is>
          <t>RAGUNDA</t>
        </is>
      </c>
      <c r="F66" t="inlineStr">
        <is>
          <t>SCA</t>
        </is>
      </c>
      <c r="G66" t="n">
        <v>2</v>
      </c>
      <c r="H66" t="n">
        <v>3</v>
      </c>
      <c r="I66" t="n">
        <v>3</v>
      </c>
      <c r="J66" t="n">
        <v>0</v>
      </c>
      <c r="K66" t="n">
        <v>0</v>
      </c>
      <c r="L66" t="n">
        <v>1</v>
      </c>
      <c r="M66" t="n">
        <v>0</v>
      </c>
      <c r="N66" t="n">
        <v>0</v>
      </c>
      <c r="O66" t="n">
        <v>1</v>
      </c>
      <c r="P66" t="n">
        <v>1</v>
      </c>
      <c r="Q66" t="n">
        <v>6</v>
      </c>
      <c r="R66" s="2" t="inlineStr">
        <is>
          <t>Trolldruvemätare
Stor aspticka
Svart trolldruva
Tvåblad
Nattviol
Gullviva</t>
        </is>
      </c>
      <c r="S66">
        <f>HYPERLINK("https://klasma.github.io/Logging_2303/artfynd/A 933-2023 artfynd.xlsx", "A 933-2023")</f>
        <v/>
      </c>
      <c r="T66">
        <f>HYPERLINK("https://klasma.github.io/Logging_2303/kartor/A 933-2023 karta.png", "A 933-2023")</f>
        <v/>
      </c>
      <c r="V66">
        <f>HYPERLINK("https://klasma.github.io/Logging_2303/klagomål/A 933-2023 FSC-klagomål.docx", "A 933-2023")</f>
        <v/>
      </c>
      <c r="W66">
        <f>HYPERLINK("https://klasma.github.io/Logging_2303/klagomålsmail/A 933-2023 FSC-klagomål mail.docx", "A 933-2023")</f>
        <v/>
      </c>
      <c r="X66">
        <f>HYPERLINK("https://klasma.github.io/Logging_2303/tillsyn/A 933-2023 tillsynsbegäran.docx", "A 933-2023")</f>
        <v/>
      </c>
      <c r="Y66">
        <f>HYPERLINK("https://klasma.github.io/Logging_2303/tillsynsmail/A 933-2023 tillsynsbegäran mail.docx", "A 933-2023")</f>
        <v/>
      </c>
    </row>
    <row r="67" ht="15" customHeight="1">
      <c r="A67" t="inlineStr">
        <is>
          <t>A 11828-2023</t>
        </is>
      </c>
      <c r="B67" s="1" t="n">
        <v>44994</v>
      </c>
      <c r="C67" s="1" t="n">
        <v>45981</v>
      </c>
      <c r="D67" t="inlineStr">
        <is>
          <t>JÄMTLANDS LÄN</t>
        </is>
      </c>
      <c r="E67" t="inlineStr">
        <is>
          <t>RAGUNDA</t>
        </is>
      </c>
      <c r="F67" t="inlineStr">
        <is>
          <t>SCA</t>
        </is>
      </c>
      <c r="G67" t="n">
        <v>2.7</v>
      </c>
      <c r="H67" t="n">
        <v>0</v>
      </c>
      <c r="I67" t="n">
        <v>0</v>
      </c>
      <c r="J67" t="n">
        <v>6</v>
      </c>
      <c r="K67" t="n">
        <v>0</v>
      </c>
      <c r="L67" t="n">
        <v>0</v>
      </c>
      <c r="M67" t="n">
        <v>0</v>
      </c>
      <c r="N67" t="n">
        <v>0</v>
      </c>
      <c r="O67" t="n">
        <v>6</v>
      </c>
      <c r="P67" t="n">
        <v>0</v>
      </c>
      <c r="Q67" t="n">
        <v>6</v>
      </c>
      <c r="R67" s="2" t="inlineStr">
        <is>
          <t>Dvärgbägarlav
Garnlav
Kolflarnlav
Mörk kolflarnlav
Vedskivlav
Vedtrappmossa</t>
        </is>
      </c>
      <c r="S67">
        <f>HYPERLINK("https://klasma.github.io/Logging_2303/artfynd/A 11828-2023 artfynd.xlsx", "A 11828-2023")</f>
        <v/>
      </c>
      <c r="T67">
        <f>HYPERLINK("https://klasma.github.io/Logging_2303/kartor/A 11828-2023 karta.png", "A 11828-2023")</f>
        <v/>
      </c>
      <c r="V67">
        <f>HYPERLINK("https://klasma.github.io/Logging_2303/klagomål/A 11828-2023 FSC-klagomål.docx", "A 11828-2023")</f>
        <v/>
      </c>
      <c r="W67">
        <f>HYPERLINK("https://klasma.github.io/Logging_2303/klagomålsmail/A 11828-2023 FSC-klagomål mail.docx", "A 11828-2023")</f>
        <v/>
      </c>
      <c r="X67">
        <f>HYPERLINK("https://klasma.github.io/Logging_2303/tillsyn/A 11828-2023 tillsynsbegäran.docx", "A 11828-2023")</f>
        <v/>
      </c>
      <c r="Y67">
        <f>HYPERLINK("https://klasma.github.io/Logging_2303/tillsynsmail/A 11828-2023 tillsynsbegäran mail.docx", "A 11828-2023")</f>
        <v/>
      </c>
    </row>
    <row r="68" ht="15" customHeight="1">
      <c r="A68" t="inlineStr">
        <is>
          <t>A 39973-2025</t>
        </is>
      </c>
      <c r="B68" s="1" t="n">
        <v>45893.38584490741</v>
      </c>
      <c r="C68" s="1" t="n">
        <v>45981</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24431-2024</t>
        </is>
      </c>
      <c r="B69" s="1" t="n">
        <v>45457</v>
      </c>
      <c r="C69" s="1" t="n">
        <v>45981</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34317-2025</t>
        </is>
      </c>
      <c r="B70" s="1" t="n">
        <v>45846.41361111111</v>
      </c>
      <c r="C70" s="1" t="n">
        <v>45981</v>
      </c>
      <c r="D70" t="inlineStr">
        <is>
          <t>JÄMTLANDS LÄN</t>
        </is>
      </c>
      <c r="E70" t="inlineStr">
        <is>
          <t>RAGUNDA</t>
        </is>
      </c>
      <c r="G70" t="n">
        <v>8.300000000000001</v>
      </c>
      <c r="H70" t="n">
        <v>2</v>
      </c>
      <c r="I70" t="n">
        <v>1</v>
      </c>
      <c r="J70" t="n">
        <v>4</v>
      </c>
      <c r="K70" t="n">
        <v>1</v>
      </c>
      <c r="L70" t="n">
        <v>0</v>
      </c>
      <c r="M70" t="n">
        <v>0</v>
      </c>
      <c r="N70" t="n">
        <v>0</v>
      </c>
      <c r="O70" t="n">
        <v>5</v>
      </c>
      <c r="P70" t="n">
        <v>1</v>
      </c>
      <c r="Q70" t="n">
        <v>6</v>
      </c>
      <c r="R70" s="2" t="inlineStr">
        <is>
          <t>Knärot
Garnlav
Lunglav
Nordtagging
Talltita
Skinnlav</t>
        </is>
      </c>
      <c r="S70">
        <f>HYPERLINK("https://klasma.github.io/Logging_2303/artfynd/A 34317-2025 artfynd.xlsx", "A 34317-2025")</f>
        <v/>
      </c>
      <c r="T70">
        <f>HYPERLINK("https://klasma.github.io/Logging_2303/kartor/A 34317-2025 karta.png", "A 34317-2025")</f>
        <v/>
      </c>
      <c r="U70">
        <f>HYPERLINK("https://klasma.github.io/Logging_2303/knärot/A 34317-2025 karta knärot.png", "A 34317-2025")</f>
        <v/>
      </c>
      <c r="V70">
        <f>HYPERLINK("https://klasma.github.io/Logging_2303/klagomål/A 34317-2025 FSC-klagomål.docx", "A 34317-2025")</f>
        <v/>
      </c>
      <c r="W70">
        <f>HYPERLINK("https://klasma.github.io/Logging_2303/klagomålsmail/A 34317-2025 FSC-klagomål mail.docx", "A 34317-2025")</f>
        <v/>
      </c>
      <c r="X70">
        <f>HYPERLINK("https://klasma.github.io/Logging_2303/tillsyn/A 34317-2025 tillsynsbegäran.docx", "A 34317-2025")</f>
        <v/>
      </c>
      <c r="Y70">
        <f>HYPERLINK("https://klasma.github.io/Logging_2303/tillsynsmail/A 34317-2025 tillsynsbegäran mail.docx", "A 34317-2025")</f>
        <v/>
      </c>
      <c r="Z70">
        <f>HYPERLINK("https://klasma.github.io/Logging_2303/fåglar/A 34317-2025 prioriterade fågelarter.docx", "A 34317-2025")</f>
        <v/>
      </c>
    </row>
    <row r="71" ht="15" customHeight="1">
      <c r="A71" t="inlineStr">
        <is>
          <t>A 55646-2023</t>
        </is>
      </c>
      <c r="B71" s="1" t="n">
        <v>45238</v>
      </c>
      <c r="C71" s="1" t="n">
        <v>45981</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53021-2022</t>
        </is>
      </c>
      <c r="B72" s="1" t="n">
        <v>44875</v>
      </c>
      <c r="C72" s="1" t="n">
        <v>45981</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49291-2025</t>
        </is>
      </c>
      <c r="B73" s="1" t="n">
        <v>45938.53188657408</v>
      </c>
      <c r="C73" s="1" t="n">
        <v>45981</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47115-2025</t>
        </is>
      </c>
      <c r="B74" s="1" t="n">
        <v>45929.67459490741</v>
      </c>
      <c r="C74" s="1" t="n">
        <v>45981</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30637-2024</t>
        </is>
      </c>
      <c r="B75" s="1" t="n">
        <v>45495.56244212963</v>
      </c>
      <c r="C75" s="1" t="n">
        <v>45981</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26326-2024</t>
        </is>
      </c>
      <c r="B76" s="1" t="n">
        <v>45468.97528935185</v>
      </c>
      <c r="C76" s="1" t="n">
        <v>45981</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45471.94783564815</v>
      </c>
      <c r="C77" s="1" t="n">
        <v>45981</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19402-2025</t>
        </is>
      </c>
      <c r="B78" s="1" t="n">
        <v>45769.67778935185</v>
      </c>
      <c r="C78" s="1" t="n">
        <v>45981</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30884-2025</t>
        </is>
      </c>
      <c r="B79" s="1" t="n">
        <v>45832.34564814815</v>
      </c>
      <c r="C79" s="1" t="n">
        <v>45981</v>
      </c>
      <c r="D79" t="inlineStr">
        <is>
          <t>JÄMTLANDS LÄN</t>
        </is>
      </c>
      <c r="E79" t="inlineStr">
        <is>
          <t>RAGUNDA</t>
        </is>
      </c>
      <c r="F79" t="inlineStr">
        <is>
          <t>SCA</t>
        </is>
      </c>
      <c r="G79" t="n">
        <v>5.7</v>
      </c>
      <c r="H79" t="n">
        <v>0</v>
      </c>
      <c r="I79" t="n">
        <v>1</v>
      </c>
      <c r="J79" t="n">
        <v>5</v>
      </c>
      <c r="K79" t="n">
        <v>0</v>
      </c>
      <c r="L79" t="n">
        <v>0</v>
      </c>
      <c r="M79" t="n">
        <v>0</v>
      </c>
      <c r="N79" t="n">
        <v>0</v>
      </c>
      <c r="O79" t="n">
        <v>5</v>
      </c>
      <c r="P79" t="n">
        <v>0</v>
      </c>
      <c r="Q79" t="n">
        <v>6</v>
      </c>
      <c r="R79" s="2" t="inlineStr">
        <is>
          <t>Garnlav
Granticka
Rosenticka
Stjärntagging
Ullticka
Rödgul trumpetsvamp</t>
        </is>
      </c>
      <c r="S79">
        <f>HYPERLINK("https://klasma.github.io/Logging_2303/artfynd/A 30884-2025 artfynd.xlsx", "A 30884-2025")</f>
        <v/>
      </c>
      <c r="T79">
        <f>HYPERLINK("https://klasma.github.io/Logging_2303/kartor/A 30884-2025 karta.png", "A 30884-2025")</f>
        <v/>
      </c>
      <c r="V79">
        <f>HYPERLINK("https://klasma.github.io/Logging_2303/klagomål/A 30884-2025 FSC-klagomål.docx", "A 30884-2025")</f>
        <v/>
      </c>
      <c r="W79">
        <f>HYPERLINK("https://klasma.github.io/Logging_2303/klagomålsmail/A 30884-2025 FSC-klagomål mail.docx", "A 30884-2025")</f>
        <v/>
      </c>
      <c r="X79">
        <f>HYPERLINK("https://klasma.github.io/Logging_2303/tillsyn/A 30884-2025 tillsynsbegäran.docx", "A 30884-2025")</f>
        <v/>
      </c>
      <c r="Y79">
        <f>HYPERLINK("https://klasma.github.io/Logging_2303/tillsynsmail/A 30884-2025 tillsynsbegäran mail.docx", "A 30884-2025")</f>
        <v/>
      </c>
    </row>
    <row r="80" ht="15" customHeight="1">
      <c r="A80" t="inlineStr">
        <is>
          <t>A 36276-2025</t>
        </is>
      </c>
      <c r="B80" s="1" t="n">
        <v>45867.63619212963</v>
      </c>
      <c r="C80" s="1" t="n">
        <v>45981</v>
      </c>
      <c r="D80" t="inlineStr">
        <is>
          <t>JÄMTLANDS LÄN</t>
        </is>
      </c>
      <c r="E80" t="inlineStr">
        <is>
          <t>RAGUNDA</t>
        </is>
      </c>
      <c r="F80" t="inlineStr">
        <is>
          <t>SCA</t>
        </is>
      </c>
      <c r="G80" t="n">
        <v>3.2</v>
      </c>
      <c r="H80" t="n">
        <v>1</v>
      </c>
      <c r="I80" t="n">
        <v>2</v>
      </c>
      <c r="J80" t="n">
        <v>3</v>
      </c>
      <c r="K80" t="n">
        <v>1</v>
      </c>
      <c r="L80" t="n">
        <v>0</v>
      </c>
      <c r="M80" t="n">
        <v>0</v>
      </c>
      <c r="N80" t="n">
        <v>0</v>
      </c>
      <c r="O80" t="n">
        <v>4</v>
      </c>
      <c r="P80" t="n">
        <v>1</v>
      </c>
      <c r="Q80" t="n">
        <v>6</v>
      </c>
      <c r="R80" s="2" t="inlineStr">
        <is>
          <t>Knärot
Garnlav
Lunglav
Ullticka
Grovticka
Stuplav</t>
        </is>
      </c>
      <c r="S80">
        <f>HYPERLINK("https://klasma.github.io/Logging_2303/artfynd/A 36276-2025 artfynd.xlsx", "A 36276-2025")</f>
        <v/>
      </c>
      <c r="T80">
        <f>HYPERLINK("https://klasma.github.io/Logging_2303/kartor/A 36276-2025 karta.png", "A 36276-2025")</f>
        <v/>
      </c>
      <c r="U80">
        <f>HYPERLINK("https://klasma.github.io/Logging_2303/knärot/A 36276-2025 karta knärot.png", "A 36276-2025")</f>
        <v/>
      </c>
      <c r="V80">
        <f>HYPERLINK("https://klasma.github.io/Logging_2303/klagomål/A 36276-2025 FSC-klagomål.docx", "A 36276-2025")</f>
        <v/>
      </c>
      <c r="W80">
        <f>HYPERLINK("https://klasma.github.io/Logging_2303/klagomålsmail/A 36276-2025 FSC-klagomål mail.docx", "A 36276-2025")</f>
        <v/>
      </c>
      <c r="X80">
        <f>HYPERLINK("https://klasma.github.io/Logging_2303/tillsyn/A 36276-2025 tillsynsbegäran.docx", "A 36276-2025")</f>
        <v/>
      </c>
      <c r="Y80">
        <f>HYPERLINK("https://klasma.github.io/Logging_2303/tillsynsmail/A 36276-2025 tillsynsbegäran mail.docx", "A 36276-2025")</f>
        <v/>
      </c>
    </row>
    <row r="81" ht="15" customHeight="1">
      <c r="A81" t="inlineStr">
        <is>
          <t>A 15379-2024</t>
        </is>
      </c>
      <c r="B81" s="1" t="n">
        <v>45400.94002314815</v>
      </c>
      <c r="C81" s="1" t="n">
        <v>45981</v>
      </c>
      <c r="D81" t="inlineStr">
        <is>
          <t>JÄMTLANDS LÄN</t>
        </is>
      </c>
      <c r="E81" t="inlineStr">
        <is>
          <t>RAGUNDA</t>
        </is>
      </c>
      <c r="F81" t="inlineStr">
        <is>
          <t>SCA</t>
        </is>
      </c>
      <c r="G81" t="n">
        <v>4.2</v>
      </c>
      <c r="H81" t="n">
        <v>3</v>
      </c>
      <c r="I81" t="n">
        <v>3</v>
      </c>
      <c r="J81" t="n">
        <v>0</v>
      </c>
      <c r="K81" t="n">
        <v>1</v>
      </c>
      <c r="L81" t="n">
        <v>0</v>
      </c>
      <c r="M81" t="n">
        <v>0</v>
      </c>
      <c r="N81" t="n">
        <v>0</v>
      </c>
      <c r="O81" t="n">
        <v>1</v>
      </c>
      <c r="P81" t="n">
        <v>1</v>
      </c>
      <c r="Q81" t="n">
        <v>5</v>
      </c>
      <c r="R81" s="2" t="inlineStr">
        <is>
          <t>Knärot
Finbräken
Guckusko
Svavelriska
Blåsippa</t>
        </is>
      </c>
      <c r="S81">
        <f>HYPERLINK("https://klasma.github.io/Logging_2303/artfynd/A 15379-2024 artfynd.xlsx", "A 15379-2024")</f>
        <v/>
      </c>
      <c r="T81">
        <f>HYPERLINK("https://klasma.github.io/Logging_2303/kartor/A 15379-2024 karta.png", "A 15379-2024")</f>
        <v/>
      </c>
      <c r="U81">
        <f>HYPERLINK("https://klasma.github.io/Logging_2303/knärot/A 15379-2024 karta knärot.png", "A 15379-2024")</f>
        <v/>
      </c>
      <c r="V81">
        <f>HYPERLINK("https://klasma.github.io/Logging_2303/klagomål/A 15379-2024 FSC-klagomål.docx", "A 15379-2024")</f>
        <v/>
      </c>
      <c r="W81">
        <f>HYPERLINK("https://klasma.github.io/Logging_2303/klagomålsmail/A 15379-2024 FSC-klagomål mail.docx", "A 15379-2024")</f>
        <v/>
      </c>
      <c r="X81">
        <f>HYPERLINK("https://klasma.github.io/Logging_2303/tillsyn/A 15379-2024 tillsynsbegäran.docx", "A 15379-2024")</f>
        <v/>
      </c>
      <c r="Y81">
        <f>HYPERLINK("https://klasma.github.io/Logging_2303/tillsynsmail/A 15379-2024 tillsynsbegäran mail.docx", "A 15379-2024")</f>
        <v/>
      </c>
    </row>
    <row r="82" ht="15" customHeight="1">
      <c r="A82" t="inlineStr">
        <is>
          <t>A 14908-2022</t>
        </is>
      </c>
      <c r="B82" s="1" t="n">
        <v>44656</v>
      </c>
      <c r="C82" s="1" t="n">
        <v>45981</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45969-2023</t>
        </is>
      </c>
      <c r="B83" s="1" t="n">
        <v>45195</v>
      </c>
      <c r="C83" s="1" t="n">
        <v>45981</v>
      </c>
      <c r="D83" t="inlineStr">
        <is>
          <t>JÄMTLANDS LÄN</t>
        </is>
      </c>
      <c r="E83" t="inlineStr">
        <is>
          <t>RAGUNDA</t>
        </is>
      </c>
      <c r="F83" t="inlineStr">
        <is>
          <t>SCA</t>
        </is>
      </c>
      <c r="G83" t="n">
        <v>9.300000000000001</v>
      </c>
      <c r="H83" t="n">
        <v>1</v>
      </c>
      <c r="I83" t="n">
        <v>4</v>
      </c>
      <c r="J83" t="n">
        <v>1</v>
      </c>
      <c r="K83" t="n">
        <v>0</v>
      </c>
      <c r="L83" t="n">
        <v>0</v>
      </c>
      <c r="M83" t="n">
        <v>0</v>
      </c>
      <c r="N83" t="n">
        <v>0</v>
      </c>
      <c r="O83" t="n">
        <v>1</v>
      </c>
      <c r="P83" t="n">
        <v>0</v>
      </c>
      <c r="Q83" t="n">
        <v>5</v>
      </c>
      <c r="R83" s="2" t="inlineStr">
        <is>
          <t>Lunglav
Dropptaggsvamp
Grönpyrola
Plattlummer
Skarp dropptaggsvamp</t>
        </is>
      </c>
      <c r="S83">
        <f>HYPERLINK("https://klasma.github.io/Logging_2303/artfynd/A 45969-2023 artfynd.xlsx", "A 45969-2023")</f>
        <v/>
      </c>
      <c r="T83">
        <f>HYPERLINK("https://klasma.github.io/Logging_2303/kartor/A 45969-2023 karta.png", "A 45969-2023")</f>
        <v/>
      </c>
      <c r="V83">
        <f>HYPERLINK("https://klasma.github.io/Logging_2303/klagomål/A 45969-2023 FSC-klagomål.docx", "A 45969-2023")</f>
        <v/>
      </c>
      <c r="W83">
        <f>HYPERLINK("https://klasma.github.io/Logging_2303/klagomålsmail/A 45969-2023 FSC-klagomål mail.docx", "A 45969-2023")</f>
        <v/>
      </c>
      <c r="X83">
        <f>HYPERLINK("https://klasma.github.io/Logging_2303/tillsyn/A 45969-2023 tillsynsbegäran.docx", "A 45969-2023")</f>
        <v/>
      </c>
      <c r="Y83">
        <f>HYPERLINK("https://klasma.github.io/Logging_2303/tillsynsmail/A 45969-2023 tillsynsbegäran mail.docx", "A 45969-2023")</f>
        <v/>
      </c>
    </row>
    <row r="84" ht="15" customHeight="1">
      <c r="A84" t="inlineStr">
        <is>
          <t>A 39974-2025</t>
        </is>
      </c>
      <c r="B84" s="1" t="n">
        <v>45893.38599537037</v>
      </c>
      <c r="C84" s="1" t="n">
        <v>45981</v>
      </c>
      <c r="D84" t="inlineStr">
        <is>
          <t>JÄMTLANDS LÄN</t>
        </is>
      </c>
      <c r="E84" t="inlineStr">
        <is>
          <t>RAGUNDA</t>
        </is>
      </c>
      <c r="F84" t="inlineStr">
        <is>
          <t>SCA</t>
        </is>
      </c>
      <c r="G84" t="n">
        <v>2.5</v>
      </c>
      <c r="H84" t="n">
        <v>0</v>
      </c>
      <c r="I84" t="n">
        <v>2</v>
      </c>
      <c r="J84" t="n">
        <v>3</v>
      </c>
      <c r="K84" t="n">
        <v>0</v>
      </c>
      <c r="L84" t="n">
        <v>0</v>
      </c>
      <c r="M84" t="n">
        <v>0</v>
      </c>
      <c r="N84" t="n">
        <v>0</v>
      </c>
      <c r="O84" t="n">
        <v>3</v>
      </c>
      <c r="P84" t="n">
        <v>0</v>
      </c>
      <c r="Q84" t="n">
        <v>5</v>
      </c>
      <c r="R84" s="2" t="inlineStr">
        <is>
          <t>Garnlav
Lunglav
Skrovellav
Dropptaggsvamp
Luddlav</t>
        </is>
      </c>
      <c r="S84">
        <f>HYPERLINK("https://klasma.github.io/Logging_2303/artfynd/A 39974-2025 artfynd.xlsx", "A 39974-2025")</f>
        <v/>
      </c>
      <c r="T84">
        <f>HYPERLINK("https://klasma.github.io/Logging_2303/kartor/A 39974-2025 karta.png", "A 39974-2025")</f>
        <v/>
      </c>
      <c r="V84">
        <f>HYPERLINK("https://klasma.github.io/Logging_2303/klagomål/A 39974-2025 FSC-klagomål.docx", "A 39974-2025")</f>
        <v/>
      </c>
      <c r="W84">
        <f>HYPERLINK("https://klasma.github.io/Logging_2303/klagomålsmail/A 39974-2025 FSC-klagomål mail.docx", "A 39974-2025")</f>
        <v/>
      </c>
      <c r="X84">
        <f>HYPERLINK("https://klasma.github.io/Logging_2303/tillsyn/A 39974-2025 tillsynsbegäran.docx", "A 39974-2025")</f>
        <v/>
      </c>
      <c r="Y84">
        <f>HYPERLINK("https://klasma.github.io/Logging_2303/tillsynsmail/A 39974-2025 tillsynsbegäran mail.docx", "A 39974-2025")</f>
        <v/>
      </c>
    </row>
    <row r="85" ht="15" customHeight="1">
      <c r="A85" t="inlineStr">
        <is>
          <t>A 39365-2024</t>
        </is>
      </c>
      <c r="B85" s="1" t="n">
        <v>45551.46912037037</v>
      </c>
      <c r="C85" s="1" t="n">
        <v>45981</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43106-2023</t>
        </is>
      </c>
      <c r="B86" s="1" t="n">
        <v>45182</v>
      </c>
      <c r="C86" s="1" t="n">
        <v>45981</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15244-2025</t>
        </is>
      </c>
      <c r="B87" s="1" t="n">
        <v>45744.61550925926</v>
      </c>
      <c r="C87" s="1" t="n">
        <v>45981</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27313-2024</t>
        </is>
      </c>
      <c r="B88" s="1" t="n">
        <v>45471.94623842592</v>
      </c>
      <c r="C88" s="1" t="n">
        <v>45981</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57073-2023</t>
        </is>
      </c>
      <c r="B89" s="1" t="n">
        <v>45244</v>
      </c>
      <c r="C89" s="1" t="n">
        <v>45981</v>
      </c>
      <c r="D89" t="inlineStr">
        <is>
          <t>JÄMTLANDS LÄN</t>
        </is>
      </c>
      <c r="E89" t="inlineStr">
        <is>
          <t>RAGUNDA</t>
        </is>
      </c>
      <c r="F89" t="inlineStr">
        <is>
          <t>SCA</t>
        </is>
      </c>
      <c r="G89" t="n">
        <v>4.1</v>
      </c>
      <c r="H89" t="n">
        <v>1</v>
      </c>
      <c r="I89" t="n">
        <v>0</v>
      </c>
      <c r="J89" t="n">
        <v>4</v>
      </c>
      <c r="K89" t="n">
        <v>1</v>
      </c>
      <c r="L89" t="n">
        <v>0</v>
      </c>
      <c r="M89" t="n">
        <v>0</v>
      </c>
      <c r="N89" t="n">
        <v>0</v>
      </c>
      <c r="O89" t="n">
        <v>5</v>
      </c>
      <c r="P89" t="n">
        <v>1</v>
      </c>
      <c r="Q89" t="n">
        <v>5</v>
      </c>
      <c r="R89" s="2" t="inlineStr">
        <is>
          <t>Aspgelélav
Granticka
Lunglav
Tretåig hackspett
Ullticka</t>
        </is>
      </c>
      <c r="S89">
        <f>HYPERLINK("https://klasma.github.io/Logging_2303/artfynd/A 57073-2023 artfynd.xlsx", "A 57073-2023")</f>
        <v/>
      </c>
      <c r="T89">
        <f>HYPERLINK("https://klasma.github.io/Logging_2303/kartor/A 57073-2023 karta.png", "A 57073-2023")</f>
        <v/>
      </c>
      <c r="V89">
        <f>HYPERLINK("https://klasma.github.io/Logging_2303/klagomål/A 57073-2023 FSC-klagomål.docx", "A 57073-2023")</f>
        <v/>
      </c>
      <c r="W89">
        <f>HYPERLINK("https://klasma.github.io/Logging_2303/klagomålsmail/A 57073-2023 FSC-klagomål mail.docx", "A 57073-2023")</f>
        <v/>
      </c>
      <c r="X89">
        <f>HYPERLINK("https://klasma.github.io/Logging_2303/tillsyn/A 57073-2023 tillsynsbegäran.docx", "A 57073-2023")</f>
        <v/>
      </c>
      <c r="Y89">
        <f>HYPERLINK("https://klasma.github.io/Logging_2303/tillsynsmail/A 57073-2023 tillsynsbegäran mail.docx", "A 57073-2023")</f>
        <v/>
      </c>
      <c r="Z89">
        <f>HYPERLINK("https://klasma.github.io/Logging_2303/fåglar/A 57073-2023 prioriterade fågelarter.docx", "A 57073-2023")</f>
        <v/>
      </c>
    </row>
    <row r="90" ht="15" customHeight="1">
      <c r="A90" t="inlineStr">
        <is>
          <t>A 60683-2022</t>
        </is>
      </c>
      <c r="B90" s="1" t="n">
        <v>44911</v>
      </c>
      <c r="C90" s="1" t="n">
        <v>45981</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13266-2023</t>
        </is>
      </c>
      <c r="B91" s="1" t="n">
        <v>45002.94356481481</v>
      </c>
      <c r="C91" s="1" t="n">
        <v>45981</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30886-2025</t>
        </is>
      </c>
      <c r="B92" s="1" t="n">
        <v>45832.34578703704</v>
      </c>
      <c r="C92" s="1" t="n">
        <v>45981</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18629-2024</t>
        </is>
      </c>
      <c r="B93" s="1" t="n">
        <v>45425.96472222222</v>
      </c>
      <c r="C93" s="1" t="n">
        <v>45981</v>
      </c>
      <c r="D93" t="inlineStr">
        <is>
          <t>JÄMTLANDS LÄN</t>
        </is>
      </c>
      <c r="E93" t="inlineStr">
        <is>
          <t>RAGUNDA</t>
        </is>
      </c>
      <c r="F93" t="inlineStr">
        <is>
          <t>SCA</t>
        </is>
      </c>
      <c r="G93" t="n">
        <v>1.6</v>
      </c>
      <c r="H93" t="n">
        <v>2</v>
      </c>
      <c r="I93" t="n">
        <v>1</v>
      </c>
      <c r="J93" t="n">
        <v>3</v>
      </c>
      <c r="K93" t="n">
        <v>0</v>
      </c>
      <c r="L93" t="n">
        <v>0</v>
      </c>
      <c r="M93" t="n">
        <v>0</v>
      </c>
      <c r="N93" t="n">
        <v>0</v>
      </c>
      <c r="O93" t="n">
        <v>3</v>
      </c>
      <c r="P93" t="n">
        <v>0</v>
      </c>
      <c r="Q93" t="n">
        <v>5</v>
      </c>
      <c r="R93" s="2" t="inlineStr">
        <is>
          <t>Garnlav
Lunglav
Tretåig hackspett
Stuplav
Fläcknycklar</t>
        </is>
      </c>
      <c r="S93">
        <f>HYPERLINK("https://klasma.github.io/Logging_2303/artfynd/A 18629-2024 artfynd.xlsx", "A 18629-2024")</f>
        <v/>
      </c>
      <c r="T93">
        <f>HYPERLINK("https://klasma.github.io/Logging_2303/kartor/A 18629-2024 karta.png", "A 18629-2024")</f>
        <v/>
      </c>
      <c r="V93">
        <f>HYPERLINK("https://klasma.github.io/Logging_2303/klagomål/A 18629-2024 FSC-klagomål.docx", "A 18629-2024")</f>
        <v/>
      </c>
      <c r="W93">
        <f>HYPERLINK("https://klasma.github.io/Logging_2303/klagomålsmail/A 18629-2024 FSC-klagomål mail.docx", "A 18629-2024")</f>
        <v/>
      </c>
      <c r="X93">
        <f>HYPERLINK("https://klasma.github.io/Logging_2303/tillsyn/A 18629-2024 tillsynsbegäran.docx", "A 18629-2024")</f>
        <v/>
      </c>
      <c r="Y93">
        <f>HYPERLINK("https://klasma.github.io/Logging_2303/tillsynsmail/A 18629-2024 tillsynsbegäran mail.docx", "A 18629-2024")</f>
        <v/>
      </c>
      <c r="Z93">
        <f>HYPERLINK("https://klasma.github.io/Logging_2303/fåglar/A 18629-2024 prioriterade fågelarter.docx", "A 18629-2024")</f>
        <v/>
      </c>
    </row>
    <row r="94" ht="15" customHeight="1">
      <c r="A94" t="inlineStr">
        <is>
          <t>A 38169-2024</t>
        </is>
      </c>
      <c r="B94" s="1" t="n">
        <v>45545.45748842593</v>
      </c>
      <c r="C94" s="1" t="n">
        <v>45981</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45981</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35344-2025</t>
        </is>
      </c>
      <c r="B96" s="1" t="n">
        <v>45854.61494212963</v>
      </c>
      <c r="C96" s="1" t="n">
        <v>45981</v>
      </c>
      <c r="D96" t="inlineStr">
        <is>
          <t>JÄMTLANDS LÄN</t>
        </is>
      </c>
      <c r="E96" t="inlineStr">
        <is>
          <t>RAGUNDA</t>
        </is>
      </c>
      <c r="F96" t="inlineStr">
        <is>
          <t>SCA</t>
        </is>
      </c>
      <c r="G96" t="n">
        <v>6.1</v>
      </c>
      <c r="H96" t="n">
        <v>0</v>
      </c>
      <c r="I96" t="n">
        <v>0</v>
      </c>
      <c r="J96" t="n">
        <v>5</v>
      </c>
      <c r="K96" t="n">
        <v>0</v>
      </c>
      <c r="L96" t="n">
        <v>0</v>
      </c>
      <c r="M96" t="n">
        <v>0</v>
      </c>
      <c r="N96" t="n">
        <v>0</v>
      </c>
      <c r="O96" t="n">
        <v>5</v>
      </c>
      <c r="P96" t="n">
        <v>0</v>
      </c>
      <c r="Q96" t="n">
        <v>5</v>
      </c>
      <c r="R96" s="2" t="inlineStr">
        <is>
          <t>Blå taggsvamp
Garnlav
Lunglav
Svart taggsvamp
Vedtrappmossa</t>
        </is>
      </c>
      <c r="S96">
        <f>HYPERLINK("https://klasma.github.io/Logging_2303/artfynd/A 35344-2025 artfynd.xlsx", "A 35344-2025")</f>
        <v/>
      </c>
      <c r="T96">
        <f>HYPERLINK("https://klasma.github.io/Logging_2303/kartor/A 35344-2025 karta.png", "A 35344-2025")</f>
        <v/>
      </c>
      <c r="V96">
        <f>HYPERLINK("https://klasma.github.io/Logging_2303/klagomål/A 35344-2025 FSC-klagomål.docx", "A 35344-2025")</f>
        <v/>
      </c>
      <c r="W96">
        <f>HYPERLINK("https://klasma.github.io/Logging_2303/klagomålsmail/A 35344-2025 FSC-klagomål mail.docx", "A 35344-2025")</f>
        <v/>
      </c>
      <c r="X96">
        <f>HYPERLINK("https://klasma.github.io/Logging_2303/tillsyn/A 35344-2025 tillsynsbegäran.docx", "A 35344-2025")</f>
        <v/>
      </c>
      <c r="Y96">
        <f>HYPERLINK("https://klasma.github.io/Logging_2303/tillsynsmail/A 35344-2025 tillsynsbegäran mail.docx", "A 35344-2025")</f>
        <v/>
      </c>
    </row>
    <row r="97" ht="15" customHeight="1">
      <c r="A97" t="inlineStr">
        <is>
          <t>A 2579-2025</t>
        </is>
      </c>
      <c r="B97" s="1" t="n">
        <v>45674.67744212963</v>
      </c>
      <c r="C97" s="1" t="n">
        <v>45981</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22469-2024</t>
        </is>
      </c>
      <c r="B98" s="1" t="n">
        <v>45446.95087962963</v>
      </c>
      <c r="C98" s="1" t="n">
        <v>45981</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8636-2021</t>
        </is>
      </c>
      <c r="B99" s="1" t="n">
        <v>44245</v>
      </c>
      <c r="C99" s="1" t="n">
        <v>45981</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45981</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15667-2022</t>
        </is>
      </c>
      <c r="B101" s="1" t="n">
        <v>44662</v>
      </c>
      <c r="C101" s="1" t="n">
        <v>45981</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60670-2022</t>
        </is>
      </c>
      <c r="B102" s="1" t="n">
        <v>44911</v>
      </c>
      <c r="C102" s="1" t="n">
        <v>45981</v>
      </c>
      <c r="D102" t="inlineStr">
        <is>
          <t>JÄMTLANDS LÄN</t>
        </is>
      </c>
      <c r="E102" t="inlineStr">
        <is>
          <t>RAGUNDA</t>
        </is>
      </c>
      <c r="F102" t="inlineStr">
        <is>
          <t>SCA</t>
        </is>
      </c>
      <c r="G102" t="n">
        <v>5.1</v>
      </c>
      <c r="H102" t="n">
        <v>0</v>
      </c>
      <c r="I102" t="n">
        <v>0</v>
      </c>
      <c r="J102" t="n">
        <v>4</v>
      </c>
      <c r="K102" t="n">
        <v>0</v>
      </c>
      <c r="L102" t="n">
        <v>0</v>
      </c>
      <c r="M102" t="n">
        <v>0</v>
      </c>
      <c r="N102" t="n">
        <v>0</v>
      </c>
      <c r="O102" t="n">
        <v>4</v>
      </c>
      <c r="P102" t="n">
        <v>0</v>
      </c>
      <c r="Q102" t="n">
        <v>4</v>
      </c>
      <c r="R102" s="2" t="inlineStr">
        <is>
          <t>Doftskinn
Gammelgransskål
Lunglav
Ullticka</t>
        </is>
      </c>
      <c r="S102">
        <f>HYPERLINK("https://klasma.github.io/Logging_2303/artfynd/A 60670-2022 artfynd.xlsx", "A 60670-2022")</f>
        <v/>
      </c>
      <c r="T102">
        <f>HYPERLINK("https://klasma.github.io/Logging_2303/kartor/A 60670-2022 karta.png", "A 60670-2022")</f>
        <v/>
      </c>
      <c r="V102">
        <f>HYPERLINK("https://klasma.github.io/Logging_2303/klagomål/A 60670-2022 FSC-klagomål.docx", "A 60670-2022")</f>
        <v/>
      </c>
      <c r="W102">
        <f>HYPERLINK("https://klasma.github.io/Logging_2303/klagomålsmail/A 60670-2022 FSC-klagomål mail.docx", "A 60670-2022")</f>
        <v/>
      </c>
      <c r="X102">
        <f>HYPERLINK("https://klasma.github.io/Logging_2303/tillsyn/A 60670-2022 tillsynsbegäran.docx", "A 60670-2022")</f>
        <v/>
      </c>
      <c r="Y102">
        <f>HYPERLINK("https://klasma.github.io/Logging_2303/tillsynsmail/A 60670-2022 tillsynsbegäran mail.docx", "A 60670-2022")</f>
        <v/>
      </c>
    </row>
    <row r="103" ht="15" customHeight="1">
      <c r="A103" t="inlineStr">
        <is>
          <t>A 21372-2025</t>
        </is>
      </c>
      <c r="B103" s="1" t="n">
        <v>45782.44871527778</v>
      </c>
      <c r="C103" s="1" t="n">
        <v>45981</v>
      </c>
      <c r="D103" t="inlineStr">
        <is>
          <t>JÄMTLANDS LÄN</t>
        </is>
      </c>
      <c r="E103" t="inlineStr">
        <is>
          <t>RAGUNDA</t>
        </is>
      </c>
      <c r="F103" t="inlineStr">
        <is>
          <t>SCA</t>
        </is>
      </c>
      <c r="G103" t="n">
        <v>2.7</v>
      </c>
      <c r="H103" t="n">
        <v>1</v>
      </c>
      <c r="I103" t="n">
        <v>1</v>
      </c>
      <c r="J103" t="n">
        <v>2</v>
      </c>
      <c r="K103" t="n">
        <v>0</v>
      </c>
      <c r="L103" t="n">
        <v>0</v>
      </c>
      <c r="M103" t="n">
        <v>0</v>
      </c>
      <c r="N103" t="n">
        <v>0</v>
      </c>
      <c r="O103" t="n">
        <v>2</v>
      </c>
      <c r="P103" t="n">
        <v>0</v>
      </c>
      <c r="Q103" t="n">
        <v>4</v>
      </c>
      <c r="R103" s="2" t="inlineStr">
        <is>
          <t>Garnlav
Lunglav
Stuplav
Tjäder</t>
        </is>
      </c>
      <c r="S103">
        <f>HYPERLINK("https://klasma.github.io/Logging_2303/artfynd/A 21372-2025 artfynd.xlsx", "A 21372-2025")</f>
        <v/>
      </c>
      <c r="T103">
        <f>HYPERLINK("https://klasma.github.io/Logging_2303/kartor/A 21372-2025 karta.png", "A 21372-2025")</f>
        <v/>
      </c>
      <c r="V103">
        <f>HYPERLINK("https://klasma.github.io/Logging_2303/klagomål/A 21372-2025 FSC-klagomål.docx", "A 21372-2025")</f>
        <v/>
      </c>
      <c r="W103">
        <f>HYPERLINK("https://klasma.github.io/Logging_2303/klagomålsmail/A 21372-2025 FSC-klagomål mail.docx", "A 21372-2025")</f>
        <v/>
      </c>
      <c r="X103">
        <f>HYPERLINK("https://klasma.github.io/Logging_2303/tillsyn/A 21372-2025 tillsynsbegäran.docx", "A 21372-2025")</f>
        <v/>
      </c>
      <c r="Y103">
        <f>HYPERLINK("https://klasma.github.io/Logging_2303/tillsynsmail/A 21372-2025 tillsynsbegäran mail.docx", "A 21372-2025")</f>
        <v/>
      </c>
      <c r="Z103">
        <f>HYPERLINK("https://klasma.github.io/Logging_2303/fåglar/A 21372-2025 prioriterade fågelarter.docx", "A 21372-2025")</f>
        <v/>
      </c>
    </row>
    <row r="104" ht="15" customHeight="1">
      <c r="A104" t="inlineStr">
        <is>
          <t>A 23682-2021</t>
        </is>
      </c>
      <c r="B104" s="1" t="n">
        <v>44334</v>
      </c>
      <c r="C104" s="1" t="n">
        <v>45981</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23682-2021 artfynd.xlsx", "A 23682-2021")</f>
        <v/>
      </c>
      <c r="T104">
        <f>HYPERLINK("https://klasma.github.io/Logging_2303/kartor/A 23682-2021 karta.png", "A 23682-2021")</f>
        <v/>
      </c>
      <c r="U104">
        <f>HYPERLINK("https://klasma.github.io/Logging_2303/knärot/A 23682-2021 karta knärot.png", "A 23682-2021")</f>
        <v/>
      </c>
      <c r="V104">
        <f>HYPERLINK("https://klasma.github.io/Logging_2303/klagomål/A 23682-2021 FSC-klagomål.docx", "A 23682-2021")</f>
        <v/>
      </c>
      <c r="W104">
        <f>HYPERLINK("https://klasma.github.io/Logging_2303/klagomålsmail/A 23682-2021 FSC-klagomål mail.docx", "A 23682-2021")</f>
        <v/>
      </c>
      <c r="X104">
        <f>HYPERLINK("https://klasma.github.io/Logging_2303/tillsyn/A 23682-2021 tillsynsbegäran.docx", "A 23682-2021")</f>
        <v/>
      </c>
      <c r="Y104">
        <f>HYPERLINK("https://klasma.github.io/Logging_2303/tillsynsmail/A 23682-2021 tillsynsbegäran mail.docx", "A 23682-2021")</f>
        <v/>
      </c>
    </row>
    <row r="105" ht="15" customHeight="1">
      <c r="A105" t="inlineStr">
        <is>
          <t>A 23676-2021</t>
        </is>
      </c>
      <c r="B105" s="1" t="n">
        <v>44334.62565972222</v>
      </c>
      <c r="C105" s="1" t="n">
        <v>45981</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32903-2024</t>
        </is>
      </c>
      <c r="B106" s="1" t="n">
        <v>45516.94723379629</v>
      </c>
      <c r="C106" s="1" t="n">
        <v>45981</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12640-2024</t>
        </is>
      </c>
      <c r="B107" s="1" t="n">
        <v>45384</v>
      </c>
      <c r="C107" s="1" t="n">
        <v>45981</v>
      </c>
      <c r="D107" t="inlineStr">
        <is>
          <t>JÄMTLANDS LÄN</t>
        </is>
      </c>
      <c r="E107" t="inlineStr">
        <is>
          <t>RAGUNDA</t>
        </is>
      </c>
      <c r="G107" t="n">
        <v>3.3</v>
      </c>
      <c r="H107" t="n">
        <v>0</v>
      </c>
      <c r="I107" t="n">
        <v>2</v>
      </c>
      <c r="J107" t="n">
        <v>1</v>
      </c>
      <c r="K107" t="n">
        <v>1</v>
      </c>
      <c r="L107" t="n">
        <v>0</v>
      </c>
      <c r="M107" t="n">
        <v>0</v>
      </c>
      <c r="N107" t="n">
        <v>0</v>
      </c>
      <c r="O107" t="n">
        <v>2</v>
      </c>
      <c r="P107" t="n">
        <v>1</v>
      </c>
      <c r="Q107" t="n">
        <v>4</v>
      </c>
      <c r="R107" s="2" t="inlineStr">
        <is>
          <t>Spadskinn
Vedskivlav
Dropptaggsvamp
Skarp dropptaggsvamp</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40653-2025</t>
        </is>
      </c>
      <c r="B108" s="1" t="n">
        <v>45896.63618055556</v>
      </c>
      <c r="C108" s="1" t="n">
        <v>45981</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52644-2024</t>
        </is>
      </c>
      <c r="B109" s="1" t="n">
        <v>45610.34415509259</v>
      </c>
      <c r="C109" s="1" t="n">
        <v>45981</v>
      </c>
      <c r="D109" t="inlineStr">
        <is>
          <t>JÄMTLANDS LÄN</t>
        </is>
      </c>
      <c r="E109" t="inlineStr">
        <is>
          <t>RAGUNDA</t>
        </is>
      </c>
      <c r="F109" t="inlineStr">
        <is>
          <t>SCA</t>
        </is>
      </c>
      <c r="G109" t="n">
        <v>6.6</v>
      </c>
      <c r="H109" t="n">
        <v>2</v>
      </c>
      <c r="I109" t="n">
        <v>1</v>
      </c>
      <c r="J109" t="n">
        <v>2</v>
      </c>
      <c r="K109" t="n">
        <v>1</v>
      </c>
      <c r="L109" t="n">
        <v>0</v>
      </c>
      <c r="M109" t="n">
        <v>0</v>
      </c>
      <c r="N109" t="n">
        <v>0</v>
      </c>
      <c r="O109" t="n">
        <v>3</v>
      </c>
      <c r="P109" t="n">
        <v>1</v>
      </c>
      <c r="Q109" t="n">
        <v>4</v>
      </c>
      <c r="R109" s="2" t="inlineStr">
        <is>
          <t>Doftticka
Gammelgransskål
Lunglav
Guckusko</t>
        </is>
      </c>
      <c r="S109">
        <f>HYPERLINK("https://klasma.github.io/Logging_2303/artfynd/A 52644-2024 artfynd.xlsx", "A 52644-2024")</f>
        <v/>
      </c>
      <c r="T109">
        <f>HYPERLINK("https://klasma.github.io/Logging_2303/kartor/A 52644-2024 karta.png", "A 52644-2024")</f>
        <v/>
      </c>
      <c r="V109">
        <f>HYPERLINK("https://klasma.github.io/Logging_2303/klagomål/A 52644-2024 FSC-klagomål.docx", "A 52644-2024")</f>
        <v/>
      </c>
      <c r="W109">
        <f>HYPERLINK("https://klasma.github.io/Logging_2303/klagomålsmail/A 52644-2024 FSC-klagomål mail.docx", "A 52644-2024")</f>
        <v/>
      </c>
      <c r="X109">
        <f>HYPERLINK("https://klasma.github.io/Logging_2303/tillsyn/A 52644-2024 tillsynsbegäran.docx", "A 52644-2024")</f>
        <v/>
      </c>
      <c r="Y109">
        <f>HYPERLINK("https://klasma.github.io/Logging_2303/tillsynsmail/A 52644-2024 tillsynsbegäran mail.docx", "A 52644-2024")</f>
        <v/>
      </c>
    </row>
    <row r="110" ht="15" customHeight="1">
      <c r="A110" t="inlineStr">
        <is>
          <t>A 12268-2024</t>
        </is>
      </c>
      <c r="B110" s="1" t="n">
        <v>45378</v>
      </c>
      <c r="C110" s="1" t="n">
        <v>45981</v>
      </c>
      <c r="D110" t="inlineStr">
        <is>
          <t>JÄMTLANDS LÄN</t>
        </is>
      </c>
      <c r="E110" t="inlineStr">
        <is>
          <t>RAGUNDA</t>
        </is>
      </c>
      <c r="F110" t="inlineStr">
        <is>
          <t>Kommuner</t>
        </is>
      </c>
      <c r="G110" t="n">
        <v>15.7</v>
      </c>
      <c r="H110" t="n">
        <v>0</v>
      </c>
      <c r="I110" t="n">
        <v>0</v>
      </c>
      <c r="J110" t="n">
        <v>4</v>
      </c>
      <c r="K110" t="n">
        <v>0</v>
      </c>
      <c r="L110" t="n">
        <v>0</v>
      </c>
      <c r="M110" t="n">
        <v>0</v>
      </c>
      <c r="N110" t="n">
        <v>0</v>
      </c>
      <c r="O110" t="n">
        <v>4</v>
      </c>
      <c r="P110" t="n">
        <v>0</v>
      </c>
      <c r="Q110" t="n">
        <v>4</v>
      </c>
      <c r="R110" s="2" t="inlineStr">
        <is>
          <t>Granticka
Mörk kolflarnlav
Vedskivlav
Vitgrynig nållav</t>
        </is>
      </c>
      <c r="S110">
        <f>HYPERLINK("https://klasma.github.io/Logging_2303/artfynd/A 12268-2024 artfynd.xlsx", "A 12268-2024")</f>
        <v/>
      </c>
      <c r="T110">
        <f>HYPERLINK("https://klasma.github.io/Logging_2303/kartor/A 12268-2024 karta.png", "A 12268-2024")</f>
        <v/>
      </c>
      <c r="V110">
        <f>HYPERLINK("https://klasma.github.io/Logging_2303/klagomål/A 12268-2024 FSC-klagomål.docx", "A 12268-2024")</f>
        <v/>
      </c>
      <c r="W110">
        <f>HYPERLINK("https://klasma.github.io/Logging_2303/klagomålsmail/A 12268-2024 FSC-klagomål mail.docx", "A 12268-2024")</f>
        <v/>
      </c>
      <c r="X110">
        <f>HYPERLINK("https://klasma.github.io/Logging_2303/tillsyn/A 12268-2024 tillsynsbegäran.docx", "A 12268-2024")</f>
        <v/>
      </c>
      <c r="Y110">
        <f>HYPERLINK("https://klasma.github.io/Logging_2303/tillsynsmail/A 12268-2024 tillsynsbegäran mail.docx", "A 12268-2024")</f>
        <v/>
      </c>
    </row>
    <row r="111" ht="15" customHeight="1">
      <c r="A111" t="inlineStr">
        <is>
          <t>A 43960-2023</t>
        </is>
      </c>
      <c r="B111" s="1" t="n">
        <v>45187</v>
      </c>
      <c r="C111" s="1" t="n">
        <v>45981</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30483-2024</t>
        </is>
      </c>
      <c r="B112" s="1" t="n">
        <v>45491</v>
      </c>
      <c r="C112" s="1" t="n">
        <v>45981</v>
      </c>
      <c r="D112" t="inlineStr">
        <is>
          <t>JÄMTLANDS LÄN</t>
        </is>
      </c>
      <c r="E112" t="inlineStr">
        <is>
          <t>RAGUNDA</t>
        </is>
      </c>
      <c r="F112" t="inlineStr">
        <is>
          <t>SCA</t>
        </is>
      </c>
      <c r="G112" t="n">
        <v>1.6</v>
      </c>
      <c r="H112" t="n">
        <v>1</v>
      </c>
      <c r="I112" t="n">
        <v>0</v>
      </c>
      <c r="J112" t="n">
        <v>4</v>
      </c>
      <c r="K112" t="n">
        <v>0</v>
      </c>
      <c r="L112" t="n">
        <v>0</v>
      </c>
      <c r="M112" t="n">
        <v>0</v>
      </c>
      <c r="N112" t="n">
        <v>0</v>
      </c>
      <c r="O112" t="n">
        <v>4</v>
      </c>
      <c r="P112" t="n">
        <v>0</v>
      </c>
      <c r="Q112" t="n">
        <v>4</v>
      </c>
      <c r="R112" s="2" t="inlineStr">
        <is>
          <t>Dvärgbägarlav
Järpe
Kolflarnlav
Vedskivlav</t>
        </is>
      </c>
      <c r="S112">
        <f>HYPERLINK("https://klasma.github.io/Logging_2303/artfynd/A 30483-2024 artfynd.xlsx", "A 30483-2024")</f>
        <v/>
      </c>
      <c r="T112">
        <f>HYPERLINK("https://klasma.github.io/Logging_2303/kartor/A 30483-2024 karta.png", "A 30483-2024")</f>
        <v/>
      </c>
      <c r="V112">
        <f>HYPERLINK("https://klasma.github.io/Logging_2303/klagomål/A 30483-2024 FSC-klagomål.docx", "A 30483-2024")</f>
        <v/>
      </c>
      <c r="W112">
        <f>HYPERLINK("https://klasma.github.io/Logging_2303/klagomålsmail/A 30483-2024 FSC-klagomål mail.docx", "A 30483-2024")</f>
        <v/>
      </c>
      <c r="X112">
        <f>HYPERLINK("https://klasma.github.io/Logging_2303/tillsyn/A 30483-2024 tillsynsbegäran.docx", "A 30483-2024")</f>
        <v/>
      </c>
      <c r="Y112">
        <f>HYPERLINK("https://klasma.github.io/Logging_2303/tillsynsmail/A 30483-2024 tillsynsbegäran mail.docx", "A 30483-2024")</f>
        <v/>
      </c>
      <c r="Z112">
        <f>HYPERLINK("https://klasma.github.io/Logging_2303/fåglar/A 30483-2024 prioriterade fågelarter.docx", "A 30483-2024")</f>
        <v/>
      </c>
    </row>
    <row r="113" ht="15" customHeight="1">
      <c r="A113" t="inlineStr">
        <is>
          <t>A 23931-2024</t>
        </is>
      </c>
      <c r="B113" s="1" t="n">
        <v>45455.96195601852</v>
      </c>
      <c r="C113" s="1" t="n">
        <v>45981</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52168-2025</t>
        </is>
      </c>
      <c r="B114" s="1" t="n">
        <v>45953.365625</v>
      </c>
      <c r="C114" s="1" t="n">
        <v>45981</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26082-2025</t>
        </is>
      </c>
      <c r="B115" s="1" t="n">
        <v>45805.34415509259</v>
      </c>
      <c r="C115" s="1" t="n">
        <v>45981</v>
      </c>
      <c r="D115" t="inlineStr">
        <is>
          <t>JÄMTLANDS LÄN</t>
        </is>
      </c>
      <c r="E115" t="inlineStr">
        <is>
          <t>RAGUNDA</t>
        </is>
      </c>
      <c r="F115" t="inlineStr">
        <is>
          <t>SCA</t>
        </is>
      </c>
      <c r="G115" t="n">
        <v>5</v>
      </c>
      <c r="H115" t="n">
        <v>1</v>
      </c>
      <c r="I115" t="n">
        <v>0</v>
      </c>
      <c r="J115" t="n">
        <v>3</v>
      </c>
      <c r="K115" t="n">
        <v>1</v>
      </c>
      <c r="L115" t="n">
        <v>0</v>
      </c>
      <c r="M115" t="n">
        <v>0</v>
      </c>
      <c r="N115" t="n">
        <v>0</v>
      </c>
      <c r="O115" t="n">
        <v>4</v>
      </c>
      <c r="P115" t="n">
        <v>1</v>
      </c>
      <c r="Q115" t="n">
        <v>4</v>
      </c>
      <c r="R115" s="2" t="inlineStr">
        <is>
          <t>Knärot
Gammelgransskål
Lunglav
Vitgrynig nållav</t>
        </is>
      </c>
      <c r="S115">
        <f>HYPERLINK("https://klasma.github.io/Logging_2303/artfynd/A 26082-2025 artfynd.xlsx", "A 26082-2025")</f>
        <v/>
      </c>
      <c r="T115">
        <f>HYPERLINK("https://klasma.github.io/Logging_2303/kartor/A 26082-2025 karta.png", "A 26082-2025")</f>
        <v/>
      </c>
      <c r="U115">
        <f>HYPERLINK("https://klasma.github.io/Logging_2303/knärot/A 26082-2025 karta knärot.png", "A 26082-2025")</f>
        <v/>
      </c>
      <c r="V115">
        <f>HYPERLINK("https://klasma.github.io/Logging_2303/klagomål/A 26082-2025 FSC-klagomål.docx", "A 26082-2025")</f>
        <v/>
      </c>
      <c r="W115">
        <f>HYPERLINK("https://klasma.github.io/Logging_2303/klagomålsmail/A 26082-2025 FSC-klagomål mail.docx", "A 26082-2025")</f>
        <v/>
      </c>
      <c r="X115">
        <f>HYPERLINK("https://klasma.github.io/Logging_2303/tillsyn/A 26082-2025 tillsynsbegäran.docx", "A 26082-2025")</f>
        <v/>
      </c>
      <c r="Y115">
        <f>HYPERLINK("https://klasma.github.io/Logging_2303/tillsynsmail/A 26082-2025 tillsynsbegäran mail.docx", "A 26082-2025")</f>
        <v/>
      </c>
    </row>
    <row r="116" ht="15" customHeight="1">
      <c r="A116" t="inlineStr">
        <is>
          <t>A 50342-2025</t>
        </is>
      </c>
      <c r="B116" s="1" t="n">
        <v>45944.53186342592</v>
      </c>
      <c r="C116" s="1" t="n">
        <v>45981</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32067-2024</t>
        </is>
      </c>
      <c r="B117" s="1" t="n">
        <v>45510</v>
      </c>
      <c r="C117" s="1" t="n">
        <v>45981</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15836-2024</t>
        </is>
      </c>
      <c r="B118" s="1" t="n">
        <v>45404</v>
      </c>
      <c r="C118" s="1" t="n">
        <v>45981</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19401-2025</t>
        </is>
      </c>
      <c r="B119" s="1" t="n">
        <v>45769.67767361111</v>
      </c>
      <c r="C119" s="1" t="n">
        <v>45981</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45981</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30465-2024</t>
        </is>
      </c>
      <c r="B121" s="1" t="n">
        <v>45491</v>
      </c>
      <c r="C121" s="1" t="n">
        <v>45981</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48052-2022</t>
        </is>
      </c>
      <c r="B122" s="1" t="n">
        <v>44855</v>
      </c>
      <c r="C122" s="1" t="n">
        <v>45981</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58368-2024</t>
        </is>
      </c>
      <c r="B123" s="1" t="n">
        <v>45632.69822916666</v>
      </c>
      <c r="C123" s="1" t="n">
        <v>45981</v>
      </c>
      <c r="D123" t="inlineStr">
        <is>
          <t>JÄMTLANDS LÄN</t>
        </is>
      </c>
      <c r="E123" t="inlineStr">
        <is>
          <t>RAGUNDA</t>
        </is>
      </c>
      <c r="F123" t="inlineStr">
        <is>
          <t>SCA</t>
        </is>
      </c>
      <c r="G123" t="n">
        <v>4.1</v>
      </c>
      <c r="H123" t="n">
        <v>2</v>
      </c>
      <c r="I123" t="n">
        <v>0</v>
      </c>
      <c r="J123" t="n">
        <v>3</v>
      </c>
      <c r="K123" t="n">
        <v>0</v>
      </c>
      <c r="L123" t="n">
        <v>0</v>
      </c>
      <c r="M123" t="n">
        <v>0</v>
      </c>
      <c r="N123" t="n">
        <v>0</v>
      </c>
      <c r="O123" t="n">
        <v>3</v>
      </c>
      <c r="P123" t="n">
        <v>0</v>
      </c>
      <c r="Q123" t="n">
        <v>3</v>
      </c>
      <c r="R123" s="2" t="inlineStr">
        <is>
          <t>Järpe
Lunglav
Tretåig hackspett</t>
        </is>
      </c>
      <c r="S123">
        <f>HYPERLINK("https://klasma.github.io/Logging_2303/artfynd/A 58368-2024 artfynd.xlsx", "A 58368-2024")</f>
        <v/>
      </c>
      <c r="T123">
        <f>HYPERLINK("https://klasma.github.io/Logging_2303/kartor/A 58368-2024 karta.png", "A 58368-2024")</f>
        <v/>
      </c>
      <c r="V123">
        <f>HYPERLINK("https://klasma.github.io/Logging_2303/klagomål/A 58368-2024 FSC-klagomål.docx", "A 58368-2024")</f>
        <v/>
      </c>
      <c r="W123">
        <f>HYPERLINK("https://klasma.github.io/Logging_2303/klagomålsmail/A 58368-2024 FSC-klagomål mail.docx", "A 58368-2024")</f>
        <v/>
      </c>
      <c r="X123">
        <f>HYPERLINK("https://klasma.github.io/Logging_2303/tillsyn/A 58368-2024 tillsynsbegäran.docx", "A 58368-2024")</f>
        <v/>
      </c>
      <c r="Y123">
        <f>HYPERLINK("https://klasma.github.io/Logging_2303/tillsynsmail/A 58368-2024 tillsynsbegäran mail.docx", "A 58368-2024")</f>
        <v/>
      </c>
      <c r="Z123">
        <f>HYPERLINK("https://klasma.github.io/Logging_2303/fåglar/A 58368-2024 prioriterade fågelarter.docx", "A 58368-2024")</f>
        <v/>
      </c>
    </row>
    <row r="124" ht="15" customHeight="1">
      <c r="A124" t="inlineStr">
        <is>
          <t>A 31727-2021</t>
        </is>
      </c>
      <c r="B124" s="1" t="n">
        <v>44369.92025462963</v>
      </c>
      <c r="C124" s="1" t="n">
        <v>45981</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18616-2024</t>
        </is>
      </c>
      <c r="B125" s="1" t="n">
        <v>45425.96285879629</v>
      </c>
      <c r="C125" s="1" t="n">
        <v>45981</v>
      </c>
      <c r="D125" t="inlineStr">
        <is>
          <t>JÄMTLANDS LÄN</t>
        </is>
      </c>
      <c r="E125" t="inlineStr">
        <is>
          <t>RAGUNDA</t>
        </is>
      </c>
      <c r="F125" t="inlineStr">
        <is>
          <t>SCA</t>
        </is>
      </c>
      <c r="G125" t="n">
        <v>3.4</v>
      </c>
      <c r="H125" t="n">
        <v>0</v>
      </c>
      <c r="I125" t="n">
        <v>0</v>
      </c>
      <c r="J125" t="n">
        <v>3</v>
      </c>
      <c r="K125" t="n">
        <v>0</v>
      </c>
      <c r="L125" t="n">
        <v>0</v>
      </c>
      <c r="M125" t="n">
        <v>0</v>
      </c>
      <c r="N125" t="n">
        <v>0</v>
      </c>
      <c r="O125" t="n">
        <v>3</v>
      </c>
      <c r="P125" t="n">
        <v>0</v>
      </c>
      <c r="Q125" t="n">
        <v>3</v>
      </c>
      <c r="R125" s="2" t="inlineStr">
        <is>
          <t>Granticka
Orange taggsvamp
Ullticka</t>
        </is>
      </c>
      <c r="S125">
        <f>HYPERLINK("https://klasma.github.io/Logging_2303/artfynd/A 18616-2024 artfynd.xlsx", "A 18616-2024")</f>
        <v/>
      </c>
      <c r="T125">
        <f>HYPERLINK("https://klasma.github.io/Logging_2303/kartor/A 18616-2024 karta.png", "A 18616-2024")</f>
        <v/>
      </c>
      <c r="V125">
        <f>HYPERLINK("https://klasma.github.io/Logging_2303/klagomål/A 18616-2024 FSC-klagomål.docx", "A 18616-2024")</f>
        <v/>
      </c>
      <c r="W125">
        <f>HYPERLINK("https://klasma.github.io/Logging_2303/klagomålsmail/A 18616-2024 FSC-klagomål mail.docx", "A 18616-2024")</f>
        <v/>
      </c>
      <c r="X125">
        <f>HYPERLINK("https://klasma.github.io/Logging_2303/tillsyn/A 18616-2024 tillsynsbegäran.docx", "A 18616-2024")</f>
        <v/>
      </c>
      <c r="Y125">
        <f>HYPERLINK("https://klasma.github.io/Logging_2303/tillsynsmail/A 18616-2024 tillsynsbegäran mail.docx", "A 18616-2024")</f>
        <v/>
      </c>
    </row>
    <row r="126" ht="15" customHeight="1">
      <c r="A126" t="inlineStr">
        <is>
          <t>A 21248-2025</t>
        </is>
      </c>
      <c r="B126" s="1" t="n">
        <v>45779.57392361111</v>
      </c>
      <c r="C126" s="1" t="n">
        <v>45981</v>
      </c>
      <c r="D126" t="inlineStr">
        <is>
          <t>JÄMTLANDS LÄN</t>
        </is>
      </c>
      <c r="E126" t="inlineStr">
        <is>
          <t>RAGUNDA</t>
        </is>
      </c>
      <c r="F126" t="inlineStr">
        <is>
          <t>SCA</t>
        </is>
      </c>
      <c r="G126" t="n">
        <v>2.9</v>
      </c>
      <c r="H126" t="n">
        <v>1</v>
      </c>
      <c r="I126" t="n">
        <v>1</v>
      </c>
      <c r="J126" t="n">
        <v>2</v>
      </c>
      <c r="K126" t="n">
        <v>0</v>
      </c>
      <c r="L126" t="n">
        <v>0</v>
      </c>
      <c r="M126" t="n">
        <v>0</v>
      </c>
      <c r="N126" t="n">
        <v>0</v>
      </c>
      <c r="O126" t="n">
        <v>2</v>
      </c>
      <c r="P126" t="n">
        <v>0</v>
      </c>
      <c r="Q126" t="n">
        <v>3</v>
      </c>
      <c r="R126" s="2" t="inlineStr">
        <is>
          <t>Garnlav
Tretåig hackspett
Vedticka</t>
        </is>
      </c>
      <c r="S126">
        <f>HYPERLINK("https://klasma.github.io/Logging_2303/artfynd/A 21248-2025 artfynd.xlsx", "A 21248-2025")</f>
        <v/>
      </c>
      <c r="T126">
        <f>HYPERLINK("https://klasma.github.io/Logging_2303/kartor/A 21248-2025 karta.png", "A 21248-2025")</f>
        <v/>
      </c>
      <c r="V126">
        <f>HYPERLINK("https://klasma.github.io/Logging_2303/klagomål/A 21248-2025 FSC-klagomål.docx", "A 21248-2025")</f>
        <v/>
      </c>
      <c r="W126">
        <f>HYPERLINK("https://klasma.github.io/Logging_2303/klagomålsmail/A 21248-2025 FSC-klagomål mail.docx", "A 21248-2025")</f>
        <v/>
      </c>
      <c r="X126">
        <f>HYPERLINK("https://klasma.github.io/Logging_2303/tillsyn/A 21248-2025 tillsynsbegäran.docx", "A 21248-2025")</f>
        <v/>
      </c>
      <c r="Y126">
        <f>HYPERLINK("https://klasma.github.io/Logging_2303/tillsynsmail/A 21248-2025 tillsynsbegäran mail.docx", "A 21248-2025")</f>
        <v/>
      </c>
      <c r="Z126">
        <f>HYPERLINK("https://klasma.github.io/Logging_2303/fåglar/A 21248-2025 prioriterade fågelarter.docx", "A 21248-2025")</f>
        <v/>
      </c>
    </row>
    <row r="127" ht="15" customHeight="1">
      <c r="A127" t="inlineStr">
        <is>
          <t>A 52345-2024</t>
        </is>
      </c>
      <c r="B127" s="1" t="n">
        <v>45609.34412037037</v>
      </c>
      <c r="C127" s="1" t="n">
        <v>45981</v>
      </c>
      <c r="D127" t="inlineStr">
        <is>
          <t>JÄMTLANDS LÄN</t>
        </is>
      </c>
      <c r="E127" t="inlineStr">
        <is>
          <t>RAGUNDA</t>
        </is>
      </c>
      <c r="F127" t="inlineStr">
        <is>
          <t>SCA</t>
        </is>
      </c>
      <c r="G127" t="n">
        <v>10.3</v>
      </c>
      <c r="H127" t="n">
        <v>1</v>
      </c>
      <c r="I127" t="n">
        <v>0</v>
      </c>
      <c r="J127" t="n">
        <v>2</v>
      </c>
      <c r="K127" t="n">
        <v>0</v>
      </c>
      <c r="L127" t="n">
        <v>0</v>
      </c>
      <c r="M127" t="n">
        <v>0</v>
      </c>
      <c r="N127" t="n">
        <v>0</v>
      </c>
      <c r="O127" t="n">
        <v>2</v>
      </c>
      <c r="P127" t="n">
        <v>0</v>
      </c>
      <c r="Q127" t="n">
        <v>3</v>
      </c>
      <c r="R127" s="2" t="inlineStr">
        <is>
          <t>Doftskinn
Koralltaggsvamp
Blåsippa</t>
        </is>
      </c>
      <c r="S127">
        <f>HYPERLINK("https://klasma.github.io/Logging_2303/artfynd/A 52345-2024 artfynd.xlsx", "A 52345-2024")</f>
        <v/>
      </c>
      <c r="T127">
        <f>HYPERLINK("https://klasma.github.io/Logging_2303/kartor/A 52345-2024 karta.png", "A 52345-2024")</f>
        <v/>
      </c>
      <c r="V127">
        <f>HYPERLINK("https://klasma.github.io/Logging_2303/klagomål/A 52345-2024 FSC-klagomål.docx", "A 52345-2024")</f>
        <v/>
      </c>
      <c r="W127">
        <f>HYPERLINK("https://klasma.github.io/Logging_2303/klagomålsmail/A 52345-2024 FSC-klagomål mail.docx", "A 52345-2024")</f>
        <v/>
      </c>
      <c r="X127">
        <f>HYPERLINK("https://klasma.github.io/Logging_2303/tillsyn/A 52345-2024 tillsynsbegäran.docx", "A 52345-2024")</f>
        <v/>
      </c>
      <c r="Y127">
        <f>HYPERLINK("https://klasma.github.io/Logging_2303/tillsynsmail/A 52345-2024 tillsynsbegäran mail.docx", "A 52345-2024")</f>
        <v/>
      </c>
    </row>
    <row r="128" ht="15" customHeight="1">
      <c r="A128" t="inlineStr">
        <is>
          <t>A 61790-2023</t>
        </is>
      </c>
      <c r="B128" s="1" t="n">
        <v>45265</v>
      </c>
      <c r="C128" s="1" t="n">
        <v>45981</v>
      </c>
      <c r="D128" t="inlineStr">
        <is>
          <t>JÄMTLANDS LÄN</t>
        </is>
      </c>
      <c r="E128" t="inlineStr">
        <is>
          <t>RAGUNDA</t>
        </is>
      </c>
      <c r="F128" t="inlineStr">
        <is>
          <t>SCA</t>
        </is>
      </c>
      <c r="G128" t="n">
        <v>6.1</v>
      </c>
      <c r="H128" t="n">
        <v>0</v>
      </c>
      <c r="I128" t="n">
        <v>0</v>
      </c>
      <c r="J128" t="n">
        <v>3</v>
      </c>
      <c r="K128" t="n">
        <v>0</v>
      </c>
      <c r="L128" t="n">
        <v>0</v>
      </c>
      <c r="M128" t="n">
        <v>0</v>
      </c>
      <c r="N128" t="n">
        <v>0</v>
      </c>
      <c r="O128" t="n">
        <v>3</v>
      </c>
      <c r="P128" t="n">
        <v>0</v>
      </c>
      <c r="Q128" t="n">
        <v>3</v>
      </c>
      <c r="R128" s="2" t="inlineStr">
        <is>
          <t>Gammelgransskål
Lunglav
Skrovellav</t>
        </is>
      </c>
      <c r="S128">
        <f>HYPERLINK("https://klasma.github.io/Logging_2303/artfynd/A 61790-2023 artfynd.xlsx", "A 61790-2023")</f>
        <v/>
      </c>
      <c r="T128">
        <f>HYPERLINK("https://klasma.github.io/Logging_2303/kartor/A 61790-2023 karta.png", "A 61790-2023")</f>
        <v/>
      </c>
      <c r="V128">
        <f>HYPERLINK("https://klasma.github.io/Logging_2303/klagomål/A 61790-2023 FSC-klagomål.docx", "A 61790-2023")</f>
        <v/>
      </c>
      <c r="W128">
        <f>HYPERLINK("https://klasma.github.io/Logging_2303/klagomålsmail/A 61790-2023 FSC-klagomål mail.docx", "A 61790-2023")</f>
        <v/>
      </c>
      <c r="X128">
        <f>HYPERLINK("https://klasma.github.io/Logging_2303/tillsyn/A 61790-2023 tillsynsbegäran.docx", "A 61790-2023")</f>
        <v/>
      </c>
      <c r="Y128">
        <f>HYPERLINK("https://klasma.github.io/Logging_2303/tillsynsmail/A 61790-2023 tillsynsbegäran mail.docx", "A 61790-2023")</f>
        <v/>
      </c>
    </row>
    <row r="129" ht="15" customHeight="1">
      <c r="A129" t="inlineStr">
        <is>
          <t>A 57941-2024</t>
        </is>
      </c>
      <c r="B129" s="1" t="n">
        <v>45631</v>
      </c>
      <c r="C129" s="1" t="n">
        <v>45981</v>
      </c>
      <c r="D129" t="inlineStr">
        <is>
          <t>JÄMTLANDS LÄN</t>
        </is>
      </c>
      <c r="E129" t="inlineStr">
        <is>
          <t>RAGUNDA</t>
        </is>
      </c>
      <c r="F129" t="inlineStr">
        <is>
          <t>SCA</t>
        </is>
      </c>
      <c r="G129" t="n">
        <v>4.2</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57941-2024 artfynd.xlsx", "A 57941-2024")</f>
        <v/>
      </c>
      <c r="T129">
        <f>HYPERLINK("https://klasma.github.io/Logging_2303/kartor/A 57941-2024 karta.png", "A 57941-2024")</f>
        <v/>
      </c>
      <c r="V129">
        <f>HYPERLINK("https://klasma.github.io/Logging_2303/klagomål/A 57941-2024 FSC-klagomål.docx", "A 57941-2024")</f>
        <v/>
      </c>
      <c r="W129">
        <f>HYPERLINK("https://klasma.github.io/Logging_2303/klagomålsmail/A 57941-2024 FSC-klagomål mail.docx", "A 57941-2024")</f>
        <v/>
      </c>
      <c r="X129">
        <f>HYPERLINK("https://klasma.github.io/Logging_2303/tillsyn/A 57941-2024 tillsynsbegäran.docx", "A 57941-2024")</f>
        <v/>
      </c>
      <c r="Y129">
        <f>HYPERLINK("https://klasma.github.io/Logging_2303/tillsynsmail/A 57941-2024 tillsynsbegäran mail.docx", "A 57941-2024")</f>
        <v/>
      </c>
      <c r="Z129">
        <f>HYPERLINK("https://klasma.github.io/Logging_2303/fåglar/A 57941-2024 prioriterade fågelarter.docx", "A 57941-2024")</f>
        <v/>
      </c>
    </row>
    <row r="130" ht="15" customHeight="1">
      <c r="A130" t="inlineStr">
        <is>
          <t>A 53022-2022</t>
        </is>
      </c>
      <c r="B130" s="1" t="n">
        <v>44875</v>
      </c>
      <c r="C130" s="1" t="n">
        <v>45981</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30470-2024</t>
        </is>
      </c>
      <c r="B131" s="1" t="n">
        <v>45491.94715277778</v>
      </c>
      <c r="C131" s="1" t="n">
        <v>45981</v>
      </c>
      <c r="D131" t="inlineStr">
        <is>
          <t>JÄMTLANDS LÄN</t>
        </is>
      </c>
      <c r="E131" t="inlineStr">
        <is>
          <t>RAGUNDA</t>
        </is>
      </c>
      <c r="F131" t="inlineStr">
        <is>
          <t>SCA</t>
        </is>
      </c>
      <c r="G131" t="n">
        <v>1.4</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HYPERLINK("https://klasma.github.io/Logging_2303/artfynd/A 30470-2024 artfynd.xlsx", "A 30470-2024")</f>
        <v/>
      </c>
      <c r="T131">
        <f>HYPERLINK("https://klasma.github.io/Logging_2303/kartor/A 30470-2024 karta.png", "A 30470-2024")</f>
        <v/>
      </c>
      <c r="U131">
        <f>HYPERLINK("https://klasma.github.io/Logging_2303/knärot/A 30470-2024 karta knärot.png", "A 30470-2024")</f>
        <v/>
      </c>
      <c r="V131">
        <f>HYPERLINK("https://klasma.github.io/Logging_2303/klagomål/A 30470-2024 FSC-klagomål.docx", "A 30470-2024")</f>
        <v/>
      </c>
      <c r="W131">
        <f>HYPERLINK("https://klasma.github.io/Logging_2303/klagomålsmail/A 30470-2024 FSC-klagomål mail.docx", "A 30470-2024")</f>
        <v/>
      </c>
      <c r="X131">
        <f>HYPERLINK("https://klasma.github.io/Logging_2303/tillsyn/A 30470-2024 tillsynsbegäran.docx", "A 30470-2024")</f>
        <v/>
      </c>
      <c r="Y131">
        <f>HYPERLINK("https://klasma.github.io/Logging_2303/tillsynsmail/A 30470-2024 tillsynsbegäran mail.docx", "A 30470-2024")</f>
        <v/>
      </c>
      <c r="Z131">
        <f>HYPERLINK("https://klasma.github.io/Logging_2303/fåglar/A 30470-2024 prioriterade fågelarter.docx", "A 30470-2024")</f>
        <v/>
      </c>
    </row>
    <row r="132" ht="15" customHeight="1">
      <c r="A132" t="inlineStr">
        <is>
          <t>A 48054-2022</t>
        </is>
      </c>
      <c r="B132" s="1" t="n">
        <v>44855</v>
      </c>
      <c r="C132" s="1" t="n">
        <v>45981</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58737-2022</t>
        </is>
      </c>
      <c r="B133" s="1" t="n">
        <v>44902</v>
      </c>
      <c r="C133" s="1" t="n">
        <v>45981</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20776-2024</t>
        </is>
      </c>
      <c r="B134" s="1" t="n">
        <v>45436.94686342592</v>
      </c>
      <c r="C134" s="1" t="n">
        <v>45981</v>
      </c>
      <c r="D134" t="inlineStr">
        <is>
          <t>JÄMTLANDS LÄN</t>
        </is>
      </c>
      <c r="E134" t="inlineStr">
        <is>
          <t>RAGUNDA</t>
        </is>
      </c>
      <c r="F134" t="inlineStr">
        <is>
          <t>SCA</t>
        </is>
      </c>
      <c r="G134" t="n">
        <v>5.2</v>
      </c>
      <c r="H134" t="n">
        <v>0</v>
      </c>
      <c r="I134" t="n">
        <v>0</v>
      </c>
      <c r="J134" t="n">
        <v>2</v>
      </c>
      <c r="K134" t="n">
        <v>1</v>
      </c>
      <c r="L134" t="n">
        <v>0</v>
      </c>
      <c r="M134" t="n">
        <v>0</v>
      </c>
      <c r="N134" t="n">
        <v>0</v>
      </c>
      <c r="O134" t="n">
        <v>3</v>
      </c>
      <c r="P134" t="n">
        <v>1</v>
      </c>
      <c r="Q134" t="n">
        <v>3</v>
      </c>
      <c r="R134" s="2" t="inlineStr">
        <is>
          <t>Liten hornflikmossa
Garnlav
Vedtrappmossa</t>
        </is>
      </c>
      <c r="S134">
        <f>HYPERLINK("https://klasma.github.io/Logging_2303/artfynd/A 20776-2024 artfynd.xlsx", "A 20776-2024")</f>
        <v/>
      </c>
      <c r="T134">
        <f>HYPERLINK("https://klasma.github.io/Logging_2303/kartor/A 20776-2024 karta.png", "A 20776-2024")</f>
        <v/>
      </c>
      <c r="V134">
        <f>HYPERLINK("https://klasma.github.io/Logging_2303/klagomål/A 20776-2024 FSC-klagomål.docx", "A 20776-2024")</f>
        <v/>
      </c>
      <c r="W134">
        <f>HYPERLINK("https://klasma.github.io/Logging_2303/klagomålsmail/A 20776-2024 FSC-klagomål mail.docx", "A 20776-2024")</f>
        <v/>
      </c>
      <c r="X134">
        <f>HYPERLINK("https://klasma.github.io/Logging_2303/tillsyn/A 20776-2024 tillsynsbegäran.docx", "A 20776-2024")</f>
        <v/>
      </c>
      <c r="Y134">
        <f>HYPERLINK("https://klasma.github.io/Logging_2303/tillsynsmail/A 20776-2024 tillsynsbegäran mail.docx", "A 20776-2024")</f>
        <v/>
      </c>
    </row>
    <row r="135" ht="15" customHeight="1">
      <c r="A135" t="inlineStr">
        <is>
          <t>A 25769-2025</t>
        </is>
      </c>
      <c r="B135" s="1" t="n">
        <v>45804.34474537037</v>
      </c>
      <c r="C135" s="1" t="n">
        <v>45981</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36504-2023</t>
        </is>
      </c>
      <c r="B136" s="1" t="n">
        <v>45152</v>
      </c>
      <c r="C136" s="1" t="n">
        <v>45981</v>
      </c>
      <c r="D136" t="inlineStr">
        <is>
          <t>JÄMTLANDS LÄN</t>
        </is>
      </c>
      <c r="E136" t="inlineStr">
        <is>
          <t>RAGUNDA</t>
        </is>
      </c>
      <c r="F136" t="inlineStr">
        <is>
          <t>SCA</t>
        </is>
      </c>
      <c r="G136" t="n">
        <v>2</v>
      </c>
      <c r="H136" t="n">
        <v>0</v>
      </c>
      <c r="I136" t="n">
        <v>0</v>
      </c>
      <c r="J136" t="n">
        <v>3</v>
      </c>
      <c r="K136" t="n">
        <v>0</v>
      </c>
      <c r="L136" t="n">
        <v>0</v>
      </c>
      <c r="M136" t="n">
        <v>0</v>
      </c>
      <c r="N136" t="n">
        <v>0</v>
      </c>
      <c r="O136" t="n">
        <v>3</v>
      </c>
      <c r="P136" t="n">
        <v>0</v>
      </c>
      <c r="Q136" t="n">
        <v>3</v>
      </c>
      <c r="R136" s="2" t="inlineStr">
        <is>
          <t>Gammelgransskål
Garnlav
Granticka</t>
        </is>
      </c>
      <c r="S136">
        <f>HYPERLINK("https://klasma.github.io/Logging_2303/artfynd/A 36504-2023 artfynd.xlsx", "A 36504-2023")</f>
        <v/>
      </c>
      <c r="T136">
        <f>HYPERLINK("https://klasma.github.io/Logging_2303/kartor/A 36504-2023 karta.png", "A 36504-2023")</f>
        <v/>
      </c>
      <c r="V136">
        <f>HYPERLINK("https://klasma.github.io/Logging_2303/klagomål/A 36504-2023 FSC-klagomål.docx", "A 36504-2023")</f>
        <v/>
      </c>
      <c r="W136">
        <f>HYPERLINK("https://klasma.github.io/Logging_2303/klagomålsmail/A 36504-2023 FSC-klagomål mail.docx", "A 36504-2023")</f>
        <v/>
      </c>
      <c r="X136">
        <f>HYPERLINK("https://klasma.github.io/Logging_2303/tillsyn/A 36504-2023 tillsynsbegäran.docx", "A 36504-2023")</f>
        <v/>
      </c>
      <c r="Y136">
        <f>HYPERLINK("https://klasma.github.io/Logging_2303/tillsynsmail/A 36504-2023 tillsynsbegäran mail.docx", "A 36504-2023")</f>
        <v/>
      </c>
    </row>
    <row r="137" ht="15" customHeight="1">
      <c r="A137" t="inlineStr">
        <is>
          <t>A 28178-2023</t>
        </is>
      </c>
      <c r="B137" s="1" t="n">
        <v>45093</v>
      </c>
      <c r="C137" s="1" t="n">
        <v>45981</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49047-2023</t>
        </is>
      </c>
      <c r="B138" s="1" t="n">
        <v>45209</v>
      </c>
      <c r="C138" s="1" t="n">
        <v>45981</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16305-2025</t>
        </is>
      </c>
      <c r="B139" s="1" t="n">
        <v>45751.34650462963</v>
      </c>
      <c r="C139" s="1" t="n">
        <v>45981</v>
      </c>
      <c r="D139" t="inlineStr">
        <is>
          <t>JÄMTLANDS LÄN</t>
        </is>
      </c>
      <c r="E139" t="inlineStr">
        <is>
          <t>RAGUNDA</t>
        </is>
      </c>
      <c r="F139" t="inlineStr">
        <is>
          <t>SCA</t>
        </is>
      </c>
      <c r="G139" t="n">
        <v>2.5</v>
      </c>
      <c r="H139" t="n">
        <v>0</v>
      </c>
      <c r="I139" t="n">
        <v>2</v>
      </c>
      <c r="J139" t="n">
        <v>1</v>
      </c>
      <c r="K139" t="n">
        <v>0</v>
      </c>
      <c r="L139" t="n">
        <v>0</v>
      </c>
      <c r="M139" t="n">
        <v>0</v>
      </c>
      <c r="N139" t="n">
        <v>0</v>
      </c>
      <c r="O139" t="n">
        <v>1</v>
      </c>
      <c r="P139" t="n">
        <v>0</v>
      </c>
      <c r="Q139" t="n">
        <v>3</v>
      </c>
      <c r="R139" s="2" t="inlineStr">
        <is>
          <t>Lunglav
Bollvitmossa
Källmossa</t>
        </is>
      </c>
      <c r="S139">
        <f>HYPERLINK("https://klasma.github.io/Logging_2303/artfynd/A 16305-2025 artfynd.xlsx", "A 16305-2025")</f>
        <v/>
      </c>
      <c r="T139">
        <f>HYPERLINK("https://klasma.github.io/Logging_2303/kartor/A 16305-2025 karta.png", "A 16305-2025")</f>
        <v/>
      </c>
      <c r="V139">
        <f>HYPERLINK("https://klasma.github.io/Logging_2303/klagomål/A 16305-2025 FSC-klagomål.docx", "A 16305-2025")</f>
        <v/>
      </c>
      <c r="W139">
        <f>HYPERLINK("https://klasma.github.io/Logging_2303/klagomålsmail/A 16305-2025 FSC-klagomål mail.docx", "A 16305-2025")</f>
        <v/>
      </c>
      <c r="X139">
        <f>HYPERLINK("https://klasma.github.io/Logging_2303/tillsyn/A 16305-2025 tillsynsbegäran.docx", "A 16305-2025")</f>
        <v/>
      </c>
      <c r="Y139">
        <f>HYPERLINK("https://klasma.github.io/Logging_2303/tillsynsmail/A 16305-2025 tillsynsbegäran mail.docx", "A 16305-2025")</f>
        <v/>
      </c>
    </row>
    <row r="140" ht="15" customHeight="1">
      <c r="A140" t="inlineStr">
        <is>
          <t>A 22730-2023</t>
        </is>
      </c>
      <c r="B140" s="1" t="n">
        <v>45071</v>
      </c>
      <c r="C140" s="1" t="n">
        <v>45981</v>
      </c>
      <c r="D140" t="inlineStr">
        <is>
          <t>JÄMTLANDS LÄN</t>
        </is>
      </c>
      <c r="E140" t="inlineStr">
        <is>
          <t>RAGUNDA</t>
        </is>
      </c>
      <c r="G140" t="n">
        <v>3.6</v>
      </c>
      <c r="H140" t="n">
        <v>0</v>
      </c>
      <c r="I140" t="n">
        <v>0</v>
      </c>
      <c r="J140" t="n">
        <v>3</v>
      </c>
      <c r="K140" t="n">
        <v>0</v>
      </c>
      <c r="L140" t="n">
        <v>0</v>
      </c>
      <c r="M140" t="n">
        <v>0</v>
      </c>
      <c r="N140" t="n">
        <v>0</v>
      </c>
      <c r="O140" t="n">
        <v>3</v>
      </c>
      <c r="P140" t="n">
        <v>0</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14814-2024</t>
        </is>
      </c>
      <c r="B141" s="1" t="n">
        <v>45397.95748842593</v>
      </c>
      <c r="C141" s="1" t="n">
        <v>45981</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45981</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22571-2025</t>
        </is>
      </c>
      <c r="B143" s="1" t="n">
        <v>45789.36503472222</v>
      </c>
      <c r="C143" s="1" t="n">
        <v>45981</v>
      </c>
      <c r="D143" t="inlineStr">
        <is>
          <t>JÄMTLANDS LÄN</t>
        </is>
      </c>
      <c r="E143" t="inlineStr">
        <is>
          <t>RAGUNDA</t>
        </is>
      </c>
      <c r="F143" t="inlineStr">
        <is>
          <t>SCA</t>
        </is>
      </c>
      <c r="G143" t="n">
        <v>18.2</v>
      </c>
      <c r="H143" t="n">
        <v>2</v>
      </c>
      <c r="I143" t="n">
        <v>0</v>
      </c>
      <c r="J143" t="n">
        <v>2</v>
      </c>
      <c r="K143" t="n">
        <v>0</v>
      </c>
      <c r="L143" t="n">
        <v>0</v>
      </c>
      <c r="M143" t="n">
        <v>0</v>
      </c>
      <c r="N143" t="n">
        <v>0</v>
      </c>
      <c r="O143" t="n">
        <v>2</v>
      </c>
      <c r="P143" t="n">
        <v>0</v>
      </c>
      <c r="Q143" t="n">
        <v>3</v>
      </c>
      <c r="R143" s="2" t="inlineStr">
        <is>
          <t>Garnlav
Tretåig hackspett
Nattviol</t>
        </is>
      </c>
      <c r="S143">
        <f>HYPERLINK("https://klasma.github.io/Logging_2303/artfynd/A 22571-2025 artfynd.xlsx", "A 22571-2025")</f>
        <v/>
      </c>
      <c r="T143">
        <f>HYPERLINK("https://klasma.github.io/Logging_2303/kartor/A 22571-2025 karta.png", "A 22571-2025")</f>
        <v/>
      </c>
      <c r="V143">
        <f>HYPERLINK("https://klasma.github.io/Logging_2303/klagomål/A 22571-2025 FSC-klagomål.docx", "A 22571-2025")</f>
        <v/>
      </c>
      <c r="W143">
        <f>HYPERLINK("https://klasma.github.io/Logging_2303/klagomålsmail/A 22571-2025 FSC-klagomål mail.docx", "A 22571-2025")</f>
        <v/>
      </c>
      <c r="X143">
        <f>HYPERLINK("https://klasma.github.io/Logging_2303/tillsyn/A 22571-2025 tillsynsbegäran.docx", "A 22571-2025")</f>
        <v/>
      </c>
      <c r="Y143">
        <f>HYPERLINK("https://klasma.github.io/Logging_2303/tillsynsmail/A 22571-2025 tillsynsbegäran mail.docx", "A 22571-2025")</f>
        <v/>
      </c>
      <c r="Z143">
        <f>HYPERLINK("https://klasma.github.io/Logging_2303/fåglar/A 22571-2025 prioriterade fågelarter.docx", "A 22571-2025")</f>
        <v/>
      </c>
    </row>
    <row r="144" ht="15" customHeight="1">
      <c r="A144" t="inlineStr">
        <is>
          <t>A 7519-2023</t>
        </is>
      </c>
      <c r="B144" s="1" t="n">
        <v>44971</v>
      </c>
      <c r="C144" s="1" t="n">
        <v>45981</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12737-2025</t>
        </is>
      </c>
      <c r="B145" s="1" t="n">
        <v>45733</v>
      </c>
      <c r="C145" s="1" t="n">
        <v>45981</v>
      </c>
      <c r="D145" t="inlineStr">
        <is>
          <t>JÄMTLANDS LÄN</t>
        </is>
      </c>
      <c r="E145" t="inlineStr">
        <is>
          <t>RAGUNDA</t>
        </is>
      </c>
      <c r="G145" t="n">
        <v>16.1</v>
      </c>
      <c r="H145" t="n">
        <v>2</v>
      </c>
      <c r="I145" t="n">
        <v>2</v>
      </c>
      <c r="J145" t="n">
        <v>0</v>
      </c>
      <c r="K145" t="n">
        <v>1</v>
      </c>
      <c r="L145" t="n">
        <v>0</v>
      </c>
      <c r="M145" t="n">
        <v>0</v>
      </c>
      <c r="N145" t="n">
        <v>0</v>
      </c>
      <c r="O145" t="n">
        <v>1</v>
      </c>
      <c r="P145" t="n">
        <v>1</v>
      </c>
      <c r="Q145" t="n">
        <v>3</v>
      </c>
      <c r="R145" s="2" t="inlineStr">
        <is>
          <t>Knärot
Plattlummer
Skarp dropptaggsvamp</t>
        </is>
      </c>
      <c r="S145">
        <f>HYPERLINK("https://klasma.github.io/Logging_2303/artfynd/A 12737-2025 artfynd.xlsx", "A 12737-2025")</f>
        <v/>
      </c>
      <c r="T145">
        <f>HYPERLINK("https://klasma.github.io/Logging_2303/kartor/A 12737-2025 karta.png", "A 12737-2025")</f>
        <v/>
      </c>
      <c r="U145">
        <f>HYPERLINK("https://klasma.github.io/Logging_2303/knärot/A 12737-2025 karta knärot.png", "A 12737-2025")</f>
        <v/>
      </c>
      <c r="V145">
        <f>HYPERLINK("https://klasma.github.io/Logging_2303/klagomål/A 12737-2025 FSC-klagomål.docx", "A 12737-2025")</f>
        <v/>
      </c>
      <c r="W145">
        <f>HYPERLINK("https://klasma.github.io/Logging_2303/klagomålsmail/A 12737-2025 FSC-klagomål mail.docx", "A 12737-2025")</f>
        <v/>
      </c>
      <c r="X145">
        <f>HYPERLINK("https://klasma.github.io/Logging_2303/tillsyn/A 12737-2025 tillsynsbegäran.docx", "A 12737-2025")</f>
        <v/>
      </c>
      <c r="Y145">
        <f>HYPERLINK("https://klasma.github.io/Logging_2303/tillsynsmail/A 12737-2025 tillsynsbegäran mail.docx", "A 12737-2025")</f>
        <v/>
      </c>
    </row>
    <row r="146" ht="15" customHeight="1">
      <c r="A146" t="inlineStr">
        <is>
          <t>A 5048-2025</t>
        </is>
      </c>
      <c r="B146" s="1" t="n">
        <v>45691.44769675926</v>
      </c>
      <c r="C146" s="1" t="n">
        <v>45981</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34585-2025</t>
        </is>
      </c>
      <c r="B147" s="1" t="n">
        <v>45847.61498842593</v>
      </c>
      <c r="C147" s="1" t="n">
        <v>45981</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32416-2025</t>
        </is>
      </c>
      <c r="B148" s="1" t="n">
        <v>45838</v>
      </c>
      <c r="C148" s="1" t="n">
        <v>45981</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17043-2022</t>
        </is>
      </c>
      <c r="B149" s="1" t="n">
        <v>44676</v>
      </c>
      <c r="C149" s="1" t="n">
        <v>45981</v>
      </c>
      <c r="D149" t="inlineStr">
        <is>
          <t>JÄMTLANDS LÄN</t>
        </is>
      </c>
      <c r="E149" t="inlineStr">
        <is>
          <t>RAGUNDA</t>
        </is>
      </c>
      <c r="F149" t="inlineStr">
        <is>
          <t>SCA</t>
        </is>
      </c>
      <c r="G149" t="n">
        <v>3</v>
      </c>
      <c r="H149" t="n">
        <v>0</v>
      </c>
      <c r="I149" t="n">
        <v>2</v>
      </c>
      <c r="J149" t="n">
        <v>0</v>
      </c>
      <c r="K149" t="n">
        <v>0</v>
      </c>
      <c r="L149" t="n">
        <v>0</v>
      </c>
      <c r="M149" t="n">
        <v>0</v>
      </c>
      <c r="N149" t="n">
        <v>0</v>
      </c>
      <c r="O149" t="n">
        <v>0</v>
      </c>
      <c r="P149" t="n">
        <v>0</v>
      </c>
      <c r="Q149" t="n">
        <v>2</v>
      </c>
      <c r="R149" s="2" t="inlineStr">
        <is>
          <t>Skinnlav
Vedticka</t>
        </is>
      </c>
      <c r="S149">
        <f>HYPERLINK("https://klasma.github.io/Logging_2303/artfynd/A 17043-2022 artfynd.xlsx", "A 17043-2022")</f>
        <v/>
      </c>
      <c r="T149">
        <f>HYPERLINK("https://klasma.github.io/Logging_2303/kartor/A 17043-2022 karta.png", "A 17043-2022")</f>
        <v/>
      </c>
      <c r="V149">
        <f>HYPERLINK("https://klasma.github.io/Logging_2303/klagomål/A 17043-2022 FSC-klagomål.docx", "A 17043-2022")</f>
        <v/>
      </c>
      <c r="W149">
        <f>HYPERLINK("https://klasma.github.io/Logging_2303/klagomålsmail/A 17043-2022 FSC-klagomål mail.docx", "A 17043-2022")</f>
        <v/>
      </c>
      <c r="X149">
        <f>HYPERLINK("https://klasma.github.io/Logging_2303/tillsyn/A 17043-2022 tillsynsbegäran.docx", "A 17043-2022")</f>
        <v/>
      </c>
      <c r="Y149">
        <f>HYPERLINK("https://klasma.github.io/Logging_2303/tillsynsmail/A 17043-2022 tillsynsbegäran mail.docx", "A 17043-2022")</f>
        <v/>
      </c>
    </row>
    <row r="150" ht="15" customHeight="1">
      <c r="A150" t="inlineStr">
        <is>
          <t>A 21037-2021</t>
        </is>
      </c>
      <c r="B150" s="1" t="n">
        <v>44319</v>
      </c>
      <c r="C150" s="1" t="n">
        <v>45981</v>
      </c>
      <c r="D150" t="inlineStr">
        <is>
          <t>JÄMTLANDS LÄN</t>
        </is>
      </c>
      <c r="E150" t="inlineStr">
        <is>
          <t>RAGUNDA</t>
        </is>
      </c>
      <c r="F150" t="inlineStr">
        <is>
          <t>Kyrkan</t>
        </is>
      </c>
      <c r="G150" t="n">
        <v>0.8</v>
      </c>
      <c r="H150" t="n">
        <v>0</v>
      </c>
      <c r="I150" t="n">
        <v>0</v>
      </c>
      <c r="J150" t="n">
        <v>2</v>
      </c>
      <c r="K150" t="n">
        <v>0</v>
      </c>
      <c r="L150" t="n">
        <v>0</v>
      </c>
      <c r="M150" t="n">
        <v>0</v>
      </c>
      <c r="N150" t="n">
        <v>0</v>
      </c>
      <c r="O150" t="n">
        <v>2</v>
      </c>
      <c r="P150" t="n">
        <v>0</v>
      </c>
      <c r="Q150" t="n">
        <v>2</v>
      </c>
      <c r="R150" s="2" t="inlineStr">
        <is>
          <t>Olivbrun gytterlav
Persiljespindling</t>
        </is>
      </c>
      <c r="S150">
        <f>HYPERLINK("https://klasma.github.io/Logging_2303/artfynd/A 21037-2021 artfynd.xlsx", "A 21037-2021")</f>
        <v/>
      </c>
      <c r="T150">
        <f>HYPERLINK("https://klasma.github.io/Logging_2303/kartor/A 21037-2021 karta.png", "A 21037-2021")</f>
        <v/>
      </c>
      <c r="V150">
        <f>HYPERLINK("https://klasma.github.io/Logging_2303/klagomål/A 21037-2021 FSC-klagomål.docx", "A 21037-2021")</f>
        <v/>
      </c>
      <c r="W150">
        <f>HYPERLINK("https://klasma.github.io/Logging_2303/klagomålsmail/A 21037-2021 FSC-klagomål mail.docx", "A 21037-2021")</f>
        <v/>
      </c>
      <c r="X150">
        <f>HYPERLINK("https://klasma.github.io/Logging_2303/tillsyn/A 21037-2021 tillsynsbegäran.docx", "A 21037-2021")</f>
        <v/>
      </c>
      <c r="Y150">
        <f>HYPERLINK("https://klasma.github.io/Logging_2303/tillsynsmail/A 21037-2021 tillsynsbegäran mail.docx", "A 21037-2021")</f>
        <v/>
      </c>
    </row>
    <row r="151" ht="15" customHeight="1">
      <c r="A151" t="inlineStr">
        <is>
          <t>A 48059-2022</t>
        </is>
      </c>
      <c r="B151" s="1" t="n">
        <v>44855</v>
      </c>
      <c r="C151" s="1" t="n">
        <v>45981</v>
      </c>
      <c r="D151" t="inlineStr">
        <is>
          <t>JÄMTLANDS LÄN</t>
        </is>
      </c>
      <c r="E151" t="inlineStr">
        <is>
          <t>RAGUNDA</t>
        </is>
      </c>
      <c r="F151" t="inlineStr">
        <is>
          <t>SCA</t>
        </is>
      </c>
      <c r="G151" t="n">
        <v>3.2</v>
      </c>
      <c r="H151" t="n">
        <v>0</v>
      </c>
      <c r="I151" t="n">
        <v>0</v>
      </c>
      <c r="J151" t="n">
        <v>2</v>
      </c>
      <c r="K151" t="n">
        <v>0</v>
      </c>
      <c r="L151" t="n">
        <v>0</v>
      </c>
      <c r="M151" t="n">
        <v>0</v>
      </c>
      <c r="N151" t="n">
        <v>0</v>
      </c>
      <c r="O151" t="n">
        <v>2</v>
      </c>
      <c r="P151" t="n">
        <v>0</v>
      </c>
      <c r="Q151" t="n">
        <v>2</v>
      </c>
      <c r="R151" s="2" t="inlineStr">
        <is>
          <t>Garnlav
Lunglav</t>
        </is>
      </c>
      <c r="S151">
        <f>HYPERLINK("https://klasma.github.io/Logging_2303/artfynd/A 48059-2022 artfynd.xlsx", "A 48059-2022")</f>
        <v/>
      </c>
      <c r="T151">
        <f>HYPERLINK("https://klasma.github.io/Logging_2303/kartor/A 48059-2022 karta.png", "A 48059-2022")</f>
        <v/>
      </c>
      <c r="V151">
        <f>HYPERLINK("https://klasma.github.io/Logging_2303/klagomål/A 48059-2022 FSC-klagomål.docx", "A 48059-2022")</f>
        <v/>
      </c>
      <c r="W151">
        <f>HYPERLINK("https://klasma.github.io/Logging_2303/klagomålsmail/A 48059-2022 FSC-klagomål mail.docx", "A 48059-2022")</f>
        <v/>
      </c>
      <c r="X151">
        <f>HYPERLINK("https://klasma.github.io/Logging_2303/tillsyn/A 48059-2022 tillsynsbegäran.docx", "A 48059-2022")</f>
        <v/>
      </c>
      <c r="Y151">
        <f>HYPERLINK("https://klasma.github.io/Logging_2303/tillsynsmail/A 48059-2022 tillsynsbegäran mail.docx", "A 48059-2022")</f>
        <v/>
      </c>
    </row>
    <row r="152" ht="15" customHeight="1">
      <c r="A152" t="inlineStr">
        <is>
          <t>A 44409-2023</t>
        </is>
      </c>
      <c r="B152" s="1" t="n">
        <v>45188</v>
      </c>
      <c r="C152" s="1" t="n">
        <v>45981</v>
      </c>
      <c r="D152" t="inlineStr">
        <is>
          <t>JÄMTLANDS LÄN</t>
        </is>
      </c>
      <c r="E152" t="inlineStr">
        <is>
          <t>RAGUNDA</t>
        </is>
      </c>
      <c r="F152" t="inlineStr">
        <is>
          <t>SCA</t>
        </is>
      </c>
      <c r="G152" t="n">
        <v>2.5</v>
      </c>
      <c r="H152" t="n">
        <v>0</v>
      </c>
      <c r="I152" t="n">
        <v>1</v>
      </c>
      <c r="J152" t="n">
        <v>1</v>
      </c>
      <c r="K152" t="n">
        <v>0</v>
      </c>
      <c r="L152" t="n">
        <v>0</v>
      </c>
      <c r="M152" t="n">
        <v>0</v>
      </c>
      <c r="N152" t="n">
        <v>0</v>
      </c>
      <c r="O152" t="n">
        <v>1</v>
      </c>
      <c r="P152" t="n">
        <v>0</v>
      </c>
      <c r="Q152" t="n">
        <v>2</v>
      </c>
      <c r="R152" s="2" t="inlineStr">
        <is>
          <t>Garnlav
Norrlandslav</t>
        </is>
      </c>
      <c r="S152">
        <f>HYPERLINK("https://klasma.github.io/Logging_2303/artfynd/A 44409-2023 artfynd.xlsx", "A 44409-2023")</f>
        <v/>
      </c>
      <c r="T152">
        <f>HYPERLINK("https://klasma.github.io/Logging_2303/kartor/A 44409-2023 karta.png", "A 44409-2023")</f>
        <v/>
      </c>
      <c r="V152">
        <f>HYPERLINK("https://klasma.github.io/Logging_2303/klagomål/A 44409-2023 FSC-klagomål.docx", "A 44409-2023")</f>
        <v/>
      </c>
      <c r="W152">
        <f>HYPERLINK("https://klasma.github.io/Logging_2303/klagomålsmail/A 44409-2023 FSC-klagomål mail.docx", "A 44409-2023")</f>
        <v/>
      </c>
      <c r="X152">
        <f>HYPERLINK("https://klasma.github.io/Logging_2303/tillsyn/A 44409-2023 tillsynsbegäran.docx", "A 44409-2023")</f>
        <v/>
      </c>
      <c r="Y152">
        <f>HYPERLINK("https://klasma.github.io/Logging_2303/tillsynsmail/A 44409-2023 tillsynsbegäran mail.docx", "A 44409-2023")</f>
        <v/>
      </c>
    </row>
    <row r="153" ht="15" customHeight="1">
      <c r="A153" t="inlineStr">
        <is>
          <t>A 12271-2024</t>
        </is>
      </c>
      <c r="B153" s="1" t="n">
        <v>45378</v>
      </c>
      <c r="C153" s="1" t="n">
        <v>45981</v>
      </c>
      <c r="D153" t="inlineStr">
        <is>
          <t>JÄMTLANDS LÄN</t>
        </is>
      </c>
      <c r="E153" t="inlineStr">
        <is>
          <t>RAGUNDA</t>
        </is>
      </c>
      <c r="F153" t="inlineStr">
        <is>
          <t>Kommuner</t>
        </is>
      </c>
      <c r="G153" t="n">
        <v>6.1</v>
      </c>
      <c r="H153" t="n">
        <v>0</v>
      </c>
      <c r="I153" t="n">
        <v>0</v>
      </c>
      <c r="J153" t="n">
        <v>2</v>
      </c>
      <c r="K153" t="n">
        <v>0</v>
      </c>
      <c r="L153" t="n">
        <v>0</v>
      </c>
      <c r="M153" t="n">
        <v>0</v>
      </c>
      <c r="N153" t="n">
        <v>0</v>
      </c>
      <c r="O153" t="n">
        <v>2</v>
      </c>
      <c r="P153" t="n">
        <v>0</v>
      </c>
      <c r="Q153" t="n">
        <v>2</v>
      </c>
      <c r="R153" s="2" t="inlineStr">
        <is>
          <t>Garnlav
Lunglav</t>
        </is>
      </c>
      <c r="S153">
        <f>HYPERLINK("https://klasma.github.io/Logging_2303/artfynd/A 12271-2024 artfynd.xlsx", "A 12271-2024")</f>
        <v/>
      </c>
      <c r="T153">
        <f>HYPERLINK("https://klasma.github.io/Logging_2303/kartor/A 12271-2024 karta.png", "A 12271-2024")</f>
        <v/>
      </c>
      <c r="V153">
        <f>HYPERLINK("https://klasma.github.io/Logging_2303/klagomål/A 12271-2024 FSC-klagomål.docx", "A 12271-2024")</f>
        <v/>
      </c>
      <c r="W153">
        <f>HYPERLINK("https://klasma.github.io/Logging_2303/klagomålsmail/A 12271-2024 FSC-klagomål mail.docx", "A 12271-2024")</f>
        <v/>
      </c>
      <c r="X153">
        <f>HYPERLINK("https://klasma.github.io/Logging_2303/tillsyn/A 12271-2024 tillsynsbegäran.docx", "A 12271-2024")</f>
        <v/>
      </c>
      <c r="Y153">
        <f>HYPERLINK("https://klasma.github.io/Logging_2303/tillsynsmail/A 12271-2024 tillsynsbegäran mail.docx", "A 12271-2024")</f>
        <v/>
      </c>
    </row>
    <row r="154" ht="15" customHeight="1">
      <c r="A154" t="inlineStr">
        <is>
          <t>A 34715-2024</t>
        </is>
      </c>
      <c r="B154" s="1" t="n">
        <v>45526.56393518519</v>
      </c>
      <c r="C154" s="1" t="n">
        <v>45981</v>
      </c>
      <c r="D154" t="inlineStr">
        <is>
          <t>JÄMTLANDS LÄN</t>
        </is>
      </c>
      <c r="E154" t="inlineStr">
        <is>
          <t>RAGUNDA</t>
        </is>
      </c>
      <c r="F154" t="inlineStr">
        <is>
          <t>SCA</t>
        </is>
      </c>
      <c r="G154" t="n">
        <v>3</v>
      </c>
      <c r="H154" t="n">
        <v>0</v>
      </c>
      <c r="I154" t="n">
        <v>1</v>
      </c>
      <c r="J154" t="n">
        <v>1</v>
      </c>
      <c r="K154" t="n">
        <v>0</v>
      </c>
      <c r="L154" t="n">
        <v>0</v>
      </c>
      <c r="M154" t="n">
        <v>0</v>
      </c>
      <c r="N154" t="n">
        <v>0</v>
      </c>
      <c r="O154" t="n">
        <v>1</v>
      </c>
      <c r="P154" t="n">
        <v>0</v>
      </c>
      <c r="Q154" t="n">
        <v>2</v>
      </c>
      <c r="R154" s="2" t="inlineStr">
        <is>
          <t>Garnlav
Vedticka</t>
        </is>
      </c>
      <c r="S154">
        <f>HYPERLINK("https://klasma.github.io/Logging_2303/artfynd/A 34715-2024 artfynd.xlsx", "A 34715-2024")</f>
        <v/>
      </c>
      <c r="T154">
        <f>HYPERLINK("https://klasma.github.io/Logging_2303/kartor/A 34715-2024 karta.png", "A 34715-2024")</f>
        <v/>
      </c>
      <c r="V154">
        <f>HYPERLINK("https://klasma.github.io/Logging_2303/klagomål/A 34715-2024 FSC-klagomål.docx", "A 34715-2024")</f>
        <v/>
      </c>
      <c r="W154">
        <f>HYPERLINK("https://klasma.github.io/Logging_2303/klagomålsmail/A 34715-2024 FSC-klagomål mail.docx", "A 34715-2024")</f>
        <v/>
      </c>
      <c r="X154">
        <f>HYPERLINK("https://klasma.github.io/Logging_2303/tillsyn/A 34715-2024 tillsynsbegäran.docx", "A 34715-2024")</f>
        <v/>
      </c>
      <c r="Y154">
        <f>HYPERLINK("https://klasma.github.io/Logging_2303/tillsynsmail/A 34715-2024 tillsynsbegäran mail.docx", "A 34715-2024")</f>
        <v/>
      </c>
    </row>
    <row r="155" ht="15" customHeight="1">
      <c r="A155" t="inlineStr">
        <is>
          <t>A 21245-2025</t>
        </is>
      </c>
      <c r="B155" s="1" t="n">
        <v>45779.57350694444</v>
      </c>
      <c r="C155" s="1" t="n">
        <v>45981</v>
      </c>
      <c r="D155" t="inlineStr">
        <is>
          <t>JÄMTLANDS LÄN</t>
        </is>
      </c>
      <c r="E155" t="inlineStr">
        <is>
          <t>RAGUNDA</t>
        </is>
      </c>
      <c r="F155" t="inlineStr">
        <is>
          <t>SCA</t>
        </is>
      </c>
      <c r="G155" t="n">
        <v>3.7</v>
      </c>
      <c r="H155" t="n">
        <v>1</v>
      </c>
      <c r="I155" t="n">
        <v>0</v>
      </c>
      <c r="J155" t="n">
        <v>1</v>
      </c>
      <c r="K155" t="n">
        <v>0</v>
      </c>
      <c r="L155" t="n">
        <v>0</v>
      </c>
      <c r="M155" t="n">
        <v>0</v>
      </c>
      <c r="N155" t="n">
        <v>0</v>
      </c>
      <c r="O155" t="n">
        <v>1</v>
      </c>
      <c r="P155" t="n">
        <v>0</v>
      </c>
      <c r="Q155" t="n">
        <v>2</v>
      </c>
      <c r="R155" s="2" t="inlineStr">
        <is>
          <t>Garnlav
Tjäder</t>
        </is>
      </c>
      <c r="S155">
        <f>HYPERLINK("https://klasma.github.io/Logging_2303/artfynd/A 21245-2025 artfynd.xlsx", "A 21245-2025")</f>
        <v/>
      </c>
      <c r="T155">
        <f>HYPERLINK("https://klasma.github.io/Logging_2303/kartor/A 21245-2025 karta.png", "A 21245-2025")</f>
        <v/>
      </c>
      <c r="V155">
        <f>HYPERLINK("https://klasma.github.io/Logging_2303/klagomål/A 21245-2025 FSC-klagomål.docx", "A 21245-2025")</f>
        <v/>
      </c>
      <c r="W155">
        <f>HYPERLINK("https://klasma.github.io/Logging_2303/klagomålsmail/A 21245-2025 FSC-klagomål mail.docx", "A 21245-2025")</f>
        <v/>
      </c>
      <c r="X155">
        <f>HYPERLINK("https://klasma.github.io/Logging_2303/tillsyn/A 21245-2025 tillsynsbegäran.docx", "A 21245-2025")</f>
        <v/>
      </c>
      <c r="Y155">
        <f>HYPERLINK("https://klasma.github.io/Logging_2303/tillsynsmail/A 21245-2025 tillsynsbegäran mail.docx", "A 21245-2025")</f>
        <v/>
      </c>
      <c r="Z155">
        <f>HYPERLINK("https://klasma.github.io/Logging_2303/fåglar/A 21245-2025 prioriterade fågelarter.docx", "A 21245-2025")</f>
        <v/>
      </c>
    </row>
    <row r="156" ht="15" customHeight="1">
      <c r="A156" t="inlineStr">
        <is>
          <t>A 19384-2025</t>
        </is>
      </c>
      <c r="B156" s="1" t="n">
        <v>45769.65692129629</v>
      </c>
      <c r="C156" s="1" t="n">
        <v>45981</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10866-2025</t>
        </is>
      </c>
      <c r="B157" s="1" t="n">
        <v>45722.61543981481</v>
      </c>
      <c r="C157" s="1" t="n">
        <v>45981</v>
      </c>
      <c r="D157" t="inlineStr">
        <is>
          <t>JÄMTLANDS LÄN</t>
        </is>
      </c>
      <c r="E157" t="inlineStr">
        <is>
          <t>RAGUNDA</t>
        </is>
      </c>
      <c r="F157" t="inlineStr">
        <is>
          <t>SCA</t>
        </is>
      </c>
      <c r="G157" t="n">
        <v>15.9</v>
      </c>
      <c r="H157" t="n">
        <v>0</v>
      </c>
      <c r="I157" t="n">
        <v>1</v>
      </c>
      <c r="J157" t="n">
        <v>1</v>
      </c>
      <c r="K157" t="n">
        <v>0</v>
      </c>
      <c r="L157" t="n">
        <v>0</v>
      </c>
      <c r="M157" t="n">
        <v>0</v>
      </c>
      <c r="N157" t="n">
        <v>0</v>
      </c>
      <c r="O157" t="n">
        <v>1</v>
      </c>
      <c r="P157" t="n">
        <v>0</v>
      </c>
      <c r="Q157" t="n">
        <v>2</v>
      </c>
      <c r="R157" s="2" t="inlineStr">
        <is>
          <t>Garnlav
Norrlandslav</t>
        </is>
      </c>
      <c r="S157">
        <f>HYPERLINK("https://klasma.github.io/Logging_2303/artfynd/A 10866-2025 artfynd.xlsx", "A 10866-2025")</f>
        <v/>
      </c>
      <c r="T157">
        <f>HYPERLINK("https://klasma.github.io/Logging_2303/kartor/A 10866-2025 karta.png", "A 10866-2025")</f>
        <v/>
      </c>
      <c r="V157">
        <f>HYPERLINK("https://klasma.github.io/Logging_2303/klagomål/A 10866-2025 FSC-klagomål.docx", "A 10866-2025")</f>
        <v/>
      </c>
      <c r="W157">
        <f>HYPERLINK("https://klasma.github.io/Logging_2303/klagomålsmail/A 10866-2025 FSC-klagomål mail.docx", "A 10866-2025")</f>
        <v/>
      </c>
      <c r="X157">
        <f>HYPERLINK("https://klasma.github.io/Logging_2303/tillsyn/A 10866-2025 tillsynsbegäran.docx", "A 10866-2025")</f>
        <v/>
      </c>
      <c r="Y157">
        <f>HYPERLINK("https://klasma.github.io/Logging_2303/tillsynsmail/A 10866-2025 tillsynsbegäran mail.docx", "A 10866-2025")</f>
        <v/>
      </c>
    </row>
    <row r="158" ht="15" customHeight="1">
      <c r="A158" t="inlineStr">
        <is>
          <t>A 10884-2025</t>
        </is>
      </c>
      <c r="B158" s="1" t="n">
        <v>45722.65670138889</v>
      </c>
      <c r="C158" s="1" t="n">
        <v>45981</v>
      </c>
      <c r="D158" t="inlineStr">
        <is>
          <t>JÄMTLANDS LÄN</t>
        </is>
      </c>
      <c r="E158" t="inlineStr">
        <is>
          <t>RAGUNDA</t>
        </is>
      </c>
      <c r="F158" t="inlineStr">
        <is>
          <t>SCA</t>
        </is>
      </c>
      <c r="G158" t="n">
        <v>5.4</v>
      </c>
      <c r="H158" t="n">
        <v>0</v>
      </c>
      <c r="I158" t="n">
        <v>1</v>
      </c>
      <c r="J158" t="n">
        <v>1</v>
      </c>
      <c r="K158" t="n">
        <v>0</v>
      </c>
      <c r="L158" t="n">
        <v>0</v>
      </c>
      <c r="M158" t="n">
        <v>0</v>
      </c>
      <c r="N158" t="n">
        <v>0</v>
      </c>
      <c r="O158" t="n">
        <v>1</v>
      </c>
      <c r="P158" t="n">
        <v>0</v>
      </c>
      <c r="Q158" t="n">
        <v>2</v>
      </c>
      <c r="R158" s="2" t="inlineStr">
        <is>
          <t>Vitgrynig nållav
Dropptaggsvamp</t>
        </is>
      </c>
      <c r="S158">
        <f>HYPERLINK("https://klasma.github.io/Logging_2303/artfynd/A 10884-2025 artfynd.xlsx", "A 10884-2025")</f>
        <v/>
      </c>
      <c r="T158">
        <f>HYPERLINK("https://klasma.github.io/Logging_2303/kartor/A 10884-2025 karta.png", "A 10884-2025")</f>
        <v/>
      </c>
      <c r="V158">
        <f>HYPERLINK("https://klasma.github.io/Logging_2303/klagomål/A 10884-2025 FSC-klagomål.docx", "A 10884-2025")</f>
        <v/>
      </c>
      <c r="W158">
        <f>HYPERLINK("https://klasma.github.io/Logging_2303/klagomålsmail/A 10884-2025 FSC-klagomål mail.docx", "A 10884-2025")</f>
        <v/>
      </c>
      <c r="X158">
        <f>HYPERLINK("https://klasma.github.io/Logging_2303/tillsyn/A 10884-2025 tillsynsbegäran.docx", "A 10884-2025")</f>
        <v/>
      </c>
      <c r="Y158">
        <f>HYPERLINK("https://klasma.github.io/Logging_2303/tillsynsmail/A 10884-2025 tillsynsbegäran mail.docx", "A 10884-2025")</f>
        <v/>
      </c>
    </row>
    <row r="159" ht="15" customHeight="1">
      <c r="A159" t="inlineStr">
        <is>
          <t>A 57940-2024</t>
        </is>
      </c>
      <c r="B159" s="1" t="n">
        <v>45631</v>
      </c>
      <c r="C159" s="1" t="n">
        <v>45981</v>
      </c>
      <c r="D159" t="inlineStr">
        <is>
          <t>JÄMTLANDS LÄN</t>
        </is>
      </c>
      <c r="E159" t="inlineStr">
        <is>
          <t>RAGUNDA</t>
        </is>
      </c>
      <c r="F159" t="inlineStr">
        <is>
          <t>SCA</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HYPERLINK("https://klasma.github.io/Logging_2303/artfynd/A 57940-2024 artfynd.xlsx", "A 57940-2024")</f>
        <v/>
      </c>
      <c r="T159">
        <f>HYPERLINK("https://klasma.github.io/Logging_2303/kartor/A 57940-2024 karta.png", "A 57940-2024")</f>
        <v/>
      </c>
      <c r="V159">
        <f>HYPERLINK("https://klasma.github.io/Logging_2303/klagomål/A 57940-2024 FSC-klagomål.docx", "A 57940-2024")</f>
        <v/>
      </c>
      <c r="W159">
        <f>HYPERLINK("https://klasma.github.io/Logging_2303/klagomålsmail/A 57940-2024 FSC-klagomål mail.docx", "A 57940-2024")</f>
        <v/>
      </c>
      <c r="X159">
        <f>HYPERLINK("https://klasma.github.io/Logging_2303/tillsyn/A 57940-2024 tillsynsbegäran.docx", "A 57940-2024")</f>
        <v/>
      </c>
      <c r="Y159">
        <f>HYPERLINK("https://klasma.github.io/Logging_2303/tillsynsmail/A 57940-2024 tillsynsbegäran mail.docx", "A 57940-2024")</f>
        <v/>
      </c>
      <c r="Z159">
        <f>HYPERLINK("https://klasma.github.io/Logging_2303/fåglar/A 57940-2024 prioriterade fågelarter.docx", "A 57940-2024")</f>
        <v/>
      </c>
    </row>
    <row r="160" ht="15" customHeight="1">
      <c r="A160" t="inlineStr">
        <is>
          <t>A 3838-2024</t>
        </is>
      </c>
      <c r="B160" s="1" t="n">
        <v>45321</v>
      </c>
      <c r="C160" s="1" t="n">
        <v>45981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36756-2023</t>
        </is>
      </c>
      <c r="B161" s="1" t="n">
        <v>45153</v>
      </c>
      <c r="C161" s="1" t="n">
        <v>45981</v>
      </c>
      <c r="D161" t="inlineStr">
        <is>
          <t>JÄMTLANDS LÄN</t>
        </is>
      </c>
      <c r="E161" t="inlineStr">
        <is>
          <t>RAGUNDA</t>
        </is>
      </c>
      <c r="G161" t="n">
        <v>3.5</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HYPERLINK("https://klasma.github.io/Logging_2303/artfynd/A 36756-2023 artfynd.xlsx", "A 36756-2023")</f>
        <v/>
      </c>
      <c r="T161">
        <f>HYPERLINK("https://klasma.github.io/Logging_2303/kartor/A 36756-2023 karta.png", "A 36756-2023")</f>
        <v/>
      </c>
      <c r="V161">
        <f>HYPERLINK("https://klasma.github.io/Logging_2303/klagomål/A 36756-2023 FSC-klagomål.docx", "A 36756-2023")</f>
        <v/>
      </c>
      <c r="W161">
        <f>HYPERLINK("https://klasma.github.io/Logging_2303/klagomålsmail/A 36756-2023 FSC-klagomål mail.docx", "A 36756-2023")</f>
        <v/>
      </c>
      <c r="X161">
        <f>HYPERLINK("https://klasma.github.io/Logging_2303/tillsyn/A 36756-2023 tillsynsbegäran.docx", "A 36756-2023")</f>
        <v/>
      </c>
      <c r="Y161">
        <f>HYPERLINK("https://klasma.github.io/Logging_2303/tillsynsmail/A 36756-2023 tillsynsbegäran mail.docx", "A 36756-2023")</f>
        <v/>
      </c>
      <c r="Z161">
        <f>HYPERLINK("https://klasma.github.io/Logging_2303/fåglar/A 36756-2023 prioriterade fågelarter.docx", "A 36756-2023")</f>
        <v/>
      </c>
    </row>
    <row r="162" ht="15" customHeight="1">
      <c r="A162" t="inlineStr">
        <is>
          <t>A 32736-2023</t>
        </is>
      </c>
      <c r="B162" s="1" t="n">
        <v>45121</v>
      </c>
      <c r="C162" s="1" t="n">
        <v>45981</v>
      </c>
      <c r="D162" t="inlineStr">
        <is>
          <t>JÄMTLANDS LÄN</t>
        </is>
      </c>
      <c r="E162" t="inlineStr">
        <is>
          <t>RAGUNDA</t>
        </is>
      </c>
      <c r="F162" t="inlineStr">
        <is>
          <t>SCA</t>
        </is>
      </c>
      <c r="G162" t="n">
        <v>2.5</v>
      </c>
      <c r="H162" t="n">
        <v>0</v>
      </c>
      <c r="I162" t="n">
        <v>1</v>
      </c>
      <c r="J162" t="n">
        <v>1</v>
      </c>
      <c r="K162" t="n">
        <v>0</v>
      </c>
      <c r="L162" t="n">
        <v>0</v>
      </c>
      <c r="M162" t="n">
        <v>0</v>
      </c>
      <c r="N162" t="n">
        <v>0</v>
      </c>
      <c r="O162" t="n">
        <v>1</v>
      </c>
      <c r="P162" t="n">
        <v>0</v>
      </c>
      <c r="Q162" t="n">
        <v>2</v>
      </c>
      <c r="R162" s="2" t="inlineStr">
        <is>
          <t>Vedtrappmossa
Stor aspticka</t>
        </is>
      </c>
      <c r="S162">
        <f>HYPERLINK("https://klasma.github.io/Logging_2303/artfynd/A 32736-2023 artfynd.xlsx", "A 32736-2023")</f>
        <v/>
      </c>
      <c r="T162">
        <f>HYPERLINK("https://klasma.github.io/Logging_2303/kartor/A 32736-2023 karta.png", "A 32736-2023")</f>
        <v/>
      </c>
      <c r="V162">
        <f>HYPERLINK("https://klasma.github.io/Logging_2303/klagomål/A 32736-2023 FSC-klagomål.docx", "A 32736-2023")</f>
        <v/>
      </c>
      <c r="W162">
        <f>HYPERLINK("https://klasma.github.io/Logging_2303/klagomålsmail/A 32736-2023 FSC-klagomål mail.docx", "A 32736-2023")</f>
        <v/>
      </c>
      <c r="X162">
        <f>HYPERLINK("https://klasma.github.io/Logging_2303/tillsyn/A 32736-2023 tillsynsbegäran.docx", "A 32736-2023")</f>
        <v/>
      </c>
      <c r="Y162">
        <f>HYPERLINK("https://klasma.github.io/Logging_2303/tillsynsmail/A 32736-2023 tillsynsbegäran mail.docx", "A 32736-2023")</f>
        <v/>
      </c>
    </row>
    <row r="163" ht="15" customHeight="1">
      <c r="A163" t="inlineStr">
        <is>
          <t>A 56285-2023</t>
        </is>
      </c>
      <c r="B163" s="1" t="n">
        <v>45241</v>
      </c>
      <c r="C163" s="1" t="n">
        <v>45981</v>
      </c>
      <c r="D163" t="inlineStr">
        <is>
          <t>JÄMTLANDS LÄN</t>
        </is>
      </c>
      <c r="E163" t="inlineStr">
        <is>
          <t>RAGUNDA</t>
        </is>
      </c>
      <c r="F163" t="inlineStr">
        <is>
          <t>SCA</t>
        </is>
      </c>
      <c r="G163" t="n">
        <v>5.5</v>
      </c>
      <c r="H163" t="n">
        <v>0</v>
      </c>
      <c r="I163" t="n">
        <v>0</v>
      </c>
      <c r="J163" t="n">
        <v>2</v>
      </c>
      <c r="K163" t="n">
        <v>0</v>
      </c>
      <c r="L163" t="n">
        <v>0</v>
      </c>
      <c r="M163" t="n">
        <v>0</v>
      </c>
      <c r="N163" t="n">
        <v>0</v>
      </c>
      <c r="O163" t="n">
        <v>2</v>
      </c>
      <c r="P163" t="n">
        <v>0</v>
      </c>
      <c r="Q163" t="n">
        <v>2</v>
      </c>
      <c r="R163" s="2" t="inlineStr">
        <is>
          <t>Lunglav
Skrovellav</t>
        </is>
      </c>
      <c r="S163">
        <f>HYPERLINK("https://klasma.github.io/Logging_2303/artfynd/A 56285-2023 artfynd.xlsx", "A 56285-2023")</f>
        <v/>
      </c>
      <c r="T163">
        <f>HYPERLINK("https://klasma.github.io/Logging_2303/kartor/A 56285-2023 karta.png", "A 56285-2023")</f>
        <v/>
      </c>
      <c r="V163">
        <f>HYPERLINK("https://klasma.github.io/Logging_2303/klagomål/A 56285-2023 FSC-klagomål.docx", "A 56285-2023")</f>
        <v/>
      </c>
      <c r="W163">
        <f>HYPERLINK("https://klasma.github.io/Logging_2303/klagomålsmail/A 56285-2023 FSC-klagomål mail.docx", "A 56285-2023")</f>
        <v/>
      </c>
      <c r="X163">
        <f>HYPERLINK("https://klasma.github.io/Logging_2303/tillsyn/A 56285-2023 tillsynsbegäran.docx", "A 56285-2023")</f>
        <v/>
      </c>
      <c r="Y163">
        <f>HYPERLINK("https://klasma.github.io/Logging_2303/tillsynsmail/A 56285-2023 tillsynsbegäran mail.docx", "A 56285-2023")</f>
        <v/>
      </c>
    </row>
    <row r="164" ht="15" customHeight="1">
      <c r="A164" t="inlineStr">
        <is>
          <t>A 55647-2023</t>
        </is>
      </c>
      <c r="B164" s="1" t="n">
        <v>45238</v>
      </c>
      <c r="C164" s="1" t="n">
        <v>45981</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39495-2024</t>
        </is>
      </c>
      <c r="B165" s="1" t="n">
        <v>45551.65726851852</v>
      </c>
      <c r="C165" s="1" t="n">
        <v>45981</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25155-2025</t>
        </is>
      </c>
      <c r="B166" s="1" t="n">
        <v>45800.42782407408</v>
      </c>
      <c r="C166" s="1" t="n">
        <v>45981</v>
      </c>
      <c r="D166" t="inlineStr">
        <is>
          <t>JÄMTLANDS LÄN</t>
        </is>
      </c>
      <c r="E166" t="inlineStr">
        <is>
          <t>RAGUNDA</t>
        </is>
      </c>
      <c r="F166" t="inlineStr">
        <is>
          <t>SCA</t>
        </is>
      </c>
      <c r="G166" t="n">
        <v>1.7</v>
      </c>
      <c r="H166" t="n">
        <v>1</v>
      </c>
      <c r="I166" t="n">
        <v>0</v>
      </c>
      <c r="J166" t="n">
        <v>1</v>
      </c>
      <c r="K166" t="n">
        <v>0</v>
      </c>
      <c r="L166" t="n">
        <v>0</v>
      </c>
      <c r="M166" t="n">
        <v>0</v>
      </c>
      <c r="N166" t="n">
        <v>0</v>
      </c>
      <c r="O166" t="n">
        <v>1</v>
      </c>
      <c r="P166" t="n">
        <v>0</v>
      </c>
      <c r="Q166" t="n">
        <v>2</v>
      </c>
      <c r="R166" s="2" t="inlineStr">
        <is>
          <t>Leptoporus mollis
Fläcknycklar</t>
        </is>
      </c>
      <c r="S166">
        <f>HYPERLINK("https://klasma.github.io/Logging_2303/artfynd/A 25155-2025 artfynd.xlsx", "A 25155-2025")</f>
        <v/>
      </c>
      <c r="T166">
        <f>HYPERLINK("https://klasma.github.io/Logging_2303/kartor/A 25155-2025 karta.png", "A 25155-2025")</f>
        <v/>
      </c>
      <c r="V166">
        <f>HYPERLINK("https://klasma.github.io/Logging_2303/klagomål/A 25155-2025 FSC-klagomål.docx", "A 25155-2025")</f>
        <v/>
      </c>
      <c r="W166">
        <f>HYPERLINK("https://klasma.github.io/Logging_2303/klagomålsmail/A 25155-2025 FSC-klagomål mail.docx", "A 25155-2025")</f>
        <v/>
      </c>
      <c r="X166">
        <f>HYPERLINK("https://klasma.github.io/Logging_2303/tillsyn/A 25155-2025 tillsynsbegäran.docx", "A 25155-2025")</f>
        <v/>
      </c>
      <c r="Y166">
        <f>HYPERLINK("https://klasma.github.io/Logging_2303/tillsynsmail/A 25155-2025 tillsynsbegäran mail.docx", "A 25155-2025")</f>
        <v/>
      </c>
    </row>
    <row r="167" ht="15" customHeight="1">
      <c r="A167" t="inlineStr">
        <is>
          <t>A 47267-2022</t>
        </is>
      </c>
      <c r="B167" s="1" t="n">
        <v>44852</v>
      </c>
      <c r="C167" s="1" t="n">
        <v>45981</v>
      </c>
      <c r="D167" t="inlineStr">
        <is>
          <t>JÄMTLANDS LÄN</t>
        </is>
      </c>
      <c r="E167" t="inlineStr">
        <is>
          <t>RAGUNDA</t>
        </is>
      </c>
      <c r="F167" t="inlineStr">
        <is>
          <t>SCA</t>
        </is>
      </c>
      <c r="G167" t="n">
        <v>82.8</v>
      </c>
      <c r="H167" t="n">
        <v>0</v>
      </c>
      <c r="I167" t="n">
        <v>0</v>
      </c>
      <c r="J167" t="n">
        <v>2</v>
      </c>
      <c r="K167" t="n">
        <v>0</v>
      </c>
      <c r="L167" t="n">
        <v>0</v>
      </c>
      <c r="M167" t="n">
        <v>0</v>
      </c>
      <c r="N167" t="n">
        <v>0</v>
      </c>
      <c r="O167" t="n">
        <v>2</v>
      </c>
      <c r="P167" t="n">
        <v>0</v>
      </c>
      <c r="Q167" t="n">
        <v>2</v>
      </c>
      <c r="R167" s="2" t="inlineStr">
        <is>
          <t>Dvärgbägarlav
Garnlav</t>
        </is>
      </c>
      <c r="S167">
        <f>HYPERLINK("https://klasma.github.io/Logging_2303/artfynd/A 47267-2022 artfynd.xlsx", "A 47267-2022")</f>
        <v/>
      </c>
      <c r="T167">
        <f>HYPERLINK("https://klasma.github.io/Logging_2303/kartor/A 47267-2022 karta.png", "A 47267-2022")</f>
        <v/>
      </c>
      <c r="V167">
        <f>HYPERLINK("https://klasma.github.io/Logging_2303/klagomål/A 47267-2022 FSC-klagomål.docx", "A 47267-2022")</f>
        <v/>
      </c>
      <c r="W167">
        <f>HYPERLINK("https://klasma.github.io/Logging_2303/klagomålsmail/A 47267-2022 FSC-klagomål mail.docx", "A 47267-2022")</f>
        <v/>
      </c>
      <c r="X167">
        <f>HYPERLINK("https://klasma.github.io/Logging_2303/tillsyn/A 47267-2022 tillsynsbegäran.docx", "A 47267-2022")</f>
        <v/>
      </c>
      <c r="Y167">
        <f>HYPERLINK("https://klasma.github.io/Logging_2303/tillsynsmail/A 47267-2022 tillsynsbegäran mail.docx", "A 47267-2022")</f>
        <v/>
      </c>
    </row>
    <row r="168" ht="15" customHeight="1">
      <c r="A168" t="inlineStr">
        <is>
          <t>A 45021-2023</t>
        </is>
      </c>
      <c r="B168" s="1" t="n">
        <v>45190</v>
      </c>
      <c r="C168" s="1" t="n">
        <v>45981</v>
      </c>
      <c r="D168" t="inlineStr">
        <is>
          <t>JÄMTLANDS LÄN</t>
        </is>
      </c>
      <c r="E168" t="inlineStr">
        <is>
          <t>RAGUNDA</t>
        </is>
      </c>
      <c r="F168" t="inlineStr">
        <is>
          <t>SCA</t>
        </is>
      </c>
      <c r="G168" t="n">
        <v>1.6</v>
      </c>
      <c r="H168" t="n">
        <v>1</v>
      </c>
      <c r="I168" t="n">
        <v>0</v>
      </c>
      <c r="J168" t="n">
        <v>1</v>
      </c>
      <c r="K168" t="n">
        <v>0</v>
      </c>
      <c r="L168" t="n">
        <v>0</v>
      </c>
      <c r="M168" t="n">
        <v>0</v>
      </c>
      <c r="N168" t="n">
        <v>0</v>
      </c>
      <c r="O168" t="n">
        <v>1</v>
      </c>
      <c r="P168" t="n">
        <v>0</v>
      </c>
      <c r="Q168" t="n">
        <v>2</v>
      </c>
      <c r="R168" s="2" t="inlineStr">
        <is>
          <t>Lunglav
Fläcknycklar</t>
        </is>
      </c>
      <c r="S168">
        <f>HYPERLINK("https://klasma.github.io/Logging_2303/artfynd/A 45021-2023 artfynd.xlsx", "A 45021-2023")</f>
        <v/>
      </c>
      <c r="T168">
        <f>HYPERLINK("https://klasma.github.io/Logging_2303/kartor/A 45021-2023 karta.png", "A 45021-2023")</f>
        <v/>
      </c>
      <c r="V168">
        <f>HYPERLINK("https://klasma.github.io/Logging_2303/klagomål/A 45021-2023 FSC-klagomål.docx", "A 45021-2023")</f>
        <v/>
      </c>
      <c r="W168">
        <f>HYPERLINK("https://klasma.github.io/Logging_2303/klagomålsmail/A 45021-2023 FSC-klagomål mail.docx", "A 45021-2023")</f>
        <v/>
      </c>
      <c r="X168">
        <f>HYPERLINK("https://klasma.github.io/Logging_2303/tillsyn/A 45021-2023 tillsynsbegäran.docx", "A 45021-2023")</f>
        <v/>
      </c>
      <c r="Y168">
        <f>HYPERLINK("https://klasma.github.io/Logging_2303/tillsynsmail/A 45021-2023 tillsynsbegäran mail.docx", "A 45021-2023")</f>
        <v/>
      </c>
    </row>
    <row r="169" ht="15" customHeight="1">
      <c r="A169" t="inlineStr">
        <is>
          <t>A 19728-2025</t>
        </is>
      </c>
      <c r="B169" s="1" t="n">
        <v>45771.36548611111</v>
      </c>
      <c r="C169" s="1" t="n">
        <v>45981</v>
      </c>
      <c r="D169" t="inlineStr">
        <is>
          <t>JÄMTLANDS LÄN</t>
        </is>
      </c>
      <c r="E169" t="inlineStr">
        <is>
          <t>RAGUNDA</t>
        </is>
      </c>
      <c r="F169" t="inlineStr">
        <is>
          <t>SCA</t>
        </is>
      </c>
      <c r="G169" t="n">
        <v>6.2</v>
      </c>
      <c r="H169" t="n">
        <v>1</v>
      </c>
      <c r="I169" t="n">
        <v>0</v>
      </c>
      <c r="J169" t="n">
        <v>2</v>
      </c>
      <c r="K169" t="n">
        <v>0</v>
      </c>
      <c r="L169" t="n">
        <v>0</v>
      </c>
      <c r="M169" t="n">
        <v>0</v>
      </c>
      <c r="N169" t="n">
        <v>0</v>
      </c>
      <c r="O169" t="n">
        <v>2</v>
      </c>
      <c r="P169" t="n">
        <v>0</v>
      </c>
      <c r="Q169" t="n">
        <v>2</v>
      </c>
      <c r="R169" s="2" t="inlineStr">
        <is>
          <t>Stjärntagging
Tretåig hackspett</t>
        </is>
      </c>
      <c r="S169">
        <f>HYPERLINK("https://klasma.github.io/Logging_2303/artfynd/A 19728-2025 artfynd.xlsx", "A 19728-2025")</f>
        <v/>
      </c>
      <c r="T169">
        <f>HYPERLINK("https://klasma.github.io/Logging_2303/kartor/A 19728-2025 karta.png", "A 19728-2025")</f>
        <v/>
      </c>
      <c r="V169">
        <f>HYPERLINK("https://klasma.github.io/Logging_2303/klagomål/A 19728-2025 FSC-klagomål.docx", "A 19728-2025")</f>
        <v/>
      </c>
      <c r="W169">
        <f>HYPERLINK("https://klasma.github.io/Logging_2303/klagomålsmail/A 19728-2025 FSC-klagomål mail.docx", "A 19728-2025")</f>
        <v/>
      </c>
      <c r="X169">
        <f>HYPERLINK("https://klasma.github.io/Logging_2303/tillsyn/A 19728-2025 tillsynsbegäran.docx", "A 19728-2025")</f>
        <v/>
      </c>
      <c r="Y169">
        <f>HYPERLINK("https://klasma.github.io/Logging_2303/tillsynsmail/A 19728-2025 tillsynsbegäran mail.docx", "A 19728-2025")</f>
        <v/>
      </c>
      <c r="Z169">
        <f>HYPERLINK("https://klasma.github.io/Logging_2303/fåglar/A 19728-2025 prioriterade fågelarter.docx", "A 19728-2025")</f>
        <v/>
      </c>
    </row>
    <row r="170" ht="15" customHeight="1">
      <c r="A170" t="inlineStr">
        <is>
          <t>A 45035-2023</t>
        </is>
      </c>
      <c r="B170" s="1" t="n">
        <v>45191</v>
      </c>
      <c r="C170" s="1" t="n">
        <v>45981</v>
      </c>
      <c r="D170" t="inlineStr">
        <is>
          <t>JÄMTLANDS LÄN</t>
        </is>
      </c>
      <c r="E170" t="inlineStr">
        <is>
          <t>RAGUNDA</t>
        </is>
      </c>
      <c r="G170" t="n">
        <v>2.9</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45035-2023 artfynd.xlsx", "A 45035-2023")</f>
        <v/>
      </c>
      <c r="T170">
        <f>HYPERLINK("https://klasma.github.io/Logging_2303/kartor/A 45035-2023 karta.png", "A 45035-2023")</f>
        <v/>
      </c>
      <c r="V170">
        <f>HYPERLINK("https://klasma.github.io/Logging_2303/klagomål/A 45035-2023 FSC-klagomål.docx", "A 45035-2023")</f>
        <v/>
      </c>
      <c r="W170">
        <f>HYPERLINK("https://klasma.github.io/Logging_2303/klagomålsmail/A 45035-2023 FSC-klagomål mail.docx", "A 45035-2023")</f>
        <v/>
      </c>
      <c r="X170">
        <f>HYPERLINK("https://klasma.github.io/Logging_2303/tillsyn/A 45035-2023 tillsynsbegäran.docx", "A 45035-2023")</f>
        <v/>
      </c>
      <c r="Y170">
        <f>HYPERLINK("https://klasma.github.io/Logging_2303/tillsynsmail/A 45035-2023 tillsynsbegäran mail.docx", "A 45035-2023")</f>
        <v/>
      </c>
    </row>
    <row r="171" ht="15" customHeight="1">
      <c r="A171" t="inlineStr">
        <is>
          <t>A 11544-2024</t>
        </is>
      </c>
      <c r="B171" s="1" t="n">
        <v>45372.95680555556</v>
      </c>
      <c r="C171" s="1" t="n">
        <v>45981</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30053-2024</t>
        </is>
      </c>
      <c r="B172" s="1" t="n">
        <v>45488.94747685185</v>
      </c>
      <c r="C172" s="1" t="n">
        <v>45981</v>
      </c>
      <c r="D172" t="inlineStr">
        <is>
          <t>JÄMTLANDS LÄN</t>
        </is>
      </c>
      <c r="E172" t="inlineStr">
        <is>
          <t>RAGUNDA</t>
        </is>
      </c>
      <c r="F172" t="inlineStr">
        <is>
          <t>SCA</t>
        </is>
      </c>
      <c r="G172" t="n">
        <v>9.6</v>
      </c>
      <c r="H172" t="n">
        <v>0</v>
      </c>
      <c r="I172" t="n">
        <v>1</v>
      </c>
      <c r="J172" t="n">
        <v>1</v>
      </c>
      <c r="K172" t="n">
        <v>0</v>
      </c>
      <c r="L172" t="n">
        <v>0</v>
      </c>
      <c r="M172" t="n">
        <v>0</v>
      </c>
      <c r="N172" t="n">
        <v>0</v>
      </c>
      <c r="O172" t="n">
        <v>1</v>
      </c>
      <c r="P172" t="n">
        <v>0</v>
      </c>
      <c r="Q172" t="n">
        <v>2</v>
      </c>
      <c r="R172" s="2" t="inlineStr">
        <is>
          <t>Lunglav
Korallblylav</t>
        </is>
      </c>
      <c r="S172">
        <f>HYPERLINK("https://klasma.github.io/Logging_2303/artfynd/A 30053-2024 artfynd.xlsx", "A 30053-2024")</f>
        <v/>
      </c>
      <c r="T172">
        <f>HYPERLINK("https://klasma.github.io/Logging_2303/kartor/A 30053-2024 karta.png", "A 30053-2024")</f>
        <v/>
      </c>
      <c r="V172">
        <f>HYPERLINK("https://klasma.github.io/Logging_2303/klagomål/A 30053-2024 FSC-klagomål.docx", "A 30053-2024")</f>
        <v/>
      </c>
      <c r="W172">
        <f>HYPERLINK("https://klasma.github.io/Logging_2303/klagomålsmail/A 30053-2024 FSC-klagomål mail.docx", "A 30053-2024")</f>
        <v/>
      </c>
      <c r="X172">
        <f>HYPERLINK("https://klasma.github.io/Logging_2303/tillsyn/A 30053-2024 tillsynsbegäran.docx", "A 30053-2024")</f>
        <v/>
      </c>
      <c r="Y172">
        <f>HYPERLINK("https://klasma.github.io/Logging_2303/tillsynsmail/A 30053-2024 tillsynsbegäran mail.docx", "A 30053-2024")</f>
        <v/>
      </c>
    </row>
    <row r="173" ht="15" customHeight="1">
      <c r="A173" t="inlineStr">
        <is>
          <t>A 50089-2022</t>
        </is>
      </c>
      <c r="B173" s="1" t="n">
        <v>44865</v>
      </c>
      <c r="C173" s="1" t="n">
        <v>45981</v>
      </c>
      <c r="D173" t="inlineStr">
        <is>
          <t>JÄMTLANDS LÄN</t>
        </is>
      </c>
      <c r="E173" t="inlineStr">
        <is>
          <t>RAGUNDA</t>
        </is>
      </c>
      <c r="G173" t="n">
        <v>5.7</v>
      </c>
      <c r="H173" t="n">
        <v>2</v>
      </c>
      <c r="I173" t="n">
        <v>0</v>
      </c>
      <c r="J173" t="n">
        <v>2</v>
      </c>
      <c r="K173" t="n">
        <v>0</v>
      </c>
      <c r="L173" t="n">
        <v>0</v>
      </c>
      <c r="M173" t="n">
        <v>0</v>
      </c>
      <c r="N173" t="n">
        <v>0</v>
      </c>
      <c r="O173" t="n">
        <v>2</v>
      </c>
      <c r="P173" t="n">
        <v>0</v>
      </c>
      <c r="Q173" t="n">
        <v>2</v>
      </c>
      <c r="R173" s="2" t="inlineStr">
        <is>
          <t>Björktrast
Drillsnäppa</t>
        </is>
      </c>
      <c r="S173">
        <f>HYPERLINK("https://klasma.github.io/Logging_2303/artfynd/A 50089-2022 artfynd.xlsx", "A 50089-2022")</f>
        <v/>
      </c>
      <c r="T173">
        <f>HYPERLINK("https://klasma.github.io/Logging_2303/kartor/A 50089-2022 karta.png", "A 50089-2022")</f>
        <v/>
      </c>
      <c r="V173">
        <f>HYPERLINK("https://klasma.github.io/Logging_2303/klagomål/A 50089-2022 FSC-klagomål.docx", "A 50089-2022")</f>
        <v/>
      </c>
      <c r="W173">
        <f>HYPERLINK("https://klasma.github.io/Logging_2303/klagomålsmail/A 50089-2022 FSC-klagomål mail.docx", "A 50089-2022")</f>
        <v/>
      </c>
      <c r="X173">
        <f>HYPERLINK("https://klasma.github.io/Logging_2303/tillsyn/A 50089-2022 tillsynsbegäran.docx", "A 50089-2022")</f>
        <v/>
      </c>
      <c r="Y173">
        <f>HYPERLINK("https://klasma.github.io/Logging_2303/tillsynsmail/A 50089-2022 tillsynsbegäran mail.docx", "A 50089-2022")</f>
        <v/>
      </c>
      <c r="Z173">
        <f>HYPERLINK("https://klasma.github.io/Logging_2303/fåglar/A 50089-2022 prioriterade fågelarter.docx", "A 50089-2022")</f>
        <v/>
      </c>
    </row>
    <row r="174" ht="15" customHeight="1">
      <c r="A174" t="inlineStr">
        <is>
          <t>A 11843-2023</t>
        </is>
      </c>
      <c r="B174" s="1" t="n">
        <v>44993</v>
      </c>
      <c r="C174" s="1" t="n">
        <v>45981</v>
      </c>
      <c r="D174" t="inlineStr">
        <is>
          <t>JÄMTLANDS LÄN</t>
        </is>
      </c>
      <c r="E174" t="inlineStr">
        <is>
          <t>RAGUNDA</t>
        </is>
      </c>
      <c r="G174" t="n">
        <v>6.4</v>
      </c>
      <c r="H174" t="n">
        <v>2</v>
      </c>
      <c r="I174" t="n">
        <v>0</v>
      </c>
      <c r="J174" t="n">
        <v>1</v>
      </c>
      <c r="K174" t="n">
        <v>0</v>
      </c>
      <c r="L174" t="n">
        <v>0</v>
      </c>
      <c r="M174" t="n">
        <v>0</v>
      </c>
      <c r="N174" t="n">
        <v>0</v>
      </c>
      <c r="O174" t="n">
        <v>1</v>
      </c>
      <c r="P174" t="n">
        <v>0</v>
      </c>
      <c r="Q174" t="n">
        <v>2</v>
      </c>
      <c r="R174" s="2" t="inlineStr">
        <is>
          <t>Spillkråka
Revlummer</t>
        </is>
      </c>
      <c r="S174">
        <f>HYPERLINK("https://klasma.github.io/Logging_2303/artfynd/A 11843-2023 artfynd.xlsx", "A 11843-2023")</f>
        <v/>
      </c>
      <c r="T174">
        <f>HYPERLINK("https://klasma.github.io/Logging_2303/kartor/A 11843-2023 karta.png", "A 11843-2023")</f>
        <v/>
      </c>
      <c r="V174">
        <f>HYPERLINK("https://klasma.github.io/Logging_2303/klagomål/A 11843-2023 FSC-klagomål.docx", "A 11843-2023")</f>
        <v/>
      </c>
      <c r="W174">
        <f>HYPERLINK("https://klasma.github.io/Logging_2303/klagomålsmail/A 11843-2023 FSC-klagomål mail.docx", "A 11843-2023")</f>
        <v/>
      </c>
      <c r="X174">
        <f>HYPERLINK("https://klasma.github.io/Logging_2303/tillsyn/A 11843-2023 tillsynsbegäran.docx", "A 11843-2023")</f>
        <v/>
      </c>
      <c r="Y174">
        <f>HYPERLINK("https://klasma.github.io/Logging_2303/tillsynsmail/A 11843-2023 tillsynsbegäran mail.docx", "A 11843-2023")</f>
        <v/>
      </c>
      <c r="Z174">
        <f>HYPERLINK("https://klasma.github.io/Logging_2303/fåglar/A 11843-2023 prioriterade fågelarter.docx", "A 11843-2023")</f>
        <v/>
      </c>
    </row>
    <row r="175" ht="15" customHeight="1">
      <c r="A175" t="inlineStr">
        <is>
          <t>A 47850-2025</t>
        </is>
      </c>
      <c r="B175" s="1" t="n">
        <v>45932.38626157407</v>
      </c>
      <c r="C175" s="1" t="n">
        <v>45981</v>
      </c>
      <c r="D175" t="inlineStr">
        <is>
          <t>JÄMTLANDS LÄN</t>
        </is>
      </c>
      <c r="E175" t="inlineStr">
        <is>
          <t>RAGUNDA</t>
        </is>
      </c>
      <c r="F175" t="inlineStr">
        <is>
          <t>SCA</t>
        </is>
      </c>
      <c r="G175" t="n">
        <v>2.4</v>
      </c>
      <c r="H175" t="n">
        <v>1</v>
      </c>
      <c r="I175" t="n">
        <v>0</v>
      </c>
      <c r="J175" t="n">
        <v>1</v>
      </c>
      <c r="K175" t="n">
        <v>0</v>
      </c>
      <c r="L175" t="n">
        <v>0</v>
      </c>
      <c r="M175" t="n">
        <v>0</v>
      </c>
      <c r="N175" t="n">
        <v>0</v>
      </c>
      <c r="O175" t="n">
        <v>1</v>
      </c>
      <c r="P175" t="n">
        <v>0</v>
      </c>
      <c r="Q175" t="n">
        <v>2</v>
      </c>
      <c r="R175" s="2" t="inlineStr">
        <is>
          <t>Kolflarnlav
Blåsippa</t>
        </is>
      </c>
      <c r="S175">
        <f>HYPERLINK("https://klasma.github.io/Logging_2303/artfynd/A 47850-2025 artfynd.xlsx", "A 47850-2025")</f>
        <v/>
      </c>
      <c r="T175">
        <f>HYPERLINK("https://klasma.github.io/Logging_2303/kartor/A 47850-2025 karta.png", "A 47850-2025")</f>
        <v/>
      </c>
      <c r="V175">
        <f>HYPERLINK("https://klasma.github.io/Logging_2303/klagomål/A 47850-2025 FSC-klagomål.docx", "A 47850-2025")</f>
        <v/>
      </c>
      <c r="W175">
        <f>HYPERLINK("https://klasma.github.io/Logging_2303/klagomålsmail/A 47850-2025 FSC-klagomål mail.docx", "A 47850-2025")</f>
        <v/>
      </c>
      <c r="X175">
        <f>HYPERLINK("https://klasma.github.io/Logging_2303/tillsyn/A 47850-2025 tillsynsbegäran.docx", "A 47850-2025")</f>
        <v/>
      </c>
      <c r="Y175">
        <f>HYPERLINK("https://klasma.github.io/Logging_2303/tillsynsmail/A 47850-2025 tillsynsbegäran mail.docx", "A 47850-2025")</f>
        <v/>
      </c>
    </row>
    <row r="176" ht="15" customHeight="1">
      <c r="A176" t="inlineStr">
        <is>
          <t>A 17733-2022</t>
        </is>
      </c>
      <c r="B176" s="1" t="n">
        <v>44680</v>
      </c>
      <c r="C176" s="1" t="n">
        <v>45981</v>
      </c>
      <c r="D176" t="inlineStr">
        <is>
          <t>JÄMTLANDS LÄN</t>
        </is>
      </c>
      <c r="E176" t="inlineStr">
        <is>
          <t>RAGUNDA</t>
        </is>
      </c>
      <c r="G176" t="n">
        <v>2.2</v>
      </c>
      <c r="H176" t="n">
        <v>0</v>
      </c>
      <c r="I176" t="n">
        <v>0</v>
      </c>
      <c r="J176" t="n">
        <v>2</v>
      </c>
      <c r="K176" t="n">
        <v>0</v>
      </c>
      <c r="L176" t="n">
        <v>0</v>
      </c>
      <c r="M176" t="n">
        <v>0</v>
      </c>
      <c r="N176" t="n">
        <v>0</v>
      </c>
      <c r="O176" t="n">
        <v>2</v>
      </c>
      <c r="P176" t="n">
        <v>0</v>
      </c>
      <c r="Q176" t="n">
        <v>2</v>
      </c>
      <c r="R176" s="2" t="inlineStr">
        <is>
          <t>Lunglav
Skrovellav</t>
        </is>
      </c>
      <c r="S176">
        <f>HYPERLINK("https://klasma.github.io/Logging_2303/artfynd/A 17733-2022 artfynd.xlsx", "A 17733-2022")</f>
        <v/>
      </c>
      <c r="T176">
        <f>HYPERLINK("https://klasma.github.io/Logging_2303/kartor/A 17733-2022 karta.png", "A 17733-2022")</f>
        <v/>
      </c>
      <c r="V176">
        <f>HYPERLINK("https://klasma.github.io/Logging_2303/klagomål/A 17733-2022 FSC-klagomål.docx", "A 17733-2022")</f>
        <v/>
      </c>
      <c r="W176">
        <f>HYPERLINK("https://klasma.github.io/Logging_2303/klagomålsmail/A 17733-2022 FSC-klagomål mail.docx", "A 17733-2022")</f>
        <v/>
      </c>
      <c r="X176">
        <f>HYPERLINK("https://klasma.github.io/Logging_2303/tillsyn/A 17733-2022 tillsynsbegäran.docx", "A 17733-2022")</f>
        <v/>
      </c>
      <c r="Y176">
        <f>HYPERLINK("https://klasma.github.io/Logging_2303/tillsynsmail/A 17733-2022 tillsynsbegäran mail.docx", "A 17733-2022")</f>
        <v/>
      </c>
    </row>
    <row r="177" ht="15" customHeight="1">
      <c r="A177" t="inlineStr">
        <is>
          <t>A 56634-2025</t>
        </is>
      </c>
      <c r="B177" s="1" t="n">
        <v>45975.61619212963</v>
      </c>
      <c r="C177" s="1" t="n">
        <v>45981</v>
      </c>
      <c r="D177" t="inlineStr">
        <is>
          <t>JÄMTLANDS LÄN</t>
        </is>
      </c>
      <c r="E177" t="inlineStr">
        <is>
          <t>RAGUNDA</t>
        </is>
      </c>
      <c r="F177" t="inlineStr">
        <is>
          <t>SCA</t>
        </is>
      </c>
      <c r="G177" t="n">
        <v>86.59999999999999</v>
      </c>
      <c r="H177" t="n">
        <v>0</v>
      </c>
      <c r="I177" t="n">
        <v>1</v>
      </c>
      <c r="J177" t="n">
        <v>1</v>
      </c>
      <c r="K177" t="n">
        <v>0</v>
      </c>
      <c r="L177" t="n">
        <v>0</v>
      </c>
      <c r="M177" t="n">
        <v>0</v>
      </c>
      <c r="N177" t="n">
        <v>0</v>
      </c>
      <c r="O177" t="n">
        <v>1</v>
      </c>
      <c r="P177" t="n">
        <v>0</v>
      </c>
      <c r="Q177" t="n">
        <v>2</v>
      </c>
      <c r="R177" s="2" t="inlineStr">
        <is>
          <t>Garnlav
Skuggblåslav</t>
        </is>
      </c>
      <c r="S177">
        <f>HYPERLINK("https://klasma.github.io/Logging_2303/artfynd/A 56634-2025 artfynd.xlsx", "A 56634-2025")</f>
        <v/>
      </c>
      <c r="T177">
        <f>HYPERLINK("https://klasma.github.io/Logging_2303/kartor/A 56634-2025 karta.png", "A 56634-2025")</f>
        <v/>
      </c>
      <c r="V177">
        <f>HYPERLINK("https://klasma.github.io/Logging_2303/klagomål/A 56634-2025 FSC-klagomål.docx", "A 56634-2025")</f>
        <v/>
      </c>
      <c r="W177">
        <f>HYPERLINK("https://klasma.github.io/Logging_2303/klagomålsmail/A 56634-2025 FSC-klagomål mail.docx", "A 56634-2025")</f>
        <v/>
      </c>
      <c r="X177">
        <f>HYPERLINK("https://klasma.github.io/Logging_2303/tillsyn/A 56634-2025 tillsynsbegäran.docx", "A 56634-2025")</f>
        <v/>
      </c>
      <c r="Y177">
        <f>HYPERLINK("https://klasma.github.io/Logging_2303/tillsynsmail/A 56634-2025 tillsynsbegäran mail.docx", "A 56634-2025")</f>
        <v/>
      </c>
    </row>
    <row r="178" ht="15" customHeight="1">
      <c r="A178" t="inlineStr">
        <is>
          <t>A 48427-2023</t>
        </is>
      </c>
      <c r="B178" s="1" t="n">
        <v>45205</v>
      </c>
      <c r="C178" s="1" t="n">
        <v>45981</v>
      </c>
      <c r="D178" t="inlineStr">
        <is>
          <t>JÄMTLANDS LÄN</t>
        </is>
      </c>
      <c r="E178" t="inlineStr">
        <is>
          <t>RAGUNDA</t>
        </is>
      </c>
      <c r="F178" t="inlineStr">
        <is>
          <t>SCA</t>
        </is>
      </c>
      <c r="G178" t="n">
        <v>10.1</v>
      </c>
      <c r="H178" t="n">
        <v>0</v>
      </c>
      <c r="I178" t="n">
        <v>1</v>
      </c>
      <c r="J178" t="n">
        <v>1</v>
      </c>
      <c r="K178" t="n">
        <v>0</v>
      </c>
      <c r="L178" t="n">
        <v>0</v>
      </c>
      <c r="M178" t="n">
        <v>0</v>
      </c>
      <c r="N178" t="n">
        <v>0</v>
      </c>
      <c r="O178" t="n">
        <v>1</v>
      </c>
      <c r="P178" t="n">
        <v>0</v>
      </c>
      <c r="Q178" t="n">
        <v>2</v>
      </c>
      <c r="R178" s="2" t="inlineStr">
        <is>
          <t>Lunglav
Luddlav</t>
        </is>
      </c>
      <c r="S178">
        <f>HYPERLINK("https://klasma.github.io/Logging_2303/artfynd/A 48427-2023 artfynd.xlsx", "A 48427-2023")</f>
        <v/>
      </c>
      <c r="T178">
        <f>HYPERLINK("https://klasma.github.io/Logging_2303/kartor/A 48427-2023 karta.png", "A 48427-2023")</f>
        <v/>
      </c>
      <c r="V178">
        <f>HYPERLINK("https://klasma.github.io/Logging_2303/klagomål/A 48427-2023 FSC-klagomål.docx", "A 48427-2023")</f>
        <v/>
      </c>
      <c r="W178">
        <f>HYPERLINK("https://klasma.github.io/Logging_2303/klagomålsmail/A 48427-2023 FSC-klagomål mail.docx", "A 48427-2023")</f>
        <v/>
      </c>
      <c r="X178">
        <f>HYPERLINK("https://klasma.github.io/Logging_2303/tillsyn/A 48427-2023 tillsynsbegäran.docx", "A 48427-2023")</f>
        <v/>
      </c>
      <c r="Y178">
        <f>HYPERLINK("https://klasma.github.io/Logging_2303/tillsynsmail/A 48427-2023 tillsynsbegäran mail.docx", "A 48427-2023")</f>
        <v/>
      </c>
    </row>
    <row r="179" ht="15" customHeight="1">
      <c r="A179" t="inlineStr">
        <is>
          <t>A 11086-2025</t>
        </is>
      </c>
      <c r="B179" s="1" t="n">
        <v>45723.57329861111</v>
      </c>
      <c r="C179" s="1" t="n">
        <v>45981</v>
      </c>
      <c r="D179" t="inlineStr">
        <is>
          <t>JÄMTLANDS LÄN</t>
        </is>
      </c>
      <c r="E179" t="inlineStr">
        <is>
          <t>RAGUNDA</t>
        </is>
      </c>
      <c r="F179" t="inlineStr">
        <is>
          <t>SCA</t>
        </is>
      </c>
      <c r="G179" t="n">
        <v>10.8</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11086-2025 artfynd.xlsx", "A 11086-2025")</f>
        <v/>
      </c>
      <c r="T179">
        <f>HYPERLINK("https://klasma.github.io/Logging_2303/kartor/A 11086-2025 karta.png", "A 11086-2025")</f>
        <v/>
      </c>
      <c r="V179">
        <f>HYPERLINK("https://klasma.github.io/Logging_2303/klagomål/A 11086-2025 FSC-klagomål.docx", "A 11086-2025")</f>
        <v/>
      </c>
      <c r="W179">
        <f>HYPERLINK("https://klasma.github.io/Logging_2303/klagomålsmail/A 11086-2025 FSC-klagomål mail.docx", "A 11086-2025")</f>
        <v/>
      </c>
      <c r="X179">
        <f>HYPERLINK("https://klasma.github.io/Logging_2303/tillsyn/A 11086-2025 tillsynsbegäran.docx", "A 11086-2025")</f>
        <v/>
      </c>
      <c r="Y179">
        <f>HYPERLINK("https://klasma.github.io/Logging_2303/tillsynsmail/A 11086-2025 tillsynsbegäran mail.docx", "A 11086-2025")</f>
        <v/>
      </c>
    </row>
    <row r="180" ht="15" customHeight="1">
      <c r="A180" t="inlineStr">
        <is>
          <t>A 40826-2023</t>
        </is>
      </c>
      <c r="B180" s="1" t="n">
        <v>45171</v>
      </c>
      <c r="C180" s="1" t="n">
        <v>45981</v>
      </c>
      <c r="D180" t="inlineStr">
        <is>
          <t>JÄMTLANDS LÄN</t>
        </is>
      </c>
      <c r="E180" t="inlineStr">
        <is>
          <t>RAGUNDA</t>
        </is>
      </c>
      <c r="F180" t="inlineStr">
        <is>
          <t>SCA</t>
        </is>
      </c>
      <c r="G180" t="n">
        <v>4.5</v>
      </c>
      <c r="H180" t="n">
        <v>0</v>
      </c>
      <c r="I180" t="n">
        <v>1</v>
      </c>
      <c r="J180" t="n">
        <v>1</v>
      </c>
      <c r="K180" t="n">
        <v>0</v>
      </c>
      <c r="L180" t="n">
        <v>0</v>
      </c>
      <c r="M180" t="n">
        <v>0</v>
      </c>
      <c r="N180" t="n">
        <v>0</v>
      </c>
      <c r="O180" t="n">
        <v>1</v>
      </c>
      <c r="P180" t="n">
        <v>0</v>
      </c>
      <c r="Q180" t="n">
        <v>2</v>
      </c>
      <c r="R180" s="2" t="inlineStr">
        <is>
          <t>Lunglav
Stuplav</t>
        </is>
      </c>
      <c r="S180">
        <f>HYPERLINK("https://klasma.github.io/Logging_2303/artfynd/A 40826-2023 artfynd.xlsx", "A 40826-2023")</f>
        <v/>
      </c>
      <c r="T180">
        <f>HYPERLINK("https://klasma.github.io/Logging_2303/kartor/A 40826-2023 karta.png", "A 40826-2023")</f>
        <v/>
      </c>
      <c r="V180">
        <f>HYPERLINK("https://klasma.github.io/Logging_2303/klagomål/A 40826-2023 FSC-klagomål.docx", "A 40826-2023")</f>
        <v/>
      </c>
      <c r="W180">
        <f>HYPERLINK("https://klasma.github.io/Logging_2303/klagomålsmail/A 40826-2023 FSC-klagomål mail.docx", "A 40826-2023")</f>
        <v/>
      </c>
      <c r="X180">
        <f>HYPERLINK("https://klasma.github.io/Logging_2303/tillsyn/A 40826-2023 tillsynsbegäran.docx", "A 40826-2023")</f>
        <v/>
      </c>
      <c r="Y180">
        <f>HYPERLINK("https://klasma.github.io/Logging_2303/tillsynsmail/A 40826-2023 tillsynsbegäran mail.docx", "A 40826-2023")</f>
        <v/>
      </c>
    </row>
    <row r="181" ht="15" customHeight="1">
      <c r="A181" t="inlineStr">
        <is>
          <t>A 41490-2022</t>
        </is>
      </c>
      <c r="B181" s="1" t="n">
        <v>44826.94976851852</v>
      </c>
      <c r="C181" s="1" t="n">
        <v>45981</v>
      </c>
      <c r="D181" t="inlineStr">
        <is>
          <t>JÄMTLANDS LÄN</t>
        </is>
      </c>
      <c r="E181" t="inlineStr">
        <is>
          <t>RAGUNDA</t>
        </is>
      </c>
      <c r="F181" t="inlineStr">
        <is>
          <t>SCA</t>
        </is>
      </c>
      <c r="G181" t="n">
        <v>2.7</v>
      </c>
      <c r="H181" t="n">
        <v>0</v>
      </c>
      <c r="I181" t="n">
        <v>1</v>
      </c>
      <c r="J181" t="n">
        <v>1</v>
      </c>
      <c r="K181" t="n">
        <v>0</v>
      </c>
      <c r="L181" t="n">
        <v>0</v>
      </c>
      <c r="M181" t="n">
        <v>0</v>
      </c>
      <c r="N181" t="n">
        <v>0</v>
      </c>
      <c r="O181" t="n">
        <v>1</v>
      </c>
      <c r="P181" t="n">
        <v>0</v>
      </c>
      <c r="Q181" t="n">
        <v>2</v>
      </c>
      <c r="R181" s="2" t="inlineStr">
        <is>
          <t>Lunglav
Skinnlav</t>
        </is>
      </c>
      <c r="S181">
        <f>HYPERLINK("https://klasma.github.io/Logging_2303/artfynd/A 41490-2022 artfynd.xlsx", "A 41490-2022")</f>
        <v/>
      </c>
      <c r="T181">
        <f>HYPERLINK("https://klasma.github.io/Logging_2303/kartor/A 41490-2022 karta.png", "A 41490-2022")</f>
        <v/>
      </c>
      <c r="V181">
        <f>HYPERLINK("https://klasma.github.io/Logging_2303/klagomål/A 41490-2022 FSC-klagomål.docx", "A 41490-2022")</f>
        <v/>
      </c>
      <c r="W181">
        <f>HYPERLINK("https://klasma.github.io/Logging_2303/klagomålsmail/A 41490-2022 FSC-klagomål mail.docx", "A 41490-2022")</f>
        <v/>
      </c>
      <c r="X181">
        <f>HYPERLINK("https://klasma.github.io/Logging_2303/tillsyn/A 41490-2022 tillsynsbegäran.docx", "A 41490-2022")</f>
        <v/>
      </c>
      <c r="Y181">
        <f>HYPERLINK("https://klasma.github.io/Logging_2303/tillsynsmail/A 41490-2022 tillsynsbegäran mail.docx", "A 41490-2022")</f>
        <v/>
      </c>
    </row>
    <row r="182" ht="15" customHeight="1">
      <c r="A182" t="inlineStr">
        <is>
          <t>A 31960-2025</t>
        </is>
      </c>
      <c r="B182" s="1" t="n">
        <v>45835.344375</v>
      </c>
      <c r="C182" s="1" t="n">
        <v>45981</v>
      </c>
      <c r="D182" t="inlineStr">
        <is>
          <t>JÄMTLANDS LÄN</t>
        </is>
      </c>
      <c r="E182" t="inlineStr">
        <is>
          <t>RAGUNDA</t>
        </is>
      </c>
      <c r="F182" t="inlineStr">
        <is>
          <t>SCA</t>
        </is>
      </c>
      <c r="G182" t="n">
        <v>1.6</v>
      </c>
      <c r="H182" t="n">
        <v>0</v>
      </c>
      <c r="I182" t="n">
        <v>0</v>
      </c>
      <c r="J182" t="n">
        <v>2</v>
      </c>
      <c r="K182" t="n">
        <v>0</v>
      </c>
      <c r="L182" t="n">
        <v>0</v>
      </c>
      <c r="M182" t="n">
        <v>0</v>
      </c>
      <c r="N182" t="n">
        <v>0</v>
      </c>
      <c r="O182" t="n">
        <v>2</v>
      </c>
      <c r="P182" t="n">
        <v>0</v>
      </c>
      <c r="Q182" t="n">
        <v>2</v>
      </c>
      <c r="R182" s="2" t="inlineStr">
        <is>
          <t>Gammelgransskål
Garnlav</t>
        </is>
      </c>
      <c r="S182">
        <f>HYPERLINK("https://klasma.github.io/Logging_2303/artfynd/A 31960-2025 artfynd.xlsx", "A 31960-2025")</f>
        <v/>
      </c>
      <c r="T182">
        <f>HYPERLINK("https://klasma.github.io/Logging_2303/kartor/A 31960-2025 karta.png", "A 31960-2025")</f>
        <v/>
      </c>
      <c r="V182">
        <f>HYPERLINK("https://klasma.github.io/Logging_2303/klagomål/A 31960-2025 FSC-klagomål.docx", "A 31960-2025")</f>
        <v/>
      </c>
      <c r="W182">
        <f>HYPERLINK("https://klasma.github.io/Logging_2303/klagomålsmail/A 31960-2025 FSC-klagomål mail.docx", "A 31960-2025")</f>
        <v/>
      </c>
      <c r="X182">
        <f>HYPERLINK("https://klasma.github.io/Logging_2303/tillsyn/A 31960-2025 tillsynsbegäran.docx", "A 31960-2025")</f>
        <v/>
      </c>
      <c r="Y182">
        <f>HYPERLINK("https://klasma.github.io/Logging_2303/tillsynsmail/A 31960-2025 tillsynsbegäran mail.docx", "A 31960-2025")</f>
        <v/>
      </c>
    </row>
    <row r="183" ht="15" customHeight="1">
      <c r="A183" t="inlineStr">
        <is>
          <t>A 26482-2023</t>
        </is>
      </c>
      <c r="B183" s="1" t="n">
        <v>45089</v>
      </c>
      <c r="C183" s="1" t="n">
        <v>45981</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14502-2024</t>
        </is>
      </c>
      <c r="B184" s="1" t="n">
        <v>45394</v>
      </c>
      <c r="C184" s="1" t="n">
        <v>45981</v>
      </c>
      <c r="D184" t="inlineStr">
        <is>
          <t>JÄMTLANDS LÄN</t>
        </is>
      </c>
      <c r="E184" t="inlineStr">
        <is>
          <t>RAGUNDA</t>
        </is>
      </c>
      <c r="G184" t="n">
        <v>11.6</v>
      </c>
      <c r="H184" t="n">
        <v>0</v>
      </c>
      <c r="I184" t="n">
        <v>0</v>
      </c>
      <c r="J184" t="n">
        <v>2</v>
      </c>
      <c r="K184" t="n">
        <v>0</v>
      </c>
      <c r="L184" t="n">
        <v>0</v>
      </c>
      <c r="M184" t="n">
        <v>0</v>
      </c>
      <c r="N184" t="n">
        <v>0</v>
      </c>
      <c r="O184" t="n">
        <v>2</v>
      </c>
      <c r="P184" t="n">
        <v>0</v>
      </c>
      <c r="Q184" t="n">
        <v>2</v>
      </c>
      <c r="R184" s="2" t="inlineStr">
        <is>
          <t>Garnlav
Stjärntagging</t>
        </is>
      </c>
      <c r="S184">
        <f>HYPERLINK("https://klasma.github.io/Logging_2303/artfynd/A 14502-2024 artfynd.xlsx", "A 14502-2024")</f>
        <v/>
      </c>
      <c r="T184">
        <f>HYPERLINK("https://klasma.github.io/Logging_2303/kartor/A 14502-2024 karta.png", "A 14502-2024")</f>
        <v/>
      </c>
      <c r="V184">
        <f>HYPERLINK("https://klasma.github.io/Logging_2303/klagomål/A 14502-2024 FSC-klagomål.docx", "A 14502-2024")</f>
        <v/>
      </c>
      <c r="W184">
        <f>HYPERLINK("https://klasma.github.io/Logging_2303/klagomålsmail/A 14502-2024 FSC-klagomål mail.docx", "A 14502-2024")</f>
        <v/>
      </c>
      <c r="X184">
        <f>HYPERLINK("https://klasma.github.io/Logging_2303/tillsyn/A 14502-2024 tillsynsbegäran.docx", "A 14502-2024")</f>
        <v/>
      </c>
      <c r="Y184">
        <f>HYPERLINK("https://klasma.github.io/Logging_2303/tillsynsmail/A 14502-2024 tillsynsbegäran mail.docx", "A 14502-2024")</f>
        <v/>
      </c>
    </row>
    <row r="185" ht="15" customHeight="1">
      <c r="A185" t="inlineStr">
        <is>
          <t>A 46771-2024</t>
        </is>
      </c>
      <c r="B185" s="1" t="n">
        <v>45583.49642361111</v>
      </c>
      <c r="C185" s="1" t="n">
        <v>45981</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35131-2025</t>
        </is>
      </c>
      <c r="B186" s="1" t="n">
        <v>45852.63597222222</v>
      </c>
      <c r="C186" s="1" t="n">
        <v>45981</v>
      </c>
      <c r="D186" t="inlineStr">
        <is>
          <t>JÄMTLANDS LÄN</t>
        </is>
      </c>
      <c r="E186" t="inlineStr">
        <is>
          <t>RAGUNDA</t>
        </is>
      </c>
      <c r="F186" t="inlineStr">
        <is>
          <t>SCA</t>
        </is>
      </c>
      <c r="G186" t="n">
        <v>6.9</v>
      </c>
      <c r="H186" t="n">
        <v>1</v>
      </c>
      <c r="I186" t="n">
        <v>1</v>
      </c>
      <c r="J186" t="n">
        <v>0</v>
      </c>
      <c r="K186" t="n">
        <v>0</v>
      </c>
      <c r="L186" t="n">
        <v>0</v>
      </c>
      <c r="M186" t="n">
        <v>0</v>
      </c>
      <c r="N186" t="n">
        <v>0</v>
      </c>
      <c r="O186" t="n">
        <v>0</v>
      </c>
      <c r="P186" t="n">
        <v>0</v>
      </c>
      <c r="Q186" t="n">
        <v>2</v>
      </c>
      <c r="R186" s="2" t="inlineStr">
        <is>
          <t>Ögonpyrola
Nattviol</t>
        </is>
      </c>
      <c r="S186">
        <f>HYPERLINK("https://klasma.github.io/Logging_2303/artfynd/A 35131-2025 artfynd.xlsx", "A 35131-2025")</f>
        <v/>
      </c>
      <c r="T186">
        <f>HYPERLINK("https://klasma.github.io/Logging_2303/kartor/A 35131-2025 karta.png", "A 35131-2025")</f>
        <v/>
      </c>
      <c r="V186">
        <f>HYPERLINK("https://klasma.github.io/Logging_2303/klagomål/A 35131-2025 FSC-klagomål.docx", "A 35131-2025")</f>
        <v/>
      </c>
      <c r="W186">
        <f>HYPERLINK("https://klasma.github.io/Logging_2303/klagomålsmail/A 35131-2025 FSC-klagomål mail.docx", "A 35131-2025")</f>
        <v/>
      </c>
      <c r="X186">
        <f>HYPERLINK("https://klasma.github.io/Logging_2303/tillsyn/A 35131-2025 tillsynsbegäran.docx", "A 35131-2025")</f>
        <v/>
      </c>
      <c r="Y186">
        <f>HYPERLINK("https://klasma.github.io/Logging_2303/tillsynsmail/A 35131-2025 tillsynsbegäran mail.docx", "A 35131-2025")</f>
        <v/>
      </c>
    </row>
    <row r="187" ht="15" customHeight="1">
      <c r="A187" t="inlineStr">
        <is>
          <t>A 48084-2022</t>
        </is>
      </c>
      <c r="B187" s="1" t="n">
        <v>44855</v>
      </c>
      <c r="C187" s="1" t="n">
        <v>45981</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26324-2024</t>
        </is>
      </c>
      <c r="B188" s="1" t="n">
        <v>45468.97495370371</v>
      </c>
      <c r="C188" s="1" t="n">
        <v>45981</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51916-2021</t>
        </is>
      </c>
      <c r="B189" s="1" t="n">
        <v>44462</v>
      </c>
      <c r="C189" s="1" t="n">
        <v>45981</v>
      </c>
      <c r="D189" t="inlineStr">
        <is>
          <t>JÄMTLANDS LÄN</t>
        </is>
      </c>
      <c r="E189" t="inlineStr">
        <is>
          <t>RAGUNDA</t>
        </is>
      </c>
      <c r="F189" t="inlineStr">
        <is>
          <t>SCA</t>
        </is>
      </c>
      <c r="G189" t="n">
        <v>3</v>
      </c>
      <c r="H189" t="n">
        <v>1</v>
      </c>
      <c r="I189" t="n">
        <v>0</v>
      </c>
      <c r="J189" t="n">
        <v>1</v>
      </c>
      <c r="K189" t="n">
        <v>0</v>
      </c>
      <c r="L189" t="n">
        <v>0</v>
      </c>
      <c r="M189" t="n">
        <v>0</v>
      </c>
      <c r="N189" t="n">
        <v>0</v>
      </c>
      <c r="O189" t="n">
        <v>1</v>
      </c>
      <c r="P189" t="n">
        <v>0</v>
      </c>
      <c r="Q189" t="n">
        <v>1</v>
      </c>
      <c r="R189" s="2" t="inlineStr">
        <is>
          <t>Varglav</t>
        </is>
      </c>
      <c r="S189">
        <f>HYPERLINK("https://klasma.github.io/Logging_2303/artfynd/A 51916-2021 artfynd.xlsx", "A 51916-2021")</f>
        <v/>
      </c>
      <c r="T189">
        <f>HYPERLINK("https://klasma.github.io/Logging_2303/kartor/A 51916-2021 karta.png", "A 51916-2021")</f>
        <v/>
      </c>
      <c r="V189">
        <f>HYPERLINK("https://klasma.github.io/Logging_2303/klagomål/A 51916-2021 FSC-klagomål.docx", "A 51916-2021")</f>
        <v/>
      </c>
      <c r="W189">
        <f>HYPERLINK("https://klasma.github.io/Logging_2303/klagomålsmail/A 51916-2021 FSC-klagomål mail.docx", "A 51916-2021")</f>
        <v/>
      </c>
      <c r="X189">
        <f>HYPERLINK("https://klasma.github.io/Logging_2303/tillsyn/A 51916-2021 tillsynsbegäran.docx", "A 51916-2021")</f>
        <v/>
      </c>
      <c r="Y189">
        <f>HYPERLINK("https://klasma.github.io/Logging_2303/tillsynsmail/A 51916-2021 tillsynsbegäran mail.docx", "A 51916-2021")</f>
        <v/>
      </c>
    </row>
    <row r="190" ht="15" customHeight="1">
      <c r="A190" t="inlineStr">
        <is>
          <t>A 64363-2020</t>
        </is>
      </c>
      <c r="B190" s="1" t="n">
        <v>44166</v>
      </c>
      <c r="C190" s="1" t="n">
        <v>45981</v>
      </c>
      <c r="D190" t="inlineStr">
        <is>
          <t>JÄMTLANDS LÄN</t>
        </is>
      </c>
      <c r="E190" t="inlineStr">
        <is>
          <t>RAGUNDA</t>
        </is>
      </c>
      <c r="G190" t="n">
        <v>4.5</v>
      </c>
      <c r="H190" t="n">
        <v>1</v>
      </c>
      <c r="I190" t="n">
        <v>0</v>
      </c>
      <c r="J190" t="n">
        <v>0</v>
      </c>
      <c r="K190" t="n">
        <v>1</v>
      </c>
      <c r="L190" t="n">
        <v>0</v>
      </c>
      <c r="M190" t="n">
        <v>0</v>
      </c>
      <c r="N190" t="n">
        <v>0</v>
      </c>
      <c r="O190" t="n">
        <v>1</v>
      </c>
      <c r="P190" t="n">
        <v>1</v>
      </c>
      <c r="Q190" t="n">
        <v>1</v>
      </c>
      <c r="R190" s="2" t="inlineStr">
        <is>
          <t>Bombmurkla</t>
        </is>
      </c>
      <c r="S190">
        <f>HYPERLINK("https://klasma.github.io/Logging_2303/artfynd/A 64363-2020 artfynd.xlsx", "A 64363-2020")</f>
        <v/>
      </c>
      <c r="T190">
        <f>HYPERLINK("https://klasma.github.io/Logging_2303/kartor/A 64363-2020 karta.png", "A 64363-2020")</f>
        <v/>
      </c>
      <c r="V190">
        <f>HYPERLINK("https://klasma.github.io/Logging_2303/klagomål/A 64363-2020 FSC-klagomål.docx", "A 64363-2020")</f>
        <v/>
      </c>
      <c r="W190">
        <f>HYPERLINK("https://klasma.github.io/Logging_2303/klagomålsmail/A 64363-2020 FSC-klagomål mail.docx", "A 64363-2020")</f>
        <v/>
      </c>
      <c r="X190">
        <f>HYPERLINK("https://klasma.github.io/Logging_2303/tillsyn/A 64363-2020 tillsynsbegäran.docx", "A 64363-2020")</f>
        <v/>
      </c>
      <c r="Y190">
        <f>HYPERLINK("https://klasma.github.io/Logging_2303/tillsynsmail/A 64363-2020 tillsynsbegäran mail.docx", "A 64363-2020")</f>
        <v/>
      </c>
    </row>
    <row r="191" ht="15" customHeight="1">
      <c r="A191" t="inlineStr">
        <is>
          <t>A 21275-2022</t>
        </is>
      </c>
      <c r="B191" s="1" t="n">
        <v>44705</v>
      </c>
      <c r="C191" s="1" t="n">
        <v>45981</v>
      </c>
      <c r="D191" t="inlineStr">
        <is>
          <t>JÄMTLANDS LÄN</t>
        </is>
      </c>
      <c r="E191" t="inlineStr">
        <is>
          <t>RAGUNDA</t>
        </is>
      </c>
      <c r="G191" t="n">
        <v>2.2</v>
      </c>
      <c r="H191" t="n">
        <v>0</v>
      </c>
      <c r="I191" t="n">
        <v>1</v>
      </c>
      <c r="J191" t="n">
        <v>0</v>
      </c>
      <c r="K191" t="n">
        <v>0</v>
      </c>
      <c r="L191" t="n">
        <v>0</v>
      </c>
      <c r="M191" t="n">
        <v>0</v>
      </c>
      <c r="N191" t="n">
        <v>0</v>
      </c>
      <c r="O191" t="n">
        <v>0</v>
      </c>
      <c r="P191" t="n">
        <v>0</v>
      </c>
      <c r="Q191" t="n">
        <v>1</v>
      </c>
      <c r="R191" s="2" t="inlineStr">
        <is>
          <t>Kransrams</t>
        </is>
      </c>
      <c r="S191">
        <f>HYPERLINK("https://klasma.github.io/Logging_2303/artfynd/A 21275-2022 artfynd.xlsx", "A 21275-2022")</f>
        <v/>
      </c>
      <c r="T191">
        <f>HYPERLINK("https://klasma.github.io/Logging_2303/kartor/A 21275-2022 karta.png", "A 21275-2022")</f>
        <v/>
      </c>
      <c r="V191">
        <f>HYPERLINK("https://klasma.github.io/Logging_2303/klagomål/A 21275-2022 FSC-klagomål.docx", "A 21275-2022")</f>
        <v/>
      </c>
      <c r="W191">
        <f>HYPERLINK("https://klasma.github.io/Logging_2303/klagomålsmail/A 21275-2022 FSC-klagomål mail.docx", "A 21275-2022")</f>
        <v/>
      </c>
      <c r="X191">
        <f>HYPERLINK("https://klasma.github.io/Logging_2303/tillsyn/A 21275-2022 tillsynsbegäran.docx", "A 21275-2022")</f>
        <v/>
      </c>
      <c r="Y191">
        <f>HYPERLINK("https://klasma.github.io/Logging_2303/tillsynsmail/A 21275-2022 tillsynsbegäran mail.docx", "A 21275-2022")</f>
        <v/>
      </c>
    </row>
    <row r="192" ht="15" customHeight="1">
      <c r="A192" t="inlineStr">
        <is>
          <t>A 27273-2022</t>
        </is>
      </c>
      <c r="B192" s="1" t="n">
        <v>44741</v>
      </c>
      <c r="C192" s="1" t="n">
        <v>45981</v>
      </c>
      <c r="D192" t="inlineStr">
        <is>
          <t>JÄMTLANDS LÄN</t>
        </is>
      </c>
      <c r="E192" t="inlineStr">
        <is>
          <t>RAGUNDA</t>
        </is>
      </c>
      <c r="G192" t="n">
        <v>1.2</v>
      </c>
      <c r="H192" t="n">
        <v>0</v>
      </c>
      <c r="I192" t="n">
        <v>1</v>
      </c>
      <c r="J192" t="n">
        <v>0</v>
      </c>
      <c r="K192" t="n">
        <v>0</v>
      </c>
      <c r="L192" t="n">
        <v>0</v>
      </c>
      <c r="M192" t="n">
        <v>0</v>
      </c>
      <c r="N192" t="n">
        <v>0</v>
      </c>
      <c r="O192" t="n">
        <v>0</v>
      </c>
      <c r="P192" t="n">
        <v>0</v>
      </c>
      <c r="Q192" t="n">
        <v>1</v>
      </c>
      <c r="R192" s="2" t="inlineStr">
        <is>
          <t>Svart trolldruva</t>
        </is>
      </c>
      <c r="S192">
        <f>HYPERLINK("https://klasma.github.io/Logging_2303/artfynd/A 27273-2022 artfynd.xlsx", "A 27273-2022")</f>
        <v/>
      </c>
      <c r="T192">
        <f>HYPERLINK("https://klasma.github.io/Logging_2303/kartor/A 27273-2022 karta.png", "A 27273-2022")</f>
        <v/>
      </c>
      <c r="V192">
        <f>HYPERLINK("https://klasma.github.io/Logging_2303/klagomål/A 27273-2022 FSC-klagomål.docx", "A 27273-2022")</f>
        <v/>
      </c>
      <c r="W192">
        <f>HYPERLINK("https://klasma.github.io/Logging_2303/klagomålsmail/A 27273-2022 FSC-klagomål mail.docx", "A 27273-2022")</f>
        <v/>
      </c>
      <c r="X192">
        <f>HYPERLINK("https://klasma.github.io/Logging_2303/tillsyn/A 27273-2022 tillsynsbegäran.docx", "A 27273-2022")</f>
        <v/>
      </c>
      <c r="Y192">
        <f>HYPERLINK("https://klasma.github.io/Logging_2303/tillsynsmail/A 27273-2022 tillsynsbegäran mail.docx", "A 27273-2022")</f>
        <v/>
      </c>
    </row>
    <row r="193" ht="15" customHeight="1">
      <c r="A193" t="inlineStr">
        <is>
          <t>A 31477-2022</t>
        </is>
      </c>
      <c r="B193" s="1" t="n">
        <v>44774.94347222222</v>
      </c>
      <c r="C193" s="1" t="n">
        <v>45981</v>
      </c>
      <c r="D193" t="inlineStr">
        <is>
          <t>JÄMTLANDS LÄN</t>
        </is>
      </c>
      <c r="E193" t="inlineStr">
        <is>
          <t>RAGUNDA</t>
        </is>
      </c>
      <c r="F193" t="inlineStr">
        <is>
          <t>SCA</t>
        </is>
      </c>
      <c r="G193" t="n">
        <v>1.8</v>
      </c>
      <c r="H193" t="n">
        <v>0</v>
      </c>
      <c r="I193" t="n">
        <v>0</v>
      </c>
      <c r="J193" t="n">
        <v>1</v>
      </c>
      <c r="K193" t="n">
        <v>0</v>
      </c>
      <c r="L193" t="n">
        <v>0</v>
      </c>
      <c r="M193" t="n">
        <v>0</v>
      </c>
      <c r="N193" t="n">
        <v>0</v>
      </c>
      <c r="O193" t="n">
        <v>1</v>
      </c>
      <c r="P193" t="n">
        <v>0</v>
      </c>
      <c r="Q193" t="n">
        <v>1</v>
      </c>
      <c r="R193" s="2" t="inlineStr">
        <is>
          <t>Garnlav</t>
        </is>
      </c>
      <c r="S193">
        <f>HYPERLINK("https://klasma.github.io/Logging_2303/artfynd/A 31477-2022 artfynd.xlsx", "A 31477-2022")</f>
        <v/>
      </c>
      <c r="T193">
        <f>HYPERLINK("https://klasma.github.io/Logging_2303/kartor/A 31477-2022 karta.png", "A 31477-2022")</f>
        <v/>
      </c>
      <c r="V193">
        <f>HYPERLINK("https://klasma.github.io/Logging_2303/klagomål/A 31477-2022 FSC-klagomål.docx", "A 31477-2022")</f>
        <v/>
      </c>
      <c r="W193">
        <f>HYPERLINK("https://klasma.github.io/Logging_2303/klagomålsmail/A 31477-2022 FSC-klagomål mail.docx", "A 31477-2022")</f>
        <v/>
      </c>
      <c r="X193">
        <f>HYPERLINK("https://klasma.github.io/Logging_2303/tillsyn/A 31477-2022 tillsynsbegäran.docx", "A 31477-2022")</f>
        <v/>
      </c>
      <c r="Y193">
        <f>HYPERLINK("https://klasma.github.io/Logging_2303/tillsynsmail/A 31477-2022 tillsynsbegäran mail.docx", "A 31477-2022")</f>
        <v/>
      </c>
    </row>
    <row r="194" ht="15" customHeight="1">
      <c r="A194" t="inlineStr">
        <is>
          <t>A 6703-2024</t>
        </is>
      </c>
      <c r="B194" s="1" t="n">
        <v>45341</v>
      </c>
      <c r="C194" s="1" t="n">
        <v>45981</v>
      </c>
      <c r="D194" t="inlineStr">
        <is>
          <t>JÄMTLANDS LÄN</t>
        </is>
      </c>
      <c r="E194" t="inlineStr">
        <is>
          <t>RAGUNDA</t>
        </is>
      </c>
      <c r="F194" t="inlineStr">
        <is>
          <t>SCA</t>
        </is>
      </c>
      <c r="G194" t="n">
        <v>2.4</v>
      </c>
      <c r="H194" t="n">
        <v>0</v>
      </c>
      <c r="I194" t="n">
        <v>0</v>
      </c>
      <c r="J194" t="n">
        <v>1</v>
      </c>
      <c r="K194" t="n">
        <v>0</v>
      </c>
      <c r="L194" t="n">
        <v>0</v>
      </c>
      <c r="M194" t="n">
        <v>0</v>
      </c>
      <c r="N194" t="n">
        <v>0</v>
      </c>
      <c r="O194" t="n">
        <v>1</v>
      </c>
      <c r="P194" t="n">
        <v>0</v>
      </c>
      <c r="Q194" t="n">
        <v>1</v>
      </c>
      <c r="R194" s="2" t="inlineStr">
        <is>
          <t>Vitgrynig nållav</t>
        </is>
      </c>
      <c r="S194">
        <f>HYPERLINK("https://klasma.github.io/Logging_2303/artfynd/A 6703-2024 artfynd.xlsx", "A 6703-2024")</f>
        <v/>
      </c>
      <c r="T194">
        <f>HYPERLINK("https://klasma.github.io/Logging_2303/kartor/A 6703-2024 karta.png", "A 6703-2024")</f>
        <v/>
      </c>
      <c r="V194">
        <f>HYPERLINK("https://klasma.github.io/Logging_2303/klagomål/A 6703-2024 FSC-klagomål.docx", "A 6703-2024")</f>
        <v/>
      </c>
      <c r="W194">
        <f>HYPERLINK("https://klasma.github.io/Logging_2303/klagomålsmail/A 6703-2024 FSC-klagomål mail.docx", "A 6703-2024")</f>
        <v/>
      </c>
      <c r="X194">
        <f>HYPERLINK("https://klasma.github.io/Logging_2303/tillsyn/A 6703-2024 tillsynsbegäran.docx", "A 6703-2024")</f>
        <v/>
      </c>
      <c r="Y194">
        <f>HYPERLINK("https://klasma.github.io/Logging_2303/tillsynsmail/A 6703-2024 tillsynsbegäran mail.docx", "A 6703-2024")</f>
        <v/>
      </c>
    </row>
    <row r="195" ht="15" customHeight="1">
      <c r="A195" t="inlineStr">
        <is>
          <t>A 16316-2025</t>
        </is>
      </c>
      <c r="B195" s="1" t="n">
        <v>45751.34795138889</v>
      </c>
      <c r="C195" s="1" t="n">
        <v>45981</v>
      </c>
      <c r="D195" t="inlineStr">
        <is>
          <t>JÄMTLANDS LÄN</t>
        </is>
      </c>
      <c r="E195" t="inlineStr">
        <is>
          <t>RAGUNDA</t>
        </is>
      </c>
      <c r="F195" t="inlineStr">
        <is>
          <t>SCA</t>
        </is>
      </c>
      <c r="G195" t="n">
        <v>1.7</v>
      </c>
      <c r="H195" t="n">
        <v>1</v>
      </c>
      <c r="I195" t="n">
        <v>0</v>
      </c>
      <c r="J195" t="n">
        <v>0</v>
      </c>
      <c r="K195" t="n">
        <v>0</v>
      </c>
      <c r="L195" t="n">
        <v>0</v>
      </c>
      <c r="M195" t="n">
        <v>0</v>
      </c>
      <c r="N195" t="n">
        <v>0</v>
      </c>
      <c r="O195" t="n">
        <v>0</v>
      </c>
      <c r="P195" t="n">
        <v>0</v>
      </c>
      <c r="Q195" t="n">
        <v>1</v>
      </c>
      <c r="R195" s="2" t="inlineStr">
        <is>
          <t>Dactylorhiza incarnata subsp. incarnata</t>
        </is>
      </c>
      <c r="S195">
        <f>HYPERLINK("https://klasma.github.io/Logging_2303/artfynd/A 16316-2025 artfynd.xlsx", "A 16316-2025")</f>
        <v/>
      </c>
      <c r="T195">
        <f>HYPERLINK("https://klasma.github.io/Logging_2303/kartor/A 16316-2025 karta.png", "A 16316-2025")</f>
        <v/>
      </c>
      <c r="V195">
        <f>HYPERLINK("https://klasma.github.io/Logging_2303/klagomål/A 16316-2025 FSC-klagomål.docx", "A 16316-2025")</f>
        <v/>
      </c>
      <c r="W195">
        <f>HYPERLINK("https://klasma.github.io/Logging_2303/klagomålsmail/A 16316-2025 FSC-klagomål mail.docx", "A 16316-2025")</f>
        <v/>
      </c>
      <c r="X195">
        <f>HYPERLINK("https://klasma.github.io/Logging_2303/tillsyn/A 16316-2025 tillsynsbegäran.docx", "A 16316-2025")</f>
        <v/>
      </c>
      <c r="Y195">
        <f>HYPERLINK("https://klasma.github.io/Logging_2303/tillsynsmail/A 16316-2025 tillsynsbegäran mail.docx", "A 16316-2025")</f>
        <v/>
      </c>
    </row>
    <row r="196" ht="15" customHeight="1">
      <c r="A196" t="inlineStr">
        <is>
          <t>A 42899-2022</t>
        </is>
      </c>
      <c r="B196" s="1" t="n">
        <v>44832</v>
      </c>
      <c r="C196" s="1" t="n">
        <v>45981</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20575-2025</t>
        </is>
      </c>
      <c r="B197" s="1" t="n">
        <v>45775.67769675926</v>
      </c>
      <c r="C197" s="1" t="n">
        <v>45981</v>
      </c>
      <c r="D197" t="inlineStr">
        <is>
          <t>JÄMTLANDS LÄN</t>
        </is>
      </c>
      <c r="E197" t="inlineStr">
        <is>
          <t>RAGUNDA</t>
        </is>
      </c>
      <c r="F197" t="inlineStr">
        <is>
          <t>SCA</t>
        </is>
      </c>
      <c r="G197" t="n">
        <v>8.1</v>
      </c>
      <c r="H197" t="n">
        <v>1</v>
      </c>
      <c r="I197" t="n">
        <v>0</v>
      </c>
      <c r="J197" t="n">
        <v>1</v>
      </c>
      <c r="K197" t="n">
        <v>0</v>
      </c>
      <c r="L197" t="n">
        <v>0</v>
      </c>
      <c r="M197" t="n">
        <v>0</v>
      </c>
      <c r="N197" t="n">
        <v>0</v>
      </c>
      <c r="O197" t="n">
        <v>1</v>
      </c>
      <c r="P197" t="n">
        <v>0</v>
      </c>
      <c r="Q197" t="n">
        <v>1</v>
      </c>
      <c r="R197" s="2" t="inlineStr">
        <is>
          <t>Skogsfru</t>
        </is>
      </c>
      <c r="S197">
        <f>HYPERLINK("https://klasma.github.io/Logging_2303/artfynd/A 20575-2025 artfynd.xlsx", "A 20575-2025")</f>
        <v/>
      </c>
      <c r="T197">
        <f>HYPERLINK("https://klasma.github.io/Logging_2303/kartor/A 20575-2025 karta.png", "A 20575-2025")</f>
        <v/>
      </c>
      <c r="V197">
        <f>HYPERLINK("https://klasma.github.io/Logging_2303/klagomål/A 20575-2025 FSC-klagomål.docx", "A 20575-2025")</f>
        <v/>
      </c>
      <c r="W197">
        <f>HYPERLINK("https://klasma.github.io/Logging_2303/klagomålsmail/A 20575-2025 FSC-klagomål mail.docx", "A 20575-2025")</f>
        <v/>
      </c>
      <c r="X197">
        <f>HYPERLINK("https://klasma.github.io/Logging_2303/tillsyn/A 20575-2025 tillsynsbegäran.docx", "A 20575-2025")</f>
        <v/>
      </c>
      <c r="Y197">
        <f>HYPERLINK("https://klasma.github.io/Logging_2303/tillsynsmail/A 20575-2025 tillsynsbegäran mail.docx", "A 20575-2025")</f>
        <v/>
      </c>
    </row>
    <row r="198" ht="15" customHeight="1">
      <c r="A198" t="inlineStr">
        <is>
          <t>A 27286-2022</t>
        </is>
      </c>
      <c r="B198" s="1" t="n">
        <v>44741</v>
      </c>
      <c r="C198" s="1" t="n">
        <v>45981</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59104-2023</t>
        </is>
      </c>
      <c r="B199" s="1" t="n">
        <v>45252</v>
      </c>
      <c r="C199" s="1" t="n">
        <v>45981</v>
      </c>
      <c r="D199" t="inlineStr">
        <is>
          <t>JÄMTLANDS LÄN</t>
        </is>
      </c>
      <c r="E199" t="inlineStr">
        <is>
          <t>RAGUNDA</t>
        </is>
      </c>
      <c r="F199" t="inlineStr">
        <is>
          <t>SCA</t>
        </is>
      </c>
      <c r="G199" t="n">
        <v>4.2</v>
      </c>
      <c r="H199" t="n">
        <v>0</v>
      </c>
      <c r="I199" t="n">
        <v>0</v>
      </c>
      <c r="J199" t="n">
        <v>1</v>
      </c>
      <c r="K199" t="n">
        <v>0</v>
      </c>
      <c r="L199" t="n">
        <v>0</v>
      </c>
      <c r="M199" t="n">
        <v>0</v>
      </c>
      <c r="N199" t="n">
        <v>0</v>
      </c>
      <c r="O199" t="n">
        <v>1</v>
      </c>
      <c r="P199" t="n">
        <v>0</v>
      </c>
      <c r="Q199" t="n">
        <v>1</v>
      </c>
      <c r="R199" s="2" t="inlineStr">
        <is>
          <t>Ullticka</t>
        </is>
      </c>
      <c r="S199">
        <f>HYPERLINK("https://klasma.github.io/Logging_2303/artfynd/A 59104-2023 artfynd.xlsx", "A 59104-2023")</f>
        <v/>
      </c>
      <c r="T199">
        <f>HYPERLINK("https://klasma.github.io/Logging_2303/kartor/A 59104-2023 karta.png", "A 59104-2023")</f>
        <v/>
      </c>
      <c r="V199">
        <f>HYPERLINK("https://klasma.github.io/Logging_2303/klagomål/A 59104-2023 FSC-klagomål.docx", "A 59104-2023")</f>
        <v/>
      </c>
      <c r="W199">
        <f>HYPERLINK("https://klasma.github.io/Logging_2303/klagomålsmail/A 59104-2023 FSC-klagomål mail.docx", "A 59104-2023")</f>
        <v/>
      </c>
      <c r="X199">
        <f>HYPERLINK("https://klasma.github.io/Logging_2303/tillsyn/A 59104-2023 tillsynsbegäran.docx", "A 59104-2023")</f>
        <v/>
      </c>
      <c r="Y199">
        <f>HYPERLINK("https://klasma.github.io/Logging_2303/tillsynsmail/A 59104-2023 tillsynsbegäran mail.docx", "A 59104-2023")</f>
        <v/>
      </c>
    </row>
    <row r="200" ht="15" customHeight="1">
      <c r="A200" t="inlineStr">
        <is>
          <t>A 25694-2023</t>
        </is>
      </c>
      <c r="B200" s="1" t="n">
        <v>45089</v>
      </c>
      <c r="C200" s="1" t="n">
        <v>45981</v>
      </c>
      <c r="D200" t="inlineStr">
        <is>
          <t>JÄMTLANDS LÄN</t>
        </is>
      </c>
      <c r="E200" t="inlineStr">
        <is>
          <t>RAGUNDA</t>
        </is>
      </c>
      <c r="F200" t="inlineStr">
        <is>
          <t>SCA</t>
        </is>
      </c>
      <c r="G200" t="n">
        <v>1.5</v>
      </c>
      <c r="H200" t="n">
        <v>0</v>
      </c>
      <c r="I200" t="n">
        <v>0</v>
      </c>
      <c r="J200" t="n">
        <v>1</v>
      </c>
      <c r="K200" t="n">
        <v>0</v>
      </c>
      <c r="L200" t="n">
        <v>0</v>
      </c>
      <c r="M200" t="n">
        <v>0</v>
      </c>
      <c r="N200" t="n">
        <v>0</v>
      </c>
      <c r="O200" t="n">
        <v>1</v>
      </c>
      <c r="P200" t="n">
        <v>0</v>
      </c>
      <c r="Q200" t="n">
        <v>1</v>
      </c>
      <c r="R200" s="2" t="inlineStr">
        <is>
          <t>Ullticka</t>
        </is>
      </c>
      <c r="S200">
        <f>HYPERLINK("https://klasma.github.io/Logging_2303/artfynd/A 25694-2023 artfynd.xlsx", "A 25694-2023")</f>
        <v/>
      </c>
      <c r="T200">
        <f>HYPERLINK("https://klasma.github.io/Logging_2303/kartor/A 25694-2023 karta.png", "A 25694-2023")</f>
        <v/>
      </c>
      <c r="V200">
        <f>HYPERLINK("https://klasma.github.io/Logging_2303/klagomål/A 25694-2023 FSC-klagomål.docx", "A 25694-2023")</f>
        <v/>
      </c>
      <c r="W200">
        <f>HYPERLINK("https://klasma.github.io/Logging_2303/klagomålsmail/A 25694-2023 FSC-klagomål mail.docx", "A 25694-2023")</f>
        <v/>
      </c>
      <c r="X200">
        <f>HYPERLINK("https://klasma.github.io/Logging_2303/tillsyn/A 25694-2023 tillsynsbegäran.docx", "A 25694-2023")</f>
        <v/>
      </c>
      <c r="Y200">
        <f>HYPERLINK("https://klasma.github.io/Logging_2303/tillsynsmail/A 25694-2023 tillsynsbegäran mail.docx", "A 25694-2023")</f>
        <v/>
      </c>
    </row>
    <row r="201" ht="15" customHeight="1">
      <c r="A201" t="inlineStr">
        <is>
          <t>A 36757-2023</t>
        </is>
      </c>
      <c r="B201" s="1" t="n">
        <v>45153</v>
      </c>
      <c r="C201" s="1" t="n">
        <v>45981</v>
      </c>
      <c r="D201" t="inlineStr">
        <is>
          <t>JÄMTLANDS LÄN</t>
        </is>
      </c>
      <c r="E201" t="inlineStr">
        <is>
          <t>RAGUNDA</t>
        </is>
      </c>
      <c r="G201" t="n">
        <v>0.7</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36757-2023 artfynd.xlsx", "A 36757-2023")</f>
        <v/>
      </c>
      <c r="T201">
        <f>HYPERLINK("https://klasma.github.io/Logging_2303/kartor/A 36757-2023 karta.png", "A 36757-2023")</f>
        <v/>
      </c>
      <c r="V201">
        <f>HYPERLINK("https://klasma.github.io/Logging_2303/klagomål/A 36757-2023 FSC-klagomål.docx", "A 36757-2023")</f>
        <v/>
      </c>
      <c r="W201">
        <f>HYPERLINK("https://klasma.github.io/Logging_2303/klagomålsmail/A 36757-2023 FSC-klagomål mail.docx", "A 36757-2023")</f>
        <v/>
      </c>
      <c r="X201">
        <f>HYPERLINK("https://klasma.github.io/Logging_2303/tillsyn/A 36757-2023 tillsynsbegäran.docx", "A 36757-2023")</f>
        <v/>
      </c>
      <c r="Y201">
        <f>HYPERLINK("https://klasma.github.io/Logging_2303/tillsynsmail/A 36757-2023 tillsynsbegäran mail.docx", "A 36757-2023")</f>
        <v/>
      </c>
      <c r="Z201">
        <f>HYPERLINK("https://klasma.github.io/Logging_2303/fåglar/A 36757-2023 prioriterade fågelarter.docx", "A 36757-2023")</f>
        <v/>
      </c>
    </row>
    <row r="202" ht="15" customHeight="1">
      <c r="A202" t="inlineStr">
        <is>
          <t>A 21212-2025</t>
        </is>
      </c>
      <c r="B202" s="1" t="n">
        <v>45779.48993055556</v>
      </c>
      <c r="C202" s="1" t="n">
        <v>45981</v>
      </c>
      <c r="D202" t="inlineStr">
        <is>
          <t>JÄMTLANDS LÄN</t>
        </is>
      </c>
      <c r="E202" t="inlineStr">
        <is>
          <t>RAGUNDA</t>
        </is>
      </c>
      <c r="F202" t="inlineStr">
        <is>
          <t>SCA</t>
        </is>
      </c>
      <c r="G202" t="n">
        <v>2.6</v>
      </c>
      <c r="H202" t="n">
        <v>0</v>
      </c>
      <c r="I202" t="n">
        <v>0</v>
      </c>
      <c r="J202" t="n">
        <v>1</v>
      </c>
      <c r="K202" t="n">
        <v>0</v>
      </c>
      <c r="L202" t="n">
        <v>0</v>
      </c>
      <c r="M202" t="n">
        <v>0</v>
      </c>
      <c r="N202" t="n">
        <v>0</v>
      </c>
      <c r="O202" t="n">
        <v>1</v>
      </c>
      <c r="P202" t="n">
        <v>0</v>
      </c>
      <c r="Q202" t="n">
        <v>1</v>
      </c>
      <c r="R202" s="2" t="inlineStr">
        <is>
          <t>Garnlav</t>
        </is>
      </c>
      <c r="S202">
        <f>HYPERLINK("https://klasma.github.io/Logging_2303/artfynd/A 21212-2025 artfynd.xlsx", "A 21212-2025")</f>
        <v/>
      </c>
      <c r="T202">
        <f>HYPERLINK("https://klasma.github.io/Logging_2303/kartor/A 21212-2025 karta.png", "A 21212-2025")</f>
        <v/>
      </c>
      <c r="V202">
        <f>HYPERLINK("https://klasma.github.io/Logging_2303/klagomål/A 21212-2025 FSC-klagomål.docx", "A 21212-2025")</f>
        <v/>
      </c>
      <c r="W202">
        <f>HYPERLINK("https://klasma.github.io/Logging_2303/klagomålsmail/A 21212-2025 FSC-klagomål mail.docx", "A 21212-2025")</f>
        <v/>
      </c>
      <c r="X202">
        <f>HYPERLINK("https://klasma.github.io/Logging_2303/tillsyn/A 21212-2025 tillsynsbegäran.docx", "A 21212-2025")</f>
        <v/>
      </c>
      <c r="Y202">
        <f>HYPERLINK("https://klasma.github.io/Logging_2303/tillsynsmail/A 21212-2025 tillsynsbegäran mail.docx", "A 21212-2025")</f>
        <v/>
      </c>
    </row>
    <row r="203" ht="15" customHeight="1">
      <c r="A203" t="inlineStr">
        <is>
          <t>A 11040-2023</t>
        </is>
      </c>
      <c r="B203" s="1" t="n">
        <v>44991</v>
      </c>
      <c r="C203" s="1" t="n">
        <v>45981</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29921-2024</t>
        </is>
      </c>
      <c r="B204" s="1" t="n">
        <v>45487.92863425926</v>
      </c>
      <c r="C204" s="1" t="n">
        <v>45981</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36975-2023</t>
        </is>
      </c>
      <c r="B205" s="1" t="n">
        <v>45154</v>
      </c>
      <c r="C205" s="1" t="n">
        <v>45981</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50233-2024</t>
        </is>
      </c>
      <c r="B206" s="1" t="n">
        <v>45600.55265046296</v>
      </c>
      <c r="C206" s="1" t="n">
        <v>45981</v>
      </c>
      <c r="D206" t="inlineStr">
        <is>
          <t>JÄMTLANDS LÄN</t>
        </is>
      </c>
      <c r="E206" t="inlineStr">
        <is>
          <t>RAGUNDA</t>
        </is>
      </c>
      <c r="F206" t="inlineStr">
        <is>
          <t>SCA</t>
        </is>
      </c>
      <c r="G206" t="n">
        <v>5.6</v>
      </c>
      <c r="H206" t="n">
        <v>0</v>
      </c>
      <c r="I206" t="n">
        <v>0</v>
      </c>
      <c r="J206" t="n">
        <v>1</v>
      </c>
      <c r="K206" t="n">
        <v>0</v>
      </c>
      <c r="L206" t="n">
        <v>0</v>
      </c>
      <c r="M206" t="n">
        <v>0</v>
      </c>
      <c r="N206" t="n">
        <v>0</v>
      </c>
      <c r="O206" t="n">
        <v>1</v>
      </c>
      <c r="P206" t="n">
        <v>0</v>
      </c>
      <c r="Q206" t="n">
        <v>1</v>
      </c>
      <c r="R206" s="2" t="inlineStr">
        <is>
          <t>Granticka</t>
        </is>
      </c>
      <c r="S206">
        <f>HYPERLINK("https://klasma.github.io/Logging_2303/artfynd/A 50233-2024 artfynd.xlsx", "A 50233-2024")</f>
        <v/>
      </c>
      <c r="T206">
        <f>HYPERLINK("https://klasma.github.io/Logging_2303/kartor/A 50233-2024 karta.png", "A 50233-2024")</f>
        <v/>
      </c>
      <c r="V206">
        <f>HYPERLINK("https://klasma.github.io/Logging_2303/klagomål/A 50233-2024 FSC-klagomål.docx", "A 50233-2024")</f>
        <v/>
      </c>
      <c r="W206">
        <f>HYPERLINK("https://klasma.github.io/Logging_2303/klagomålsmail/A 50233-2024 FSC-klagomål mail.docx", "A 50233-2024")</f>
        <v/>
      </c>
      <c r="X206">
        <f>HYPERLINK("https://klasma.github.io/Logging_2303/tillsyn/A 50233-2024 tillsynsbegäran.docx", "A 50233-2024")</f>
        <v/>
      </c>
      <c r="Y206">
        <f>HYPERLINK("https://klasma.github.io/Logging_2303/tillsynsmail/A 50233-2024 tillsynsbegäran mail.docx", "A 50233-2024")</f>
        <v/>
      </c>
    </row>
    <row r="207" ht="15" customHeight="1">
      <c r="A207" t="inlineStr">
        <is>
          <t>A 61324-2024</t>
        </is>
      </c>
      <c r="B207" s="1" t="n">
        <v>45646.34438657408</v>
      </c>
      <c r="C207" s="1" t="n">
        <v>45981</v>
      </c>
      <c r="D207" t="inlineStr">
        <is>
          <t>JÄMTLANDS LÄN</t>
        </is>
      </c>
      <c r="E207" t="inlineStr">
        <is>
          <t>RAGUNDA</t>
        </is>
      </c>
      <c r="F207" t="inlineStr">
        <is>
          <t>SCA</t>
        </is>
      </c>
      <c r="G207" t="n">
        <v>11.2</v>
      </c>
      <c r="H207" t="n">
        <v>1</v>
      </c>
      <c r="I207" t="n">
        <v>0</v>
      </c>
      <c r="J207" t="n">
        <v>0</v>
      </c>
      <c r="K207" t="n">
        <v>0</v>
      </c>
      <c r="L207" t="n">
        <v>0</v>
      </c>
      <c r="M207" t="n">
        <v>0</v>
      </c>
      <c r="N207" t="n">
        <v>0</v>
      </c>
      <c r="O207" t="n">
        <v>0</v>
      </c>
      <c r="P207" t="n">
        <v>0</v>
      </c>
      <c r="Q207" t="n">
        <v>1</v>
      </c>
      <c r="R207" s="2" t="inlineStr">
        <is>
          <t>Trana</t>
        </is>
      </c>
      <c r="S207">
        <f>HYPERLINK("https://klasma.github.io/Logging_2303/artfynd/A 61324-2024 artfynd.xlsx", "A 61324-2024")</f>
        <v/>
      </c>
      <c r="T207">
        <f>HYPERLINK("https://klasma.github.io/Logging_2303/kartor/A 61324-2024 karta.png", "A 61324-2024")</f>
        <v/>
      </c>
      <c r="V207">
        <f>HYPERLINK("https://klasma.github.io/Logging_2303/klagomål/A 61324-2024 FSC-klagomål.docx", "A 61324-2024")</f>
        <v/>
      </c>
      <c r="W207">
        <f>HYPERLINK("https://klasma.github.io/Logging_2303/klagomålsmail/A 61324-2024 FSC-klagomål mail.docx", "A 61324-2024")</f>
        <v/>
      </c>
      <c r="X207">
        <f>HYPERLINK("https://klasma.github.io/Logging_2303/tillsyn/A 61324-2024 tillsynsbegäran.docx", "A 61324-2024")</f>
        <v/>
      </c>
      <c r="Y207">
        <f>HYPERLINK("https://klasma.github.io/Logging_2303/tillsynsmail/A 61324-2024 tillsynsbegäran mail.docx", "A 61324-2024")</f>
        <v/>
      </c>
      <c r="Z207">
        <f>HYPERLINK("https://klasma.github.io/Logging_2303/fåglar/A 61324-2024 prioriterade fågelarter.docx", "A 61324-2024")</f>
        <v/>
      </c>
    </row>
    <row r="208" ht="15" customHeight="1">
      <c r="A208" t="inlineStr">
        <is>
          <t>A 49053-2025</t>
        </is>
      </c>
      <c r="B208" s="1" t="n">
        <v>45937.64009259259</v>
      </c>
      <c r="C208" s="1" t="n">
        <v>45981</v>
      </c>
      <c r="D208" t="inlineStr">
        <is>
          <t>JÄMTLANDS LÄN</t>
        </is>
      </c>
      <c r="E208" t="inlineStr">
        <is>
          <t>RAGUNDA</t>
        </is>
      </c>
      <c r="F208" t="inlineStr">
        <is>
          <t>SCA</t>
        </is>
      </c>
      <c r="G208" t="n">
        <v>7</v>
      </c>
      <c r="H208" t="n">
        <v>1</v>
      </c>
      <c r="I208" t="n">
        <v>1</v>
      </c>
      <c r="J208" t="n">
        <v>0</v>
      </c>
      <c r="K208" t="n">
        <v>0</v>
      </c>
      <c r="L208" t="n">
        <v>0</v>
      </c>
      <c r="M208" t="n">
        <v>0</v>
      </c>
      <c r="N208" t="n">
        <v>0</v>
      </c>
      <c r="O208" t="n">
        <v>0</v>
      </c>
      <c r="P208" t="n">
        <v>0</v>
      </c>
      <c r="Q208" t="n">
        <v>1</v>
      </c>
      <c r="R208" s="2" t="inlineStr">
        <is>
          <t>Guckusko</t>
        </is>
      </c>
      <c r="S208">
        <f>HYPERLINK("https://klasma.github.io/Logging_2303/artfynd/A 49053-2025 artfynd.xlsx", "A 49053-2025")</f>
        <v/>
      </c>
      <c r="T208">
        <f>HYPERLINK("https://klasma.github.io/Logging_2303/kartor/A 49053-2025 karta.png", "A 49053-2025")</f>
        <v/>
      </c>
      <c r="V208">
        <f>HYPERLINK("https://klasma.github.io/Logging_2303/klagomål/A 49053-2025 FSC-klagomål.docx", "A 49053-2025")</f>
        <v/>
      </c>
      <c r="W208">
        <f>HYPERLINK("https://klasma.github.io/Logging_2303/klagomålsmail/A 49053-2025 FSC-klagomål mail.docx", "A 49053-2025")</f>
        <v/>
      </c>
      <c r="X208">
        <f>HYPERLINK("https://klasma.github.io/Logging_2303/tillsyn/A 49053-2025 tillsynsbegäran.docx", "A 49053-2025")</f>
        <v/>
      </c>
      <c r="Y208">
        <f>HYPERLINK("https://klasma.github.io/Logging_2303/tillsynsmail/A 49053-2025 tillsynsbegäran mail.docx", "A 49053-2025")</f>
        <v/>
      </c>
    </row>
    <row r="209" ht="15" customHeight="1">
      <c r="A209" t="inlineStr">
        <is>
          <t>A 40841-2025</t>
        </is>
      </c>
      <c r="B209" s="1" t="n">
        <v>45897.531875</v>
      </c>
      <c r="C209" s="1" t="n">
        <v>45981</v>
      </c>
      <c r="D209" t="inlineStr">
        <is>
          <t>JÄMTLANDS LÄN</t>
        </is>
      </c>
      <c r="E209" t="inlineStr">
        <is>
          <t>RAGUNDA</t>
        </is>
      </c>
      <c r="F209" t="inlineStr">
        <is>
          <t>SCA</t>
        </is>
      </c>
      <c r="G209" t="n">
        <v>1.1</v>
      </c>
      <c r="H209" t="n">
        <v>0</v>
      </c>
      <c r="I209" t="n">
        <v>0</v>
      </c>
      <c r="J209" t="n">
        <v>1</v>
      </c>
      <c r="K209" t="n">
        <v>0</v>
      </c>
      <c r="L209" t="n">
        <v>0</v>
      </c>
      <c r="M209" t="n">
        <v>0</v>
      </c>
      <c r="N209" t="n">
        <v>0</v>
      </c>
      <c r="O209" t="n">
        <v>1</v>
      </c>
      <c r="P209" t="n">
        <v>0</v>
      </c>
      <c r="Q209" t="n">
        <v>1</v>
      </c>
      <c r="R209" s="2" t="inlineStr">
        <is>
          <t>Garnlav</t>
        </is>
      </c>
      <c r="S209">
        <f>HYPERLINK("https://klasma.github.io/Logging_2303/artfynd/A 40841-2025 artfynd.xlsx", "A 40841-2025")</f>
        <v/>
      </c>
      <c r="T209">
        <f>HYPERLINK("https://klasma.github.io/Logging_2303/kartor/A 40841-2025 karta.png", "A 40841-2025")</f>
        <v/>
      </c>
      <c r="V209">
        <f>HYPERLINK("https://klasma.github.io/Logging_2303/klagomål/A 40841-2025 FSC-klagomål.docx", "A 40841-2025")</f>
        <v/>
      </c>
      <c r="W209">
        <f>HYPERLINK("https://klasma.github.io/Logging_2303/klagomålsmail/A 40841-2025 FSC-klagomål mail.docx", "A 40841-2025")</f>
        <v/>
      </c>
      <c r="X209">
        <f>HYPERLINK("https://klasma.github.io/Logging_2303/tillsyn/A 40841-2025 tillsynsbegäran.docx", "A 40841-2025")</f>
        <v/>
      </c>
      <c r="Y209">
        <f>HYPERLINK("https://klasma.github.io/Logging_2303/tillsynsmail/A 40841-2025 tillsynsbegäran mail.docx", "A 40841-2025")</f>
        <v/>
      </c>
    </row>
    <row r="210" ht="15" customHeight="1">
      <c r="A210" t="inlineStr">
        <is>
          <t>A 36224-2023</t>
        </is>
      </c>
      <c r="B210" s="1" t="n">
        <v>45149</v>
      </c>
      <c r="C210" s="1" t="n">
        <v>45981</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44066-2024</t>
        </is>
      </c>
      <c r="B211" s="1" t="n">
        <v>45572.60363425926</v>
      </c>
      <c r="C211" s="1" t="n">
        <v>45981</v>
      </c>
      <c r="D211" t="inlineStr">
        <is>
          <t>JÄMTLANDS LÄN</t>
        </is>
      </c>
      <c r="E211" t="inlineStr">
        <is>
          <t>RAGUNDA</t>
        </is>
      </c>
      <c r="G211" t="n">
        <v>6.4</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44066-2024 artfynd.xlsx", "A 44066-2024")</f>
        <v/>
      </c>
      <c r="T211">
        <f>HYPERLINK("https://klasma.github.io/Logging_2303/kartor/A 44066-2024 karta.png", "A 44066-2024")</f>
        <v/>
      </c>
      <c r="V211">
        <f>HYPERLINK("https://klasma.github.io/Logging_2303/klagomål/A 44066-2024 FSC-klagomål.docx", "A 44066-2024")</f>
        <v/>
      </c>
      <c r="W211">
        <f>HYPERLINK("https://klasma.github.io/Logging_2303/klagomålsmail/A 44066-2024 FSC-klagomål mail.docx", "A 44066-2024")</f>
        <v/>
      </c>
      <c r="X211">
        <f>HYPERLINK("https://klasma.github.io/Logging_2303/tillsyn/A 44066-2024 tillsynsbegäran.docx", "A 44066-2024")</f>
        <v/>
      </c>
      <c r="Y211">
        <f>HYPERLINK("https://klasma.github.io/Logging_2303/tillsynsmail/A 44066-2024 tillsynsbegäran mail.docx", "A 44066-2024")</f>
        <v/>
      </c>
      <c r="Z211">
        <f>HYPERLINK("https://klasma.github.io/Logging_2303/fåglar/A 44066-2024 prioriterade fågelarter.docx", "A 44066-2024")</f>
        <v/>
      </c>
    </row>
    <row r="212" ht="15" customHeight="1">
      <c r="A212" t="inlineStr">
        <is>
          <t>A 32069-2024</t>
        </is>
      </c>
      <c r="B212" s="1" t="n">
        <v>45510</v>
      </c>
      <c r="C212" s="1" t="n">
        <v>45981</v>
      </c>
      <c r="D212" t="inlineStr">
        <is>
          <t>JÄMTLANDS LÄN</t>
        </is>
      </c>
      <c r="E212" t="inlineStr">
        <is>
          <t>RAGUNDA</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HYPERLINK("https://klasma.github.io/Logging_2303/artfynd/A 32069-2024 artfynd.xlsx", "A 32069-2024")</f>
        <v/>
      </c>
      <c r="T212">
        <f>HYPERLINK("https://klasma.github.io/Logging_2303/kartor/A 32069-2024 karta.png", "A 32069-2024")</f>
        <v/>
      </c>
      <c r="V212">
        <f>HYPERLINK("https://klasma.github.io/Logging_2303/klagomål/A 32069-2024 FSC-klagomål.docx", "A 32069-2024")</f>
        <v/>
      </c>
      <c r="W212">
        <f>HYPERLINK("https://klasma.github.io/Logging_2303/klagomålsmail/A 32069-2024 FSC-klagomål mail.docx", "A 32069-2024")</f>
        <v/>
      </c>
      <c r="X212">
        <f>HYPERLINK("https://klasma.github.io/Logging_2303/tillsyn/A 32069-2024 tillsynsbegäran.docx", "A 32069-2024")</f>
        <v/>
      </c>
      <c r="Y212">
        <f>HYPERLINK("https://klasma.github.io/Logging_2303/tillsynsmail/A 32069-2024 tillsynsbegäran mail.docx", "A 32069-2024")</f>
        <v/>
      </c>
    </row>
    <row r="213" ht="15" customHeight="1">
      <c r="A213" t="inlineStr">
        <is>
          <t>A 19751-2025</t>
        </is>
      </c>
      <c r="B213" s="1" t="n">
        <v>45771.3859837963</v>
      </c>
      <c r="C213" s="1" t="n">
        <v>45981</v>
      </c>
      <c r="D213" t="inlineStr">
        <is>
          <t>JÄMTLANDS LÄN</t>
        </is>
      </c>
      <c r="E213" t="inlineStr">
        <is>
          <t>RAGUNDA</t>
        </is>
      </c>
      <c r="F213" t="inlineStr">
        <is>
          <t>SCA</t>
        </is>
      </c>
      <c r="G213" t="n">
        <v>1.1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19751-2025 artfynd.xlsx", "A 19751-2025")</f>
        <v/>
      </c>
      <c r="T213">
        <f>HYPERLINK("https://klasma.github.io/Logging_2303/kartor/A 19751-2025 karta.png", "A 19751-2025")</f>
        <v/>
      </c>
      <c r="V213">
        <f>HYPERLINK("https://klasma.github.io/Logging_2303/klagomål/A 19751-2025 FSC-klagomål.docx", "A 19751-2025")</f>
        <v/>
      </c>
      <c r="W213">
        <f>HYPERLINK("https://klasma.github.io/Logging_2303/klagomålsmail/A 19751-2025 FSC-klagomål mail.docx", "A 19751-2025")</f>
        <v/>
      </c>
      <c r="X213">
        <f>HYPERLINK("https://klasma.github.io/Logging_2303/tillsyn/A 19751-2025 tillsynsbegäran.docx", "A 19751-2025")</f>
        <v/>
      </c>
      <c r="Y213">
        <f>HYPERLINK("https://klasma.github.io/Logging_2303/tillsynsmail/A 19751-2025 tillsynsbegäran mail.docx", "A 19751-2025")</f>
        <v/>
      </c>
      <c r="Z213">
        <f>HYPERLINK("https://klasma.github.io/Logging_2303/fåglar/A 19751-2025 prioriterade fågelarter.docx", "A 19751-2025")</f>
        <v/>
      </c>
    </row>
    <row r="214" ht="15" customHeight="1">
      <c r="A214" t="inlineStr">
        <is>
          <t>A 43404-2023</t>
        </is>
      </c>
      <c r="B214" s="1" t="n">
        <v>45183</v>
      </c>
      <c r="C214" s="1" t="n">
        <v>45981</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24443-2024</t>
        </is>
      </c>
      <c r="B215" s="1" t="n">
        <v>45457.9640625</v>
      </c>
      <c r="C215" s="1" t="n">
        <v>45981</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23930-2024</t>
        </is>
      </c>
      <c r="B216" s="1" t="n">
        <v>45455.96184027778</v>
      </c>
      <c r="C216" s="1" t="n">
        <v>45981</v>
      </c>
      <c r="D216" t="inlineStr">
        <is>
          <t>JÄMTLANDS LÄN</t>
        </is>
      </c>
      <c r="E216" t="inlineStr">
        <is>
          <t>RAGUNDA</t>
        </is>
      </c>
      <c r="F216" t="inlineStr">
        <is>
          <t>SCA</t>
        </is>
      </c>
      <c r="G216" t="n">
        <v>4.2</v>
      </c>
      <c r="H216" t="n">
        <v>1</v>
      </c>
      <c r="I216" t="n">
        <v>1</v>
      </c>
      <c r="J216" t="n">
        <v>0</v>
      </c>
      <c r="K216" t="n">
        <v>0</v>
      </c>
      <c r="L216" t="n">
        <v>0</v>
      </c>
      <c r="M216" t="n">
        <v>0</v>
      </c>
      <c r="N216" t="n">
        <v>0</v>
      </c>
      <c r="O216" t="n">
        <v>0</v>
      </c>
      <c r="P216" t="n">
        <v>0</v>
      </c>
      <c r="Q216" t="n">
        <v>1</v>
      </c>
      <c r="R216" s="2" t="inlineStr">
        <is>
          <t>Guckusko</t>
        </is>
      </c>
      <c r="S216">
        <f>HYPERLINK("https://klasma.github.io/Logging_2303/artfynd/A 23930-2024 artfynd.xlsx", "A 23930-2024")</f>
        <v/>
      </c>
      <c r="T216">
        <f>HYPERLINK("https://klasma.github.io/Logging_2303/kartor/A 23930-2024 karta.png", "A 23930-2024")</f>
        <v/>
      </c>
      <c r="V216">
        <f>HYPERLINK("https://klasma.github.io/Logging_2303/klagomål/A 23930-2024 FSC-klagomål.docx", "A 23930-2024")</f>
        <v/>
      </c>
      <c r="W216">
        <f>HYPERLINK("https://klasma.github.io/Logging_2303/klagomålsmail/A 23930-2024 FSC-klagomål mail.docx", "A 23930-2024")</f>
        <v/>
      </c>
      <c r="X216">
        <f>HYPERLINK("https://klasma.github.io/Logging_2303/tillsyn/A 23930-2024 tillsynsbegäran.docx", "A 23930-2024")</f>
        <v/>
      </c>
      <c r="Y216">
        <f>HYPERLINK("https://klasma.github.io/Logging_2303/tillsynsmail/A 23930-2024 tillsynsbegäran mail.docx", "A 23930-2024")</f>
        <v/>
      </c>
    </row>
    <row r="217" ht="15" customHeight="1">
      <c r="A217" t="inlineStr">
        <is>
          <t>A 19387-2025</t>
        </is>
      </c>
      <c r="B217" s="1" t="n">
        <v>45769.65736111111</v>
      </c>
      <c r="C217" s="1" t="n">
        <v>45981</v>
      </c>
      <c r="D217" t="inlineStr">
        <is>
          <t>JÄMTLANDS LÄN</t>
        </is>
      </c>
      <c r="E217" t="inlineStr">
        <is>
          <t>RAGUNDA</t>
        </is>
      </c>
      <c r="F217" t="inlineStr">
        <is>
          <t>SCA</t>
        </is>
      </c>
      <c r="G217" t="n">
        <v>16.4</v>
      </c>
      <c r="H217" t="n">
        <v>1</v>
      </c>
      <c r="I217" t="n">
        <v>0</v>
      </c>
      <c r="J217" t="n">
        <v>0</v>
      </c>
      <c r="K217" t="n">
        <v>1</v>
      </c>
      <c r="L217" t="n">
        <v>0</v>
      </c>
      <c r="M217" t="n">
        <v>0</v>
      </c>
      <c r="N217" t="n">
        <v>0</v>
      </c>
      <c r="O217" t="n">
        <v>1</v>
      </c>
      <c r="P217" t="n">
        <v>1</v>
      </c>
      <c r="Q217" t="n">
        <v>1</v>
      </c>
      <c r="R217" s="2" t="inlineStr">
        <is>
          <t>Norna</t>
        </is>
      </c>
      <c r="S217">
        <f>HYPERLINK("https://klasma.github.io/Logging_2303/artfynd/A 19387-2025 artfynd.xlsx", "A 19387-2025")</f>
        <v/>
      </c>
      <c r="T217">
        <f>HYPERLINK("https://klasma.github.io/Logging_2303/kartor/A 19387-2025 karta.png", "A 19387-2025")</f>
        <v/>
      </c>
      <c r="V217">
        <f>HYPERLINK("https://klasma.github.io/Logging_2303/klagomål/A 19387-2025 FSC-klagomål.docx", "A 19387-2025")</f>
        <v/>
      </c>
      <c r="W217">
        <f>HYPERLINK("https://klasma.github.io/Logging_2303/klagomålsmail/A 19387-2025 FSC-klagomål mail.docx", "A 19387-2025")</f>
        <v/>
      </c>
      <c r="X217">
        <f>HYPERLINK("https://klasma.github.io/Logging_2303/tillsyn/A 19387-2025 tillsynsbegäran.docx", "A 19387-2025")</f>
        <v/>
      </c>
      <c r="Y217">
        <f>HYPERLINK("https://klasma.github.io/Logging_2303/tillsynsmail/A 19387-2025 tillsynsbegäran mail.docx", "A 19387-2025")</f>
        <v/>
      </c>
    </row>
    <row r="218" ht="15" customHeight="1">
      <c r="A218" t="inlineStr">
        <is>
          <t>A 51912-2025</t>
        </is>
      </c>
      <c r="B218" s="1" t="n">
        <v>45952.46939814815</v>
      </c>
      <c r="C218" s="1" t="n">
        <v>45981</v>
      </c>
      <c r="D218" t="inlineStr">
        <is>
          <t>JÄMTLANDS LÄN</t>
        </is>
      </c>
      <c r="E218" t="inlineStr">
        <is>
          <t>RAGUNDA</t>
        </is>
      </c>
      <c r="F218" t="inlineStr">
        <is>
          <t>SCA</t>
        </is>
      </c>
      <c r="G218" t="n">
        <v>24.2</v>
      </c>
      <c r="H218" t="n">
        <v>1</v>
      </c>
      <c r="I218" t="n">
        <v>0</v>
      </c>
      <c r="J218" t="n">
        <v>0</v>
      </c>
      <c r="K218" t="n">
        <v>1</v>
      </c>
      <c r="L218" t="n">
        <v>0</v>
      </c>
      <c r="M218" t="n">
        <v>0</v>
      </c>
      <c r="N218" t="n">
        <v>0</v>
      </c>
      <c r="O218" t="n">
        <v>1</v>
      </c>
      <c r="P218" t="n">
        <v>1</v>
      </c>
      <c r="Q218" t="n">
        <v>1</v>
      </c>
      <c r="R218" s="2" t="inlineStr">
        <is>
          <t>Norna</t>
        </is>
      </c>
      <c r="S218">
        <f>HYPERLINK("https://klasma.github.io/Logging_2303/artfynd/A 51912-2025 artfynd.xlsx", "A 51912-2025")</f>
        <v/>
      </c>
      <c r="T218">
        <f>HYPERLINK("https://klasma.github.io/Logging_2303/kartor/A 51912-2025 karta.png", "A 51912-2025")</f>
        <v/>
      </c>
      <c r="V218">
        <f>HYPERLINK("https://klasma.github.io/Logging_2303/klagomål/A 51912-2025 FSC-klagomål.docx", "A 51912-2025")</f>
        <v/>
      </c>
      <c r="W218">
        <f>HYPERLINK("https://klasma.github.io/Logging_2303/klagomålsmail/A 51912-2025 FSC-klagomål mail.docx", "A 51912-2025")</f>
        <v/>
      </c>
      <c r="X218">
        <f>HYPERLINK("https://klasma.github.io/Logging_2303/tillsyn/A 51912-2025 tillsynsbegäran.docx", "A 51912-2025")</f>
        <v/>
      </c>
      <c r="Y218">
        <f>HYPERLINK("https://klasma.github.io/Logging_2303/tillsynsmail/A 51912-2025 tillsynsbegäran mail.docx", "A 51912-2025")</f>
        <v/>
      </c>
    </row>
    <row r="219" ht="15" customHeight="1">
      <c r="A219" t="inlineStr">
        <is>
          <t>A 43526-2025</t>
        </is>
      </c>
      <c r="B219" s="1" t="n">
        <v>45911</v>
      </c>
      <c r="C219" s="1" t="n">
        <v>45981</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2929-2024</t>
        </is>
      </c>
      <c r="B220" s="1" t="n">
        <v>45315</v>
      </c>
      <c r="C220" s="1" t="n">
        <v>45981</v>
      </c>
      <c r="D220" t="inlineStr">
        <is>
          <t>JÄMTLANDS LÄN</t>
        </is>
      </c>
      <c r="E220" t="inlineStr">
        <is>
          <t>RAGUNDA</t>
        </is>
      </c>
      <c r="G220" t="n">
        <v>1</v>
      </c>
      <c r="H220" t="n">
        <v>0</v>
      </c>
      <c r="I220" t="n">
        <v>0</v>
      </c>
      <c r="J220" t="n">
        <v>1</v>
      </c>
      <c r="K220" t="n">
        <v>0</v>
      </c>
      <c r="L220" t="n">
        <v>0</v>
      </c>
      <c r="M220" t="n">
        <v>0</v>
      </c>
      <c r="N220" t="n">
        <v>0</v>
      </c>
      <c r="O220" t="n">
        <v>1</v>
      </c>
      <c r="P220" t="n">
        <v>0</v>
      </c>
      <c r="Q220" t="n">
        <v>1</v>
      </c>
      <c r="R220" s="2" t="inlineStr">
        <is>
          <t>Klådris</t>
        </is>
      </c>
      <c r="S220">
        <f>HYPERLINK("https://klasma.github.io/Logging_2303/artfynd/A 2929-2024 artfynd.xlsx", "A 2929-2024")</f>
        <v/>
      </c>
      <c r="T220">
        <f>HYPERLINK("https://klasma.github.io/Logging_2303/kartor/A 2929-2024 karta.png", "A 2929-2024")</f>
        <v/>
      </c>
      <c r="V220">
        <f>HYPERLINK("https://klasma.github.io/Logging_2303/klagomål/A 2929-2024 FSC-klagomål.docx", "A 2929-2024")</f>
        <v/>
      </c>
      <c r="W220">
        <f>HYPERLINK("https://klasma.github.io/Logging_2303/klagomålsmail/A 2929-2024 FSC-klagomål mail.docx", "A 2929-2024")</f>
        <v/>
      </c>
      <c r="X220">
        <f>HYPERLINK("https://klasma.github.io/Logging_2303/tillsyn/A 2929-2024 tillsynsbegäran.docx", "A 2929-2024")</f>
        <v/>
      </c>
      <c r="Y220">
        <f>HYPERLINK("https://klasma.github.io/Logging_2303/tillsynsmail/A 2929-2024 tillsynsbegäran mail.docx", "A 2929-2024")</f>
        <v/>
      </c>
    </row>
    <row r="221" ht="15" customHeight="1">
      <c r="A221" t="inlineStr">
        <is>
          <t>A 58846-2024</t>
        </is>
      </c>
      <c r="B221" s="1" t="n">
        <v>45636.3863425926</v>
      </c>
      <c r="C221" s="1" t="n">
        <v>45981</v>
      </c>
      <c r="D221" t="inlineStr">
        <is>
          <t>JÄMTLANDS LÄN</t>
        </is>
      </c>
      <c r="E221" t="inlineStr">
        <is>
          <t>RAGUNDA</t>
        </is>
      </c>
      <c r="F221" t="inlineStr">
        <is>
          <t>SCA</t>
        </is>
      </c>
      <c r="G221" t="n">
        <v>1.5</v>
      </c>
      <c r="H221" t="n">
        <v>0</v>
      </c>
      <c r="I221" t="n">
        <v>0</v>
      </c>
      <c r="J221" t="n">
        <v>0</v>
      </c>
      <c r="K221" t="n">
        <v>1</v>
      </c>
      <c r="L221" t="n">
        <v>0</v>
      </c>
      <c r="M221" t="n">
        <v>0</v>
      </c>
      <c r="N221" t="n">
        <v>0</v>
      </c>
      <c r="O221" t="n">
        <v>1</v>
      </c>
      <c r="P221" t="n">
        <v>1</v>
      </c>
      <c r="Q221" t="n">
        <v>1</v>
      </c>
      <c r="R221" s="2" t="inlineStr">
        <is>
          <t>Rynkskinn</t>
        </is>
      </c>
      <c r="S221">
        <f>HYPERLINK("https://klasma.github.io/Logging_2303/artfynd/A 58846-2024 artfynd.xlsx", "A 58846-2024")</f>
        <v/>
      </c>
      <c r="T221">
        <f>HYPERLINK("https://klasma.github.io/Logging_2303/kartor/A 58846-2024 karta.png", "A 58846-2024")</f>
        <v/>
      </c>
      <c r="V221">
        <f>HYPERLINK("https://klasma.github.io/Logging_2303/klagomål/A 58846-2024 FSC-klagomål.docx", "A 58846-2024")</f>
        <v/>
      </c>
      <c r="W221">
        <f>HYPERLINK("https://klasma.github.io/Logging_2303/klagomålsmail/A 58846-2024 FSC-klagomål mail.docx", "A 58846-2024")</f>
        <v/>
      </c>
      <c r="X221">
        <f>HYPERLINK("https://klasma.github.io/Logging_2303/tillsyn/A 58846-2024 tillsynsbegäran.docx", "A 58846-2024")</f>
        <v/>
      </c>
      <c r="Y221">
        <f>HYPERLINK("https://klasma.github.io/Logging_2303/tillsynsmail/A 58846-2024 tillsynsbegäran mail.docx", "A 58846-2024")</f>
        <v/>
      </c>
    </row>
    <row r="222" ht="15" customHeight="1">
      <c r="A222" t="inlineStr">
        <is>
          <t>A 978-2024</t>
        </is>
      </c>
      <c r="B222" s="1" t="n">
        <v>45301</v>
      </c>
      <c r="C222" s="1" t="n">
        <v>45981</v>
      </c>
      <c r="D222" t="inlineStr">
        <is>
          <t>JÄMTLANDS LÄN</t>
        </is>
      </c>
      <c r="E222" t="inlineStr">
        <is>
          <t>RAGUNDA</t>
        </is>
      </c>
      <c r="G222" t="n">
        <v>3.1</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978-2024 artfynd.xlsx", "A 978-2024")</f>
        <v/>
      </c>
      <c r="T222">
        <f>HYPERLINK("https://klasma.github.io/Logging_2303/kartor/A 978-2024 karta.png", "A 978-2024")</f>
        <v/>
      </c>
      <c r="V222">
        <f>HYPERLINK("https://klasma.github.io/Logging_2303/klagomål/A 978-2024 FSC-klagomål.docx", "A 978-2024")</f>
        <v/>
      </c>
      <c r="W222">
        <f>HYPERLINK("https://klasma.github.io/Logging_2303/klagomålsmail/A 978-2024 FSC-klagomål mail.docx", "A 978-2024")</f>
        <v/>
      </c>
      <c r="X222">
        <f>HYPERLINK("https://klasma.github.io/Logging_2303/tillsyn/A 978-2024 tillsynsbegäran.docx", "A 978-2024")</f>
        <v/>
      </c>
      <c r="Y222">
        <f>HYPERLINK("https://klasma.github.io/Logging_2303/tillsynsmail/A 978-2024 tillsynsbegäran mail.docx", "A 978-2024")</f>
        <v/>
      </c>
      <c r="Z222">
        <f>HYPERLINK("https://klasma.github.io/Logging_2303/fåglar/A 978-2024 prioriterade fågelarter.docx", "A 978-2024")</f>
        <v/>
      </c>
    </row>
    <row r="223" ht="15" customHeight="1">
      <c r="A223" t="inlineStr">
        <is>
          <t>A 1057-2024</t>
        </is>
      </c>
      <c r="B223" s="1" t="n">
        <v>45301</v>
      </c>
      <c r="C223" s="1" t="n">
        <v>45981</v>
      </c>
      <c r="D223" t="inlineStr">
        <is>
          <t>JÄMTLANDS LÄN</t>
        </is>
      </c>
      <c r="E223" t="inlineStr">
        <is>
          <t>RAGUNDA</t>
        </is>
      </c>
      <c r="F223" t="inlineStr">
        <is>
          <t>SCA</t>
        </is>
      </c>
      <c r="G223" t="n">
        <v>6.8</v>
      </c>
      <c r="H223" t="n">
        <v>0</v>
      </c>
      <c r="I223" t="n">
        <v>1</v>
      </c>
      <c r="J223" t="n">
        <v>0</v>
      </c>
      <c r="K223" t="n">
        <v>0</v>
      </c>
      <c r="L223" t="n">
        <v>0</v>
      </c>
      <c r="M223" t="n">
        <v>0</v>
      </c>
      <c r="N223" t="n">
        <v>0</v>
      </c>
      <c r="O223" t="n">
        <v>0</v>
      </c>
      <c r="P223" t="n">
        <v>0</v>
      </c>
      <c r="Q223" t="n">
        <v>1</v>
      </c>
      <c r="R223" s="2" t="inlineStr">
        <is>
          <t>Stor aspticka</t>
        </is>
      </c>
      <c r="S223">
        <f>HYPERLINK("https://klasma.github.io/Logging_2303/artfynd/A 1057-2024 artfynd.xlsx", "A 1057-2024")</f>
        <v/>
      </c>
      <c r="T223">
        <f>HYPERLINK("https://klasma.github.io/Logging_2303/kartor/A 1057-2024 karta.png", "A 1057-2024")</f>
        <v/>
      </c>
      <c r="V223">
        <f>HYPERLINK("https://klasma.github.io/Logging_2303/klagomål/A 1057-2024 FSC-klagomål.docx", "A 1057-2024")</f>
        <v/>
      </c>
      <c r="W223">
        <f>HYPERLINK("https://klasma.github.io/Logging_2303/klagomålsmail/A 1057-2024 FSC-klagomål mail.docx", "A 1057-2024")</f>
        <v/>
      </c>
      <c r="X223">
        <f>HYPERLINK("https://klasma.github.io/Logging_2303/tillsyn/A 1057-2024 tillsynsbegäran.docx", "A 1057-2024")</f>
        <v/>
      </c>
      <c r="Y223">
        <f>HYPERLINK("https://klasma.github.io/Logging_2303/tillsynsmail/A 1057-2024 tillsynsbegäran mail.docx", "A 1057-2024")</f>
        <v/>
      </c>
    </row>
    <row r="224" ht="15" customHeight="1">
      <c r="A224" t="inlineStr">
        <is>
          <t>A 36854-2023</t>
        </is>
      </c>
      <c r="B224" s="1" t="n">
        <v>45153</v>
      </c>
      <c r="C224" s="1" t="n">
        <v>45981</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18985-2023</t>
        </is>
      </c>
      <c r="B225" s="1" t="n">
        <v>45044</v>
      </c>
      <c r="C225" s="1" t="n">
        <v>45981</v>
      </c>
      <c r="D225" t="inlineStr">
        <is>
          <t>JÄMTLANDS LÄN</t>
        </is>
      </c>
      <c r="E225" t="inlineStr">
        <is>
          <t>RAGUNDA</t>
        </is>
      </c>
      <c r="F225" t="inlineStr">
        <is>
          <t>SCA</t>
        </is>
      </c>
      <c r="G225" t="n">
        <v>2.6</v>
      </c>
      <c r="H225" t="n">
        <v>0</v>
      </c>
      <c r="I225" t="n">
        <v>0</v>
      </c>
      <c r="J225" t="n">
        <v>1</v>
      </c>
      <c r="K225" t="n">
        <v>0</v>
      </c>
      <c r="L225" t="n">
        <v>0</v>
      </c>
      <c r="M225" t="n">
        <v>0</v>
      </c>
      <c r="N225" t="n">
        <v>0</v>
      </c>
      <c r="O225" t="n">
        <v>1</v>
      </c>
      <c r="P225" t="n">
        <v>0</v>
      </c>
      <c r="Q225" t="n">
        <v>1</v>
      </c>
      <c r="R225" s="2" t="inlineStr">
        <is>
          <t>Doftskinn</t>
        </is>
      </c>
      <c r="S225">
        <f>HYPERLINK("https://klasma.github.io/Logging_2303/artfynd/A 18985-2023 artfynd.xlsx", "A 18985-2023")</f>
        <v/>
      </c>
      <c r="T225">
        <f>HYPERLINK("https://klasma.github.io/Logging_2303/kartor/A 18985-2023 karta.png", "A 18985-2023")</f>
        <v/>
      </c>
      <c r="V225">
        <f>HYPERLINK("https://klasma.github.io/Logging_2303/klagomål/A 18985-2023 FSC-klagomål.docx", "A 18985-2023")</f>
        <v/>
      </c>
      <c r="W225">
        <f>HYPERLINK("https://klasma.github.io/Logging_2303/klagomålsmail/A 18985-2023 FSC-klagomål mail.docx", "A 18985-2023")</f>
        <v/>
      </c>
      <c r="X225">
        <f>HYPERLINK("https://klasma.github.io/Logging_2303/tillsyn/A 18985-2023 tillsynsbegäran.docx", "A 18985-2023")</f>
        <v/>
      </c>
      <c r="Y225">
        <f>HYPERLINK("https://klasma.github.io/Logging_2303/tillsynsmail/A 18985-2023 tillsynsbegäran mail.docx", "A 18985-2023")</f>
        <v/>
      </c>
    </row>
    <row r="226" ht="15" customHeight="1">
      <c r="A226" t="inlineStr">
        <is>
          <t>A 30485-2024</t>
        </is>
      </c>
      <c r="B226" s="1" t="n">
        <v>45491.95008101852</v>
      </c>
      <c r="C226" s="1" t="n">
        <v>45981</v>
      </c>
      <c r="D226" t="inlineStr">
        <is>
          <t>JÄMTLANDS LÄN</t>
        </is>
      </c>
      <c r="E226" t="inlineStr">
        <is>
          <t>RAGUNDA</t>
        </is>
      </c>
      <c r="F226" t="inlineStr">
        <is>
          <t>SCA</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HYPERLINK("https://klasma.github.io/Logging_2303/artfynd/A 30485-2024 artfynd.xlsx", "A 30485-2024")</f>
        <v/>
      </c>
      <c r="T226">
        <f>HYPERLINK("https://klasma.github.io/Logging_2303/kartor/A 30485-2024 karta.png", "A 30485-2024")</f>
        <v/>
      </c>
      <c r="V226">
        <f>HYPERLINK("https://klasma.github.io/Logging_2303/klagomål/A 30485-2024 FSC-klagomål.docx", "A 30485-2024")</f>
        <v/>
      </c>
      <c r="W226">
        <f>HYPERLINK("https://klasma.github.io/Logging_2303/klagomålsmail/A 30485-2024 FSC-klagomål mail.docx", "A 30485-2024")</f>
        <v/>
      </c>
      <c r="X226">
        <f>HYPERLINK("https://klasma.github.io/Logging_2303/tillsyn/A 30485-2024 tillsynsbegäran.docx", "A 30485-2024")</f>
        <v/>
      </c>
      <c r="Y226">
        <f>HYPERLINK("https://klasma.github.io/Logging_2303/tillsynsmail/A 30485-2024 tillsynsbegäran mail.docx", "A 30485-2024")</f>
        <v/>
      </c>
    </row>
    <row r="227" ht="15" customHeight="1">
      <c r="A227" t="inlineStr">
        <is>
          <t>A 31773-2021</t>
        </is>
      </c>
      <c r="B227" s="1" t="n">
        <v>44369</v>
      </c>
      <c r="C227" s="1" t="n">
        <v>45981</v>
      </c>
      <c r="D227" t="inlineStr">
        <is>
          <t>JÄMTLANDS LÄN</t>
        </is>
      </c>
      <c r="E227" t="inlineStr">
        <is>
          <t>RAGUNDA</t>
        </is>
      </c>
      <c r="G227" t="n">
        <v>0.8</v>
      </c>
      <c r="H227" t="n">
        <v>0</v>
      </c>
      <c r="I227" t="n">
        <v>0</v>
      </c>
      <c r="J227" t="n">
        <v>0</v>
      </c>
      <c r="K227" t="n">
        <v>1</v>
      </c>
      <c r="L227" t="n">
        <v>0</v>
      </c>
      <c r="M227" t="n">
        <v>0</v>
      </c>
      <c r="N227" t="n">
        <v>0</v>
      </c>
      <c r="O227" t="n">
        <v>1</v>
      </c>
      <c r="P227" t="n">
        <v>1</v>
      </c>
      <c r="Q227" t="n">
        <v>1</v>
      </c>
      <c r="R227" s="2" t="inlineStr">
        <is>
          <t>Strandsandjägare</t>
        </is>
      </c>
      <c r="S227">
        <f>HYPERLINK("https://klasma.github.io/Logging_2303/artfynd/A 31773-2021 artfynd.xlsx", "A 31773-2021")</f>
        <v/>
      </c>
      <c r="T227">
        <f>HYPERLINK("https://klasma.github.io/Logging_2303/kartor/A 31773-2021 karta.png", "A 31773-2021")</f>
        <v/>
      </c>
      <c r="V227">
        <f>HYPERLINK("https://klasma.github.io/Logging_2303/klagomål/A 31773-2021 FSC-klagomål.docx", "A 31773-2021")</f>
        <v/>
      </c>
      <c r="W227">
        <f>HYPERLINK("https://klasma.github.io/Logging_2303/klagomålsmail/A 31773-2021 FSC-klagomål mail.docx", "A 31773-2021")</f>
        <v/>
      </c>
      <c r="X227">
        <f>HYPERLINK("https://klasma.github.io/Logging_2303/tillsyn/A 31773-2021 tillsynsbegäran.docx", "A 31773-2021")</f>
        <v/>
      </c>
      <c r="Y227">
        <f>HYPERLINK("https://klasma.github.io/Logging_2303/tillsynsmail/A 31773-2021 tillsynsbegäran mail.docx", "A 31773-2021")</f>
        <v/>
      </c>
    </row>
    <row r="228" ht="15" customHeight="1">
      <c r="A228" t="inlineStr">
        <is>
          <t>A 27573-2025</t>
        </is>
      </c>
      <c r="B228" s="1" t="n">
        <v>45813.49061342593</v>
      </c>
      <c r="C228" s="1" t="n">
        <v>45981</v>
      </c>
      <c r="D228" t="inlineStr">
        <is>
          <t>JÄMTLANDS LÄN</t>
        </is>
      </c>
      <c r="E228" t="inlineStr">
        <is>
          <t>RAGUNDA</t>
        </is>
      </c>
      <c r="F228" t="inlineStr">
        <is>
          <t>SCA</t>
        </is>
      </c>
      <c r="G228" t="n">
        <v>14.9</v>
      </c>
      <c r="H228" t="n">
        <v>0</v>
      </c>
      <c r="I228" t="n">
        <v>1</v>
      </c>
      <c r="J228" t="n">
        <v>0</v>
      </c>
      <c r="K228" t="n">
        <v>0</v>
      </c>
      <c r="L228" t="n">
        <v>0</v>
      </c>
      <c r="M228" t="n">
        <v>0</v>
      </c>
      <c r="N228" t="n">
        <v>0</v>
      </c>
      <c r="O228" t="n">
        <v>0</v>
      </c>
      <c r="P228" t="n">
        <v>0</v>
      </c>
      <c r="Q228" t="n">
        <v>1</v>
      </c>
      <c r="R228" s="2" t="inlineStr">
        <is>
          <t>Skinnlav</t>
        </is>
      </c>
      <c r="S228">
        <f>HYPERLINK("https://klasma.github.io/Logging_2303/artfynd/A 27573-2025 artfynd.xlsx", "A 27573-2025")</f>
        <v/>
      </c>
      <c r="T228">
        <f>HYPERLINK("https://klasma.github.io/Logging_2303/kartor/A 27573-2025 karta.png", "A 27573-2025")</f>
        <v/>
      </c>
      <c r="U228">
        <f>HYPERLINK("https://klasma.github.io/Logging_2303/knärot/A 27573-2025 karta knärot.png", "A 27573-2025")</f>
        <v/>
      </c>
      <c r="V228">
        <f>HYPERLINK("https://klasma.github.io/Logging_2303/klagomål/A 27573-2025 FSC-klagomål.docx", "A 27573-2025")</f>
        <v/>
      </c>
      <c r="W228">
        <f>HYPERLINK("https://klasma.github.io/Logging_2303/klagomålsmail/A 27573-2025 FSC-klagomål mail.docx", "A 27573-2025")</f>
        <v/>
      </c>
      <c r="X228">
        <f>HYPERLINK("https://klasma.github.io/Logging_2303/tillsyn/A 27573-2025 tillsynsbegäran.docx", "A 27573-2025")</f>
        <v/>
      </c>
      <c r="Y228">
        <f>HYPERLINK("https://klasma.github.io/Logging_2303/tillsynsmail/A 27573-2025 tillsynsbegäran mail.docx", "A 27573-2025")</f>
        <v/>
      </c>
    </row>
    <row r="229" ht="15" customHeight="1">
      <c r="A229" t="inlineStr">
        <is>
          <t>A 35750-2023</t>
        </is>
      </c>
      <c r="B229" s="1" t="n">
        <v>45147</v>
      </c>
      <c r="C229" s="1" t="n">
        <v>45981</v>
      </c>
      <c r="D229" t="inlineStr">
        <is>
          <t>JÄMTLANDS LÄN</t>
        </is>
      </c>
      <c r="E229" t="inlineStr">
        <is>
          <t>RAGUNDA</t>
        </is>
      </c>
      <c r="F229" t="inlineStr">
        <is>
          <t>SCA</t>
        </is>
      </c>
      <c r="G229" t="n">
        <v>4.8</v>
      </c>
      <c r="H229" t="n">
        <v>0</v>
      </c>
      <c r="I229" t="n">
        <v>0</v>
      </c>
      <c r="J229" t="n">
        <v>1</v>
      </c>
      <c r="K229" t="n">
        <v>0</v>
      </c>
      <c r="L229" t="n">
        <v>0</v>
      </c>
      <c r="M229" t="n">
        <v>0</v>
      </c>
      <c r="N229" t="n">
        <v>0</v>
      </c>
      <c r="O229" t="n">
        <v>1</v>
      </c>
      <c r="P229" t="n">
        <v>0</v>
      </c>
      <c r="Q229" t="n">
        <v>1</v>
      </c>
      <c r="R229" s="2" t="inlineStr">
        <is>
          <t>Grantaggsvamp</t>
        </is>
      </c>
      <c r="S229">
        <f>HYPERLINK("https://klasma.github.io/Logging_2303/artfynd/A 35750-2023 artfynd.xlsx", "A 35750-2023")</f>
        <v/>
      </c>
      <c r="T229">
        <f>HYPERLINK("https://klasma.github.io/Logging_2303/kartor/A 35750-2023 karta.png", "A 35750-2023")</f>
        <v/>
      </c>
      <c r="V229">
        <f>HYPERLINK("https://klasma.github.io/Logging_2303/klagomål/A 35750-2023 FSC-klagomål.docx", "A 35750-2023")</f>
        <v/>
      </c>
      <c r="W229">
        <f>HYPERLINK("https://klasma.github.io/Logging_2303/klagomålsmail/A 35750-2023 FSC-klagomål mail.docx", "A 35750-2023")</f>
        <v/>
      </c>
      <c r="X229">
        <f>HYPERLINK("https://klasma.github.io/Logging_2303/tillsyn/A 35750-2023 tillsynsbegäran.docx", "A 35750-2023")</f>
        <v/>
      </c>
      <c r="Y229">
        <f>HYPERLINK("https://klasma.github.io/Logging_2303/tillsynsmail/A 35750-2023 tillsynsbegäran mail.docx", "A 35750-2023")</f>
        <v/>
      </c>
    </row>
    <row r="230" ht="15" customHeight="1">
      <c r="A230" t="inlineStr">
        <is>
          <t>A 26317-2024</t>
        </is>
      </c>
      <c r="B230" s="1" t="n">
        <v>45468</v>
      </c>
      <c r="C230" s="1" t="n">
        <v>45981</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55756-2025</t>
        </is>
      </c>
      <c r="B231" s="1" t="n">
        <v>45972.59438657408</v>
      </c>
      <c r="C231" s="1" t="n">
        <v>45981</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HYPERLINK("https://klasma.github.io/Logging_2303/artfynd/A 55756-2025 artfynd.xlsx", "A 55756-2025")</f>
        <v/>
      </c>
      <c r="T231">
        <f>HYPERLINK("https://klasma.github.io/Logging_2303/kartor/A 55756-2025 karta.png", "A 55756-2025")</f>
        <v/>
      </c>
      <c r="V231">
        <f>HYPERLINK("https://klasma.github.io/Logging_2303/klagomål/A 55756-2025 FSC-klagomål.docx", "A 55756-2025")</f>
        <v/>
      </c>
      <c r="W231">
        <f>HYPERLINK("https://klasma.github.io/Logging_2303/klagomålsmail/A 55756-2025 FSC-klagomål mail.docx", "A 55756-2025")</f>
        <v/>
      </c>
      <c r="X231">
        <f>HYPERLINK("https://klasma.github.io/Logging_2303/tillsyn/A 55756-2025 tillsynsbegäran.docx", "A 55756-2025")</f>
        <v/>
      </c>
      <c r="Y231">
        <f>HYPERLINK("https://klasma.github.io/Logging_2303/tillsynsmail/A 55756-2025 tillsynsbegäran mail.docx", "A 55756-2025")</f>
        <v/>
      </c>
    </row>
    <row r="232" ht="15" customHeight="1">
      <c r="A232" t="inlineStr">
        <is>
          <t>A 49091-2022</t>
        </is>
      </c>
      <c r="B232" s="1" t="n">
        <v>44860</v>
      </c>
      <c r="C232" s="1" t="n">
        <v>45981</v>
      </c>
      <c r="D232" t="inlineStr">
        <is>
          <t>JÄMTLANDS LÄN</t>
        </is>
      </c>
      <c r="E232" t="inlineStr">
        <is>
          <t>RAGUNDA</t>
        </is>
      </c>
      <c r="G232" t="n">
        <v>3.5</v>
      </c>
      <c r="H232" t="n">
        <v>1</v>
      </c>
      <c r="I232" t="n">
        <v>0</v>
      </c>
      <c r="J232" t="n">
        <v>0</v>
      </c>
      <c r="K232" t="n">
        <v>1</v>
      </c>
      <c r="L232" t="n">
        <v>0</v>
      </c>
      <c r="M232" t="n">
        <v>0</v>
      </c>
      <c r="N232" t="n">
        <v>0</v>
      </c>
      <c r="O232" t="n">
        <v>1</v>
      </c>
      <c r="P232" t="n">
        <v>1</v>
      </c>
      <c r="Q232" t="n">
        <v>1</v>
      </c>
      <c r="R232" s="2" t="inlineStr">
        <is>
          <t>Doftticka</t>
        </is>
      </c>
      <c r="S232">
        <f>HYPERLINK("https://klasma.github.io/Logging_2303/artfynd/A 49091-2022 artfynd.xlsx", "A 49091-2022")</f>
        <v/>
      </c>
      <c r="T232">
        <f>HYPERLINK("https://klasma.github.io/Logging_2303/kartor/A 49091-2022 karta.png", "A 49091-2022")</f>
        <v/>
      </c>
      <c r="V232">
        <f>HYPERLINK("https://klasma.github.io/Logging_2303/klagomål/A 49091-2022 FSC-klagomål.docx", "A 49091-2022")</f>
        <v/>
      </c>
      <c r="W232">
        <f>HYPERLINK("https://klasma.github.io/Logging_2303/klagomålsmail/A 49091-2022 FSC-klagomål mail.docx", "A 49091-2022")</f>
        <v/>
      </c>
      <c r="X232">
        <f>HYPERLINK("https://klasma.github.io/Logging_2303/tillsyn/A 49091-2022 tillsynsbegäran.docx", "A 49091-2022")</f>
        <v/>
      </c>
      <c r="Y232">
        <f>HYPERLINK("https://klasma.github.io/Logging_2303/tillsynsmail/A 49091-2022 tillsynsbegäran mail.docx", "A 49091-2022")</f>
        <v/>
      </c>
    </row>
    <row r="233" ht="15" customHeight="1">
      <c r="A233" t="inlineStr">
        <is>
          <t>A 56599-2025</t>
        </is>
      </c>
      <c r="B233" s="1" t="n">
        <v>45975.5734837963</v>
      </c>
      <c r="C233" s="1" t="n">
        <v>45981</v>
      </c>
      <c r="D233" t="inlineStr">
        <is>
          <t>JÄMTLANDS LÄN</t>
        </is>
      </c>
      <c r="E233" t="inlineStr">
        <is>
          <t>RAGUNDA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HYPERLINK("https://klasma.github.io/Logging_2303/artfynd/A 56599-2025 artfynd.xlsx", "A 56599-2025")</f>
        <v/>
      </c>
      <c r="T233">
        <f>HYPERLINK("https://klasma.github.io/Logging_2303/kartor/A 56599-2025 karta.png", "A 56599-2025")</f>
        <v/>
      </c>
      <c r="V233">
        <f>HYPERLINK("https://klasma.github.io/Logging_2303/klagomål/A 56599-2025 FSC-klagomål.docx", "A 56599-2025")</f>
        <v/>
      </c>
      <c r="W233">
        <f>HYPERLINK("https://klasma.github.io/Logging_2303/klagomålsmail/A 56599-2025 FSC-klagomål mail.docx", "A 56599-2025")</f>
        <v/>
      </c>
      <c r="X233">
        <f>HYPERLINK("https://klasma.github.io/Logging_2303/tillsyn/A 56599-2025 tillsynsbegäran.docx", "A 56599-2025")</f>
        <v/>
      </c>
      <c r="Y233">
        <f>HYPERLINK("https://klasma.github.io/Logging_2303/tillsynsmail/A 56599-2025 tillsynsbegäran mail.docx", "A 56599-2025")</f>
        <v/>
      </c>
    </row>
    <row r="234" ht="15" customHeight="1">
      <c r="A234" t="inlineStr">
        <is>
          <t>A 50164-2023</t>
        </is>
      </c>
      <c r="B234" s="1" t="n">
        <v>45208</v>
      </c>
      <c r="C234" s="1" t="n">
        <v>45981</v>
      </c>
      <c r="D234" t="inlineStr">
        <is>
          <t>JÄMTLANDS LÄN</t>
        </is>
      </c>
      <c r="E234" t="inlineStr">
        <is>
          <t>RAGUNDA</t>
        </is>
      </c>
      <c r="G234" t="n">
        <v>2.9</v>
      </c>
      <c r="H234" t="n">
        <v>0</v>
      </c>
      <c r="I234" t="n">
        <v>0</v>
      </c>
      <c r="J234" t="n">
        <v>0</v>
      </c>
      <c r="K234" t="n">
        <v>1</v>
      </c>
      <c r="L234" t="n">
        <v>0</v>
      </c>
      <c r="M234" t="n">
        <v>0</v>
      </c>
      <c r="N234" t="n">
        <v>0</v>
      </c>
      <c r="O234" t="n">
        <v>1</v>
      </c>
      <c r="P234" t="n">
        <v>1</v>
      </c>
      <c r="Q234" t="n">
        <v>1</v>
      </c>
      <c r="R234" s="2" t="inlineStr">
        <is>
          <t>Mindre barkplattbagge</t>
        </is>
      </c>
      <c r="S234">
        <f>HYPERLINK("https://klasma.github.io/Logging_2303/artfynd/A 50164-2023 artfynd.xlsx", "A 50164-2023")</f>
        <v/>
      </c>
      <c r="T234">
        <f>HYPERLINK("https://klasma.github.io/Logging_2303/kartor/A 50164-2023 karta.png", "A 50164-2023")</f>
        <v/>
      </c>
      <c r="V234">
        <f>HYPERLINK("https://klasma.github.io/Logging_2303/klagomål/A 50164-2023 FSC-klagomål.docx", "A 50164-2023")</f>
        <v/>
      </c>
      <c r="W234">
        <f>HYPERLINK("https://klasma.github.io/Logging_2303/klagomålsmail/A 50164-2023 FSC-klagomål mail.docx", "A 50164-2023")</f>
        <v/>
      </c>
      <c r="X234">
        <f>HYPERLINK("https://klasma.github.io/Logging_2303/tillsyn/A 50164-2023 tillsynsbegäran.docx", "A 50164-2023")</f>
        <v/>
      </c>
      <c r="Y234">
        <f>HYPERLINK("https://klasma.github.io/Logging_2303/tillsynsmail/A 50164-2023 tillsynsbegäran mail.docx", "A 50164-2023")</f>
        <v/>
      </c>
    </row>
    <row r="235" ht="15" customHeight="1">
      <c r="A235" t="inlineStr">
        <is>
          <t>A 30390-2025</t>
        </is>
      </c>
      <c r="B235" s="1" t="n">
        <v>45827.57371527778</v>
      </c>
      <c r="C235" s="1" t="n">
        <v>45981</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48429-2023</t>
        </is>
      </c>
      <c r="B236" s="1" t="n">
        <v>45205</v>
      </c>
      <c r="C236" s="1" t="n">
        <v>45981</v>
      </c>
      <c r="D236" t="inlineStr">
        <is>
          <t>JÄMTLANDS LÄN</t>
        </is>
      </c>
      <c r="E236" t="inlineStr">
        <is>
          <t>RAGUNDA</t>
        </is>
      </c>
      <c r="F236" t="inlineStr">
        <is>
          <t>SCA</t>
        </is>
      </c>
      <c r="G236" t="n">
        <v>1.8</v>
      </c>
      <c r="H236" t="n">
        <v>0</v>
      </c>
      <c r="I236" t="n">
        <v>1</v>
      </c>
      <c r="J236" t="n">
        <v>0</v>
      </c>
      <c r="K236" t="n">
        <v>0</v>
      </c>
      <c r="L236" t="n">
        <v>0</v>
      </c>
      <c r="M236" t="n">
        <v>0</v>
      </c>
      <c r="N236" t="n">
        <v>0</v>
      </c>
      <c r="O236" t="n">
        <v>0</v>
      </c>
      <c r="P236" t="n">
        <v>0</v>
      </c>
      <c r="Q236" t="n">
        <v>1</v>
      </c>
      <c r="R236" s="2" t="inlineStr">
        <is>
          <t>Dropptaggsvamp</t>
        </is>
      </c>
      <c r="S236">
        <f>HYPERLINK("https://klasma.github.io/Logging_2303/artfynd/A 48429-2023 artfynd.xlsx", "A 48429-2023")</f>
        <v/>
      </c>
      <c r="T236">
        <f>HYPERLINK("https://klasma.github.io/Logging_2303/kartor/A 48429-2023 karta.png", "A 48429-2023")</f>
        <v/>
      </c>
      <c r="V236">
        <f>HYPERLINK("https://klasma.github.io/Logging_2303/klagomål/A 48429-2023 FSC-klagomål.docx", "A 48429-2023")</f>
        <v/>
      </c>
      <c r="W236">
        <f>HYPERLINK("https://klasma.github.io/Logging_2303/klagomålsmail/A 48429-2023 FSC-klagomål mail.docx", "A 48429-2023")</f>
        <v/>
      </c>
      <c r="X236">
        <f>HYPERLINK("https://klasma.github.io/Logging_2303/tillsyn/A 48429-2023 tillsynsbegäran.docx", "A 48429-2023")</f>
        <v/>
      </c>
      <c r="Y236">
        <f>HYPERLINK("https://klasma.github.io/Logging_2303/tillsynsmail/A 48429-2023 tillsynsbegäran mail.docx", "A 48429-2023")</f>
        <v/>
      </c>
    </row>
    <row r="237" ht="15" customHeight="1">
      <c r="A237" t="inlineStr">
        <is>
          <t>A 22054-2025</t>
        </is>
      </c>
      <c r="B237" s="1" t="n">
        <v>45785.36525462963</v>
      </c>
      <c r="C237" s="1" t="n">
        <v>45981</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17340-2023</t>
        </is>
      </c>
      <c r="B238" s="1" t="n">
        <v>45033</v>
      </c>
      <c r="C238" s="1" t="n">
        <v>45981</v>
      </c>
      <c r="D238" t="inlineStr">
        <is>
          <t>JÄMTLANDS LÄN</t>
        </is>
      </c>
      <c r="E238" t="inlineStr">
        <is>
          <t>RAGUNDA</t>
        </is>
      </c>
      <c r="G238" t="n">
        <v>1.6</v>
      </c>
      <c r="H238" t="n">
        <v>0</v>
      </c>
      <c r="I238" t="n">
        <v>0</v>
      </c>
      <c r="J238" t="n">
        <v>1</v>
      </c>
      <c r="K238" t="n">
        <v>0</v>
      </c>
      <c r="L238" t="n">
        <v>0</v>
      </c>
      <c r="M238" t="n">
        <v>0</v>
      </c>
      <c r="N238" t="n">
        <v>0</v>
      </c>
      <c r="O238" t="n">
        <v>1</v>
      </c>
      <c r="P238" t="n">
        <v>0</v>
      </c>
      <c r="Q238" t="n">
        <v>1</v>
      </c>
      <c r="R238" s="2" t="inlineStr">
        <is>
          <t>Vedtrappmossa</t>
        </is>
      </c>
      <c r="S238">
        <f>HYPERLINK("https://klasma.github.io/Logging_2303/artfynd/A 17340-2023 artfynd.xlsx", "A 17340-2023")</f>
        <v/>
      </c>
      <c r="T238">
        <f>HYPERLINK("https://klasma.github.io/Logging_2303/kartor/A 17340-2023 karta.png", "A 17340-2023")</f>
        <v/>
      </c>
      <c r="U238">
        <f>HYPERLINK("https://klasma.github.io/Logging_2303/knärot/A 17340-2023 karta knärot.png", "A 17340-2023")</f>
        <v/>
      </c>
      <c r="V238">
        <f>HYPERLINK("https://klasma.github.io/Logging_2303/klagomål/A 17340-2023 FSC-klagomål.docx", "A 17340-2023")</f>
        <v/>
      </c>
      <c r="W238">
        <f>HYPERLINK("https://klasma.github.io/Logging_2303/klagomålsmail/A 17340-2023 FSC-klagomål mail.docx", "A 17340-2023")</f>
        <v/>
      </c>
      <c r="X238">
        <f>HYPERLINK("https://klasma.github.io/Logging_2303/tillsyn/A 17340-2023 tillsynsbegäran.docx", "A 17340-2023")</f>
        <v/>
      </c>
      <c r="Y238">
        <f>HYPERLINK("https://klasma.github.io/Logging_2303/tillsynsmail/A 17340-2023 tillsynsbegäran mail.docx", "A 17340-2023")</f>
        <v/>
      </c>
    </row>
    <row r="239" ht="15" customHeight="1">
      <c r="A239" t="inlineStr">
        <is>
          <t>A 62072-2023</t>
        </is>
      </c>
      <c r="B239" s="1" t="n">
        <v>45266</v>
      </c>
      <c r="C239" s="1" t="n">
        <v>45981</v>
      </c>
      <c r="D239" t="inlineStr">
        <is>
          <t>JÄMTLANDS LÄN</t>
        </is>
      </c>
      <c r="E239" t="inlineStr">
        <is>
          <t>RAGUNDA</t>
        </is>
      </c>
      <c r="G239" t="n">
        <v>4.5</v>
      </c>
      <c r="H239" t="n">
        <v>1</v>
      </c>
      <c r="I239" t="n">
        <v>0</v>
      </c>
      <c r="J239" t="n">
        <v>0</v>
      </c>
      <c r="K239" t="n">
        <v>1</v>
      </c>
      <c r="L239" t="n">
        <v>0</v>
      </c>
      <c r="M239" t="n">
        <v>0</v>
      </c>
      <c r="N239" t="n">
        <v>0</v>
      </c>
      <c r="O239" t="n">
        <v>1</v>
      </c>
      <c r="P239" t="n">
        <v>1</v>
      </c>
      <c r="Q239" t="n">
        <v>1</v>
      </c>
      <c r="R239" s="2" t="inlineStr">
        <is>
          <t>Lappuggla</t>
        </is>
      </c>
      <c r="S239">
        <f>HYPERLINK("https://klasma.github.io/Logging_2303/artfynd/A 62072-2023 artfynd.xlsx", "A 62072-2023")</f>
        <v/>
      </c>
      <c r="T239">
        <f>HYPERLINK("https://klasma.github.io/Logging_2303/kartor/A 62072-2023 karta.png", "A 62072-2023")</f>
        <v/>
      </c>
      <c r="V239">
        <f>HYPERLINK("https://klasma.github.io/Logging_2303/klagomål/A 62072-2023 FSC-klagomål.docx", "A 62072-2023")</f>
        <v/>
      </c>
      <c r="W239">
        <f>HYPERLINK("https://klasma.github.io/Logging_2303/klagomålsmail/A 62072-2023 FSC-klagomål mail.docx", "A 62072-2023")</f>
        <v/>
      </c>
      <c r="X239">
        <f>HYPERLINK("https://klasma.github.io/Logging_2303/tillsyn/A 62072-2023 tillsynsbegäran.docx", "A 62072-2023")</f>
        <v/>
      </c>
      <c r="Y239">
        <f>HYPERLINK("https://klasma.github.io/Logging_2303/tillsynsmail/A 62072-2023 tillsynsbegäran mail.docx", "A 62072-2023")</f>
        <v/>
      </c>
      <c r="Z239">
        <f>HYPERLINK("https://klasma.github.io/Logging_2303/fåglar/A 62072-2023 prioriterade fågelarter.docx", "A 62072-2023")</f>
        <v/>
      </c>
    </row>
    <row r="240" ht="15" customHeight="1">
      <c r="A240" t="inlineStr">
        <is>
          <t>A 26322-2024</t>
        </is>
      </c>
      <c r="B240" s="1" t="n">
        <v>45468.97461805555</v>
      </c>
      <c r="C240" s="1" t="n">
        <v>45981</v>
      </c>
      <c r="D240" t="inlineStr">
        <is>
          <t>JÄMTLANDS LÄN</t>
        </is>
      </c>
      <c r="E240" t="inlineStr">
        <is>
          <t>RAGUNDA</t>
        </is>
      </c>
      <c r="F240" t="inlineStr">
        <is>
          <t>SCA</t>
        </is>
      </c>
      <c r="G240" t="n">
        <v>9.6</v>
      </c>
      <c r="H240" t="n">
        <v>0</v>
      </c>
      <c r="I240" t="n">
        <v>0</v>
      </c>
      <c r="J240" t="n">
        <v>1</v>
      </c>
      <c r="K240" t="n">
        <v>0</v>
      </c>
      <c r="L240" t="n">
        <v>0</v>
      </c>
      <c r="M240" t="n">
        <v>0</v>
      </c>
      <c r="N240" t="n">
        <v>0</v>
      </c>
      <c r="O240" t="n">
        <v>1</v>
      </c>
      <c r="P240" t="n">
        <v>0</v>
      </c>
      <c r="Q240" t="n">
        <v>1</v>
      </c>
      <c r="R240" s="2" t="inlineStr">
        <is>
          <t>Rosenticka</t>
        </is>
      </c>
      <c r="S240">
        <f>HYPERLINK("https://klasma.github.io/Logging_2303/artfynd/A 26322-2024 artfynd.xlsx", "A 26322-2024")</f>
        <v/>
      </c>
      <c r="T240">
        <f>HYPERLINK("https://klasma.github.io/Logging_2303/kartor/A 26322-2024 karta.png", "A 26322-2024")</f>
        <v/>
      </c>
      <c r="U240">
        <f>HYPERLINK("https://klasma.github.io/Logging_2303/knärot/A 26322-2024 karta knärot.png", "A 26322-2024")</f>
        <v/>
      </c>
      <c r="V240">
        <f>HYPERLINK("https://klasma.github.io/Logging_2303/klagomål/A 26322-2024 FSC-klagomål.docx", "A 26322-2024")</f>
        <v/>
      </c>
      <c r="W240">
        <f>HYPERLINK("https://klasma.github.io/Logging_2303/klagomålsmail/A 26322-2024 FSC-klagomål mail.docx", "A 26322-2024")</f>
        <v/>
      </c>
      <c r="X240">
        <f>HYPERLINK("https://klasma.github.io/Logging_2303/tillsyn/A 26322-2024 tillsynsbegäran.docx", "A 26322-2024")</f>
        <v/>
      </c>
      <c r="Y240">
        <f>HYPERLINK("https://klasma.github.io/Logging_2303/tillsynsmail/A 26322-2024 tillsynsbegäran mail.docx", "A 26322-2024")</f>
        <v/>
      </c>
    </row>
    <row r="241" ht="15" customHeight="1">
      <c r="A241" t="inlineStr">
        <is>
          <t>A 32445-2025</t>
        </is>
      </c>
      <c r="B241" s="1" t="n">
        <v>45838.38627314815</v>
      </c>
      <c r="C241" s="1" t="n">
        <v>45981</v>
      </c>
      <c r="D241" t="inlineStr">
        <is>
          <t>JÄMTLANDS LÄN</t>
        </is>
      </c>
      <c r="E241" t="inlineStr">
        <is>
          <t>RAGUNDA</t>
        </is>
      </c>
      <c r="F241" t="inlineStr">
        <is>
          <t>SCA</t>
        </is>
      </c>
      <c r="G241" t="n">
        <v>1.6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32445-2025 artfynd.xlsx", "A 32445-2025")</f>
        <v/>
      </c>
      <c r="T241">
        <f>HYPERLINK("https://klasma.github.io/Logging_2303/kartor/A 32445-2025 karta.png", "A 32445-2025")</f>
        <v/>
      </c>
      <c r="V241">
        <f>HYPERLINK("https://klasma.github.io/Logging_2303/klagomål/A 32445-2025 FSC-klagomål.docx", "A 32445-2025")</f>
        <v/>
      </c>
      <c r="W241">
        <f>HYPERLINK("https://klasma.github.io/Logging_2303/klagomålsmail/A 32445-2025 FSC-klagomål mail.docx", "A 32445-2025")</f>
        <v/>
      </c>
      <c r="X241">
        <f>HYPERLINK("https://klasma.github.io/Logging_2303/tillsyn/A 32445-2025 tillsynsbegäran.docx", "A 32445-2025")</f>
        <v/>
      </c>
      <c r="Y241">
        <f>HYPERLINK("https://klasma.github.io/Logging_2303/tillsynsmail/A 32445-2025 tillsynsbegäran mail.docx", "A 32445-2025")</f>
        <v/>
      </c>
      <c r="Z241">
        <f>HYPERLINK("https://klasma.github.io/Logging_2303/fåglar/A 32445-2025 prioriterade fågelarter.docx", "A 32445-2025")</f>
        <v/>
      </c>
    </row>
    <row r="242" ht="15" customHeight="1">
      <c r="A242" t="inlineStr">
        <is>
          <t>A 48477-2023</t>
        </is>
      </c>
      <c r="B242" s="1" t="n">
        <v>45206</v>
      </c>
      <c r="C242" s="1" t="n">
        <v>45981</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16724-2025</t>
        </is>
      </c>
      <c r="B243" s="1" t="n">
        <v>45754.51064814815</v>
      </c>
      <c r="C243" s="1" t="n">
        <v>45981</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49770-2024</t>
        </is>
      </c>
      <c r="B244" s="1" t="n">
        <v>45597.34461805555</v>
      </c>
      <c r="C244" s="1" t="n">
        <v>45981</v>
      </c>
      <c r="D244" t="inlineStr">
        <is>
          <t>JÄMTLANDS LÄN</t>
        </is>
      </c>
      <c r="E244" t="inlineStr">
        <is>
          <t>RAGUNDA</t>
        </is>
      </c>
      <c r="F244" t="inlineStr">
        <is>
          <t>Naturvårdsverket</t>
        </is>
      </c>
      <c r="G244" t="n">
        <v>8.9</v>
      </c>
      <c r="H244" t="n">
        <v>1</v>
      </c>
      <c r="I244" t="n">
        <v>0</v>
      </c>
      <c r="J244" t="n">
        <v>0</v>
      </c>
      <c r="K244" t="n">
        <v>1</v>
      </c>
      <c r="L244" t="n">
        <v>0</v>
      </c>
      <c r="M244" t="n">
        <v>0</v>
      </c>
      <c r="N244" t="n">
        <v>0</v>
      </c>
      <c r="O244" t="n">
        <v>1</v>
      </c>
      <c r="P244" t="n">
        <v>1</v>
      </c>
      <c r="Q244" t="n">
        <v>1</v>
      </c>
      <c r="R244" s="2" t="inlineStr">
        <is>
          <t>Doftticka</t>
        </is>
      </c>
      <c r="S244">
        <f>HYPERLINK("https://klasma.github.io/Logging_2303/artfynd/A 49770-2024 artfynd.xlsx", "A 49770-2024")</f>
        <v/>
      </c>
      <c r="T244">
        <f>HYPERLINK("https://klasma.github.io/Logging_2303/kartor/A 49770-2024 karta.png", "A 49770-2024")</f>
        <v/>
      </c>
      <c r="V244">
        <f>HYPERLINK("https://klasma.github.io/Logging_2303/klagomål/A 49770-2024 FSC-klagomål.docx", "A 49770-2024")</f>
        <v/>
      </c>
      <c r="W244">
        <f>HYPERLINK("https://klasma.github.io/Logging_2303/klagomålsmail/A 49770-2024 FSC-klagomål mail.docx", "A 49770-2024")</f>
        <v/>
      </c>
      <c r="X244">
        <f>HYPERLINK("https://klasma.github.io/Logging_2303/tillsyn/A 49770-2024 tillsynsbegäran.docx", "A 49770-2024")</f>
        <v/>
      </c>
      <c r="Y244">
        <f>HYPERLINK("https://klasma.github.io/Logging_2303/tillsynsmail/A 49770-2024 tillsynsbegäran mail.docx", "A 49770-2024")</f>
        <v/>
      </c>
    </row>
    <row r="245" ht="15" customHeight="1">
      <c r="A245" t="inlineStr">
        <is>
          <t>A 34474-2025</t>
        </is>
      </c>
      <c r="B245" s="1" t="n">
        <v>45847.36528935185</v>
      </c>
      <c r="C245" s="1" t="n">
        <v>45981</v>
      </c>
      <c r="D245" t="inlineStr">
        <is>
          <t>JÄMTLANDS LÄN</t>
        </is>
      </c>
      <c r="E245" t="inlineStr">
        <is>
          <t>RAGUNDA</t>
        </is>
      </c>
      <c r="F245" t="inlineStr">
        <is>
          <t>SCA</t>
        </is>
      </c>
      <c r="G245" t="n">
        <v>9.699999999999999</v>
      </c>
      <c r="H245" t="n">
        <v>1</v>
      </c>
      <c r="I245" t="n">
        <v>0</v>
      </c>
      <c r="J245" t="n">
        <v>1</v>
      </c>
      <c r="K245" t="n">
        <v>0</v>
      </c>
      <c r="L245" t="n">
        <v>0</v>
      </c>
      <c r="M245" t="n">
        <v>0</v>
      </c>
      <c r="N245" t="n">
        <v>0</v>
      </c>
      <c r="O245" t="n">
        <v>1</v>
      </c>
      <c r="P245" t="n">
        <v>0</v>
      </c>
      <c r="Q245" t="n">
        <v>1</v>
      </c>
      <c r="R245" s="2" t="inlineStr">
        <is>
          <t>Fjällvråk</t>
        </is>
      </c>
      <c r="S245">
        <f>HYPERLINK("https://klasma.github.io/Logging_2303/artfynd/A 34474-2025 artfynd.xlsx", "A 34474-2025")</f>
        <v/>
      </c>
      <c r="T245">
        <f>HYPERLINK("https://klasma.github.io/Logging_2303/kartor/A 34474-2025 karta.png", "A 34474-2025")</f>
        <v/>
      </c>
      <c r="V245">
        <f>HYPERLINK("https://klasma.github.io/Logging_2303/klagomål/A 34474-2025 FSC-klagomål.docx", "A 34474-2025")</f>
        <v/>
      </c>
      <c r="W245">
        <f>HYPERLINK("https://klasma.github.io/Logging_2303/klagomålsmail/A 34474-2025 FSC-klagomål mail.docx", "A 34474-2025")</f>
        <v/>
      </c>
      <c r="X245">
        <f>HYPERLINK("https://klasma.github.io/Logging_2303/tillsyn/A 34474-2025 tillsynsbegäran.docx", "A 34474-2025")</f>
        <v/>
      </c>
      <c r="Y245">
        <f>HYPERLINK("https://klasma.github.io/Logging_2303/tillsynsmail/A 34474-2025 tillsynsbegäran mail.docx", "A 34474-2025")</f>
        <v/>
      </c>
      <c r="Z245">
        <f>HYPERLINK("https://klasma.github.io/Logging_2303/fåglar/A 34474-2025 prioriterade fågelarter.docx", "A 34474-2025")</f>
        <v/>
      </c>
    </row>
    <row r="246" ht="15" customHeight="1">
      <c r="A246" t="inlineStr">
        <is>
          <t>A 20774-2024</t>
        </is>
      </c>
      <c r="B246" s="1" t="n">
        <v>45436.94644675926</v>
      </c>
      <c r="C246" s="1" t="n">
        <v>45981</v>
      </c>
      <c r="D246" t="inlineStr">
        <is>
          <t>JÄMTLANDS LÄN</t>
        </is>
      </c>
      <c r="E246" t="inlineStr">
        <is>
          <t>RAGUNDA</t>
        </is>
      </c>
      <c r="F246" t="inlineStr">
        <is>
          <t>SCA</t>
        </is>
      </c>
      <c r="G246" t="n">
        <v>2.3</v>
      </c>
      <c r="H246" t="n">
        <v>0</v>
      </c>
      <c r="I246" t="n">
        <v>1</v>
      </c>
      <c r="J246" t="n">
        <v>0</v>
      </c>
      <c r="K246" t="n">
        <v>0</v>
      </c>
      <c r="L246" t="n">
        <v>0</v>
      </c>
      <c r="M246" t="n">
        <v>0</v>
      </c>
      <c r="N246" t="n">
        <v>0</v>
      </c>
      <c r="O246" t="n">
        <v>0</v>
      </c>
      <c r="P246" t="n">
        <v>0</v>
      </c>
      <c r="Q246" t="n">
        <v>1</v>
      </c>
      <c r="R246" s="2" t="inlineStr">
        <is>
          <t>Fjällig taggsvamp s.str.</t>
        </is>
      </c>
      <c r="S246">
        <f>HYPERLINK("https://klasma.github.io/Logging_2303/artfynd/A 20774-2024 artfynd.xlsx", "A 20774-2024")</f>
        <v/>
      </c>
      <c r="T246">
        <f>HYPERLINK("https://klasma.github.io/Logging_2303/kartor/A 20774-2024 karta.png", "A 20774-2024")</f>
        <v/>
      </c>
      <c r="V246">
        <f>HYPERLINK("https://klasma.github.io/Logging_2303/klagomål/A 20774-2024 FSC-klagomål.docx", "A 20774-2024")</f>
        <v/>
      </c>
      <c r="W246">
        <f>HYPERLINK("https://klasma.github.io/Logging_2303/klagomålsmail/A 20774-2024 FSC-klagomål mail.docx", "A 20774-2024")</f>
        <v/>
      </c>
      <c r="X246">
        <f>HYPERLINK("https://klasma.github.io/Logging_2303/tillsyn/A 20774-2024 tillsynsbegäran.docx", "A 20774-2024")</f>
        <v/>
      </c>
      <c r="Y246">
        <f>HYPERLINK("https://klasma.github.io/Logging_2303/tillsynsmail/A 20774-2024 tillsynsbegäran mail.docx", "A 20774-2024")</f>
        <v/>
      </c>
    </row>
    <row r="247" ht="15" customHeight="1">
      <c r="A247" t="inlineStr">
        <is>
          <t>A 33432-2023</t>
        </is>
      </c>
      <c r="B247" s="1" t="n">
        <v>45128</v>
      </c>
      <c r="C247" s="1" t="n">
        <v>45981</v>
      </c>
      <c r="D247" t="inlineStr">
        <is>
          <t>JÄMTLANDS LÄN</t>
        </is>
      </c>
      <c r="E247" t="inlineStr">
        <is>
          <t>RAGUNDA</t>
        </is>
      </c>
      <c r="F247" t="inlineStr">
        <is>
          <t>SCA</t>
        </is>
      </c>
      <c r="G247" t="n">
        <v>10</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33432-2023 artfynd.xlsx", "A 33432-2023")</f>
        <v/>
      </c>
      <c r="T247">
        <f>HYPERLINK("https://klasma.github.io/Logging_2303/kartor/A 33432-2023 karta.png", "A 33432-2023")</f>
        <v/>
      </c>
      <c r="V247">
        <f>HYPERLINK("https://klasma.github.io/Logging_2303/klagomål/A 33432-2023 FSC-klagomål.docx", "A 33432-2023")</f>
        <v/>
      </c>
      <c r="W247">
        <f>HYPERLINK("https://klasma.github.io/Logging_2303/klagomålsmail/A 33432-2023 FSC-klagomål mail.docx", "A 33432-2023")</f>
        <v/>
      </c>
      <c r="X247">
        <f>HYPERLINK("https://klasma.github.io/Logging_2303/tillsyn/A 33432-2023 tillsynsbegäran.docx", "A 33432-2023")</f>
        <v/>
      </c>
      <c r="Y247">
        <f>HYPERLINK("https://klasma.github.io/Logging_2303/tillsynsmail/A 33432-2023 tillsynsbegäran mail.docx", "A 33432-2023")</f>
        <v/>
      </c>
      <c r="Z247">
        <f>HYPERLINK("https://klasma.github.io/Logging_2303/fåglar/A 33432-2023 prioriterade fågelarter.docx", "A 33432-2023")</f>
        <v/>
      </c>
    </row>
    <row r="248" ht="15" customHeight="1">
      <c r="A248" t="inlineStr">
        <is>
          <t>A 61441-2020</t>
        </is>
      </c>
      <c r="B248" s="1" t="n">
        <v>44157</v>
      </c>
      <c r="C248" s="1" t="n">
        <v>45981</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45981</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45981</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45981</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45981</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45981</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45981</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45981</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45981</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45981</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45981</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45981</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45981</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45981</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45981</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45981</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45981</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14790-2021</t>
        </is>
      </c>
      <c r="B265" s="1" t="n">
        <v>44280</v>
      </c>
      <c r="C265" s="1" t="n">
        <v>45981</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45981</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45981</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45981</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45981</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46047-2022</t>
        </is>
      </c>
      <c r="B270" s="1" t="n">
        <v>44846.9522337963</v>
      </c>
      <c r="C270" s="1" t="n">
        <v>45981</v>
      </c>
      <c r="D270" t="inlineStr">
        <is>
          <t>JÄMTLANDS LÄN</t>
        </is>
      </c>
      <c r="E270" t="inlineStr">
        <is>
          <t>RAGUNDA</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45981</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45981</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37562-2021</t>
        </is>
      </c>
      <c r="B273" s="1" t="n">
        <v>44399</v>
      </c>
      <c r="C273" s="1" t="n">
        <v>45981</v>
      </c>
      <c r="D273" t="inlineStr">
        <is>
          <t>JÄMTLANDS LÄN</t>
        </is>
      </c>
      <c r="E273" t="inlineStr">
        <is>
          <t>RAGUNDA</t>
        </is>
      </c>
      <c r="G273" t="n">
        <v>1.1</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45981</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45981</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45981</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45981</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45981</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15808-2022</t>
        </is>
      </c>
      <c r="B279" s="1" t="n">
        <v>44663</v>
      </c>
      <c r="C279" s="1" t="n">
        <v>45981</v>
      </c>
      <c r="D279" t="inlineStr">
        <is>
          <t>JÄMTLANDS LÄN</t>
        </is>
      </c>
      <c r="E279" t="inlineStr">
        <is>
          <t>RAGUNDA</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45981</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45981</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45981</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45981</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45981</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45981</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48075-2022</t>
        </is>
      </c>
      <c r="B286" s="1" t="n">
        <v>44855</v>
      </c>
      <c r="C286" s="1" t="n">
        <v>45981</v>
      </c>
      <c r="D286" t="inlineStr">
        <is>
          <t>JÄMTLANDS LÄN</t>
        </is>
      </c>
      <c r="E286" t="inlineStr">
        <is>
          <t>RAGUNDA</t>
        </is>
      </c>
      <c r="F286" t="inlineStr">
        <is>
          <t>SCA</t>
        </is>
      </c>
      <c r="G286" t="n">
        <v>7.5</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45981</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45981</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45981</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69481-2020</t>
        </is>
      </c>
      <c r="B290" s="1" t="n">
        <v>44194</v>
      </c>
      <c r="C290" s="1" t="n">
        <v>45981</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7575-2021</t>
        </is>
      </c>
      <c r="B291" s="1" t="n">
        <v>44239</v>
      </c>
      <c r="C291" s="1" t="n">
        <v>45981</v>
      </c>
      <c r="D291" t="inlineStr">
        <is>
          <t>JÄMTLANDS LÄN</t>
        </is>
      </c>
      <c r="E291" t="inlineStr">
        <is>
          <t>RAGUNDA</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45981</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13571-2021</t>
        </is>
      </c>
      <c r="B293" s="1" t="n">
        <v>44273.92081018518</v>
      </c>
      <c r="C293" s="1" t="n">
        <v>45981</v>
      </c>
      <c r="D293" t="inlineStr">
        <is>
          <t>JÄMTLANDS LÄN</t>
        </is>
      </c>
      <c r="E293" t="inlineStr">
        <is>
          <t>RAGUNDA</t>
        </is>
      </c>
      <c r="G293" t="n">
        <v>1.9</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45981</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60312-2021</t>
        </is>
      </c>
      <c r="B295" s="1" t="n">
        <v>44495.93966435185</v>
      </c>
      <c r="C295" s="1" t="n">
        <v>45981</v>
      </c>
      <c r="D295" t="inlineStr">
        <is>
          <t>JÄMTLANDS LÄN</t>
        </is>
      </c>
      <c r="E295" t="inlineStr">
        <is>
          <t>RAGUNDA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47801-2022</t>
        </is>
      </c>
      <c r="B296" s="1" t="n">
        <v>44854</v>
      </c>
      <c r="C296" s="1" t="n">
        <v>45981</v>
      </c>
      <c r="D296" t="inlineStr">
        <is>
          <t>JÄMTLANDS LÄN</t>
        </is>
      </c>
      <c r="E296" t="inlineStr">
        <is>
          <t>RAGUNDA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48938-2022</t>
        </is>
      </c>
      <c r="B297" s="1" t="n">
        <v>44859.95710648148</v>
      </c>
      <c r="C297" s="1" t="n">
        <v>45981</v>
      </c>
      <c r="D297" t="inlineStr">
        <is>
          <t>JÄMTLANDS LÄN</t>
        </is>
      </c>
      <c r="E297" t="inlineStr">
        <is>
          <t>RAGUNDA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45981</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40612-2022</t>
        </is>
      </c>
      <c r="B299" s="1" t="n">
        <v>44823.94993055556</v>
      </c>
      <c r="C299" s="1" t="n">
        <v>45981</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43478-2022</t>
        </is>
      </c>
      <c r="B300" s="1" t="n">
        <v>44836.9491087963</v>
      </c>
      <c r="C300" s="1" t="n">
        <v>45981</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45981</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45981</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54837-2022</t>
        </is>
      </c>
      <c r="B303" s="1" t="n">
        <v>44883</v>
      </c>
      <c r="C303" s="1" t="n">
        <v>45981</v>
      </c>
      <c r="D303" t="inlineStr">
        <is>
          <t>JÄMTLANDS LÄN</t>
        </is>
      </c>
      <c r="E303" t="inlineStr">
        <is>
          <t>RAGUNDA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25028-2022</t>
        </is>
      </c>
      <c r="B304" s="1" t="n">
        <v>44728.94398148148</v>
      </c>
      <c r="C304" s="1" t="n">
        <v>45981</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10937-2021</t>
        </is>
      </c>
      <c r="B305" s="1" t="n">
        <v>44259</v>
      </c>
      <c r="C305" s="1" t="n">
        <v>45981</v>
      </c>
      <c r="D305" t="inlineStr">
        <is>
          <t>JÄMTLANDS LÄN</t>
        </is>
      </c>
      <c r="E305" t="inlineStr">
        <is>
          <t>RAGUNDA</t>
        </is>
      </c>
      <c r="G305" t="n">
        <v>10.8</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45981</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45981</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19612-2021</t>
        </is>
      </c>
      <c r="B308" s="1" t="n">
        <v>44308</v>
      </c>
      <c r="C308" s="1" t="n">
        <v>45981</v>
      </c>
      <c r="D308" t="inlineStr">
        <is>
          <t>JÄMTLANDS LÄN</t>
        </is>
      </c>
      <c r="E308" t="inlineStr">
        <is>
          <t>RAGUNDA</t>
        </is>
      </c>
      <c r="G308" t="n">
        <v>1</v>
      </c>
      <c r="H308" t="n">
        <v>0</v>
      </c>
      <c r="I308" t="n">
        <v>0</v>
      </c>
      <c r="J308" t="n">
        <v>0</v>
      </c>
      <c r="K308" t="n">
        <v>0</v>
      </c>
      <c r="L308" t="n">
        <v>0</v>
      </c>
      <c r="M308" t="n">
        <v>0</v>
      </c>
      <c r="N308" t="n">
        <v>0</v>
      </c>
      <c r="O308" t="n">
        <v>0</v>
      </c>
      <c r="P308" t="n">
        <v>0</v>
      </c>
      <c r="Q308" t="n">
        <v>0</v>
      </c>
      <c r="R308" s="2" t="inlineStr"/>
    </row>
    <row r="309" ht="15" customHeight="1">
      <c r="A309" t="inlineStr">
        <is>
          <t>A 19615-2021</t>
        </is>
      </c>
      <c r="B309" s="1" t="n">
        <v>44308</v>
      </c>
      <c r="C309" s="1" t="n">
        <v>45981</v>
      </c>
      <c r="D309" t="inlineStr">
        <is>
          <t>JÄMTLANDS LÄN</t>
        </is>
      </c>
      <c r="E309" t="inlineStr">
        <is>
          <t>RAGUNDA</t>
        </is>
      </c>
      <c r="G309" t="n">
        <v>1.4</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45981</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15102-2021</t>
        </is>
      </c>
      <c r="B311" s="1" t="n">
        <v>44281</v>
      </c>
      <c r="C311" s="1" t="n">
        <v>45981</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41062-2021</t>
        </is>
      </c>
      <c r="B312" s="1" t="n">
        <v>44421.97322916667</v>
      </c>
      <c r="C312" s="1" t="n">
        <v>45981</v>
      </c>
      <c r="D312" t="inlineStr">
        <is>
          <t>JÄMTLANDS LÄN</t>
        </is>
      </c>
      <c r="E312" t="inlineStr">
        <is>
          <t>RAGUNDA</t>
        </is>
      </c>
      <c r="F312" t="inlineStr">
        <is>
          <t>SCA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27399-2021</t>
        </is>
      </c>
      <c r="B313" s="1" t="n">
        <v>44351</v>
      </c>
      <c r="C313" s="1" t="n">
        <v>45981</v>
      </c>
      <c r="D313" t="inlineStr">
        <is>
          <t>JÄMTLANDS LÄN</t>
        </is>
      </c>
      <c r="E313" t="inlineStr">
        <is>
          <t>RAGUNDA</t>
        </is>
      </c>
      <c r="F313" t="inlineStr">
        <is>
          <t>Kommuner</t>
        </is>
      </c>
      <c r="G313" t="n">
        <v>3.1</v>
      </c>
      <c r="H313" t="n">
        <v>0</v>
      </c>
      <c r="I313" t="n">
        <v>0</v>
      </c>
      <c r="J313" t="n">
        <v>0</v>
      </c>
      <c r="K313" t="n">
        <v>0</v>
      </c>
      <c r="L313" t="n">
        <v>0</v>
      </c>
      <c r="M313" t="n">
        <v>0</v>
      </c>
      <c r="N313" t="n">
        <v>0</v>
      </c>
      <c r="O313" t="n">
        <v>0</v>
      </c>
      <c r="P313" t="n">
        <v>0</v>
      </c>
      <c r="Q313" t="n">
        <v>0</v>
      </c>
      <c r="R313" s="2" t="inlineStr"/>
    </row>
    <row r="314" ht="15" customHeight="1">
      <c r="A314" t="inlineStr">
        <is>
          <t>A 42900-2022</t>
        </is>
      </c>
      <c r="B314" s="1" t="n">
        <v>44832.95435185185</v>
      </c>
      <c r="C314" s="1" t="n">
        <v>45981</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3796-2022</t>
        </is>
      </c>
      <c r="B315" s="1" t="n">
        <v>44586</v>
      </c>
      <c r="C315" s="1" t="n">
        <v>45981</v>
      </c>
      <c r="D315" t="inlineStr">
        <is>
          <t>JÄMTLANDS LÄN</t>
        </is>
      </c>
      <c r="E315" t="inlineStr">
        <is>
          <t>RAGUNDA</t>
        </is>
      </c>
      <c r="G315" t="n">
        <v>1.2</v>
      </c>
      <c r="H315" t="n">
        <v>0</v>
      </c>
      <c r="I315" t="n">
        <v>0</v>
      </c>
      <c r="J315" t="n">
        <v>0</v>
      </c>
      <c r="K315" t="n">
        <v>0</v>
      </c>
      <c r="L315" t="n">
        <v>0</v>
      </c>
      <c r="M315" t="n">
        <v>0</v>
      </c>
      <c r="N315" t="n">
        <v>0</v>
      </c>
      <c r="O315" t="n">
        <v>0</v>
      </c>
      <c r="P315" t="n">
        <v>0</v>
      </c>
      <c r="Q315" t="n">
        <v>0</v>
      </c>
      <c r="R315" s="2" t="inlineStr"/>
    </row>
    <row r="316" ht="15" customHeight="1">
      <c r="A316" t="inlineStr">
        <is>
          <t>A 44247-2021</t>
        </is>
      </c>
      <c r="B316" s="1" t="n">
        <v>44434.94559027778</v>
      </c>
      <c r="C316" s="1" t="n">
        <v>45981</v>
      </c>
      <c r="D316" t="inlineStr">
        <is>
          <t>JÄMTLANDS LÄN</t>
        </is>
      </c>
      <c r="E316" t="inlineStr">
        <is>
          <t>RAGUNDA</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51012-2022</t>
        </is>
      </c>
      <c r="B317" s="1" t="n">
        <v>44867</v>
      </c>
      <c r="C317" s="1" t="n">
        <v>45981</v>
      </c>
      <c r="D317" t="inlineStr">
        <is>
          <t>JÄMTLANDS LÄN</t>
        </is>
      </c>
      <c r="E317" t="inlineStr">
        <is>
          <t>RAGUNDA</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53288-2022</t>
        </is>
      </c>
      <c r="B318" s="1" t="n">
        <v>44876.95104166667</v>
      </c>
      <c r="C318" s="1" t="n">
        <v>45981</v>
      </c>
      <c r="D318" t="inlineStr">
        <is>
          <t>JÄMTLANDS LÄN</t>
        </is>
      </c>
      <c r="E318" t="inlineStr">
        <is>
          <t>RAGUNDA</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19010-2022</t>
        </is>
      </c>
      <c r="B319" s="1" t="n">
        <v>44690</v>
      </c>
      <c r="C319" s="1" t="n">
        <v>45981</v>
      </c>
      <c r="D319" t="inlineStr">
        <is>
          <t>JÄMTLANDS LÄN</t>
        </is>
      </c>
      <c r="E319" t="inlineStr">
        <is>
          <t>RAGUNDA</t>
        </is>
      </c>
      <c r="F319" t="inlineStr">
        <is>
          <t>SCA</t>
        </is>
      </c>
      <c r="G319" t="n">
        <v>19.6</v>
      </c>
      <c r="H319" t="n">
        <v>0</v>
      </c>
      <c r="I319" t="n">
        <v>0</v>
      </c>
      <c r="J319" t="n">
        <v>0</v>
      </c>
      <c r="K319" t="n">
        <v>0</v>
      </c>
      <c r="L319" t="n">
        <v>0</v>
      </c>
      <c r="M319" t="n">
        <v>0</v>
      </c>
      <c r="N319" t="n">
        <v>0</v>
      </c>
      <c r="O319" t="n">
        <v>0</v>
      </c>
      <c r="P319" t="n">
        <v>0</v>
      </c>
      <c r="Q319" t="n">
        <v>0</v>
      </c>
      <c r="R319" s="2" t="inlineStr"/>
    </row>
    <row r="320" ht="15" customHeight="1">
      <c r="A320" t="inlineStr">
        <is>
          <t>A 61442-2021</t>
        </is>
      </c>
      <c r="B320" s="1" t="n">
        <v>44500.93887731482</v>
      </c>
      <c r="C320" s="1" t="n">
        <v>45981</v>
      </c>
      <c r="D320" t="inlineStr">
        <is>
          <t>JÄMTLANDS LÄN</t>
        </is>
      </c>
      <c r="E320" t="inlineStr">
        <is>
          <t>RAGUNDA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55932-2021</t>
        </is>
      </c>
      <c r="B321" s="1" t="n">
        <v>44476</v>
      </c>
      <c r="C321" s="1" t="n">
        <v>45981</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6492-2022</t>
        </is>
      </c>
      <c r="B322" s="1" t="n">
        <v>44601</v>
      </c>
      <c r="C322" s="1" t="n">
        <v>45981</v>
      </c>
      <c r="D322" t="inlineStr">
        <is>
          <t>JÄMTLANDS LÄN</t>
        </is>
      </c>
      <c r="E322" t="inlineStr">
        <is>
          <t>RAGUNDA</t>
        </is>
      </c>
      <c r="G322" t="n">
        <v>0.8</v>
      </c>
      <c r="H322" t="n">
        <v>0</v>
      </c>
      <c r="I322" t="n">
        <v>0</v>
      </c>
      <c r="J322" t="n">
        <v>0</v>
      </c>
      <c r="K322" t="n">
        <v>0</v>
      </c>
      <c r="L322" t="n">
        <v>0</v>
      </c>
      <c r="M322" t="n">
        <v>0</v>
      </c>
      <c r="N322" t="n">
        <v>0</v>
      </c>
      <c r="O322" t="n">
        <v>0</v>
      </c>
      <c r="P322" t="n">
        <v>0</v>
      </c>
      <c r="Q322" t="n">
        <v>0</v>
      </c>
      <c r="R322" s="2" t="inlineStr"/>
    </row>
    <row r="323" ht="15" customHeight="1">
      <c r="A323" t="inlineStr">
        <is>
          <t>A 22772-2022</t>
        </is>
      </c>
      <c r="B323" s="1" t="n">
        <v>44714.94162037037</v>
      </c>
      <c r="C323" s="1" t="n">
        <v>45981</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28887-2021</t>
        </is>
      </c>
      <c r="B324" s="1" t="n">
        <v>44357</v>
      </c>
      <c r="C324" s="1" t="n">
        <v>45981</v>
      </c>
      <c r="D324" t="inlineStr">
        <is>
          <t>JÄMTLANDS LÄN</t>
        </is>
      </c>
      <c r="E324" t="inlineStr">
        <is>
          <t>RAGUNDA</t>
        </is>
      </c>
      <c r="G324" t="n">
        <v>1.8</v>
      </c>
      <c r="H324" t="n">
        <v>0</v>
      </c>
      <c r="I324" t="n">
        <v>0</v>
      </c>
      <c r="J324" t="n">
        <v>0</v>
      </c>
      <c r="K324" t="n">
        <v>0</v>
      </c>
      <c r="L324" t="n">
        <v>0</v>
      </c>
      <c r="M324" t="n">
        <v>0</v>
      </c>
      <c r="N324" t="n">
        <v>0</v>
      </c>
      <c r="O324" t="n">
        <v>0</v>
      </c>
      <c r="P324" t="n">
        <v>0</v>
      </c>
      <c r="Q324" t="n">
        <v>0</v>
      </c>
      <c r="R324" s="2" t="inlineStr"/>
    </row>
    <row r="325" ht="15" customHeight="1">
      <c r="A325" t="inlineStr">
        <is>
          <t>A 56055-2021</t>
        </is>
      </c>
      <c r="B325" s="1" t="n">
        <v>44477.48994212963</v>
      </c>
      <c r="C325" s="1" t="n">
        <v>45981</v>
      </c>
      <c r="D325" t="inlineStr">
        <is>
          <t>JÄMTLANDS LÄN</t>
        </is>
      </c>
      <c r="E325" t="inlineStr">
        <is>
          <t>RAGUNDA</t>
        </is>
      </c>
      <c r="G325" t="n">
        <v>3.9</v>
      </c>
      <c r="H325" t="n">
        <v>0</v>
      </c>
      <c r="I325" t="n">
        <v>0</v>
      </c>
      <c r="J325" t="n">
        <v>0</v>
      </c>
      <c r="K325" t="n">
        <v>0</v>
      </c>
      <c r="L325" t="n">
        <v>0</v>
      </c>
      <c r="M325" t="n">
        <v>0</v>
      </c>
      <c r="N325" t="n">
        <v>0</v>
      </c>
      <c r="O325" t="n">
        <v>0</v>
      </c>
      <c r="P325" t="n">
        <v>0</v>
      </c>
      <c r="Q325" t="n">
        <v>0</v>
      </c>
      <c r="R325" s="2" t="inlineStr"/>
    </row>
    <row r="326" ht="15" customHeight="1">
      <c r="A326" t="inlineStr">
        <is>
          <t>A 5130-2021</t>
        </is>
      </c>
      <c r="B326" s="1" t="n">
        <v>44228</v>
      </c>
      <c r="C326" s="1" t="n">
        <v>45981</v>
      </c>
      <c r="D326" t="inlineStr">
        <is>
          <t>JÄMTLANDS LÄN</t>
        </is>
      </c>
      <c r="E326" t="inlineStr">
        <is>
          <t>RAGUNDA</t>
        </is>
      </c>
      <c r="G326" t="n">
        <v>1.6</v>
      </c>
      <c r="H326" t="n">
        <v>0</v>
      </c>
      <c r="I326" t="n">
        <v>0</v>
      </c>
      <c r="J326" t="n">
        <v>0</v>
      </c>
      <c r="K326" t="n">
        <v>0</v>
      </c>
      <c r="L326" t="n">
        <v>0</v>
      </c>
      <c r="M326" t="n">
        <v>0</v>
      </c>
      <c r="N326" t="n">
        <v>0</v>
      </c>
      <c r="O326" t="n">
        <v>0</v>
      </c>
      <c r="P326" t="n">
        <v>0</v>
      </c>
      <c r="Q326" t="n">
        <v>0</v>
      </c>
      <c r="R326" s="2" t="inlineStr"/>
    </row>
    <row r="327" ht="15" customHeight="1">
      <c r="A327" t="inlineStr">
        <is>
          <t>A 65424-2021</t>
        </is>
      </c>
      <c r="B327" s="1" t="n">
        <v>44515.93767361111</v>
      </c>
      <c r="C327" s="1" t="n">
        <v>45981</v>
      </c>
      <c r="D327" t="inlineStr">
        <is>
          <t>JÄMTLANDS LÄN</t>
        </is>
      </c>
      <c r="E327" t="inlineStr">
        <is>
          <t>RAGUNDA</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19850-2022</t>
        </is>
      </c>
      <c r="B328" s="1" t="n">
        <v>44696.93986111111</v>
      </c>
      <c r="C328" s="1" t="n">
        <v>45981</v>
      </c>
      <c r="D328" t="inlineStr">
        <is>
          <t>JÄMTLANDS LÄN</t>
        </is>
      </c>
      <c r="E328" t="inlineStr">
        <is>
          <t>RAGUNDA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32780-2022</t>
        </is>
      </c>
      <c r="B329" s="1" t="n">
        <v>44783</v>
      </c>
      <c r="C329" s="1" t="n">
        <v>45981</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36084-2022</t>
        </is>
      </c>
      <c r="B330" s="1" t="n">
        <v>44802</v>
      </c>
      <c r="C330" s="1" t="n">
        <v>45981</v>
      </c>
      <c r="D330" t="inlineStr">
        <is>
          <t>JÄMTLANDS LÄN</t>
        </is>
      </c>
      <c r="E330" t="inlineStr">
        <is>
          <t>RAGUNDA</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49904-2022</t>
        </is>
      </c>
      <c r="B331" s="1" t="n">
        <v>44864.94835648148</v>
      </c>
      <c r="C331" s="1" t="n">
        <v>45981</v>
      </c>
      <c r="D331" t="inlineStr">
        <is>
          <t>JÄMTLANDS LÄN</t>
        </is>
      </c>
      <c r="E331" t="inlineStr">
        <is>
          <t>RAGUNDA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19595-2021</t>
        </is>
      </c>
      <c r="B332" s="1" t="n">
        <v>44308</v>
      </c>
      <c r="C332" s="1" t="n">
        <v>45981</v>
      </c>
      <c r="D332" t="inlineStr">
        <is>
          <t>JÄMTLANDS LÄN</t>
        </is>
      </c>
      <c r="E332" t="inlineStr">
        <is>
          <t>RAGUNDA</t>
        </is>
      </c>
      <c r="G332" t="n">
        <v>5.4</v>
      </c>
      <c r="H332" t="n">
        <v>0</v>
      </c>
      <c r="I332" t="n">
        <v>0</v>
      </c>
      <c r="J332" t="n">
        <v>0</v>
      </c>
      <c r="K332" t="n">
        <v>0</v>
      </c>
      <c r="L332" t="n">
        <v>0</v>
      </c>
      <c r="M332" t="n">
        <v>0</v>
      </c>
      <c r="N332" t="n">
        <v>0</v>
      </c>
      <c r="O332" t="n">
        <v>0</v>
      </c>
      <c r="P332" t="n">
        <v>0</v>
      </c>
      <c r="Q332" t="n">
        <v>0</v>
      </c>
      <c r="R332" s="2" t="inlineStr"/>
    </row>
    <row r="333" ht="15" customHeight="1">
      <c r="A333" t="inlineStr">
        <is>
          <t>A 57194-2021</t>
        </is>
      </c>
      <c r="B333" s="1" t="n">
        <v>44482.92271990741</v>
      </c>
      <c r="C333" s="1" t="n">
        <v>45981</v>
      </c>
      <c r="D333" t="inlineStr">
        <is>
          <t>JÄMTLANDS LÄN</t>
        </is>
      </c>
      <c r="E333" t="inlineStr">
        <is>
          <t>RAGUNDA</t>
        </is>
      </c>
      <c r="G333" t="n">
        <v>7.3</v>
      </c>
      <c r="H333" t="n">
        <v>0</v>
      </c>
      <c r="I333" t="n">
        <v>0</v>
      </c>
      <c r="J333" t="n">
        <v>0</v>
      </c>
      <c r="K333" t="n">
        <v>0</v>
      </c>
      <c r="L333" t="n">
        <v>0</v>
      </c>
      <c r="M333" t="n">
        <v>0</v>
      </c>
      <c r="N333" t="n">
        <v>0</v>
      </c>
      <c r="O333" t="n">
        <v>0</v>
      </c>
      <c r="P333" t="n">
        <v>0</v>
      </c>
      <c r="Q333" t="n">
        <v>0</v>
      </c>
      <c r="R333" s="2" t="inlineStr"/>
    </row>
    <row r="334" ht="15" customHeight="1">
      <c r="A334" t="inlineStr">
        <is>
          <t>A 40829-2022</t>
        </is>
      </c>
      <c r="B334" s="1" t="n">
        <v>44824.94635416667</v>
      </c>
      <c r="C334" s="1" t="n">
        <v>45981</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46992-2022</t>
        </is>
      </c>
      <c r="B335" s="1" t="n">
        <v>44851.95488425926</v>
      </c>
      <c r="C335" s="1" t="n">
        <v>45981</v>
      </c>
      <c r="D335" t="inlineStr">
        <is>
          <t>JÄMTLANDS LÄN</t>
        </is>
      </c>
      <c r="E335" t="inlineStr">
        <is>
          <t>RAGUNDA</t>
        </is>
      </c>
      <c r="F335" t="inlineStr">
        <is>
          <t>SCA</t>
        </is>
      </c>
      <c r="G335" t="n">
        <v>26.4</v>
      </c>
      <c r="H335" t="n">
        <v>0</v>
      </c>
      <c r="I335" t="n">
        <v>0</v>
      </c>
      <c r="J335" t="n">
        <v>0</v>
      </c>
      <c r="K335" t="n">
        <v>0</v>
      </c>
      <c r="L335" t="n">
        <v>0</v>
      </c>
      <c r="M335" t="n">
        <v>0</v>
      </c>
      <c r="N335" t="n">
        <v>0</v>
      </c>
      <c r="O335" t="n">
        <v>0</v>
      </c>
      <c r="P335" t="n">
        <v>0</v>
      </c>
      <c r="Q335" t="n">
        <v>0</v>
      </c>
      <c r="R335" s="2" t="inlineStr"/>
    </row>
    <row r="336" ht="15" customHeight="1">
      <c r="A336" t="inlineStr">
        <is>
          <t>A 34348-2021</t>
        </is>
      </c>
      <c r="B336" s="1" t="n">
        <v>44379</v>
      </c>
      <c r="C336" s="1" t="n">
        <v>45981</v>
      </c>
      <c r="D336" t="inlineStr">
        <is>
          <t>JÄMTLANDS LÄN</t>
        </is>
      </c>
      <c r="E336" t="inlineStr">
        <is>
          <t>RAGUNDA</t>
        </is>
      </c>
      <c r="G336" t="n">
        <v>8.1</v>
      </c>
      <c r="H336" t="n">
        <v>0</v>
      </c>
      <c r="I336" t="n">
        <v>0</v>
      </c>
      <c r="J336" t="n">
        <v>0</v>
      </c>
      <c r="K336" t="n">
        <v>0</v>
      </c>
      <c r="L336" t="n">
        <v>0</v>
      </c>
      <c r="M336" t="n">
        <v>0</v>
      </c>
      <c r="N336" t="n">
        <v>0</v>
      </c>
      <c r="O336" t="n">
        <v>0</v>
      </c>
      <c r="P336" t="n">
        <v>0</v>
      </c>
      <c r="Q336" t="n">
        <v>0</v>
      </c>
      <c r="R336" s="2" t="inlineStr"/>
    </row>
    <row r="337" ht="15" customHeight="1">
      <c r="A337" t="inlineStr">
        <is>
          <t>A 25253-2022</t>
        </is>
      </c>
      <c r="B337" s="1" t="n">
        <v>44729.94136574074</v>
      </c>
      <c r="C337" s="1" t="n">
        <v>45981</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1858-2022</t>
        </is>
      </c>
      <c r="B338" s="1" t="n">
        <v>44574</v>
      </c>
      <c r="C338" s="1" t="n">
        <v>45981</v>
      </c>
      <c r="D338" t="inlineStr">
        <is>
          <t>JÄMTLANDS LÄN</t>
        </is>
      </c>
      <c r="E338" t="inlineStr">
        <is>
          <t>RAGUNDA</t>
        </is>
      </c>
      <c r="G338" t="n">
        <v>5.7</v>
      </c>
      <c r="H338" t="n">
        <v>0</v>
      </c>
      <c r="I338" t="n">
        <v>0</v>
      </c>
      <c r="J338" t="n">
        <v>0</v>
      </c>
      <c r="K338" t="n">
        <v>0</v>
      </c>
      <c r="L338" t="n">
        <v>0</v>
      </c>
      <c r="M338" t="n">
        <v>0</v>
      </c>
      <c r="N338" t="n">
        <v>0</v>
      </c>
      <c r="O338" t="n">
        <v>0</v>
      </c>
      <c r="P338" t="n">
        <v>0</v>
      </c>
      <c r="Q338" t="n">
        <v>0</v>
      </c>
      <c r="R338" s="2" t="inlineStr"/>
    </row>
    <row r="339" ht="15" customHeight="1">
      <c r="A339" t="inlineStr">
        <is>
          <t>A 35749-2022</t>
        </is>
      </c>
      <c r="B339" s="1" t="n">
        <v>44799.94394675926</v>
      </c>
      <c r="C339" s="1" t="n">
        <v>45981</v>
      </c>
      <c r="D339" t="inlineStr">
        <is>
          <t>JÄMTLANDS LÄN</t>
        </is>
      </c>
      <c r="E339" t="inlineStr">
        <is>
          <t>RAGUNDA</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54836-2022</t>
        </is>
      </c>
      <c r="B340" s="1" t="n">
        <v>44883.94918981481</v>
      </c>
      <c r="C340" s="1" t="n">
        <v>45981</v>
      </c>
      <c r="D340" t="inlineStr">
        <is>
          <t>JÄMTLANDS LÄN</t>
        </is>
      </c>
      <c r="E340" t="inlineStr">
        <is>
          <t>RAGUNDA</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56193-2022</t>
        </is>
      </c>
      <c r="B341" s="1" t="n">
        <v>44889</v>
      </c>
      <c r="C341" s="1" t="n">
        <v>45981</v>
      </c>
      <c r="D341" t="inlineStr">
        <is>
          <t>JÄMTLANDS LÄN</t>
        </is>
      </c>
      <c r="E341" t="inlineStr">
        <is>
          <t>RAGUNDA</t>
        </is>
      </c>
      <c r="F341" t="inlineStr">
        <is>
          <t>Sveaskog</t>
        </is>
      </c>
      <c r="G341" t="n">
        <v>4.2</v>
      </c>
      <c r="H341" t="n">
        <v>0</v>
      </c>
      <c r="I341" t="n">
        <v>0</v>
      </c>
      <c r="J341" t="n">
        <v>0</v>
      </c>
      <c r="K341" t="n">
        <v>0</v>
      </c>
      <c r="L341" t="n">
        <v>0</v>
      </c>
      <c r="M341" t="n">
        <v>0</v>
      </c>
      <c r="N341" t="n">
        <v>0</v>
      </c>
      <c r="O341" t="n">
        <v>0</v>
      </c>
      <c r="P341" t="n">
        <v>0</v>
      </c>
      <c r="Q341" t="n">
        <v>0</v>
      </c>
      <c r="R341" s="2" t="inlineStr"/>
    </row>
    <row r="342" ht="15" customHeight="1">
      <c r="A342" t="inlineStr">
        <is>
          <t>A 58984-2021</t>
        </is>
      </c>
      <c r="B342" s="1" t="n">
        <v>44489.94711805556</v>
      </c>
      <c r="C342" s="1" t="n">
        <v>45981</v>
      </c>
      <c r="D342" t="inlineStr">
        <is>
          <t>JÄMTLANDS LÄN</t>
        </is>
      </c>
      <c r="E342" t="inlineStr">
        <is>
          <t>RAGUNDA</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5515-2022</t>
        </is>
      </c>
      <c r="B343" s="1" t="n">
        <v>44595</v>
      </c>
      <c r="C343" s="1" t="n">
        <v>45981</v>
      </c>
      <c r="D343" t="inlineStr">
        <is>
          <t>JÄMTLANDS LÄN</t>
        </is>
      </c>
      <c r="E343" t="inlineStr">
        <is>
          <t>RAGUNDA</t>
        </is>
      </c>
      <c r="G343" t="n">
        <v>1</v>
      </c>
      <c r="H343" t="n">
        <v>0</v>
      </c>
      <c r="I343" t="n">
        <v>0</v>
      </c>
      <c r="J343" t="n">
        <v>0</v>
      </c>
      <c r="K343" t="n">
        <v>0</v>
      </c>
      <c r="L343" t="n">
        <v>0</v>
      </c>
      <c r="M343" t="n">
        <v>0</v>
      </c>
      <c r="N343" t="n">
        <v>0</v>
      </c>
      <c r="O343" t="n">
        <v>0</v>
      </c>
      <c r="P343" t="n">
        <v>0</v>
      </c>
      <c r="Q343" t="n">
        <v>0</v>
      </c>
      <c r="R343" s="2" t="inlineStr"/>
    </row>
    <row r="344" ht="15" customHeight="1">
      <c r="A344" t="inlineStr">
        <is>
          <t>A 46048-2022</t>
        </is>
      </c>
      <c r="B344" s="1" t="n">
        <v>44846</v>
      </c>
      <c r="C344" s="1" t="n">
        <v>45981</v>
      </c>
      <c r="D344" t="inlineStr">
        <is>
          <t>JÄMTLANDS LÄN</t>
        </is>
      </c>
      <c r="E344" t="inlineStr">
        <is>
          <t>RAGUNDA</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40978-2022</t>
        </is>
      </c>
      <c r="B345" s="1" t="n">
        <v>44823</v>
      </c>
      <c r="C345" s="1" t="n">
        <v>45981</v>
      </c>
      <c r="D345" t="inlineStr">
        <is>
          <t>JÄMTLANDS LÄN</t>
        </is>
      </c>
      <c r="E345" t="inlineStr">
        <is>
          <t>RAGUNDA</t>
        </is>
      </c>
      <c r="G345" t="n">
        <v>1.5</v>
      </c>
      <c r="H345" t="n">
        <v>0</v>
      </c>
      <c r="I345" t="n">
        <v>0</v>
      </c>
      <c r="J345" t="n">
        <v>0</v>
      </c>
      <c r="K345" t="n">
        <v>0</v>
      </c>
      <c r="L345" t="n">
        <v>0</v>
      </c>
      <c r="M345" t="n">
        <v>0</v>
      </c>
      <c r="N345" t="n">
        <v>0</v>
      </c>
      <c r="O345" t="n">
        <v>0</v>
      </c>
      <c r="P345" t="n">
        <v>0</v>
      </c>
      <c r="Q345" t="n">
        <v>0</v>
      </c>
      <c r="R345" s="2" t="inlineStr"/>
    </row>
    <row r="346" ht="15" customHeight="1">
      <c r="A346" t="inlineStr">
        <is>
          <t>A 24741-2022</t>
        </is>
      </c>
      <c r="B346" s="1" t="n">
        <v>44727</v>
      </c>
      <c r="C346" s="1" t="n">
        <v>45981</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45981</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41613-2021</t>
        </is>
      </c>
      <c r="B348" s="1" t="n">
        <v>44425</v>
      </c>
      <c r="C348" s="1" t="n">
        <v>45981</v>
      </c>
      <c r="D348" t="inlineStr">
        <is>
          <t>JÄMTLANDS LÄN</t>
        </is>
      </c>
      <c r="E348" t="inlineStr">
        <is>
          <t>RAGUNDA</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60957-2021</t>
        </is>
      </c>
      <c r="B349" s="1" t="n">
        <v>44496</v>
      </c>
      <c r="C349" s="1" t="n">
        <v>45981</v>
      </c>
      <c r="D349" t="inlineStr">
        <is>
          <t>JÄMTLANDS LÄN</t>
        </is>
      </c>
      <c r="E349" t="inlineStr">
        <is>
          <t>RAGUNDA</t>
        </is>
      </c>
      <c r="G349" t="n">
        <v>1.6</v>
      </c>
      <c r="H349" t="n">
        <v>0</v>
      </c>
      <c r="I349" t="n">
        <v>0</v>
      </c>
      <c r="J349" t="n">
        <v>0</v>
      </c>
      <c r="K349" t="n">
        <v>0</v>
      </c>
      <c r="L349" t="n">
        <v>0</v>
      </c>
      <c r="M349" t="n">
        <v>0</v>
      </c>
      <c r="N349" t="n">
        <v>0</v>
      </c>
      <c r="O349" t="n">
        <v>0</v>
      </c>
      <c r="P349" t="n">
        <v>0</v>
      </c>
      <c r="Q349" t="n">
        <v>0</v>
      </c>
      <c r="R349" s="2" t="inlineStr"/>
    </row>
    <row r="350" ht="15" customHeight="1">
      <c r="A350" t="inlineStr">
        <is>
          <t>A 26122-2022</t>
        </is>
      </c>
      <c r="B350" s="1" t="n">
        <v>44734.94193287037</v>
      </c>
      <c r="C350" s="1" t="n">
        <v>45981</v>
      </c>
      <c r="D350" t="inlineStr">
        <is>
          <t>JÄMTLANDS LÄN</t>
        </is>
      </c>
      <c r="E350" t="inlineStr">
        <is>
          <t>RAGUNDA</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45981</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32288-2022</t>
        </is>
      </c>
      <c r="B352" s="1" t="n">
        <v>44781</v>
      </c>
      <c r="C352" s="1" t="n">
        <v>45981</v>
      </c>
      <c r="D352" t="inlineStr">
        <is>
          <t>JÄMTLANDS LÄN</t>
        </is>
      </c>
      <c r="E352" t="inlineStr">
        <is>
          <t>RAGUNDA</t>
        </is>
      </c>
      <c r="G352" t="n">
        <v>0.8</v>
      </c>
      <c r="H352" t="n">
        <v>0</v>
      </c>
      <c r="I352" t="n">
        <v>0</v>
      </c>
      <c r="J352" t="n">
        <v>0</v>
      </c>
      <c r="K352" t="n">
        <v>0</v>
      </c>
      <c r="L352" t="n">
        <v>0</v>
      </c>
      <c r="M352" t="n">
        <v>0</v>
      </c>
      <c r="N352" t="n">
        <v>0</v>
      </c>
      <c r="O352" t="n">
        <v>0</v>
      </c>
      <c r="P352" t="n">
        <v>0</v>
      </c>
      <c r="Q352" t="n">
        <v>0</v>
      </c>
      <c r="R352" s="2" t="inlineStr"/>
    </row>
    <row r="353" ht="15" customHeight="1">
      <c r="A353" t="inlineStr">
        <is>
          <t>A 21193-2022</t>
        </is>
      </c>
      <c r="B353" s="1" t="n">
        <v>44704.94217592593</v>
      </c>
      <c r="C353" s="1" t="n">
        <v>45981</v>
      </c>
      <c r="D353" t="inlineStr">
        <is>
          <t>JÄMTLANDS LÄN</t>
        </is>
      </c>
      <c r="E353" t="inlineStr">
        <is>
          <t>RAGUNDA</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47803-2022</t>
        </is>
      </c>
      <c r="B354" s="1" t="n">
        <v>44854.95390046296</v>
      </c>
      <c r="C354" s="1" t="n">
        <v>45981</v>
      </c>
      <c r="D354" t="inlineStr">
        <is>
          <t>JÄMTLANDS LÄN</t>
        </is>
      </c>
      <c r="E354" t="inlineStr">
        <is>
          <t>RAGUNDA</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25027-2022</t>
        </is>
      </c>
      <c r="B355" s="1" t="n">
        <v>44728.94392361111</v>
      </c>
      <c r="C355" s="1" t="n">
        <v>45981</v>
      </c>
      <c r="D355" t="inlineStr">
        <is>
          <t>JÄMTLANDS LÄN</t>
        </is>
      </c>
      <c r="E355" t="inlineStr">
        <is>
          <t>RAGUNDA</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42652-2022</t>
        </is>
      </c>
      <c r="B356" s="1" t="n">
        <v>44831.94846064815</v>
      </c>
      <c r="C356" s="1" t="n">
        <v>45981</v>
      </c>
      <c r="D356" t="inlineStr">
        <is>
          <t>JÄMTLANDS LÄN</t>
        </is>
      </c>
      <c r="E356" t="inlineStr">
        <is>
          <t>RAGUNDA</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42653-2022</t>
        </is>
      </c>
      <c r="B357" s="1" t="n">
        <v>44831.9485300926</v>
      </c>
      <c r="C357" s="1" t="n">
        <v>45981</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32986-2022</t>
        </is>
      </c>
      <c r="B358" s="1" t="n">
        <v>44784.94157407407</v>
      </c>
      <c r="C358" s="1" t="n">
        <v>45981</v>
      </c>
      <c r="D358" t="inlineStr">
        <is>
          <t>JÄMTLANDS LÄN</t>
        </is>
      </c>
      <c r="E358" t="inlineStr">
        <is>
          <t>RAGUNDA</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37806-2021</t>
        </is>
      </c>
      <c r="B359" s="1" t="n">
        <v>44402.42243055555</v>
      </c>
      <c r="C359" s="1" t="n">
        <v>45981</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28597-2021</t>
        </is>
      </c>
      <c r="B360" s="1" t="n">
        <v>44356.91935185185</v>
      </c>
      <c r="C360" s="1" t="n">
        <v>45981</v>
      </c>
      <c r="D360" t="inlineStr">
        <is>
          <t>JÄMTLANDS LÄN</t>
        </is>
      </c>
      <c r="E360" t="inlineStr">
        <is>
          <t>RAGUNDA</t>
        </is>
      </c>
      <c r="G360" t="n">
        <v>3.1</v>
      </c>
      <c r="H360" t="n">
        <v>0</v>
      </c>
      <c r="I360" t="n">
        <v>0</v>
      </c>
      <c r="J360" t="n">
        <v>0</v>
      </c>
      <c r="K360" t="n">
        <v>0</v>
      </c>
      <c r="L360" t="n">
        <v>0</v>
      </c>
      <c r="M360" t="n">
        <v>0</v>
      </c>
      <c r="N360" t="n">
        <v>0</v>
      </c>
      <c r="O360" t="n">
        <v>0</v>
      </c>
      <c r="P360" t="n">
        <v>0</v>
      </c>
      <c r="Q360" t="n">
        <v>0</v>
      </c>
      <c r="R360" s="2" t="inlineStr"/>
    </row>
    <row r="361" ht="15" customHeight="1">
      <c r="A361" t="inlineStr">
        <is>
          <t>A 24197-2024</t>
        </is>
      </c>
      <c r="B361" s="1" t="n">
        <v>45456.96601851852</v>
      </c>
      <c r="C361" s="1" t="n">
        <v>45981</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45981</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45981</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36941-2022</t>
        </is>
      </c>
      <c r="B364" s="1" t="n">
        <v>44805</v>
      </c>
      <c r="C364" s="1" t="n">
        <v>45981</v>
      </c>
      <c r="D364" t="inlineStr">
        <is>
          <t>JÄMTLANDS LÄN</t>
        </is>
      </c>
      <c r="E364" t="inlineStr">
        <is>
          <t>RAGUNDA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20548-2021</t>
        </is>
      </c>
      <c r="B365" s="1" t="n">
        <v>44315</v>
      </c>
      <c r="C365" s="1" t="n">
        <v>45981</v>
      </c>
      <c r="D365" t="inlineStr">
        <is>
          <t>JÄMTLANDS LÄN</t>
        </is>
      </c>
      <c r="E365" t="inlineStr">
        <is>
          <t>RAGUNDA</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49530-2022</t>
        </is>
      </c>
      <c r="B366" s="1" t="n">
        <v>44861</v>
      </c>
      <c r="C366" s="1" t="n">
        <v>45981</v>
      </c>
      <c r="D366" t="inlineStr">
        <is>
          <t>JÄMTLANDS LÄN</t>
        </is>
      </c>
      <c r="E366" t="inlineStr">
        <is>
          <t>RAGUNDA</t>
        </is>
      </c>
      <c r="F366" t="inlineStr">
        <is>
          <t>SCA</t>
        </is>
      </c>
      <c r="G366" t="n">
        <v>13.4</v>
      </c>
      <c r="H366" t="n">
        <v>0</v>
      </c>
      <c r="I366" t="n">
        <v>0</v>
      </c>
      <c r="J366" t="n">
        <v>0</v>
      </c>
      <c r="K366" t="n">
        <v>0</v>
      </c>
      <c r="L366" t="n">
        <v>0</v>
      </c>
      <c r="M366" t="n">
        <v>0</v>
      </c>
      <c r="N366" t="n">
        <v>0</v>
      </c>
      <c r="O366" t="n">
        <v>0</v>
      </c>
      <c r="P366" t="n">
        <v>0</v>
      </c>
      <c r="Q366" t="n">
        <v>0</v>
      </c>
      <c r="R366" s="2" t="inlineStr"/>
    </row>
    <row r="367" ht="15" customHeight="1">
      <c r="A367" t="inlineStr">
        <is>
          <t>A 5175-2023</t>
        </is>
      </c>
      <c r="B367" s="1" t="n">
        <v>44958.94298611111</v>
      </c>
      <c r="C367" s="1" t="n">
        <v>45981</v>
      </c>
      <c r="D367" t="inlineStr">
        <is>
          <t>JÄMTLANDS LÄN</t>
        </is>
      </c>
      <c r="E367" t="inlineStr">
        <is>
          <t>RAGUNDA</t>
        </is>
      </c>
      <c r="F367" t="inlineStr">
        <is>
          <t>SCA</t>
        </is>
      </c>
      <c r="G367" t="n">
        <v>17.9</v>
      </c>
      <c r="H367" t="n">
        <v>0</v>
      </c>
      <c r="I367" t="n">
        <v>0</v>
      </c>
      <c r="J367" t="n">
        <v>0</v>
      </c>
      <c r="K367" t="n">
        <v>0</v>
      </c>
      <c r="L367" t="n">
        <v>0</v>
      </c>
      <c r="M367" t="n">
        <v>0</v>
      </c>
      <c r="N367" t="n">
        <v>0</v>
      </c>
      <c r="O367" t="n">
        <v>0</v>
      </c>
      <c r="P367" t="n">
        <v>0</v>
      </c>
      <c r="Q367" t="n">
        <v>0</v>
      </c>
      <c r="R367" s="2" t="inlineStr"/>
    </row>
    <row r="368" ht="15" customHeight="1">
      <c r="A368" t="inlineStr">
        <is>
          <t>A 14896-2022</t>
        </is>
      </c>
      <c r="B368" s="1" t="n">
        <v>44656</v>
      </c>
      <c r="C368" s="1" t="n">
        <v>45981</v>
      </c>
      <c r="D368" t="inlineStr">
        <is>
          <t>JÄMTLANDS LÄN</t>
        </is>
      </c>
      <c r="E368" t="inlineStr">
        <is>
          <t>RAGUNDA</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20574-2025</t>
        </is>
      </c>
      <c r="B369" s="1" t="n">
        <v>45775.67747685185</v>
      </c>
      <c r="C369" s="1" t="n">
        <v>45981</v>
      </c>
      <c r="D369" t="inlineStr">
        <is>
          <t>JÄMTLANDS LÄN</t>
        </is>
      </c>
      <c r="E369" t="inlineStr">
        <is>
          <t>RAGUNDA</t>
        </is>
      </c>
      <c r="F369" t="inlineStr">
        <is>
          <t>SCA</t>
        </is>
      </c>
      <c r="G369" t="n">
        <v>5.1</v>
      </c>
      <c r="H369" t="n">
        <v>0</v>
      </c>
      <c r="I369" t="n">
        <v>0</v>
      </c>
      <c r="J369" t="n">
        <v>0</v>
      </c>
      <c r="K369" t="n">
        <v>0</v>
      </c>
      <c r="L369" t="n">
        <v>0</v>
      </c>
      <c r="M369" t="n">
        <v>0</v>
      </c>
      <c r="N369" t="n">
        <v>0</v>
      </c>
      <c r="O369" t="n">
        <v>0</v>
      </c>
      <c r="P369" t="n">
        <v>0</v>
      </c>
      <c r="Q369" t="n">
        <v>0</v>
      </c>
      <c r="R369" s="2" t="inlineStr"/>
    </row>
    <row r="370" ht="15" customHeight="1">
      <c r="A370" t="inlineStr">
        <is>
          <t>A 26945-2021</t>
        </is>
      </c>
      <c r="B370" s="1" t="n">
        <v>44349.91995370371</v>
      </c>
      <c r="C370" s="1" t="n">
        <v>45981</v>
      </c>
      <c r="D370" t="inlineStr">
        <is>
          <t>JÄMTLANDS LÄN</t>
        </is>
      </c>
      <c r="E370" t="inlineStr">
        <is>
          <t>RAGUNDA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31854-2022</t>
        </is>
      </c>
      <c r="B371" s="1" t="n">
        <v>44776</v>
      </c>
      <c r="C371" s="1" t="n">
        <v>45981</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47568-2022</t>
        </is>
      </c>
      <c r="B372" s="1" t="n">
        <v>44853.9499537037</v>
      </c>
      <c r="C372" s="1" t="n">
        <v>45981</v>
      </c>
      <c r="D372" t="inlineStr">
        <is>
          <t>JÄMTLANDS LÄN</t>
        </is>
      </c>
      <c r="E372" t="inlineStr">
        <is>
          <t>RAGUNDA</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65017-2021</t>
        </is>
      </c>
      <c r="B373" s="1" t="n">
        <v>44512</v>
      </c>
      <c r="C373" s="1" t="n">
        <v>45981</v>
      </c>
      <c r="D373" t="inlineStr">
        <is>
          <t>JÄMTLANDS LÄN</t>
        </is>
      </c>
      <c r="E373" t="inlineStr">
        <is>
          <t>RAGUNDA</t>
        </is>
      </c>
      <c r="G373" t="n">
        <v>2.3</v>
      </c>
      <c r="H373" t="n">
        <v>0</v>
      </c>
      <c r="I373" t="n">
        <v>0</v>
      </c>
      <c r="J373" t="n">
        <v>0</v>
      </c>
      <c r="K373" t="n">
        <v>0</v>
      </c>
      <c r="L373" t="n">
        <v>0</v>
      </c>
      <c r="M373" t="n">
        <v>0</v>
      </c>
      <c r="N373" t="n">
        <v>0</v>
      </c>
      <c r="O373" t="n">
        <v>0</v>
      </c>
      <c r="P373" t="n">
        <v>0</v>
      </c>
      <c r="Q373" t="n">
        <v>0</v>
      </c>
      <c r="R373" s="2" t="inlineStr"/>
    </row>
    <row r="374" ht="15" customHeight="1">
      <c r="A374" t="inlineStr">
        <is>
          <t>A 26948-2021</t>
        </is>
      </c>
      <c r="B374" s="1" t="n">
        <v>44349.92013888889</v>
      </c>
      <c r="C374" s="1" t="n">
        <v>45981</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58537-2022</t>
        </is>
      </c>
      <c r="B375" s="1" t="n">
        <v>44894</v>
      </c>
      <c r="C375" s="1" t="n">
        <v>45981</v>
      </c>
      <c r="D375" t="inlineStr">
        <is>
          <t>JÄMTLANDS LÄN</t>
        </is>
      </c>
      <c r="E375" t="inlineStr">
        <is>
          <t>RAGUNDA</t>
        </is>
      </c>
      <c r="G375" t="n">
        <v>1.2</v>
      </c>
      <c r="H375" t="n">
        <v>0</v>
      </c>
      <c r="I375" t="n">
        <v>0</v>
      </c>
      <c r="J375" t="n">
        <v>0</v>
      </c>
      <c r="K375" t="n">
        <v>0</v>
      </c>
      <c r="L375" t="n">
        <v>0</v>
      </c>
      <c r="M375" t="n">
        <v>0</v>
      </c>
      <c r="N375" t="n">
        <v>0</v>
      </c>
      <c r="O375" t="n">
        <v>0</v>
      </c>
      <c r="P375" t="n">
        <v>0</v>
      </c>
      <c r="Q375" t="n">
        <v>0</v>
      </c>
      <c r="R375" s="2" t="inlineStr"/>
    </row>
    <row r="376" ht="15" customHeight="1">
      <c r="A376" t="inlineStr">
        <is>
          <t>A 19600-2021</t>
        </is>
      </c>
      <c r="B376" s="1" t="n">
        <v>44308</v>
      </c>
      <c r="C376" s="1" t="n">
        <v>45981</v>
      </c>
      <c r="D376" t="inlineStr">
        <is>
          <t>JÄMTLANDS LÄN</t>
        </is>
      </c>
      <c r="E376" t="inlineStr">
        <is>
          <t>RAGUNDA</t>
        </is>
      </c>
      <c r="G376" t="n">
        <v>4.3</v>
      </c>
      <c r="H376" t="n">
        <v>0</v>
      </c>
      <c r="I376" t="n">
        <v>0</v>
      </c>
      <c r="J376" t="n">
        <v>0</v>
      </c>
      <c r="K376" t="n">
        <v>0</v>
      </c>
      <c r="L376" t="n">
        <v>0</v>
      </c>
      <c r="M376" t="n">
        <v>0</v>
      </c>
      <c r="N376" t="n">
        <v>0</v>
      </c>
      <c r="O376" t="n">
        <v>0</v>
      </c>
      <c r="P376" t="n">
        <v>0</v>
      </c>
      <c r="Q376" t="n">
        <v>0</v>
      </c>
      <c r="R376" s="2" t="inlineStr"/>
    </row>
    <row r="377" ht="15" customHeight="1">
      <c r="A377" t="inlineStr">
        <is>
          <t>A 35153-2024</t>
        </is>
      </c>
      <c r="B377" s="1" t="n">
        <v>45530</v>
      </c>
      <c r="C377" s="1" t="n">
        <v>45981</v>
      </c>
      <c r="D377" t="inlineStr">
        <is>
          <t>JÄMTLANDS LÄN</t>
        </is>
      </c>
      <c r="E377" t="inlineStr">
        <is>
          <t>RAGUNDA</t>
        </is>
      </c>
      <c r="G377" t="n">
        <v>2.7</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45981</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36246-2024</t>
        </is>
      </c>
      <c r="B379" s="1" t="n">
        <v>45534</v>
      </c>
      <c r="C379" s="1" t="n">
        <v>45981</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15664-2022</t>
        </is>
      </c>
      <c r="B380" s="1" t="n">
        <v>44662</v>
      </c>
      <c r="C380" s="1" t="n">
        <v>45981</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21984-2022</t>
        </is>
      </c>
      <c r="B381" s="1" t="n">
        <v>44704</v>
      </c>
      <c r="C381" s="1" t="n">
        <v>45981</v>
      </c>
      <c r="D381" t="inlineStr">
        <is>
          <t>JÄMTLANDS LÄN</t>
        </is>
      </c>
      <c r="E381" t="inlineStr">
        <is>
          <t>RAGUNDA</t>
        </is>
      </c>
      <c r="G381" t="n">
        <v>0.5</v>
      </c>
      <c r="H381" t="n">
        <v>0</v>
      </c>
      <c r="I381" t="n">
        <v>0</v>
      </c>
      <c r="J381" t="n">
        <v>0</v>
      </c>
      <c r="K381" t="n">
        <v>0</v>
      </c>
      <c r="L381" t="n">
        <v>0</v>
      </c>
      <c r="M381" t="n">
        <v>0</v>
      </c>
      <c r="N381" t="n">
        <v>0</v>
      </c>
      <c r="O381" t="n">
        <v>0</v>
      </c>
      <c r="P381" t="n">
        <v>0</v>
      </c>
      <c r="Q381" t="n">
        <v>0</v>
      </c>
      <c r="R381" s="2" t="inlineStr"/>
    </row>
    <row r="382" ht="15" customHeight="1">
      <c r="A382" t="inlineStr">
        <is>
          <t>A 18341-2022</t>
        </is>
      </c>
      <c r="B382" s="1" t="n">
        <v>44685</v>
      </c>
      <c r="C382" s="1" t="n">
        <v>45981</v>
      </c>
      <c r="D382" t="inlineStr">
        <is>
          <t>JÄMTLANDS LÄN</t>
        </is>
      </c>
      <c r="E382" t="inlineStr">
        <is>
          <t>RAGUNDA</t>
        </is>
      </c>
      <c r="G382" t="n">
        <v>0.2</v>
      </c>
      <c r="H382" t="n">
        <v>0</v>
      </c>
      <c r="I382" t="n">
        <v>0</v>
      </c>
      <c r="J382" t="n">
        <v>0</v>
      </c>
      <c r="K382" t="n">
        <v>0</v>
      </c>
      <c r="L382" t="n">
        <v>0</v>
      </c>
      <c r="M382" t="n">
        <v>0</v>
      </c>
      <c r="N382" t="n">
        <v>0</v>
      </c>
      <c r="O382" t="n">
        <v>0</v>
      </c>
      <c r="P382" t="n">
        <v>0</v>
      </c>
      <c r="Q382" t="n">
        <v>0</v>
      </c>
      <c r="R382" s="2" t="inlineStr"/>
    </row>
    <row r="383" ht="15" customHeight="1">
      <c r="A383" t="inlineStr">
        <is>
          <t>A 16460-2022</t>
        </is>
      </c>
      <c r="B383" s="1" t="n">
        <v>44671</v>
      </c>
      <c r="C383" s="1" t="n">
        <v>45981</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9185-2022</t>
        </is>
      </c>
      <c r="B384" s="1" t="n">
        <v>44615</v>
      </c>
      <c r="C384" s="1" t="n">
        <v>45981</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24196-2024</t>
        </is>
      </c>
      <c r="B385" s="1" t="n">
        <v>45456.96569444444</v>
      </c>
      <c r="C385" s="1" t="n">
        <v>45981</v>
      </c>
      <c r="D385" t="inlineStr">
        <is>
          <t>JÄMTLANDS LÄN</t>
        </is>
      </c>
      <c r="E385" t="inlineStr">
        <is>
          <t>RAGUNDA</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39698-2022</t>
        </is>
      </c>
      <c r="B386" s="1" t="n">
        <v>44818</v>
      </c>
      <c r="C386" s="1" t="n">
        <v>45981</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11558-2023</t>
        </is>
      </c>
      <c r="B387" s="1" t="n">
        <v>44993.94958333333</v>
      </c>
      <c r="C387" s="1" t="n">
        <v>45981</v>
      </c>
      <c r="D387" t="inlineStr">
        <is>
          <t>JÄMTLANDS LÄN</t>
        </is>
      </c>
      <c r="E387" t="inlineStr">
        <is>
          <t>RAGUNDA</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43147-2022</t>
        </is>
      </c>
      <c r="B388" s="1" t="n">
        <v>44833.9519212963</v>
      </c>
      <c r="C388" s="1" t="n">
        <v>45981</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45981</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45981</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31972-2022</t>
        </is>
      </c>
      <c r="B391" s="1" t="n">
        <v>44777.95504629629</v>
      </c>
      <c r="C391" s="1" t="n">
        <v>45981</v>
      </c>
      <c r="D391" t="inlineStr">
        <is>
          <t>JÄMTLANDS LÄN</t>
        </is>
      </c>
      <c r="E391" t="inlineStr">
        <is>
          <t>RAGUNDA</t>
        </is>
      </c>
      <c r="F391" t="inlineStr">
        <is>
          <t>Naturvårdsverket</t>
        </is>
      </c>
      <c r="G391" t="n">
        <v>0.8</v>
      </c>
      <c r="H391" t="n">
        <v>0</v>
      </c>
      <c r="I391" t="n">
        <v>0</v>
      </c>
      <c r="J391" t="n">
        <v>0</v>
      </c>
      <c r="K391" t="n">
        <v>0</v>
      </c>
      <c r="L391" t="n">
        <v>0</v>
      </c>
      <c r="M391" t="n">
        <v>0</v>
      </c>
      <c r="N391" t="n">
        <v>0</v>
      </c>
      <c r="O391" t="n">
        <v>0</v>
      </c>
      <c r="P391" t="n">
        <v>0</v>
      </c>
      <c r="Q391" t="n">
        <v>0</v>
      </c>
      <c r="R391" s="2" t="inlineStr"/>
    </row>
    <row r="392" ht="15" customHeight="1">
      <c r="A392" t="inlineStr">
        <is>
          <t>A 44630-2023</t>
        </is>
      </c>
      <c r="B392" s="1" t="n">
        <v>45184</v>
      </c>
      <c r="C392" s="1" t="n">
        <v>45981</v>
      </c>
      <c r="D392" t="inlineStr">
        <is>
          <t>JÄMTLANDS LÄN</t>
        </is>
      </c>
      <c r="E392" t="inlineStr">
        <is>
          <t>RAGUNDA</t>
        </is>
      </c>
      <c r="G392" t="n">
        <v>3.4</v>
      </c>
      <c r="H392" t="n">
        <v>0</v>
      </c>
      <c r="I392" t="n">
        <v>0</v>
      </c>
      <c r="J392" t="n">
        <v>0</v>
      </c>
      <c r="K392" t="n">
        <v>0</v>
      </c>
      <c r="L392" t="n">
        <v>0</v>
      </c>
      <c r="M392" t="n">
        <v>0</v>
      </c>
      <c r="N392" t="n">
        <v>0</v>
      </c>
      <c r="O392" t="n">
        <v>0</v>
      </c>
      <c r="P392" t="n">
        <v>0</v>
      </c>
      <c r="Q392" t="n">
        <v>0</v>
      </c>
      <c r="R392" s="2" t="inlineStr"/>
    </row>
    <row r="393" ht="15" customHeight="1">
      <c r="A393" t="inlineStr">
        <is>
          <t>A 48086-2022</t>
        </is>
      </c>
      <c r="B393" s="1" t="n">
        <v>44855.9471875</v>
      </c>
      <c r="C393" s="1" t="n">
        <v>45981</v>
      </c>
      <c r="D393" t="inlineStr">
        <is>
          <t>JÄMTLANDS LÄN</t>
        </is>
      </c>
      <c r="E393" t="inlineStr">
        <is>
          <t>RAGUNDA</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52334-2021</t>
        </is>
      </c>
      <c r="B394" s="1" t="n">
        <v>44463.94077546296</v>
      </c>
      <c r="C394" s="1" t="n">
        <v>45981</v>
      </c>
      <c r="D394" t="inlineStr">
        <is>
          <t>JÄMTLANDS LÄN</t>
        </is>
      </c>
      <c r="E394" t="inlineStr">
        <is>
          <t>RAGUNDA</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40213-2021</t>
        </is>
      </c>
      <c r="B395" s="1" t="n">
        <v>44418.9369212963</v>
      </c>
      <c r="C395" s="1" t="n">
        <v>45981</v>
      </c>
      <c r="D395" t="inlineStr">
        <is>
          <t>JÄMTLANDS LÄN</t>
        </is>
      </c>
      <c r="E395" t="inlineStr">
        <is>
          <t>RAGUNDA</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10120-2022</t>
        </is>
      </c>
      <c r="B396" s="1" t="n">
        <v>44621</v>
      </c>
      <c r="C396" s="1" t="n">
        <v>45981</v>
      </c>
      <c r="D396" t="inlineStr">
        <is>
          <t>JÄMTLANDS LÄN</t>
        </is>
      </c>
      <c r="E396" t="inlineStr">
        <is>
          <t>RAGUNDA</t>
        </is>
      </c>
      <c r="G396" t="n">
        <v>0.4</v>
      </c>
      <c r="H396" t="n">
        <v>0</v>
      </c>
      <c r="I396" t="n">
        <v>0</v>
      </c>
      <c r="J396" t="n">
        <v>0</v>
      </c>
      <c r="K396" t="n">
        <v>0</v>
      </c>
      <c r="L396" t="n">
        <v>0</v>
      </c>
      <c r="M396" t="n">
        <v>0</v>
      </c>
      <c r="N396" t="n">
        <v>0</v>
      </c>
      <c r="O396" t="n">
        <v>0</v>
      </c>
      <c r="P396" t="n">
        <v>0</v>
      </c>
      <c r="Q396" t="n">
        <v>0</v>
      </c>
      <c r="R396" s="2" t="inlineStr"/>
    </row>
    <row r="397" ht="15" customHeight="1">
      <c r="A397" t="inlineStr">
        <is>
          <t>A 13964-2022</t>
        </is>
      </c>
      <c r="B397" s="1" t="n">
        <v>44650</v>
      </c>
      <c r="C397" s="1" t="n">
        <v>45981</v>
      </c>
      <c r="D397" t="inlineStr">
        <is>
          <t>JÄMTLANDS LÄN</t>
        </is>
      </c>
      <c r="E397" t="inlineStr">
        <is>
          <t>RAGUNDA</t>
        </is>
      </c>
      <c r="G397" t="n">
        <v>2.6</v>
      </c>
      <c r="H397" t="n">
        <v>0</v>
      </c>
      <c r="I397" t="n">
        <v>0</v>
      </c>
      <c r="J397" t="n">
        <v>0</v>
      </c>
      <c r="K397" t="n">
        <v>0</v>
      </c>
      <c r="L397" t="n">
        <v>0</v>
      </c>
      <c r="M397" t="n">
        <v>0</v>
      </c>
      <c r="N397" t="n">
        <v>0</v>
      </c>
      <c r="O397" t="n">
        <v>0</v>
      </c>
      <c r="P397" t="n">
        <v>0</v>
      </c>
      <c r="Q397" t="n">
        <v>0</v>
      </c>
      <c r="R397" s="2" t="inlineStr"/>
    </row>
    <row r="398" ht="15" customHeight="1">
      <c r="A398" t="inlineStr">
        <is>
          <t>A 33279-2022</t>
        </is>
      </c>
      <c r="B398" s="1" t="n">
        <v>44788</v>
      </c>
      <c r="C398" s="1" t="n">
        <v>45981</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47567-2022</t>
        </is>
      </c>
      <c r="B399" s="1" t="n">
        <v>44853</v>
      </c>
      <c r="C399" s="1" t="n">
        <v>45981</v>
      </c>
      <c r="D399" t="inlineStr">
        <is>
          <t>JÄMTLANDS LÄN</t>
        </is>
      </c>
      <c r="E399" t="inlineStr">
        <is>
          <t>RAGUNDA</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43040-2021</t>
        </is>
      </c>
      <c r="B400" s="1" t="n">
        <v>44431</v>
      </c>
      <c r="C400" s="1" t="n">
        <v>45981</v>
      </c>
      <c r="D400" t="inlineStr">
        <is>
          <t>JÄMTLANDS LÄN</t>
        </is>
      </c>
      <c r="E400" t="inlineStr">
        <is>
          <t>RAGUNDA</t>
        </is>
      </c>
      <c r="G400" t="n">
        <v>4.9</v>
      </c>
      <c r="H400" t="n">
        <v>0</v>
      </c>
      <c r="I400" t="n">
        <v>0</v>
      </c>
      <c r="J400" t="n">
        <v>0</v>
      </c>
      <c r="K400" t="n">
        <v>0</v>
      </c>
      <c r="L400" t="n">
        <v>0</v>
      </c>
      <c r="M400" t="n">
        <v>0</v>
      </c>
      <c r="N400" t="n">
        <v>0</v>
      </c>
      <c r="O400" t="n">
        <v>0</v>
      </c>
      <c r="P400" t="n">
        <v>0</v>
      </c>
      <c r="Q400" t="n">
        <v>0</v>
      </c>
      <c r="R400" s="2" t="inlineStr"/>
    </row>
    <row r="401" ht="15" customHeight="1">
      <c r="A401" t="inlineStr">
        <is>
          <t>A 9187-2022</t>
        </is>
      </c>
      <c r="B401" s="1" t="n">
        <v>44615</v>
      </c>
      <c r="C401" s="1" t="n">
        <v>45981</v>
      </c>
      <c r="D401" t="inlineStr">
        <is>
          <t>JÄMTLANDS LÄN</t>
        </is>
      </c>
      <c r="E401" t="inlineStr">
        <is>
          <t>RAGUNDA</t>
        </is>
      </c>
      <c r="G401" t="n">
        <v>2</v>
      </c>
      <c r="H401" t="n">
        <v>0</v>
      </c>
      <c r="I401" t="n">
        <v>0</v>
      </c>
      <c r="J401" t="n">
        <v>0</v>
      </c>
      <c r="K401" t="n">
        <v>0</v>
      </c>
      <c r="L401" t="n">
        <v>0</v>
      </c>
      <c r="M401" t="n">
        <v>0</v>
      </c>
      <c r="N401" t="n">
        <v>0</v>
      </c>
      <c r="O401" t="n">
        <v>0</v>
      </c>
      <c r="P401" t="n">
        <v>0</v>
      </c>
      <c r="Q401" t="n">
        <v>0</v>
      </c>
      <c r="R401" s="2" t="inlineStr"/>
    </row>
    <row r="402" ht="15" customHeight="1">
      <c r="A402" t="inlineStr">
        <is>
          <t>A 14156-2024</t>
        </is>
      </c>
      <c r="B402" s="1" t="n">
        <v>45392</v>
      </c>
      <c r="C402" s="1" t="n">
        <v>45981</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14157-2024</t>
        </is>
      </c>
      <c r="B403" s="1" t="n">
        <v>45392.92903935185</v>
      </c>
      <c r="C403" s="1" t="n">
        <v>45981</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6177-2022</t>
        </is>
      </c>
      <c r="B404" s="1" t="n">
        <v>44599.98685185185</v>
      </c>
      <c r="C404" s="1" t="n">
        <v>45981</v>
      </c>
      <c r="D404" t="inlineStr">
        <is>
          <t>JÄMTLANDS LÄN</t>
        </is>
      </c>
      <c r="E404" t="inlineStr">
        <is>
          <t>RAGUNDA</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59996-2021</t>
        </is>
      </c>
      <c r="B405" s="1" t="n">
        <v>44494.93930555556</v>
      </c>
      <c r="C405" s="1" t="n">
        <v>45981</v>
      </c>
      <c r="D405" t="inlineStr">
        <is>
          <t>JÄMTLANDS LÄN</t>
        </is>
      </c>
      <c r="E405" t="inlineStr">
        <is>
          <t>RAGUNDA</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38733-2022</t>
        </is>
      </c>
      <c r="B406" s="1" t="n">
        <v>44815</v>
      </c>
      <c r="C406" s="1" t="n">
        <v>45981</v>
      </c>
      <c r="D406" t="inlineStr">
        <is>
          <t>JÄMTLANDS LÄN</t>
        </is>
      </c>
      <c r="E406" t="inlineStr">
        <is>
          <t>RAGUNDA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2336-2022</t>
        </is>
      </c>
      <c r="B407" s="1" t="n">
        <v>44578.92284722222</v>
      </c>
      <c r="C407" s="1" t="n">
        <v>45981</v>
      </c>
      <c r="D407" t="inlineStr">
        <is>
          <t>JÄMTLANDS LÄN</t>
        </is>
      </c>
      <c r="E407" t="inlineStr">
        <is>
          <t>RAGUNDA</t>
        </is>
      </c>
      <c r="G407" t="n">
        <v>0.5</v>
      </c>
      <c r="H407" t="n">
        <v>0</v>
      </c>
      <c r="I407" t="n">
        <v>0</v>
      </c>
      <c r="J407" t="n">
        <v>0</v>
      </c>
      <c r="K407" t="n">
        <v>0</v>
      </c>
      <c r="L407" t="n">
        <v>0</v>
      </c>
      <c r="M407" t="n">
        <v>0</v>
      </c>
      <c r="N407" t="n">
        <v>0</v>
      </c>
      <c r="O407" t="n">
        <v>0</v>
      </c>
      <c r="P407" t="n">
        <v>0</v>
      </c>
      <c r="Q407" t="n">
        <v>0</v>
      </c>
      <c r="R407" s="2" t="inlineStr"/>
    </row>
    <row r="408" ht="15" customHeight="1">
      <c r="A408" t="inlineStr">
        <is>
          <t>A 51245-2024</t>
        </is>
      </c>
      <c r="B408" s="1" t="n">
        <v>45603.67850694444</v>
      </c>
      <c r="C408" s="1" t="n">
        <v>45981</v>
      </c>
      <c r="D408" t="inlineStr">
        <is>
          <t>JÄMTLANDS LÄN</t>
        </is>
      </c>
      <c r="E408" t="inlineStr">
        <is>
          <t>RAGUNDA</t>
        </is>
      </c>
      <c r="G408" t="n">
        <v>0.9</v>
      </c>
      <c r="H408" t="n">
        <v>0</v>
      </c>
      <c r="I408" t="n">
        <v>0</v>
      </c>
      <c r="J408" t="n">
        <v>0</v>
      </c>
      <c r="K408" t="n">
        <v>0</v>
      </c>
      <c r="L408" t="n">
        <v>0</v>
      </c>
      <c r="M408" t="n">
        <v>0</v>
      </c>
      <c r="N408" t="n">
        <v>0</v>
      </c>
      <c r="O408" t="n">
        <v>0</v>
      </c>
      <c r="P408" t="n">
        <v>0</v>
      </c>
      <c r="Q408" t="n">
        <v>0</v>
      </c>
      <c r="R408" s="2" t="inlineStr"/>
    </row>
    <row r="409" ht="15" customHeight="1">
      <c r="A409" t="inlineStr">
        <is>
          <t>A 16635-2025</t>
        </is>
      </c>
      <c r="B409" s="1" t="n">
        <v>45754</v>
      </c>
      <c r="C409" s="1" t="n">
        <v>45981</v>
      </c>
      <c r="D409" t="inlineStr">
        <is>
          <t>JÄMTLANDS LÄN</t>
        </is>
      </c>
      <c r="E409" t="inlineStr">
        <is>
          <t>RAGUNDA</t>
        </is>
      </c>
      <c r="F409" t="inlineStr">
        <is>
          <t>SCA</t>
        </is>
      </c>
      <c r="G409" t="n">
        <v>55.4</v>
      </c>
      <c r="H409" t="n">
        <v>0</v>
      </c>
      <c r="I409" t="n">
        <v>0</v>
      </c>
      <c r="J409" t="n">
        <v>0</v>
      </c>
      <c r="K409" t="n">
        <v>0</v>
      </c>
      <c r="L409" t="n">
        <v>0</v>
      </c>
      <c r="M409" t="n">
        <v>0</v>
      </c>
      <c r="N409" t="n">
        <v>0</v>
      </c>
      <c r="O409" t="n">
        <v>0</v>
      </c>
      <c r="P409" t="n">
        <v>0</v>
      </c>
      <c r="Q409" t="n">
        <v>0</v>
      </c>
      <c r="R409" s="2" t="inlineStr"/>
    </row>
    <row r="410" ht="15" customHeight="1">
      <c r="A410" t="inlineStr">
        <is>
          <t>A 4014-2022</t>
        </is>
      </c>
      <c r="B410" s="1" t="n">
        <v>44587.92144675926</v>
      </c>
      <c r="C410" s="1" t="n">
        <v>45981</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22655-2021</t>
        </is>
      </c>
      <c r="B411" s="1" t="n">
        <v>44322</v>
      </c>
      <c r="C411" s="1" t="n">
        <v>45981</v>
      </c>
      <c r="D411" t="inlineStr">
        <is>
          <t>JÄMTLANDS LÄN</t>
        </is>
      </c>
      <c r="E411" t="inlineStr">
        <is>
          <t>RAGUNDA</t>
        </is>
      </c>
      <c r="G411" t="n">
        <v>5.8</v>
      </c>
      <c r="H411" t="n">
        <v>0</v>
      </c>
      <c r="I411" t="n">
        <v>0</v>
      </c>
      <c r="J411" t="n">
        <v>0</v>
      </c>
      <c r="K411" t="n">
        <v>0</v>
      </c>
      <c r="L411" t="n">
        <v>0</v>
      </c>
      <c r="M411" t="n">
        <v>0</v>
      </c>
      <c r="N411" t="n">
        <v>0</v>
      </c>
      <c r="O411" t="n">
        <v>0</v>
      </c>
      <c r="P411" t="n">
        <v>0</v>
      </c>
      <c r="Q411" t="n">
        <v>0</v>
      </c>
      <c r="R411" s="2" t="inlineStr"/>
    </row>
    <row r="412" ht="15" customHeight="1">
      <c r="A412" t="inlineStr">
        <is>
          <t>A 21194-2022</t>
        </is>
      </c>
      <c r="B412" s="1" t="n">
        <v>44704.9422337963</v>
      </c>
      <c r="C412" s="1" t="n">
        <v>45981</v>
      </c>
      <c r="D412" t="inlineStr">
        <is>
          <t>JÄMTLANDS LÄN</t>
        </is>
      </c>
      <c r="E412" t="inlineStr">
        <is>
          <t>RAGUNDA</t>
        </is>
      </c>
      <c r="F412" t="inlineStr">
        <is>
          <t>SCA</t>
        </is>
      </c>
      <c r="G412" t="n">
        <v>10.6</v>
      </c>
      <c r="H412" t="n">
        <v>0</v>
      </c>
      <c r="I412" t="n">
        <v>0</v>
      </c>
      <c r="J412" t="n">
        <v>0</v>
      </c>
      <c r="K412" t="n">
        <v>0</v>
      </c>
      <c r="L412" t="n">
        <v>0</v>
      </c>
      <c r="M412" t="n">
        <v>0</v>
      </c>
      <c r="N412" t="n">
        <v>0</v>
      </c>
      <c r="O412" t="n">
        <v>0</v>
      </c>
      <c r="P412" t="n">
        <v>0</v>
      </c>
      <c r="Q412" t="n">
        <v>0</v>
      </c>
      <c r="R412" s="2" t="inlineStr"/>
    </row>
    <row r="413" ht="15" customHeight="1">
      <c r="A413" t="inlineStr">
        <is>
          <t>A 53955-2022</t>
        </is>
      </c>
      <c r="B413" s="1" t="n">
        <v>44880.95741898148</v>
      </c>
      <c r="C413" s="1" t="n">
        <v>45981</v>
      </c>
      <c r="D413" t="inlineStr">
        <is>
          <t>JÄMTLANDS LÄN</t>
        </is>
      </c>
      <c r="E413" t="inlineStr">
        <is>
          <t>RAGUNDA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60313-2021</t>
        </is>
      </c>
      <c r="B414" s="1" t="n">
        <v>44495</v>
      </c>
      <c r="C414" s="1" t="n">
        <v>45981</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20088-2023</t>
        </is>
      </c>
      <c r="B415" s="1" t="n">
        <v>45054</v>
      </c>
      <c r="C415" s="1" t="n">
        <v>45981</v>
      </c>
      <c r="D415" t="inlineStr">
        <is>
          <t>JÄMTLANDS LÄN</t>
        </is>
      </c>
      <c r="E415" t="inlineStr">
        <is>
          <t>RAGUNDA</t>
        </is>
      </c>
      <c r="F415" t="inlineStr">
        <is>
          <t>SCA</t>
        </is>
      </c>
      <c r="G415" t="n">
        <v>23.4</v>
      </c>
      <c r="H415" t="n">
        <v>0</v>
      </c>
      <c r="I415" t="n">
        <v>0</v>
      </c>
      <c r="J415" t="n">
        <v>0</v>
      </c>
      <c r="K415" t="n">
        <v>0</v>
      </c>
      <c r="L415" t="n">
        <v>0</v>
      </c>
      <c r="M415" t="n">
        <v>0</v>
      </c>
      <c r="N415" t="n">
        <v>0</v>
      </c>
      <c r="O415" t="n">
        <v>0</v>
      </c>
      <c r="P415" t="n">
        <v>0</v>
      </c>
      <c r="Q415" t="n">
        <v>0</v>
      </c>
      <c r="R415" s="2" t="inlineStr"/>
    </row>
    <row r="416" ht="15" customHeight="1">
      <c r="A416" t="inlineStr">
        <is>
          <t>A 1554-2024</t>
        </is>
      </c>
      <c r="B416" s="1" t="n">
        <v>45306</v>
      </c>
      <c r="C416" s="1" t="n">
        <v>45981</v>
      </c>
      <c r="D416" t="inlineStr">
        <is>
          <t>JÄMTLANDS LÄN</t>
        </is>
      </c>
      <c r="E416" t="inlineStr">
        <is>
          <t>RAGUNDA</t>
        </is>
      </c>
      <c r="G416" t="n">
        <v>4.3</v>
      </c>
      <c r="H416" t="n">
        <v>0</v>
      </c>
      <c r="I416" t="n">
        <v>0</v>
      </c>
      <c r="J416" t="n">
        <v>0</v>
      </c>
      <c r="K416" t="n">
        <v>0</v>
      </c>
      <c r="L416" t="n">
        <v>0</v>
      </c>
      <c r="M416" t="n">
        <v>0</v>
      </c>
      <c r="N416" t="n">
        <v>0</v>
      </c>
      <c r="O416" t="n">
        <v>0</v>
      </c>
      <c r="P416" t="n">
        <v>0</v>
      </c>
      <c r="Q416" t="n">
        <v>0</v>
      </c>
      <c r="R416" s="2" t="inlineStr"/>
    </row>
    <row r="417" ht="15" customHeight="1">
      <c r="A417" t="inlineStr">
        <is>
          <t>A 4882-2023</t>
        </is>
      </c>
      <c r="B417" s="1" t="n">
        <v>44957.94075231482</v>
      </c>
      <c r="C417" s="1" t="n">
        <v>45981</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15554-2025</t>
        </is>
      </c>
      <c r="B418" s="1" t="n">
        <v>45747.67739583334</v>
      </c>
      <c r="C418" s="1" t="n">
        <v>45981</v>
      </c>
      <c r="D418" t="inlineStr">
        <is>
          <t>JÄMTLANDS LÄN</t>
        </is>
      </c>
      <c r="E418" t="inlineStr">
        <is>
          <t>RAGUNDA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65216-2023</t>
        </is>
      </c>
      <c r="B419" s="1" t="n">
        <v>45289</v>
      </c>
      <c r="C419" s="1" t="n">
        <v>45981</v>
      </c>
      <c r="D419" t="inlineStr">
        <is>
          <t>JÄMTLANDS LÄN</t>
        </is>
      </c>
      <c r="E419" t="inlineStr">
        <is>
          <t>RAGUNDA</t>
        </is>
      </c>
      <c r="G419" t="n">
        <v>2.9</v>
      </c>
      <c r="H419" t="n">
        <v>0</v>
      </c>
      <c r="I419" t="n">
        <v>0</v>
      </c>
      <c r="J419" t="n">
        <v>0</v>
      </c>
      <c r="K419" t="n">
        <v>0</v>
      </c>
      <c r="L419" t="n">
        <v>0</v>
      </c>
      <c r="M419" t="n">
        <v>0</v>
      </c>
      <c r="N419" t="n">
        <v>0</v>
      </c>
      <c r="O419" t="n">
        <v>0</v>
      </c>
      <c r="P419" t="n">
        <v>0</v>
      </c>
      <c r="Q419" t="n">
        <v>0</v>
      </c>
      <c r="R419" s="2" t="inlineStr"/>
    </row>
    <row r="420" ht="15" customHeight="1">
      <c r="A420" t="inlineStr">
        <is>
          <t>A 41772-2024</t>
        </is>
      </c>
      <c r="B420" s="1" t="n">
        <v>45561.34663194444</v>
      </c>
      <c r="C420" s="1" t="n">
        <v>45981</v>
      </c>
      <c r="D420" t="inlineStr">
        <is>
          <t>JÄMTLANDS LÄN</t>
        </is>
      </c>
      <c r="E420" t="inlineStr">
        <is>
          <t>RAGUNDA</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52148-2024</t>
        </is>
      </c>
      <c r="B421" s="1" t="n">
        <v>45608.52354166667</v>
      </c>
      <c r="C421" s="1" t="n">
        <v>45981</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10972-2022</t>
        </is>
      </c>
      <c r="B422" s="1" t="n">
        <v>44628</v>
      </c>
      <c r="C422" s="1" t="n">
        <v>45981</v>
      </c>
      <c r="D422" t="inlineStr">
        <is>
          <t>JÄMTLANDS LÄN</t>
        </is>
      </c>
      <c r="E422" t="inlineStr">
        <is>
          <t>RAGUNDA</t>
        </is>
      </c>
      <c r="G422" t="n">
        <v>9.5</v>
      </c>
      <c r="H422" t="n">
        <v>0</v>
      </c>
      <c r="I422" t="n">
        <v>0</v>
      </c>
      <c r="J422" t="n">
        <v>0</v>
      </c>
      <c r="K422" t="n">
        <v>0</v>
      </c>
      <c r="L422" t="n">
        <v>0</v>
      </c>
      <c r="M422" t="n">
        <v>0</v>
      </c>
      <c r="N422" t="n">
        <v>0</v>
      </c>
      <c r="O422" t="n">
        <v>0</v>
      </c>
      <c r="P422" t="n">
        <v>0</v>
      </c>
      <c r="Q422" t="n">
        <v>0</v>
      </c>
      <c r="R422" s="2" t="inlineStr"/>
    </row>
    <row r="423" ht="15" customHeight="1">
      <c r="A423" t="inlineStr">
        <is>
          <t>A 11834-2023</t>
        </is>
      </c>
      <c r="B423" s="1" t="n">
        <v>44994.94296296296</v>
      </c>
      <c r="C423" s="1" t="n">
        <v>45981</v>
      </c>
      <c r="D423" t="inlineStr">
        <is>
          <t>JÄMTLANDS LÄN</t>
        </is>
      </c>
      <c r="E423" t="inlineStr">
        <is>
          <t>RAGUNDA</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38782-2021</t>
        </is>
      </c>
      <c r="B424" s="1" t="n">
        <v>44410</v>
      </c>
      <c r="C424" s="1" t="n">
        <v>45981</v>
      </c>
      <c r="D424" t="inlineStr">
        <is>
          <t>JÄMTLANDS LÄN</t>
        </is>
      </c>
      <c r="E424" t="inlineStr">
        <is>
          <t>RAGUNDA</t>
        </is>
      </c>
      <c r="G424" t="n">
        <v>3.2</v>
      </c>
      <c r="H424" t="n">
        <v>0</v>
      </c>
      <c r="I424" t="n">
        <v>0</v>
      </c>
      <c r="J424" t="n">
        <v>0</v>
      </c>
      <c r="K424" t="n">
        <v>0</v>
      </c>
      <c r="L424" t="n">
        <v>0</v>
      </c>
      <c r="M424" t="n">
        <v>0</v>
      </c>
      <c r="N424" t="n">
        <v>0</v>
      </c>
      <c r="O424" t="n">
        <v>0</v>
      </c>
      <c r="P424" t="n">
        <v>0</v>
      </c>
      <c r="Q424" t="n">
        <v>0</v>
      </c>
      <c r="R424" s="2" t="inlineStr"/>
    </row>
    <row r="425" ht="15" customHeight="1">
      <c r="A425" t="inlineStr">
        <is>
          <t>A 17559-2023</t>
        </is>
      </c>
      <c r="B425" s="1" t="n">
        <v>45034</v>
      </c>
      <c r="C425" s="1" t="n">
        <v>45981</v>
      </c>
      <c r="D425" t="inlineStr">
        <is>
          <t>JÄMTLANDS LÄN</t>
        </is>
      </c>
      <c r="E425" t="inlineStr">
        <is>
          <t>RAGUNDA</t>
        </is>
      </c>
      <c r="G425" t="n">
        <v>7.5</v>
      </c>
      <c r="H425" t="n">
        <v>0</v>
      </c>
      <c r="I425" t="n">
        <v>0</v>
      </c>
      <c r="J425" t="n">
        <v>0</v>
      </c>
      <c r="K425" t="n">
        <v>0</v>
      </c>
      <c r="L425" t="n">
        <v>0</v>
      </c>
      <c r="M425" t="n">
        <v>0</v>
      </c>
      <c r="N425" t="n">
        <v>0</v>
      </c>
      <c r="O425" t="n">
        <v>0</v>
      </c>
      <c r="P425" t="n">
        <v>0</v>
      </c>
      <c r="Q425" t="n">
        <v>0</v>
      </c>
      <c r="R425" s="2" t="inlineStr"/>
    </row>
    <row r="426" ht="15" customHeight="1">
      <c r="A426" t="inlineStr">
        <is>
          <t>A 38312-2024</t>
        </is>
      </c>
      <c r="B426" s="1" t="n">
        <v>45545.64957175926</v>
      </c>
      <c r="C426" s="1" t="n">
        <v>45981</v>
      </c>
      <c r="D426" t="inlineStr">
        <is>
          <t>JÄMTLANDS LÄN</t>
        </is>
      </c>
      <c r="E426" t="inlineStr">
        <is>
          <t>RAGUNDA</t>
        </is>
      </c>
      <c r="G426" t="n">
        <v>1.2</v>
      </c>
      <c r="H426" t="n">
        <v>0</v>
      </c>
      <c r="I426" t="n">
        <v>0</v>
      </c>
      <c r="J426" t="n">
        <v>0</v>
      </c>
      <c r="K426" t="n">
        <v>0</v>
      </c>
      <c r="L426" t="n">
        <v>0</v>
      </c>
      <c r="M426" t="n">
        <v>0</v>
      </c>
      <c r="N426" t="n">
        <v>0</v>
      </c>
      <c r="O426" t="n">
        <v>0</v>
      </c>
      <c r="P426" t="n">
        <v>0</v>
      </c>
      <c r="Q426" t="n">
        <v>0</v>
      </c>
      <c r="R426" s="2" t="inlineStr"/>
    </row>
    <row r="427" ht="15" customHeight="1">
      <c r="A427" t="inlineStr">
        <is>
          <t>A 20728-2025</t>
        </is>
      </c>
      <c r="B427" s="1" t="n">
        <v>45776.51130787037</v>
      </c>
      <c r="C427" s="1" t="n">
        <v>45981</v>
      </c>
      <c r="D427" t="inlineStr">
        <is>
          <t>JÄMTLANDS LÄN</t>
        </is>
      </c>
      <c r="E427" t="inlineStr">
        <is>
          <t>RAGUNDA</t>
        </is>
      </c>
      <c r="F427" t="inlineStr">
        <is>
          <t>Kommuner</t>
        </is>
      </c>
      <c r="G427" t="n">
        <v>1.1</v>
      </c>
      <c r="H427" t="n">
        <v>0</v>
      </c>
      <c r="I427" t="n">
        <v>0</v>
      </c>
      <c r="J427" t="n">
        <v>0</v>
      </c>
      <c r="K427" t="n">
        <v>0</v>
      </c>
      <c r="L427" t="n">
        <v>0</v>
      </c>
      <c r="M427" t="n">
        <v>0</v>
      </c>
      <c r="N427" t="n">
        <v>0</v>
      </c>
      <c r="O427" t="n">
        <v>0</v>
      </c>
      <c r="P427" t="n">
        <v>0</v>
      </c>
      <c r="Q427" t="n">
        <v>0</v>
      </c>
      <c r="R427" s="2" t="inlineStr"/>
    </row>
    <row r="428" ht="15" customHeight="1">
      <c r="A428" t="inlineStr">
        <is>
          <t>A 32832-2021</t>
        </is>
      </c>
      <c r="B428" s="1" t="n">
        <v>44375</v>
      </c>
      <c r="C428" s="1" t="n">
        <v>45981</v>
      </c>
      <c r="D428" t="inlineStr">
        <is>
          <t>JÄMTLANDS LÄN</t>
        </is>
      </c>
      <c r="E428" t="inlineStr">
        <is>
          <t>RAGUNDA</t>
        </is>
      </c>
      <c r="G428" t="n">
        <v>3</v>
      </c>
      <c r="H428" t="n">
        <v>0</v>
      </c>
      <c r="I428" t="n">
        <v>0</v>
      </c>
      <c r="J428" t="n">
        <v>0</v>
      </c>
      <c r="K428" t="n">
        <v>0</v>
      </c>
      <c r="L428" t="n">
        <v>0</v>
      </c>
      <c r="M428" t="n">
        <v>0</v>
      </c>
      <c r="N428" t="n">
        <v>0</v>
      </c>
      <c r="O428" t="n">
        <v>0</v>
      </c>
      <c r="P428" t="n">
        <v>0</v>
      </c>
      <c r="Q428" t="n">
        <v>0</v>
      </c>
      <c r="R428" s="2" t="inlineStr"/>
    </row>
    <row r="429" ht="15" customHeight="1">
      <c r="A429" t="inlineStr">
        <is>
          <t>A 13276-2025</t>
        </is>
      </c>
      <c r="B429" s="1" t="n">
        <v>45735.5517824074</v>
      </c>
      <c r="C429" s="1" t="n">
        <v>45981</v>
      </c>
      <c r="D429" t="inlineStr">
        <is>
          <t>JÄMTLANDS LÄN</t>
        </is>
      </c>
      <c r="E429" t="inlineStr">
        <is>
          <t>RAGUNDA</t>
        </is>
      </c>
      <c r="G429" t="n">
        <v>16.6</v>
      </c>
      <c r="H429" t="n">
        <v>0</v>
      </c>
      <c r="I429" t="n">
        <v>0</v>
      </c>
      <c r="J429" t="n">
        <v>0</v>
      </c>
      <c r="K429" t="n">
        <v>0</v>
      </c>
      <c r="L429" t="n">
        <v>0</v>
      </c>
      <c r="M429" t="n">
        <v>0</v>
      </c>
      <c r="N429" t="n">
        <v>0</v>
      </c>
      <c r="O429" t="n">
        <v>0</v>
      </c>
      <c r="P429" t="n">
        <v>0</v>
      </c>
      <c r="Q429" t="n">
        <v>0</v>
      </c>
      <c r="R429" s="2" t="inlineStr"/>
    </row>
    <row r="430" ht="15" customHeight="1">
      <c r="A430" t="inlineStr">
        <is>
          <t>A 22011-2023</t>
        </is>
      </c>
      <c r="B430" s="1" t="n">
        <v>45068</v>
      </c>
      <c r="C430" s="1" t="n">
        <v>45981</v>
      </c>
      <c r="D430" t="inlineStr">
        <is>
          <t>JÄMTLANDS LÄN</t>
        </is>
      </c>
      <c r="E430" t="inlineStr">
        <is>
          <t>RAGUNDA</t>
        </is>
      </c>
      <c r="F430" t="inlineStr">
        <is>
          <t>SCA</t>
        </is>
      </c>
      <c r="G430" t="n">
        <v>12.2</v>
      </c>
      <c r="H430" t="n">
        <v>0</v>
      </c>
      <c r="I430" t="n">
        <v>0</v>
      </c>
      <c r="J430" t="n">
        <v>0</v>
      </c>
      <c r="K430" t="n">
        <v>0</v>
      </c>
      <c r="L430" t="n">
        <v>0</v>
      </c>
      <c r="M430" t="n">
        <v>0</v>
      </c>
      <c r="N430" t="n">
        <v>0</v>
      </c>
      <c r="O430" t="n">
        <v>0</v>
      </c>
      <c r="P430" t="n">
        <v>0</v>
      </c>
      <c r="Q430" t="n">
        <v>0</v>
      </c>
      <c r="R430" s="2" t="inlineStr"/>
    </row>
    <row r="431" ht="15" customHeight="1">
      <c r="A431" t="inlineStr">
        <is>
          <t>A 45335-2023</t>
        </is>
      </c>
      <c r="B431" s="1" t="n">
        <v>45191</v>
      </c>
      <c r="C431" s="1" t="n">
        <v>45981</v>
      </c>
      <c r="D431" t="inlineStr">
        <is>
          <t>JÄMTLANDS LÄN</t>
        </is>
      </c>
      <c r="E431" t="inlineStr">
        <is>
          <t>RAGUNDA</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55487-2023</t>
        </is>
      </c>
      <c r="B432" s="1" t="n">
        <v>45238</v>
      </c>
      <c r="C432" s="1" t="n">
        <v>45981</v>
      </c>
      <c r="D432" t="inlineStr">
        <is>
          <t>JÄMTLANDS LÄN</t>
        </is>
      </c>
      <c r="E432" t="inlineStr">
        <is>
          <t>RAGUNDA</t>
        </is>
      </c>
      <c r="G432" t="n">
        <v>3</v>
      </c>
      <c r="H432" t="n">
        <v>0</v>
      </c>
      <c r="I432" t="n">
        <v>0</v>
      </c>
      <c r="J432" t="n">
        <v>0</v>
      </c>
      <c r="K432" t="n">
        <v>0</v>
      </c>
      <c r="L432" t="n">
        <v>0</v>
      </c>
      <c r="M432" t="n">
        <v>0</v>
      </c>
      <c r="N432" t="n">
        <v>0</v>
      </c>
      <c r="O432" t="n">
        <v>0</v>
      </c>
      <c r="P432" t="n">
        <v>0</v>
      </c>
      <c r="Q432" t="n">
        <v>0</v>
      </c>
      <c r="R432" s="2" t="inlineStr"/>
    </row>
    <row r="433" ht="15" customHeight="1">
      <c r="A433" t="inlineStr">
        <is>
          <t>A 18454-2021</t>
        </is>
      </c>
      <c r="B433" s="1" t="n">
        <v>44305.92047453704</v>
      </c>
      <c r="C433" s="1" t="n">
        <v>45981</v>
      </c>
      <c r="D433" t="inlineStr">
        <is>
          <t>JÄMTLANDS LÄN</t>
        </is>
      </c>
      <c r="E433" t="inlineStr">
        <is>
          <t>RAGUNDA</t>
        </is>
      </c>
      <c r="G433" t="n">
        <v>1.3</v>
      </c>
      <c r="H433" t="n">
        <v>0</v>
      </c>
      <c r="I433" t="n">
        <v>0</v>
      </c>
      <c r="J433" t="n">
        <v>0</v>
      </c>
      <c r="K433" t="n">
        <v>0</v>
      </c>
      <c r="L433" t="n">
        <v>0</v>
      </c>
      <c r="M433" t="n">
        <v>0</v>
      </c>
      <c r="N433" t="n">
        <v>0</v>
      </c>
      <c r="O433" t="n">
        <v>0</v>
      </c>
      <c r="P433" t="n">
        <v>0</v>
      </c>
      <c r="Q433" t="n">
        <v>0</v>
      </c>
      <c r="R433" s="2" t="inlineStr"/>
    </row>
    <row r="434" ht="15" customHeight="1">
      <c r="A434" t="inlineStr">
        <is>
          <t>A 20653-2025</t>
        </is>
      </c>
      <c r="B434" s="1" t="n">
        <v>45776.40311342593</v>
      </c>
      <c r="C434" s="1" t="n">
        <v>45981</v>
      </c>
      <c r="D434" t="inlineStr">
        <is>
          <t>JÄMTLANDS LÄN</t>
        </is>
      </c>
      <c r="E434" t="inlineStr">
        <is>
          <t>RAGUNDA</t>
        </is>
      </c>
      <c r="G434" t="n">
        <v>10.8</v>
      </c>
      <c r="H434" t="n">
        <v>0</v>
      </c>
      <c r="I434" t="n">
        <v>0</v>
      </c>
      <c r="J434" t="n">
        <v>0</v>
      </c>
      <c r="K434" t="n">
        <v>0</v>
      </c>
      <c r="L434" t="n">
        <v>0</v>
      </c>
      <c r="M434" t="n">
        <v>0</v>
      </c>
      <c r="N434" t="n">
        <v>0</v>
      </c>
      <c r="O434" t="n">
        <v>0</v>
      </c>
      <c r="P434" t="n">
        <v>0</v>
      </c>
      <c r="Q434" t="n">
        <v>0</v>
      </c>
      <c r="R434" s="2" t="inlineStr"/>
    </row>
    <row r="435" ht="15" customHeight="1">
      <c r="A435" t="inlineStr">
        <is>
          <t>A 14158-2024</t>
        </is>
      </c>
      <c r="B435" s="1" t="n">
        <v>45392</v>
      </c>
      <c r="C435" s="1" t="n">
        <v>45981</v>
      </c>
      <c r="D435" t="inlineStr">
        <is>
          <t>JÄMTLANDS LÄN</t>
        </is>
      </c>
      <c r="E435" t="inlineStr">
        <is>
          <t>RAGUNDA</t>
        </is>
      </c>
      <c r="G435" t="n">
        <v>0.7</v>
      </c>
      <c r="H435" t="n">
        <v>0</v>
      </c>
      <c r="I435" t="n">
        <v>0</v>
      </c>
      <c r="J435" t="n">
        <v>0</v>
      </c>
      <c r="K435" t="n">
        <v>0</v>
      </c>
      <c r="L435" t="n">
        <v>0</v>
      </c>
      <c r="M435" t="n">
        <v>0</v>
      </c>
      <c r="N435" t="n">
        <v>0</v>
      </c>
      <c r="O435" t="n">
        <v>0</v>
      </c>
      <c r="P435" t="n">
        <v>0</v>
      </c>
      <c r="Q435" t="n">
        <v>0</v>
      </c>
      <c r="R435" s="2" t="inlineStr"/>
    </row>
    <row r="436" ht="15" customHeight="1">
      <c r="A436" t="inlineStr">
        <is>
          <t>A 20722-2025</t>
        </is>
      </c>
      <c r="B436" s="1" t="n">
        <v>45776.50651620371</v>
      </c>
      <c r="C436" s="1" t="n">
        <v>45981</v>
      </c>
      <c r="D436" t="inlineStr">
        <is>
          <t>JÄMTLANDS LÄN</t>
        </is>
      </c>
      <c r="E436" t="inlineStr">
        <is>
          <t>RAGUNDA</t>
        </is>
      </c>
      <c r="F436" t="inlineStr">
        <is>
          <t>Kommuner</t>
        </is>
      </c>
      <c r="G436" t="n">
        <v>0.8</v>
      </c>
      <c r="H436" t="n">
        <v>0</v>
      </c>
      <c r="I436" t="n">
        <v>0</v>
      </c>
      <c r="J436" t="n">
        <v>0</v>
      </c>
      <c r="K436" t="n">
        <v>0</v>
      </c>
      <c r="L436" t="n">
        <v>0</v>
      </c>
      <c r="M436" t="n">
        <v>0</v>
      </c>
      <c r="N436" t="n">
        <v>0</v>
      </c>
      <c r="O436" t="n">
        <v>0</v>
      </c>
      <c r="P436" t="n">
        <v>0</v>
      </c>
      <c r="Q436" t="n">
        <v>0</v>
      </c>
      <c r="R436" s="2" t="inlineStr"/>
    </row>
    <row r="437" ht="15" customHeight="1">
      <c r="A437" t="inlineStr">
        <is>
          <t>A 20777-2025</t>
        </is>
      </c>
      <c r="B437" s="1" t="n">
        <v>45776.59422453704</v>
      </c>
      <c r="C437" s="1" t="n">
        <v>45981</v>
      </c>
      <c r="D437" t="inlineStr">
        <is>
          <t>JÄMTLANDS LÄN</t>
        </is>
      </c>
      <c r="E437" t="inlineStr">
        <is>
          <t>RAGUNDA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21150-2025</t>
        </is>
      </c>
      <c r="B438" s="1" t="n">
        <v>45779.34417824074</v>
      </c>
      <c r="C438" s="1" t="n">
        <v>45981</v>
      </c>
      <c r="D438" t="inlineStr">
        <is>
          <t>JÄMTLANDS LÄN</t>
        </is>
      </c>
      <c r="E438" t="inlineStr">
        <is>
          <t>RAGUNDA</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9360-2023</t>
        </is>
      </c>
      <c r="B439" s="1" t="n">
        <v>44980.93865740741</v>
      </c>
      <c r="C439" s="1" t="n">
        <v>45981</v>
      </c>
      <c r="D439" t="inlineStr">
        <is>
          <t>JÄMTLANDS LÄN</t>
        </is>
      </c>
      <c r="E439" t="inlineStr">
        <is>
          <t>RAGUNDA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21214-2025</t>
        </is>
      </c>
      <c r="B440" s="1" t="n">
        <v>45779.49025462963</v>
      </c>
      <c r="C440" s="1" t="n">
        <v>45981</v>
      </c>
      <c r="D440" t="inlineStr">
        <is>
          <t>JÄMTLANDS LÄN</t>
        </is>
      </c>
      <c r="E440" t="inlineStr">
        <is>
          <t>RAGUNDA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13767-2022</t>
        </is>
      </c>
      <c r="B441" s="1" t="n">
        <v>44649.47048611111</v>
      </c>
      <c r="C441" s="1" t="n">
        <v>45981</v>
      </c>
      <c r="D441" t="inlineStr">
        <is>
          <t>JÄMTLANDS LÄN</t>
        </is>
      </c>
      <c r="E441" t="inlineStr">
        <is>
          <t>RAGUNDA</t>
        </is>
      </c>
      <c r="F441" t="inlineStr">
        <is>
          <t>Kommuner</t>
        </is>
      </c>
      <c r="G441" t="n">
        <v>3.1</v>
      </c>
      <c r="H441" t="n">
        <v>0</v>
      </c>
      <c r="I441" t="n">
        <v>0</v>
      </c>
      <c r="J441" t="n">
        <v>0</v>
      </c>
      <c r="K441" t="n">
        <v>0</v>
      </c>
      <c r="L441" t="n">
        <v>0</v>
      </c>
      <c r="M441" t="n">
        <v>0</v>
      </c>
      <c r="N441" t="n">
        <v>0</v>
      </c>
      <c r="O441" t="n">
        <v>0</v>
      </c>
      <c r="P441" t="n">
        <v>0</v>
      </c>
      <c r="Q441" t="n">
        <v>0</v>
      </c>
      <c r="R441" s="2" t="inlineStr"/>
    </row>
    <row r="442" ht="15" customHeight="1">
      <c r="A442" t="inlineStr">
        <is>
          <t>A 22941-2024</t>
        </is>
      </c>
      <c r="B442" s="1" t="n">
        <v>45448.94520833333</v>
      </c>
      <c r="C442" s="1" t="n">
        <v>45981</v>
      </c>
      <c r="D442" t="inlineStr">
        <is>
          <t>JÄMTLANDS LÄN</t>
        </is>
      </c>
      <c r="E442" t="inlineStr">
        <is>
          <t>RAGUNDA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42508-2023</t>
        </is>
      </c>
      <c r="B443" s="1" t="n">
        <v>45180.95907407408</v>
      </c>
      <c r="C443" s="1" t="n">
        <v>45981</v>
      </c>
      <c r="D443" t="inlineStr">
        <is>
          <t>JÄMTLANDS LÄN</t>
        </is>
      </c>
      <c r="E443" t="inlineStr">
        <is>
          <t>RAGUNDA</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1308-2025</t>
        </is>
      </c>
      <c r="B444" s="1" t="n">
        <v>45667.55239583334</v>
      </c>
      <c r="C444" s="1" t="n">
        <v>45981</v>
      </c>
      <c r="D444" t="inlineStr">
        <is>
          <t>JÄMTLANDS LÄN</t>
        </is>
      </c>
      <c r="E444" t="inlineStr">
        <is>
          <t>RAGUNDA</t>
        </is>
      </c>
      <c r="F444" t="inlineStr">
        <is>
          <t>SCA</t>
        </is>
      </c>
      <c r="G444" t="n">
        <v>6.4</v>
      </c>
      <c r="H444" t="n">
        <v>0</v>
      </c>
      <c r="I444" t="n">
        <v>0</v>
      </c>
      <c r="J444" t="n">
        <v>0</v>
      </c>
      <c r="K444" t="n">
        <v>0</v>
      </c>
      <c r="L444" t="n">
        <v>0</v>
      </c>
      <c r="M444" t="n">
        <v>0</v>
      </c>
      <c r="N444" t="n">
        <v>0</v>
      </c>
      <c r="O444" t="n">
        <v>0</v>
      </c>
      <c r="P444" t="n">
        <v>0</v>
      </c>
      <c r="Q444" t="n">
        <v>0</v>
      </c>
      <c r="R444" s="2" t="inlineStr"/>
    </row>
    <row r="445" ht="15" customHeight="1">
      <c r="A445" t="inlineStr">
        <is>
          <t>A 11252-2025</t>
        </is>
      </c>
      <c r="B445" s="1" t="n">
        <v>45726.38615740741</v>
      </c>
      <c r="C445" s="1" t="n">
        <v>45981</v>
      </c>
      <c r="D445" t="inlineStr">
        <is>
          <t>JÄMTLANDS LÄN</t>
        </is>
      </c>
      <c r="E445" t="inlineStr">
        <is>
          <t>RAGUNDA</t>
        </is>
      </c>
      <c r="G445" t="n">
        <v>1.9</v>
      </c>
      <c r="H445" t="n">
        <v>0</v>
      </c>
      <c r="I445" t="n">
        <v>0</v>
      </c>
      <c r="J445" t="n">
        <v>0</v>
      </c>
      <c r="K445" t="n">
        <v>0</v>
      </c>
      <c r="L445" t="n">
        <v>0</v>
      </c>
      <c r="M445" t="n">
        <v>0</v>
      </c>
      <c r="N445" t="n">
        <v>0</v>
      </c>
      <c r="O445" t="n">
        <v>0</v>
      </c>
      <c r="P445" t="n">
        <v>0</v>
      </c>
      <c r="Q445" t="n">
        <v>0</v>
      </c>
      <c r="R445" s="2" t="inlineStr"/>
    </row>
    <row r="446" ht="15" customHeight="1">
      <c r="A446" t="inlineStr">
        <is>
          <t>A 35274-2023</t>
        </is>
      </c>
      <c r="B446" s="1" t="n">
        <v>45145</v>
      </c>
      <c r="C446" s="1" t="n">
        <v>45981</v>
      </c>
      <c r="D446" t="inlineStr">
        <is>
          <t>JÄMTLANDS LÄN</t>
        </is>
      </c>
      <c r="E446" t="inlineStr">
        <is>
          <t>RAGUNDA</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22569-2023</t>
        </is>
      </c>
      <c r="B447" s="1" t="n">
        <v>45069</v>
      </c>
      <c r="C447" s="1" t="n">
        <v>45981</v>
      </c>
      <c r="D447" t="inlineStr">
        <is>
          <t>JÄMTLANDS LÄN</t>
        </is>
      </c>
      <c r="E447" t="inlineStr">
        <is>
          <t>RAGUNDA</t>
        </is>
      </c>
      <c r="G447" t="n">
        <v>6.6</v>
      </c>
      <c r="H447" t="n">
        <v>0</v>
      </c>
      <c r="I447" t="n">
        <v>0</v>
      </c>
      <c r="J447" t="n">
        <v>0</v>
      </c>
      <c r="K447" t="n">
        <v>0</v>
      </c>
      <c r="L447" t="n">
        <v>0</v>
      </c>
      <c r="M447" t="n">
        <v>0</v>
      </c>
      <c r="N447" t="n">
        <v>0</v>
      </c>
      <c r="O447" t="n">
        <v>0</v>
      </c>
      <c r="P447" t="n">
        <v>0</v>
      </c>
      <c r="Q447" t="n">
        <v>0</v>
      </c>
      <c r="R447" s="2" t="inlineStr"/>
    </row>
    <row r="448" ht="15" customHeight="1">
      <c r="A448" t="inlineStr">
        <is>
          <t>A 21430-2025</t>
        </is>
      </c>
      <c r="B448" s="1" t="n">
        <v>45782.51099537037</v>
      </c>
      <c r="C448" s="1" t="n">
        <v>45981</v>
      </c>
      <c r="D448" t="inlineStr">
        <is>
          <t>JÄMTLANDS LÄN</t>
        </is>
      </c>
      <c r="E448" t="inlineStr">
        <is>
          <t>RAGUNDA</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44881-2023</t>
        </is>
      </c>
      <c r="B449" s="1" t="n">
        <v>45187</v>
      </c>
      <c r="C449" s="1" t="n">
        <v>45981</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11048-2023</t>
        </is>
      </c>
      <c r="B450" s="1" t="n">
        <v>44991</v>
      </c>
      <c r="C450" s="1" t="n">
        <v>45981</v>
      </c>
      <c r="D450" t="inlineStr">
        <is>
          <t>JÄMTLANDS LÄN</t>
        </is>
      </c>
      <c r="E450" t="inlineStr">
        <is>
          <t>RAGUNDA</t>
        </is>
      </c>
      <c r="F450" t="inlineStr">
        <is>
          <t>SCA</t>
        </is>
      </c>
      <c r="G450" t="n">
        <v>13.5</v>
      </c>
      <c r="H450" t="n">
        <v>0</v>
      </c>
      <c r="I450" t="n">
        <v>0</v>
      </c>
      <c r="J450" t="n">
        <v>0</v>
      </c>
      <c r="K450" t="n">
        <v>0</v>
      </c>
      <c r="L450" t="n">
        <v>0</v>
      </c>
      <c r="M450" t="n">
        <v>0</v>
      </c>
      <c r="N450" t="n">
        <v>0</v>
      </c>
      <c r="O450" t="n">
        <v>0</v>
      </c>
      <c r="P450" t="n">
        <v>0</v>
      </c>
      <c r="Q450" t="n">
        <v>0</v>
      </c>
      <c r="R450" s="2" t="inlineStr"/>
    </row>
    <row r="451" ht="15" customHeight="1">
      <c r="A451" t="inlineStr">
        <is>
          <t>A 11062-2023</t>
        </is>
      </c>
      <c r="B451" s="1" t="n">
        <v>44991</v>
      </c>
      <c r="C451" s="1" t="n">
        <v>45981</v>
      </c>
      <c r="D451" t="inlineStr">
        <is>
          <t>JÄMTLANDS LÄN</t>
        </is>
      </c>
      <c r="E451" t="inlineStr">
        <is>
          <t>RAGUNDA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12983-2025</t>
        </is>
      </c>
      <c r="B452" s="1" t="n">
        <v>45734.4633912037</v>
      </c>
      <c r="C452" s="1" t="n">
        <v>45981</v>
      </c>
      <c r="D452" t="inlineStr">
        <is>
          <t>JÄMTLANDS LÄN</t>
        </is>
      </c>
      <c r="E452" t="inlineStr">
        <is>
          <t>RAGUNDA</t>
        </is>
      </c>
      <c r="G452" t="n">
        <v>5.2</v>
      </c>
      <c r="H452" t="n">
        <v>0</v>
      </c>
      <c r="I452" t="n">
        <v>0</v>
      </c>
      <c r="J452" t="n">
        <v>0</v>
      </c>
      <c r="K452" t="n">
        <v>0</v>
      </c>
      <c r="L452" t="n">
        <v>0</v>
      </c>
      <c r="M452" t="n">
        <v>0</v>
      </c>
      <c r="N452" t="n">
        <v>0</v>
      </c>
      <c r="O452" t="n">
        <v>0</v>
      </c>
      <c r="P452" t="n">
        <v>0</v>
      </c>
      <c r="Q452" t="n">
        <v>0</v>
      </c>
      <c r="R452" s="2" t="inlineStr"/>
    </row>
    <row r="453" ht="15" customHeight="1">
      <c r="A453" t="inlineStr">
        <is>
          <t>A 17598-2021</t>
        </is>
      </c>
      <c r="B453" s="1" t="n">
        <v>44299</v>
      </c>
      <c r="C453" s="1" t="n">
        <v>45981</v>
      </c>
      <c r="D453" t="inlineStr">
        <is>
          <t>JÄMTLANDS LÄN</t>
        </is>
      </c>
      <c r="E453" t="inlineStr">
        <is>
          <t>RAGUNDA</t>
        </is>
      </c>
      <c r="G453" t="n">
        <v>4.6</v>
      </c>
      <c r="H453" t="n">
        <v>0</v>
      </c>
      <c r="I453" t="n">
        <v>0</v>
      </c>
      <c r="J453" t="n">
        <v>0</v>
      </c>
      <c r="K453" t="n">
        <v>0</v>
      </c>
      <c r="L453" t="n">
        <v>0</v>
      </c>
      <c r="M453" t="n">
        <v>0</v>
      </c>
      <c r="N453" t="n">
        <v>0</v>
      </c>
      <c r="O453" t="n">
        <v>0</v>
      </c>
      <c r="P453" t="n">
        <v>0</v>
      </c>
      <c r="Q453" t="n">
        <v>0</v>
      </c>
      <c r="R453" s="2" t="inlineStr"/>
    </row>
    <row r="454" ht="15" customHeight="1">
      <c r="A454" t="inlineStr">
        <is>
          <t>A 21451-2025</t>
        </is>
      </c>
      <c r="B454" s="1" t="n">
        <v>45782.55287037037</v>
      </c>
      <c r="C454" s="1" t="n">
        <v>45981</v>
      </c>
      <c r="D454" t="inlineStr">
        <is>
          <t>JÄMTLANDS LÄN</t>
        </is>
      </c>
      <c r="E454" t="inlineStr">
        <is>
          <t>RAGUNDA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57064-2024</t>
        </is>
      </c>
      <c r="B455" s="1" t="n">
        <v>45629.35326388889</v>
      </c>
      <c r="C455" s="1" t="n">
        <v>45981</v>
      </c>
      <c r="D455" t="inlineStr">
        <is>
          <t>JÄMTLANDS LÄN</t>
        </is>
      </c>
      <c r="E455" t="inlineStr">
        <is>
          <t>RAGUNDA</t>
        </is>
      </c>
      <c r="F455" t="inlineStr">
        <is>
          <t>Naturvårdsverket</t>
        </is>
      </c>
      <c r="G455" t="n">
        <v>0.5</v>
      </c>
      <c r="H455" t="n">
        <v>0</v>
      </c>
      <c r="I455" t="n">
        <v>0</v>
      </c>
      <c r="J455" t="n">
        <v>0</v>
      </c>
      <c r="K455" t="n">
        <v>0</v>
      </c>
      <c r="L455" t="n">
        <v>0</v>
      </c>
      <c r="M455" t="n">
        <v>0</v>
      </c>
      <c r="N455" t="n">
        <v>0</v>
      </c>
      <c r="O455" t="n">
        <v>0</v>
      </c>
      <c r="P455" t="n">
        <v>0</v>
      </c>
      <c r="Q455" t="n">
        <v>0</v>
      </c>
      <c r="R455" s="2" t="inlineStr"/>
    </row>
    <row r="456" ht="15" customHeight="1">
      <c r="A456" t="inlineStr">
        <is>
          <t>A 3938-2024</t>
        </is>
      </c>
      <c r="B456" s="1" t="n">
        <v>45322</v>
      </c>
      <c r="C456" s="1" t="n">
        <v>45981</v>
      </c>
      <c r="D456" t="inlineStr">
        <is>
          <t>JÄMTLANDS LÄN</t>
        </is>
      </c>
      <c r="E456" t="inlineStr">
        <is>
          <t>RAGUNDA</t>
        </is>
      </c>
      <c r="G456" t="n">
        <v>3.2</v>
      </c>
      <c r="H456" t="n">
        <v>0</v>
      </c>
      <c r="I456" t="n">
        <v>0</v>
      </c>
      <c r="J456" t="n">
        <v>0</v>
      </c>
      <c r="K456" t="n">
        <v>0</v>
      </c>
      <c r="L456" t="n">
        <v>0</v>
      </c>
      <c r="M456" t="n">
        <v>0</v>
      </c>
      <c r="N456" t="n">
        <v>0</v>
      </c>
      <c r="O456" t="n">
        <v>0</v>
      </c>
      <c r="P456" t="n">
        <v>0</v>
      </c>
      <c r="Q456" t="n">
        <v>0</v>
      </c>
      <c r="R456" s="2" t="inlineStr"/>
    </row>
    <row r="457" ht="15" customHeight="1">
      <c r="A457" t="inlineStr">
        <is>
          <t>A 21432-2025</t>
        </is>
      </c>
      <c r="B457" s="1" t="n">
        <v>45782.51109953703</v>
      </c>
      <c r="C457" s="1" t="n">
        <v>45981</v>
      </c>
      <c r="D457" t="inlineStr">
        <is>
          <t>JÄMTLANDS LÄN</t>
        </is>
      </c>
      <c r="E457" t="inlineStr">
        <is>
          <t>RAGUNDA</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21331-2025</t>
        </is>
      </c>
      <c r="B458" s="1" t="n">
        <v>45782.36494212963</v>
      </c>
      <c r="C458" s="1" t="n">
        <v>45981</v>
      </c>
      <c r="D458" t="inlineStr">
        <is>
          <t>JÄMTLANDS LÄN</t>
        </is>
      </c>
      <c r="E458" t="inlineStr">
        <is>
          <t>RAGUNDA</t>
        </is>
      </c>
      <c r="F458" t="inlineStr">
        <is>
          <t>SCA</t>
        </is>
      </c>
      <c r="G458" t="n">
        <v>23.1</v>
      </c>
      <c r="H458" t="n">
        <v>0</v>
      </c>
      <c r="I458" t="n">
        <v>0</v>
      </c>
      <c r="J458" t="n">
        <v>0</v>
      </c>
      <c r="K458" t="n">
        <v>0</v>
      </c>
      <c r="L458" t="n">
        <v>0</v>
      </c>
      <c r="M458" t="n">
        <v>0</v>
      </c>
      <c r="N458" t="n">
        <v>0</v>
      </c>
      <c r="O458" t="n">
        <v>0</v>
      </c>
      <c r="P458" t="n">
        <v>0</v>
      </c>
      <c r="Q458" t="n">
        <v>0</v>
      </c>
      <c r="R458" s="2" t="inlineStr"/>
      <c r="U458">
        <f>HYPERLINK("https://klasma.github.io/Logging_2303/knärot/A 21331-2025 karta knärot.png", "A 21331-2025")</f>
        <v/>
      </c>
      <c r="V458">
        <f>HYPERLINK("https://klasma.github.io/Logging_2303/klagomål/A 21331-2025 FSC-klagomål.docx", "A 21331-2025")</f>
        <v/>
      </c>
      <c r="W458">
        <f>HYPERLINK("https://klasma.github.io/Logging_2303/klagomålsmail/A 21331-2025 FSC-klagomål mail.docx", "A 21331-2025")</f>
        <v/>
      </c>
      <c r="X458">
        <f>HYPERLINK("https://klasma.github.io/Logging_2303/tillsyn/A 21331-2025 tillsynsbegäran.docx", "A 21331-2025")</f>
        <v/>
      </c>
      <c r="Y458">
        <f>HYPERLINK("https://klasma.github.io/Logging_2303/tillsynsmail/A 21331-2025 tillsynsbegäran mail.docx", "A 21331-2025")</f>
        <v/>
      </c>
    </row>
    <row r="459" ht="15" customHeight="1">
      <c r="A459" t="inlineStr">
        <is>
          <t>A 55524-2024</t>
        </is>
      </c>
      <c r="B459" s="1" t="n">
        <v>45622.47435185185</v>
      </c>
      <c r="C459" s="1" t="n">
        <v>45981</v>
      </c>
      <c r="D459" t="inlineStr">
        <is>
          <t>JÄMTLANDS LÄN</t>
        </is>
      </c>
      <c r="E459" t="inlineStr">
        <is>
          <t>RAGUNDA</t>
        </is>
      </c>
      <c r="G459" t="n">
        <v>1.4</v>
      </c>
      <c r="H459" t="n">
        <v>0</v>
      </c>
      <c r="I459" t="n">
        <v>0</v>
      </c>
      <c r="J459" t="n">
        <v>0</v>
      </c>
      <c r="K459" t="n">
        <v>0</v>
      </c>
      <c r="L459" t="n">
        <v>0</v>
      </c>
      <c r="M459" t="n">
        <v>0</v>
      </c>
      <c r="N459" t="n">
        <v>0</v>
      </c>
      <c r="O459" t="n">
        <v>0</v>
      </c>
      <c r="P459" t="n">
        <v>0</v>
      </c>
      <c r="Q459" t="n">
        <v>0</v>
      </c>
      <c r="R459" s="2" t="inlineStr"/>
    </row>
    <row r="460" ht="15" customHeight="1">
      <c r="A460" t="inlineStr">
        <is>
          <t>A 25332-2023</t>
        </is>
      </c>
      <c r="B460" s="1" t="n">
        <v>45086.94010416666</v>
      </c>
      <c r="C460" s="1" t="n">
        <v>45981</v>
      </c>
      <c r="D460" t="inlineStr">
        <is>
          <t>JÄMTLANDS LÄN</t>
        </is>
      </c>
      <c r="E460" t="inlineStr">
        <is>
          <t>RAGUNDA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29920-2024</t>
        </is>
      </c>
      <c r="B461" s="1" t="n">
        <v>45487.92856481481</v>
      </c>
      <c r="C461" s="1" t="n">
        <v>45981</v>
      </c>
      <c r="D461" t="inlineStr">
        <is>
          <t>JÄMTLANDS LÄN</t>
        </is>
      </c>
      <c r="E461" t="inlineStr">
        <is>
          <t>RAGUNDA</t>
        </is>
      </c>
      <c r="G461" t="n">
        <v>3.4</v>
      </c>
      <c r="H461" t="n">
        <v>0</v>
      </c>
      <c r="I461" t="n">
        <v>0</v>
      </c>
      <c r="J461" t="n">
        <v>0</v>
      </c>
      <c r="K461" t="n">
        <v>0</v>
      </c>
      <c r="L461" t="n">
        <v>0</v>
      </c>
      <c r="M461" t="n">
        <v>0</v>
      </c>
      <c r="N461" t="n">
        <v>0</v>
      </c>
      <c r="O461" t="n">
        <v>0</v>
      </c>
      <c r="P461" t="n">
        <v>0</v>
      </c>
      <c r="Q461" t="n">
        <v>0</v>
      </c>
      <c r="R461" s="2" t="inlineStr"/>
    </row>
    <row r="462" ht="15" customHeight="1">
      <c r="A462" t="inlineStr">
        <is>
          <t>A 53144-2024</t>
        </is>
      </c>
      <c r="B462" s="1" t="n">
        <v>45611</v>
      </c>
      <c r="C462" s="1" t="n">
        <v>45981</v>
      </c>
      <c r="D462" t="inlineStr">
        <is>
          <t>JÄMTLANDS LÄN</t>
        </is>
      </c>
      <c r="E462" t="inlineStr">
        <is>
          <t>RAGUNDA</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3767-2025</t>
        </is>
      </c>
      <c r="B463" s="1" t="n">
        <v>45681.60203703704</v>
      </c>
      <c r="C463" s="1" t="n">
        <v>45981</v>
      </c>
      <c r="D463" t="inlineStr">
        <is>
          <t>JÄMTLANDS LÄN</t>
        </is>
      </c>
      <c r="E463" t="inlineStr">
        <is>
          <t>RAGUNDA</t>
        </is>
      </c>
      <c r="G463" t="n">
        <v>4.9</v>
      </c>
      <c r="H463" t="n">
        <v>0</v>
      </c>
      <c r="I463" t="n">
        <v>0</v>
      </c>
      <c r="J463" t="n">
        <v>0</v>
      </c>
      <c r="K463" t="n">
        <v>0</v>
      </c>
      <c r="L463" t="n">
        <v>0</v>
      </c>
      <c r="M463" t="n">
        <v>0</v>
      </c>
      <c r="N463" t="n">
        <v>0</v>
      </c>
      <c r="O463" t="n">
        <v>0</v>
      </c>
      <c r="P463" t="n">
        <v>0</v>
      </c>
      <c r="Q463" t="n">
        <v>0</v>
      </c>
      <c r="R463" s="2" t="inlineStr"/>
    </row>
    <row r="464" ht="15" customHeight="1">
      <c r="A464" t="inlineStr">
        <is>
          <t>A 7280-2024</t>
        </is>
      </c>
      <c r="B464" s="1" t="n">
        <v>45344</v>
      </c>
      <c r="C464" s="1" t="n">
        <v>45981</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39192-2025</t>
        </is>
      </c>
      <c r="B465" s="1" t="n">
        <v>45888.6775</v>
      </c>
      <c r="C465" s="1" t="n">
        <v>45981</v>
      </c>
      <c r="D465" t="inlineStr">
        <is>
          <t>JÄMTLANDS LÄN</t>
        </is>
      </c>
      <c r="E465" t="inlineStr">
        <is>
          <t>RAGUNDA</t>
        </is>
      </c>
      <c r="F465" t="inlineStr">
        <is>
          <t>Naturvårdsverket</t>
        </is>
      </c>
      <c r="G465" t="n">
        <v>2.3</v>
      </c>
      <c r="H465" t="n">
        <v>0</v>
      </c>
      <c r="I465" t="n">
        <v>0</v>
      </c>
      <c r="J465" t="n">
        <v>0</v>
      </c>
      <c r="K465" t="n">
        <v>0</v>
      </c>
      <c r="L465" t="n">
        <v>0</v>
      </c>
      <c r="M465" t="n">
        <v>0</v>
      </c>
      <c r="N465" t="n">
        <v>0</v>
      </c>
      <c r="O465" t="n">
        <v>0</v>
      </c>
      <c r="P465" t="n">
        <v>0</v>
      </c>
      <c r="Q465" t="n">
        <v>0</v>
      </c>
      <c r="R465" s="2" t="inlineStr"/>
    </row>
    <row r="466" ht="15" customHeight="1">
      <c r="A466" t="inlineStr">
        <is>
          <t>A 22311-2024</t>
        </is>
      </c>
      <c r="B466" s="1" t="n">
        <v>45446.57052083333</v>
      </c>
      <c r="C466" s="1" t="n">
        <v>45981</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44778-2024</t>
        </is>
      </c>
      <c r="B467" s="1" t="n">
        <v>45574.63355324074</v>
      </c>
      <c r="C467" s="1" t="n">
        <v>45981</v>
      </c>
      <c r="D467" t="inlineStr">
        <is>
          <t>JÄMTLANDS LÄN</t>
        </is>
      </c>
      <c r="E467" t="inlineStr">
        <is>
          <t>RAGUNDA</t>
        </is>
      </c>
      <c r="G467" t="n">
        <v>5.5</v>
      </c>
      <c r="H467" t="n">
        <v>0</v>
      </c>
      <c r="I467" t="n">
        <v>0</v>
      </c>
      <c r="J467" t="n">
        <v>0</v>
      </c>
      <c r="K467" t="n">
        <v>0</v>
      </c>
      <c r="L467" t="n">
        <v>0</v>
      </c>
      <c r="M467" t="n">
        <v>0</v>
      </c>
      <c r="N467" t="n">
        <v>0</v>
      </c>
      <c r="O467" t="n">
        <v>0</v>
      </c>
      <c r="P467" t="n">
        <v>0</v>
      </c>
      <c r="Q467" t="n">
        <v>0</v>
      </c>
      <c r="R467" s="2" t="inlineStr"/>
    </row>
    <row r="468" ht="15" customHeight="1">
      <c r="A468" t="inlineStr">
        <is>
          <t>A 2673-2024</t>
        </is>
      </c>
      <c r="B468" s="1" t="n">
        <v>45314</v>
      </c>
      <c r="C468" s="1" t="n">
        <v>45981</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64492-2023</t>
        </is>
      </c>
      <c r="B469" s="1" t="n">
        <v>45280.92645833334</v>
      </c>
      <c r="C469" s="1" t="n">
        <v>45981</v>
      </c>
      <c r="D469" t="inlineStr">
        <is>
          <t>JÄMTLANDS LÄN</t>
        </is>
      </c>
      <c r="E469" t="inlineStr">
        <is>
          <t>RAGUNDA</t>
        </is>
      </c>
      <c r="G469" t="n">
        <v>0.6</v>
      </c>
      <c r="H469" t="n">
        <v>0</v>
      </c>
      <c r="I469" t="n">
        <v>0</v>
      </c>
      <c r="J469" t="n">
        <v>0</v>
      </c>
      <c r="K469" t="n">
        <v>0</v>
      </c>
      <c r="L469" t="n">
        <v>0</v>
      </c>
      <c r="M469" t="n">
        <v>0</v>
      </c>
      <c r="N469" t="n">
        <v>0</v>
      </c>
      <c r="O469" t="n">
        <v>0</v>
      </c>
      <c r="P469" t="n">
        <v>0</v>
      </c>
      <c r="Q469" t="n">
        <v>0</v>
      </c>
      <c r="R469" s="2" t="inlineStr"/>
    </row>
    <row r="470" ht="15" customHeight="1">
      <c r="A470" t="inlineStr">
        <is>
          <t>A 39384-2025</t>
        </is>
      </c>
      <c r="B470" s="1" t="n">
        <v>45889.61517361111</v>
      </c>
      <c r="C470" s="1" t="n">
        <v>45981</v>
      </c>
      <c r="D470" t="inlineStr">
        <is>
          <t>JÄMTLANDS LÄN</t>
        </is>
      </c>
      <c r="E470" t="inlineStr">
        <is>
          <t>RAGUNDA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28216-2025</t>
        </is>
      </c>
      <c r="B471" s="1" t="n">
        <v>45818.46898148148</v>
      </c>
      <c r="C471" s="1" t="n">
        <v>45981</v>
      </c>
      <c r="D471" t="inlineStr">
        <is>
          <t>JÄMTLANDS LÄN</t>
        </is>
      </c>
      <c r="E471" t="inlineStr">
        <is>
          <t>RAGUNDA</t>
        </is>
      </c>
      <c r="G471" t="n">
        <v>6.6</v>
      </c>
      <c r="H471" t="n">
        <v>0</v>
      </c>
      <c r="I471" t="n">
        <v>0</v>
      </c>
      <c r="J471" t="n">
        <v>0</v>
      </c>
      <c r="K471" t="n">
        <v>0</v>
      </c>
      <c r="L471" t="n">
        <v>0</v>
      </c>
      <c r="M471" t="n">
        <v>0</v>
      </c>
      <c r="N471" t="n">
        <v>0</v>
      </c>
      <c r="O471" t="n">
        <v>0</v>
      </c>
      <c r="P471" t="n">
        <v>0</v>
      </c>
      <c r="Q471" t="n">
        <v>0</v>
      </c>
      <c r="R471" s="2" t="inlineStr"/>
    </row>
    <row r="472" ht="15" customHeight="1">
      <c r="A472" t="inlineStr">
        <is>
          <t>A 14368-2024</t>
        </is>
      </c>
      <c r="B472" s="1" t="n">
        <v>45393.94431712963</v>
      </c>
      <c r="C472" s="1" t="n">
        <v>45981</v>
      </c>
      <c r="D472" t="inlineStr">
        <is>
          <t>JÄMTLANDS LÄN</t>
        </is>
      </c>
      <c r="E472" t="inlineStr">
        <is>
          <t>RAGUNDA</t>
        </is>
      </c>
      <c r="F472" t="inlineStr">
        <is>
          <t>Naturvårdsverket</t>
        </is>
      </c>
      <c r="G472" t="n">
        <v>1.6</v>
      </c>
      <c r="H472" t="n">
        <v>0</v>
      </c>
      <c r="I472" t="n">
        <v>0</v>
      </c>
      <c r="J472" t="n">
        <v>0</v>
      </c>
      <c r="K472" t="n">
        <v>0</v>
      </c>
      <c r="L472" t="n">
        <v>0</v>
      </c>
      <c r="M472" t="n">
        <v>0</v>
      </c>
      <c r="N472" t="n">
        <v>0</v>
      </c>
      <c r="O472" t="n">
        <v>0</v>
      </c>
      <c r="P472" t="n">
        <v>0</v>
      </c>
      <c r="Q472" t="n">
        <v>0</v>
      </c>
      <c r="R472" s="2" t="inlineStr"/>
    </row>
    <row r="473" ht="15" customHeight="1">
      <c r="A473" t="inlineStr">
        <is>
          <t>A 19403-2025</t>
        </is>
      </c>
      <c r="B473" s="1" t="n">
        <v>45769.67790509259</v>
      </c>
      <c r="C473" s="1" t="n">
        <v>45981</v>
      </c>
      <c r="D473" t="inlineStr">
        <is>
          <t>JÄMTLANDS LÄN</t>
        </is>
      </c>
      <c r="E473" t="inlineStr">
        <is>
          <t>RAGUNDA</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21550-2025</t>
        </is>
      </c>
      <c r="B474" s="1" t="n">
        <v>45782.67758101852</v>
      </c>
      <c r="C474" s="1" t="n">
        <v>45981</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12783-2023</t>
        </is>
      </c>
      <c r="B475" s="1" t="n">
        <v>45000</v>
      </c>
      <c r="C475" s="1" t="n">
        <v>45981</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53171-2024</t>
        </is>
      </c>
      <c r="B476" s="1" t="n">
        <v>45611.65679398148</v>
      </c>
      <c r="C476" s="1" t="n">
        <v>45981</v>
      </c>
      <c r="D476" t="inlineStr">
        <is>
          <t>JÄMTLANDS LÄN</t>
        </is>
      </c>
      <c r="E476" t="inlineStr">
        <is>
          <t>RAGUNDA</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33650-2025</t>
        </is>
      </c>
      <c r="B477" s="1" t="n">
        <v>45841.6571412037</v>
      </c>
      <c r="C477" s="1" t="n">
        <v>45981</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7279-2024</t>
        </is>
      </c>
      <c r="B478" s="1" t="n">
        <v>45344.92822916667</v>
      </c>
      <c r="C478" s="1" t="n">
        <v>45981</v>
      </c>
      <c r="D478" t="inlineStr">
        <is>
          <t>JÄMTLANDS LÄN</t>
        </is>
      </c>
      <c r="E478" t="inlineStr">
        <is>
          <t>RAGUNDA</t>
        </is>
      </c>
      <c r="G478" t="n">
        <v>2.1</v>
      </c>
      <c r="H478" t="n">
        <v>0</v>
      </c>
      <c r="I478" t="n">
        <v>0</v>
      </c>
      <c r="J478" t="n">
        <v>0</v>
      </c>
      <c r="K478" t="n">
        <v>0</v>
      </c>
      <c r="L478" t="n">
        <v>0</v>
      </c>
      <c r="M478" t="n">
        <v>0</v>
      </c>
      <c r="N478" t="n">
        <v>0</v>
      </c>
      <c r="O478" t="n">
        <v>0</v>
      </c>
      <c r="P478" t="n">
        <v>0</v>
      </c>
      <c r="Q478" t="n">
        <v>0</v>
      </c>
      <c r="R478" s="2" t="inlineStr"/>
    </row>
    <row r="479" ht="15" customHeight="1">
      <c r="A479" t="inlineStr">
        <is>
          <t>A 11147-2025</t>
        </is>
      </c>
      <c r="B479" s="1" t="n">
        <v>45723.67777777778</v>
      </c>
      <c r="C479" s="1" t="n">
        <v>45981</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54599-2023</t>
        </is>
      </c>
      <c r="B480" s="1" t="n">
        <v>45233.92591435185</v>
      </c>
      <c r="C480" s="1" t="n">
        <v>45981</v>
      </c>
      <c r="D480" t="inlineStr">
        <is>
          <t>JÄMTLANDS LÄN</t>
        </is>
      </c>
      <c r="E480" t="inlineStr">
        <is>
          <t>RAGUNDA</t>
        </is>
      </c>
      <c r="G480" t="n">
        <v>3.7</v>
      </c>
      <c r="H480" t="n">
        <v>0</v>
      </c>
      <c r="I480" t="n">
        <v>0</v>
      </c>
      <c r="J480" t="n">
        <v>0</v>
      </c>
      <c r="K480" t="n">
        <v>0</v>
      </c>
      <c r="L480" t="n">
        <v>0</v>
      </c>
      <c r="M480" t="n">
        <v>0</v>
      </c>
      <c r="N480" t="n">
        <v>0</v>
      </c>
      <c r="O480" t="n">
        <v>0</v>
      </c>
      <c r="P480" t="n">
        <v>0</v>
      </c>
      <c r="Q480" t="n">
        <v>0</v>
      </c>
      <c r="R480" s="2" t="inlineStr"/>
    </row>
    <row r="481" ht="15" customHeight="1">
      <c r="A481" t="inlineStr">
        <is>
          <t>A 9847-2025</t>
        </is>
      </c>
      <c r="B481" s="1" t="n">
        <v>45716.61487268518</v>
      </c>
      <c r="C481" s="1" t="n">
        <v>45981</v>
      </c>
      <c r="D481" t="inlineStr">
        <is>
          <t>JÄMTLANDS LÄN</t>
        </is>
      </c>
      <c r="E481" t="inlineStr">
        <is>
          <t>RAGUNDA</t>
        </is>
      </c>
      <c r="F481" t="inlineStr">
        <is>
          <t>SCA</t>
        </is>
      </c>
      <c r="G481" t="n">
        <v>3.8</v>
      </c>
      <c r="H481" t="n">
        <v>0</v>
      </c>
      <c r="I481" t="n">
        <v>0</v>
      </c>
      <c r="J481" t="n">
        <v>0</v>
      </c>
      <c r="K481" t="n">
        <v>0</v>
      </c>
      <c r="L481" t="n">
        <v>0</v>
      </c>
      <c r="M481" t="n">
        <v>0</v>
      </c>
      <c r="N481" t="n">
        <v>0</v>
      </c>
      <c r="O481" t="n">
        <v>0</v>
      </c>
      <c r="P481" t="n">
        <v>0</v>
      </c>
      <c r="Q481" t="n">
        <v>0</v>
      </c>
      <c r="R481" s="2" t="inlineStr"/>
    </row>
    <row r="482" ht="15" customHeight="1">
      <c r="A482" t="inlineStr">
        <is>
          <t>A 28173-2024</t>
        </is>
      </c>
      <c r="B482" s="1" t="n">
        <v>45476.94533564815</v>
      </c>
      <c r="C482" s="1" t="n">
        <v>45981</v>
      </c>
      <c r="D482" t="inlineStr">
        <is>
          <t>JÄMTLANDS LÄN</t>
        </is>
      </c>
      <c r="E482" t="inlineStr">
        <is>
          <t>RAGUNDA</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12660-2024</t>
        </is>
      </c>
      <c r="B483" s="1" t="n">
        <v>45384</v>
      </c>
      <c r="C483" s="1" t="n">
        <v>45981</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55649-2023</t>
        </is>
      </c>
      <c r="B484" s="1" t="n">
        <v>45238</v>
      </c>
      <c r="C484" s="1" t="n">
        <v>45981</v>
      </c>
      <c r="D484" t="inlineStr">
        <is>
          <t>JÄMTLANDS LÄN</t>
        </is>
      </c>
      <c r="E484" t="inlineStr">
        <is>
          <t>RAGUNDA</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23734-2024</t>
        </is>
      </c>
      <c r="B485" s="1" t="n">
        <v>45454.95960648148</v>
      </c>
      <c r="C485" s="1" t="n">
        <v>45981</v>
      </c>
      <c r="D485" t="inlineStr">
        <is>
          <t>JÄMTLANDS LÄN</t>
        </is>
      </c>
      <c r="E485" t="inlineStr">
        <is>
          <t>RAGUNDA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38425-2022</t>
        </is>
      </c>
      <c r="B486" s="1" t="n">
        <v>44812.94709490741</v>
      </c>
      <c r="C486" s="1" t="n">
        <v>45981</v>
      </c>
      <c r="D486" t="inlineStr">
        <is>
          <t>JÄMTLANDS LÄN</t>
        </is>
      </c>
      <c r="E486" t="inlineStr">
        <is>
          <t>RAGUNDA</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39947-2025</t>
        </is>
      </c>
      <c r="B487" s="1" t="n">
        <v>45892.34438657408</v>
      </c>
      <c r="C487" s="1" t="n">
        <v>45981</v>
      </c>
      <c r="D487" t="inlineStr">
        <is>
          <t>JÄMTLANDS LÄN</t>
        </is>
      </c>
      <c r="E487" t="inlineStr">
        <is>
          <t>RAGUNDA</t>
        </is>
      </c>
      <c r="G487" t="n">
        <v>6.6</v>
      </c>
      <c r="H487" t="n">
        <v>0</v>
      </c>
      <c r="I487" t="n">
        <v>0</v>
      </c>
      <c r="J487" t="n">
        <v>0</v>
      </c>
      <c r="K487" t="n">
        <v>0</v>
      </c>
      <c r="L487" t="n">
        <v>0</v>
      </c>
      <c r="M487" t="n">
        <v>0</v>
      </c>
      <c r="N487" t="n">
        <v>0</v>
      </c>
      <c r="O487" t="n">
        <v>0</v>
      </c>
      <c r="P487" t="n">
        <v>0</v>
      </c>
      <c r="Q487" t="n">
        <v>0</v>
      </c>
      <c r="R487" s="2" t="inlineStr"/>
    </row>
    <row r="488" ht="15" customHeight="1">
      <c r="A488" t="inlineStr">
        <is>
          <t>A 39951-2025</t>
        </is>
      </c>
      <c r="B488" s="1" t="n">
        <v>45892.38657407407</v>
      </c>
      <c r="C488" s="1" t="n">
        <v>45981</v>
      </c>
      <c r="D488" t="inlineStr">
        <is>
          <t>JÄMTLANDS LÄN</t>
        </is>
      </c>
      <c r="E488" t="inlineStr">
        <is>
          <t>RAGUNDA</t>
        </is>
      </c>
      <c r="G488" t="n">
        <v>2.3</v>
      </c>
      <c r="H488" t="n">
        <v>0</v>
      </c>
      <c r="I488" t="n">
        <v>0</v>
      </c>
      <c r="J488" t="n">
        <v>0</v>
      </c>
      <c r="K488" t="n">
        <v>0</v>
      </c>
      <c r="L488" t="n">
        <v>0</v>
      </c>
      <c r="M488" t="n">
        <v>0</v>
      </c>
      <c r="N488" t="n">
        <v>0</v>
      </c>
      <c r="O488" t="n">
        <v>0</v>
      </c>
      <c r="P488" t="n">
        <v>0</v>
      </c>
      <c r="Q488" t="n">
        <v>0</v>
      </c>
      <c r="R488" s="2" t="inlineStr"/>
    </row>
    <row r="489" ht="15" customHeight="1">
      <c r="A489" t="inlineStr">
        <is>
          <t>A 12995-2023</t>
        </is>
      </c>
      <c r="B489" s="1" t="n">
        <v>45002.0328125</v>
      </c>
      <c r="C489" s="1" t="n">
        <v>45981</v>
      </c>
      <c r="D489" t="inlineStr">
        <is>
          <t>JÄMTLANDS LÄN</t>
        </is>
      </c>
      <c r="E489" t="inlineStr">
        <is>
          <t>RAGUNDA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39948-2025</t>
        </is>
      </c>
      <c r="B490" s="1" t="n">
        <v>45892.38591435185</v>
      </c>
      <c r="C490" s="1" t="n">
        <v>45981</v>
      </c>
      <c r="D490" t="inlineStr">
        <is>
          <t>JÄMTLANDS LÄN</t>
        </is>
      </c>
      <c r="E490" t="inlineStr">
        <is>
          <t>RAGUNDA</t>
        </is>
      </c>
      <c r="G490" t="n">
        <v>5</v>
      </c>
      <c r="H490" t="n">
        <v>0</v>
      </c>
      <c r="I490" t="n">
        <v>0</v>
      </c>
      <c r="J490" t="n">
        <v>0</v>
      </c>
      <c r="K490" t="n">
        <v>0</v>
      </c>
      <c r="L490" t="n">
        <v>0</v>
      </c>
      <c r="M490" t="n">
        <v>0</v>
      </c>
      <c r="N490" t="n">
        <v>0</v>
      </c>
      <c r="O490" t="n">
        <v>0</v>
      </c>
      <c r="P490" t="n">
        <v>0</v>
      </c>
      <c r="Q490" t="n">
        <v>0</v>
      </c>
      <c r="R490" s="2" t="inlineStr"/>
    </row>
    <row r="491" ht="15" customHeight="1">
      <c r="A491" t="inlineStr">
        <is>
          <t>A 39946-2025</t>
        </is>
      </c>
      <c r="B491" s="1" t="n">
        <v>45892.34423611111</v>
      </c>
      <c r="C491" s="1" t="n">
        <v>45981</v>
      </c>
      <c r="D491" t="inlineStr">
        <is>
          <t>JÄMTLANDS LÄN</t>
        </is>
      </c>
      <c r="E491" t="inlineStr">
        <is>
          <t>RAGUNDA</t>
        </is>
      </c>
      <c r="G491" t="n">
        <v>4.7</v>
      </c>
      <c r="H491" t="n">
        <v>0</v>
      </c>
      <c r="I491" t="n">
        <v>0</v>
      </c>
      <c r="J491" t="n">
        <v>0</v>
      </c>
      <c r="K491" t="n">
        <v>0</v>
      </c>
      <c r="L491" t="n">
        <v>0</v>
      </c>
      <c r="M491" t="n">
        <v>0</v>
      </c>
      <c r="N491" t="n">
        <v>0</v>
      </c>
      <c r="O491" t="n">
        <v>0</v>
      </c>
      <c r="P491" t="n">
        <v>0</v>
      </c>
      <c r="Q491" t="n">
        <v>0</v>
      </c>
      <c r="R491" s="2" t="inlineStr"/>
    </row>
    <row r="492" ht="15" customHeight="1">
      <c r="A492" t="inlineStr">
        <is>
          <t>A 39950-2025</t>
        </is>
      </c>
      <c r="B492" s="1" t="n">
        <v>45892.38641203703</v>
      </c>
      <c r="C492" s="1" t="n">
        <v>45981</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39955-2025</t>
        </is>
      </c>
      <c r="B493" s="1" t="n">
        <v>45892.44824074074</v>
      </c>
      <c r="C493" s="1" t="n">
        <v>45981</v>
      </c>
      <c r="D493" t="inlineStr">
        <is>
          <t>JÄMTLANDS LÄN</t>
        </is>
      </c>
      <c r="E493" t="inlineStr">
        <is>
          <t>RAGUNDA</t>
        </is>
      </c>
      <c r="G493" t="n">
        <v>1.4</v>
      </c>
      <c r="H493" t="n">
        <v>0</v>
      </c>
      <c r="I493" t="n">
        <v>0</v>
      </c>
      <c r="J493" t="n">
        <v>0</v>
      </c>
      <c r="K493" t="n">
        <v>0</v>
      </c>
      <c r="L493" t="n">
        <v>0</v>
      </c>
      <c r="M493" t="n">
        <v>0</v>
      </c>
      <c r="N493" t="n">
        <v>0</v>
      </c>
      <c r="O493" t="n">
        <v>0</v>
      </c>
      <c r="P493" t="n">
        <v>0</v>
      </c>
      <c r="Q493" t="n">
        <v>0</v>
      </c>
      <c r="R493" s="2" t="inlineStr"/>
    </row>
    <row r="494" ht="15" customHeight="1">
      <c r="A494" t="inlineStr">
        <is>
          <t>A 39956-2025</t>
        </is>
      </c>
      <c r="B494" s="1" t="n">
        <v>45892.44840277778</v>
      </c>
      <c r="C494" s="1" t="n">
        <v>45981</v>
      </c>
      <c r="D494" t="inlineStr">
        <is>
          <t>JÄMTLANDS LÄN</t>
        </is>
      </c>
      <c r="E494" t="inlineStr">
        <is>
          <t>RAGUNDA</t>
        </is>
      </c>
      <c r="G494" t="n">
        <v>3.6</v>
      </c>
      <c r="H494" t="n">
        <v>0</v>
      </c>
      <c r="I494" t="n">
        <v>0</v>
      </c>
      <c r="J494" t="n">
        <v>0</v>
      </c>
      <c r="K494" t="n">
        <v>0</v>
      </c>
      <c r="L494" t="n">
        <v>0</v>
      </c>
      <c r="M494" t="n">
        <v>0</v>
      </c>
      <c r="N494" t="n">
        <v>0</v>
      </c>
      <c r="O494" t="n">
        <v>0</v>
      </c>
      <c r="P494" t="n">
        <v>0</v>
      </c>
      <c r="Q494" t="n">
        <v>0</v>
      </c>
      <c r="R494" s="2" t="inlineStr"/>
    </row>
    <row r="495" ht="15" customHeight="1">
      <c r="A495" t="inlineStr">
        <is>
          <t>A 44755-2024</t>
        </is>
      </c>
      <c r="B495" s="1" t="n">
        <v>45574.61184027778</v>
      </c>
      <c r="C495" s="1" t="n">
        <v>45981</v>
      </c>
      <c r="D495" t="inlineStr">
        <is>
          <t>JÄMTLANDS LÄN</t>
        </is>
      </c>
      <c r="E495" t="inlineStr">
        <is>
          <t>RAGUNDA</t>
        </is>
      </c>
      <c r="G495" t="n">
        <v>4.4</v>
      </c>
      <c r="H495" t="n">
        <v>0</v>
      </c>
      <c r="I495" t="n">
        <v>0</v>
      </c>
      <c r="J495" t="n">
        <v>0</v>
      </c>
      <c r="K495" t="n">
        <v>0</v>
      </c>
      <c r="L495" t="n">
        <v>0</v>
      </c>
      <c r="M495" t="n">
        <v>0</v>
      </c>
      <c r="N495" t="n">
        <v>0</v>
      </c>
      <c r="O495" t="n">
        <v>0</v>
      </c>
      <c r="P495" t="n">
        <v>0</v>
      </c>
      <c r="Q495" t="n">
        <v>0</v>
      </c>
      <c r="R495" s="2" t="inlineStr"/>
    </row>
    <row r="496" ht="15" customHeight="1">
      <c r="A496" t="inlineStr">
        <is>
          <t>A 44766-2024</t>
        </is>
      </c>
      <c r="B496" s="1" t="n">
        <v>45574.62297453704</v>
      </c>
      <c r="C496" s="1" t="n">
        <v>45981</v>
      </c>
      <c r="D496" t="inlineStr">
        <is>
          <t>JÄMTLANDS LÄN</t>
        </is>
      </c>
      <c r="E496" t="inlineStr">
        <is>
          <t>RAGUNDA</t>
        </is>
      </c>
      <c r="G496" t="n">
        <v>3.2</v>
      </c>
      <c r="H496" t="n">
        <v>0</v>
      </c>
      <c r="I496" t="n">
        <v>0</v>
      </c>
      <c r="J496" t="n">
        <v>0</v>
      </c>
      <c r="K496" t="n">
        <v>0</v>
      </c>
      <c r="L496" t="n">
        <v>0</v>
      </c>
      <c r="M496" t="n">
        <v>0</v>
      </c>
      <c r="N496" t="n">
        <v>0</v>
      </c>
      <c r="O496" t="n">
        <v>0</v>
      </c>
      <c r="P496" t="n">
        <v>0</v>
      </c>
      <c r="Q496" t="n">
        <v>0</v>
      </c>
      <c r="R496" s="2" t="inlineStr"/>
    </row>
    <row r="497" ht="15" customHeight="1">
      <c r="A497" t="inlineStr">
        <is>
          <t>A 16676-2022</t>
        </is>
      </c>
      <c r="B497" s="1" t="n">
        <v>44672.94018518519</v>
      </c>
      <c r="C497" s="1" t="n">
        <v>45981</v>
      </c>
      <c r="D497" t="inlineStr">
        <is>
          <t>JÄMTLANDS LÄN</t>
        </is>
      </c>
      <c r="E497" t="inlineStr">
        <is>
          <t>RAGUNDA</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12521-2023</t>
        </is>
      </c>
      <c r="B498" s="1" t="n">
        <v>45000</v>
      </c>
      <c r="C498" s="1" t="n">
        <v>45981</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39949-2025</t>
        </is>
      </c>
      <c r="B499" s="1" t="n">
        <v>45892.38619212963</v>
      </c>
      <c r="C499" s="1" t="n">
        <v>45981</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49092-2025</t>
        </is>
      </c>
      <c r="B500" s="1" t="n">
        <v>45937.67792824074</v>
      </c>
      <c r="C500" s="1" t="n">
        <v>45981</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55536-2024</t>
        </is>
      </c>
      <c r="B501" s="1" t="n">
        <v>45622</v>
      </c>
      <c r="C501" s="1" t="n">
        <v>45981</v>
      </c>
      <c r="D501" t="inlineStr">
        <is>
          <t>JÄMTLANDS LÄN</t>
        </is>
      </c>
      <c r="E501" t="inlineStr">
        <is>
          <t>RAGUNDA</t>
        </is>
      </c>
      <c r="G501" t="n">
        <v>0.8</v>
      </c>
      <c r="H501" t="n">
        <v>0</v>
      </c>
      <c r="I501" t="n">
        <v>0</v>
      </c>
      <c r="J501" t="n">
        <v>0</v>
      </c>
      <c r="K501" t="n">
        <v>0</v>
      </c>
      <c r="L501" t="n">
        <v>0</v>
      </c>
      <c r="M501" t="n">
        <v>0</v>
      </c>
      <c r="N501" t="n">
        <v>0</v>
      </c>
      <c r="O501" t="n">
        <v>0</v>
      </c>
      <c r="P501" t="n">
        <v>0</v>
      </c>
      <c r="Q501" t="n">
        <v>0</v>
      </c>
      <c r="R501" s="2" t="inlineStr"/>
    </row>
    <row r="502" ht="15" customHeight="1">
      <c r="A502" t="inlineStr">
        <is>
          <t>A 44597-2024</t>
        </is>
      </c>
      <c r="B502" s="1" t="n">
        <v>45574.51087962963</v>
      </c>
      <c r="C502" s="1" t="n">
        <v>45981</v>
      </c>
      <c r="D502" t="inlineStr">
        <is>
          <t>JÄMTLANDS LÄN</t>
        </is>
      </c>
      <c r="E502" t="inlineStr">
        <is>
          <t>RAGUNDA</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44598-2024</t>
        </is>
      </c>
      <c r="B503" s="1" t="n">
        <v>45574.51090277778</v>
      </c>
      <c r="C503" s="1" t="n">
        <v>45981</v>
      </c>
      <c r="D503" t="inlineStr">
        <is>
          <t>JÄMTLANDS LÄN</t>
        </is>
      </c>
      <c r="E503" t="inlineStr">
        <is>
          <t>RAGUNDA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29319-2023</t>
        </is>
      </c>
      <c r="B504" s="1" t="n">
        <v>45105</v>
      </c>
      <c r="C504" s="1" t="n">
        <v>45981</v>
      </c>
      <c r="D504" t="inlineStr">
        <is>
          <t>JÄMTLANDS LÄN</t>
        </is>
      </c>
      <c r="E504" t="inlineStr">
        <is>
          <t>RAGUNDA</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49059-2025</t>
        </is>
      </c>
      <c r="B505" s="1" t="n">
        <v>45937.64123842592</v>
      </c>
      <c r="C505" s="1" t="n">
        <v>45981</v>
      </c>
      <c r="D505" t="inlineStr">
        <is>
          <t>JÄMTLANDS LÄN</t>
        </is>
      </c>
      <c r="E505" t="inlineStr">
        <is>
          <t>RAGUNDA</t>
        </is>
      </c>
      <c r="G505" t="n">
        <v>2.1</v>
      </c>
      <c r="H505" t="n">
        <v>0</v>
      </c>
      <c r="I505" t="n">
        <v>0</v>
      </c>
      <c r="J505" t="n">
        <v>0</v>
      </c>
      <c r="K505" t="n">
        <v>0</v>
      </c>
      <c r="L505" t="n">
        <v>0</v>
      </c>
      <c r="M505" t="n">
        <v>0</v>
      </c>
      <c r="N505" t="n">
        <v>0</v>
      </c>
      <c r="O505" t="n">
        <v>0</v>
      </c>
      <c r="P505" t="n">
        <v>0</v>
      </c>
      <c r="Q505" t="n">
        <v>0</v>
      </c>
      <c r="R505" s="2" t="inlineStr"/>
    </row>
    <row r="506" ht="15" customHeight="1">
      <c r="A506" t="inlineStr">
        <is>
          <t>A 18612-2024</t>
        </is>
      </c>
      <c r="B506" s="1" t="n">
        <v>45425.96239583333</v>
      </c>
      <c r="C506" s="1" t="n">
        <v>45981</v>
      </c>
      <c r="D506" t="inlineStr">
        <is>
          <t>JÄMTLANDS LÄN</t>
        </is>
      </c>
      <c r="E506" t="inlineStr">
        <is>
          <t>RAGUNDA</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464-2023</t>
        </is>
      </c>
      <c r="B507" s="1" t="n">
        <v>44929.92489583333</v>
      </c>
      <c r="C507" s="1" t="n">
        <v>45981</v>
      </c>
      <c r="D507" t="inlineStr">
        <is>
          <t>JÄMTLANDS LÄN</t>
        </is>
      </c>
      <c r="E507" t="inlineStr">
        <is>
          <t>RAGUNDA</t>
        </is>
      </c>
      <c r="G507" t="n">
        <v>1.4</v>
      </c>
      <c r="H507" t="n">
        <v>0</v>
      </c>
      <c r="I507" t="n">
        <v>0</v>
      </c>
      <c r="J507" t="n">
        <v>0</v>
      </c>
      <c r="K507" t="n">
        <v>0</v>
      </c>
      <c r="L507" t="n">
        <v>0</v>
      </c>
      <c r="M507" t="n">
        <v>0</v>
      </c>
      <c r="N507" t="n">
        <v>0</v>
      </c>
      <c r="O507" t="n">
        <v>0</v>
      </c>
      <c r="P507" t="n">
        <v>0</v>
      </c>
      <c r="Q507" t="n">
        <v>0</v>
      </c>
      <c r="R507" s="2" t="inlineStr"/>
    </row>
    <row r="508" ht="15" customHeight="1">
      <c r="A508" t="inlineStr">
        <is>
          <t>A 49238-2025</t>
        </is>
      </c>
      <c r="B508" s="1" t="n">
        <v>45938.48231481481</v>
      </c>
      <c r="C508" s="1" t="n">
        <v>45981</v>
      </c>
      <c r="D508" t="inlineStr">
        <is>
          <t>JÄMTLANDS LÄN</t>
        </is>
      </c>
      <c r="E508" t="inlineStr">
        <is>
          <t>RAGUNDA</t>
        </is>
      </c>
      <c r="G508" t="n">
        <v>4.7</v>
      </c>
      <c r="H508" t="n">
        <v>0</v>
      </c>
      <c r="I508" t="n">
        <v>0</v>
      </c>
      <c r="J508" t="n">
        <v>0</v>
      </c>
      <c r="K508" t="n">
        <v>0</v>
      </c>
      <c r="L508" t="n">
        <v>0</v>
      </c>
      <c r="M508" t="n">
        <v>0</v>
      </c>
      <c r="N508" t="n">
        <v>0</v>
      </c>
      <c r="O508" t="n">
        <v>0</v>
      </c>
      <c r="P508" t="n">
        <v>0</v>
      </c>
      <c r="Q508" t="n">
        <v>0</v>
      </c>
      <c r="R508" s="2" t="inlineStr"/>
    </row>
    <row r="509" ht="15" customHeight="1">
      <c r="A509" t="inlineStr">
        <is>
          <t>A 53769-2023</t>
        </is>
      </c>
      <c r="B509" s="1" t="n">
        <v>45230</v>
      </c>
      <c r="C509" s="1" t="n">
        <v>45981</v>
      </c>
      <c r="D509" t="inlineStr">
        <is>
          <t>JÄMTLANDS LÄN</t>
        </is>
      </c>
      <c r="E509" t="inlineStr">
        <is>
          <t>RAGUNDA</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52228-2024</t>
        </is>
      </c>
      <c r="B510" s="1" t="n">
        <v>45608.6078587963</v>
      </c>
      <c r="C510" s="1" t="n">
        <v>45981</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18610-2024</t>
        </is>
      </c>
      <c r="B511" s="1" t="n">
        <v>45425.96230324074</v>
      </c>
      <c r="C511" s="1" t="n">
        <v>45981</v>
      </c>
      <c r="D511" t="inlineStr">
        <is>
          <t>JÄMTLANDS LÄN</t>
        </is>
      </c>
      <c r="E511" t="inlineStr">
        <is>
          <t>RAGUNDA</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40586-2025</t>
        </is>
      </c>
      <c r="B512" s="1" t="n">
        <v>45896.52478009259</v>
      </c>
      <c r="C512" s="1" t="n">
        <v>45981</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57116-2024</t>
        </is>
      </c>
      <c r="B513" s="1" t="n">
        <v>45629.36513888889</v>
      </c>
      <c r="C513" s="1" t="n">
        <v>45981</v>
      </c>
      <c r="D513" t="inlineStr">
        <is>
          <t>JÄMTLANDS LÄN</t>
        </is>
      </c>
      <c r="E513" t="inlineStr">
        <is>
          <t>RAGUNDA</t>
        </is>
      </c>
      <c r="G513" t="n">
        <v>0.6</v>
      </c>
      <c r="H513" t="n">
        <v>0</v>
      </c>
      <c r="I513" t="n">
        <v>0</v>
      </c>
      <c r="J513" t="n">
        <v>0</v>
      </c>
      <c r="K513" t="n">
        <v>0</v>
      </c>
      <c r="L513" t="n">
        <v>0</v>
      </c>
      <c r="M513" t="n">
        <v>0</v>
      </c>
      <c r="N513" t="n">
        <v>0</v>
      </c>
      <c r="O513" t="n">
        <v>0</v>
      </c>
      <c r="P513" t="n">
        <v>0</v>
      </c>
      <c r="Q513" t="n">
        <v>0</v>
      </c>
      <c r="R513" s="2" t="inlineStr"/>
    </row>
    <row r="514" ht="15" customHeight="1">
      <c r="A514" t="inlineStr">
        <is>
          <t>A 2242-2024</t>
        </is>
      </c>
      <c r="B514" s="1" t="n">
        <v>45309</v>
      </c>
      <c r="C514" s="1" t="n">
        <v>45981</v>
      </c>
      <c r="D514" t="inlineStr">
        <is>
          <t>JÄMTLANDS LÄN</t>
        </is>
      </c>
      <c r="E514" t="inlineStr">
        <is>
          <t>RAGUNDA</t>
        </is>
      </c>
      <c r="G514" t="n">
        <v>0.9</v>
      </c>
      <c r="H514" t="n">
        <v>0</v>
      </c>
      <c r="I514" t="n">
        <v>0</v>
      </c>
      <c r="J514" t="n">
        <v>0</v>
      </c>
      <c r="K514" t="n">
        <v>0</v>
      </c>
      <c r="L514" t="n">
        <v>0</v>
      </c>
      <c r="M514" t="n">
        <v>0</v>
      </c>
      <c r="N514" t="n">
        <v>0</v>
      </c>
      <c r="O514" t="n">
        <v>0</v>
      </c>
      <c r="P514" t="n">
        <v>0</v>
      </c>
      <c r="Q514" t="n">
        <v>0</v>
      </c>
      <c r="R514" s="2" t="inlineStr"/>
    </row>
    <row r="515" ht="15" customHeight="1">
      <c r="A515" t="inlineStr">
        <is>
          <t>A 2248-2024</t>
        </is>
      </c>
      <c r="B515" s="1" t="n">
        <v>45309</v>
      </c>
      <c r="C515" s="1" t="n">
        <v>45981</v>
      </c>
      <c r="D515" t="inlineStr">
        <is>
          <t>JÄMTLANDS LÄN</t>
        </is>
      </c>
      <c r="E515" t="inlineStr">
        <is>
          <t>RAGUNDA</t>
        </is>
      </c>
      <c r="G515" t="n">
        <v>4.2</v>
      </c>
      <c r="H515" t="n">
        <v>0</v>
      </c>
      <c r="I515" t="n">
        <v>0</v>
      </c>
      <c r="J515" t="n">
        <v>0</v>
      </c>
      <c r="K515" t="n">
        <v>0</v>
      </c>
      <c r="L515" t="n">
        <v>0</v>
      </c>
      <c r="M515" t="n">
        <v>0</v>
      </c>
      <c r="N515" t="n">
        <v>0</v>
      </c>
      <c r="O515" t="n">
        <v>0</v>
      </c>
      <c r="P515" t="n">
        <v>0</v>
      </c>
      <c r="Q515" t="n">
        <v>0</v>
      </c>
      <c r="R515" s="2" t="inlineStr"/>
    </row>
    <row r="516" ht="15" customHeight="1">
      <c r="A516" t="inlineStr">
        <is>
          <t>A 3104-2025</t>
        </is>
      </c>
      <c r="B516" s="1" t="n">
        <v>45678.67761574074</v>
      </c>
      <c r="C516" s="1" t="n">
        <v>45981</v>
      </c>
      <c r="D516" t="inlineStr">
        <is>
          <t>JÄMTLANDS LÄN</t>
        </is>
      </c>
      <c r="E516" t="inlineStr">
        <is>
          <t>RAGUNDA</t>
        </is>
      </c>
      <c r="F516" t="inlineStr">
        <is>
          <t>SCA</t>
        </is>
      </c>
      <c r="G516" t="n">
        <v>46.2</v>
      </c>
      <c r="H516" t="n">
        <v>0</v>
      </c>
      <c r="I516" t="n">
        <v>0</v>
      </c>
      <c r="J516" t="n">
        <v>0</v>
      </c>
      <c r="K516" t="n">
        <v>0</v>
      </c>
      <c r="L516" t="n">
        <v>0</v>
      </c>
      <c r="M516" t="n">
        <v>0</v>
      </c>
      <c r="N516" t="n">
        <v>0</v>
      </c>
      <c r="O516" t="n">
        <v>0</v>
      </c>
      <c r="P516" t="n">
        <v>0</v>
      </c>
      <c r="Q516" t="n">
        <v>0</v>
      </c>
      <c r="R516" s="2" t="inlineStr"/>
    </row>
    <row r="517" ht="15" customHeight="1">
      <c r="A517" t="inlineStr">
        <is>
          <t>A 57889-2024</t>
        </is>
      </c>
      <c r="B517" s="1" t="n">
        <v>45631.46665509259</v>
      </c>
      <c r="C517" s="1" t="n">
        <v>45981</v>
      </c>
      <c r="D517" t="inlineStr">
        <is>
          <t>JÄMTLANDS LÄN</t>
        </is>
      </c>
      <c r="E517" t="inlineStr">
        <is>
          <t>RAGUNDA</t>
        </is>
      </c>
      <c r="G517" t="n">
        <v>11.1</v>
      </c>
      <c r="H517" t="n">
        <v>0</v>
      </c>
      <c r="I517" t="n">
        <v>0</v>
      </c>
      <c r="J517" t="n">
        <v>0</v>
      </c>
      <c r="K517" t="n">
        <v>0</v>
      </c>
      <c r="L517" t="n">
        <v>0</v>
      </c>
      <c r="M517" t="n">
        <v>0</v>
      </c>
      <c r="N517" t="n">
        <v>0</v>
      </c>
      <c r="O517" t="n">
        <v>0</v>
      </c>
      <c r="P517" t="n">
        <v>0</v>
      </c>
      <c r="Q517" t="n">
        <v>0</v>
      </c>
      <c r="R517" s="2" t="inlineStr"/>
    </row>
    <row r="518" ht="15" customHeight="1">
      <c r="A518" t="inlineStr">
        <is>
          <t>A 49193-2025</t>
        </is>
      </c>
      <c r="B518" s="1" t="n">
        <v>45938.40831018519</v>
      </c>
      <c r="C518" s="1" t="n">
        <v>45981</v>
      </c>
      <c r="D518" t="inlineStr">
        <is>
          <t>JÄMTLANDS LÄN</t>
        </is>
      </c>
      <c r="E518" t="inlineStr">
        <is>
          <t>RAGUNDA</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49639-2025</t>
        </is>
      </c>
      <c r="B519" s="1" t="n">
        <v>45939.61253472222</v>
      </c>
      <c r="C519" s="1" t="n">
        <v>45981</v>
      </c>
      <c r="D519" t="inlineStr">
        <is>
          <t>JÄMTLANDS LÄN</t>
        </is>
      </c>
      <c r="E519" t="inlineStr">
        <is>
          <t>RAGUNDA</t>
        </is>
      </c>
      <c r="F519" t="inlineStr">
        <is>
          <t>Kommuner</t>
        </is>
      </c>
      <c r="G519" t="n">
        <v>13.6</v>
      </c>
      <c r="H519" t="n">
        <v>0</v>
      </c>
      <c r="I519" t="n">
        <v>0</v>
      </c>
      <c r="J519" t="n">
        <v>0</v>
      </c>
      <c r="K519" t="n">
        <v>0</v>
      </c>
      <c r="L519" t="n">
        <v>0</v>
      </c>
      <c r="M519" t="n">
        <v>0</v>
      </c>
      <c r="N519" t="n">
        <v>0</v>
      </c>
      <c r="O519" t="n">
        <v>0</v>
      </c>
      <c r="P519" t="n">
        <v>0</v>
      </c>
      <c r="Q519" t="n">
        <v>0</v>
      </c>
      <c r="R519" s="2" t="inlineStr"/>
    </row>
    <row r="520" ht="15" customHeight="1">
      <c r="A520" t="inlineStr">
        <is>
          <t>A 40246-2024</t>
        </is>
      </c>
      <c r="B520" s="1" t="n">
        <v>45554.61583333334</v>
      </c>
      <c r="C520" s="1" t="n">
        <v>45981</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19264-2025</t>
        </is>
      </c>
      <c r="B521" s="1" t="n">
        <v>45769.51087962963</v>
      </c>
      <c r="C521" s="1" t="n">
        <v>45981</v>
      </c>
      <c r="D521" t="inlineStr">
        <is>
          <t>JÄMTLANDS LÄN</t>
        </is>
      </c>
      <c r="E521" t="inlineStr">
        <is>
          <t>RAGUNDA</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4878-2022</t>
        </is>
      </c>
      <c r="B522" s="1" t="n">
        <v>44593</v>
      </c>
      <c r="C522" s="1" t="n">
        <v>45981</v>
      </c>
      <c r="D522" t="inlineStr">
        <is>
          <t>JÄMTLANDS LÄN</t>
        </is>
      </c>
      <c r="E522" t="inlineStr">
        <is>
          <t>RAGUNDA</t>
        </is>
      </c>
      <c r="G522" t="n">
        <v>21.7</v>
      </c>
      <c r="H522" t="n">
        <v>0</v>
      </c>
      <c r="I522" t="n">
        <v>0</v>
      </c>
      <c r="J522" t="n">
        <v>0</v>
      </c>
      <c r="K522" t="n">
        <v>0</v>
      </c>
      <c r="L522" t="n">
        <v>0</v>
      </c>
      <c r="M522" t="n">
        <v>0</v>
      </c>
      <c r="N522" t="n">
        <v>0</v>
      </c>
      <c r="O522" t="n">
        <v>0</v>
      </c>
      <c r="P522" t="n">
        <v>0</v>
      </c>
      <c r="Q522" t="n">
        <v>0</v>
      </c>
      <c r="R522" s="2" t="inlineStr"/>
    </row>
    <row r="523" ht="15" customHeight="1">
      <c r="A523" t="inlineStr">
        <is>
          <t>A 29263-2024</t>
        </is>
      </c>
      <c r="B523" s="1" t="n">
        <v>45482.94891203703</v>
      </c>
      <c r="C523" s="1" t="n">
        <v>45981</v>
      </c>
      <c r="D523" t="inlineStr">
        <is>
          <t>JÄMTLANDS LÄN</t>
        </is>
      </c>
      <c r="E523" t="inlineStr">
        <is>
          <t>RAGUNDA</t>
        </is>
      </c>
      <c r="F523" t="inlineStr">
        <is>
          <t>SCA</t>
        </is>
      </c>
      <c r="G523" t="n">
        <v>5.3</v>
      </c>
      <c r="H523" t="n">
        <v>0</v>
      </c>
      <c r="I523" t="n">
        <v>0</v>
      </c>
      <c r="J523" t="n">
        <v>0</v>
      </c>
      <c r="K523" t="n">
        <v>0</v>
      </c>
      <c r="L523" t="n">
        <v>0</v>
      </c>
      <c r="M523" t="n">
        <v>0</v>
      </c>
      <c r="N523" t="n">
        <v>0</v>
      </c>
      <c r="O523" t="n">
        <v>0</v>
      </c>
      <c r="P523" t="n">
        <v>0</v>
      </c>
      <c r="Q523" t="n">
        <v>0</v>
      </c>
      <c r="R523" s="2" t="inlineStr"/>
    </row>
    <row r="524" ht="15" customHeight="1">
      <c r="A524" t="inlineStr">
        <is>
          <t>A 57237-2022</t>
        </is>
      </c>
      <c r="B524" s="1" t="n">
        <v>44889</v>
      </c>
      <c r="C524" s="1" t="n">
        <v>45981</v>
      </c>
      <c r="D524" t="inlineStr">
        <is>
          <t>JÄMTLANDS LÄN</t>
        </is>
      </c>
      <c r="E524" t="inlineStr">
        <is>
          <t>RAGUNDA</t>
        </is>
      </c>
      <c r="G524" t="n">
        <v>2.2</v>
      </c>
      <c r="H524" t="n">
        <v>0</v>
      </c>
      <c r="I524" t="n">
        <v>0</v>
      </c>
      <c r="J524" t="n">
        <v>0</v>
      </c>
      <c r="K524" t="n">
        <v>0</v>
      </c>
      <c r="L524" t="n">
        <v>0</v>
      </c>
      <c r="M524" t="n">
        <v>0</v>
      </c>
      <c r="N524" t="n">
        <v>0</v>
      </c>
      <c r="O524" t="n">
        <v>0</v>
      </c>
      <c r="P524" t="n">
        <v>0</v>
      </c>
      <c r="Q524" t="n">
        <v>0</v>
      </c>
      <c r="R524" s="2" t="inlineStr"/>
    </row>
    <row r="525" ht="15" customHeight="1">
      <c r="A525" t="inlineStr">
        <is>
          <t>A 8800-2025</t>
        </is>
      </c>
      <c r="B525" s="1" t="n">
        <v>45712.65671296296</v>
      </c>
      <c r="C525" s="1" t="n">
        <v>45981</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41161-2025</t>
        </is>
      </c>
      <c r="B526" s="1" t="n">
        <v>45898.53193287037</v>
      </c>
      <c r="C526" s="1" t="n">
        <v>45981</v>
      </c>
      <c r="D526" t="inlineStr">
        <is>
          <t>JÄMTLANDS LÄN</t>
        </is>
      </c>
      <c r="E526" t="inlineStr">
        <is>
          <t>RAGUNDA</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50126-2025</t>
        </is>
      </c>
      <c r="B527" s="1" t="n">
        <v>45943.55271990741</v>
      </c>
      <c r="C527" s="1" t="n">
        <v>45981</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29265-2024</t>
        </is>
      </c>
      <c r="B528" s="1" t="n">
        <v>45482.9491087963</v>
      </c>
      <c r="C528" s="1" t="n">
        <v>45981</v>
      </c>
      <c r="D528" t="inlineStr">
        <is>
          <t>JÄMTLANDS LÄN</t>
        </is>
      </c>
      <c r="E528" t="inlineStr">
        <is>
          <t>RAGUNDA</t>
        </is>
      </c>
      <c r="F528" t="inlineStr">
        <is>
          <t>SCA</t>
        </is>
      </c>
      <c r="G528" t="n">
        <v>11.6</v>
      </c>
      <c r="H528" t="n">
        <v>0</v>
      </c>
      <c r="I528" t="n">
        <v>0</v>
      </c>
      <c r="J528" t="n">
        <v>0</v>
      </c>
      <c r="K528" t="n">
        <v>0</v>
      </c>
      <c r="L528" t="n">
        <v>0</v>
      </c>
      <c r="M528" t="n">
        <v>0</v>
      </c>
      <c r="N528" t="n">
        <v>0</v>
      </c>
      <c r="O528" t="n">
        <v>0</v>
      </c>
      <c r="P528" t="n">
        <v>0</v>
      </c>
      <c r="Q528" t="n">
        <v>0</v>
      </c>
      <c r="R528" s="2" t="inlineStr"/>
    </row>
    <row r="529" ht="15" customHeight="1">
      <c r="A529" t="inlineStr">
        <is>
          <t>A 60629-2023</t>
        </is>
      </c>
      <c r="B529" s="1" t="n">
        <v>45259</v>
      </c>
      <c r="C529" s="1" t="n">
        <v>45981</v>
      </c>
      <c r="D529" t="inlineStr">
        <is>
          <t>JÄMTLANDS LÄN</t>
        </is>
      </c>
      <c r="E529" t="inlineStr">
        <is>
          <t>RAGUNDA</t>
        </is>
      </c>
      <c r="G529" t="n">
        <v>3.4</v>
      </c>
      <c r="H529" t="n">
        <v>0</v>
      </c>
      <c r="I529" t="n">
        <v>0</v>
      </c>
      <c r="J529" t="n">
        <v>0</v>
      </c>
      <c r="K529" t="n">
        <v>0</v>
      </c>
      <c r="L529" t="n">
        <v>0</v>
      </c>
      <c r="M529" t="n">
        <v>0</v>
      </c>
      <c r="N529" t="n">
        <v>0</v>
      </c>
      <c r="O529" t="n">
        <v>0</v>
      </c>
      <c r="P529" t="n">
        <v>0</v>
      </c>
      <c r="Q529" t="n">
        <v>0</v>
      </c>
      <c r="R529" s="2" t="inlineStr"/>
    </row>
    <row r="530" ht="15" customHeight="1">
      <c r="A530" t="inlineStr">
        <is>
          <t>A 27291-2022</t>
        </is>
      </c>
      <c r="B530" s="1" t="n">
        <v>44741.94070601852</v>
      </c>
      <c r="C530" s="1" t="n">
        <v>45981</v>
      </c>
      <c r="D530" t="inlineStr">
        <is>
          <t>JÄMTLANDS LÄN</t>
        </is>
      </c>
      <c r="E530" t="inlineStr">
        <is>
          <t>RAGUNDA</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41233-2025</t>
        </is>
      </c>
      <c r="B531" s="1" t="n">
        <v>45898.59295138889</v>
      </c>
      <c r="C531" s="1" t="n">
        <v>45981</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8776-2025</t>
        </is>
      </c>
      <c r="B532" s="1" t="n">
        <v>45712.61510416667</v>
      </c>
      <c r="C532" s="1" t="n">
        <v>45981</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2133-2023</t>
        </is>
      </c>
      <c r="B533" s="1" t="n">
        <v>44939</v>
      </c>
      <c r="C533" s="1" t="n">
        <v>45981</v>
      </c>
      <c r="D533" t="inlineStr">
        <is>
          <t>JÄMTLANDS LÄN</t>
        </is>
      </c>
      <c r="E533" t="inlineStr">
        <is>
          <t>RAGUNDA</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19419-2024</t>
        </is>
      </c>
      <c r="B534" s="1" t="n">
        <v>45429</v>
      </c>
      <c r="C534" s="1" t="n">
        <v>45981</v>
      </c>
      <c r="D534" t="inlineStr">
        <is>
          <t>JÄMTLANDS LÄN</t>
        </is>
      </c>
      <c r="E534" t="inlineStr">
        <is>
          <t>RAGUNDA</t>
        </is>
      </c>
      <c r="G534" t="n">
        <v>3.5</v>
      </c>
      <c r="H534" t="n">
        <v>0</v>
      </c>
      <c r="I534" t="n">
        <v>0</v>
      </c>
      <c r="J534" t="n">
        <v>0</v>
      </c>
      <c r="K534" t="n">
        <v>0</v>
      </c>
      <c r="L534" t="n">
        <v>0</v>
      </c>
      <c r="M534" t="n">
        <v>0</v>
      </c>
      <c r="N534" t="n">
        <v>0</v>
      </c>
      <c r="O534" t="n">
        <v>0</v>
      </c>
      <c r="P534" t="n">
        <v>0</v>
      </c>
      <c r="Q534" t="n">
        <v>0</v>
      </c>
      <c r="R534" s="2" t="inlineStr"/>
    </row>
    <row r="535" ht="15" customHeight="1">
      <c r="A535" t="inlineStr">
        <is>
          <t>A 50080-2025</t>
        </is>
      </c>
      <c r="B535" s="1" t="n">
        <v>45943.469375</v>
      </c>
      <c r="C535" s="1" t="n">
        <v>45981</v>
      </c>
      <c r="D535" t="inlineStr">
        <is>
          <t>JÄMTLANDS LÄN</t>
        </is>
      </c>
      <c r="E535" t="inlineStr">
        <is>
          <t>RAGUNDA</t>
        </is>
      </c>
      <c r="F535" t="inlineStr">
        <is>
          <t>Naturvårdsverket</t>
        </is>
      </c>
      <c r="G535" t="n">
        <v>6.1</v>
      </c>
      <c r="H535" t="n">
        <v>0</v>
      </c>
      <c r="I535" t="n">
        <v>0</v>
      </c>
      <c r="J535" t="n">
        <v>0</v>
      </c>
      <c r="K535" t="n">
        <v>0</v>
      </c>
      <c r="L535" t="n">
        <v>0</v>
      </c>
      <c r="M535" t="n">
        <v>0</v>
      </c>
      <c r="N535" t="n">
        <v>0</v>
      </c>
      <c r="O535" t="n">
        <v>0</v>
      </c>
      <c r="P535" t="n">
        <v>0</v>
      </c>
      <c r="Q535" t="n">
        <v>0</v>
      </c>
      <c r="R535" s="2" t="inlineStr"/>
    </row>
    <row r="536" ht="15" customHeight="1">
      <c r="A536" t="inlineStr">
        <is>
          <t>A 50098-2025</t>
        </is>
      </c>
      <c r="B536" s="1" t="n">
        <v>45943.51086805556</v>
      </c>
      <c r="C536" s="1" t="n">
        <v>45981</v>
      </c>
      <c r="D536" t="inlineStr">
        <is>
          <t>JÄMTLANDS LÄN</t>
        </is>
      </c>
      <c r="E536" t="inlineStr">
        <is>
          <t>RAGUNDA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41262-2025</t>
        </is>
      </c>
      <c r="B537" s="1" t="n">
        <v>45898.61502314815</v>
      </c>
      <c r="C537" s="1" t="n">
        <v>45981</v>
      </c>
      <c r="D537" t="inlineStr">
        <is>
          <t>JÄMTLANDS LÄN</t>
        </is>
      </c>
      <c r="E537" t="inlineStr">
        <is>
          <t>RAGUNDA</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14821-2025</t>
        </is>
      </c>
      <c r="B538" s="1" t="n">
        <v>45743.36</v>
      </c>
      <c r="C538" s="1" t="n">
        <v>45981</v>
      </c>
      <c r="D538" t="inlineStr">
        <is>
          <t>JÄMTLANDS LÄN</t>
        </is>
      </c>
      <c r="E538" t="inlineStr">
        <is>
          <t>RAGUNDA</t>
        </is>
      </c>
      <c r="F538" t="inlineStr">
        <is>
          <t>Kyrkan</t>
        </is>
      </c>
      <c r="G538" t="n">
        <v>6.4</v>
      </c>
      <c r="H538" t="n">
        <v>0</v>
      </c>
      <c r="I538" t="n">
        <v>0</v>
      </c>
      <c r="J538" t="n">
        <v>0</v>
      </c>
      <c r="K538" t="n">
        <v>0</v>
      </c>
      <c r="L538" t="n">
        <v>0</v>
      </c>
      <c r="M538" t="n">
        <v>0</v>
      </c>
      <c r="N538" t="n">
        <v>0</v>
      </c>
      <c r="O538" t="n">
        <v>0</v>
      </c>
      <c r="P538" t="n">
        <v>0</v>
      </c>
      <c r="Q538" t="n">
        <v>0</v>
      </c>
      <c r="R538" s="2" t="inlineStr"/>
    </row>
    <row r="539" ht="15" customHeight="1">
      <c r="A539" t="inlineStr">
        <is>
          <t>A 41423-2025</t>
        </is>
      </c>
      <c r="B539" s="1" t="n">
        <v>45901.38578703703</v>
      </c>
      <c r="C539" s="1" t="n">
        <v>45981</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36375-2022</t>
        </is>
      </c>
      <c r="B540" s="1" t="n">
        <v>44803.94351851852</v>
      </c>
      <c r="C540" s="1" t="n">
        <v>45981</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49994-2025</t>
        </is>
      </c>
      <c r="B541" s="1" t="n">
        <v>45942.96922453704</v>
      </c>
      <c r="C541" s="1" t="n">
        <v>45981</v>
      </c>
      <c r="D541" t="inlineStr">
        <is>
          <t>JÄMTLANDS LÄN</t>
        </is>
      </c>
      <c r="E541" t="inlineStr">
        <is>
          <t>RAGUNDA</t>
        </is>
      </c>
      <c r="G541" t="n">
        <v>4.5</v>
      </c>
      <c r="H541" t="n">
        <v>0</v>
      </c>
      <c r="I541" t="n">
        <v>0</v>
      </c>
      <c r="J541" t="n">
        <v>0</v>
      </c>
      <c r="K541" t="n">
        <v>0</v>
      </c>
      <c r="L541" t="n">
        <v>0</v>
      </c>
      <c r="M541" t="n">
        <v>0</v>
      </c>
      <c r="N541" t="n">
        <v>0</v>
      </c>
      <c r="O541" t="n">
        <v>0</v>
      </c>
      <c r="P541" t="n">
        <v>0</v>
      </c>
      <c r="Q541" t="n">
        <v>0</v>
      </c>
      <c r="R541" s="2" t="inlineStr"/>
    </row>
    <row r="542" ht="15" customHeight="1">
      <c r="A542" t="inlineStr">
        <is>
          <t>A 19383-2025</t>
        </is>
      </c>
      <c r="B542" s="1" t="n">
        <v>45769.65688657408</v>
      </c>
      <c r="C542" s="1" t="n">
        <v>45981</v>
      </c>
      <c r="D542" t="inlineStr">
        <is>
          <t>JÄMTLANDS LÄN</t>
        </is>
      </c>
      <c r="E542" t="inlineStr">
        <is>
          <t>RAGUNDA</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50215-2025</t>
        </is>
      </c>
      <c r="B543" s="1" t="n">
        <v>45943.67842592593</v>
      </c>
      <c r="C543" s="1" t="n">
        <v>45981</v>
      </c>
      <c r="D543" t="inlineStr">
        <is>
          <t>JÄMTLANDS LÄN</t>
        </is>
      </c>
      <c r="E543" t="inlineStr">
        <is>
          <t>RAGUNDA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49229-2024</t>
        </is>
      </c>
      <c r="B544" s="1" t="n">
        <v>45595.42738425926</v>
      </c>
      <c r="C544" s="1" t="n">
        <v>45981</v>
      </c>
      <c r="D544" t="inlineStr">
        <is>
          <t>JÄMTLANDS LÄN</t>
        </is>
      </c>
      <c r="E544" t="inlineStr">
        <is>
          <t>RAGUNDA</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13700-2023</t>
        </is>
      </c>
      <c r="B545" s="1" t="n">
        <v>45006</v>
      </c>
      <c r="C545" s="1" t="n">
        <v>45981</v>
      </c>
      <c r="D545" t="inlineStr">
        <is>
          <t>JÄMTLANDS LÄN</t>
        </is>
      </c>
      <c r="E545" t="inlineStr">
        <is>
          <t>RAGUNDA</t>
        </is>
      </c>
      <c r="F545" t="inlineStr">
        <is>
          <t>SCA</t>
        </is>
      </c>
      <c r="G545" t="n">
        <v>50.3</v>
      </c>
      <c r="H545" t="n">
        <v>0</v>
      </c>
      <c r="I545" t="n">
        <v>0</v>
      </c>
      <c r="J545" t="n">
        <v>0</v>
      </c>
      <c r="K545" t="n">
        <v>0</v>
      </c>
      <c r="L545" t="n">
        <v>0</v>
      </c>
      <c r="M545" t="n">
        <v>0</v>
      </c>
      <c r="N545" t="n">
        <v>0</v>
      </c>
      <c r="O545" t="n">
        <v>0</v>
      </c>
      <c r="P545" t="n">
        <v>0</v>
      </c>
      <c r="Q545" t="n">
        <v>0</v>
      </c>
      <c r="R545" s="2" t="inlineStr"/>
    </row>
    <row r="546" ht="15" customHeight="1">
      <c r="A546" t="inlineStr">
        <is>
          <t>A 51389-2024</t>
        </is>
      </c>
      <c r="B546" s="1" t="n">
        <v>45604.40540509259</v>
      </c>
      <c r="C546" s="1" t="n">
        <v>45981</v>
      </c>
      <c r="D546" t="inlineStr">
        <is>
          <t>JÄMTLANDS LÄN</t>
        </is>
      </c>
      <c r="E546" t="inlineStr">
        <is>
          <t>RAGUNDA</t>
        </is>
      </c>
      <c r="G546" t="n">
        <v>1.7</v>
      </c>
      <c r="H546" t="n">
        <v>0</v>
      </c>
      <c r="I546" t="n">
        <v>0</v>
      </c>
      <c r="J546" t="n">
        <v>0</v>
      </c>
      <c r="K546" t="n">
        <v>0</v>
      </c>
      <c r="L546" t="n">
        <v>0</v>
      </c>
      <c r="M546" t="n">
        <v>0</v>
      </c>
      <c r="N546" t="n">
        <v>0</v>
      </c>
      <c r="O546" t="n">
        <v>0</v>
      </c>
      <c r="P546" t="n">
        <v>0</v>
      </c>
      <c r="Q546" t="n">
        <v>0</v>
      </c>
      <c r="R546" s="2" t="inlineStr"/>
    </row>
    <row r="547" ht="15" customHeight="1">
      <c r="A547" t="inlineStr">
        <is>
          <t>A 51393-2024</t>
        </is>
      </c>
      <c r="B547" s="1" t="n">
        <v>45604.41625</v>
      </c>
      <c r="C547" s="1" t="n">
        <v>45981</v>
      </c>
      <c r="D547" t="inlineStr">
        <is>
          <t>JÄMTLANDS LÄN</t>
        </is>
      </c>
      <c r="E547" t="inlineStr">
        <is>
          <t>RAGUNDA</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8679-2023</t>
        </is>
      </c>
      <c r="B548" s="1" t="n">
        <v>44977.98670138889</v>
      </c>
      <c r="C548" s="1" t="n">
        <v>45981</v>
      </c>
      <c r="D548" t="inlineStr">
        <is>
          <t>JÄMTLANDS LÄN</t>
        </is>
      </c>
      <c r="E548" t="inlineStr">
        <is>
          <t>RAGUNDA</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50125-2025</t>
        </is>
      </c>
      <c r="B549" s="1" t="n">
        <v>45943.55262731481</v>
      </c>
      <c r="C549" s="1" t="n">
        <v>45981</v>
      </c>
      <c r="D549" t="inlineStr">
        <is>
          <t>JÄMTLANDS LÄN</t>
        </is>
      </c>
      <c r="E549" t="inlineStr">
        <is>
          <t>RAGUNDA</t>
        </is>
      </c>
      <c r="F549" t="inlineStr">
        <is>
          <t>Sveaskog</t>
        </is>
      </c>
      <c r="G549" t="n">
        <v>23.2</v>
      </c>
      <c r="H549" t="n">
        <v>0</v>
      </c>
      <c r="I549" t="n">
        <v>0</v>
      </c>
      <c r="J549" t="n">
        <v>0</v>
      </c>
      <c r="K549" t="n">
        <v>0</v>
      </c>
      <c r="L549" t="n">
        <v>0</v>
      </c>
      <c r="M549" t="n">
        <v>0</v>
      </c>
      <c r="N549" t="n">
        <v>0</v>
      </c>
      <c r="O549" t="n">
        <v>0</v>
      </c>
      <c r="P549" t="n">
        <v>0</v>
      </c>
      <c r="Q549" t="n">
        <v>0</v>
      </c>
      <c r="R549" s="2" t="inlineStr"/>
    </row>
    <row r="550" ht="15" customHeight="1">
      <c r="A550" t="inlineStr">
        <is>
          <t>A 49991-2025</t>
        </is>
      </c>
      <c r="B550" s="1" t="n">
        <v>45942.91568287037</v>
      </c>
      <c r="C550" s="1" t="n">
        <v>45981</v>
      </c>
      <c r="D550" t="inlineStr">
        <is>
          <t>JÄMTLANDS LÄN</t>
        </is>
      </c>
      <c r="E550" t="inlineStr">
        <is>
          <t>RAGUNDA</t>
        </is>
      </c>
      <c r="G550" t="n">
        <v>9</v>
      </c>
      <c r="H550" t="n">
        <v>0</v>
      </c>
      <c r="I550" t="n">
        <v>0</v>
      </c>
      <c r="J550" t="n">
        <v>0</v>
      </c>
      <c r="K550" t="n">
        <v>0</v>
      </c>
      <c r="L550" t="n">
        <v>0</v>
      </c>
      <c r="M550" t="n">
        <v>0</v>
      </c>
      <c r="N550" t="n">
        <v>0</v>
      </c>
      <c r="O550" t="n">
        <v>0</v>
      </c>
      <c r="P550" t="n">
        <v>0</v>
      </c>
      <c r="Q550" t="n">
        <v>0</v>
      </c>
      <c r="R550" s="2" t="inlineStr"/>
    </row>
    <row r="551" ht="15" customHeight="1">
      <c r="A551" t="inlineStr">
        <is>
          <t>A 49993-2025</t>
        </is>
      </c>
      <c r="B551" s="1" t="n">
        <v>45942.94371527778</v>
      </c>
      <c r="C551" s="1" t="n">
        <v>45981</v>
      </c>
      <c r="D551" t="inlineStr">
        <is>
          <t>JÄMTLANDS LÄN</t>
        </is>
      </c>
      <c r="E551" t="inlineStr">
        <is>
          <t>RAGUNDA</t>
        </is>
      </c>
      <c r="G551" t="n">
        <v>1.5</v>
      </c>
      <c r="H551" t="n">
        <v>0</v>
      </c>
      <c r="I551" t="n">
        <v>0</v>
      </c>
      <c r="J551" t="n">
        <v>0</v>
      </c>
      <c r="K551" t="n">
        <v>0</v>
      </c>
      <c r="L551" t="n">
        <v>0</v>
      </c>
      <c r="M551" t="n">
        <v>0</v>
      </c>
      <c r="N551" t="n">
        <v>0</v>
      </c>
      <c r="O551" t="n">
        <v>0</v>
      </c>
      <c r="P551" t="n">
        <v>0</v>
      </c>
      <c r="Q551" t="n">
        <v>0</v>
      </c>
      <c r="R551" s="2" t="inlineStr"/>
    </row>
    <row r="552" ht="15" customHeight="1">
      <c r="A552" t="inlineStr">
        <is>
          <t>A 22388-2025</t>
        </is>
      </c>
      <c r="B552" s="1" t="n">
        <v>45786.51077546296</v>
      </c>
      <c r="C552" s="1" t="n">
        <v>45981</v>
      </c>
      <c r="D552" t="inlineStr">
        <is>
          <t>JÄMTLANDS LÄN</t>
        </is>
      </c>
      <c r="E552" t="inlineStr">
        <is>
          <t>RAGUNDA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9325-2024</t>
        </is>
      </c>
      <c r="B553" s="1" t="n">
        <v>45358.95813657407</v>
      </c>
      <c r="C553" s="1" t="n">
        <v>45981</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50081-2025</t>
        </is>
      </c>
      <c r="B554" s="1" t="n">
        <v>45943.46954861111</v>
      </c>
      <c r="C554" s="1" t="n">
        <v>45981</v>
      </c>
      <c r="D554" t="inlineStr">
        <is>
          <t>JÄMTLANDS LÄN</t>
        </is>
      </c>
      <c r="E554" t="inlineStr">
        <is>
          <t>RAGUNDA</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5930-2025</t>
        </is>
      </c>
      <c r="B555" s="1" t="n">
        <v>45695.44724537037</v>
      </c>
      <c r="C555" s="1" t="n">
        <v>45981</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49995-2025</t>
        </is>
      </c>
      <c r="B556" s="1" t="n">
        <v>45943.00986111111</v>
      </c>
      <c r="C556" s="1" t="n">
        <v>45981</v>
      </c>
      <c r="D556" t="inlineStr">
        <is>
          <t>JÄMTLANDS LÄN</t>
        </is>
      </c>
      <c r="E556" t="inlineStr">
        <is>
          <t>RAGUNDA</t>
        </is>
      </c>
      <c r="G556" t="n">
        <v>2.5</v>
      </c>
      <c r="H556" t="n">
        <v>0</v>
      </c>
      <c r="I556" t="n">
        <v>0</v>
      </c>
      <c r="J556" t="n">
        <v>0</v>
      </c>
      <c r="K556" t="n">
        <v>0</v>
      </c>
      <c r="L556" t="n">
        <v>0</v>
      </c>
      <c r="M556" t="n">
        <v>0</v>
      </c>
      <c r="N556" t="n">
        <v>0</v>
      </c>
      <c r="O556" t="n">
        <v>0</v>
      </c>
      <c r="P556" t="n">
        <v>0</v>
      </c>
      <c r="Q556" t="n">
        <v>0</v>
      </c>
      <c r="R556" s="2" t="inlineStr"/>
    </row>
    <row r="557" ht="15" customHeight="1">
      <c r="A557" t="inlineStr">
        <is>
          <t>A 50055-2025</t>
        </is>
      </c>
      <c r="B557" s="1" t="n">
        <v>45943.43287037037</v>
      </c>
      <c r="C557" s="1" t="n">
        <v>45981</v>
      </c>
      <c r="D557" t="inlineStr">
        <is>
          <t>JÄMTLANDS LÄN</t>
        </is>
      </c>
      <c r="E557" t="inlineStr">
        <is>
          <t>RAGUNDA</t>
        </is>
      </c>
      <c r="G557" t="n">
        <v>17.6</v>
      </c>
      <c r="H557" t="n">
        <v>0</v>
      </c>
      <c r="I557" t="n">
        <v>0</v>
      </c>
      <c r="J557" t="n">
        <v>0</v>
      </c>
      <c r="K557" t="n">
        <v>0</v>
      </c>
      <c r="L557" t="n">
        <v>0</v>
      </c>
      <c r="M557" t="n">
        <v>0</v>
      </c>
      <c r="N557" t="n">
        <v>0</v>
      </c>
      <c r="O557" t="n">
        <v>0</v>
      </c>
      <c r="P557" t="n">
        <v>0</v>
      </c>
      <c r="Q557" t="n">
        <v>0</v>
      </c>
      <c r="R557" s="2" t="inlineStr"/>
    </row>
    <row r="558" ht="15" customHeight="1">
      <c r="A558" t="inlineStr">
        <is>
          <t>A 57170-2024</t>
        </is>
      </c>
      <c r="B558" s="1" t="n">
        <v>45629.42759259259</v>
      </c>
      <c r="C558" s="1" t="n">
        <v>45981</v>
      </c>
      <c r="D558" t="inlineStr">
        <is>
          <t>JÄMTLANDS LÄN</t>
        </is>
      </c>
      <c r="E558" t="inlineStr">
        <is>
          <t>RAGUNDA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41424-2025</t>
        </is>
      </c>
      <c r="B559" s="1" t="n">
        <v>45901.38584490741</v>
      </c>
      <c r="C559" s="1" t="n">
        <v>45981</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41140-2025</t>
        </is>
      </c>
      <c r="B560" s="1" t="n">
        <v>45898.49012731481</v>
      </c>
      <c r="C560" s="1" t="n">
        <v>45981</v>
      </c>
      <c r="D560" t="inlineStr">
        <is>
          <t>JÄMTLANDS LÄN</t>
        </is>
      </c>
      <c r="E560" t="inlineStr">
        <is>
          <t>RAGUNDA</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41422-2025</t>
        </is>
      </c>
      <c r="B561" s="1" t="n">
        <v>45901.38572916666</v>
      </c>
      <c r="C561" s="1" t="n">
        <v>45981</v>
      </c>
      <c r="D561" t="inlineStr">
        <is>
          <t>JÄMTLANDS LÄN</t>
        </is>
      </c>
      <c r="E561" t="inlineStr">
        <is>
          <t>RAGUNDA</t>
        </is>
      </c>
      <c r="G561" t="n">
        <v>4.3</v>
      </c>
      <c r="H561" t="n">
        <v>0</v>
      </c>
      <c r="I561" t="n">
        <v>0</v>
      </c>
      <c r="J561" t="n">
        <v>0</v>
      </c>
      <c r="K561" t="n">
        <v>0</v>
      </c>
      <c r="L561" t="n">
        <v>0</v>
      </c>
      <c r="M561" t="n">
        <v>0</v>
      </c>
      <c r="N561" t="n">
        <v>0</v>
      </c>
      <c r="O561" t="n">
        <v>0</v>
      </c>
      <c r="P561" t="n">
        <v>0</v>
      </c>
      <c r="Q561" t="n">
        <v>0</v>
      </c>
      <c r="R561" s="2" t="inlineStr"/>
    </row>
    <row r="562" ht="15" customHeight="1">
      <c r="A562" t="inlineStr">
        <is>
          <t>A 41876-2025</t>
        </is>
      </c>
      <c r="B562" s="1" t="n">
        <v>45903.34555555556</v>
      </c>
      <c r="C562" s="1" t="n">
        <v>45981</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20987-2023</t>
        </is>
      </c>
      <c r="B563" s="1" t="n">
        <v>45056</v>
      </c>
      <c r="C563" s="1" t="n">
        <v>45981</v>
      </c>
      <c r="D563" t="inlineStr">
        <is>
          <t>JÄMTLANDS LÄN</t>
        </is>
      </c>
      <c r="E563" t="inlineStr">
        <is>
          <t>RAGUNDA</t>
        </is>
      </c>
      <c r="G563" t="n">
        <v>1.1</v>
      </c>
      <c r="H563" t="n">
        <v>0</v>
      </c>
      <c r="I563" t="n">
        <v>0</v>
      </c>
      <c r="J563" t="n">
        <v>0</v>
      </c>
      <c r="K563" t="n">
        <v>0</v>
      </c>
      <c r="L563" t="n">
        <v>0</v>
      </c>
      <c r="M563" t="n">
        <v>0</v>
      </c>
      <c r="N563" t="n">
        <v>0</v>
      </c>
      <c r="O563" t="n">
        <v>0</v>
      </c>
      <c r="P563" t="n">
        <v>0</v>
      </c>
      <c r="Q563" t="n">
        <v>0</v>
      </c>
      <c r="R563" s="2" t="inlineStr"/>
    </row>
    <row r="564" ht="15" customHeight="1">
      <c r="A564" t="inlineStr">
        <is>
          <t>A 20994-2023</t>
        </is>
      </c>
      <c r="B564" s="1" t="n">
        <v>45056</v>
      </c>
      <c r="C564" s="1" t="n">
        <v>45981</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55669-2023</t>
        </is>
      </c>
      <c r="B565" s="1" t="n">
        <v>45238.96797453704</v>
      </c>
      <c r="C565" s="1" t="n">
        <v>45981</v>
      </c>
      <c r="D565" t="inlineStr">
        <is>
          <t>JÄMTLANDS LÄN</t>
        </is>
      </c>
      <c r="E565" t="inlineStr">
        <is>
          <t>RAGUNDA</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65341-2020</t>
        </is>
      </c>
      <c r="B566" s="1" t="n">
        <v>44173</v>
      </c>
      <c r="C566" s="1" t="n">
        <v>45981</v>
      </c>
      <c r="D566" t="inlineStr">
        <is>
          <t>JÄMTLANDS LÄN</t>
        </is>
      </c>
      <c r="E566" t="inlineStr">
        <is>
          <t>RAGUNDA</t>
        </is>
      </c>
      <c r="G566" t="n">
        <v>2.6</v>
      </c>
      <c r="H566" t="n">
        <v>0</v>
      </c>
      <c r="I566" t="n">
        <v>0</v>
      </c>
      <c r="J566" t="n">
        <v>0</v>
      </c>
      <c r="K566" t="n">
        <v>0</v>
      </c>
      <c r="L566" t="n">
        <v>0</v>
      </c>
      <c r="M566" t="n">
        <v>0</v>
      </c>
      <c r="N566" t="n">
        <v>0</v>
      </c>
      <c r="O566" t="n">
        <v>0</v>
      </c>
      <c r="P566" t="n">
        <v>0</v>
      </c>
      <c r="Q566" t="n">
        <v>0</v>
      </c>
      <c r="R566" s="2" t="inlineStr"/>
    </row>
    <row r="567" ht="15" customHeight="1">
      <c r="A567" t="inlineStr">
        <is>
          <t>A 32063-2024</t>
        </is>
      </c>
      <c r="B567" s="1" t="n">
        <v>45510</v>
      </c>
      <c r="C567" s="1" t="n">
        <v>45981</v>
      </c>
      <c r="D567" t="inlineStr">
        <is>
          <t>JÄMTLANDS LÄN</t>
        </is>
      </c>
      <c r="E567" t="inlineStr">
        <is>
          <t>RAGUNDA</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10641-2024</t>
        </is>
      </c>
      <c r="B568" s="1" t="n">
        <v>45367.69850694444</v>
      </c>
      <c r="C568" s="1" t="n">
        <v>45981</v>
      </c>
      <c r="D568" t="inlineStr">
        <is>
          <t>JÄMTLANDS LÄN</t>
        </is>
      </c>
      <c r="E568" t="inlineStr">
        <is>
          <t>RAGUNDA</t>
        </is>
      </c>
      <c r="G568" t="n">
        <v>0.9</v>
      </c>
      <c r="H568" t="n">
        <v>0</v>
      </c>
      <c r="I568" t="n">
        <v>0</v>
      </c>
      <c r="J568" t="n">
        <v>0</v>
      </c>
      <c r="K568" t="n">
        <v>0</v>
      </c>
      <c r="L568" t="n">
        <v>0</v>
      </c>
      <c r="M568" t="n">
        <v>0</v>
      </c>
      <c r="N568" t="n">
        <v>0</v>
      </c>
      <c r="O568" t="n">
        <v>0</v>
      </c>
      <c r="P568" t="n">
        <v>0</v>
      </c>
      <c r="Q568" t="n">
        <v>0</v>
      </c>
      <c r="R568" s="2" t="inlineStr"/>
    </row>
    <row r="569" ht="15" customHeight="1">
      <c r="A569" t="inlineStr">
        <is>
          <t>A 10644-2024</t>
        </is>
      </c>
      <c r="B569" s="1" t="n">
        <v>45367.71348379629</v>
      </c>
      <c r="C569" s="1" t="n">
        <v>45981</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20426-2024</t>
        </is>
      </c>
      <c r="B570" s="1" t="n">
        <v>45435</v>
      </c>
      <c r="C570" s="1" t="n">
        <v>45981</v>
      </c>
      <c r="D570" t="inlineStr">
        <is>
          <t>JÄMTLANDS LÄN</t>
        </is>
      </c>
      <c r="E570" t="inlineStr">
        <is>
          <t>RAGUNDA</t>
        </is>
      </c>
      <c r="G570" t="n">
        <v>2.1</v>
      </c>
      <c r="H570" t="n">
        <v>0</v>
      </c>
      <c r="I570" t="n">
        <v>0</v>
      </c>
      <c r="J570" t="n">
        <v>0</v>
      </c>
      <c r="K570" t="n">
        <v>0</v>
      </c>
      <c r="L570" t="n">
        <v>0</v>
      </c>
      <c r="M570" t="n">
        <v>0</v>
      </c>
      <c r="N570" t="n">
        <v>0</v>
      </c>
      <c r="O570" t="n">
        <v>0</v>
      </c>
      <c r="P570" t="n">
        <v>0</v>
      </c>
      <c r="Q570" t="n">
        <v>0</v>
      </c>
      <c r="R570" s="2" t="inlineStr"/>
    </row>
    <row r="571" ht="15" customHeight="1">
      <c r="A571" t="inlineStr">
        <is>
          <t>A 8795-2022</t>
        </is>
      </c>
      <c r="B571" s="1" t="n">
        <v>44614</v>
      </c>
      <c r="C571" s="1" t="n">
        <v>45981</v>
      </c>
      <c r="D571" t="inlineStr">
        <is>
          <t>JÄMTLANDS LÄN</t>
        </is>
      </c>
      <c r="E571" t="inlineStr">
        <is>
          <t>RAGUNDA</t>
        </is>
      </c>
      <c r="G571" t="n">
        <v>3.9</v>
      </c>
      <c r="H571" t="n">
        <v>0</v>
      </c>
      <c r="I571" t="n">
        <v>0</v>
      </c>
      <c r="J571" t="n">
        <v>0</v>
      </c>
      <c r="K571" t="n">
        <v>0</v>
      </c>
      <c r="L571" t="n">
        <v>0</v>
      </c>
      <c r="M571" t="n">
        <v>0</v>
      </c>
      <c r="N571" t="n">
        <v>0</v>
      </c>
      <c r="O571" t="n">
        <v>0</v>
      </c>
      <c r="P571" t="n">
        <v>0</v>
      </c>
      <c r="Q571" t="n">
        <v>0</v>
      </c>
      <c r="R571" s="2" t="inlineStr"/>
    </row>
    <row r="572" ht="15" customHeight="1">
      <c r="A572" t="inlineStr">
        <is>
          <t>A 41656-2025</t>
        </is>
      </c>
      <c r="B572" s="1" t="n">
        <v>45902.34423611111</v>
      </c>
      <c r="C572" s="1" t="n">
        <v>45981</v>
      </c>
      <c r="D572" t="inlineStr">
        <is>
          <t>JÄMTLANDS LÄN</t>
        </is>
      </c>
      <c r="E572" t="inlineStr">
        <is>
          <t>RAGUNDA</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50260-2025</t>
        </is>
      </c>
      <c r="B573" s="1" t="n">
        <v>45944.34515046296</v>
      </c>
      <c r="C573" s="1" t="n">
        <v>45981</v>
      </c>
      <c r="D573" t="inlineStr">
        <is>
          <t>JÄMTLANDS LÄN</t>
        </is>
      </c>
      <c r="E573" t="inlineStr">
        <is>
          <t>RAGUNDA</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17742-2022</t>
        </is>
      </c>
      <c r="B574" s="1" t="n">
        <v>44680.95246527778</v>
      </c>
      <c r="C574" s="1" t="n">
        <v>45981</v>
      </c>
      <c r="D574" t="inlineStr">
        <is>
          <t>JÄMTLANDS LÄN</t>
        </is>
      </c>
      <c r="E574" t="inlineStr">
        <is>
          <t>RAGUNDA</t>
        </is>
      </c>
      <c r="F574" t="inlineStr">
        <is>
          <t>SCA</t>
        </is>
      </c>
      <c r="G574" t="n">
        <v>7.2</v>
      </c>
      <c r="H574" t="n">
        <v>0</v>
      </c>
      <c r="I574" t="n">
        <v>0</v>
      </c>
      <c r="J574" t="n">
        <v>0</v>
      </c>
      <c r="K574" t="n">
        <v>0</v>
      </c>
      <c r="L574" t="n">
        <v>0</v>
      </c>
      <c r="M574" t="n">
        <v>0</v>
      </c>
      <c r="N574" t="n">
        <v>0</v>
      </c>
      <c r="O574" t="n">
        <v>0</v>
      </c>
      <c r="P574" t="n">
        <v>0</v>
      </c>
      <c r="Q574" t="n">
        <v>0</v>
      </c>
      <c r="R574" s="2" t="inlineStr"/>
    </row>
    <row r="575" ht="15" customHeight="1">
      <c r="A575" t="inlineStr">
        <is>
          <t>A 22898-2025</t>
        </is>
      </c>
      <c r="B575" s="1" t="n">
        <v>45790.40670138889</v>
      </c>
      <c r="C575" s="1" t="n">
        <v>45981</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23253-2025</t>
        </is>
      </c>
      <c r="B576" s="1" t="n">
        <v>45791.53238425926</v>
      </c>
      <c r="C576" s="1" t="n">
        <v>45981</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23413-2025</t>
        </is>
      </c>
      <c r="B577" s="1" t="n">
        <v>45792.34606481482</v>
      </c>
      <c r="C577" s="1" t="n">
        <v>45981</v>
      </c>
      <c r="D577" t="inlineStr">
        <is>
          <t>JÄMTLANDS LÄN</t>
        </is>
      </c>
      <c r="E577" t="inlineStr">
        <is>
          <t>RAGUNDA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23586-2025</t>
        </is>
      </c>
      <c r="B578" s="1" t="n">
        <v>45792.63584490741</v>
      </c>
      <c r="C578" s="1" t="n">
        <v>45981</v>
      </c>
      <c r="D578" t="inlineStr">
        <is>
          <t>JÄMTLANDS LÄN</t>
        </is>
      </c>
      <c r="E578" t="inlineStr">
        <is>
          <t>RAGUNDA</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23841-2025</t>
        </is>
      </c>
      <c r="B579" s="1" t="n">
        <v>45793.61523148148</v>
      </c>
      <c r="C579" s="1" t="n">
        <v>45981</v>
      </c>
      <c r="D579" t="inlineStr">
        <is>
          <t>JÄMTLANDS LÄN</t>
        </is>
      </c>
      <c r="E579" t="inlineStr">
        <is>
          <t>RAGUNDA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35265-2023</t>
        </is>
      </c>
      <c r="B580" s="1" t="n">
        <v>45145.95326388889</v>
      </c>
      <c r="C580" s="1" t="n">
        <v>45981</v>
      </c>
      <c r="D580" t="inlineStr">
        <is>
          <t>JÄMTLANDS LÄN</t>
        </is>
      </c>
      <c r="E580" t="inlineStr">
        <is>
          <t>RAGUNDA</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23507-2025</t>
        </is>
      </c>
      <c r="B581" s="1" t="n">
        <v>45792.49023148148</v>
      </c>
      <c r="C581" s="1" t="n">
        <v>45981</v>
      </c>
      <c r="D581" t="inlineStr">
        <is>
          <t>JÄMTLANDS LÄN</t>
        </is>
      </c>
      <c r="E581" t="inlineStr">
        <is>
          <t>RAGUNDA</t>
        </is>
      </c>
      <c r="F581" t="inlineStr">
        <is>
          <t>SCA</t>
        </is>
      </c>
      <c r="G581" t="n">
        <v>16.4</v>
      </c>
      <c r="H581" t="n">
        <v>0</v>
      </c>
      <c r="I581" t="n">
        <v>0</v>
      </c>
      <c r="J581" t="n">
        <v>0</v>
      </c>
      <c r="K581" t="n">
        <v>0</v>
      </c>
      <c r="L581" t="n">
        <v>0</v>
      </c>
      <c r="M581" t="n">
        <v>0</v>
      </c>
      <c r="N581" t="n">
        <v>0</v>
      </c>
      <c r="O581" t="n">
        <v>0</v>
      </c>
      <c r="P581" t="n">
        <v>0</v>
      </c>
      <c r="Q581" t="n">
        <v>0</v>
      </c>
      <c r="R581" s="2" t="inlineStr"/>
    </row>
    <row r="582" ht="15" customHeight="1">
      <c r="A582" t="inlineStr">
        <is>
          <t>A 23840-2025</t>
        </is>
      </c>
      <c r="B582" s="1" t="n">
        <v>45793</v>
      </c>
      <c r="C582" s="1" t="n">
        <v>45981</v>
      </c>
      <c r="D582" t="inlineStr">
        <is>
          <t>JÄMTLANDS LÄN</t>
        </is>
      </c>
      <c r="E582" t="inlineStr">
        <is>
          <t>RAGUNDA</t>
        </is>
      </c>
      <c r="G582" t="n">
        <v>0.8</v>
      </c>
      <c r="H582" t="n">
        <v>0</v>
      </c>
      <c r="I582" t="n">
        <v>0</v>
      </c>
      <c r="J582" t="n">
        <v>0</v>
      </c>
      <c r="K582" t="n">
        <v>0</v>
      </c>
      <c r="L582" t="n">
        <v>0</v>
      </c>
      <c r="M582" t="n">
        <v>0</v>
      </c>
      <c r="N582" t="n">
        <v>0</v>
      </c>
      <c r="O582" t="n">
        <v>0</v>
      </c>
      <c r="P582" t="n">
        <v>0</v>
      </c>
      <c r="Q582" t="n">
        <v>0</v>
      </c>
      <c r="R582" s="2" t="inlineStr"/>
    </row>
    <row r="583" ht="15" customHeight="1">
      <c r="A583" t="inlineStr">
        <is>
          <t>A 23654-2025</t>
        </is>
      </c>
      <c r="B583" s="1" t="n">
        <v>45792.71905092592</v>
      </c>
      <c r="C583" s="1" t="n">
        <v>45981</v>
      </c>
      <c r="D583" t="inlineStr">
        <is>
          <t>JÄMTLANDS LÄN</t>
        </is>
      </c>
      <c r="E583" t="inlineStr">
        <is>
          <t>RAGUNDA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5148-2023</t>
        </is>
      </c>
      <c r="B584" s="1" t="n">
        <v>44958</v>
      </c>
      <c r="C584" s="1" t="n">
        <v>45981</v>
      </c>
      <c r="D584" t="inlineStr">
        <is>
          <t>JÄMTLANDS LÄN</t>
        </is>
      </c>
      <c r="E584" t="inlineStr">
        <is>
          <t>RAGUNDA</t>
        </is>
      </c>
      <c r="G584" t="n">
        <v>2.9</v>
      </c>
      <c r="H584" t="n">
        <v>0</v>
      </c>
      <c r="I584" t="n">
        <v>0</v>
      </c>
      <c r="J584" t="n">
        <v>0</v>
      </c>
      <c r="K584" t="n">
        <v>0</v>
      </c>
      <c r="L584" t="n">
        <v>0</v>
      </c>
      <c r="M584" t="n">
        <v>0</v>
      </c>
      <c r="N584" t="n">
        <v>0</v>
      </c>
      <c r="O584" t="n">
        <v>0</v>
      </c>
      <c r="P584" t="n">
        <v>0</v>
      </c>
      <c r="Q584" t="n">
        <v>0</v>
      </c>
      <c r="R584" s="2" t="inlineStr"/>
    </row>
    <row r="585" ht="15" customHeight="1">
      <c r="A585" t="inlineStr">
        <is>
          <t>A 23405-2025</t>
        </is>
      </c>
      <c r="B585" s="1" t="n">
        <v>45792.34527777778</v>
      </c>
      <c r="C585" s="1" t="n">
        <v>45981</v>
      </c>
      <c r="D585" t="inlineStr">
        <is>
          <t>JÄMTLANDS LÄN</t>
        </is>
      </c>
      <c r="E585" t="inlineStr">
        <is>
          <t>RAGUNDA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66471-2021</t>
        </is>
      </c>
      <c r="B586" s="1" t="n">
        <v>44518</v>
      </c>
      <c r="C586" s="1" t="n">
        <v>45981</v>
      </c>
      <c r="D586" t="inlineStr">
        <is>
          <t>JÄMTLANDS LÄN</t>
        </is>
      </c>
      <c r="E586" t="inlineStr">
        <is>
          <t>RAGUNDA</t>
        </is>
      </c>
      <c r="G586" t="n">
        <v>13.4</v>
      </c>
      <c r="H586" t="n">
        <v>0</v>
      </c>
      <c r="I586" t="n">
        <v>0</v>
      </c>
      <c r="J586" t="n">
        <v>0</v>
      </c>
      <c r="K586" t="n">
        <v>0</v>
      </c>
      <c r="L586" t="n">
        <v>0</v>
      </c>
      <c r="M586" t="n">
        <v>0</v>
      </c>
      <c r="N586" t="n">
        <v>0</v>
      </c>
      <c r="O586" t="n">
        <v>0</v>
      </c>
      <c r="P586" t="n">
        <v>0</v>
      </c>
      <c r="Q586" t="n">
        <v>0</v>
      </c>
      <c r="R586" s="2" t="inlineStr"/>
    </row>
    <row r="587" ht="15" customHeight="1">
      <c r="A587" t="inlineStr">
        <is>
          <t>A 18778-2024</t>
        </is>
      </c>
      <c r="B587" s="1" t="n">
        <v>45426</v>
      </c>
      <c r="C587" s="1" t="n">
        <v>45981</v>
      </c>
      <c r="D587" t="inlineStr">
        <is>
          <t>JÄMTLANDS LÄN</t>
        </is>
      </c>
      <c r="E587" t="inlineStr">
        <is>
          <t>RAGUNDA</t>
        </is>
      </c>
      <c r="G587" t="n">
        <v>0.9</v>
      </c>
      <c r="H587" t="n">
        <v>0</v>
      </c>
      <c r="I587" t="n">
        <v>0</v>
      </c>
      <c r="J587" t="n">
        <v>0</v>
      </c>
      <c r="K587" t="n">
        <v>0</v>
      </c>
      <c r="L587" t="n">
        <v>0</v>
      </c>
      <c r="M587" t="n">
        <v>0</v>
      </c>
      <c r="N587" t="n">
        <v>0</v>
      </c>
      <c r="O587" t="n">
        <v>0</v>
      </c>
      <c r="P587" t="n">
        <v>0</v>
      </c>
      <c r="Q587" t="n">
        <v>0</v>
      </c>
      <c r="R587" s="2" t="inlineStr"/>
    </row>
    <row r="588" ht="15" customHeight="1">
      <c r="A588" t="inlineStr">
        <is>
          <t>A 59556-2024</t>
        </is>
      </c>
      <c r="B588" s="1" t="n">
        <v>45638.63600694444</v>
      </c>
      <c r="C588" s="1" t="n">
        <v>45981</v>
      </c>
      <c r="D588" t="inlineStr">
        <is>
          <t>JÄMTLANDS LÄN</t>
        </is>
      </c>
      <c r="E588" t="inlineStr">
        <is>
          <t>RAGUNDA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30825-2023</t>
        </is>
      </c>
      <c r="B589" s="1" t="n">
        <v>45112.94310185185</v>
      </c>
      <c r="C589" s="1" t="n">
        <v>45981</v>
      </c>
      <c r="D589" t="inlineStr">
        <is>
          <t>JÄMTLANDS LÄN</t>
        </is>
      </c>
      <c r="E589" t="inlineStr">
        <is>
          <t>RAGUNDA</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18284-2025</t>
        </is>
      </c>
      <c r="B590" s="1" t="n">
        <v>45762.39876157408</v>
      </c>
      <c r="C590" s="1" t="n">
        <v>45981</v>
      </c>
      <c r="D590" t="inlineStr">
        <is>
          <t>JÄMTLANDS LÄN</t>
        </is>
      </c>
      <c r="E590" t="inlineStr">
        <is>
          <t>RAGUNDA</t>
        </is>
      </c>
      <c r="G590" t="n">
        <v>0.2</v>
      </c>
      <c r="H590" t="n">
        <v>0</v>
      </c>
      <c r="I590" t="n">
        <v>0</v>
      </c>
      <c r="J590" t="n">
        <v>0</v>
      </c>
      <c r="K590" t="n">
        <v>0</v>
      </c>
      <c r="L590" t="n">
        <v>0</v>
      </c>
      <c r="M590" t="n">
        <v>0</v>
      </c>
      <c r="N590" t="n">
        <v>0</v>
      </c>
      <c r="O590" t="n">
        <v>0</v>
      </c>
      <c r="P590" t="n">
        <v>0</v>
      </c>
      <c r="Q590" t="n">
        <v>0</v>
      </c>
      <c r="R590" s="2" t="inlineStr"/>
      <c r="U590">
        <f>HYPERLINK("https://klasma.github.io/Logging_2303/knärot/A 18284-2025 karta knärot.png", "A 18284-2025")</f>
        <v/>
      </c>
      <c r="V590">
        <f>HYPERLINK("https://klasma.github.io/Logging_2303/klagomål/A 18284-2025 FSC-klagomål.docx", "A 18284-2025")</f>
        <v/>
      </c>
      <c r="W590">
        <f>HYPERLINK("https://klasma.github.io/Logging_2303/klagomålsmail/A 18284-2025 FSC-klagomål mail.docx", "A 18284-2025")</f>
        <v/>
      </c>
      <c r="X590">
        <f>HYPERLINK("https://klasma.github.io/Logging_2303/tillsyn/A 18284-2025 tillsynsbegäran.docx", "A 18284-2025")</f>
        <v/>
      </c>
      <c r="Y590">
        <f>HYPERLINK("https://klasma.github.io/Logging_2303/tillsynsmail/A 18284-2025 tillsynsbegäran mail.docx", "A 18284-2025")</f>
        <v/>
      </c>
    </row>
    <row r="591" ht="15" customHeight="1">
      <c r="A591" t="inlineStr">
        <is>
          <t>A 19263-2025</t>
        </is>
      </c>
      <c r="B591" s="1" t="n">
        <v>45769.51075231482</v>
      </c>
      <c r="C591" s="1" t="n">
        <v>45981</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24158-2025</t>
        </is>
      </c>
      <c r="B592" s="1" t="n">
        <v>45796</v>
      </c>
      <c r="C592" s="1" t="n">
        <v>45981</v>
      </c>
      <c r="D592" t="inlineStr">
        <is>
          <t>JÄMTLANDS LÄN</t>
        </is>
      </c>
      <c r="E592" t="inlineStr">
        <is>
          <t>RAGUNDA</t>
        </is>
      </c>
      <c r="G592" t="n">
        <v>2.9</v>
      </c>
      <c r="H592" t="n">
        <v>0</v>
      </c>
      <c r="I592" t="n">
        <v>0</v>
      </c>
      <c r="J592" t="n">
        <v>0</v>
      </c>
      <c r="K592" t="n">
        <v>0</v>
      </c>
      <c r="L592" t="n">
        <v>0</v>
      </c>
      <c r="M592" t="n">
        <v>0</v>
      </c>
      <c r="N592" t="n">
        <v>0</v>
      </c>
      <c r="O592" t="n">
        <v>0</v>
      </c>
      <c r="P592" t="n">
        <v>0</v>
      </c>
      <c r="Q592" t="n">
        <v>0</v>
      </c>
      <c r="R592" s="2" t="inlineStr"/>
      <c r="U592">
        <f>HYPERLINK("https://klasma.github.io/Logging_2303/knärot/A 24158-2025 karta knärot.png", "A 24158-2025")</f>
        <v/>
      </c>
      <c r="V592">
        <f>HYPERLINK("https://klasma.github.io/Logging_2303/klagomål/A 24158-2025 FSC-klagomål.docx", "A 24158-2025")</f>
        <v/>
      </c>
      <c r="W592">
        <f>HYPERLINK("https://klasma.github.io/Logging_2303/klagomålsmail/A 24158-2025 FSC-klagomål mail.docx", "A 24158-2025")</f>
        <v/>
      </c>
      <c r="X592">
        <f>HYPERLINK("https://klasma.github.io/Logging_2303/tillsyn/A 24158-2025 tillsynsbegäran.docx", "A 24158-2025")</f>
        <v/>
      </c>
      <c r="Y592">
        <f>HYPERLINK("https://klasma.github.io/Logging_2303/tillsynsmail/A 24158-2025 tillsynsbegäran mail.docx", "A 24158-2025")</f>
        <v/>
      </c>
    </row>
    <row r="593" ht="15" customHeight="1">
      <c r="A593" t="inlineStr">
        <is>
          <t>A 24161-2025</t>
        </is>
      </c>
      <c r="B593" s="1" t="n">
        <v>45796</v>
      </c>
      <c r="C593" s="1" t="n">
        <v>45981</v>
      </c>
      <c r="D593" t="inlineStr">
        <is>
          <t>JÄMTLANDS LÄN</t>
        </is>
      </c>
      <c r="E593" t="inlineStr">
        <is>
          <t>RAGUNDA</t>
        </is>
      </c>
      <c r="G593" t="n">
        <v>2.4</v>
      </c>
      <c r="H593" t="n">
        <v>0</v>
      </c>
      <c r="I593" t="n">
        <v>0</v>
      </c>
      <c r="J593" t="n">
        <v>0</v>
      </c>
      <c r="K593" t="n">
        <v>0</v>
      </c>
      <c r="L593" t="n">
        <v>0</v>
      </c>
      <c r="M593" t="n">
        <v>0</v>
      </c>
      <c r="N593" t="n">
        <v>0</v>
      </c>
      <c r="O593" t="n">
        <v>0</v>
      </c>
      <c r="P593" t="n">
        <v>0</v>
      </c>
      <c r="Q593" t="n">
        <v>0</v>
      </c>
      <c r="R593" s="2" t="inlineStr"/>
    </row>
    <row r="594" ht="15" customHeight="1">
      <c r="A594" t="inlineStr">
        <is>
          <t>A 24159-2025</t>
        </is>
      </c>
      <c r="B594" s="1" t="n">
        <v>45796</v>
      </c>
      <c r="C594" s="1" t="n">
        <v>45981</v>
      </c>
      <c r="D594" t="inlineStr">
        <is>
          <t>JÄMTLANDS LÄN</t>
        </is>
      </c>
      <c r="E594" t="inlineStr">
        <is>
          <t>RAGUNDA</t>
        </is>
      </c>
      <c r="G594" t="n">
        <v>0.8</v>
      </c>
      <c r="H594" t="n">
        <v>0</v>
      </c>
      <c r="I594" t="n">
        <v>0</v>
      </c>
      <c r="J594" t="n">
        <v>0</v>
      </c>
      <c r="K594" t="n">
        <v>0</v>
      </c>
      <c r="L594" t="n">
        <v>0</v>
      </c>
      <c r="M594" t="n">
        <v>0</v>
      </c>
      <c r="N594" t="n">
        <v>0</v>
      </c>
      <c r="O594" t="n">
        <v>0</v>
      </c>
      <c r="P594" t="n">
        <v>0</v>
      </c>
      <c r="Q594" t="n">
        <v>0</v>
      </c>
      <c r="R594" s="2" t="inlineStr"/>
    </row>
    <row r="595" ht="15" customHeight="1">
      <c r="A595" t="inlineStr">
        <is>
          <t>A 24391-2025</t>
        </is>
      </c>
      <c r="B595" s="1" t="n">
        <v>45797.63627314815</v>
      </c>
      <c r="C595" s="1" t="n">
        <v>45981</v>
      </c>
      <c r="D595" t="inlineStr">
        <is>
          <t>JÄMTLANDS LÄN</t>
        </is>
      </c>
      <c r="E595" t="inlineStr">
        <is>
          <t>RAGUNDA</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16529-2022</t>
        </is>
      </c>
      <c r="B596" s="1" t="n">
        <v>44671</v>
      </c>
      <c r="C596" s="1" t="n">
        <v>45981</v>
      </c>
      <c r="D596" t="inlineStr">
        <is>
          <t>JÄMTLANDS LÄN</t>
        </is>
      </c>
      <c r="E596" t="inlineStr">
        <is>
          <t>RAGUNDA</t>
        </is>
      </c>
      <c r="G596" t="n">
        <v>1.5</v>
      </c>
      <c r="H596" t="n">
        <v>0</v>
      </c>
      <c r="I596" t="n">
        <v>0</v>
      </c>
      <c r="J596" t="n">
        <v>0</v>
      </c>
      <c r="K596" t="n">
        <v>0</v>
      </c>
      <c r="L596" t="n">
        <v>0</v>
      </c>
      <c r="M596" t="n">
        <v>0</v>
      </c>
      <c r="N596" t="n">
        <v>0</v>
      </c>
      <c r="O596" t="n">
        <v>0</v>
      </c>
      <c r="P596" t="n">
        <v>0</v>
      </c>
      <c r="Q596" t="n">
        <v>0</v>
      </c>
      <c r="R596" s="2" t="inlineStr"/>
    </row>
    <row r="597" ht="15" customHeight="1">
      <c r="A597" t="inlineStr">
        <is>
          <t>A 50503-2025</t>
        </is>
      </c>
      <c r="B597" s="1" t="n">
        <v>45945.42746527777</v>
      </c>
      <c r="C597" s="1" t="n">
        <v>45981</v>
      </c>
      <c r="D597" t="inlineStr">
        <is>
          <t>JÄMTLANDS LÄN</t>
        </is>
      </c>
      <c r="E597" t="inlineStr">
        <is>
          <t>RAGUNDA</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9084-2023</t>
        </is>
      </c>
      <c r="B598" s="1" t="n">
        <v>44979</v>
      </c>
      <c r="C598" s="1" t="n">
        <v>45981</v>
      </c>
      <c r="D598" t="inlineStr">
        <is>
          <t>JÄMTLANDS LÄN</t>
        </is>
      </c>
      <c r="E598" t="inlineStr">
        <is>
          <t>RAGUNDA</t>
        </is>
      </c>
      <c r="G598" t="n">
        <v>1.9</v>
      </c>
      <c r="H598" t="n">
        <v>0</v>
      </c>
      <c r="I598" t="n">
        <v>0</v>
      </c>
      <c r="J598" t="n">
        <v>0</v>
      </c>
      <c r="K598" t="n">
        <v>0</v>
      </c>
      <c r="L598" t="n">
        <v>0</v>
      </c>
      <c r="M598" t="n">
        <v>0</v>
      </c>
      <c r="N598" t="n">
        <v>0</v>
      </c>
      <c r="O598" t="n">
        <v>0</v>
      </c>
      <c r="P598" t="n">
        <v>0</v>
      </c>
      <c r="Q598" t="n">
        <v>0</v>
      </c>
      <c r="R598" s="2" t="inlineStr"/>
    </row>
    <row r="599" ht="15" customHeight="1">
      <c r="A599" t="inlineStr">
        <is>
          <t>A 50504-2025</t>
        </is>
      </c>
      <c r="B599" s="1" t="n">
        <v>45945.4284837963</v>
      </c>
      <c r="C599" s="1" t="n">
        <v>45981</v>
      </c>
      <c r="D599" t="inlineStr">
        <is>
          <t>JÄMTLANDS LÄN</t>
        </is>
      </c>
      <c r="E599" t="inlineStr">
        <is>
          <t>RAGUNDA</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50473-2025</t>
        </is>
      </c>
      <c r="B600" s="1" t="n">
        <v>45945.36520833334</v>
      </c>
      <c r="C600" s="1" t="n">
        <v>45981</v>
      </c>
      <c r="D600" t="inlineStr">
        <is>
          <t>JÄMTLANDS LÄN</t>
        </is>
      </c>
      <c r="E600" t="inlineStr">
        <is>
          <t>RAGUNDA</t>
        </is>
      </c>
      <c r="F600" t="inlineStr">
        <is>
          <t>SCA</t>
        </is>
      </c>
      <c r="G600" t="n">
        <v>11.2</v>
      </c>
      <c r="H600" t="n">
        <v>0</v>
      </c>
      <c r="I600" t="n">
        <v>0</v>
      </c>
      <c r="J600" t="n">
        <v>0</v>
      </c>
      <c r="K600" t="n">
        <v>0</v>
      </c>
      <c r="L600" t="n">
        <v>0</v>
      </c>
      <c r="M600" t="n">
        <v>0</v>
      </c>
      <c r="N600" t="n">
        <v>0</v>
      </c>
      <c r="O600" t="n">
        <v>0</v>
      </c>
      <c r="P600" t="n">
        <v>0</v>
      </c>
      <c r="Q600" t="n">
        <v>0</v>
      </c>
      <c r="R600" s="2" t="inlineStr"/>
    </row>
    <row r="601" ht="15" customHeight="1">
      <c r="A601" t="inlineStr">
        <is>
          <t>A 62407-2023</t>
        </is>
      </c>
      <c r="B601" s="1" t="n">
        <v>45266</v>
      </c>
      <c r="C601" s="1" t="n">
        <v>45981</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9326-2024</t>
        </is>
      </c>
      <c r="B602" s="1" t="n">
        <v>45358.95818287037</v>
      </c>
      <c r="C602" s="1" t="n">
        <v>45981</v>
      </c>
      <c r="D602" t="inlineStr">
        <is>
          <t>JÄMTLANDS LÄN</t>
        </is>
      </c>
      <c r="E602" t="inlineStr">
        <is>
          <t>RAGUNDA</t>
        </is>
      </c>
      <c r="G602" t="n">
        <v>0.7</v>
      </c>
      <c r="H602" t="n">
        <v>0</v>
      </c>
      <c r="I602" t="n">
        <v>0</v>
      </c>
      <c r="J602" t="n">
        <v>0</v>
      </c>
      <c r="K602" t="n">
        <v>0</v>
      </c>
      <c r="L602" t="n">
        <v>0</v>
      </c>
      <c r="M602" t="n">
        <v>0</v>
      </c>
      <c r="N602" t="n">
        <v>0</v>
      </c>
      <c r="O602" t="n">
        <v>0</v>
      </c>
      <c r="P602" t="n">
        <v>0</v>
      </c>
      <c r="Q602" t="n">
        <v>0</v>
      </c>
      <c r="R602" s="2" t="inlineStr"/>
    </row>
    <row r="603" ht="15" customHeight="1">
      <c r="A603" t="inlineStr">
        <is>
          <t>A 61934-2022</t>
        </is>
      </c>
      <c r="B603" s="1" t="n">
        <v>44917</v>
      </c>
      <c r="C603" s="1" t="n">
        <v>45981</v>
      </c>
      <c r="D603" t="inlineStr">
        <is>
          <t>JÄMTLANDS LÄN</t>
        </is>
      </c>
      <c r="E603" t="inlineStr">
        <is>
          <t>RAGUNDA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7520-2023</t>
        </is>
      </c>
      <c r="B604" s="1" t="n">
        <v>44971</v>
      </c>
      <c r="C604" s="1" t="n">
        <v>45981</v>
      </c>
      <c r="D604" t="inlineStr">
        <is>
          <t>JÄMTLANDS LÄN</t>
        </is>
      </c>
      <c r="E604" t="inlineStr">
        <is>
          <t>RAGUNDA</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8678-2023</t>
        </is>
      </c>
      <c r="B605" s="1" t="n">
        <v>44977.98660879629</v>
      </c>
      <c r="C605" s="1" t="n">
        <v>45981</v>
      </c>
      <c r="D605" t="inlineStr">
        <is>
          <t>JÄMTLANDS LÄN</t>
        </is>
      </c>
      <c r="E605" t="inlineStr">
        <is>
          <t>RAGUNDA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21662-2023</t>
        </is>
      </c>
      <c r="B606" s="1" t="n">
        <v>45063</v>
      </c>
      <c r="C606" s="1" t="n">
        <v>45981</v>
      </c>
      <c r="D606" t="inlineStr">
        <is>
          <t>JÄMTLANDS LÄN</t>
        </is>
      </c>
      <c r="E606" t="inlineStr">
        <is>
          <t>RAGUNDA</t>
        </is>
      </c>
      <c r="G606" t="n">
        <v>1.8</v>
      </c>
      <c r="H606" t="n">
        <v>0</v>
      </c>
      <c r="I606" t="n">
        <v>0</v>
      </c>
      <c r="J606" t="n">
        <v>0</v>
      </c>
      <c r="K606" t="n">
        <v>0</v>
      </c>
      <c r="L606" t="n">
        <v>0</v>
      </c>
      <c r="M606" t="n">
        <v>0</v>
      </c>
      <c r="N606" t="n">
        <v>0</v>
      </c>
      <c r="O606" t="n">
        <v>0</v>
      </c>
      <c r="P606" t="n">
        <v>0</v>
      </c>
      <c r="Q606" t="n">
        <v>0</v>
      </c>
      <c r="R606" s="2" t="inlineStr"/>
    </row>
    <row r="607" ht="15" customHeight="1">
      <c r="A607" t="inlineStr">
        <is>
          <t>A 50716-2025</t>
        </is>
      </c>
      <c r="B607" s="1" t="n">
        <v>45946.34572916666</v>
      </c>
      <c r="C607" s="1" t="n">
        <v>45981</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51034-2025</t>
        </is>
      </c>
      <c r="B608" s="1" t="n">
        <v>45947.40670138889</v>
      </c>
      <c r="C608" s="1" t="n">
        <v>45981</v>
      </c>
      <c r="D608" t="inlineStr">
        <is>
          <t>JÄMTLANDS LÄN</t>
        </is>
      </c>
      <c r="E608" t="inlineStr">
        <is>
          <t>RAGUNDA</t>
        </is>
      </c>
      <c r="F608" t="inlineStr">
        <is>
          <t>SCA</t>
        </is>
      </c>
      <c r="G608" t="n">
        <v>44.1</v>
      </c>
      <c r="H608" t="n">
        <v>0</v>
      </c>
      <c r="I608" t="n">
        <v>0</v>
      </c>
      <c r="J608" t="n">
        <v>0</v>
      </c>
      <c r="K608" t="n">
        <v>0</v>
      </c>
      <c r="L608" t="n">
        <v>0</v>
      </c>
      <c r="M608" t="n">
        <v>0</v>
      </c>
      <c r="N608" t="n">
        <v>0</v>
      </c>
      <c r="O608" t="n">
        <v>0</v>
      </c>
      <c r="P608" t="n">
        <v>0</v>
      </c>
      <c r="Q608" t="n">
        <v>0</v>
      </c>
      <c r="R608" s="2" t="inlineStr"/>
    </row>
    <row r="609" ht="15" customHeight="1">
      <c r="A609" t="inlineStr">
        <is>
          <t>A 44727-2024</t>
        </is>
      </c>
      <c r="B609" s="1" t="n">
        <v>45574.57967592592</v>
      </c>
      <c r="C609" s="1" t="n">
        <v>45981</v>
      </c>
      <c r="D609" t="inlineStr">
        <is>
          <t>JÄMTLANDS LÄN</t>
        </is>
      </c>
      <c r="E609" t="inlineStr">
        <is>
          <t>RAGUNDA</t>
        </is>
      </c>
      <c r="G609" t="n">
        <v>4.7</v>
      </c>
      <c r="H609" t="n">
        <v>0</v>
      </c>
      <c r="I609" t="n">
        <v>0</v>
      </c>
      <c r="J609" t="n">
        <v>0</v>
      </c>
      <c r="K609" t="n">
        <v>0</v>
      </c>
      <c r="L609" t="n">
        <v>0</v>
      </c>
      <c r="M609" t="n">
        <v>0</v>
      </c>
      <c r="N609" t="n">
        <v>0</v>
      </c>
      <c r="O609" t="n">
        <v>0</v>
      </c>
      <c r="P609" t="n">
        <v>0</v>
      </c>
      <c r="Q609" t="n">
        <v>0</v>
      </c>
      <c r="R609" s="2" t="inlineStr"/>
    </row>
    <row r="610" ht="15" customHeight="1">
      <c r="A610" t="inlineStr">
        <is>
          <t>A 51019-2025</t>
        </is>
      </c>
      <c r="B610" s="1" t="n">
        <v>45947.38623842593</v>
      </c>
      <c r="C610" s="1" t="n">
        <v>45981</v>
      </c>
      <c r="D610" t="inlineStr">
        <is>
          <t>JÄMTLANDS LÄN</t>
        </is>
      </c>
      <c r="E610" t="inlineStr">
        <is>
          <t>RAGUNDA</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28742-2023</t>
        </is>
      </c>
      <c r="B611" s="1" t="n">
        <v>45103</v>
      </c>
      <c r="C611" s="1" t="n">
        <v>45981</v>
      </c>
      <c r="D611" t="inlineStr">
        <is>
          <t>JÄMTLANDS LÄN</t>
        </is>
      </c>
      <c r="E611" t="inlineStr">
        <is>
          <t>RAGUNDA</t>
        </is>
      </c>
      <c r="G611" t="n">
        <v>1.8</v>
      </c>
      <c r="H611" t="n">
        <v>0</v>
      </c>
      <c r="I611" t="n">
        <v>0</v>
      </c>
      <c r="J611" t="n">
        <v>0</v>
      </c>
      <c r="K611" t="n">
        <v>0</v>
      </c>
      <c r="L611" t="n">
        <v>0</v>
      </c>
      <c r="M611" t="n">
        <v>0</v>
      </c>
      <c r="N611" t="n">
        <v>0</v>
      </c>
      <c r="O611" t="n">
        <v>0</v>
      </c>
      <c r="P611" t="n">
        <v>0</v>
      </c>
      <c r="Q611" t="n">
        <v>0</v>
      </c>
      <c r="R611" s="2" t="inlineStr"/>
    </row>
    <row r="612" ht="15" customHeight="1">
      <c r="A612" t="inlineStr">
        <is>
          <t>A 17323-2025</t>
        </is>
      </c>
      <c r="B612" s="1" t="n">
        <v>45756.63601851852</v>
      </c>
      <c r="C612" s="1" t="n">
        <v>45981</v>
      </c>
      <c r="D612" t="inlineStr">
        <is>
          <t>JÄMTLANDS LÄN</t>
        </is>
      </c>
      <c r="E612" t="inlineStr">
        <is>
          <t>RAGUNDA</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50711-2025</t>
        </is>
      </c>
      <c r="B613" s="1" t="n">
        <v>45946.34431712963</v>
      </c>
      <c r="C613" s="1" t="n">
        <v>45981</v>
      </c>
      <c r="D613" t="inlineStr">
        <is>
          <t>JÄMTLANDS LÄN</t>
        </is>
      </c>
      <c r="E613" t="inlineStr">
        <is>
          <t>RAGUNDA</t>
        </is>
      </c>
      <c r="F613" t="inlineStr">
        <is>
          <t>SCA</t>
        </is>
      </c>
      <c r="G613" t="n">
        <v>8</v>
      </c>
      <c r="H613" t="n">
        <v>0</v>
      </c>
      <c r="I613" t="n">
        <v>0</v>
      </c>
      <c r="J613" t="n">
        <v>0</v>
      </c>
      <c r="K613" t="n">
        <v>0</v>
      </c>
      <c r="L613" t="n">
        <v>0</v>
      </c>
      <c r="M613" t="n">
        <v>0</v>
      </c>
      <c r="N613" t="n">
        <v>0</v>
      </c>
      <c r="O613" t="n">
        <v>0</v>
      </c>
      <c r="P613" t="n">
        <v>0</v>
      </c>
      <c r="Q613" t="n">
        <v>0</v>
      </c>
      <c r="R613" s="2" t="inlineStr"/>
    </row>
    <row r="614" ht="15" customHeight="1">
      <c r="A614" t="inlineStr">
        <is>
          <t>A 16364-2023</t>
        </is>
      </c>
      <c r="B614" s="1" t="n">
        <v>45028</v>
      </c>
      <c r="C614" s="1" t="n">
        <v>45981</v>
      </c>
      <c r="D614" t="inlineStr">
        <is>
          <t>JÄMTLANDS LÄN</t>
        </is>
      </c>
      <c r="E614" t="inlineStr">
        <is>
          <t>RAGUNDA</t>
        </is>
      </c>
      <c r="G614" t="n">
        <v>0.5</v>
      </c>
      <c r="H614" t="n">
        <v>0</v>
      </c>
      <c r="I614" t="n">
        <v>0</v>
      </c>
      <c r="J614" t="n">
        <v>0</v>
      </c>
      <c r="K614" t="n">
        <v>0</v>
      </c>
      <c r="L614" t="n">
        <v>0</v>
      </c>
      <c r="M614" t="n">
        <v>0</v>
      </c>
      <c r="N614" t="n">
        <v>0</v>
      </c>
      <c r="O614" t="n">
        <v>0</v>
      </c>
      <c r="P614" t="n">
        <v>0</v>
      </c>
      <c r="Q614" t="n">
        <v>0</v>
      </c>
      <c r="R614" s="2" t="inlineStr"/>
    </row>
    <row r="615" ht="15" customHeight="1">
      <c r="A615" t="inlineStr">
        <is>
          <t>A 59136-2023</t>
        </is>
      </c>
      <c r="B615" s="1" t="n">
        <v>45251</v>
      </c>
      <c r="C615" s="1" t="n">
        <v>45981</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21083-2024</t>
        </is>
      </c>
      <c r="B616" s="1" t="n">
        <v>45439.92752314815</v>
      </c>
      <c r="C616" s="1" t="n">
        <v>45981</v>
      </c>
      <c r="D616" t="inlineStr">
        <is>
          <t>JÄMTLANDS LÄN</t>
        </is>
      </c>
      <c r="E616" t="inlineStr">
        <is>
          <t>RAGUNDA</t>
        </is>
      </c>
      <c r="G616" t="n">
        <v>1.5</v>
      </c>
      <c r="H616" t="n">
        <v>0</v>
      </c>
      <c r="I616" t="n">
        <v>0</v>
      </c>
      <c r="J616" t="n">
        <v>0</v>
      </c>
      <c r="K616" t="n">
        <v>0</v>
      </c>
      <c r="L616" t="n">
        <v>0</v>
      </c>
      <c r="M616" t="n">
        <v>0</v>
      </c>
      <c r="N616" t="n">
        <v>0</v>
      </c>
      <c r="O616" t="n">
        <v>0</v>
      </c>
      <c r="P616" t="n">
        <v>0</v>
      </c>
      <c r="Q616" t="n">
        <v>0</v>
      </c>
      <c r="R616" s="2" t="inlineStr"/>
    </row>
    <row r="617" ht="15" customHeight="1">
      <c r="A617" t="inlineStr">
        <is>
          <t>A 462-2023</t>
        </is>
      </c>
      <c r="B617" s="1" t="n">
        <v>44929</v>
      </c>
      <c r="C617" s="1" t="n">
        <v>45981</v>
      </c>
      <c r="D617" t="inlineStr">
        <is>
          <t>JÄMTLANDS LÄN</t>
        </is>
      </c>
      <c r="E617" t="inlineStr">
        <is>
          <t>RAGUNDA</t>
        </is>
      </c>
      <c r="G617" t="n">
        <v>4.5</v>
      </c>
      <c r="H617" t="n">
        <v>0</v>
      </c>
      <c r="I617" t="n">
        <v>0</v>
      </c>
      <c r="J617" t="n">
        <v>0</v>
      </c>
      <c r="K617" t="n">
        <v>0</v>
      </c>
      <c r="L617" t="n">
        <v>0</v>
      </c>
      <c r="M617" t="n">
        <v>0</v>
      </c>
      <c r="N617" t="n">
        <v>0</v>
      </c>
      <c r="O617" t="n">
        <v>0</v>
      </c>
      <c r="P617" t="n">
        <v>0</v>
      </c>
      <c r="Q617" t="n">
        <v>0</v>
      </c>
      <c r="R617" s="2" t="inlineStr"/>
    </row>
    <row r="618" ht="15" customHeight="1">
      <c r="A618" t="inlineStr">
        <is>
          <t>A 21524-2024</t>
        </is>
      </c>
      <c r="B618" s="1" t="n">
        <v>45441</v>
      </c>
      <c r="C618" s="1" t="n">
        <v>45981</v>
      </c>
      <c r="D618" t="inlineStr">
        <is>
          <t>JÄMTLANDS LÄN</t>
        </is>
      </c>
      <c r="E618" t="inlineStr">
        <is>
          <t>RAGUNDA</t>
        </is>
      </c>
      <c r="G618" t="n">
        <v>1.6</v>
      </c>
      <c r="H618" t="n">
        <v>0</v>
      </c>
      <c r="I618" t="n">
        <v>0</v>
      </c>
      <c r="J618" t="n">
        <v>0</v>
      </c>
      <c r="K618" t="n">
        <v>0</v>
      </c>
      <c r="L618" t="n">
        <v>0</v>
      </c>
      <c r="M618" t="n">
        <v>0</v>
      </c>
      <c r="N618" t="n">
        <v>0</v>
      </c>
      <c r="O618" t="n">
        <v>0</v>
      </c>
      <c r="P618" t="n">
        <v>0</v>
      </c>
      <c r="Q618" t="n">
        <v>0</v>
      </c>
      <c r="R618" s="2" t="inlineStr"/>
    </row>
    <row r="619" ht="15" customHeight="1">
      <c r="A619" t="inlineStr">
        <is>
          <t>A 12050-2023</t>
        </is>
      </c>
      <c r="B619" s="1" t="n">
        <v>44995.98644675926</v>
      </c>
      <c r="C619" s="1" t="n">
        <v>45981</v>
      </c>
      <c r="D619" t="inlineStr">
        <is>
          <t>JÄMTLANDS LÄN</t>
        </is>
      </c>
      <c r="E619" t="inlineStr">
        <is>
          <t>RAGUNDA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50985-2025</t>
        </is>
      </c>
      <c r="B620" s="1" t="n">
        <v>45947.34506944445</v>
      </c>
      <c r="C620" s="1" t="n">
        <v>45981</v>
      </c>
      <c r="D620" t="inlineStr">
        <is>
          <t>JÄMTLANDS LÄN</t>
        </is>
      </c>
      <c r="E620" t="inlineStr">
        <is>
          <t>RAGUNDA</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62358-2023</t>
        </is>
      </c>
      <c r="B621" s="1" t="n">
        <v>45267</v>
      </c>
      <c r="C621" s="1" t="n">
        <v>45981</v>
      </c>
      <c r="D621" t="inlineStr">
        <is>
          <t>JÄMTLANDS LÄN</t>
        </is>
      </c>
      <c r="E621" t="inlineStr">
        <is>
          <t>RAGUNDA</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50719-2025</t>
        </is>
      </c>
      <c r="B622" s="1" t="n">
        <v>45946.34642361111</v>
      </c>
      <c r="C622" s="1" t="n">
        <v>45981</v>
      </c>
      <c r="D622" t="inlineStr">
        <is>
          <t>JÄMTLANDS LÄN</t>
        </is>
      </c>
      <c r="E622" t="inlineStr">
        <is>
          <t>RAGUNDA</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49659-2023</t>
        </is>
      </c>
      <c r="B623" s="1" t="n">
        <v>45211.95134259259</v>
      </c>
      <c r="C623" s="1" t="n">
        <v>45981</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42269-2025</t>
        </is>
      </c>
      <c r="B624" s="1" t="n">
        <v>45904.60431712963</v>
      </c>
      <c r="C624" s="1" t="n">
        <v>45981</v>
      </c>
      <c r="D624" t="inlineStr">
        <is>
          <t>JÄMTLANDS LÄN</t>
        </is>
      </c>
      <c r="E624" t="inlineStr">
        <is>
          <t>RAGUNDA</t>
        </is>
      </c>
      <c r="G624" t="n">
        <v>4.3</v>
      </c>
      <c r="H624" t="n">
        <v>0</v>
      </c>
      <c r="I624" t="n">
        <v>0</v>
      </c>
      <c r="J624" t="n">
        <v>0</v>
      </c>
      <c r="K624" t="n">
        <v>0</v>
      </c>
      <c r="L624" t="n">
        <v>0</v>
      </c>
      <c r="M624" t="n">
        <v>0</v>
      </c>
      <c r="N624" t="n">
        <v>0</v>
      </c>
      <c r="O624" t="n">
        <v>0</v>
      </c>
      <c r="P624" t="n">
        <v>0</v>
      </c>
      <c r="Q624" t="n">
        <v>0</v>
      </c>
      <c r="R624" s="2" t="inlineStr"/>
    </row>
    <row r="625" ht="15" customHeight="1">
      <c r="A625" t="inlineStr">
        <is>
          <t>A 18820-2023</t>
        </is>
      </c>
      <c r="B625" s="1" t="n">
        <v>45042</v>
      </c>
      <c r="C625" s="1" t="n">
        <v>45981</v>
      </c>
      <c r="D625" t="inlineStr">
        <is>
          <t>JÄMTLANDS LÄN</t>
        </is>
      </c>
      <c r="E625" t="inlineStr">
        <is>
          <t>RAGUNDA</t>
        </is>
      </c>
      <c r="G625" t="n">
        <v>18.8</v>
      </c>
      <c r="H625" t="n">
        <v>0</v>
      </c>
      <c r="I625" t="n">
        <v>0</v>
      </c>
      <c r="J625" t="n">
        <v>0</v>
      </c>
      <c r="K625" t="n">
        <v>0</v>
      </c>
      <c r="L625" t="n">
        <v>0</v>
      </c>
      <c r="M625" t="n">
        <v>0</v>
      </c>
      <c r="N625" t="n">
        <v>0</v>
      </c>
      <c r="O625" t="n">
        <v>0</v>
      </c>
      <c r="P625" t="n">
        <v>0</v>
      </c>
      <c r="Q625" t="n">
        <v>0</v>
      </c>
      <c r="R625" s="2" t="inlineStr"/>
    </row>
    <row r="626" ht="15" customHeight="1">
      <c r="A626" t="inlineStr">
        <is>
          <t>A 51491-2025</t>
        </is>
      </c>
      <c r="B626" s="1" t="n">
        <v>45950.63362268519</v>
      </c>
      <c r="C626" s="1" t="n">
        <v>45981</v>
      </c>
      <c r="D626" t="inlineStr">
        <is>
          <t>JÄMTLANDS LÄN</t>
        </is>
      </c>
      <c r="E626" t="inlineStr">
        <is>
          <t>RAGUNDA</t>
        </is>
      </c>
      <c r="G626" t="n">
        <v>1.1</v>
      </c>
      <c r="H626" t="n">
        <v>0</v>
      </c>
      <c r="I626" t="n">
        <v>0</v>
      </c>
      <c r="J626" t="n">
        <v>0</v>
      </c>
      <c r="K626" t="n">
        <v>0</v>
      </c>
      <c r="L626" t="n">
        <v>0</v>
      </c>
      <c r="M626" t="n">
        <v>0</v>
      </c>
      <c r="N626" t="n">
        <v>0</v>
      </c>
      <c r="O626" t="n">
        <v>0</v>
      </c>
      <c r="P626" t="n">
        <v>0</v>
      </c>
      <c r="Q626" t="n">
        <v>0</v>
      </c>
      <c r="R626" s="2" t="inlineStr"/>
    </row>
    <row r="627" ht="15" customHeight="1">
      <c r="A627" t="inlineStr">
        <is>
          <t>A 49648-2023</t>
        </is>
      </c>
      <c r="B627" s="1" t="n">
        <v>45211.95061342593</v>
      </c>
      <c r="C627" s="1" t="n">
        <v>45981</v>
      </c>
      <c r="D627" t="inlineStr">
        <is>
          <t>JÄMTLANDS LÄN</t>
        </is>
      </c>
      <c r="E627" t="inlineStr">
        <is>
          <t>RAGUNDA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50521-2024</t>
        </is>
      </c>
      <c r="B628" s="1" t="n">
        <v>45601.55331018518</v>
      </c>
      <c r="C628" s="1" t="n">
        <v>45981</v>
      </c>
      <c r="D628" t="inlineStr">
        <is>
          <t>JÄMTLANDS LÄN</t>
        </is>
      </c>
      <c r="E628" t="inlineStr">
        <is>
          <t>RAGUNDA</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4916-2025</t>
        </is>
      </c>
      <c r="B629" s="1" t="n">
        <v>45688.68196759259</v>
      </c>
      <c r="C629" s="1" t="n">
        <v>45981</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51791-2025</t>
        </is>
      </c>
      <c r="B630" s="1" t="n">
        <v>45951.69833333333</v>
      </c>
      <c r="C630" s="1" t="n">
        <v>45981</v>
      </c>
      <c r="D630" t="inlineStr">
        <is>
          <t>JÄMTLANDS LÄN</t>
        </is>
      </c>
      <c r="E630" t="inlineStr">
        <is>
          <t>RAGUNDA</t>
        </is>
      </c>
      <c r="F630" t="inlineStr">
        <is>
          <t>SCA</t>
        </is>
      </c>
      <c r="G630" t="n">
        <v>43.3</v>
      </c>
      <c r="H630" t="n">
        <v>0</v>
      </c>
      <c r="I630" t="n">
        <v>0</v>
      </c>
      <c r="J630" t="n">
        <v>0</v>
      </c>
      <c r="K630" t="n">
        <v>0</v>
      </c>
      <c r="L630" t="n">
        <v>0</v>
      </c>
      <c r="M630" t="n">
        <v>0</v>
      </c>
      <c r="N630" t="n">
        <v>0</v>
      </c>
      <c r="O630" t="n">
        <v>0</v>
      </c>
      <c r="P630" t="n">
        <v>0</v>
      </c>
      <c r="Q630" t="n">
        <v>0</v>
      </c>
      <c r="R630" s="2" t="inlineStr"/>
    </row>
    <row r="631" ht="15" customHeight="1">
      <c r="A631" t="inlineStr">
        <is>
          <t>A 38191-2024</t>
        </is>
      </c>
      <c r="B631" s="1" t="n">
        <v>45545.49078703704</v>
      </c>
      <c r="C631" s="1" t="n">
        <v>45981</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59557-2023</t>
        </is>
      </c>
      <c r="B632" s="1" t="n">
        <v>45253</v>
      </c>
      <c r="C632" s="1" t="n">
        <v>45981</v>
      </c>
      <c r="D632" t="inlineStr">
        <is>
          <t>JÄMTLANDS LÄN</t>
        </is>
      </c>
      <c r="E632" t="inlineStr">
        <is>
          <t>RAGUNDA</t>
        </is>
      </c>
      <c r="G632" t="n">
        <v>1</v>
      </c>
      <c r="H632" t="n">
        <v>0</v>
      </c>
      <c r="I632" t="n">
        <v>0</v>
      </c>
      <c r="J632" t="n">
        <v>0</v>
      </c>
      <c r="K632" t="n">
        <v>0</v>
      </c>
      <c r="L632" t="n">
        <v>0</v>
      </c>
      <c r="M632" t="n">
        <v>0</v>
      </c>
      <c r="N632" t="n">
        <v>0</v>
      </c>
      <c r="O632" t="n">
        <v>0</v>
      </c>
      <c r="P632" t="n">
        <v>0</v>
      </c>
      <c r="Q632" t="n">
        <v>0</v>
      </c>
      <c r="R632" s="2" t="inlineStr"/>
    </row>
    <row r="633" ht="15" customHeight="1">
      <c r="A633" t="inlineStr">
        <is>
          <t>A 51484-2025</t>
        </is>
      </c>
      <c r="B633" s="1" t="n">
        <v>45950.62196759259</v>
      </c>
      <c r="C633" s="1" t="n">
        <v>45981</v>
      </c>
      <c r="D633" t="inlineStr">
        <is>
          <t>JÄMTLANDS LÄN</t>
        </is>
      </c>
      <c r="E633" t="inlineStr">
        <is>
          <t>RAGUNDA</t>
        </is>
      </c>
      <c r="F633" t="inlineStr">
        <is>
          <t>SCA</t>
        </is>
      </c>
      <c r="G633" t="n">
        <v>23.1</v>
      </c>
      <c r="H633" t="n">
        <v>0</v>
      </c>
      <c r="I633" t="n">
        <v>0</v>
      </c>
      <c r="J633" t="n">
        <v>0</v>
      </c>
      <c r="K633" t="n">
        <v>0</v>
      </c>
      <c r="L633" t="n">
        <v>0</v>
      </c>
      <c r="M633" t="n">
        <v>0</v>
      </c>
      <c r="N633" t="n">
        <v>0</v>
      </c>
      <c r="O633" t="n">
        <v>0</v>
      </c>
      <c r="P633" t="n">
        <v>0</v>
      </c>
      <c r="Q633" t="n">
        <v>0</v>
      </c>
      <c r="R633" s="2" t="inlineStr"/>
    </row>
    <row r="634" ht="15" customHeight="1">
      <c r="A634" t="inlineStr">
        <is>
          <t>A 51537-2022</t>
        </is>
      </c>
      <c r="B634" s="1" t="n">
        <v>44869</v>
      </c>
      <c r="C634" s="1" t="n">
        <v>45981</v>
      </c>
      <c r="D634" t="inlineStr">
        <is>
          <t>JÄMTLANDS LÄN</t>
        </is>
      </c>
      <c r="E634" t="inlineStr">
        <is>
          <t>RAGUNDA</t>
        </is>
      </c>
      <c r="G634" t="n">
        <v>1.8</v>
      </c>
      <c r="H634" t="n">
        <v>0</v>
      </c>
      <c r="I634" t="n">
        <v>0</v>
      </c>
      <c r="J634" t="n">
        <v>0</v>
      </c>
      <c r="K634" t="n">
        <v>0</v>
      </c>
      <c r="L634" t="n">
        <v>0</v>
      </c>
      <c r="M634" t="n">
        <v>0</v>
      </c>
      <c r="N634" t="n">
        <v>0</v>
      </c>
      <c r="O634" t="n">
        <v>0</v>
      </c>
      <c r="P634" t="n">
        <v>0</v>
      </c>
      <c r="Q634" t="n">
        <v>0</v>
      </c>
      <c r="R634" s="2" t="inlineStr"/>
    </row>
    <row r="635" ht="15" customHeight="1">
      <c r="A635" t="inlineStr">
        <is>
          <t>A 59044-2022</t>
        </is>
      </c>
      <c r="B635" s="1" t="n">
        <v>44903</v>
      </c>
      <c r="C635" s="1" t="n">
        <v>45981</v>
      </c>
      <c r="D635" t="inlineStr">
        <is>
          <t>JÄMTLANDS LÄN</t>
        </is>
      </c>
      <c r="E635" t="inlineStr">
        <is>
          <t>RAGUNDA</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57112-2024</t>
        </is>
      </c>
      <c r="B636" s="1" t="n">
        <v>45629.36486111111</v>
      </c>
      <c r="C636" s="1" t="n">
        <v>45981</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53136-2024</t>
        </is>
      </c>
      <c r="B637" s="1" t="n">
        <v>45611.5953125</v>
      </c>
      <c r="C637" s="1" t="n">
        <v>45981</v>
      </c>
      <c r="D637" t="inlineStr">
        <is>
          <t>JÄMTLANDS LÄN</t>
        </is>
      </c>
      <c r="E637" t="inlineStr">
        <is>
          <t>RAGUNDA</t>
        </is>
      </c>
      <c r="G637" t="n">
        <v>3.8</v>
      </c>
      <c r="H637" t="n">
        <v>0</v>
      </c>
      <c r="I637" t="n">
        <v>0</v>
      </c>
      <c r="J637" t="n">
        <v>0</v>
      </c>
      <c r="K637" t="n">
        <v>0</v>
      </c>
      <c r="L637" t="n">
        <v>0</v>
      </c>
      <c r="M637" t="n">
        <v>0</v>
      </c>
      <c r="N637" t="n">
        <v>0</v>
      </c>
      <c r="O637" t="n">
        <v>0</v>
      </c>
      <c r="P637" t="n">
        <v>0</v>
      </c>
      <c r="Q637" t="n">
        <v>0</v>
      </c>
      <c r="R637" s="2" t="inlineStr"/>
    </row>
    <row r="638" ht="15" customHeight="1">
      <c r="A638" t="inlineStr">
        <is>
          <t>A 51593-2025</t>
        </is>
      </c>
      <c r="B638" s="1" t="n">
        <v>45951.36548611111</v>
      </c>
      <c r="C638" s="1" t="n">
        <v>45981</v>
      </c>
      <c r="D638" t="inlineStr">
        <is>
          <t>JÄMTLANDS LÄN</t>
        </is>
      </c>
      <c r="E638" t="inlineStr">
        <is>
          <t>RAGUNDA</t>
        </is>
      </c>
      <c r="G638" t="n">
        <v>1.5</v>
      </c>
      <c r="H638" t="n">
        <v>0</v>
      </c>
      <c r="I638" t="n">
        <v>0</v>
      </c>
      <c r="J638" t="n">
        <v>0</v>
      </c>
      <c r="K638" t="n">
        <v>0</v>
      </c>
      <c r="L638" t="n">
        <v>0</v>
      </c>
      <c r="M638" t="n">
        <v>0</v>
      </c>
      <c r="N638" t="n">
        <v>0</v>
      </c>
      <c r="O638" t="n">
        <v>0</v>
      </c>
      <c r="P638" t="n">
        <v>0</v>
      </c>
      <c r="Q638" t="n">
        <v>0</v>
      </c>
      <c r="R638" s="2" t="inlineStr"/>
    </row>
    <row r="639" ht="15" customHeight="1">
      <c r="A639" t="inlineStr">
        <is>
          <t>A 5958-2023</t>
        </is>
      </c>
      <c r="B639" s="1" t="n">
        <v>44963</v>
      </c>
      <c r="C639" s="1" t="n">
        <v>45981</v>
      </c>
      <c r="D639" t="inlineStr">
        <is>
          <t>JÄMTLANDS LÄN</t>
        </is>
      </c>
      <c r="E639" t="inlineStr">
        <is>
          <t>RAGUNDA</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51592-2025</t>
        </is>
      </c>
      <c r="B640" s="1" t="n">
        <v>45951.36541666667</v>
      </c>
      <c r="C640" s="1" t="n">
        <v>45981</v>
      </c>
      <c r="D640" t="inlineStr">
        <is>
          <t>JÄMTLANDS LÄN</t>
        </is>
      </c>
      <c r="E640" t="inlineStr">
        <is>
          <t>RAGUNDA</t>
        </is>
      </c>
      <c r="G640" t="n">
        <v>1.3</v>
      </c>
      <c r="H640" t="n">
        <v>0</v>
      </c>
      <c r="I640" t="n">
        <v>0</v>
      </c>
      <c r="J640" t="n">
        <v>0</v>
      </c>
      <c r="K640" t="n">
        <v>0</v>
      </c>
      <c r="L640" t="n">
        <v>0</v>
      </c>
      <c r="M640" t="n">
        <v>0</v>
      </c>
      <c r="N640" t="n">
        <v>0</v>
      </c>
      <c r="O640" t="n">
        <v>0</v>
      </c>
      <c r="P640" t="n">
        <v>0</v>
      </c>
      <c r="Q640" t="n">
        <v>0</v>
      </c>
      <c r="R640" s="2" t="inlineStr"/>
    </row>
    <row r="641" ht="15" customHeight="1">
      <c r="A641" t="inlineStr">
        <is>
          <t>A 33621-2023</t>
        </is>
      </c>
      <c r="B641" s="1" t="n">
        <v>45119</v>
      </c>
      <c r="C641" s="1" t="n">
        <v>45981</v>
      </c>
      <c r="D641" t="inlineStr">
        <is>
          <t>JÄMTLANDS LÄN</t>
        </is>
      </c>
      <c r="E641" t="inlineStr">
        <is>
          <t>RAGUNDA</t>
        </is>
      </c>
      <c r="G641" t="n">
        <v>0.5</v>
      </c>
      <c r="H641" t="n">
        <v>0</v>
      </c>
      <c r="I641" t="n">
        <v>0</v>
      </c>
      <c r="J641" t="n">
        <v>0</v>
      </c>
      <c r="K641" t="n">
        <v>0</v>
      </c>
      <c r="L641" t="n">
        <v>0</v>
      </c>
      <c r="M641" t="n">
        <v>0</v>
      </c>
      <c r="N641" t="n">
        <v>0</v>
      </c>
      <c r="O641" t="n">
        <v>0</v>
      </c>
      <c r="P641" t="n">
        <v>0</v>
      </c>
      <c r="Q641" t="n">
        <v>0</v>
      </c>
      <c r="R641" s="2" t="inlineStr"/>
    </row>
    <row r="642" ht="15" customHeight="1">
      <c r="A642" t="inlineStr">
        <is>
          <t>A 6694-2024</t>
        </is>
      </c>
      <c r="B642" s="1" t="n">
        <v>45341.95381944445</v>
      </c>
      <c r="C642" s="1" t="n">
        <v>45981</v>
      </c>
      <c r="D642" t="inlineStr">
        <is>
          <t>JÄMTLANDS LÄN</t>
        </is>
      </c>
      <c r="E642" t="inlineStr">
        <is>
          <t>RAGUNDA</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8779-2025</t>
        </is>
      </c>
      <c r="B643" s="1" t="n">
        <v>45712.61552083334</v>
      </c>
      <c r="C643" s="1" t="n">
        <v>45981</v>
      </c>
      <c r="D643" t="inlineStr">
        <is>
          <t>JÄMTLANDS LÄN</t>
        </is>
      </c>
      <c r="E643" t="inlineStr">
        <is>
          <t>RAGUNDA</t>
        </is>
      </c>
      <c r="F643" t="inlineStr">
        <is>
          <t>SCA</t>
        </is>
      </c>
      <c r="G643" t="n">
        <v>4.9</v>
      </c>
      <c r="H643" t="n">
        <v>0</v>
      </c>
      <c r="I643" t="n">
        <v>0</v>
      </c>
      <c r="J643" t="n">
        <v>0</v>
      </c>
      <c r="K643" t="n">
        <v>0</v>
      </c>
      <c r="L643" t="n">
        <v>0</v>
      </c>
      <c r="M643" t="n">
        <v>0</v>
      </c>
      <c r="N643" t="n">
        <v>0</v>
      </c>
      <c r="O643" t="n">
        <v>0</v>
      </c>
      <c r="P643" t="n">
        <v>0</v>
      </c>
      <c r="Q643" t="n">
        <v>0</v>
      </c>
      <c r="R643" s="2" t="inlineStr"/>
    </row>
    <row r="644" ht="15" customHeight="1">
      <c r="A644" t="inlineStr">
        <is>
          <t>A 1537-2024</t>
        </is>
      </c>
      <c r="B644" s="1" t="n">
        <v>45306</v>
      </c>
      <c r="C644" s="1" t="n">
        <v>45981</v>
      </c>
      <c r="D644" t="inlineStr">
        <is>
          <t>JÄMTLANDS LÄN</t>
        </is>
      </c>
      <c r="E644" t="inlineStr">
        <is>
          <t>RAGUNDA</t>
        </is>
      </c>
      <c r="G644" t="n">
        <v>0.2</v>
      </c>
      <c r="H644" t="n">
        <v>0</v>
      </c>
      <c r="I644" t="n">
        <v>0</v>
      </c>
      <c r="J644" t="n">
        <v>0</v>
      </c>
      <c r="K644" t="n">
        <v>0</v>
      </c>
      <c r="L644" t="n">
        <v>0</v>
      </c>
      <c r="M644" t="n">
        <v>0</v>
      </c>
      <c r="N644" t="n">
        <v>0</v>
      </c>
      <c r="O644" t="n">
        <v>0</v>
      </c>
      <c r="P644" t="n">
        <v>0</v>
      </c>
      <c r="Q644" t="n">
        <v>0</v>
      </c>
      <c r="R644" s="2" t="inlineStr"/>
    </row>
    <row r="645" ht="15" customHeight="1">
      <c r="A645" t="inlineStr">
        <is>
          <t>A 51702-2025</t>
        </is>
      </c>
      <c r="B645" s="1" t="n">
        <v>45951.55305555555</v>
      </c>
      <c r="C645" s="1" t="n">
        <v>45981</v>
      </c>
      <c r="D645" t="inlineStr">
        <is>
          <t>JÄMTLANDS LÄN</t>
        </is>
      </c>
      <c r="E645" t="inlineStr">
        <is>
          <t>RAGUNDA</t>
        </is>
      </c>
      <c r="G645" t="n">
        <v>11.4</v>
      </c>
      <c r="H645" t="n">
        <v>0</v>
      </c>
      <c r="I645" t="n">
        <v>0</v>
      </c>
      <c r="J645" t="n">
        <v>0</v>
      </c>
      <c r="K645" t="n">
        <v>0</v>
      </c>
      <c r="L645" t="n">
        <v>0</v>
      </c>
      <c r="M645" t="n">
        <v>0</v>
      </c>
      <c r="N645" t="n">
        <v>0</v>
      </c>
      <c r="O645" t="n">
        <v>0</v>
      </c>
      <c r="P645" t="n">
        <v>0</v>
      </c>
      <c r="Q645" t="n">
        <v>0</v>
      </c>
      <c r="R645" s="2" t="inlineStr"/>
    </row>
    <row r="646" ht="15" customHeight="1">
      <c r="A646" t="inlineStr">
        <is>
          <t>A 61400-2022</t>
        </is>
      </c>
      <c r="B646" s="1" t="n">
        <v>44915</v>
      </c>
      <c r="C646" s="1" t="n">
        <v>45981</v>
      </c>
      <c r="D646" t="inlineStr">
        <is>
          <t>JÄMTLANDS LÄN</t>
        </is>
      </c>
      <c r="E646" t="inlineStr">
        <is>
          <t>RAGUNDA</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60935-2024</t>
        </is>
      </c>
      <c r="B647" s="1" t="n">
        <v>45645.36740740741</v>
      </c>
      <c r="C647" s="1" t="n">
        <v>45981</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4348-2023</t>
        </is>
      </c>
      <c r="B648" s="1" t="n">
        <v>44953</v>
      </c>
      <c r="C648" s="1" t="n">
        <v>45981</v>
      </c>
      <c r="D648" t="inlineStr">
        <is>
          <t>JÄMTLANDS LÄN</t>
        </is>
      </c>
      <c r="E648" t="inlineStr">
        <is>
          <t>RAGUNDA</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56286-2023</t>
        </is>
      </c>
      <c r="B649" s="1" t="n">
        <v>45241.95741898148</v>
      </c>
      <c r="C649" s="1" t="n">
        <v>45981</v>
      </c>
      <c r="D649" t="inlineStr">
        <is>
          <t>JÄMTLANDS LÄN</t>
        </is>
      </c>
      <c r="E649" t="inlineStr">
        <is>
          <t>RAGUNDA</t>
        </is>
      </c>
      <c r="F649" t="inlineStr">
        <is>
          <t>SCA</t>
        </is>
      </c>
      <c r="G649" t="n">
        <v>4.5</v>
      </c>
      <c r="H649" t="n">
        <v>0</v>
      </c>
      <c r="I649" t="n">
        <v>0</v>
      </c>
      <c r="J649" t="n">
        <v>0</v>
      </c>
      <c r="K649" t="n">
        <v>0</v>
      </c>
      <c r="L649" t="n">
        <v>0</v>
      </c>
      <c r="M649" t="n">
        <v>0</v>
      </c>
      <c r="N649" t="n">
        <v>0</v>
      </c>
      <c r="O649" t="n">
        <v>0</v>
      </c>
      <c r="P649" t="n">
        <v>0</v>
      </c>
      <c r="Q649" t="n">
        <v>0</v>
      </c>
      <c r="R649" s="2" t="inlineStr"/>
    </row>
    <row r="650" ht="15" customHeight="1">
      <c r="A650" t="inlineStr">
        <is>
          <t>A 56287-2023</t>
        </is>
      </c>
      <c r="B650" s="1" t="n">
        <v>45241</v>
      </c>
      <c r="C650" s="1" t="n">
        <v>45981</v>
      </c>
      <c r="D650" t="inlineStr">
        <is>
          <t>JÄMTLANDS LÄN</t>
        </is>
      </c>
      <c r="E650" t="inlineStr">
        <is>
          <t>RAGUNDA</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51395-2025</t>
        </is>
      </c>
      <c r="B651" s="1" t="n">
        <v>45950.46989583333</v>
      </c>
      <c r="C651" s="1" t="n">
        <v>45981</v>
      </c>
      <c r="D651" t="inlineStr">
        <is>
          <t>JÄMTLANDS LÄN</t>
        </is>
      </c>
      <c r="E651" t="inlineStr">
        <is>
          <t>RAGUNDA</t>
        </is>
      </c>
      <c r="F651" t="inlineStr">
        <is>
          <t>SCA</t>
        </is>
      </c>
      <c r="G651" t="n">
        <v>30.7</v>
      </c>
      <c r="H651" t="n">
        <v>0</v>
      </c>
      <c r="I651" t="n">
        <v>0</v>
      </c>
      <c r="J651" t="n">
        <v>0</v>
      </c>
      <c r="K651" t="n">
        <v>0</v>
      </c>
      <c r="L651" t="n">
        <v>0</v>
      </c>
      <c r="M651" t="n">
        <v>0</v>
      </c>
      <c r="N651" t="n">
        <v>0</v>
      </c>
      <c r="O651" t="n">
        <v>0</v>
      </c>
      <c r="P651" t="n">
        <v>0</v>
      </c>
      <c r="Q651" t="n">
        <v>0</v>
      </c>
      <c r="R651" s="2" t="inlineStr"/>
    </row>
    <row r="652" ht="15" customHeight="1">
      <c r="A652" t="inlineStr">
        <is>
          <t>A 33763-2025</t>
        </is>
      </c>
      <c r="B652" s="1" t="n">
        <v>45842.38579861111</v>
      </c>
      <c r="C652" s="1" t="n">
        <v>45981</v>
      </c>
      <c r="D652" t="inlineStr">
        <is>
          <t>JÄMTLANDS LÄN</t>
        </is>
      </c>
      <c r="E652" t="inlineStr">
        <is>
          <t>RAGUNDA</t>
        </is>
      </c>
      <c r="F652" t="inlineStr">
        <is>
          <t>SCA</t>
        </is>
      </c>
      <c r="G652" t="n">
        <v>13.4</v>
      </c>
      <c r="H652" t="n">
        <v>0</v>
      </c>
      <c r="I652" t="n">
        <v>0</v>
      </c>
      <c r="J652" t="n">
        <v>0</v>
      </c>
      <c r="K652" t="n">
        <v>0</v>
      </c>
      <c r="L652" t="n">
        <v>0</v>
      </c>
      <c r="M652" t="n">
        <v>0</v>
      </c>
      <c r="N652" t="n">
        <v>0</v>
      </c>
      <c r="O652" t="n">
        <v>0</v>
      </c>
      <c r="P652" t="n">
        <v>0</v>
      </c>
      <c r="Q652" t="n">
        <v>0</v>
      </c>
      <c r="R652" s="2" t="inlineStr"/>
    </row>
    <row r="653" ht="15" customHeight="1">
      <c r="A653" t="inlineStr">
        <is>
          <t>A 6257-2025</t>
        </is>
      </c>
      <c r="B653" s="1" t="n">
        <v>45698.59409722222</v>
      </c>
      <c r="C653" s="1" t="n">
        <v>45981</v>
      </c>
      <c r="D653" t="inlineStr">
        <is>
          <t>JÄMTLANDS LÄN</t>
        </is>
      </c>
      <c r="E653" t="inlineStr">
        <is>
          <t>RAGUNDA</t>
        </is>
      </c>
      <c r="F653" t="inlineStr">
        <is>
          <t>SCA</t>
        </is>
      </c>
      <c r="G653" t="n">
        <v>7</v>
      </c>
      <c r="H653" t="n">
        <v>0</v>
      </c>
      <c r="I653" t="n">
        <v>0</v>
      </c>
      <c r="J653" t="n">
        <v>0</v>
      </c>
      <c r="K653" t="n">
        <v>0</v>
      </c>
      <c r="L653" t="n">
        <v>0</v>
      </c>
      <c r="M653" t="n">
        <v>0</v>
      </c>
      <c r="N653" t="n">
        <v>0</v>
      </c>
      <c r="O653" t="n">
        <v>0</v>
      </c>
      <c r="P653" t="n">
        <v>0</v>
      </c>
      <c r="Q653" t="n">
        <v>0</v>
      </c>
      <c r="R653" s="2" t="inlineStr"/>
    </row>
    <row r="654" ht="15" customHeight="1">
      <c r="A654" t="inlineStr">
        <is>
          <t>A 14074-2023</t>
        </is>
      </c>
      <c r="B654" s="1" t="n">
        <v>45009.089375</v>
      </c>
      <c r="C654" s="1" t="n">
        <v>45981</v>
      </c>
      <c r="D654" t="inlineStr">
        <is>
          <t>JÄMTLANDS LÄN</t>
        </is>
      </c>
      <c r="E654" t="inlineStr">
        <is>
          <t>RAGUNDA</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37265-2024</t>
        </is>
      </c>
      <c r="B655" s="1" t="n">
        <v>45540.38564814815</v>
      </c>
      <c r="C655" s="1" t="n">
        <v>45981</v>
      </c>
      <c r="D655" t="inlineStr">
        <is>
          <t>JÄMTLANDS LÄN</t>
        </is>
      </c>
      <c r="E655" t="inlineStr">
        <is>
          <t>RAGUNDA</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62135-2024</t>
        </is>
      </c>
      <c r="B656" s="1" t="n">
        <v>45656.64223379629</v>
      </c>
      <c r="C656" s="1" t="n">
        <v>45981</v>
      </c>
      <c r="D656" t="inlineStr">
        <is>
          <t>JÄMTLANDS LÄN</t>
        </is>
      </c>
      <c r="E656" t="inlineStr">
        <is>
          <t>RAGUNDA</t>
        </is>
      </c>
      <c r="G656" t="n">
        <v>1.5</v>
      </c>
      <c r="H656" t="n">
        <v>0</v>
      </c>
      <c r="I656" t="n">
        <v>0</v>
      </c>
      <c r="J656" t="n">
        <v>0</v>
      </c>
      <c r="K656" t="n">
        <v>0</v>
      </c>
      <c r="L656" t="n">
        <v>0</v>
      </c>
      <c r="M656" t="n">
        <v>0</v>
      </c>
      <c r="N656" t="n">
        <v>0</v>
      </c>
      <c r="O656" t="n">
        <v>0</v>
      </c>
      <c r="P656" t="n">
        <v>0</v>
      </c>
      <c r="Q656" t="n">
        <v>0</v>
      </c>
      <c r="R656" s="2" t="inlineStr"/>
    </row>
    <row r="657" ht="15" customHeight="1">
      <c r="A657" t="inlineStr">
        <is>
          <t>A 51394-2025</t>
        </is>
      </c>
      <c r="B657" s="1" t="n">
        <v>45950.46972222222</v>
      </c>
      <c r="C657" s="1" t="n">
        <v>45981</v>
      </c>
      <c r="D657" t="inlineStr">
        <is>
          <t>JÄMTLANDS LÄN</t>
        </is>
      </c>
      <c r="E657" t="inlineStr">
        <is>
          <t>RAGUNDA</t>
        </is>
      </c>
      <c r="F657" t="inlineStr">
        <is>
          <t>SCA</t>
        </is>
      </c>
      <c r="G657" t="n">
        <v>36.5</v>
      </c>
      <c r="H657" t="n">
        <v>0</v>
      </c>
      <c r="I657" t="n">
        <v>0</v>
      </c>
      <c r="J657" t="n">
        <v>0</v>
      </c>
      <c r="K657" t="n">
        <v>0</v>
      </c>
      <c r="L657" t="n">
        <v>0</v>
      </c>
      <c r="M657" t="n">
        <v>0</v>
      </c>
      <c r="N657" t="n">
        <v>0</v>
      </c>
      <c r="O657" t="n">
        <v>0</v>
      </c>
      <c r="P657" t="n">
        <v>0</v>
      </c>
      <c r="Q657" t="n">
        <v>0</v>
      </c>
      <c r="R657" s="2" t="inlineStr"/>
    </row>
    <row r="658" ht="15" customHeight="1">
      <c r="A658" t="inlineStr">
        <is>
          <t>A 18248-2023</t>
        </is>
      </c>
      <c r="B658" s="1" t="n">
        <v>45040</v>
      </c>
      <c r="C658" s="1" t="n">
        <v>45981</v>
      </c>
      <c r="D658" t="inlineStr">
        <is>
          <t>JÄMTLANDS LÄN</t>
        </is>
      </c>
      <c r="E658" t="inlineStr">
        <is>
          <t>RAGUNDA</t>
        </is>
      </c>
      <c r="G658" t="n">
        <v>4.3</v>
      </c>
      <c r="H658" t="n">
        <v>0</v>
      </c>
      <c r="I658" t="n">
        <v>0</v>
      </c>
      <c r="J658" t="n">
        <v>0</v>
      </c>
      <c r="K658" t="n">
        <v>0</v>
      </c>
      <c r="L658" t="n">
        <v>0</v>
      </c>
      <c r="M658" t="n">
        <v>0</v>
      </c>
      <c r="N658" t="n">
        <v>0</v>
      </c>
      <c r="O658" t="n">
        <v>0</v>
      </c>
      <c r="P658" t="n">
        <v>0</v>
      </c>
      <c r="Q658" t="n">
        <v>0</v>
      </c>
      <c r="R658" s="2" t="inlineStr"/>
    </row>
    <row r="659" ht="15" customHeight="1">
      <c r="A659" t="inlineStr">
        <is>
          <t>A 8802-2022</t>
        </is>
      </c>
      <c r="B659" s="1" t="n">
        <v>44614</v>
      </c>
      <c r="C659" s="1" t="n">
        <v>45981</v>
      </c>
      <c r="D659" t="inlineStr">
        <is>
          <t>JÄMTLANDS LÄN</t>
        </is>
      </c>
      <c r="E659" t="inlineStr">
        <is>
          <t>RAGUNDA</t>
        </is>
      </c>
      <c r="G659" t="n">
        <v>2.8</v>
      </c>
      <c r="H659" t="n">
        <v>0</v>
      </c>
      <c r="I659" t="n">
        <v>0</v>
      </c>
      <c r="J659" t="n">
        <v>0</v>
      </c>
      <c r="K659" t="n">
        <v>0</v>
      </c>
      <c r="L659" t="n">
        <v>0</v>
      </c>
      <c r="M659" t="n">
        <v>0</v>
      </c>
      <c r="N659" t="n">
        <v>0</v>
      </c>
      <c r="O659" t="n">
        <v>0</v>
      </c>
      <c r="P659" t="n">
        <v>0</v>
      </c>
      <c r="Q659" t="n">
        <v>0</v>
      </c>
      <c r="R659" s="2" t="inlineStr"/>
    </row>
    <row r="660" ht="15" customHeight="1">
      <c r="A660" t="inlineStr">
        <is>
          <t>A 51906-2025</t>
        </is>
      </c>
      <c r="B660" s="1" t="n">
        <v>45952.4615162037</v>
      </c>
      <c r="C660" s="1" t="n">
        <v>45981</v>
      </c>
      <c r="D660" t="inlineStr">
        <is>
          <t>JÄMTLANDS LÄN</t>
        </is>
      </c>
      <c r="E660" t="inlineStr">
        <is>
          <t>RAGUNDA</t>
        </is>
      </c>
      <c r="G660" t="n">
        <v>4.5</v>
      </c>
      <c r="H660" t="n">
        <v>0</v>
      </c>
      <c r="I660" t="n">
        <v>0</v>
      </c>
      <c r="J660" t="n">
        <v>0</v>
      </c>
      <c r="K660" t="n">
        <v>0</v>
      </c>
      <c r="L660" t="n">
        <v>0</v>
      </c>
      <c r="M660" t="n">
        <v>0</v>
      </c>
      <c r="N660" t="n">
        <v>0</v>
      </c>
      <c r="O660" t="n">
        <v>0</v>
      </c>
      <c r="P660" t="n">
        <v>0</v>
      </c>
      <c r="Q660" t="n">
        <v>0</v>
      </c>
      <c r="R660" s="2" t="inlineStr"/>
    </row>
    <row r="661" ht="15" customHeight="1">
      <c r="A661" t="inlineStr">
        <is>
          <t>A 18777-2024</t>
        </is>
      </c>
      <c r="B661" s="1" t="n">
        <v>45426</v>
      </c>
      <c r="C661" s="1" t="n">
        <v>45981</v>
      </c>
      <c r="D661" t="inlineStr">
        <is>
          <t>JÄMTLANDS LÄN</t>
        </is>
      </c>
      <c r="E661" t="inlineStr">
        <is>
          <t>RAGUNDA</t>
        </is>
      </c>
      <c r="G661" t="n">
        <v>1.9</v>
      </c>
      <c r="H661" t="n">
        <v>0</v>
      </c>
      <c r="I661" t="n">
        <v>0</v>
      </c>
      <c r="J661" t="n">
        <v>0</v>
      </c>
      <c r="K661" t="n">
        <v>0</v>
      </c>
      <c r="L661" t="n">
        <v>0</v>
      </c>
      <c r="M661" t="n">
        <v>0</v>
      </c>
      <c r="N661" t="n">
        <v>0</v>
      </c>
      <c r="O661" t="n">
        <v>0</v>
      </c>
      <c r="P661" t="n">
        <v>0</v>
      </c>
      <c r="Q661" t="n">
        <v>0</v>
      </c>
      <c r="R661" s="2" t="inlineStr"/>
    </row>
    <row r="662" ht="15" customHeight="1">
      <c r="A662" t="inlineStr">
        <is>
          <t>A 39489-2023</t>
        </is>
      </c>
      <c r="B662" s="1" t="n">
        <v>45166</v>
      </c>
      <c r="C662" s="1" t="n">
        <v>45981</v>
      </c>
      <c r="D662" t="inlineStr">
        <is>
          <t>JÄMTLANDS LÄN</t>
        </is>
      </c>
      <c r="E662" t="inlineStr">
        <is>
          <t>RAGUNDA</t>
        </is>
      </c>
      <c r="G662" t="n">
        <v>5</v>
      </c>
      <c r="H662" t="n">
        <v>0</v>
      </c>
      <c r="I662" t="n">
        <v>0</v>
      </c>
      <c r="J662" t="n">
        <v>0</v>
      </c>
      <c r="K662" t="n">
        <v>0</v>
      </c>
      <c r="L662" t="n">
        <v>0</v>
      </c>
      <c r="M662" t="n">
        <v>0</v>
      </c>
      <c r="N662" t="n">
        <v>0</v>
      </c>
      <c r="O662" t="n">
        <v>0</v>
      </c>
      <c r="P662" t="n">
        <v>0</v>
      </c>
      <c r="Q662" t="n">
        <v>0</v>
      </c>
      <c r="R662" s="2" t="inlineStr"/>
    </row>
    <row r="663" ht="15" customHeight="1">
      <c r="A663" t="inlineStr">
        <is>
          <t>A 51882-2025</t>
        </is>
      </c>
      <c r="B663" s="1" t="n">
        <v>45952.40685185185</v>
      </c>
      <c r="C663" s="1" t="n">
        <v>45981</v>
      </c>
      <c r="D663" t="inlineStr">
        <is>
          <t>JÄMTLANDS LÄN</t>
        </is>
      </c>
      <c r="E663" t="inlineStr">
        <is>
          <t>RAGUNDA</t>
        </is>
      </c>
      <c r="F663" t="inlineStr">
        <is>
          <t>SCA</t>
        </is>
      </c>
      <c r="G663" t="n">
        <v>11.9</v>
      </c>
      <c r="H663" t="n">
        <v>0</v>
      </c>
      <c r="I663" t="n">
        <v>0</v>
      </c>
      <c r="J663" t="n">
        <v>0</v>
      </c>
      <c r="K663" t="n">
        <v>0</v>
      </c>
      <c r="L663" t="n">
        <v>0</v>
      </c>
      <c r="M663" t="n">
        <v>0</v>
      </c>
      <c r="N663" t="n">
        <v>0</v>
      </c>
      <c r="O663" t="n">
        <v>0</v>
      </c>
      <c r="P663" t="n">
        <v>0</v>
      </c>
      <c r="Q663" t="n">
        <v>0</v>
      </c>
      <c r="R663" s="2" t="inlineStr"/>
    </row>
    <row r="664" ht="15" customHeight="1">
      <c r="A664" t="inlineStr">
        <is>
          <t>A 52330-2025</t>
        </is>
      </c>
      <c r="B664" s="1" t="n">
        <v>45953.67752314815</v>
      </c>
      <c r="C664" s="1" t="n">
        <v>45981</v>
      </c>
      <c r="D664" t="inlineStr">
        <is>
          <t>JÄMTLANDS LÄN</t>
        </is>
      </c>
      <c r="E664" t="inlineStr">
        <is>
          <t>RAGUNDA</t>
        </is>
      </c>
      <c r="F664" t="inlineStr">
        <is>
          <t>SCA</t>
        </is>
      </c>
      <c r="G664" t="n">
        <v>10.1</v>
      </c>
      <c r="H664" t="n">
        <v>0</v>
      </c>
      <c r="I664" t="n">
        <v>0</v>
      </c>
      <c r="J664" t="n">
        <v>0</v>
      </c>
      <c r="K664" t="n">
        <v>0</v>
      </c>
      <c r="L664" t="n">
        <v>0</v>
      </c>
      <c r="M664" t="n">
        <v>0</v>
      </c>
      <c r="N664" t="n">
        <v>0</v>
      </c>
      <c r="O664" t="n">
        <v>0</v>
      </c>
      <c r="P664" t="n">
        <v>0</v>
      </c>
      <c r="Q664" t="n">
        <v>0</v>
      </c>
      <c r="R664" s="2" t="inlineStr"/>
    </row>
    <row r="665" ht="15" customHeight="1">
      <c r="A665" t="inlineStr">
        <is>
          <t>A 51903-2025</t>
        </is>
      </c>
      <c r="B665" s="1" t="n">
        <v>45952.44857638889</v>
      </c>
      <c r="C665" s="1" t="n">
        <v>45981</v>
      </c>
      <c r="D665" t="inlineStr">
        <is>
          <t>JÄMTLANDS LÄN</t>
        </is>
      </c>
      <c r="E665" t="inlineStr">
        <is>
          <t>RAGUNDA</t>
        </is>
      </c>
      <c r="F665" t="inlineStr">
        <is>
          <t>SCA</t>
        </is>
      </c>
      <c r="G665" t="n">
        <v>20.8</v>
      </c>
      <c r="H665" t="n">
        <v>0</v>
      </c>
      <c r="I665" t="n">
        <v>0</v>
      </c>
      <c r="J665" t="n">
        <v>0</v>
      </c>
      <c r="K665" t="n">
        <v>0</v>
      </c>
      <c r="L665" t="n">
        <v>0</v>
      </c>
      <c r="M665" t="n">
        <v>0</v>
      </c>
      <c r="N665" t="n">
        <v>0</v>
      </c>
      <c r="O665" t="n">
        <v>0</v>
      </c>
      <c r="P665" t="n">
        <v>0</v>
      </c>
      <c r="Q665" t="n">
        <v>0</v>
      </c>
      <c r="R665" s="2" t="inlineStr"/>
    </row>
    <row r="666" ht="15" customHeight="1">
      <c r="A666" t="inlineStr">
        <is>
          <t>A 55214-2022</t>
        </is>
      </c>
      <c r="B666" s="1" t="n">
        <v>44886</v>
      </c>
      <c r="C666" s="1" t="n">
        <v>45981</v>
      </c>
      <c r="D666" t="inlineStr">
        <is>
          <t>JÄMTLANDS LÄN</t>
        </is>
      </c>
      <c r="E666" t="inlineStr">
        <is>
          <t>RAGUNDA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58564-2024</t>
        </is>
      </c>
      <c r="B667" s="1" t="n">
        <v>45635.47243055556</v>
      </c>
      <c r="C667" s="1" t="n">
        <v>45981</v>
      </c>
      <c r="D667" t="inlineStr">
        <is>
          <t>JÄMTLANDS LÄN</t>
        </is>
      </c>
      <c r="E667" t="inlineStr">
        <is>
          <t>RAGUNDA</t>
        </is>
      </c>
      <c r="G667" t="n">
        <v>2.6</v>
      </c>
      <c r="H667" t="n">
        <v>0</v>
      </c>
      <c r="I667" t="n">
        <v>0</v>
      </c>
      <c r="J667" t="n">
        <v>0</v>
      </c>
      <c r="K667" t="n">
        <v>0</v>
      </c>
      <c r="L667" t="n">
        <v>0</v>
      </c>
      <c r="M667" t="n">
        <v>0</v>
      </c>
      <c r="N667" t="n">
        <v>0</v>
      </c>
      <c r="O667" t="n">
        <v>0</v>
      </c>
      <c r="P667" t="n">
        <v>0</v>
      </c>
      <c r="Q667" t="n">
        <v>0</v>
      </c>
      <c r="R667" s="2" t="inlineStr"/>
    </row>
    <row r="668" ht="15" customHeight="1">
      <c r="A668" t="inlineStr">
        <is>
          <t>A 43177-2025</t>
        </is>
      </c>
      <c r="B668" s="1" t="n">
        <v>45910.40667824074</v>
      </c>
      <c r="C668" s="1" t="n">
        <v>45981</v>
      </c>
      <c r="D668" t="inlineStr">
        <is>
          <t>JÄMTLANDS LÄN</t>
        </is>
      </c>
      <c r="E668" t="inlineStr">
        <is>
          <t>RAGUNDA</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52317-2025</t>
        </is>
      </c>
      <c r="B669" s="1" t="n">
        <v>45953.65675925926</v>
      </c>
      <c r="C669" s="1" t="n">
        <v>45981</v>
      </c>
      <c r="D669" t="inlineStr">
        <is>
          <t>JÄMTLANDS LÄN</t>
        </is>
      </c>
      <c r="E669" t="inlineStr">
        <is>
          <t>RAGUNDA</t>
        </is>
      </c>
      <c r="F669" t="inlineStr">
        <is>
          <t>SCA</t>
        </is>
      </c>
      <c r="G669" t="n">
        <v>27.2</v>
      </c>
      <c r="H669" t="n">
        <v>0</v>
      </c>
      <c r="I669" t="n">
        <v>0</v>
      </c>
      <c r="J669" t="n">
        <v>0</v>
      </c>
      <c r="K669" t="n">
        <v>0</v>
      </c>
      <c r="L669" t="n">
        <v>0</v>
      </c>
      <c r="M669" t="n">
        <v>0</v>
      </c>
      <c r="N669" t="n">
        <v>0</v>
      </c>
      <c r="O669" t="n">
        <v>0</v>
      </c>
      <c r="P669" t="n">
        <v>0</v>
      </c>
      <c r="Q669" t="n">
        <v>0</v>
      </c>
      <c r="R669" s="2" t="inlineStr"/>
    </row>
    <row r="670" ht="15" customHeight="1">
      <c r="A670" t="inlineStr">
        <is>
          <t>A 8243-2024</t>
        </is>
      </c>
      <c r="B670" s="1" t="n">
        <v>45351.98532407408</v>
      </c>
      <c r="C670" s="1" t="n">
        <v>45981</v>
      </c>
      <c r="D670" t="inlineStr">
        <is>
          <t>JÄMTLANDS LÄN</t>
        </is>
      </c>
      <c r="E670" t="inlineStr">
        <is>
          <t>RAGUNDA</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43181-2025</t>
        </is>
      </c>
      <c r="B671" s="1" t="n">
        <v>45910.40721064815</v>
      </c>
      <c r="C671" s="1" t="n">
        <v>45981</v>
      </c>
      <c r="D671" t="inlineStr">
        <is>
          <t>JÄMTLANDS LÄN</t>
        </is>
      </c>
      <c r="E671" t="inlineStr">
        <is>
          <t>RAGUNDA</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1325-2025</t>
        </is>
      </c>
      <c r="B672" s="1" t="n">
        <v>45667.57342592593</v>
      </c>
      <c r="C672" s="1" t="n">
        <v>45981</v>
      </c>
      <c r="D672" t="inlineStr">
        <is>
          <t>JÄMTLANDS LÄN</t>
        </is>
      </c>
      <c r="E672" t="inlineStr">
        <is>
          <t>RAGUNDA</t>
        </is>
      </c>
      <c r="F672" t="inlineStr">
        <is>
          <t>SCA</t>
        </is>
      </c>
      <c r="G672" t="n">
        <v>20.2</v>
      </c>
      <c r="H672" t="n">
        <v>0</v>
      </c>
      <c r="I672" t="n">
        <v>0</v>
      </c>
      <c r="J672" t="n">
        <v>0</v>
      </c>
      <c r="K672" t="n">
        <v>0</v>
      </c>
      <c r="L672" t="n">
        <v>0</v>
      </c>
      <c r="M672" t="n">
        <v>0</v>
      </c>
      <c r="N672" t="n">
        <v>0</v>
      </c>
      <c r="O672" t="n">
        <v>0</v>
      </c>
      <c r="P672" t="n">
        <v>0</v>
      </c>
      <c r="Q672" t="n">
        <v>0</v>
      </c>
      <c r="R672" s="2" t="inlineStr"/>
    </row>
    <row r="673" ht="15" customHeight="1">
      <c r="A673" t="inlineStr">
        <is>
          <t>A 52093-2025</t>
        </is>
      </c>
      <c r="B673" s="1" t="n">
        <v>45952.67865740741</v>
      </c>
      <c r="C673" s="1" t="n">
        <v>45981</v>
      </c>
      <c r="D673" t="inlineStr">
        <is>
          <t>JÄMTLANDS LÄN</t>
        </is>
      </c>
      <c r="E673" t="inlineStr">
        <is>
          <t>RAGUNDA</t>
        </is>
      </c>
      <c r="F673" t="inlineStr">
        <is>
          <t>SCA</t>
        </is>
      </c>
      <c r="G673" t="n">
        <v>22.7</v>
      </c>
      <c r="H673" t="n">
        <v>0</v>
      </c>
      <c r="I673" t="n">
        <v>0</v>
      </c>
      <c r="J673" t="n">
        <v>0</v>
      </c>
      <c r="K673" t="n">
        <v>0</v>
      </c>
      <c r="L673" t="n">
        <v>0</v>
      </c>
      <c r="M673" t="n">
        <v>0</v>
      </c>
      <c r="N673" t="n">
        <v>0</v>
      </c>
      <c r="O673" t="n">
        <v>0</v>
      </c>
      <c r="P673" t="n">
        <v>0</v>
      </c>
      <c r="Q673" t="n">
        <v>0</v>
      </c>
      <c r="R673" s="2" t="inlineStr"/>
    </row>
    <row r="674" ht="15" customHeight="1">
      <c r="A674" t="inlineStr">
        <is>
          <t>A 52122-2025</t>
        </is>
      </c>
      <c r="B674" s="1" t="n">
        <v>45952.71946759259</v>
      </c>
      <c r="C674" s="1" t="n">
        <v>45981</v>
      </c>
      <c r="D674" t="inlineStr">
        <is>
          <t>JÄMTLANDS LÄN</t>
        </is>
      </c>
      <c r="E674" t="inlineStr">
        <is>
          <t>RAGUNDA</t>
        </is>
      </c>
      <c r="F674" t="inlineStr">
        <is>
          <t>SCA</t>
        </is>
      </c>
      <c r="G674" t="n">
        <v>8</v>
      </c>
      <c r="H674" t="n">
        <v>0</v>
      </c>
      <c r="I674" t="n">
        <v>0</v>
      </c>
      <c r="J674" t="n">
        <v>0</v>
      </c>
      <c r="K674" t="n">
        <v>0</v>
      </c>
      <c r="L674" t="n">
        <v>0</v>
      </c>
      <c r="M674" t="n">
        <v>0</v>
      </c>
      <c r="N674" t="n">
        <v>0</v>
      </c>
      <c r="O674" t="n">
        <v>0</v>
      </c>
      <c r="P674" t="n">
        <v>0</v>
      </c>
      <c r="Q674" t="n">
        <v>0</v>
      </c>
      <c r="R674" s="2" t="inlineStr"/>
    </row>
    <row r="675" ht="15" customHeight="1">
      <c r="A675" t="inlineStr">
        <is>
          <t>A 18159-2023</t>
        </is>
      </c>
      <c r="B675" s="1" t="n">
        <v>45040.94277777777</v>
      </c>
      <c r="C675" s="1" t="n">
        <v>45981</v>
      </c>
      <c r="D675" t="inlineStr">
        <is>
          <t>JÄMTLANDS LÄN</t>
        </is>
      </c>
      <c r="E675" t="inlineStr">
        <is>
          <t>RAGUNDA</t>
        </is>
      </c>
      <c r="F675" t="inlineStr">
        <is>
          <t>SCA</t>
        </is>
      </c>
      <c r="G675" t="n">
        <v>4</v>
      </c>
      <c r="H675" t="n">
        <v>0</v>
      </c>
      <c r="I675" t="n">
        <v>0</v>
      </c>
      <c r="J675" t="n">
        <v>0</v>
      </c>
      <c r="K675" t="n">
        <v>0</v>
      </c>
      <c r="L675" t="n">
        <v>0</v>
      </c>
      <c r="M675" t="n">
        <v>0</v>
      </c>
      <c r="N675" t="n">
        <v>0</v>
      </c>
      <c r="O675" t="n">
        <v>0</v>
      </c>
      <c r="P675" t="n">
        <v>0</v>
      </c>
      <c r="Q675" t="n">
        <v>0</v>
      </c>
      <c r="R675" s="2" t="inlineStr"/>
    </row>
    <row r="676" ht="15" customHeight="1">
      <c r="A676" t="inlineStr">
        <is>
          <t>A 43330-2025</t>
        </is>
      </c>
      <c r="B676" s="1" t="n">
        <v>45910.67766203704</v>
      </c>
      <c r="C676" s="1" t="n">
        <v>45981</v>
      </c>
      <c r="D676" t="inlineStr">
        <is>
          <t>JÄMTLANDS LÄN</t>
        </is>
      </c>
      <c r="E676" t="inlineStr">
        <is>
          <t>RAGUNDA</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51932-2025</t>
        </is>
      </c>
      <c r="B677" s="1" t="n">
        <v>45952.51094907407</v>
      </c>
      <c r="C677" s="1" t="n">
        <v>45981</v>
      </c>
      <c r="D677" t="inlineStr">
        <is>
          <t>JÄMTLANDS LÄN</t>
        </is>
      </c>
      <c r="E677" t="inlineStr">
        <is>
          <t>RAGUNDA</t>
        </is>
      </c>
      <c r="F677" t="inlineStr">
        <is>
          <t>SCA</t>
        </is>
      </c>
      <c r="G677" t="n">
        <v>39.2</v>
      </c>
      <c r="H677" t="n">
        <v>0</v>
      </c>
      <c r="I677" t="n">
        <v>0</v>
      </c>
      <c r="J677" t="n">
        <v>0</v>
      </c>
      <c r="K677" t="n">
        <v>0</v>
      </c>
      <c r="L677" t="n">
        <v>0</v>
      </c>
      <c r="M677" t="n">
        <v>0</v>
      </c>
      <c r="N677" t="n">
        <v>0</v>
      </c>
      <c r="O677" t="n">
        <v>0</v>
      </c>
      <c r="P677" t="n">
        <v>0</v>
      </c>
      <c r="Q677" t="n">
        <v>0</v>
      </c>
      <c r="R677" s="2" t="inlineStr"/>
    </row>
    <row r="678" ht="15" customHeight="1">
      <c r="A678" t="inlineStr">
        <is>
          <t>A 19486-2024</t>
        </is>
      </c>
      <c r="B678" s="1" t="n">
        <v>45429</v>
      </c>
      <c r="C678" s="1" t="n">
        <v>45981</v>
      </c>
      <c r="D678" t="inlineStr">
        <is>
          <t>JÄMTLANDS LÄN</t>
        </is>
      </c>
      <c r="E678" t="inlineStr">
        <is>
          <t>RAGUNDA</t>
        </is>
      </c>
      <c r="G678" t="n">
        <v>2.3</v>
      </c>
      <c r="H678" t="n">
        <v>0</v>
      </c>
      <c r="I678" t="n">
        <v>0</v>
      </c>
      <c r="J678" t="n">
        <v>0</v>
      </c>
      <c r="K678" t="n">
        <v>0</v>
      </c>
      <c r="L678" t="n">
        <v>0</v>
      </c>
      <c r="M678" t="n">
        <v>0</v>
      </c>
      <c r="N678" t="n">
        <v>0</v>
      </c>
      <c r="O678" t="n">
        <v>0</v>
      </c>
      <c r="P678" t="n">
        <v>0</v>
      </c>
      <c r="Q678" t="n">
        <v>0</v>
      </c>
      <c r="R678" s="2" t="inlineStr"/>
    </row>
    <row r="679" ht="15" customHeight="1">
      <c r="A679" t="inlineStr">
        <is>
          <t>A 1326-2025</t>
        </is>
      </c>
      <c r="B679" s="1" t="n">
        <v>45667.57347222222</v>
      </c>
      <c r="C679" s="1" t="n">
        <v>45981</v>
      </c>
      <c r="D679" t="inlineStr">
        <is>
          <t>JÄMTLANDS LÄN</t>
        </is>
      </c>
      <c r="E679" t="inlineStr">
        <is>
          <t>RAGUNDA</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30642-2024</t>
        </is>
      </c>
      <c r="B680" s="1" t="n">
        <v>45495.57677083334</v>
      </c>
      <c r="C680" s="1" t="n">
        <v>45981</v>
      </c>
      <c r="D680" t="inlineStr">
        <is>
          <t>JÄMTLANDS LÄN</t>
        </is>
      </c>
      <c r="E680" t="inlineStr">
        <is>
          <t>RAGUNDA</t>
        </is>
      </c>
      <c r="G680" t="n">
        <v>2.7</v>
      </c>
      <c r="H680" t="n">
        <v>0</v>
      </c>
      <c r="I680" t="n">
        <v>0</v>
      </c>
      <c r="J680" t="n">
        <v>0</v>
      </c>
      <c r="K680" t="n">
        <v>0</v>
      </c>
      <c r="L680" t="n">
        <v>0</v>
      </c>
      <c r="M680" t="n">
        <v>0</v>
      </c>
      <c r="N680" t="n">
        <v>0</v>
      </c>
      <c r="O680" t="n">
        <v>0</v>
      </c>
      <c r="P680" t="n">
        <v>0</v>
      </c>
      <c r="Q680" t="n">
        <v>0</v>
      </c>
      <c r="R680" s="2" t="inlineStr"/>
    </row>
    <row r="681" ht="15" customHeight="1">
      <c r="A681" t="inlineStr">
        <is>
          <t>A 7722-2023</t>
        </is>
      </c>
      <c r="B681" s="1" t="n">
        <v>44972.94140046297</v>
      </c>
      <c r="C681" s="1" t="n">
        <v>45981</v>
      </c>
      <c r="D681" t="inlineStr">
        <is>
          <t>JÄMTLANDS LÄN</t>
        </is>
      </c>
      <c r="E681" t="inlineStr">
        <is>
          <t>RAGUNDA</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12204-2025</t>
        </is>
      </c>
      <c r="B682" s="1" t="n">
        <v>45729.51074074074</v>
      </c>
      <c r="C682" s="1" t="n">
        <v>45981</v>
      </c>
      <c r="D682" t="inlineStr">
        <is>
          <t>JÄMTLANDS LÄN</t>
        </is>
      </c>
      <c r="E682" t="inlineStr">
        <is>
          <t>RAGUNDA</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993-2025</t>
        </is>
      </c>
      <c r="B683" s="1" t="n">
        <v>45666.44943287037</v>
      </c>
      <c r="C683" s="1" t="n">
        <v>45981</v>
      </c>
      <c r="D683" t="inlineStr">
        <is>
          <t>JÄMTLANDS LÄN</t>
        </is>
      </c>
      <c r="E683" t="inlineStr">
        <is>
          <t>RAGUNDA</t>
        </is>
      </c>
      <c r="G683" t="n">
        <v>11.3</v>
      </c>
      <c r="H683" t="n">
        <v>0</v>
      </c>
      <c r="I683" t="n">
        <v>0</v>
      </c>
      <c r="J683" t="n">
        <v>0</v>
      </c>
      <c r="K683" t="n">
        <v>0</v>
      </c>
      <c r="L683" t="n">
        <v>0</v>
      </c>
      <c r="M683" t="n">
        <v>0</v>
      </c>
      <c r="N683" t="n">
        <v>0</v>
      </c>
      <c r="O683" t="n">
        <v>0</v>
      </c>
      <c r="P683" t="n">
        <v>0</v>
      </c>
      <c r="Q683" t="n">
        <v>0</v>
      </c>
      <c r="R683" s="2" t="inlineStr"/>
    </row>
    <row r="684" ht="15" customHeight="1">
      <c r="A684" t="inlineStr">
        <is>
          <t>A 52875-2025</t>
        </is>
      </c>
      <c r="B684" s="1" t="n">
        <v>45957.53211805555</v>
      </c>
      <c r="C684" s="1" t="n">
        <v>45981</v>
      </c>
      <c r="D684" t="inlineStr">
        <is>
          <t>JÄMTLANDS LÄN</t>
        </is>
      </c>
      <c r="E684" t="inlineStr">
        <is>
          <t>RAGUNDA</t>
        </is>
      </c>
      <c r="F684" t="inlineStr">
        <is>
          <t>SCA</t>
        </is>
      </c>
      <c r="G684" t="n">
        <v>34.3</v>
      </c>
      <c r="H684" t="n">
        <v>0</v>
      </c>
      <c r="I684" t="n">
        <v>0</v>
      </c>
      <c r="J684" t="n">
        <v>0</v>
      </c>
      <c r="K684" t="n">
        <v>0</v>
      </c>
      <c r="L684" t="n">
        <v>0</v>
      </c>
      <c r="M684" t="n">
        <v>0</v>
      </c>
      <c r="N684" t="n">
        <v>0</v>
      </c>
      <c r="O684" t="n">
        <v>0</v>
      </c>
      <c r="P684" t="n">
        <v>0</v>
      </c>
      <c r="Q684" t="n">
        <v>0</v>
      </c>
      <c r="R684" s="2" t="inlineStr"/>
    </row>
    <row r="685" ht="15" customHeight="1">
      <c r="A685" t="inlineStr">
        <is>
          <t>A 58193-2022</t>
        </is>
      </c>
      <c r="B685" s="1" t="n">
        <v>44900.95700231481</v>
      </c>
      <c r="C685" s="1" t="n">
        <v>45981</v>
      </c>
      <c r="D685" t="inlineStr">
        <is>
          <t>JÄMTLANDS LÄN</t>
        </is>
      </c>
      <c r="E685" t="inlineStr">
        <is>
          <t>RAGUNDA</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52972-2025</t>
        </is>
      </c>
      <c r="B686" s="1" t="n">
        <v>45957.67783564814</v>
      </c>
      <c r="C686" s="1" t="n">
        <v>45981</v>
      </c>
      <c r="D686" t="inlineStr">
        <is>
          <t>JÄMTLANDS LÄN</t>
        </is>
      </c>
      <c r="E686" t="inlineStr">
        <is>
          <t>RAGUNDA</t>
        </is>
      </c>
      <c r="F686" t="inlineStr">
        <is>
          <t>SCA</t>
        </is>
      </c>
      <c r="G686" t="n">
        <v>53.4</v>
      </c>
      <c r="H686" t="n">
        <v>0</v>
      </c>
      <c r="I686" t="n">
        <v>0</v>
      </c>
      <c r="J686" t="n">
        <v>0</v>
      </c>
      <c r="K686" t="n">
        <v>0</v>
      </c>
      <c r="L686" t="n">
        <v>0</v>
      </c>
      <c r="M686" t="n">
        <v>0</v>
      </c>
      <c r="N686" t="n">
        <v>0</v>
      </c>
      <c r="O686" t="n">
        <v>0</v>
      </c>
      <c r="P686" t="n">
        <v>0</v>
      </c>
      <c r="Q686" t="n">
        <v>0</v>
      </c>
      <c r="R686" s="2" t="inlineStr"/>
    </row>
    <row r="687" ht="15" customHeight="1">
      <c r="A687" t="inlineStr">
        <is>
          <t>A 25631-2025</t>
        </is>
      </c>
      <c r="B687" s="1" t="n">
        <v>45803.5946875</v>
      </c>
      <c r="C687" s="1" t="n">
        <v>45981</v>
      </c>
      <c r="D687" t="inlineStr">
        <is>
          <t>JÄMTLANDS LÄN</t>
        </is>
      </c>
      <c r="E687" t="inlineStr">
        <is>
          <t>RAGUNDA</t>
        </is>
      </c>
      <c r="G687" t="n">
        <v>1.1</v>
      </c>
      <c r="H687" t="n">
        <v>0</v>
      </c>
      <c r="I687" t="n">
        <v>0</v>
      </c>
      <c r="J687" t="n">
        <v>0</v>
      </c>
      <c r="K687" t="n">
        <v>0</v>
      </c>
      <c r="L687" t="n">
        <v>0</v>
      </c>
      <c r="M687" t="n">
        <v>0</v>
      </c>
      <c r="N687" t="n">
        <v>0</v>
      </c>
      <c r="O687" t="n">
        <v>0</v>
      </c>
      <c r="P687" t="n">
        <v>0</v>
      </c>
      <c r="Q687" t="n">
        <v>0</v>
      </c>
      <c r="R687" s="2" t="inlineStr"/>
    </row>
    <row r="688" ht="15" customHeight="1">
      <c r="A688" t="inlineStr">
        <is>
          <t>A 28081-2022</t>
        </is>
      </c>
      <c r="B688" s="1" t="n">
        <v>44746</v>
      </c>
      <c r="C688" s="1" t="n">
        <v>45981</v>
      </c>
      <c r="D688" t="inlineStr">
        <is>
          <t>JÄMTLANDS LÄN</t>
        </is>
      </c>
      <c r="E688" t="inlineStr">
        <is>
          <t>RAGUNDA</t>
        </is>
      </c>
      <c r="G688" t="n">
        <v>7.2</v>
      </c>
      <c r="H688" t="n">
        <v>0</v>
      </c>
      <c r="I688" t="n">
        <v>0</v>
      </c>
      <c r="J688" t="n">
        <v>0</v>
      </c>
      <c r="K688" t="n">
        <v>0</v>
      </c>
      <c r="L688" t="n">
        <v>0</v>
      </c>
      <c r="M688" t="n">
        <v>0</v>
      </c>
      <c r="N688" t="n">
        <v>0</v>
      </c>
      <c r="O688" t="n">
        <v>0</v>
      </c>
      <c r="P688" t="n">
        <v>0</v>
      </c>
      <c r="Q688" t="n">
        <v>0</v>
      </c>
      <c r="R688" s="2" t="inlineStr"/>
    </row>
    <row r="689" ht="15" customHeight="1">
      <c r="A689" t="inlineStr">
        <is>
          <t>A 13299-2024</t>
        </is>
      </c>
      <c r="B689" s="1" t="n">
        <v>45386.68003472222</v>
      </c>
      <c r="C689" s="1" t="n">
        <v>45981</v>
      </c>
      <c r="D689" t="inlineStr">
        <is>
          <t>JÄMTLANDS LÄN</t>
        </is>
      </c>
      <c r="E689" t="inlineStr">
        <is>
          <t>RAGUNDA</t>
        </is>
      </c>
      <c r="G689" t="n">
        <v>1.9</v>
      </c>
      <c r="H689" t="n">
        <v>0</v>
      </c>
      <c r="I689" t="n">
        <v>0</v>
      </c>
      <c r="J689" t="n">
        <v>0</v>
      </c>
      <c r="K689" t="n">
        <v>0</v>
      </c>
      <c r="L689" t="n">
        <v>0</v>
      </c>
      <c r="M689" t="n">
        <v>0</v>
      </c>
      <c r="N689" t="n">
        <v>0</v>
      </c>
      <c r="O689" t="n">
        <v>0</v>
      </c>
      <c r="P689" t="n">
        <v>0</v>
      </c>
      <c r="Q689" t="n">
        <v>0</v>
      </c>
      <c r="R689" s="2" t="inlineStr"/>
    </row>
    <row r="690" ht="15" customHeight="1">
      <c r="A690" t="inlineStr">
        <is>
          <t>A 15024-2022</t>
        </is>
      </c>
      <c r="B690" s="1" t="n">
        <v>44657</v>
      </c>
      <c r="C690" s="1" t="n">
        <v>45981</v>
      </c>
      <c r="D690" t="inlineStr">
        <is>
          <t>JÄMTLANDS LÄN</t>
        </is>
      </c>
      <c r="E690" t="inlineStr">
        <is>
          <t>RAGUNDA</t>
        </is>
      </c>
      <c r="G690" t="n">
        <v>1.8</v>
      </c>
      <c r="H690" t="n">
        <v>0</v>
      </c>
      <c r="I690" t="n">
        <v>0</v>
      </c>
      <c r="J690" t="n">
        <v>0</v>
      </c>
      <c r="K690" t="n">
        <v>0</v>
      </c>
      <c r="L690" t="n">
        <v>0</v>
      </c>
      <c r="M690" t="n">
        <v>0</v>
      </c>
      <c r="N690" t="n">
        <v>0</v>
      </c>
      <c r="O690" t="n">
        <v>0</v>
      </c>
      <c r="P690" t="n">
        <v>0</v>
      </c>
      <c r="Q690" t="n">
        <v>0</v>
      </c>
      <c r="R690" s="2" t="inlineStr"/>
    </row>
    <row r="691" ht="15" customHeight="1">
      <c r="A691" t="inlineStr">
        <is>
          <t>A 891-2022</t>
        </is>
      </c>
      <c r="B691" s="1" t="n">
        <v>44571</v>
      </c>
      <c r="C691" s="1" t="n">
        <v>45981</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52578-2025</t>
        </is>
      </c>
      <c r="B692" s="1" t="n">
        <v>45954.61508101852</v>
      </c>
      <c r="C692" s="1" t="n">
        <v>45981</v>
      </c>
      <c r="D692" t="inlineStr">
        <is>
          <t>JÄMTLANDS LÄN</t>
        </is>
      </c>
      <c r="E692" t="inlineStr">
        <is>
          <t>RAGUNDA</t>
        </is>
      </c>
      <c r="F692" t="inlineStr">
        <is>
          <t>SCA</t>
        </is>
      </c>
      <c r="G692" t="n">
        <v>25.2</v>
      </c>
      <c r="H692" t="n">
        <v>0</v>
      </c>
      <c r="I692" t="n">
        <v>0</v>
      </c>
      <c r="J692" t="n">
        <v>0</v>
      </c>
      <c r="K692" t="n">
        <v>0</v>
      </c>
      <c r="L692" t="n">
        <v>0</v>
      </c>
      <c r="M692" t="n">
        <v>0</v>
      </c>
      <c r="N692" t="n">
        <v>0</v>
      </c>
      <c r="O692" t="n">
        <v>0</v>
      </c>
      <c r="P692" t="n">
        <v>0</v>
      </c>
      <c r="Q692" t="n">
        <v>0</v>
      </c>
      <c r="R692" s="2" t="inlineStr"/>
    </row>
    <row r="693" ht="15" customHeight="1">
      <c r="A693" t="inlineStr">
        <is>
          <t>A 36371-2023</t>
        </is>
      </c>
      <c r="B693" s="1" t="n">
        <v>45149</v>
      </c>
      <c r="C693" s="1" t="n">
        <v>45981</v>
      </c>
      <c r="D693" t="inlineStr">
        <is>
          <t>JÄMTLANDS LÄN</t>
        </is>
      </c>
      <c r="E693" t="inlineStr">
        <is>
          <t>RAGUNDA</t>
        </is>
      </c>
      <c r="G693" t="n">
        <v>25.7</v>
      </c>
      <c r="H693" t="n">
        <v>0</v>
      </c>
      <c r="I693" t="n">
        <v>0</v>
      </c>
      <c r="J693" t="n">
        <v>0</v>
      </c>
      <c r="K693" t="n">
        <v>0</v>
      </c>
      <c r="L693" t="n">
        <v>0</v>
      </c>
      <c r="M693" t="n">
        <v>0</v>
      </c>
      <c r="N693" t="n">
        <v>0</v>
      </c>
      <c r="O693" t="n">
        <v>0</v>
      </c>
      <c r="P693" t="n">
        <v>0</v>
      </c>
      <c r="Q693" t="n">
        <v>0</v>
      </c>
      <c r="R693" s="2" t="inlineStr"/>
    </row>
    <row r="694" ht="15" customHeight="1">
      <c r="A694" t="inlineStr">
        <is>
          <t>A 56702-2023</t>
        </is>
      </c>
      <c r="B694" s="1" t="n">
        <v>45243</v>
      </c>
      <c r="C694" s="1" t="n">
        <v>45981</v>
      </c>
      <c r="D694" t="inlineStr">
        <is>
          <t>JÄMTLANDS LÄN</t>
        </is>
      </c>
      <c r="E694" t="inlineStr">
        <is>
          <t>RAGUNDA</t>
        </is>
      </c>
      <c r="F694" t="inlineStr">
        <is>
          <t>SCA</t>
        </is>
      </c>
      <c r="G694" t="n">
        <v>10.3</v>
      </c>
      <c r="H694" t="n">
        <v>0</v>
      </c>
      <c r="I694" t="n">
        <v>0</v>
      </c>
      <c r="J694" t="n">
        <v>0</v>
      </c>
      <c r="K694" t="n">
        <v>0</v>
      </c>
      <c r="L694" t="n">
        <v>0</v>
      </c>
      <c r="M694" t="n">
        <v>0</v>
      </c>
      <c r="N694" t="n">
        <v>0</v>
      </c>
      <c r="O694" t="n">
        <v>0</v>
      </c>
      <c r="P694" t="n">
        <v>0</v>
      </c>
      <c r="Q694" t="n">
        <v>0</v>
      </c>
      <c r="R694" s="2" t="inlineStr"/>
    </row>
    <row r="695" ht="15" customHeight="1">
      <c r="A695" t="inlineStr">
        <is>
          <t>A 25376-2025</t>
        </is>
      </c>
      <c r="B695" s="1" t="n">
        <v>45800.63619212963</v>
      </c>
      <c r="C695" s="1" t="n">
        <v>45981</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51049-2024</t>
        </is>
      </c>
      <c r="B696" s="1" t="n">
        <v>45603.44644675926</v>
      </c>
      <c r="C696" s="1" t="n">
        <v>45981</v>
      </c>
      <c r="D696" t="inlineStr">
        <is>
          <t>JÄMTLANDS LÄN</t>
        </is>
      </c>
      <c r="E696" t="inlineStr">
        <is>
          <t>RAGUNDA</t>
        </is>
      </c>
      <c r="F696" t="inlineStr">
        <is>
          <t>SCA</t>
        </is>
      </c>
      <c r="G696" t="n">
        <v>6.9</v>
      </c>
      <c r="H696" t="n">
        <v>0</v>
      </c>
      <c r="I696" t="n">
        <v>0</v>
      </c>
      <c r="J696" t="n">
        <v>0</v>
      </c>
      <c r="K696" t="n">
        <v>0</v>
      </c>
      <c r="L696" t="n">
        <v>0</v>
      </c>
      <c r="M696" t="n">
        <v>0</v>
      </c>
      <c r="N696" t="n">
        <v>0</v>
      </c>
      <c r="O696" t="n">
        <v>0</v>
      </c>
      <c r="P696" t="n">
        <v>0</v>
      </c>
      <c r="Q696" t="n">
        <v>0</v>
      </c>
      <c r="R696" s="2" t="inlineStr"/>
    </row>
    <row r="697" ht="15" customHeight="1">
      <c r="A697" t="inlineStr">
        <is>
          <t>A 44759-2024</t>
        </is>
      </c>
      <c r="B697" s="1" t="n">
        <v>45574.61634259259</v>
      </c>
      <c r="C697" s="1" t="n">
        <v>45981</v>
      </c>
      <c r="D697" t="inlineStr">
        <is>
          <t>JÄMTLANDS LÄN</t>
        </is>
      </c>
      <c r="E697" t="inlineStr">
        <is>
          <t>RAGUNDA</t>
        </is>
      </c>
      <c r="G697" t="n">
        <v>1.9</v>
      </c>
      <c r="H697" t="n">
        <v>0</v>
      </c>
      <c r="I697" t="n">
        <v>0</v>
      </c>
      <c r="J697" t="n">
        <v>0</v>
      </c>
      <c r="K697" t="n">
        <v>0</v>
      </c>
      <c r="L697" t="n">
        <v>0</v>
      </c>
      <c r="M697" t="n">
        <v>0</v>
      </c>
      <c r="N697" t="n">
        <v>0</v>
      </c>
      <c r="O697" t="n">
        <v>0</v>
      </c>
      <c r="P697" t="n">
        <v>0</v>
      </c>
      <c r="Q697" t="n">
        <v>0</v>
      </c>
      <c r="R697" s="2" t="inlineStr"/>
    </row>
    <row r="698" ht="15" customHeight="1">
      <c r="A698" t="inlineStr">
        <is>
          <t>A 52394-2025</t>
        </is>
      </c>
      <c r="B698" s="1" t="n">
        <v>45954.34466435185</v>
      </c>
      <c r="C698" s="1" t="n">
        <v>45981</v>
      </c>
      <c r="D698" t="inlineStr">
        <is>
          <t>JÄMTLANDS LÄN</t>
        </is>
      </c>
      <c r="E698" t="inlineStr">
        <is>
          <t>RAGUNDA</t>
        </is>
      </c>
      <c r="F698" t="inlineStr">
        <is>
          <t>SCA</t>
        </is>
      </c>
      <c r="G698" t="n">
        <v>53.8</v>
      </c>
      <c r="H698" t="n">
        <v>0</v>
      </c>
      <c r="I698" t="n">
        <v>0</v>
      </c>
      <c r="J698" t="n">
        <v>0</v>
      </c>
      <c r="K698" t="n">
        <v>0</v>
      </c>
      <c r="L698" t="n">
        <v>0</v>
      </c>
      <c r="M698" t="n">
        <v>0</v>
      </c>
      <c r="N698" t="n">
        <v>0</v>
      </c>
      <c r="O698" t="n">
        <v>0</v>
      </c>
      <c r="P698" t="n">
        <v>0</v>
      </c>
      <c r="Q698" t="n">
        <v>0</v>
      </c>
      <c r="R698" s="2" t="inlineStr"/>
    </row>
    <row r="699" ht="15" customHeight="1">
      <c r="A699" t="inlineStr">
        <is>
          <t>A 52395-2025</t>
        </is>
      </c>
      <c r="B699" s="1" t="n">
        <v>45954.34487268519</v>
      </c>
      <c r="C699" s="1" t="n">
        <v>45981</v>
      </c>
      <c r="D699" t="inlineStr">
        <is>
          <t>JÄMTLANDS LÄN</t>
        </is>
      </c>
      <c r="E699" t="inlineStr">
        <is>
          <t>RAGUNDA</t>
        </is>
      </c>
      <c r="F699" t="inlineStr">
        <is>
          <t>SCA</t>
        </is>
      </c>
      <c r="G699" t="n">
        <v>14.2</v>
      </c>
      <c r="H699" t="n">
        <v>0</v>
      </c>
      <c r="I699" t="n">
        <v>0</v>
      </c>
      <c r="J699" t="n">
        <v>0</v>
      </c>
      <c r="K699" t="n">
        <v>0</v>
      </c>
      <c r="L699" t="n">
        <v>0</v>
      </c>
      <c r="M699" t="n">
        <v>0</v>
      </c>
      <c r="N699" t="n">
        <v>0</v>
      </c>
      <c r="O699" t="n">
        <v>0</v>
      </c>
      <c r="P699" t="n">
        <v>0</v>
      </c>
      <c r="Q699" t="n">
        <v>0</v>
      </c>
      <c r="R699" s="2" t="inlineStr"/>
    </row>
    <row r="700" ht="15" customHeight="1">
      <c r="A700" t="inlineStr">
        <is>
          <t>A 37324-2022</t>
        </is>
      </c>
      <c r="B700" s="1" t="n">
        <v>44806</v>
      </c>
      <c r="C700" s="1" t="n">
        <v>45981</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32259-2024</t>
        </is>
      </c>
      <c r="B701" s="1" t="n">
        <v>45511</v>
      </c>
      <c r="C701" s="1" t="n">
        <v>45981</v>
      </c>
      <c r="D701" t="inlineStr">
        <is>
          <t>JÄMTLANDS LÄN</t>
        </is>
      </c>
      <c r="E701" t="inlineStr">
        <is>
          <t>RAGUNDA</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41343-2024</t>
        </is>
      </c>
      <c r="B702" s="1" t="n">
        <v>45559.67745370371</v>
      </c>
      <c r="C702" s="1" t="n">
        <v>45981</v>
      </c>
      <c r="D702" t="inlineStr">
        <is>
          <t>JÄMTLANDS LÄN</t>
        </is>
      </c>
      <c r="E702" t="inlineStr">
        <is>
          <t>RAGUNDA</t>
        </is>
      </c>
      <c r="F702" t="inlineStr">
        <is>
          <t>SCA</t>
        </is>
      </c>
      <c r="G702" t="n">
        <v>25.1</v>
      </c>
      <c r="H702" t="n">
        <v>0</v>
      </c>
      <c r="I702" t="n">
        <v>0</v>
      </c>
      <c r="J702" t="n">
        <v>0</v>
      </c>
      <c r="K702" t="n">
        <v>0</v>
      </c>
      <c r="L702" t="n">
        <v>0</v>
      </c>
      <c r="M702" t="n">
        <v>0</v>
      </c>
      <c r="N702" t="n">
        <v>0</v>
      </c>
      <c r="O702" t="n">
        <v>0</v>
      </c>
      <c r="P702" t="n">
        <v>0</v>
      </c>
      <c r="Q702" t="n">
        <v>0</v>
      </c>
      <c r="R702" s="2" t="inlineStr"/>
    </row>
    <row r="703" ht="15" customHeight="1">
      <c r="A703" t="inlineStr">
        <is>
          <t>A 43812-2025</t>
        </is>
      </c>
      <c r="B703" s="1" t="n">
        <v>45912.59417824074</v>
      </c>
      <c r="C703" s="1" t="n">
        <v>45981</v>
      </c>
      <c r="D703" t="inlineStr">
        <is>
          <t>JÄMTLANDS LÄN</t>
        </is>
      </c>
      <c r="E703" t="inlineStr">
        <is>
          <t>RAGUNDA</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45953-2023</t>
        </is>
      </c>
      <c r="B704" s="1" t="n">
        <v>45195.94672453704</v>
      </c>
      <c r="C704" s="1" t="n">
        <v>45981</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25175-2025</t>
        </is>
      </c>
      <c r="B705" s="1" t="n">
        <v>45800.44822916666</v>
      </c>
      <c r="C705" s="1" t="n">
        <v>45981</v>
      </c>
      <c r="D705" t="inlineStr">
        <is>
          <t>JÄMTLANDS LÄN</t>
        </is>
      </c>
      <c r="E705" t="inlineStr">
        <is>
          <t>RAGUNDA</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25177-2025</t>
        </is>
      </c>
      <c r="B706" s="1" t="n">
        <v>45800.44862268519</v>
      </c>
      <c r="C706" s="1" t="n">
        <v>45981</v>
      </c>
      <c r="D706" t="inlineStr">
        <is>
          <t>JÄMTLANDS LÄN</t>
        </is>
      </c>
      <c r="E706" t="inlineStr">
        <is>
          <t>RAGUNDA</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52430-2025</t>
        </is>
      </c>
      <c r="B707" s="1" t="n">
        <v>45954.38592592593</v>
      </c>
      <c r="C707" s="1" t="n">
        <v>45981</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16982-2024</t>
        </is>
      </c>
      <c r="B708" s="1" t="n">
        <v>45412.02506944445</v>
      </c>
      <c r="C708" s="1" t="n">
        <v>45981</v>
      </c>
      <c r="D708" t="inlineStr">
        <is>
          <t>JÄMTLANDS LÄN</t>
        </is>
      </c>
      <c r="E708" t="inlineStr">
        <is>
          <t>RAGUNDA</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43776-2025</t>
        </is>
      </c>
      <c r="B709" s="1" t="n">
        <v>45912.51086805556</v>
      </c>
      <c r="C709" s="1" t="n">
        <v>45981</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43971-2025</t>
        </is>
      </c>
      <c r="B710" s="1" t="n">
        <v>45915.40694444445</v>
      </c>
      <c r="C710" s="1" t="n">
        <v>45981</v>
      </c>
      <c r="D710" t="inlineStr">
        <is>
          <t>JÄMTLANDS LÄN</t>
        </is>
      </c>
      <c r="E710" t="inlineStr">
        <is>
          <t>RAGUNDA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25659-2025</t>
        </is>
      </c>
      <c r="B711" s="1" t="n">
        <v>45803.61552083334</v>
      </c>
      <c r="C711" s="1" t="n">
        <v>45981</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25661-2025</t>
        </is>
      </c>
      <c r="B712" s="1" t="n">
        <v>45803.61557870371</v>
      </c>
      <c r="C712" s="1" t="n">
        <v>45981</v>
      </c>
      <c r="D712" t="inlineStr">
        <is>
          <t>JÄMTLANDS LÄN</t>
        </is>
      </c>
      <c r="E712" t="inlineStr">
        <is>
          <t>RAGUNDA</t>
        </is>
      </c>
      <c r="G712" t="n">
        <v>1.4</v>
      </c>
      <c r="H712" t="n">
        <v>0</v>
      </c>
      <c r="I712" t="n">
        <v>0</v>
      </c>
      <c r="J712" t="n">
        <v>0</v>
      </c>
      <c r="K712" t="n">
        <v>0</v>
      </c>
      <c r="L712" t="n">
        <v>0</v>
      </c>
      <c r="M712" t="n">
        <v>0</v>
      </c>
      <c r="N712" t="n">
        <v>0</v>
      </c>
      <c r="O712" t="n">
        <v>0</v>
      </c>
      <c r="P712" t="n">
        <v>0</v>
      </c>
      <c r="Q712" t="n">
        <v>0</v>
      </c>
      <c r="R712" s="2" t="inlineStr"/>
    </row>
    <row r="713" ht="15" customHeight="1">
      <c r="A713" t="inlineStr">
        <is>
          <t>A 49650-2024</t>
        </is>
      </c>
      <c r="B713" s="1" t="n">
        <v>45596.61569444444</v>
      </c>
      <c r="C713" s="1" t="n">
        <v>45981</v>
      </c>
      <c r="D713" t="inlineStr">
        <is>
          <t>JÄMTLANDS LÄN</t>
        </is>
      </c>
      <c r="E713" t="inlineStr">
        <is>
          <t>RAGUNDA</t>
        </is>
      </c>
      <c r="F713" t="inlineStr">
        <is>
          <t>Naturvårdsverket</t>
        </is>
      </c>
      <c r="G713" t="n">
        <v>3</v>
      </c>
      <c r="H713" t="n">
        <v>0</v>
      </c>
      <c r="I713" t="n">
        <v>0</v>
      </c>
      <c r="J713" t="n">
        <v>0</v>
      </c>
      <c r="K713" t="n">
        <v>0</v>
      </c>
      <c r="L713" t="n">
        <v>0</v>
      </c>
      <c r="M713" t="n">
        <v>0</v>
      </c>
      <c r="N713" t="n">
        <v>0</v>
      </c>
      <c r="O713" t="n">
        <v>0</v>
      </c>
      <c r="P713" t="n">
        <v>0</v>
      </c>
      <c r="Q713" t="n">
        <v>0</v>
      </c>
      <c r="R713" s="2" t="inlineStr"/>
    </row>
    <row r="714" ht="15" customHeight="1">
      <c r="A714" t="inlineStr">
        <is>
          <t>A 49651-2024</t>
        </is>
      </c>
      <c r="B714" s="1" t="n">
        <v>45596.61582175926</v>
      </c>
      <c r="C714" s="1" t="n">
        <v>45981</v>
      </c>
      <c r="D714" t="inlineStr">
        <is>
          <t>JÄMTLANDS LÄN</t>
        </is>
      </c>
      <c r="E714" t="inlineStr">
        <is>
          <t>RAGUNDA</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43804-2025</t>
        </is>
      </c>
      <c r="B715" s="1" t="n">
        <v>45912.57373842593</v>
      </c>
      <c r="C715" s="1" t="n">
        <v>45981</v>
      </c>
      <c r="D715" t="inlineStr">
        <is>
          <t>JÄMTLANDS LÄN</t>
        </is>
      </c>
      <c r="E715" t="inlineStr">
        <is>
          <t>RAGUNDA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5313-2025</t>
        </is>
      </c>
      <c r="B716" s="1" t="n">
        <v>45692.51069444444</v>
      </c>
      <c r="C716" s="1" t="n">
        <v>45981</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5357-2025</t>
        </is>
      </c>
      <c r="B717" s="1" t="n">
        <v>45692.57326388889</v>
      </c>
      <c r="C717" s="1" t="n">
        <v>45981</v>
      </c>
      <c r="D717" t="inlineStr">
        <is>
          <t>JÄMTLANDS LÄN</t>
        </is>
      </c>
      <c r="E717" t="inlineStr">
        <is>
          <t>RAGUNDA</t>
        </is>
      </c>
      <c r="F717" t="inlineStr">
        <is>
          <t>SCA</t>
        </is>
      </c>
      <c r="G717" t="n">
        <v>5.4</v>
      </c>
      <c r="H717" t="n">
        <v>0</v>
      </c>
      <c r="I717" t="n">
        <v>0</v>
      </c>
      <c r="J717" t="n">
        <v>0</v>
      </c>
      <c r="K717" t="n">
        <v>0</v>
      </c>
      <c r="L717" t="n">
        <v>0</v>
      </c>
      <c r="M717" t="n">
        <v>0</v>
      </c>
      <c r="N717" t="n">
        <v>0</v>
      </c>
      <c r="O717" t="n">
        <v>0</v>
      </c>
      <c r="P717" t="n">
        <v>0</v>
      </c>
      <c r="Q717" t="n">
        <v>0</v>
      </c>
      <c r="R717" s="2" t="inlineStr"/>
    </row>
    <row r="718" ht="15" customHeight="1">
      <c r="A718" t="inlineStr">
        <is>
          <t>A 3018-2024</t>
        </is>
      </c>
      <c r="B718" s="1" t="n">
        <v>45315.9492824074</v>
      </c>
      <c r="C718" s="1" t="n">
        <v>45981</v>
      </c>
      <c r="D718" t="inlineStr">
        <is>
          <t>JÄMTLANDS LÄN</t>
        </is>
      </c>
      <c r="E718" t="inlineStr">
        <is>
          <t>RAGUNDA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44605-2024</t>
        </is>
      </c>
      <c r="B719" s="1" t="n">
        <v>45574.51185185185</v>
      </c>
      <c r="C719" s="1" t="n">
        <v>45981</v>
      </c>
      <c r="D719" t="inlineStr">
        <is>
          <t>JÄMTLANDS LÄN</t>
        </is>
      </c>
      <c r="E719" t="inlineStr">
        <is>
          <t>RAGUNDA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25350-2025</t>
        </is>
      </c>
      <c r="B720" s="1" t="n">
        <v>45800</v>
      </c>
      <c r="C720" s="1" t="n">
        <v>45981</v>
      </c>
      <c r="D720" t="inlineStr">
        <is>
          <t>JÄMTLANDS LÄN</t>
        </is>
      </c>
      <c r="E720" t="inlineStr">
        <is>
          <t>RAGUNDA</t>
        </is>
      </c>
      <c r="G720" t="n">
        <v>2.4</v>
      </c>
      <c r="H720" t="n">
        <v>0</v>
      </c>
      <c r="I720" t="n">
        <v>0</v>
      </c>
      <c r="J720" t="n">
        <v>0</v>
      </c>
      <c r="K720" t="n">
        <v>0</v>
      </c>
      <c r="L720" t="n">
        <v>0</v>
      </c>
      <c r="M720" t="n">
        <v>0</v>
      </c>
      <c r="N720" t="n">
        <v>0</v>
      </c>
      <c r="O720" t="n">
        <v>0</v>
      </c>
      <c r="P720" t="n">
        <v>0</v>
      </c>
      <c r="Q720" t="n">
        <v>0</v>
      </c>
      <c r="R720" s="2" t="inlineStr"/>
    </row>
    <row r="721" ht="15" customHeight="1">
      <c r="A721" t="inlineStr">
        <is>
          <t>A 20773-2024</t>
        </is>
      </c>
      <c r="B721" s="1" t="n">
        <v>45436.94636574074</v>
      </c>
      <c r="C721" s="1" t="n">
        <v>45981</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34323-2023</t>
        </is>
      </c>
      <c r="B722" s="1" t="n">
        <v>45138.94925925926</v>
      </c>
      <c r="C722" s="1" t="n">
        <v>45981</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25152-2025</t>
        </is>
      </c>
      <c r="B723" s="1" t="n">
        <v>45800.42743055556</v>
      </c>
      <c r="C723" s="1" t="n">
        <v>45981</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19613-2023</t>
        </is>
      </c>
      <c r="B724" s="1" t="n">
        <v>45050.94020833333</v>
      </c>
      <c r="C724" s="1" t="n">
        <v>45981</v>
      </c>
      <c r="D724" t="inlineStr">
        <is>
          <t>JÄMTLANDS LÄN</t>
        </is>
      </c>
      <c r="E724" t="inlineStr">
        <is>
          <t>RAGUNDA</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25814-2025</t>
        </is>
      </c>
      <c r="B725" s="1" t="n">
        <v>45804.42642361111</v>
      </c>
      <c r="C725" s="1" t="n">
        <v>45981</v>
      </c>
      <c r="D725" t="inlineStr">
        <is>
          <t>JÄMTLANDS LÄN</t>
        </is>
      </c>
      <c r="E725" t="inlineStr">
        <is>
          <t>RAGUNDA</t>
        </is>
      </c>
      <c r="G725" t="n">
        <v>0.8</v>
      </c>
      <c r="H725" t="n">
        <v>0</v>
      </c>
      <c r="I725" t="n">
        <v>0</v>
      </c>
      <c r="J725" t="n">
        <v>0</v>
      </c>
      <c r="K725" t="n">
        <v>0</v>
      </c>
      <c r="L725" t="n">
        <v>0</v>
      </c>
      <c r="M725" t="n">
        <v>0</v>
      </c>
      <c r="N725" t="n">
        <v>0</v>
      </c>
      <c r="O725" t="n">
        <v>0</v>
      </c>
      <c r="P725" t="n">
        <v>0</v>
      </c>
      <c r="Q725" t="n">
        <v>0</v>
      </c>
      <c r="R725" s="2" t="inlineStr"/>
    </row>
    <row r="726" ht="15" customHeight="1">
      <c r="A726" t="inlineStr">
        <is>
          <t>A 64264-2023</t>
        </is>
      </c>
      <c r="B726" s="1" t="n">
        <v>45279.94564814815</v>
      </c>
      <c r="C726" s="1" t="n">
        <v>45981</v>
      </c>
      <c r="D726" t="inlineStr">
        <is>
          <t>JÄMTLANDS LÄN</t>
        </is>
      </c>
      <c r="E726" t="inlineStr">
        <is>
          <t>RAGUNDA</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50486-2023</t>
        </is>
      </c>
      <c r="B727" s="1" t="n">
        <v>45216.92424768519</v>
      </c>
      <c r="C727" s="1" t="n">
        <v>45981</v>
      </c>
      <c r="D727" t="inlineStr">
        <is>
          <t>JÄMTLANDS LÄN</t>
        </is>
      </c>
      <c r="E727" t="inlineStr">
        <is>
          <t>RAGUNDA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25944-2025</t>
        </is>
      </c>
      <c r="B728" s="1" t="n">
        <v>45804.59487268519</v>
      </c>
      <c r="C728" s="1" t="n">
        <v>45981</v>
      </c>
      <c r="D728" t="inlineStr">
        <is>
          <t>JÄMTLANDS LÄN</t>
        </is>
      </c>
      <c r="E728" t="inlineStr">
        <is>
          <t>RAGUNDA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26283-2025</t>
        </is>
      </c>
      <c r="B729" s="1" t="n">
        <v>45805.61495370371</v>
      </c>
      <c r="C729" s="1" t="n">
        <v>45981</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10788-2025</t>
        </is>
      </c>
      <c r="B730" s="1" t="n">
        <v>45722.48982638889</v>
      </c>
      <c r="C730" s="1" t="n">
        <v>45981</v>
      </c>
      <c r="D730" t="inlineStr">
        <is>
          <t>JÄMTLANDS LÄN</t>
        </is>
      </c>
      <c r="E730" t="inlineStr">
        <is>
          <t>RAGUNDA</t>
        </is>
      </c>
      <c r="G730" t="n">
        <v>3.5</v>
      </c>
      <c r="H730" t="n">
        <v>0</v>
      </c>
      <c r="I730" t="n">
        <v>0</v>
      </c>
      <c r="J730" t="n">
        <v>0</v>
      </c>
      <c r="K730" t="n">
        <v>0</v>
      </c>
      <c r="L730" t="n">
        <v>0</v>
      </c>
      <c r="M730" t="n">
        <v>0</v>
      </c>
      <c r="N730" t="n">
        <v>0</v>
      </c>
      <c r="O730" t="n">
        <v>0</v>
      </c>
      <c r="P730" t="n">
        <v>0</v>
      </c>
      <c r="Q730" t="n">
        <v>0</v>
      </c>
      <c r="R730" s="2" t="inlineStr"/>
    </row>
    <row r="731" ht="15" customHeight="1">
      <c r="A731" t="inlineStr">
        <is>
          <t>A 53075-2025</t>
        </is>
      </c>
      <c r="B731" s="1" t="n">
        <v>45958.38584490741</v>
      </c>
      <c r="C731" s="1" t="n">
        <v>45981</v>
      </c>
      <c r="D731" t="inlineStr">
        <is>
          <t>JÄMTLANDS LÄN</t>
        </is>
      </c>
      <c r="E731" t="inlineStr">
        <is>
          <t>RAGUNDA</t>
        </is>
      </c>
      <c r="F731" t="inlineStr">
        <is>
          <t>SCA</t>
        </is>
      </c>
      <c r="G731" t="n">
        <v>28.9</v>
      </c>
      <c r="H731" t="n">
        <v>0</v>
      </c>
      <c r="I731" t="n">
        <v>0</v>
      </c>
      <c r="J731" t="n">
        <v>0</v>
      </c>
      <c r="K731" t="n">
        <v>0</v>
      </c>
      <c r="L731" t="n">
        <v>0</v>
      </c>
      <c r="M731" t="n">
        <v>0</v>
      </c>
      <c r="N731" t="n">
        <v>0</v>
      </c>
      <c r="O731" t="n">
        <v>0</v>
      </c>
      <c r="P731" t="n">
        <v>0</v>
      </c>
      <c r="Q731" t="n">
        <v>0</v>
      </c>
      <c r="R731" s="2" t="inlineStr"/>
    </row>
    <row r="732" ht="15" customHeight="1">
      <c r="A732" t="inlineStr">
        <is>
          <t>A 24258-2025</t>
        </is>
      </c>
      <c r="B732" s="1" t="n">
        <v>45797.40800925926</v>
      </c>
      <c r="C732" s="1" t="n">
        <v>45981</v>
      </c>
      <c r="D732" t="inlineStr">
        <is>
          <t>JÄMTLANDS LÄN</t>
        </is>
      </c>
      <c r="E732" t="inlineStr">
        <is>
          <t>RAGUNDA</t>
        </is>
      </c>
      <c r="G732" t="n">
        <v>1.2</v>
      </c>
      <c r="H732" t="n">
        <v>0</v>
      </c>
      <c r="I732" t="n">
        <v>0</v>
      </c>
      <c r="J732" t="n">
        <v>0</v>
      </c>
      <c r="K732" t="n">
        <v>0</v>
      </c>
      <c r="L732" t="n">
        <v>0</v>
      </c>
      <c r="M732" t="n">
        <v>0</v>
      </c>
      <c r="N732" t="n">
        <v>0</v>
      </c>
      <c r="O732" t="n">
        <v>0</v>
      </c>
      <c r="P732" t="n">
        <v>0</v>
      </c>
      <c r="Q732" t="n">
        <v>0</v>
      </c>
      <c r="R732" s="2" t="inlineStr"/>
    </row>
    <row r="733" ht="15" customHeight="1">
      <c r="A733" t="inlineStr">
        <is>
          <t>A 51538-2022</t>
        </is>
      </c>
      <c r="B733" s="1" t="n">
        <v>44869</v>
      </c>
      <c r="C733" s="1" t="n">
        <v>45981</v>
      </c>
      <c r="D733" t="inlineStr">
        <is>
          <t>JÄMTLANDS LÄN</t>
        </is>
      </c>
      <c r="E733" t="inlineStr">
        <is>
          <t>RAGUNDA</t>
        </is>
      </c>
      <c r="G733" t="n">
        <v>6.8</v>
      </c>
      <c r="H733" t="n">
        <v>0</v>
      </c>
      <c r="I733" t="n">
        <v>0</v>
      </c>
      <c r="J733" t="n">
        <v>0</v>
      </c>
      <c r="K733" t="n">
        <v>0</v>
      </c>
      <c r="L733" t="n">
        <v>0</v>
      </c>
      <c r="M733" t="n">
        <v>0</v>
      </c>
      <c r="N733" t="n">
        <v>0</v>
      </c>
      <c r="O733" t="n">
        <v>0</v>
      </c>
      <c r="P733" t="n">
        <v>0</v>
      </c>
      <c r="Q733" t="n">
        <v>0</v>
      </c>
      <c r="R733" s="2" t="inlineStr"/>
    </row>
    <row r="734" ht="15" customHeight="1">
      <c r="A734" t="inlineStr">
        <is>
          <t>A 25994-2025</t>
        </is>
      </c>
      <c r="B734" s="1" t="n">
        <v>45804.65672453704</v>
      </c>
      <c r="C734" s="1" t="n">
        <v>45981</v>
      </c>
      <c r="D734" t="inlineStr">
        <is>
          <t>JÄMTLANDS LÄN</t>
        </is>
      </c>
      <c r="E734" t="inlineStr">
        <is>
          <t>RAGUNDA</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19854-2025</t>
        </is>
      </c>
      <c r="B735" s="1" t="n">
        <v>45771.51074074074</v>
      </c>
      <c r="C735" s="1" t="n">
        <v>45981</v>
      </c>
      <c r="D735" t="inlineStr">
        <is>
          <t>JÄMTLANDS LÄN</t>
        </is>
      </c>
      <c r="E735" t="inlineStr">
        <is>
          <t>RAGUNDA</t>
        </is>
      </c>
      <c r="F735" t="inlineStr">
        <is>
          <t>SCA</t>
        </is>
      </c>
      <c r="G735" t="n">
        <v>8.4</v>
      </c>
      <c r="H735" t="n">
        <v>0</v>
      </c>
      <c r="I735" t="n">
        <v>0</v>
      </c>
      <c r="J735" t="n">
        <v>0</v>
      </c>
      <c r="K735" t="n">
        <v>0</v>
      </c>
      <c r="L735" t="n">
        <v>0</v>
      </c>
      <c r="M735" t="n">
        <v>0</v>
      </c>
      <c r="N735" t="n">
        <v>0</v>
      </c>
      <c r="O735" t="n">
        <v>0</v>
      </c>
      <c r="P735" t="n">
        <v>0</v>
      </c>
      <c r="Q735" t="n">
        <v>0</v>
      </c>
      <c r="R735" s="2" t="inlineStr"/>
    </row>
    <row r="736" ht="15" customHeight="1">
      <c r="A736" t="inlineStr">
        <is>
          <t>A 26172-2025</t>
        </is>
      </c>
      <c r="B736" s="1" t="n">
        <v>45805.46613425926</v>
      </c>
      <c r="C736" s="1" t="n">
        <v>45981</v>
      </c>
      <c r="D736" t="inlineStr">
        <is>
          <t>JÄMTLANDS LÄN</t>
        </is>
      </c>
      <c r="E736" t="inlineStr">
        <is>
          <t>RAGUNDA</t>
        </is>
      </c>
      <c r="G736" t="n">
        <v>2.1</v>
      </c>
      <c r="H736" t="n">
        <v>0</v>
      </c>
      <c r="I736" t="n">
        <v>0</v>
      </c>
      <c r="J736" t="n">
        <v>0</v>
      </c>
      <c r="K736" t="n">
        <v>0</v>
      </c>
      <c r="L736" t="n">
        <v>0</v>
      </c>
      <c r="M736" t="n">
        <v>0</v>
      </c>
      <c r="N736" t="n">
        <v>0</v>
      </c>
      <c r="O736" t="n">
        <v>0</v>
      </c>
      <c r="P736" t="n">
        <v>0</v>
      </c>
      <c r="Q736" t="n">
        <v>0</v>
      </c>
      <c r="R736" s="2" t="inlineStr"/>
    </row>
    <row r="737" ht="15" customHeight="1">
      <c r="A737" t="inlineStr">
        <is>
          <t>A 26246-2025</t>
        </is>
      </c>
      <c r="B737" s="1" t="n">
        <v>45805.57390046296</v>
      </c>
      <c r="C737" s="1" t="n">
        <v>45981</v>
      </c>
      <c r="D737" t="inlineStr">
        <is>
          <t>JÄMTLANDS LÄN</t>
        </is>
      </c>
      <c r="E737" t="inlineStr">
        <is>
          <t>RAGUNDA</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42893-2022</t>
        </is>
      </c>
      <c r="B738" s="1" t="n">
        <v>44832</v>
      </c>
      <c r="C738" s="1" t="n">
        <v>45981</v>
      </c>
      <c r="D738" t="inlineStr">
        <is>
          <t>JÄMTLANDS LÄN</t>
        </is>
      </c>
      <c r="E738" t="inlineStr">
        <is>
          <t>RAGUNDA</t>
        </is>
      </c>
      <c r="F738" t="inlineStr">
        <is>
          <t>SCA</t>
        </is>
      </c>
      <c r="G738" t="n">
        <v>28.4</v>
      </c>
      <c r="H738" t="n">
        <v>0</v>
      </c>
      <c r="I738" t="n">
        <v>0</v>
      </c>
      <c r="J738" t="n">
        <v>0</v>
      </c>
      <c r="K738" t="n">
        <v>0</v>
      </c>
      <c r="L738" t="n">
        <v>0</v>
      </c>
      <c r="M738" t="n">
        <v>0</v>
      </c>
      <c r="N738" t="n">
        <v>0</v>
      </c>
      <c r="O738" t="n">
        <v>0</v>
      </c>
      <c r="P738" t="n">
        <v>0</v>
      </c>
      <c r="Q738" t="n">
        <v>0</v>
      </c>
      <c r="R738" s="2" t="inlineStr"/>
    </row>
    <row r="739" ht="15" customHeight="1">
      <c r="A739" t="inlineStr">
        <is>
          <t>A 50503-2024</t>
        </is>
      </c>
      <c r="B739" s="1" t="n">
        <v>45601.5315625</v>
      </c>
      <c r="C739" s="1" t="n">
        <v>45981</v>
      </c>
      <c r="D739" t="inlineStr">
        <is>
          <t>JÄMTLANDS LÄN</t>
        </is>
      </c>
      <c r="E739" t="inlineStr">
        <is>
          <t>RAGUNDA</t>
        </is>
      </c>
      <c r="F739" t="inlineStr">
        <is>
          <t>SCA</t>
        </is>
      </c>
      <c r="G739" t="n">
        <v>5.2</v>
      </c>
      <c r="H739" t="n">
        <v>0</v>
      </c>
      <c r="I739" t="n">
        <v>0</v>
      </c>
      <c r="J739" t="n">
        <v>0</v>
      </c>
      <c r="K739" t="n">
        <v>0</v>
      </c>
      <c r="L739" t="n">
        <v>0</v>
      </c>
      <c r="M739" t="n">
        <v>0</v>
      </c>
      <c r="N739" t="n">
        <v>0</v>
      </c>
      <c r="O739" t="n">
        <v>0</v>
      </c>
      <c r="P739" t="n">
        <v>0</v>
      </c>
      <c r="Q739" t="n">
        <v>0</v>
      </c>
      <c r="R739" s="2" t="inlineStr"/>
    </row>
    <row r="740" ht="15" customHeight="1">
      <c r="A740" t="inlineStr">
        <is>
          <t>A 10610-2024</t>
        </is>
      </c>
      <c r="B740" s="1" t="n">
        <v>45367.04693287037</v>
      </c>
      <c r="C740" s="1" t="n">
        <v>45981</v>
      </c>
      <c r="D740" t="inlineStr">
        <is>
          <t>JÄMTLANDS LÄN</t>
        </is>
      </c>
      <c r="E740" t="inlineStr">
        <is>
          <t>RAGUNDA</t>
        </is>
      </c>
      <c r="F740" t="inlineStr">
        <is>
          <t>SCA</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53211-2025</t>
        </is>
      </c>
      <c r="B741" s="1" t="n">
        <v>45958.59490740741</v>
      </c>
      <c r="C741" s="1" t="n">
        <v>45981</v>
      </c>
      <c r="D741" t="inlineStr">
        <is>
          <t>JÄMTLANDS LÄN</t>
        </is>
      </c>
      <c r="E741" t="inlineStr">
        <is>
          <t>RAGUNDA</t>
        </is>
      </c>
      <c r="F741" t="inlineStr">
        <is>
          <t>SCA</t>
        </is>
      </c>
      <c r="G741" t="n">
        <v>7.4</v>
      </c>
      <c r="H741" t="n">
        <v>0</v>
      </c>
      <c r="I741" t="n">
        <v>0</v>
      </c>
      <c r="J741" t="n">
        <v>0</v>
      </c>
      <c r="K741" t="n">
        <v>0</v>
      </c>
      <c r="L741" t="n">
        <v>0</v>
      </c>
      <c r="M741" t="n">
        <v>0</v>
      </c>
      <c r="N741" t="n">
        <v>0</v>
      </c>
      <c r="O741" t="n">
        <v>0</v>
      </c>
      <c r="P741" t="n">
        <v>0</v>
      </c>
      <c r="Q741" t="n">
        <v>0</v>
      </c>
      <c r="R741" s="2" t="inlineStr"/>
    </row>
    <row r="742" ht="15" customHeight="1">
      <c r="A742" t="inlineStr">
        <is>
          <t>A 73278-2021</t>
        </is>
      </c>
      <c r="B742" s="1" t="n">
        <v>44550.92168981482</v>
      </c>
      <c r="C742" s="1" t="n">
        <v>45981</v>
      </c>
      <c r="D742" t="inlineStr">
        <is>
          <t>JÄMTLANDS LÄN</t>
        </is>
      </c>
      <c r="E742" t="inlineStr">
        <is>
          <t>RAGUNDA</t>
        </is>
      </c>
      <c r="G742" t="n">
        <v>4.4</v>
      </c>
      <c r="H742" t="n">
        <v>0</v>
      </c>
      <c r="I742" t="n">
        <v>0</v>
      </c>
      <c r="J742" t="n">
        <v>0</v>
      </c>
      <c r="K742" t="n">
        <v>0</v>
      </c>
      <c r="L742" t="n">
        <v>0</v>
      </c>
      <c r="M742" t="n">
        <v>0</v>
      </c>
      <c r="N742" t="n">
        <v>0</v>
      </c>
      <c r="O742" t="n">
        <v>0</v>
      </c>
      <c r="P742" t="n">
        <v>0</v>
      </c>
      <c r="Q742" t="n">
        <v>0</v>
      </c>
      <c r="R742" s="2" t="inlineStr"/>
    </row>
    <row r="743" ht="15" customHeight="1">
      <c r="A743" t="inlineStr">
        <is>
          <t>A 10706-2023</t>
        </is>
      </c>
      <c r="B743" s="1" t="n">
        <v>44984</v>
      </c>
      <c r="C743" s="1" t="n">
        <v>45981</v>
      </c>
      <c r="D743" t="inlineStr">
        <is>
          <t>JÄMTLANDS LÄN</t>
        </is>
      </c>
      <c r="E743" t="inlineStr">
        <is>
          <t>RAGUNDA</t>
        </is>
      </c>
      <c r="G743" t="n">
        <v>7.7</v>
      </c>
      <c r="H743" t="n">
        <v>0</v>
      </c>
      <c r="I743" t="n">
        <v>0</v>
      </c>
      <c r="J743" t="n">
        <v>0</v>
      </c>
      <c r="K743" t="n">
        <v>0</v>
      </c>
      <c r="L743" t="n">
        <v>0</v>
      </c>
      <c r="M743" t="n">
        <v>0</v>
      </c>
      <c r="N743" t="n">
        <v>0</v>
      </c>
      <c r="O743" t="n">
        <v>0</v>
      </c>
      <c r="P743" t="n">
        <v>0</v>
      </c>
      <c r="Q743" t="n">
        <v>0</v>
      </c>
      <c r="R743" s="2" t="inlineStr"/>
    </row>
    <row r="744" ht="15" customHeight="1">
      <c r="A744" t="inlineStr">
        <is>
          <t>A 29940-2023</t>
        </is>
      </c>
      <c r="B744" s="1" t="n">
        <v>45107</v>
      </c>
      <c r="C744" s="1" t="n">
        <v>45981</v>
      </c>
      <c r="D744" t="inlineStr">
        <is>
          <t>JÄMTLANDS LÄN</t>
        </is>
      </c>
      <c r="E744" t="inlineStr">
        <is>
          <t>RAGUNDA</t>
        </is>
      </c>
      <c r="G744" t="n">
        <v>13.5</v>
      </c>
      <c r="H744" t="n">
        <v>0</v>
      </c>
      <c r="I744" t="n">
        <v>0</v>
      </c>
      <c r="J744" t="n">
        <v>0</v>
      </c>
      <c r="K744" t="n">
        <v>0</v>
      </c>
      <c r="L744" t="n">
        <v>0</v>
      </c>
      <c r="M744" t="n">
        <v>0</v>
      </c>
      <c r="N744" t="n">
        <v>0</v>
      </c>
      <c r="O744" t="n">
        <v>0</v>
      </c>
      <c r="P744" t="n">
        <v>0</v>
      </c>
      <c r="Q744" t="n">
        <v>0</v>
      </c>
      <c r="R744" s="2" t="inlineStr"/>
    </row>
    <row r="745" ht="15" customHeight="1">
      <c r="A745" t="inlineStr">
        <is>
          <t>A 51396-2024</t>
        </is>
      </c>
      <c r="B745" s="1" t="n">
        <v>45604.4190625</v>
      </c>
      <c r="C745" s="1" t="n">
        <v>45981</v>
      </c>
      <c r="D745" t="inlineStr">
        <is>
          <t>JÄMTLANDS LÄN</t>
        </is>
      </c>
      <c r="E745" t="inlineStr">
        <is>
          <t>RAGUNDA</t>
        </is>
      </c>
      <c r="G745" t="n">
        <v>0.8</v>
      </c>
      <c r="H745" t="n">
        <v>0</v>
      </c>
      <c r="I745" t="n">
        <v>0</v>
      </c>
      <c r="J745" t="n">
        <v>0</v>
      </c>
      <c r="K745" t="n">
        <v>0</v>
      </c>
      <c r="L745" t="n">
        <v>0</v>
      </c>
      <c r="M745" t="n">
        <v>0</v>
      </c>
      <c r="N745" t="n">
        <v>0</v>
      </c>
      <c r="O745" t="n">
        <v>0</v>
      </c>
      <c r="P745" t="n">
        <v>0</v>
      </c>
      <c r="Q745" t="n">
        <v>0</v>
      </c>
      <c r="R745" s="2" t="inlineStr"/>
    </row>
    <row r="746" ht="15" customHeight="1">
      <c r="A746" t="inlineStr">
        <is>
          <t>A 63708-2023</t>
        </is>
      </c>
      <c r="B746" s="1" t="n">
        <v>45275.95060185185</v>
      </c>
      <c r="C746" s="1" t="n">
        <v>45981</v>
      </c>
      <c r="D746" t="inlineStr">
        <is>
          <t>JÄMTLANDS LÄN</t>
        </is>
      </c>
      <c r="E746" t="inlineStr">
        <is>
          <t>RAGUNDA</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16250-2022</t>
        </is>
      </c>
      <c r="B747" s="1" t="n">
        <v>44670</v>
      </c>
      <c r="C747" s="1" t="n">
        <v>45981</v>
      </c>
      <c r="D747" t="inlineStr">
        <is>
          <t>JÄMTLANDS LÄN</t>
        </is>
      </c>
      <c r="E747" t="inlineStr">
        <is>
          <t>RAGUNDA</t>
        </is>
      </c>
      <c r="G747" t="n">
        <v>1</v>
      </c>
      <c r="H747" t="n">
        <v>0</v>
      </c>
      <c r="I747" t="n">
        <v>0</v>
      </c>
      <c r="J747" t="n">
        <v>0</v>
      </c>
      <c r="K747" t="n">
        <v>0</v>
      </c>
      <c r="L747" t="n">
        <v>0</v>
      </c>
      <c r="M747" t="n">
        <v>0</v>
      </c>
      <c r="N747" t="n">
        <v>0</v>
      </c>
      <c r="O747" t="n">
        <v>0</v>
      </c>
      <c r="P747" t="n">
        <v>0</v>
      </c>
      <c r="Q747" t="n">
        <v>0</v>
      </c>
      <c r="R747" s="2" t="inlineStr"/>
    </row>
    <row r="748" ht="15" customHeight="1">
      <c r="A748" t="inlineStr">
        <is>
          <t>A 26640-2025</t>
        </is>
      </c>
      <c r="B748" s="1" t="n">
        <v>45810.36495370371</v>
      </c>
      <c r="C748" s="1" t="n">
        <v>45981</v>
      </c>
      <c r="D748" t="inlineStr">
        <is>
          <t>JÄMTLANDS LÄN</t>
        </is>
      </c>
      <c r="E748" t="inlineStr">
        <is>
          <t>RAGUNDA</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60663-2022</t>
        </is>
      </c>
      <c r="B749" s="1" t="n">
        <v>44911.93846064815</v>
      </c>
      <c r="C749" s="1" t="n">
        <v>45981</v>
      </c>
      <c r="D749" t="inlineStr">
        <is>
          <t>JÄMTLANDS LÄN</t>
        </is>
      </c>
      <c r="E749" t="inlineStr">
        <is>
          <t>RAGUNDA</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53032-2025</t>
        </is>
      </c>
      <c r="B750" s="1" t="n">
        <v>45958.34462962963</v>
      </c>
      <c r="C750" s="1" t="n">
        <v>45981</v>
      </c>
      <c r="D750" t="inlineStr">
        <is>
          <t>JÄMTLANDS LÄN</t>
        </is>
      </c>
      <c r="E750" t="inlineStr">
        <is>
          <t>RAGUNDA</t>
        </is>
      </c>
      <c r="G750" t="n">
        <v>2.6</v>
      </c>
      <c r="H750" t="n">
        <v>0</v>
      </c>
      <c r="I750" t="n">
        <v>0</v>
      </c>
      <c r="J750" t="n">
        <v>0</v>
      </c>
      <c r="K750" t="n">
        <v>0</v>
      </c>
      <c r="L750" t="n">
        <v>0</v>
      </c>
      <c r="M750" t="n">
        <v>0</v>
      </c>
      <c r="N750" t="n">
        <v>0</v>
      </c>
      <c r="O750" t="n">
        <v>0</v>
      </c>
      <c r="P750" t="n">
        <v>0</v>
      </c>
      <c r="Q750" t="n">
        <v>0</v>
      </c>
      <c r="R750" s="2" t="inlineStr"/>
    </row>
    <row r="751" ht="15" customHeight="1">
      <c r="A751" t="inlineStr">
        <is>
          <t>A 53076-2025</t>
        </is>
      </c>
      <c r="B751" s="1" t="n">
        <v>45958.38604166666</v>
      </c>
      <c r="C751" s="1" t="n">
        <v>45981</v>
      </c>
      <c r="D751" t="inlineStr">
        <is>
          <t>JÄMTLANDS LÄN</t>
        </is>
      </c>
      <c r="E751" t="inlineStr">
        <is>
          <t>RAGUNDA</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58847-2024</t>
        </is>
      </c>
      <c r="B752" s="1" t="n">
        <v>45636.3864699074</v>
      </c>
      <c r="C752" s="1" t="n">
        <v>45981</v>
      </c>
      <c r="D752" t="inlineStr">
        <is>
          <t>JÄMTLANDS LÄN</t>
        </is>
      </c>
      <c r="E752" t="inlineStr">
        <is>
          <t>RAGUNDA</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53765-2025</t>
        </is>
      </c>
      <c r="B753" s="1" t="n">
        <v>45960.67753472222</v>
      </c>
      <c r="C753" s="1" t="n">
        <v>45981</v>
      </c>
      <c r="D753" t="inlineStr">
        <is>
          <t>JÄMTLANDS LÄN</t>
        </is>
      </c>
      <c r="E753" t="inlineStr">
        <is>
          <t>RAGUNDA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27777-2022</t>
        </is>
      </c>
      <c r="B754" s="1" t="n">
        <v>44743</v>
      </c>
      <c r="C754" s="1" t="n">
        <v>45981</v>
      </c>
      <c r="D754" t="inlineStr">
        <is>
          <t>JÄMTLANDS LÄN</t>
        </is>
      </c>
      <c r="E754" t="inlineStr">
        <is>
          <t>RAGUNDA</t>
        </is>
      </c>
      <c r="G754" t="n">
        <v>1.5</v>
      </c>
      <c r="H754" t="n">
        <v>0</v>
      </c>
      <c r="I754" t="n">
        <v>0</v>
      </c>
      <c r="J754" t="n">
        <v>0</v>
      </c>
      <c r="K754" t="n">
        <v>0</v>
      </c>
      <c r="L754" t="n">
        <v>0</v>
      </c>
      <c r="M754" t="n">
        <v>0</v>
      </c>
      <c r="N754" t="n">
        <v>0</v>
      </c>
      <c r="O754" t="n">
        <v>0</v>
      </c>
      <c r="P754" t="n">
        <v>0</v>
      </c>
      <c r="Q754" t="n">
        <v>0</v>
      </c>
      <c r="R754" s="2" t="inlineStr"/>
    </row>
    <row r="755" ht="15" customHeight="1">
      <c r="A755" t="inlineStr">
        <is>
          <t>A 23303-2024</t>
        </is>
      </c>
      <c r="B755" s="1" t="n">
        <v>45453.4444212963</v>
      </c>
      <c r="C755" s="1" t="n">
        <v>45981</v>
      </c>
      <c r="D755" t="inlineStr">
        <is>
          <t>JÄMTLANDS LÄN</t>
        </is>
      </c>
      <c r="E755" t="inlineStr">
        <is>
          <t>RAGUNDA</t>
        </is>
      </c>
      <c r="G755" t="n">
        <v>0.7</v>
      </c>
      <c r="H755" t="n">
        <v>0</v>
      </c>
      <c r="I755" t="n">
        <v>0</v>
      </c>
      <c r="J755" t="n">
        <v>0</v>
      </c>
      <c r="K755" t="n">
        <v>0</v>
      </c>
      <c r="L755" t="n">
        <v>0</v>
      </c>
      <c r="M755" t="n">
        <v>0</v>
      </c>
      <c r="N755" t="n">
        <v>0</v>
      </c>
      <c r="O755" t="n">
        <v>0</v>
      </c>
      <c r="P755" t="n">
        <v>0</v>
      </c>
      <c r="Q755" t="n">
        <v>0</v>
      </c>
      <c r="R755" s="2" t="inlineStr"/>
    </row>
    <row r="756" ht="15" customHeight="1">
      <c r="A756" t="inlineStr">
        <is>
          <t>A 53549-2025</t>
        </is>
      </c>
      <c r="B756" s="1" t="n">
        <v>45960.38576388889</v>
      </c>
      <c r="C756" s="1" t="n">
        <v>45981</v>
      </c>
      <c r="D756" t="inlineStr">
        <is>
          <t>JÄMTLANDS LÄN</t>
        </is>
      </c>
      <c r="E756" t="inlineStr">
        <is>
          <t>RAGUNDA</t>
        </is>
      </c>
      <c r="G756" t="n">
        <v>5.4</v>
      </c>
      <c r="H756" t="n">
        <v>0</v>
      </c>
      <c r="I756" t="n">
        <v>0</v>
      </c>
      <c r="J756" t="n">
        <v>0</v>
      </c>
      <c r="K756" t="n">
        <v>0</v>
      </c>
      <c r="L756" t="n">
        <v>0</v>
      </c>
      <c r="M756" t="n">
        <v>0</v>
      </c>
      <c r="N756" t="n">
        <v>0</v>
      </c>
      <c r="O756" t="n">
        <v>0</v>
      </c>
      <c r="P756" t="n">
        <v>0</v>
      </c>
      <c r="Q756" t="n">
        <v>0</v>
      </c>
      <c r="R756" s="2" t="inlineStr"/>
    </row>
    <row r="757" ht="15" customHeight="1">
      <c r="A757" t="inlineStr">
        <is>
          <t>A 179-2025</t>
        </is>
      </c>
      <c r="B757" s="1" t="n">
        <v>45659.69822916666</v>
      </c>
      <c r="C757" s="1" t="n">
        <v>45981</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53726-2025</t>
        </is>
      </c>
      <c r="B758" s="1" t="n">
        <v>45960.63597222222</v>
      </c>
      <c r="C758" s="1" t="n">
        <v>45981</v>
      </c>
      <c r="D758" t="inlineStr">
        <is>
          <t>JÄMTLANDS LÄN</t>
        </is>
      </c>
      <c r="E758" t="inlineStr">
        <is>
          <t>RAGUNDA</t>
        </is>
      </c>
      <c r="F758" t="inlineStr">
        <is>
          <t>SCA</t>
        </is>
      </c>
      <c r="G758" t="n">
        <v>10.9</v>
      </c>
      <c r="H758" t="n">
        <v>0</v>
      </c>
      <c r="I758" t="n">
        <v>0</v>
      </c>
      <c r="J758" t="n">
        <v>0</v>
      </c>
      <c r="K758" t="n">
        <v>0</v>
      </c>
      <c r="L758" t="n">
        <v>0</v>
      </c>
      <c r="M758" t="n">
        <v>0</v>
      </c>
      <c r="N758" t="n">
        <v>0</v>
      </c>
      <c r="O758" t="n">
        <v>0</v>
      </c>
      <c r="P758" t="n">
        <v>0</v>
      </c>
      <c r="Q758" t="n">
        <v>0</v>
      </c>
      <c r="R758" s="2" t="inlineStr"/>
    </row>
    <row r="759" ht="15" customHeight="1">
      <c r="A759" t="inlineStr">
        <is>
          <t>A 53948-2025</t>
        </is>
      </c>
      <c r="B759" s="1" t="n">
        <v>45961.50033564815</v>
      </c>
      <c r="C759" s="1" t="n">
        <v>45981</v>
      </c>
      <c r="D759" t="inlineStr">
        <is>
          <t>JÄMTLANDS LÄN</t>
        </is>
      </c>
      <c r="E759" t="inlineStr">
        <is>
          <t>RAGUNDA</t>
        </is>
      </c>
      <c r="G759" t="n">
        <v>7.9</v>
      </c>
      <c r="H759" t="n">
        <v>0</v>
      </c>
      <c r="I759" t="n">
        <v>0</v>
      </c>
      <c r="J759" t="n">
        <v>0</v>
      </c>
      <c r="K759" t="n">
        <v>0</v>
      </c>
      <c r="L759" t="n">
        <v>0</v>
      </c>
      <c r="M759" t="n">
        <v>0</v>
      </c>
      <c r="N759" t="n">
        <v>0</v>
      </c>
      <c r="O759" t="n">
        <v>0</v>
      </c>
      <c r="P759" t="n">
        <v>0</v>
      </c>
      <c r="Q759" t="n">
        <v>0</v>
      </c>
      <c r="R759" s="2" t="inlineStr"/>
    </row>
    <row r="760" ht="15" customHeight="1">
      <c r="A760" t="inlineStr">
        <is>
          <t>A 22412-2024</t>
        </is>
      </c>
      <c r="B760" s="1" t="n">
        <v>45446.68947916666</v>
      </c>
      <c r="C760" s="1" t="n">
        <v>45981</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2001-2025</t>
        </is>
      </c>
      <c r="B761" s="1" t="n">
        <v>45672.44898148148</v>
      </c>
      <c r="C761" s="1" t="n">
        <v>45981</v>
      </c>
      <c r="D761" t="inlineStr">
        <is>
          <t>JÄMTLANDS LÄN</t>
        </is>
      </c>
      <c r="E761" t="inlineStr">
        <is>
          <t>RAGUNDA</t>
        </is>
      </c>
      <c r="F761" t="inlineStr">
        <is>
          <t>SCA</t>
        </is>
      </c>
      <c r="G761" t="n">
        <v>16.2</v>
      </c>
      <c r="H761" t="n">
        <v>0</v>
      </c>
      <c r="I761" t="n">
        <v>0</v>
      </c>
      <c r="J761" t="n">
        <v>0</v>
      </c>
      <c r="K761" t="n">
        <v>0</v>
      </c>
      <c r="L761" t="n">
        <v>0</v>
      </c>
      <c r="M761" t="n">
        <v>0</v>
      </c>
      <c r="N761" t="n">
        <v>0</v>
      </c>
      <c r="O761" t="n">
        <v>0</v>
      </c>
      <c r="P761" t="n">
        <v>0</v>
      </c>
      <c r="Q761" t="n">
        <v>0</v>
      </c>
      <c r="R761" s="2" t="inlineStr"/>
    </row>
    <row r="762" ht="15" customHeight="1">
      <c r="A762" t="inlineStr">
        <is>
          <t>A 53762-2023</t>
        </is>
      </c>
      <c r="B762" s="1" t="n">
        <v>45230.96376157407</v>
      </c>
      <c r="C762" s="1" t="n">
        <v>45981</v>
      </c>
      <c r="D762" t="inlineStr">
        <is>
          <t>JÄMTLANDS LÄN</t>
        </is>
      </c>
      <c r="E762" t="inlineStr">
        <is>
          <t>RAGUNDA</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53986-2025</t>
        </is>
      </c>
      <c r="B763" s="1" t="n">
        <v>45961.57381944444</v>
      </c>
      <c r="C763" s="1" t="n">
        <v>45981</v>
      </c>
      <c r="D763" t="inlineStr">
        <is>
          <t>JÄMTLANDS LÄN</t>
        </is>
      </c>
      <c r="E763" t="inlineStr">
        <is>
          <t>RAGUNDA</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42875-2024</t>
        </is>
      </c>
      <c r="B764" s="1" t="n">
        <v>45566.68125</v>
      </c>
      <c r="C764" s="1" t="n">
        <v>45981</v>
      </c>
      <c r="D764" t="inlineStr">
        <is>
          <t>JÄMTLANDS LÄN</t>
        </is>
      </c>
      <c r="E764" t="inlineStr">
        <is>
          <t>RAGUNDA</t>
        </is>
      </c>
      <c r="G764" t="n">
        <v>0.5</v>
      </c>
      <c r="H764" t="n">
        <v>0</v>
      </c>
      <c r="I764" t="n">
        <v>0</v>
      </c>
      <c r="J764" t="n">
        <v>0</v>
      </c>
      <c r="K764" t="n">
        <v>0</v>
      </c>
      <c r="L764" t="n">
        <v>0</v>
      </c>
      <c r="M764" t="n">
        <v>0</v>
      </c>
      <c r="N764" t="n">
        <v>0</v>
      </c>
      <c r="O764" t="n">
        <v>0</v>
      </c>
      <c r="P764" t="n">
        <v>0</v>
      </c>
      <c r="Q764" t="n">
        <v>0</v>
      </c>
      <c r="R764" s="2" t="inlineStr"/>
    </row>
    <row r="765" ht="15" customHeight="1">
      <c r="A765" t="inlineStr">
        <is>
          <t>A 45279-2025</t>
        </is>
      </c>
      <c r="B765" s="1" t="n">
        <v>45919.71912037037</v>
      </c>
      <c r="C765" s="1" t="n">
        <v>45981</v>
      </c>
      <c r="D765" t="inlineStr">
        <is>
          <t>JÄMTLANDS LÄN</t>
        </is>
      </c>
      <c r="E765" t="inlineStr">
        <is>
          <t>RAGUNDA</t>
        </is>
      </c>
      <c r="F765" t="inlineStr">
        <is>
          <t>SCA</t>
        </is>
      </c>
      <c r="G765" t="n">
        <v>11.5</v>
      </c>
      <c r="H765" t="n">
        <v>0</v>
      </c>
      <c r="I765" t="n">
        <v>0</v>
      </c>
      <c r="J765" t="n">
        <v>0</v>
      </c>
      <c r="K765" t="n">
        <v>0</v>
      </c>
      <c r="L765" t="n">
        <v>0</v>
      </c>
      <c r="M765" t="n">
        <v>0</v>
      </c>
      <c r="N765" t="n">
        <v>0</v>
      </c>
      <c r="O765" t="n">
        <v>0</v>
      </c>
      <c r="P765" t="n">
        <v>0</v>
      </c>
      <c r="Q765" t="n">
        <v>0</v>
      </c>
      <c r="R765" s="2" t="inlineStr"/>
    </row>
    <row r="766" ht="15" customHeight="1">
      <c r="A766" t="inlineStr">
        <is>
          <t>A 13334-2024</t>
        </is>
      </c>
      <c r="B766" s="1" t="n">
        <v>45386</v>
      </c>
      <c r="C766" s="1" t="n">
        <v>45981</v>
      </c>
      <c r="D766" t="inlineStr">
        <is>
          <t>JÄMTLANDS LÄN</t>
        </is>
      </c>
      <c r="E766" t="inlineStr">
        <is>
          <t>RAGUNDA</t>
        </is>
      </c>
      <c r="G766" t="n">
        <v>8.6</v>
      </c>
      <c r="H766" t="n">
        <v>0</v>
      </c>
      <c r="I766" t="n">
        <v>0</v>
      </c>
      <c r="J766" t="n">
        <v>0</v>
      </c>
      <c r="K766" t="n">
        <v>0</v>
      </c>
      <c r="L766" t="n">
        <v>0</v>
      </c>
      <c r="M766" t="n">
        <v>0</v>
      </c>
      <c r="N766" t="n">
        <v>0</v>
      </c>
      <c r="O766" t="n">
        <v>0</v>
      </c>
      <c r="P766" t="n">
        <v>0</v>
      </c>
      <c r="Q766" t="n">
        <v>0</v>
      </c>
      <c r="R766" s="2" t="inlineStr"/>
    </row>
    <row r="767" ht="15" customHeight="1">
      <c r="A767" t="inlineStr">
        <is>
          <t>A 60443-2023</t>
        </is>
      </c>
      <c r="B767" s="1" t="n">
        <v>45258</v>
      </c>
      <c r="C767" s="1" t="n">
        <v>45981</v>
      </c>
      <c r="D767" t="inlineStr">
        <is>
          <t>JÄMTLANDS LÄN</t>
        </is>
      </c>
      <c r="E767" t="inlineStr">
        <is>
          <t>RAGUNDA</t>
        </is>
      </c>
      <c r="G767" t="n">
        <v>2.9</v>
      </c>
      <c r="H767" t="n">
        <v>0</v>
      </c>
      <c r="I767" t="n">
        <v>0</v>
      </c>
      <c r="J767" t="n">
        <v>0</v>
      </c>
      <c r="K767" t="n">
        <v>0</v>
      </c>
      <c r="L767" t="n">
        <v>0</v>
      </c>
      <c r="M767" t="n">
        <v>0</v>
      </c>
      <c r="N767" t="n">
        <v>0</v>
      </c>
      <c r="O767" t="n">
        <v>0</v>
      </c>
      <c r="P767" t="n">
        <v>0</v>
      </c>
      <c r="Q767" t="n">
        <v>0</v>
      </c>
      <c r="R767" s="2" t="inlineStr"/>
    </row>
    <row r="768" ht="15" customHeight="1">
      <c r="A768" t="inlineStr">
        <is>
          <t>A 53973-2025</t>
        </is>
      </c>
      <c r="B768" s="1" t="n">
        <v>45961.55246527777</v>
      </c>
      <c r="C768" s="1" t="n">
        <v>45981</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row>
    <row r="769" ht="15" customHeight="1">
      <c r="A769" t="inlineStr">
        <is>
          <t>A 21726-2023</t>
        </is>
      </c>
      <c r="B769" s="1" t="n">
        <v>45065.42894675926</v>
      </c>
      <c r="C769" s="1" t="n">
        <v>45981</v>
      </c>
      <c r="D769" t="inlineStr">
        <is>
          <t>JÄMTLANDS LÄN</t>
        </is>
      </c>
      <c r="E769" t="inlineStr">
        <is>
          <t>RAGUNDA</t>
        </is>
      </c>
      <c r="G769" t="n">
        <v>0.4</v>
      </c>
      <c r="H769" t="n">
        <v>0</v>
      </c>
      <c r="I769" t="n">
        <v>0</v>
      </c>
      <c r="J769" t="n">
        <v>0</v>
      </c>
      <c r="K769" t="n">
        <v>0</v>
      </c>
      <c r="L769" t="n">
        <v>0</v>
      </c>
      <c r="M769" t="n">
        <v>0</v>
      </c>
      <c r="N769" t="n">
        <v>0</v>
      </c>
      <c r="O769" t="n">
        <v>0</v>
      </c>
      <c r="P769" t="n">
        <v>0</v>
      </c>
      <c r="Q769" t="n">
        <v>0</v>
      </c>
      <c r="R769" s="2" t="inlineStr"/>
    </row>
    <row r="770" ht="15" customHeight="1">
      <c r="A770" t="inlineStr">
        <is>
          <t>A 53935-2022</t>
        </is>
      </c>
      <c r="B770" s="1" t="n">
        <v>44880</v>
      </c>
      <c r="C770" s="1" t="n">
        <v>45981</v>
      </c>
      <c r="D770" t="inlineStr">
        <is>
          <t>JÄMTLANDS LÄN</t>
        </is>
      </c>
      <c r="E770" t="inlineStr">
        <is>
          <t>RAGUNDA</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45952-2023</t>
        </is>
      </c>
      <c r="B771" s="1" t="n">
        <v>45195</v>
      </c>
      <c r="C771" s="1" t="n">
        <v>45981</v>
      </c>
      <c r="D771" t="inlineStr">
        <is>
          <t>JÄMTLANDS LÄN</t>
        </is>
      </c>
      <c r="E771" t="inlineStr">
        <is>
          <t>RAGUNDA</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45954-2023</t>
        </is>
      </c>
      <c r="B772" s="1" t="n">
        <v>45195.94679398148</v>
      </c>
      <c r="C772" s="1" t="n">
        <v>45981</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45955-2023</t>
        </is>
      </c>
      <c r="B773" s="1" t="n">
        <v>45195.94685185186</v>
      </c>
      <c r="C773" s="1" t="n">
        <v>45981</v>
      </c>
      <c r="D773" t="inlineStr">
        <is>
          <t>JÄMTLANDS LÄN</t>
        </is>
      </c>
      <c r="E773" t="inlineStr">
        <is>
          <t>RAGUNDA</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41262-2021</t>
        </is>
      </c>
      <c r="B774" s="1" t="n">
        <v>44424</v>
      </c>
      <c r="C774" s="1" t="n">
        <v>45981</v>
      </c>
      <c r="D774" t="inlineStr">
        <is>
          <t>JÄMTLANDS LÄN</t>
        </is>
      </c>
      <c r="E774" t="inlineStr">
        <is>
          <t>RAGUNDA</t>
        </is>
      </c>
      <c r="G774" t="n">
        <v>2.6</v>
      </c>
      <c r="H774" t="n">
        <v>0</v>
      </c>
      <c r="I774" t="n">
        <v>0</v>
      </c>
      <c r="J774" t="n">
        <v>0</v>
      </c>
      <c r="K774" t="n">
        <v>0</v>
      </c>
      <c r="L774" t="n">
        <v>0</v>
      </c>
      <c r="M774" t="n">
        <v>0</v>
      </c>
      <c r="N774" t="n">
        <v>0</v>
      </c>
      <c r="O774" t="n">
        <v>0</v>
      </c>
      <c r="P774" t="n">
        <v>0</v>
      </c>
      <c r="Q774" t="n">
        <v>0</v>
      </c>
      <c r="R774" s="2" t="inlineStr"/>
    </row>
    <row r="775" ht="15" customHeight="1">
      <c r="A775" t="inlineStr">
        <is>
          <t>A 44954-2025</t>
        </is>
      </c>
      <c r="B775" s="1" t="n">
        <v>45918.61203703703</v>
      </c>
      <c r="C775" s="1" t="n">
        <v>45981</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19089-2024</t>
        </is>
      </c>
      <c r="B776" s="1" t="n">
        <v>45428.00471064815</v>
      </c>
      <c r="C776" s="1" t="n">
        <v>45981</v>
      </c>
      <c r="D776" t="inlineStr">
        <is>
          <t>JÄMTLANDS LÄN</t>
        </is>
      </c>
      <c r="E776" t="inlineStr">
        <is>
          <t>RAGUNDA</t>
        </is>
      </c>
      <c r="F776" t="inlineStr">
        <is>
          <t>SCA</t>
        </is>
      </c>
      <c r="G776" t="n">
        <v>6.1</v>
      </c>
      <c r="H776" t="n">
        <v>0</v>
      </c>
      <c r="I776" t="n">
        <v>0</v>
      </c>
      <c r="J776" t="n">
        <v>0</v>
      </c>
      <c r="K776" t="n">
        <v>0</v>
      </c>
      <c r="L776" t="n">
        <v>0</v>
      </c>
      <c r="M776" t="n">
        <v>0</v>
      </c>
      <c r="N776" t="n">
        <v>0</v>
      </c>
      <c r="O776" t="n">
        <v>0</v>
      </c>
      <c r="P776" t="n">
        <v>0</v>
      </c>
      <c r="Q776" t="n">
        <v>0</v>
      </c>
      <c r="R776" s="2" t="inlineStr"/>
    </row>
    <row r="777" ht="15" customHeight="1">
      <c r="A777" t="inlineStr">
        <is>
          <t>A 60456-2023</t>
        </is>
      </c>
      <c r="B777" s="1" t="n">
        <v>45258</v>
      </c>
      <c r="C777" s="1" t="n">
        <v>45981</v>
      </c>
      <c r="D777" t="inlineStr">
        <is>
          <t>JÄMTLANDS LÄN</t>
        </is>
      </c>
      <c r="E777" t="inlineStr">
        <is>
          <t>RAGUNDA</t>
        </is>
      </c>
      <c r="G777" t="n">
        <v>1.8</v>
      </c>
      <c r="H777" t="n">
        <v>0</v>
      </c>
      <c r="I777" t="n">
        <v>0</v>
      </c>
      <c r="J777" t="n">
        <v>0</v>
      </c>
      <c r="K777" t="n">
        <v>0</v>
      </c>
      <c r="L777" t="n">
        <v>0</v>
      </c>
      <c r="M777" t="n">
        <v>0</v>
      </c>
      <c r="N777" t="n">
        <v>0</v>
      </c>
      <c r="O777" t="n">
        <v>0</v>
      </c>
      <c r="P777" t="n">
        <v>0</v>
      </c>
      <c r="Q777" t="n">
        <v>0</v>
      </c>
      <c r="R777" s="2" t="inlineStr"/>
    </row>
    <row r="778" ht="15" customHeight="1">
      <c r="A778" t="inlineStr">
        <is>
          <t>A 16334-2025</t>
        </is>
      </c>
      <c r="B778" s="1" t="n">
        <v>45751.36490740741</v>
      </c>
      <c r="C778" s="1" t="n">
        <v>45981</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20221-2025</t>
        </is>
      </c>
      <c r="B779" s="1" t="n">
        <v>45772.6565625</v>
      </c>
      <c r="C779" s="1" t="n">
        <v>45981</v>
      </c>
      <c r="D779" t="inlineStr">
        <is>
          <t>JÄMTLANDS LÄN</t>
        </is>
      </c>
      <c r="E779" t="inlineStr">
        <is>
          <t>RAGUNDA</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58438-2022</t>
        </is>
      </c>
      <c r="B780" s="1" t="n">
        <v>44901</v>
      </c>
      <c r="C780" s="1" t="n">
        <v>45981</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58442-2022</t>
        </is>
      </c>
      <c r="B781" s="1" t="n">
        <v>44901</v>
      </c>
      <c r="C781" s="1" t="n">
        <v>45981</v>
      </c>
      <c r="D781" t="inlineStr">
        <is>
          <t>JÄMTLANDS LÄN</t>
        </is>
      </c>
      <c r="E781" t="inlineStr">
        <is>
          <t>RAGUNDA</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5806-2025</t>
        </is>
      </c>
      <c r="B782" s="1" t="n">
        <v>45694.69826388889</v>
      </c>
      <c r="C782" s="1" t="n">
        <v>45981</v>
      </c>
      <c r="D782" t="inlineStr">
        <is>
          <t>JÄMTLANDS LÄN</t>
        </is>
      </c>
      <c r="E782" t="inlineStr">
        <is>
          <t>RAGUNDA</t>
        </is>
      </c>
      <c r="F782" t="inlineStr">
        <is>
          <t>SCA</t>
        </is>
      </c>
      <c r="G782" t="n">
        <v>5.8</v>
      </c>
      <c r="H782" t="n">
        <v>0</v>
      </c>
      <c r="I782" t="n">
        <v>0</v>
      </c>
      <c r="J782" t="n">
        <v>0</v>
      </c>
      <c r="K782" t="n">
        <v>0</v>
      </c>
      <c r="L782" t="n">
        <v>0</v>
      </c>
      <c r="M782" t="n">
        <v>0</v>
      </c>
      <c r="N782" t="n">
        <v>0</v>
      </c>
      <c r="O782" t="n">
        <v>0</v>
      </c>
      <c r="P782" t="n">
        <v>0</v>
      </c>
      <c r="Q782" t="n">
        <v>0</v>
      </c>
      <c r="R782" s="2" t="inlineStr"/>
    </row>
    <row r="783" ht="15" customHeight="1">
      <c r="A783" t="inlineStr">
        <is>
          <t>A 53748-2025</t>
        </is>
      </c>
      <c r="B783" s="1" t="n">
        <v>45960.65673611111</v>
      </c>
      <c r="C783" s="1" t="n">
        <v>45981</v>
      </c>
      <c r="D783" t="inlineStr">
        <is>
          <t>JÄMTLANDS LÄN</t>
        </is>
      </c>
      <c r="E783" t="inlineStr">
        <is>
          <t>RAGUNDA</t>
        </is>
      </c>
      <c r="F783" t="inlineStr">
        <is>
          <t>SCA</t>
        </is>
      </c>
      <c r="G783" t="n">
        <v>14.9</v>
      </c>
      <c r="H783" t="n">
        <v>0</v>
      </c>
      <c r="I783" t="n">
        <v>0</v>
      </c>
      <c r="J783" t="n">
        <v>0</v>
      </c>
      <c r="K783" t="n">
        <v>0</v>
      </c>
      <c r="L783" t="n">
        <v>0</v>
      </c>
      <c r="M783" t="n">
        <v>0</v>
      </c>
      <c r="N783" t="n">
        <v>0</v>
      </c>
      <c r="O783" t="n">
        <v>0</v>
      </c>
      <c r="P783" t="n">
        <v>0</v>
      </c>
      <c r="Q783" t="n">
        <v>0</v>
      </c>
      <c r="R783" s="2" t="inlineStr"/>
    </row>
    <row r="784" ht="15" customHeight="1">
      <c r="A784" t="inlineStr">
        <is>
          <t>A 4015-2022</t>
        </is>
      </c>
      <c r="B784" s="1" t="n">
        <v>44587.92149305555</v>
      </c>
      <c r="C784" s="1" t="n">
        <v>45981</v>
      </c>
      <c r="D784" t="inlineStr">
        <is>
          <t>JÄMTLANDS LÄN</t>
        </is>
      </c>
      <c r="E784" t="inlineStr">
        <is>
          <t>RAGUNDA</t>
        </is>
      </c>
      <c r="G784" t="n">
        <v>3.9</v>
      </c>
      <c r="H784" t="n">
        <v>0</v>
      </c>
      <c r="I784" t="n">
        <v>0</v>
      </c>
      <c r="J784" t="n">
        <v>0</v>
      </c>
      <c r="K784" t="n">
        <v>0</v>
      </c>
      <c r="L784" t="n">
        <v>0</v>
      </c>
      <c r="M784" t="n">
        <v>0</v>
      </c>
      <c r="N784" t="n">
        <v>0</v>
      </c>
      <c r="O784" t="n">
        <v>0</v>
      </c>
      <c r="P784" t="n">
        <v>0</v>
      </c>
      <c r="Q784" t="n">
        <v>0</v>
      </c>
      <c r="R784" s="2" t="inlineStr"/>
    </row>
    <row r="785" ht="15" customHeight="1">
      <c r="A785" t="inlineStr">
        <is>
          <t>A 41179-2022</t>
        </is>
      </c>
      <c r="B785" s="1" t="n">
        <v>44825</v>
      </c>
      <c r="C785" s="1" t="n">
        <v>45981</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53727-2025</t>
        </is>
      </c>
      <c r="B786" s="1" t="n">
        <v>45960.63630787037</v>
      </c>
      <c r="C786" s="1" t="n">
        <v>45981</v>
      </c>
      <c r="D786" t="inlineStr">
        <is>
          <t>JÄMTLANDS LÄN</t>
        </is>
      </c>
      <c r="E786" t="inlineStr">
        <is>
          <t>RAGUNDA</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53951-2025</t>
        </is>
      </c>
      <c r="B787" s="1" t="n">
        <v>45961.50200231482</v>
      </c>
      <c r="C787" s="1" t="n">
        <v>45981</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53975-2025</t>
        </is>
      </c>
      <c r="B788" s="1" t="n">
        <v>45961.55277777778</v>
      </c>
      <c r="C788" s="1" t="n">
        <v>45981</v>
      </c>
      <c r="D788" t="inlineStr">
        <is>
          <t>JÄMTLANDS LÄN</t>
        </is>
      </c>
      <c r="E788" t="inlineStr">
        <is>
          <t>RAGUNDA</t>
        </is>
      </c>
      <c r="F788" t="inlineStr">
        <is>
          <t>SCA</t>
        </is>
      </c>
      <c r="G788" t="n">
        <v>21.9</v>
      </c>
      <c r="H788" t="n">
        <v>0</v>
      </c>
      <c r="I788" t="n">
        <v>0</v>
      </c>
      <c r="J788" t="n">
        <v>0</v>
      </c>
      <c r="K788" t="n">
        <v>0</v>
      </c>
      <c r="L788" t="n">
        <v>0</v>
      </c>
      <c r="M788" t="n">
        <v>0</v>
      </c>
      <c r="N788" t="n">
        <v>0</v>
      </c>
      <c r="O788" t="n">
        <v>0</v>
      </c>
      <c r="P788" t="n">
        <v>0</v>
      </c>
      <c r="Q788" t="n">
        <v>0</v>
      </c>
      <c r="R788" s="2" t="inlineStr"/>
    </row>
    <row r="789" ht="15" customHeight="1">
      <c r="A789" t="inlineStr">
        <is>
          <t>A 8416-2023</t>
        </is>
      </c>
      <c r="B789" s="1" t="n">
        <v>44977.44373842593</v>
      </c>
      <c r="C789" s="1" t="n">
        <v>45981</v>
      </c>
      <c r="D789" t="inlineStr">
        <is>
          <t>JÄMTLANDS LÄN</t>
        </is>
      </c>
      <c r="E789" t="inlineStr">
        <is>
          <t>RAGUNDA</t>
        </is>
      </c>
      <c r="G789" t="n">
        <v>0.7</v>
      </c>
      <c r="H789" t="n">
        <v>0</v>
      </c>
      <c r="I789" t="n">
        <v>0</v>
      </c>
      <c r="J789" t="n">
        <v>0</v>
      </c>
      <c r="K789" t="n">
        <v>0</v>
      </c>
      <c r="L789" t="n">
        <v>0</v>
      </c>
      <c r="M789" t="n">
        <v>0</v>
      </c>
      <c r="N789" t="n">
        <v>0</v>
      </c>
      <c r="O789" t="n">
        <v>0</v>
      </c>
      <c r="P789" t="n">
        <v>0</v>
      </c>
      <c r="Q789" t="n">
        <v>0</v>
      </c>
      <c r="R789" s="2" t="inlineStr"/>
    </row>
    <row r="790" ht="15" customHeight="1">
      <c r="A790" t="inlineStr">
        <is>
          <t>A 45253-2023</t>
        </is>
      </c>
      <c r="B790" s="1" t="n">
        <v>45187</v>
      </c>
      <c r="C790" s="1" t="n">
        <v>45981</v>
      </c>
      <c r="D790" t="inlineStr">
        <is>
          <t>JÄMTLANDS LÄN</t>
        </is>
      </c>
      <c r="E790" t="inlineStr">
        <is>
          <t>RAGUNDA</t>
        </is>
      </c>
      <c r="G790" t="n">
        <v>3.3</v>
      </c>
      <c r="H790" t="n">
        <v>0</v>
      </c>
      <c r="I790" t="n">
        <v>0</v>
      </c>
      <c r="J790" t="n">
        <v>0</v>
      </c>
      <c r="K790" t="n">
        <v>0</v>
      </c>
      <c r="L790" t="n">
        <v>0</v>
      </c>
      <c r="M790" t="n">
        <v>0</v>
      </c>
      <c r="N790" t="n">
        <v>0</v>
      </c>
      <c r="O790" t="n">
        <v>0</v>
      </c>
      <c r="P790" t="n">
        <v>0</v>
      </c>
      <c r="Q790" t="n">
        <v>0</v>
      </c>
      <c r="R790" s="2" t="inlineStr"/>
    </row>
    <row r="791" ht="15" customHeight="1">
      <c r="A791" t="inlineStr">
        <is>
          <t>A 14369-2024</t>
        </is>
      </c>
      <c r="B791" s="1" t="n">
        <v>45393.94459490741</v>
      </c>
      <c r="C791" s="1" t="n">
        <v>45981</v>
      </c>
      <c r="D791" t="inlineStr">
        <is>
          <t>JÄMTLANDS LÄN</t>
        </is>
      </c>
      <c r="E791" t="inlineStr">
        <is>
          <t>RAGUNDA</t>
        </is>
      </c>
      <c r="F791" t="inlineStr">
        <is>
          <t>Naturvårdsverket</t>
        </is>
      </c>
      <c r="G791" t="n">
        <v>1.8</v>
      </c>
      <c r="H791" t="n">
        <v>0</v>
      </c>
      <c r="I791" t="n">
        <v>0</v>
      </c>
      <c r="J791" t="n">
        <v>0</v>
      </c>
      <c r="K791" t="n">
        <v>0</v>
      </c>
      <c r="L791" t="n">
        <v>0</v>
      </c>
      <c r="M791" t="n">
        <v>0</v>
      </c>
      <c r="N791" t="n">
        <v>0</v>
      </c>
      <c r="O791" t="n">
        <v>0</v>
      </c>
      <c r="P791" t="n">
        <v>0</v>
      </c>
      <c r="Q791" t="n">
        <v>0</v>
      </c>
      <c r="R791" s="2" t="inlineStr"/>
    </row>
    <row r="792" ht="15" customHeight="1">
      <c r="A792" t="inlineStr">
        <is>
          <t>A 54396-2025</t>
        </is>
      </c>
      <c r="B792" s="1" t="n">
        <v>45965.44849537037</v>
      </c>
      <c r="C792" s="1" t="n">
        <v>45981</v>
      </c>
      <c r="D792" t="inlineStr">
        <is>
          <t>JÄMTLANDS LÄN</t>
        </is>
      </c>
      <c r="E792" t="inlineStr">
        <is>
          <t>RAGUNDA</t>
        </is>
      </c>
      <c r="F792" t="inlineStr">
        <is>
          <t>SCA</t>
        </is>
      </c>
      <c r="G792" t="n">
        <v>35.2</v>
      </c>
      <c r="H792" t="n">
        <v>0</v>
      </c>
      <c r="I792" t="n">
        <v>0</v>
      </c>
      <c r="J792" t="n">
        <v>0</v>
      </c>
      <c r="K792" t="n">
        <v>0</v>
      </c>
      <c r="L792" t="n">
        <v>0</v>
      </c>
      <c r="M792" t="n">
        <v>0</v>
      </c>
      <c r="N792" t="n">
        <v>0</v>
      </c>
      <c r="O792" t="n">
        <v>0</v>
      </c>
      <c r="P792" t="n">
        <v>0</v>
      </c>
      <c r="Q792" t="n">
        <v>0</v>
      </c>
      <c r="R792" s="2" t="inlineStr"/>
    </row>
    <row r="793" ht="15" customHeight="1">
      <c r="A793" t="inlineStr">
        <is>
          <t>A 61598-2024</t>
        </is>
      </c>
      <c r="B793" s="1" t="n">
        <v>45646.63605324074</v>
      </c>
      <c r="C793" s="1" t="n">
        <v>45981</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17667-2025</t>
        </is>
      </c>
      <c r="B794" s="1" t="n">
        <v>45758.36487268518</v>
      </c>
      <c r="C794" s="1" t="n">
        <v>45981</v>
      </c>
      <c r="D794" t="inlineStr">
        <is>
          <t>JÄMTLANDS LÄN</t>
        </is>
      </c>
      <c r="E794" t="inlineStr">
        <is>
          <t>RAGUNDA</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50157-2023</t>
        </is>
      </c>
      <c r="B795" s="1" t="n">
        <v>45208</v>
      </c>
      <c r="C795" s="1" t="n">
        <v>45981</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12405-2025</t>
        </is>
      </c>
      <c r="B796" s="1" t="n">
        <v>45730.42738425926</v>
      </c>
      <c r="C796" s="1" t="n">
        <v>45981</v>
      </c>
      <c r="D796" t="inlineStr">
        <is>
          <t>JÄMTLANDS LÄN</t>
        </is>
      </c>
      <c r="E796" t="inlineStr">
        <is>
          <t>RAGUNDA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36986-2023</t>
        </is>
      </c>
      <c r="B797" s="1" t="n">
        <v>45154.95525462963</v>
      </c>
      <c r="C797" s="1" t="n">
        <v>45981</v>
      </c>
      <c r="D797" t="inlineStr">
        <is>
          <t>JÄMTLANDS LÄN</t>
        </is>
      </c>
      <c r="E797" t="inlineStr">
        <is>
          <t>RAGUNDA</t>
        </is>
      </c>
      <c r="F797" t="inlineStr">
        <is>
          <t>SCA</t>
        </is>
      </c>
      <c r="G797" t="n">
        <v>0.2</v>
      </c>
      <c r="H797" t="n">
        <v>0</v>
      </c>
      <c r="I797" t="n">
        <v>0</v>
      </c>
      <c r="J797" t="n">
        <v>0</v>
      </c>
      <c r="K797" t="n">
        <v>0</v>
      </c>
      <c r="L797" t="n">
        <v>0</v>
      </c>
      <c r="M797" t="n">
        <v>0</v>
      </c>
      <c r="N797" t="n">
        <v>0</v>
      </c>
      <c r="O797" t="n">
        <v>0</v>
      </c>
      <c r="P797" t="n">
        <v>0</v>
      </c>
      <c r="Q797" t="n">
        <v>0</v>
      </c>
      <c r="R797" s="2" t="inlineStr"/>
    </row>
    <row r="798" ht="15" customHeight="1">
      <c r="A798" t="inlineStr">
        <is>
          <t>A 182-2023</t>
        </is>
      </c>
      <c r="B798" s="1" t="n">
        <v>44922</v>
      </c>
      <c r="C798" s="1" t="n">
        <v>45981</v>
      </c>
      <c r="D798" t="inlineStr">
        <is>
          <t>JÄMTLANDS LÄN</t>
        </is>
      </c>
      <c r="E798" t="inlineStr">
        <is>
          <t>RAGUNDA</t>
        </is>
      </c>
      <c r="G798" t="n">
        <v>1.4</v>
      </c>
      <c r="H798" t="n">
        <v>0</v>
      </c>
      <c r="I798" t="n">
        <v>0</v>
      </c>
      <c r="J798" t="n">
        <v>0</v>
      </c>
      <c r="K798" t="n">
        <v>0</v>
      </c>
      <c r="L798" t="n">
        <v>0</v>
      </c>
      <c r="M798" t="n">
        <v>0</v>
      </c>
      <c r="N798" t="n">
        <v>0</v>
      </c>
      <c r="O798" t="n">
        <v>0</v>
      </c>
      <c r="P798" t="n">
        <v>0</v>
      </c>
      <c r="Q798" t="n">
        <v>0</v>
      </c>
      <c r="R798" s="2" t="inlineStr"/>
    </row>
    <row r="799" ht="15" customHeight="1">
      <c r="A799" t="inlineStr">
        <is>
          <t>A 6490-2022</t>
        </is>
      </c>
      <c r="B799" s="1" t="n">
        <v>44601</v>
      </c>
      <c r="C799" s="1" t="n">
        <v>45981</v>
      </c>
      <c r="D799" t="inlineStr">
        <is>
          <t>JÄMTLANDS LÄN</t>
        </is>
      </c>
      <c r="E799" t="inlineStr">
        <is>
          <t>RAGUNDA</t>
        </is>
      </c>
      <c r="G799" t="n">
        <v>3.8</v>
      </c>
      <c r="H799" t="n">
        <v>0</v>
      </c>
      <c r="I799" t="n">
        <v>0</v>
      </c>
      <c r="J799" t="n">
        <v>0</v>
      </c>
      <c r="K799" t="n">
        <v>0</v>
      </c>
      <c r="L799" t="n">
        <v>0</v>
      </c>
      <c r="M799" t="n">
        <v>0</v>
      </c>
      <c r="N799" t="n">
        <v>0</v>
      </c>
      <c r="O799" t="n">
        <v>0</v>
      </c>
      <c r="P799" t="n">
        <v>0</v>
      </c>
      <c r="Q799" t="n">
        <v>0</v>
      </c>
      <c r="R799" s="2" t="inlineStr"/>
    </row>
    <row r="800" ht="15" customHeight="1">
      <c r="A800" t="inlineStr">
        <is>
          <t>A 54195-2025</t>
        </is>
      </c>
      <c r="B800" s="1" t="n">
        <v>45964.57413194444</v>
      </c>
      <c r="C800" s="1" t="n">
        <v>45981</v>
      </c>
      <c r="D800" t="inlineStr">
        <is>
          <t>JÄMTLANDS LÄN</t>
        </is>
      </c>
      <c r="E800" t="inlineStr">
        <is>
          <t>RAGUNDA</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6802-2021</t>
        </is>
      </c>
      <c r="B801" s="1" t="n">
        <v>44236</v>
      </c>
      <c r="C801" s="1" t="n">
        <v>45981</v>
      </c>
      <c r="D801" t="inlineStr">
        <is>
          <t>JÄMTLANDS LÄN</t>
        </is>
      </c>
      <c r="E801" t="inlineStr">
        <is>
          <t>RAGUNDA</t>
        </is>
      </c>
      <c r="G801" t="n">
        <v>11.2</v>
      </c>
      <c r="H801" t="n">
        <v>0</v>
      </c>
      <c r="I801" t="n">
        <v>0</v>
      </c>
      <c r="J801" t="n">
        <v>0</v>
      </c>
      <c r="K801" t="n">
        <v>0</v>
      </c>
      <c r="L801" t="n">
        <v>0</v>
      </c>
      <c r="M801" t="n">
        <v>0</v>
      </c>
      <c r="N801" t="n">
        <v>0</v>
      </c>
      <c r="O801" t="n">
        <v>0</v>
      </c>
      <c r="P801" t="n">
        <v>0</v>
      </c>
      <c r="Q801" t="n">
        <v>0</v>
      </c>
      <c r="R801" s="2" t="inlineStr"/>
    </row>
    <row r="802" ht="15" customHeight="1">
      <c r="A802" t="inlineStr">
        <is>
          <t>A 6477-2024</t>
        </is>
      </c>
      <c r="B802" s="1" t="n">
        <v>45338.95405092592</v>
      </c>
      <c r="C802" s="1" t="n">
        <v>45981</v>
      </c>
      <c r="D802" t="inlineStr">
        <is>
          <t>JÄMTLANDS LÄN</t>
        </is>
      </c>
      <c r="E802" t="inlineStr">
        <is>
          <t>RAGUNDA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2224-2024</t>
        </is>
      </c>
      <c r="B803" s="1" t="n">
        <v>45309.92524305556</v>
      </c>
      <c r="C803" s="1" t="n">
        <v>45981</v>
      </c>
      <c r="D803" t="inlineStr">
        <is>
          <t>JÄMTLANDS LÄN</t>
        </is>
      </c>
      <c r="E803" t="inlineStr">
        <is>
          <t>RAGUNDA</t>
        </is>
      </c>
      <c r="G803" t="n">
        <v>0.9</v>
      </c>
      <c r="H803" t="n">
        <v>0</v>
      </c>
      <c r="I803" t="n">
        <v>0</v>
      </c>
      <c r="J803" t="n">
        <v>0</v>
      </c>
      <c r="K803" t="n">
        <v>0</v>
      </c>
      <c r="L803" t="n">
        <v>0</v>
      </c>
      <c r="M803" t="n">
        <v>0</v>
      </c>
      <c r="N803" t="n">
        <v>0</v>
      </c>
      <c r="O803" t="n">
        <v>0</v>
      </c>
      <c r="P803" t="n">
        <v>0</v>
      </c>
      <c r="Q803" t="n">
        <v>0</v>
      </c>
      <c r="R803" s="2" t="inlineStr"/>
    </row>
    <row r="804" ht="15" customHeight="1">
      <c r="A804" t="inlineStr">
        <is>
          <t>A 1523-2024</t>
        </is>
      </c>
      <c r="B804" s="1" t="n">
        <v>45306</v>
      </c>
      <c r="C804" s="1" t="n">
        <v>45981</v>
      </c>
      <c r="D804" t="inlineStr">
        <is>
          <t>JÄMTLANDS LÄN</t>
        </is>
      </c>
      <c r="E804" t="inlineStr">
        <is>
          <t>RAGUNDA</t>
        </is>
      </c>
      <c r="G804" t="n">
        <v>4.1</v>
      </c>
      <c r="H804" t="n">
        <v>0</v>
      </c>
      <c r="I804" t="n">
        <v>0</v>
      </c>
      <c r="J804" t="n">
        <v>0</v>
      </c>
      <c r="K804" t="n">
        <v>0</v>
      </c>
      <c r="L804" t="n">
        <v>0</v>
      </c>
      <c r="M804" t="n">
        <v>0</v>
      </c>
      <c r="N804" t="n">
        <v>0</v>
      </c>
      <c r="O804" t="n">
        <v>0</v>
      </c>
      <c r="P804" t="n">
        <v>0</v>
      </c>
      <c r="Q804" t="n">
        <v>0</v>
      </c>
      <c r="R804" s="2" t="inlineStr"/>
    </row>
    <row r="805" ht="15" customHeight="1">
      <c r="A805" t="inlineStr">
        <is>
          <t>A 45894-2025</t>
        </is>
      </c>
      <c r="B805" s="1" t="n">
        <v>45923.67765046296</v>
      </c>
      <c r="C805" s="1" t="n">
        <v>45981</v>
      </c>
      <c r="D805" t="inlineStr">
        <is>
          <t>JÄMTLANDS LÄN</t>
        </is>
      </c>
      <c r="E805" t="inlineStr">
        <is>
          <t>RAGUNDA</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18193-2022</t>
        </is>
      </c>
      <c r="B806" s="1" t="n">
        <v>44684.94032407407</v>
      </c>
      <c r="C806" s="1" t="n">
        <v>45981</v>
      </c>
      <c r="D806" t="inlineStr">
        <is>
          <t>JÄMTLANDS LÄN</t>
        </is>
      </c>
      <c r="E806" t="inlineStr">
        <is>
          <t>RAGUNDA</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11551-2024</t>
        </is>
      </c>
      <c r="B807" s="1" t="n">
        <v>45372.95762731481</v>
      </c>
      <c r="C807" s="1" t="n">
        <v>45981</v>
      </c>
      <c r="D807" t="inlineStr">
        <is>
          <t>JÄMTLANDS LÄN</t>
        </is>
      </c>
      <c r="E807" t="inlineStr">
        <is>
          <t>RAGUNDA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27510-2025</t>
        </is>
      </c>
      <c r="B808" s="1" t="n">
        <v>45813.42790509259</v>
      </c>
      <c r="C808" s="1" t="n">
        <v>45981</v>
      </c>
      <c r="D808" t="inlineStr">
        <is>
          <t>JÄMTLANDS LÄN</t>
        </is>
      </c>
      <c r="E808" t="inlineStr">
        <is>
          <t>RAGUNDA</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58630-2024</t>
        </is>
      </c>
      <c r="B809" s="1" t="n">
        <v>45635.57331018519</v>
      </c>
      <c r="C809" s="1" t="n">
        <v>45981</v>
      </c>
      <c r="D809" t="inlineStr">
        <is>
          <t>JÄMTLANDS LÄN</t>
        </is>
      </c>
      <c r="E809" t="inlineStr">
        <is>
          <t>RAGUNDA</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49647-2024</t>
        </is>
      </c>
      <c r="B810" s="1" t="n">
        <v>45596.61533564814</v>
      </c>
      <c r="C810" s="1" t="n">
        <v>45981</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46549-2023</t>
        </is>
      </c>
      <c r="B811" s="1" t="n">
        <v>45197.94171296297</v>
      </c>
      <c r="C811" s="1" t="n">
        <v>45981</v>
      </c>
      <c r="D811" t="inlineStr">
        <is>
          <t>JÄMTLANDS LÄN</t>
        </is>
      </c>
      <c r="E811" t="inlineStr">
        <is>
          <t>RAGUNDA</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19404-2025</t>
        </is>
      </c>
      <c r="B812" s="1" t="n">
        <v>45769.67802083334</v>
      </c>
      <c r="C812" s="1" t="n">
        <v>45981</v>
      </c>
      <c r="D812" t="inlineStr">
        <is>
          <t>JÄMTLANDS LÄN</t>
        </is>
      </c>
      <c r="E812" t="inlineStr">
        <is>
          <t>RAGUNDA</t>
        </is>
      </c>
      <c r="F812" t="inlineStr">
        <is>
          <t>SCA</t>
        </is>
      </c>
      <c r="G812" t="n">
        <v>3</v>
      </c>
      <c r="H812" t="n">
        <v>0</v>
      </c>
      <c r="I812" t="n">
        <v>0</v>
      </c>
      <c r="J812" t="n">
        <v>0</v>
      </c>
      <c r="K812" t="n">
        <v>0</v>
      </c>
      <c r="L812" t="n">
        <v>0</v>
      </c>
      <c r="M812" t="n">
        <v>0</v>
      </c>
      <c r="N812" t="n">
        <v>0</v>
      </c>
      <c r="O812" t="n">
        <v>0</v>
      </c>
      <c r="P812" t="n">
        <v>0</v>
      </c>
      <c r="Q812" t="n">
        <v>0</v>
      </c>
      <c r="R812" s="2" t="inlineStr"/>
      <c r="U812">
        <f>HYPERLINK("https://klasma.github.io/Logging_2303/knärot/A 19404-2025 karta knärot.png", "A 19404-2025")</f>
        <v/>
      </c>
      <c r="V812">
        <f>HYPERLINK("https://klasma.github.io/Logging_2303/klagomål/A 19404-2025 FSC-klagomål.docx", "A 19404-2025")</f>
        <v/>
      </c>
      <c r="W812">
        <f>HYPERLINK("https://klasma.github.io/Logging_2303/klagomålsmail/A 19404-2025 FSC-klagomål mail.docx", "A 19404-2025")</f>
        <v/>
      </c>
      <c r="X812">
        <f>HYPERLINK("https://klasma.github.io/Logging_2303/tillsyn/A 19404-2025 tillsynsbegäran.docx", "A 19404-2025")</f>
        <v/>
      </c>
      <c r="Y812">
        <f>HYPERLINK("https://klasma.github.io/Logging_2303/tillsynsmail/A 19404-2025 tillsynsbegäran mail.docx", "A 19404-2025")</f>
        <v/>
      </c>
    </row>
    <row r="813" ht="15" customHeight="1">
      <c r="A813" t="inlineStr">
        <is>
          <t>A 53264-2024</t>
        </is>
      </c>
      <c r="B813" s="1" t="n">
        <v>45614.34545138889</v>
      </c>
      <c r="C813" s="1" t="n">
        <v>45981</v>
      </c>
      <c r="D813" t="inlineStr">
        <is>
          <t>JÄMTLANDS LÄN</t>
        </is>
      </c>
      <c r="E813" t="inlineStr">
        <is>
          <t>RAGUNDA</t>
        </is>
      </c>
      <c r="G813" t="n">
        <v>1.4</v>
      </c>
      <c r="H813" t="n">
        <v>0</v>
      </c>
      <c r="I813" t="n">
        <v>0</v>
      </c>
      <c r="J813" t="n">
        <v>0</v>
      </c>
      <c r="K813" t="n">
        <v>0</v>
      </c>
      <c r="L813" t="n">
        <v>0</v>
      </c>
      <c r="M813" t="n">
        <v>0</v>
      </c>
      <c r="N813" t="n">
        <v>0</v>
      </c>
      <c r="O813" t="n">
        <v>0</v>
      </c>
      <c r="P813" t="n">
        <v>0</v>
      </c>
      <c r="Q813" t="n">
        <v>0</v>
      </c>
      <c r="R813" s="2" t="inlineStr"/>
    </row>
    <row r="814" ht="15" customHeight="1">
      <c r="A814" t="inlineStr">
        <is>
          <t>A 13389-2025</t>
        </is>
      </c>
      <c r="B814" s="1" t="n">
        <v>45735.69842592593</v>
      </c>
      <c r="C814" s="1" t="n">
        <v>45981</v>
      </c>
      <c r="D814" t="inlineStr">
        <is>
          <t>JÄMTLANDS LÄN</t>
        </is>
      </c>
      <c r="E814" t="inlineStr">
        <is>
          <t>RAGUNDA</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46192-2025</t>
        </is>
      </c>
      <c r="B815" s="1" t="n">
        <v>45924.67789351852</v>
      </c>
      <c r="C815" s="1" t="n">
        <v>45981</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32258-2024</t>
        </is>
      </c>
      <c r="B816" s="1" t="n">
        <v>45511</v>
      </c>
      <c r="C816" s="1" t="n">
        <v>45981</v>
      </c>
      <c r="D816" t="inlineStr">
        <is>
          <t>JÄMTLANDS LÄN</t>
        </is>
      </c>
      <c r="E816" t="inlineStr">
        <is>
          <t>RAGUNDA</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38270-2021</t>
        </is>
      </c>
      <c r="B817" s="1" t="n">
        <v>44405.92065972222</v>
      </c>
      <c r="C817" s="1" t="n">
        <v>45981</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29257-2024</t>
        </is>
      </c>
      <c r="B818" s="1" t="n">
        <v>45482.94815972223</v>
      </c>
      <c r="C818" s="1" t="n">
        <v>45981</v>
      </c>
      <c r="D818" t="inlineStr">
        <is>
          <t>JÄMTLANDS LÄN</t>
        </is>
      </c>
      <c r="E818" t="inlineStr">
        <is>
          <t>RAGUNDA</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27373-2023</t>
        </is>
      </c>
      <c r="B819" s="1" t="n">
        <v>45096.93866898148</v>
      </c>
      <c r="C819" s="1" t="n">
        <v>45981</v>
      </c>
      <c r="D819" t="inlineStr">
        <is>
          <t>JÄMTLANDS LÄN</t>
        </is>
      </c>
      <c r="E819" t="inlineStr">
        <is>
          <t>RAGUNDA</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62115-2024</t>
        </is>
      </c>
      <c r="B820" s="1" t="n">
        <v>45656</v>
      </c>
      <c r="C820" s="1" t="n">
        <v>45981</v>
      </c>
      <c r="D820" t="inlineStr">
        <is>
          <t>JÄMTLANDS LÄN</t>
        </is>
      </c>
      <c r="E820" t="inlineStr">
        <is>
          <t>RAGUNDA</t>
        </is>
      </c>
      <c r="G820" t="n">
        <v>3.3</v>
      </c>
      <c r="H820" t="n">
        <v>0</v>
      </c>
      <c r="I820" t="n">
        <v>0</v>
      </c>
      <c r="J820" t="n">
        <v>0</v>
      </c>
      <c r="K820" t="n">
        <v>0</v>
      </c>
      <c r="L820" t="n">
        <v>0</v>
      </c>
      <c r="M820" t="n">
        <v>0</v>
      </c>
      <c r="N820" t="n">
        <v>0</v>
      </c>
      <c r="O820" t="n">
        <v>0</v>
      </c>
      <c r="P820" t="n">
        <v>0</v>
      </c>
      <c r="Q820" t="n">
        <v>0</v>
      </c>
      <c r="R820" s="2" t="inlineStr"/>
    </row>
    <row r="821" ht="15" customHeight="1">
      <c r="A821" t="inlineStr">
        <is>
          <t>A 12653-2024</t>
        </is>
      </c>
      <c r="B821" s="1" t="n">
        <v>45384</v>
      </c>
      <c r="C821" s="1" t="n">
        <v>45981</v>
      </c>
      <c r="D821" t="inlineStr">
        <is>
          <t>JÄMTLANDS LÄN</t>
        </is>
      </c>
      <c r="E821" t="inlineStr">
        <is>
          <t>RAGUNDA</t>
        </is>
      </c>
      <c r="G821" t="n">
        <v>1.1</v>
      </c>
      <c r="H821" t="n">
        <v>0</v>
      </c>
      <c r="I821" t="n">
        <v>0</v>
      </c>
      <c r="J821" t="n">
        <v>0</v>
      </c>
      <c r="K821" t="n">
        <v>0</v>
      </c>
      <c r="L821" t="n">
        <v>0</v>
      </c>
      <c r="M821" t="n">
        <v>0</v>
      </c>
      <c r="N821" t="n">
        <v>0</v>
      </c>
      <c r="O821" t="n">
        <v>0</v>
      </c>
      <c r="P821" t="n">
        <v>0</v>
      </c>
      <c r="Q821" t="n">
        <v>0</v>
      </c>
      <c r="R821" s="2" t="inlineStr"/>
    </row>
    <row r="822" ht="15" customHeight="1">
      <c r="A822" t="inlineStr">
        <is>
          <t>A 50211-2023</t>
        </is>
      </c>
      <c r="B822" s="1" t="n">
        <v>45215.94657407407</v>
      </c>
      <c r="C822" s="1" t="n">
        <v>45981</v>
      </c>
      <c r="D822" t="inlineStr">
        <is>
          <t>JÄMTLANDS LÄN</t>
        </is>
      </c>
      <c r="E822" t="inlineStr">
        <is>
          <t>RAGUNDA</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45631-2024</t>
        </is>
      </c>
      <c r="B823" s="1" t="n">
        <v>45579.47052083333</v>
      </c>
      <c r="C823" s="1" t="n">
        <v>45981</v>
      </c>
      <c r="D823" t="inlineStr">
        <is>
          <t>JÄMTLANDS LÄN</t>
        </is>
      </c>
      <c r="E823" t="inlineStr">
        <is>
          <t>RAGUNDA</t>
        </is>
      </c>
      <c r="G823" t="n">
        <v>15.1</v>
      </c>
      <c r="H823" t="n">
        <v>0</v>
      </c>
      <c r="I823" t="n">
        <v>0</v>
      </c>
      <c r="J823" t="n">
        <v>0</v>
      </c>
      <c r="K823" t="n">
        <v>0</v>
      </c>
      <c r="L823" t="n">
        <v>0</v>
      </c>
      <c r="M823" t="n">
        <v>0</v>
      </c>
      <c r="N823" t="n">
        <v>0</v>
      </c>
      <c r="O823" t="n">
        <v>0</v>
      </c>
      <c r="P823" t="n">
        <v>0</v>
      </c>
      <c r="Q823" t="n">
        <v>0</v>
      </c>
      <c r="R823" s="2" t="inlineStr"/>
    </row>
    <row r="824" ht="15" customHeight="1">
      <c r="A824" t="inlineStr">
        <is>
          <t>A 54820-2025</t>
        </is>
      </c>
      <c r="B824" s="1" t="n">
        <v>45966.65728009259</v>
      </c>
      <c r="C824" s="1" t="n">
        <v>45981</v>
      </c>
      <c r="D824" t="inlineStr">
        <is>
          <t>JÄMTLANDS LÄN</t>
        </is>
      </c>
      <c r="E824" t="inlineStr">
        <is>
          <t>RAGUNDA</t>
        </is>
      </c>
      <c r="G824" t="n">
        <v>15.3</v>
      </c>
      <c r="H824" t="n">
        <v>0</v>
      </c>
      <c r="I824" t="n">
        <v>0</v>
      </c>
      <c r="J824" t="n">
        <v>0</v>
      </c>
      <c r="K824" t="n">
        <v>0</v>
      </c>
      <c r="L824" t="n">
        <v>0</v>
      </c>
      <c r="M824" t="n">
        <v>0</v>
      </c>
      <c r="N824" t="n">
        <v>0</v>
      </c>
      <c r="O824" t="n">
        <v>0</v>
      </c>
      <c r="P824" t="n">
        <v>0</v>
      </c>
      <c r="Q824" t="n">
        <v>0</v>
      </c>
      <c r="R824" s="2" t="inlineStr"/>
    </row>
    <row r="825" ht="15" customHeight="1">
      <c r="A825" t="inlineStr">
        <is>
          <t>A 9232-2025</t>
        </is>
      </c>
      <c r="B825" s="1" t="n">
        <v>45714.55064814815</v>
      </c>
      <c r="C825" s="1" t="n">
        <v>45981</v>
      </c>
      <c r="D825" t="inlineStr">
        <is>
          <t>JÄMTLANDS LÄN</t>
        </is>
      </c>
      <c r="E825" t="inlineStr">
        <is>
          <t>RAGUNDA</t>
        </is>
      </c>
      <c r="G825" t="n">
        <v>1.9</v>
      </c>
      <c r="H825" t="n">
        <v>0</v>
      </c>
      <c r="I825" t="n">
        <v>0</v>
      </c>
      <c r="J825" t="n">
        <v>0</v>
      </c>
      <c r="K825" t="n">
        <v>0</v>
      </c>
      <c r="L825" t="n">
        <v>0</v>
      </c>
      <c r="M825" t="n">
        <v>0</v>
      </c>
      <c r="N825" t="n">
        <v>0</v>
      </c>
      <c r="O825" t="n">
        <v>0</v>
      </c>
      <c r="P825" t="n">
        <v>0</v>
      </c>
      <c r="Q825" t="n">
        <v>0</v>
      </c>
      <c r="R825" s="2" t="inlineStr"/>
    </row>
    <row r="826" ht="15" customHeight="1">
      <c r="A826" t="inlineStr">
        <is>
          <t>A 29775-2023</t>
        </is>
      </c>
      <c r="B826" s="1" t="n">
        <v>45098</v>
      </c>
      <c r="C826" s="1" t="n">
        <v>45981</v>
      </c>
      <c r="D826" t="inlineStr">
        <is>
          <t>JÄMTLANDS LÄN</t>
        </is>
      </c>
      <c r="E826" t="inlineStr">
        <is>
          <t>RAGUNDA</t>
        </is>
      </c>
      <c r="G826" t="n">
        <v>3.6</v>
      </c>
      <c r="H826" t="n">
        <v>0</v>
      </c>
      <c r="I826" t="n">
        <v>0</v>
      </c>
      <c r="J826" t="n">
        <v>0</v>
      </c>
      <c r="K826" t="n">
        <v>0</v>
      </c>
      <c r="L826" t="n">
        <v>0</v>
      </c>
      <c r="M826" t="n">
        <v>0</v>
      </c>
      <c r="N826" t="n">
        <v>0</v>
      </c>
      <c r="O826" t="n">
        <v>0</v>
      </c>
      <c r="P826" t="n">
        <v>0</v>
      </c>
      <c r="Q826" t="n">
        <v>0</v>
      </c>
      <c r="R826" s="2" t="inlineStr"/>
    </row>
    <row r="827" ht="15" customHeight="1">
      <c r="A827" t="inlineStr">
        <is>
          <t>A 55701-2021</t>
        </is>
      </c>
      <c r="B827" s="1" t="n">
        <v>44475</v>
      </c>
      <c r="C827" s="1" t="n">
        <v>45981</v>
      </c>
      <c r="D827" t="inlineStr">
        <is>
          <t>JÄMTLANDS LÄN</t>
        </is>
      </c>
      <c r="E827" t="inlineStr">
        <is>
          <t>RAGUNDA</t>
        </is>
      </c>
      <c r="G827" t="n">
        <v>5.6</v>
      </c>
      <c r="H827" t="n">
        <v>0</v>
      </c>
      <c r="I827" t="n">
        <v>0</v>
      </c>
      <c r="J827" t="n">
        <v>0</v>
      </c>
      <c r="K827" t="n">
        <v>0</v>
      </c>
      <c r="L827" t="n">
        <v>0</v>
      </c>
      <c r="M827" t="n">
        <v>0</v>
      </c>
      <c r="N827" t="n">
        <v>0</v>
      </c>
      <c r="O827" t="n">
        <v>0</v>
      </c>
      <c r="P827" t="n">
        <v>0</v>
      </c>
      <c r="Q827" t="n">
        <v>0</v>
      </c>
      <c r="R827" s="2" t="inlineStr"/>
    </row>
    <row r="828" ht="15" customHeight="1">
      <c r="A828" t="inlineStr">
        <is>
          <t>A 44494-2024</t>
        </is>
      </c>
      <c r="B828" s="1" t="n">
        <v>45574.39081018518</v>
      </c>
      <c r="C828" s="1" t="n">
        <v>45981</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46275-2025</t>
        </is>
      </c>
      <c r="B829" s="1" t="n">
        <v>45925.3711574074</v>
      </c>
      <c r="C829" s="1" t="n">
        <v>45981</v>
      </c>
      <c r="D829" t="inlineStr">
        <is>
          <t>JÄMTLANDS LÄN</t>
        </is>
      </c>
      <c r="E829" t="inlineStr">
        <is>
          <t>RAGUNDA</t>
        </is>
      </c>
      <c r="G829" t="n">
        <v>2.7</v>
      </c>
      <c r="H829" t="n">
        <v>0</v>
      </c>
      <c r="I829" t="n">
        <v>0</v>
      </c>
      <c r="J829" t="n">
        <v>0</v>
      </c>
      <c r="K829" t="n">
        <v>0</v>
      </c>
      <c r="L829" t="n">
        <v>0</v>
      </c>
      <c r="M829" t="n">
        <v>0</v>
      </c>
      <c r="N829" t="n">
        <v>0</v>
      </c>
      <c r="O829" t="n">
        <v>0</v>
      </c>
      <c r="P829" t="n">
        <v>0</v>
      </c>
      <c r="Q829" t="n">
        <v>0</v>
      </c>
      <c r="R829" s="2" t="inlineStr"/>
    </row>
    <row r="830" ht="15" customHeight="1">
      <c r="A830" t="inlineStr">
        <is>
          <t>A 30484-2024</t>
        </is>
      </c>
      <c r="B830" s="1" t="n">
        <v>45491</v>
      </c>
      <c r="C830" s="1" t="n">
        <v>45981</v>
      </c>
      <c r="D830" t="inlineStr">
        <is>
          <t>JÄMTLANDS LÄN</t>
        </is>
      </c>
      <c r="E830" t="inlineStr">
        <is>
          <t>RAGUNDA</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13898-2023</t>
        </is>
      </c>
      <c r="B831" s="1" t="n">
        <v>45008.01408564814</v>
      </c>
      <c r="C831" s="1" t="n">
        <v>45981</v>
      </c>
      <c r="D831" t="inlineStr">
        <is>
          <t>JÄMTLANDS LÄN</t>
        </is>
      </c>
      <c r="E831" t="inlineStr">
        <is>
          <t>RAGUNDA</t>
        </is>
      </c>
      <c r="F831" t="inlineStr">
        <is>
          <t>SCA</t>
        </is>
      </c>
      <c r="G831" t="n">
        <v>5</v>
      </c>
      <c r="H831" t="n">
        <v>0</v>
      </c>
      <c r="I831" t="n">
        <v>0</v>
      </c>
      <c r="J831" t="n">
        <v>0</v>
      </c>
      <c r="K831" t="n">
        <v>0</v>
      </c>
      <c r="L831" t="n">
        <v>0</v>
      </c>
      <c r="M831" t="n">
        <v>0</v>
      </c>
      <c r="N831" t="n">
        <v>0</v>
      </c>
      <c r="O831" t="n">
        <v>0</v>
      </c>
      <c r="P831" t="n">
        <v>0</v>
      </c>
      <c r="Q831" t="n">
        <v>0</v>
      </c>
      <c r="R831" s="2" t="inlineStr"/>
    </row>
    <row r="832" ht="15" customHeight="1">
      <c r="A832" t="inlineStr">
        <is>
          <t>A 54794-2025</t>
        </is>
      </c>
      <c r="B832" s="1" t="n">
        <v>45966.63592592593</v>
      </c>
      <c r="C832" s="1" t="n">
        <v>45981</v>
      </c>
      <c r="D832" t="inlineStr">
        <is>
          <t>JÄMTLANDS LÄN</t>
        </is>
      </c>
      <c r="E832" t="inlineStr">
        <is>
          <t>RAGUNDA</t>
        </is>
      </c>
      <c r="G832" t="n">
        <v>4</v>
      </c>
      <c r="H832" t="n">
        <v>0</v>
      </c>
      <c r="I832" t="n">
        <v>0</v>
      </c>
      <c r="J832" t="n">
        <v>0</v>
      </c>
      <c r="K832" t="n">
        <v>0</v>
      </c>
      <c r="L832" t="n">
        <v>0</v>
      </c>
      <c r="M832" t="n">
        <v>0</v>
      </c>
      <c r="N832" t="n">
        <v>0</v>
      </c>
      <c r="O832" t="n">
        <v>0</v>
      </c>
      <c r="P832" t="n">
        <v>0</v>
      </c>
      <c r="Q832" t="n">
        <v>0</v>
      </c>
      <c r="R832" s="2" t="inlineStr"/>
    </row>
    <row r="833" ht="15" customHeight="1">
      <c r="A833" t="inlineStr">
        <is>
          <t>A 26026-2024</t>
        </is>
      </c>
      <c r="B833" s="1" t="n">
        <v>45467.96207175926</v>
      </c>
      <c r="C833" s="1" t="n">
        <v>45981</v>
      </c>
      <c r="D833" t="inlineStr">
        <is>
          <t>JÄMTLANDS LÄN</t>
        </is>
      </c>
      <c r="E833" t="inlineStr">
        <is>
          <t>RAGUNDA</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14513-2025</t>
        </is>
      </c>
      <c r="B834" s="1" t="n">
        <v>45741.63675925926</v>
      </c>
      <c r="C834" s="1" t="n">
        <v>45981</v>
      </c>
      <c r="D834" t="inlineStr">
        <is>
          <t>JÄMTLANDS LÄN</t>
        </is>
      </c>
      <c r="E834" t="inlineStr">
        <is>
          <t>RAGUNDA</t>
        </is>
      </c>
      <c r="F834" t="inlineStr">
        <is>
          <t>SCA</t>
        </is>
      </c>
      <c r="G834" t="n">
        <v>6.8</v>
      </c>
      <c r="H834" t="n">
        <v>0</v>
      </c>
      <c r="I834" t="n">
        <v>0</v>
      </c>
      <c r="J834" t="n">
        <v>0</v>
      </c>
      <c r="K834" t="n">
        <v>0</v>
      </c>
      <c r="L834" t="n">
        <v>0</v>
      </c>
      <c r="M834" t="n">
        <v>0</v>
      </c>
      <c r="N834" t="n">
        <v>0</v>
      </c>
      <c r="O834" t="n">
        <v>0</v>
      </c>
      <c r="P834" t="n">
        <v>0</v>
      </c>
      <c r="Q834" t="n">
        <v>0</v>
      </c>
      <c r="R834" s="2" t="inlineStr"/>
    </row>
    <row r="835" ht="15" customHeight="1">
      <c r="A835" t="inlineStr">
        <is>
          <t>A 55904-2022</t>
        </is>
      </c>
      <c r="B835" s="1" t="n">
        <v>44888</v>
      </c>
      <c r="C835" s="1" t="n">
        <v>45981</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46825-2025</t>
        </is>
      </c>
      <c r="B836" s="1" t="n">
        <v>45926.92506944444</v>
      </c>
      <c r="C836" s="1" t="n">
        <v>45981</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46710-2025</t>
        </is>
      </c>
      <c r="B837" s="1" t="n">
        <v>45926.57337962963</v>
      </c>
      <c r="C837" s="1" t="n">
        <v>45981</v>
      </c>
      <c r="D837" t="inlineStr">
        <is>
          <t>JÄMTLANDS LÄN</t>
        </is>
      </c>
      <c r="E837" t="inlineStr">
        <is>
          <t>RAGUNDA</t>
        </is>
      </c>
      <c r="F837" t="inlineStr">
        <is>
          <t>SCA</t>
        </is>
      </c>
      <c r="G837" t="n">
        <v>6</v>
      </c>
      <c r="H837" t="n">
        <v>0</v>
      </c>
      <c r="I837" t="n">
        <v>0</v>
      </c>
      <c r="J837" t="n">
        <v>0</v>
      </c>
      <c r="K837" t="n">
        <v>0</v>
      </c>
      <c r="L837" t="n">
        <v>0</v>
      </c>
      <c r="M837" t="n">
        <v>0</v>
      </c>
      <c r="N837" t="n">
        <v>0</v>
      </c>
      <c r="O837" t="n">
        <v>0</v>
      </c>
      <c r="P837" t="n">
        <v>0</v>
      </c>
      <c r="Q837" t="n">
        <v>0</v>
      </c>
      <c r="R837" s="2" t="inlineStr"/>
    </row>
    <row r="838" ht="15" customHeight="1">
      <c r="A838" t="inlineStr">
        <is>
          <t>A 5429-2024</t>
        </is>
      </c>
      <c r="B838" s="1" t="n">
        <v>45331.92746527777</v>
      </c>
      <c r="C838" s="1" t="n">
        <v>45981</v>
      </c>
      <c r="D838" t="inlineStr">
        <is>
          <t>JÄMTLANDS LÄN</t>
        </is>
      </c>
      <c r="E838" t="inlineStr">
        <is>
          <t>RAGUNDA</t>
        </is>
      </c>
      <c r="G838" t="n">
        <v>1.1</v>
      </c>
      <c r="H838" t="n">
        <v>0</v>
      </c>
      <c r="I838" t="n">
        <v>0</v>
      </c>
      <c r="J838" t="n">
        <v>0</v>
      </c>
      <c r="K838" t="n">
        <v>0</v>
      </c>
      <c r="L838" t="n">
        <v>0</v>
      </c>
      <c r="M838" t="n">
        <v>0</v>
      </c>
      <c r="N838" t="n">
        <v>0</v>
      </c>
      <c r="O838" t="n">
        <v>0</v>
      </c>
      <c r="P838" t="n">
        <v>0</v>
      </c>
      <c r="Q838" t="n">
        <v>0</v>
      </c>
      <c r="R838" s="2" t="inlineStr"/>
    </row>
    <row r="839" ht="15" customHeight="1">
      <c r="A839" t="inlineStr">
        <is>
          <t>A 7281-2025</t>
        </is>
      </c>
      <c r="B839" s="1" t="n">
        <v>45702.63572916666</v>
      </c>
      <c r="C839" s="1" t="n">
        <v>45981</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47075-2025</t>
        </is>
      </c>
      <c r="B840" s="1" t="n">
        <v>45929.63728009259</v>
      </c>
      <c r="C840" s="1" t="n">
        <v>45981</v>
      </c>
      <c r="D840" t="inlineStr">
        <is>
          <t>JÄMTLANDS LÄN</t>
        </is>
      </c>
      <c r="E840" t="inlineStr">
        <is>
          <t>RAGUNDA</t>
        </is>
      </c>
      <c r="F840" t="inlineStr">
        <is>
          <t>SCA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48192-2024</t>
        </is>
      </c>
      <c r="B841" s="1" t="n">
        <v>45590</v>
      </c>
      <c r="C841" s="1" t="n">
        <v>45981</v>
      </c>
      <c r="D841" t="inlineStr">
        <is>
          <t>JÄMTLANDS LÄN</t>
        </is>
      </c>
      <c r="E841" t="inlineStr">
        <is>
          <t>RAGUNDA</t>
        </is>
      </c>
      <c r="G841" t="n">
        <v>2.3</v>
      </c>
      <c r="H841" t="n">
        <v>0</v>
      </c>
      <c r="I841" t="n">
        <v>0</v>
      </c>
      <c r="J841" t="n">
        <v>0</v>
      </c>
      <c r="K841" t="n">
        <v>0</v>
      </c>
      <c r="L841" t="n">
        <v>0</v>
      </c>
      <c r="M841" t="n">
        <v>0</v>
      </c>
      <c r="N841" t="n">
        <v>0</v>
      </c>
      <c r="O841" t="n">
        <v>0</v>
      </c>
      <c r="P841" t="n">
        <v>0</v>
      </c>
      <c r="Q841" t="n">
        <v>0</v>
      </c>
      <c r="R841" s="2" t="inlineStr"/>
    </row>
    <row r="842" ht="15" customHeight="1">
      <c r="A842" t="inlineStr">
        <is>
          <t>A 47119-2025</t>
        </is>
      </c>
      <c r="B842" s="1" t="n">
        <v>45929.67795138889</v>
      </c>
      <c r="C842" s="1" t="n">
        <v>45981</v>
      </c>
      <c r="D842" t="inlineStr">
        <is>
          <t>JÄMTLANDS LÄN</t>
        </is>
      </c>
      <c r="E842" t="inlineStr">
        <is>
          <t>RAGUNDA</t>
        </is>
      </c>
      <c r="F842" t="inlineStr">
        <is>
          <t>SCA</t>
        </is>
      </c>
      <c r="G842" t="n">
        <v>22.7</v>
      </c>
      <c r="H842" t="n">
        <v>0</v>
      </c>
      <c r="I842" t="n">
        <v>0</v>
      </c>
      <c r="J842" t="n">
        <v>0</v>
      </c>
      <c r="K842" t="n">
        <v>0</v>
      </c>
      <c r="L842" t="n">
        <v>0</v>
      </c>
      <c r="M842" t="n">
        <v>0</v>
      </c>
      <c r="N842" t="n">
        <v>0</v>
      </c>
      <c r="O842" t="n">
        <v>0</v>
      </c>
      <c r="P842" t="n">
        <v>0</v>
      </c>
      <c r="Q842" t="n">
        <v>0</v>
      </c>
      <c r="R842" s="2" t="inlineStr"/>
    </row>
    <row r="843" ht="15" customHeight="1">
      <c r="A843" t="inlineStr">
        <is>
          <t>A 2599-2023</t>
        </is>
      </c>
      <c r="B843" s="1" t="n">
        <v>44943.94802083333</v>
      </c>
      <c r="C843" s="1" t="n">
        <v>45981</v>
      </c>
      <c r="D843" t="inlineStr">
        <is>
          <t>JÄMTLANDS LÄN</t>
        </is>
      </c>
      <c r="E843" t="inlineStr">
        <is>
          <t>RAGUNDA</t>
        </is>
      </c>
      <c r="F843" t="inlineStr">
        <is>
          <t>SCA</t>
        </is>
      </c>
      <c r="G843" t="n">
        <v>5.9</v>
      </c>
      <c r="H843" t="n">
        <v>0</v>
      </c>
      <c r="I843" t="n">
        <v>0</v>
      </c>
      <c r="J843" t="n">
        <v>0</v>
      </c>
      <c r="K843" t="n">
        <v>0</v>
      </c>
      <c r="L843" t="n">
        <v>0</v>
      </c>
      <c r="M843" t="n">
        <v>0</v>
      </c>
      <c r="N843" t="n">
        <v>0</v>
      </c>
      <c r="O843" t="n">
        <v>0</v>
      </c>
      <c r="P843" t="n">
        <v>0</v>
      </c>
      <c r="Q843" t="n">
        <v>0</v>
      </c>
      <c r="R843" s="2" t="inlineStr"/>
    </row>
    <row r="844" ht="15" customHeight="1">
      <c r="A844" t="inlineStr">
        <is>
          <t>A 46689-2025</t>
        </is>
      </c>
      <c r="B844" s="1" t="n">
        <v>45926.55307870371</v>
      </c>
      <c r="C844" s="1" t="n">
        <v>45981</v>
      </c>
      <c r="D844" t="inlineStr">
        <is>
          <t>JÄMTLANDS LÄN</t>
        </is>
      </c>
      <c r="E844" t="inlineStr">
        <is>
          <t>RAGUNDA</t>
        </is>
      </c>
      <c r="F844" t="inlineStr">
        <is>
          <t>SCA</t>
        </is>
      </c>
      <c r="G844" t="n">
        <v>8</v>
      </c>
      <c r="H844" t="n">
        <v>0</v>
      </c>
      <c r="I844" t="n">
        <v>0</v>
      </c>
      <c r="J844" t="n">
        <v>0</v>
      </c>
      <c r="K844" t="n">
        <v>0</v>
      </c>
      <c r="L844" t="n">
        <v>0</v>
      </c>
      <c r="M844" t="n">
        <v>0</v>
      </c>
      <c r="N844" t="n">
        <v>0</v>
      </c>
      <c r="O844" t="n">
        <v>0</v>
      </c>
      <c r="P844" t="n">
        <v>0</v>
      </c>
      <c r="Q844" t="n">
        <v>0</v>
      </c>
      <c r="R844" s="2" t="inlineStr"/>
    </row>
    <row r="845" ht="15" customHeight="1">
      <c r="A845" t="inlineStr">
        <is>
          <t>A 46909-2025</t>
        </is>
      </c>
      <c r="B845" s="1" t="n">
        <v>45929.40673611111</v>
      </c>
      <c r="C845" s="1" t="n">
        <v>45981</v>
      </c>
      <c r="D845" t="inlineStr">
        <is>
          <t>JÄMTLANDS LÄN</t>
        </is>
      </c>
      <c r="E845" t="inlineStr">
        <is>
          <t>RAGUNDA</t>
        </is>
      </c>
      <c r="G845" t="n">
        <v>5.7</v>
      </c>
      <c r="H845" t="n">
        <v>0</v>
      </c>
      <c r="I845" t="n">
        <v>0</v>
      </c>
      <c r="J845" t="n">
        <v>0</v>
      </c>
      <c r="K845" t="n">
        <v>0</v>
      </c>
      <c r="L845" t="n">
        <v>0</v>
      </c>
      <c r="M845" t="n">
        <v>0</v>
      </c>
      <c r="N845" t="n">
        <v>0</v>
      </c>
      <c r="O845" t="n">
        <v>0</v>
      </c>
      <c r="P845" t="n">
        <v>0</v>
      </c>
      <c r="Q845" t="n">
        <v>0</v>
      </c>
      <c r="R845" s="2" t="inlineStr"/>
    </row>
    <row r="846" ht="15" customHeight="1">
      <c r="A846" t="inlineStr">
        <is>
          <t>A 48249-2024</t>
        </is>
      </c>
      <c r="B846" s="1" t="n">
        <v>45590.40675925926</v>
      </c>
      <c r="C846" s="1" t="n">
        <v>45981</v>
      </c>
      <c r="D846" t="inlineStr">
        <is>
          <t>JÄMTLANDS LÄN</t>
        </is>
      </c>
      <c r="E846" t="inlineStr">
        <is>
          <t>RAGUNDA</t>
        </is>
      </c>
      <c r="F846" t="inlineStr">
        <is>
          <t>SCA</t>
        </is>
      </c>
      <c r="G846" t="n">
        <v>14.4</v>
      </c>
      <c r="H846" t="n">
        <v>0</v>
      </c>
      <c r="I846" t="n">
        <v>0</v>
      </c>
      <c r="J846" t="n">
        <v>0</v>
      </c>
      <c r="K846" t="n">
        <v>0</v>
      </c>
      <c r="L846" t="n">
        <v>0</v>
      </c>
      <c r="M846" t="n">
        <v>0</v>
      </c>
      <c r="N846" t="n">
        <v>0</v>
      </c>
      <c r="O846" t="n">
        <v>0</v>
      </c>
      <c r="P846" t="n">
        <v>0</v>
      </c>
      <c r="Q846" t="n">
        <v>0</v>
      </c>
      <c r="R846" s="2" t="inlineStr"/>
    </row>
    <row r="847" ht="15" customHeight="1">
      <c r="A847" t="inlineStr">
        <is>
          <t>A 64265-2023</t>
        </is>
      </c>
      <c r="B847" s="1" t="n">
        <v>45279.94572916667</v>
      </c>
      <c r="C847" s="1" t="n">
        <v>45981</v>
      </c>
      <c r="D847" t="inlineStr">
        <is>
          <t>JÄMTLANDS LÄN</t>
        </is>
      </c>
      <c r="E847" t="inlineStr">
        <is>
          <t>RAGUNDA</t>
        </is>
      </c>
      <c r="F847" t="inlineStr">
        <is>
          <t>SCA</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3720-2025</t>
        </is>
      </c>
      <c r="B848" s="1" t="n">
        <v>45681.5315625</v>
      </c>
      <c r="C848" s="1" t="n">
        <v>45981</v>
      </c>
      <c r="D848" t="inlineStr">
        <is>
          <t>JÄMTLANDS LÄN</t>
        </is>
      </c>
      <c r="E848" t="inlineStr">
        <is>
          <t>RAGUNDA</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3770-2025</t>
        </is>
      </c>
      <c r="B849" s="1" t="n">
        <v>45681.6050925926</v>
      </c>
      <c r="C849" s="1" t="n">
        <v>45981</v>
      </c>
      <c r="D849" t="inlineStr">
        <is>
          <t>JÄMTLANDS LÄN</t>
        </is>
      </c>
      <c r="E849" t="inlineStr">
        <is>
          <t>RAGUNDA</t>
        </is>
      </c>
      <c r="G849" t="n">
        <v>2.7</v>
      </c>
      <c r="H849" t="n">
        <v>0</v>
      </c>
      <c r="I849" t="n">
        <v>0</v>
      </c>
      <c r="J849" t="n">
        <v>0</v>
      </c>
      <c r="K849" t="n">
        <v>0</v>
      </c>
      <c r="L849" t="n">
        <v>0</v>
      </c>
      <c r="M849" t="n">
        <v>0</v>
      </c>
      <c r="N849" t="n">
        <v>0</v>
      </c>
      <c r="O849" t="n">
        <v>0</v>
      </c>
      <c r="P849" t="n">
        <v>0</v>
      </c>
      <c r="Q849" t="n">
        <v>0</v>
      </c>
      <c r="R849" s="2" t="inlineStr"/>
    </row>
    <row r="850" ht="15" customHeight="1">
      <c r="A850" t="inlineStr">
        <is>
          <t>A 18989-2025</t>
        </is>
      </c>
      <c r="B850" s="1" t="n">
        <v>45764</v>
      </c>
      <c r="C850" s="1" t="n">
        <v>45981</v>
      </c>
      <c r="D850" t="inlineStr">
        <is>
          <t>JÄMTLANDS LÄN</t>
        </is>
      </c>
      <c r="E850" t="inlineStr">
        <is>
          <t>RAGUNDA</t>
        </is>
      </c>
      <c r="G850" t="n">
        <v>0.9</v>
      </c>
      <c r="H850" t="n">
        <v>0</v>
      </c>
      <c r="I850" t="n">
        <v>0</v>
      </c>
      <c r="J850" t="n">
        <v>0</v>
      </c>
      <c r="K850" t="n">
        <v>0</v>
      </c>
      <c r="L850" t="n">
        <v>0</v>
      </c>
      <c r="M850" t="n">
        <v>0</v>
      </c>
      <c r="N850" t="n">
        <v>0</v>
      </c>
      <c r="O850" t="n">
        <v>0</v>
      </c>
      <c r="P850" t="n">
        <v>0</v>
      </c>
      <c r="Q850" t="n">
        <v>0</v>
      </c>
      <c r="R850" s="2" t="inlineStr"/>
    </row>
    <row r="851" ht="15" customHeight="1">
      <c r="A851" t="inlineStr">
        <is>
          <t>A 51579-2024</t>
        </is>
      </c>
      <c r="B851" s="1" t="n">
        <v>45604.63575231482</v>
      </c>
      <c r="C851" s="1" t="n">
        <v>45981</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47122-2025</t>
        </is>
      </c>
      <c r="B852" s="1" t="n">
        <v>45929.67878472222</v>
      </c>
      <c r="C852" s="1" t="n">
        <v>45981</v>
      </c>
      <c r="D852" t="inlineStr">
        <is>
          <t>JÄMTLANDS LÄN</t>
        </is>
      </c>
      <c r="E852" t="inlineStr">
        <is>
          <t>RAGUNDA</t>
        </is>
      </c>
      <c r="F852" t="inlineStr">
        <is>
          <t>SCA</t>
        </is>
      </c>
      <c r="G852" t="n">
        <v>31.1</v>
      </c>
      <c r="H852" t="n">
        <v>0</v>
      </c>
      <c r="I852" t="n">
        <v>0</v>
      </c>
      <c r="J852" t="n">
        <v>0</v>
      </c>
      <c r="K852" t="n">
        <v>0</v>
      </c>
      <c r="L852" t="n">
        <v>0</v>
      </c>
      <c r="M852" t="n">
        <v>0</v>
      </c>
      <c r="N852" t="n">
        <v>0</v>
      </c>
      <c r="O852" t="n">
        <v>0</v>
      </c>
      <c r="P852" t="n">
        <v>0</v>
      </c>
      <c r="Q852" t="n">
        <v>0</v>
      </c>
      <c r="R852" s="2" t="inlineStr"/>
    </row>
    <row r="853" ht="15" customHeight="1">
      <c r="A853" t="inlineStr">
        <is>
          <t>A 8775-2025</t>
        </is>
      </c>
      <c r="B853" s="1" t="n">
        <v>45712.61502314815</v>
      </c>
      <c r="C853" s="1" t="n">
        <v>45981</v>
      </c>
      <c r="D853" t="inlineStr">
        <is>
          <t>JÄMTLANDS LÄN</t>
        </is>
      </c>
      <c r="E853" t="inlineStr">
        <is>
          <t>RAGUNDA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66706-2021</t>
        </is>
      </c>
      <c r="B854" s="1" t="n">
        <v>44519.94440972222</v>
      </c>
      <c r="C854" s="1" t="n">
        <v>45981</v>
      </c>
      <c r="D854" t="inlineStr">
        <is>
          <t>JÄMTLANDS LÄN</t>
        </is>
      </c>
      <c r="E854" t="inlineStr">
        <is>
          <t>RAGUNDA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46974-2025</t>
        </is>
      </c>
      <c r="B855" s="1" t="n">
        <v>45929.51104166666</v>
      </c>
      <c r="C855" s="1" t="n">
        <v>45981</v>
      </c>
      <c r="D855" t="inlineStr">
        <is>
          <t>JÄMTLANDS LÄN</t>
        </is>
      </c>
      <c r="E855" t="inlineStr">
        <is>
          <t>RAGUNDA</t>
        </is>
      </c>
      <c r="F855" t="inlineStr">
        <is>
          <t>SCA</t>
        </is>
      </c>
      <c r="G855" t="n">
        <v>12.1</v>
      </c>
      <c r="H855" t="n">
        <v>0</v>
      </c>
      <c r="I855" t="n">
        <v>0</v>
      </c>
      <c r="J855" t="n">
        <v>0</v>
      </c>
      <c r="K855" t="n">
        <v>0</v>
      </c>
      <c r="L855" t="n">
        <v>0</v>
      </c>
      <c r="M855" t="n">
        <v>0</v>
      </c>
      <c r="N855" t="n">
        <v>0</v>
      </c>
      <c r="O855" t="n">
        <v>0</v>
      </c>
      <c r="P855" t="n">
        <v>0</v>
      </c>
      <c r="Q855" t="n">
        <v>0</v>
      </c>
      <c r="R855" s="2" t="inlineStr"/>
    </row>
    <row r="856" ht="15" customHeight="1">
      <c r="A856" t="inlineStr">
        <is>
          <t>A 2339-2025</t>
        </is>
      </c>
      <c r="B856" s="1" t="n">
        <v>45673.66358796296</v>
      </c>
      <c r="C856" s="1" t="n">
        <v>45981</v>
      </c>
      <c r="D856" t="inlineStr">
        <is>
          <t>JÄMTLANDS LÄN</t>
        </is>
      </c>
      <c r="E856" t="inlineStr">
        <is>
          <t>RAGUNDA</t>
        </is>
      </c>
      <c r="G856" t="n">
        <v>5</v>
      </c>
      <c r="H856" t="n">
        <v>0</v>
      </c>
      <c r="I856" t="n">
        <v>0</v>
      </c>
      <c r="J856" t="n">
        <v>0</v>
      </c>
      <c r="K856" t="n">
        <v>0</v>
      </c>
      <c r="L856" t="n">
        <v>0</v>
      </c>
      <c r="M856" t="n">
        <v>0</v>
      </c>
      <c r="N856" t="n">
        <v>0</v>
      </c>
      <c r="O856" t="n">
        <v>0</v>
      </c>
      <c r="P856" t="n">
        <v>0</v>
      </c>
      <c r="Q856" t="n">
        <v>0</v>
      </c>
      <c r="R856" s="2" t="inlineStr"/>
    </row>
    <row r="857" ht="15" customHeight="1">
      <c r="A857" t="inlineStr">
        <is>
          <t>A 27499-2024</t>
        </is>
      </c>
      <c r="B857" s="1" t="n">
        <v>45474.50608796296</v>
      </c>
      <c r="C857" s="1" t="n">
        <v>45981</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57078-2023</t>
        </is>
      </c>
      <c r="B858" s="1" t="n">
        <v>45244.96774305555</v>
      </c>
      <c r="C858" s="1" t="n">
        <v>45981</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46751-2025</t>
        </is>
      </c>
      <c r="B859" s="1" t="n">
        <v>45926.6153125</v>
      </c>
      <c r="C859" s="1" t="n">
        <v>45981</v>
      </c>
      <c r="D859" t="inlineStr">
        <is>
          <t>JÄMTLANDS LÄN</t>
        </is>
      </c>
      <c r="E859" t="inlineStr">
        <is>
          <t>RAGUNDA</t>
        </is>
      </c>
      <c r="F859" t="inlineStr">
        <is>
          <t>SCA</t>
        </is>
      </c>
      <c r="G859" t="n">
        <v>7.8</v>
      </c>
      <c r="H859" t="n">
        <v>0</v>
      </c>
      <c r="I859" t="n">
        <v>0</v>
      </c>
      <c r="J859" t="n">
        <v>0</v>
      </c>
      <c r="K859" t="n">
        <v>0</v>
      </c>
      <c r="L859" t="n">
        <v>0</v>
      </c>
      <c r="M859" t="n">
        <v>0</v>
      </c>
      <c r="N859" t="n">
        <v>0</v>
      </c>
      <c r="O859" t="n">
        <v>0</v>
      </c>
      <c r="P859" t="n">
        <v>0</v>
      </c>
      <c r="Q859" t="n">
        <v>0</v>
      </c>
      <c r="R859" s="2" t="inlineStr"/>
    </row>
    <row r="860" ht="15" customHeight="1">
      <c r="A860" t="inlineStr">
        <is>
          <t>A 46753-2025</t>
        </is>
      </c>
      <c r="B860" s="1" t="n">
        <v>45926.61552083334</v>
      </c>
      <c r="C860" s="1" t="n">
        <v>45981</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59368-2022</t>
        </is>
      </c>
      <c r="B861" s="1" t="n">
        <v>44904.94824074074</v>
      </c>
      <c r="C861" s="1" t="n">
        <v>45981</v>
      </c>
      <c r="D861" t="inlineStr">
        <is>
          <t>JÄMTLANDS LÄN</t>
        </is>
      </c>
      <c r="E861" t="inlineStr">
        <is>
          <t>RAGUNDA</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55222-2024</t>
        </is>
      </c>
      <c r="B862" s="1" t="n">
        <v>45621.57395833333</v>
      </c>
      <c r="C862" s="1" t="n">
        <v>45981</v>
      </c>
      <c r="D862" t="inlineStr">
        <is>
          <t>JÄMTLANDS LÄN</t>
        </is>
      </c>
      <c r="E862" t="inlineStr">
        <is>
          <t>RAGUNDA</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46211-2024</t>
        </is>
      </c>
      <c r="B863" s="1" t="n">
        <v>45581.55260416667</v>
      </c>
      <c r="C863" s="1" t="n">
        <v>45981</v>
      </c>
      <c r="D863" t="inlineStr">
        <is>
          <t>JÄMTLANDS LÄN</t>
        </is>
      </c>
      <c r="E863" t="inlineStr">
        <is>
          <t>RAGUNDA</t>
        </is>
      </c>
      <c r="G863" t="n">
        <v>7.3</v>
      </c>
      <c r="H863" t="n">
        <v>0</v>
      </c>
      <c r="I863" t="n">
        <v>0</v>
      </c>
      <c r="J863" t="n">
        <v>0</v>
      </c>
      <c r="K863" t="n">
        <v>0</v>
      </c>
      <c r="L863" t="n">
        <v>0</v>
      </c>
      <c r="M863" t="n">
        <v>0</v>
      </c>
      <c r="N863" t="n">
        <v>0</v>
      </c>
      <c r="O863" t="n">
        <v>0</v>
      </c>
      <c r="P863" t="n">
        <v>0</v>
      </c>
      <c r="Q863" t="n">
        <v>0</v>
      </c>
      <c r="R863" s="2" t="inlineStr"/>
    </row>
    <row r="864" ht="15" customHeight="1">
      <c r="A864" t="inlineStr">
        <is>
          <t>A 31435-2022</t>
        </is>
      </c>
      <c r="B864" s="1" t="n">
        <v>44774</v>
      </c>
      <c r="C864" s="1" t="n">
        <v>45981</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6801-2023</t>
        </is>
      </c>
      <c r="B865" s="1" t="n">
        <v>44966.95328703704</v>
      </c>
      <c r="C865" s="1" t="n">
        <v>45981</v>
      </c>
      <c r="D865" t="inlineStr">
        <is>
          <t>JÄMTLANDS LÄN</t>
        </is>
      </c>
      <c r="E865" t="inlineStr">
        <is>
          <t>RAGUNDA</t>
        </is>
      </c>
      <c r="F865" t="inlineStr">
        <is>
          <t>SCA</t>
        </is>
      </c>
      <c r="G865" t="n">
        <v>10.6</v>
      </c>
      <c r="H865" t="n">
        <v>0</v>
      </c>
      <c r="I865" t="n">
        <v>0</v>
      </c>
      <c r="J865" t="n">
        <v>0</v>
      </c>
      <c r="K865" t="n">
        <v>0</v>
      </c>
      <c r="L865" t="n">
        <v>0</v>
      </c>
      <c r="M865" t="n">
        <v>0</v>
      </c>
      <c r="N865" t="n">
        <v>0</v>
      </c>
      <c r="O865" t="n">
        <v>0</v>
      </c>
      <c r="P865" t="n">
        <v>0</v>
      </c>
      <c r="Q865" t="n">
        <v>0</v>
      </c>
      <c r="R865" s="2" t="inlineStr"/>
    </row>
    <row r="866" ht="15" customHeight="1">
      <c r="A866" t="inlineStr">
        <is>
          <t>A 39608-2024</t>
        </is>
      </c>
      <c r="B866" s="1" t="n">
        <v>45552.39113425926</v>
      </c>
      <c r="C866" s="1" t="n">
        <v>45981</v>
      </c>
      <c r="D866" t="inlineStr">
        <is>
          <t>JÄMTLANDS LÄN</t>
        </is>
      </c>
      <c r="E866" t="inlineStr">
        <is>
          <t>RAGUNDA</t>
        </is>
      </c>
      <c r="G866" t="n">
        <v>3.2</v>
      </c>
      <c r="H866" t="n">
        <v>0</v>
      </c>
      <c r="I866" t="n">
        <v>0</v>
      </c>
      <c r="J866" t="n">
        <v>0</v>
      </c>
      <c r="K866" t="n">
        <v>0</v>
      </c>
      <c r="L866" t="n">
        <v>0</v>
      </c>
      <c r="M866" t="n">
        <v>0</v>
      </c>
      <c r="N866" t="n">
        <v>0</v>
      </c>
      <c r="O866" t="n">
        <v>0</v>
      </c>
      <c r="P866" t="n">
        <v>0</v>
      </c>
      <c r="Q866" t="n">
        <v>0</v>
      </c>
      <c r="R866" s="2" t="inlineStr"/>
    </row>
    <row r="867" ht="15" customHeight="1">
      <c r="A867" t="inlineStr">
        <is>
          <t>A 39626-2024</t>
        </is>
      </c>
      <c r="B867" s="1" t="n">
        <v>45552.44096064815</v>
      </c>
      <c r="C867" s="1" t="n">
        <v>45981</v>
      </c>
      <c r="D867" t="inlineStr">
        <is>
          <t>JÄMTLANDS LÄN</t>
        </is>
      </c>
      <c r="E867" t="inlineStr">
        <is>
          <t>RAGUNDA</t>
        </is>
      </c>
      <c r="G867" t="n">
        <v>23.5</v>
      </c>
      <c r="H867" t="n">
        <v>0</v>
      </c>
      <c r="I867" t="n">
        <v>0</v>
      </c>
      <c r="J867" t="n">
        <v>0</v>
      </c>
      <c r="K867" t="n">
        <v>0</v>
      </c>
      <c r="L867" t="n">
        <v>0</v>
      </c>
      <c r="M867" t="n">
        <v>0</v>
      </c>
      <c r="N867" t="n">
        <v>0</v>
      </c>
      <c r="O867" t="n">
        <v>0</v>
      </c>
      <c r="P867" t="n">
        <v>0</v>
      </c>
      <c r="Q867" t="n">
        <v>0</v>
      </c>
      <c r="R867" s="2" t="inlineStr"/>
    </row>
    <row r="868" ht="15" customHeight="1">
      <c r="A868" t="inlineStr">
        <is>
          <t>A 47037-2025</t>
        </is>
      </c>
      <c r="B868" s="1" t="n">
        <v>45929.59456018519</v>
      </c>
      <c r="C868" s="1" t="n">
        <v>45981</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41656-2023</t>
        </is>
      </c>
      <c r="B869" s="1" t="n">
        <v>45175</v>
      </c>
      <c r="C869" s="1" t="n">
        <v>45981</v>
      </c>
      <c r="D869" t="inlineStr">
        <is>
          <t>JÄMTLANDS LÄN</t>
        </is>
      </c>
      <c r="E869" t="inlineStr">
        <is>
          <t>RAGUNDA</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56984-2022</t>
        </is>
      </c>
      <c r="B870" s="1" t="n">
        <v>44894.79018518519</v>
      </c>
      <c r="C870" s="1" t="n">
        <v>45981</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51646-2023</t>
        </is>
      </c>
      <c r="B871" s="1" t="n">
        <v>45215</v>
      </c>
      <c r="C871" s="1" t="n">
        <v>45981</v>
      </c>
      <c r="D871" t="inlineStr">
        <is>
          <t>JÄMTLANDS LÄN</t>
        </is>
      </c>
      <c r="E871" t="inlineStr">
        <is>
          <t>RAGUNDA</t>
        </is>
      </c>
      <c r="G871" t="n">
        <v>0.7</v>
      </c>
      <c r="H871" t="n">
        <v>0</v>
      </c>
      <c r="I871" t="n">
        <v>0</v>
      </c>
      <c r="J871" t="n">
        <v>0</v>
      </c>
      <c r="K871" t="n">
        <v>0</v>
      </c>
      <c r="L871" t="n">
        <v>0</v>
      </c>
      <c r="M871" t="n">
        <v>0</v>
      </c>
      <c r="N871" t="n">
        <v>0</v>
      </c>
      <c r="O871" t="n">
        <v>0</v>
      </c>
      <c r="P871" t="n">
        <v>0</v>
      </c>
      <c r="Q871" t="n">
        <v>0</v>
      </c>
      <c r="R871" s="2" t="inlineStr"/>
    </row>
    <row r="872" ht="15" customHeight="1">
      <c r="A872" t="inlineStr">
        <is>
          <t>A 37268-2024</t>
        </is>
      </c>
      <c r="B872" s="1" t="n">
        <v>45540.38586805556</v>
      </c>
      <c r="C872" s="1" t="n">
        <v>45981</v>
      </c>
      <c r="D872" t="inlineStr">
        <is>
          <t>JÄMTLANDS LÄN</t>
        </is>
      </c>
      <c r="E872" t="inlineStr">
        <is>
          <t>RAGUNDA</t>
        </is>
      </c>
      <c r="F872" t="inlineStr">
        <is>
          <t>SCA</t>
        </is>
      </c>
      <c r="G872" t="n">
        <v>6.3</v>
      </c>
      <c r="H872" t="n">
        <v>0</v>
      </c>
      <c r="I872" t="n">
        <v>0</v>
      </c>
      <c r="J872" t="n">
        <v>0</v>
      </c>
      <c r="K872" t="n">
        <v>0</v>
      </c>
      <c r="L872" t="n">
        <v>0</v>
      </c>
      <c r="M872" t="n">
        <v>0</v>
      </c>
      <c r="N872" t="n">
        <v>0</v>
      </c>
      <c r="O872" t="n">
        <v>0</v>
      </c>
      <c r="P872" t="n">
        <v>0</v>
      </c>
      <c r="Q872" t="n">
        <v>0</v>
      </c>
      <c r="R872" s="2" t="inlineStr"/>
    </row>
    <row r="873" ht="15" customHeight="1">
      <c r="A873" t="inlineStr">
        <is>
          <t>A 14512-2025</t>
        </is>
      </c>
      <c r="B873" s="1" t="n">
        <v>45741.63659722222</v>
      </c>
      <c r="C873" s="1" t="n">
        <v>45981</v>
      </c>
      <c r="D873" t="inlineStr">
        <is>
          <t>JÄMTLANDS LÄN</t>
        </is>
      </c>
      <c r="E873" t="inlineStr">
        <is>
          <t>RAGUNDA</t>
        </is>
      </c>
      <c r="F873" t="inlineStr">
        <is>
          <t>SCA</t>
        </is>
      </c>
      <c r="G873" t="n">
        <v>8.9</v>
      </c>
      <c r="H873" t="n">
        <v>0</v>
      </c>
      <c r="I873" t="n">
        <v>0</v>
      </c>
      <c r="J873" t="n">
        <v>0</v>
      </c>
      <c r="K873" t="n">
        <v>0</v>
      </c>
      <c r="L873" t="n">
        <v>0</v>
      </c>
      <c r="M873" t="n">
        <v>0</v>
      </c>
      <c r="N873" t="n">
        <v>0</v>
      </c>
      <c r="O873" t="n">
        <v>0</v>
      </c>
      <c r="P873" t="n">
        <v>0</v>
      </c>
      <c r="Q873" t="n">
        <v>0</v>
      </c>
      <c r="R873" s="2" t="inlineStr"/>
    </row>
    <row r="874" ht="15" customHeight="1">
      <c r="A874" t="inlineStr">
        <is>
          <t>A 13264-2025</t>
        </is>
      </c>
      <c r="B874" s="1" t="n">
        <v>45735</v>
      </c>
      <c r="C874" s="1" t="n">
        <v>45981</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51678-2025</t>
        </is>
      </c>
      <c r="B875" s="1" t="n">
        <v>45951.51106481482</v>
      </c>
      <c r="C875" s="1" t="n">
        <v>45981</v>
      </c>
      <c r="D875" t="inlineStr">
        <is>
          <t>JÄMTLANDS LÄN</t>
        </is>
      </c>
      <c r="E875" t="inlineStr">
        <is>
          <t>RAGUNDA</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19438-2023</t>
        </is>
      </c>
      <c r="B876" s="1" t="n">
        <v>45049</v>
      </c>
      <c r="C876" s="1" t="n">
        <v>45981</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47749-2025</t>
        </is>
      </c>
      <c r="B877" s="1" t="n">
        <v>45931.65711805555</v>
      </c>
      <c r="C877" s="1" t="n">
        <v>45981</v>
      </c>
      <c r="D877" t="inlineStr">
        <is>
          <t>JÄMTLANDS LÄN</t>
        </is>
      </c>
      <c r="E877" t="inlineStr">
        <is>
          <t>RAGUNDA</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55671-2025</t>
        </is>
      </c>
      <c r="B878" s="1" t="n">
        <v>45972.406875</v>
      </c>
      <c r="C878" s="1" t="n">
        <v>45981</v>
      </c>
      <c r="D878" t="inlineStr">
        <is>
          <t>JÄMTLANDS LÄN</t>
        </is>
      </c>
      <c r="E878" t="inlineStr">
        <is>
          <t>RAGUNDA</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50649-2022</t>
        </is>
      </c>
      <c r="B879" s="1" t="n">
        <v>44866</v>
      </c>
      <c r="C879" s="1" t="n">
        <v>45981</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47228-2025</t>
        </is>
      </c>
      <c r="B880" s="1" t="n">
        <v>45930.3990162037</v>
      </c>
      <c r="C880" s="1" t="n">
        <v>45981</v>
      </c>
      <c r="D880" t="inlineStr">
        <is>
          <t>JÄMTLANDS LÄN</t>
        </is>
      </c>
      <c r="E880" t="inlineStr">
        <is>
          <t>RAGUNDA</t>
        </is>
      </c>
      <c r="G880" t="n">
        <v>2.6</v>
      </c>
      <c r="H880" t="n">
        <v>0</v>
      </c>
      <c r="I880" t="n">
        <v>0</v>
      </c>
      <c r="J880" t="n">
        <v>0</v>
      </c>
      <c r="K880" t="n">
        <v>0</v>
      </c>
      <c r="L880" t="n">
        <v>0</v>
      </c>
      <c r="M880" t="n">
        <v>0</v>
      </c>
      <c r="N880" t="n">
        <v>0</v>
      </c>
      <c r="O880" t="n">
        <v>0</v>
      </c>
      <c r="P880" t="n">
        <v>0</v>
      </c>
      <c r="Q880" t="n">
        <v>0</v>
      </c>
      <c r="R880" s="2" t="inlineStr"/>
    </row>
    <row r="881" ht="15" customHeight="1">
      <c r="A881" t="inlineStr">
        <is>
          <t>A 5307-2025</t>
        </is>
      </c>
      <c r="B881" s="1" t="n">
        <v>45692.48993055556</v>
      </c>
      <c r="C881" s="1" t="n">
        <v>45981</v>
      </c>
      <c r="D881" t="inlineStr">
        <is>
          <t>JÄMTLANDS LÄN</t>
        </is>
      </c>
      <c r="E881" t="inlineStr">
        <is>
          <t>RAGUNDA</t>
        </is>
      </c>
      <c r="F881" t="inlineStr">
        <is>
          <t>SCA</t>
        </is>
      </c>
      <c r="G881" t="n">
        <v>20.9</v>
      </c>
      <c r="H881" t="n">
        <v>0</v>
      </c>
      <c r="I881" t="n">
        <v>0</v>
      </c>
      <c r="J881" t="n">
        <v>0</v>
      </c>
      <c r="K881" t="n">
        <v>0</v>
      </c>
      <c r="L881" t="n">
        <v>0</v>
      </c>
      <c r="M881" t="n">
        <v>0</v>
      </c>
      <c r="N881" t="n">
        <v>0</v>
      </c>
      <c r="O881" t="n">
        <v>0</v>
      </c>
      <c r="P881" t="n">
        <v>0</v>
      </c>
      <c r="Q881" t="n">
        <v>0</v>
      </c>
      <c r="R881" s="2" t="inlineStr"/>
    </row>
    <row r="882" ht="15" customHeight="1">
      <c r="A882" t="inlineStr">
        <is>
          <t>A 38548-2024</t>
        </is>
      </c>
      <c r="B882" s="1" t="n">
        <v>45546</v>
      </c>
      <c r="C882" s="1" t="n">
        <v>45981</v>
      </c>
      <c r="D882" t="inlineStr">
        <is>
          <t>JÄMTLANDS LÄN</t>
        </is>
      </c>
      <c r="E882" t="inlineStr">
        <is>
          <t>RAGUNDA</t>
        </is>
      </c>
      <c r="G882" t="n">
        <v>1.4</v>
      </c>
      <c r="H882" t="n">
        <v>0</v>
      </c>
      <c r="I882" t="n">
        <v>0</v>
      </c>
      <c r="J882" t="n">
        <v>0</v>
      </c>
      <c r="K882" t="n">
        <v>0</v>
      </c>
      <c r="L882" t="n">
        <v>0</v>
      </c>
      <c r="M882" t="n">
        <v>0</v>
      </c>
      <c r="N882" t="n">
        <v>0</v>
      </c>
      <c r="O882" t="n">
        <v>0</v>
      </c>
      <c r="P882" t="n">
        <v>0</v>
      </c>
      <c r="Q882" t="n">
        <v>0</v>
      </c>
      <c r="R882" s="2" t="inlineStr"/>
    </row>
    <row r="883" ht="15" customHeight="1">
      <c r="A883" t="inlineStr">
        <is>
          <t>A 59759-2024</t>
        </is>
      </c>
      <c r="B883" s="1" t="n">
        <v>45639.55240740741</v>
      </c>
      <c r="C883" s="1" t="n">
        <v>45981</v>
      </c>
      <c r="D883" t="inlineStr">
        <is>
          <t>JÄMTLANDS LÄN</t>
        </is>
      </c>
      <c r="E883" t="inlineStr">
        <is>
          <t>RAGUNDA</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35537-2021</t>
        </is>
      </c>
      <c r="B884" s="1" t="n">
        <v>44384</v>
      </c>
      <c r="C884" s="1" t="n">
        <v>45981</v>
      </c>
      <c r="D884" t="inlineStr">
        <is>
          <t>JÄMTLANDS LÄN</t>
        </is>
      </c>
      <c r="E884" t="inlineStr">
        <is>
          <t>RAGUNDA</t>
        </is>
      </c>
      <c r="G884" t="n">
        <v>3.1</v>
      </c>
      <c r="H884" t="n">
        <v>0</v>
      </c>
      <c r="I884" t="n">
        <v>0</v>
      </c>
      <c r="J884" t="n">
        <v>0</v>
      </c>
      <c r="K884" t="n">
        <v>0</v>
      </c>
      <c r="L884" t="n">
        <v>0</v>
      </c>
      <c r="M884" t="n">
        <v>0</v>
      </c>
      <c r="N884" t="n">
        <v>0</v>
      </c>
      <c r="O884" t="n">
        <v>0</v>
      </c>
      <c r="P884" t="n">
        <v>0</v>
      </c>
      <c r="Q884" t="n">
        <v>0</v>
      </c>
      <c r="R884" s="2" t="inlineStr"/>
    </row>
    <row r="885" ht="15" customHeight="1">
      <c r="A885" t="inlineStr">
        <is>
          <t>A 2819-2023</t>
        </is>
      </c>
      <c r="B885" s="1" t="n">
        <v>44944</v>
      </c>
      <c r="C885" s="1" t="n">
        <v>45981</v>
      </c>
      <c r="D885" t="inlineStr">
        <is>
          <t>JÄMTLANDS LÄN</t>
        </is>
      </c>
      <c r="E885" t="inlineStr">
        <is>
          <t>RAGUNDA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2411-2023</t>
        </is>
      </c>
      <c r="B886" s="1" t="n">
        <v>44942</v>
      </c>
      <c r="C886" s="1" t="n">
        <v>45981</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13935-2024</t>
        </is>
      </c>
      <c r="B887" s="1" t="n">
        <v>45391.95329861111</v>
      </c>
      <c r="C887" s="1" t="n">
        <v>45981</v>
      </c>
      <c r="D887" t="inlineStr">
        <is>
          <t>JÄMTLANDS LÄN</t>
        </is>
      </c>
      <c r="E887" t="inlineStr">
        <is>
          <t>RAGUNDA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44536-2022</t>
        </is>
      </c>
      <c r="B888" s="1" t="n">
        <v>44839</v>
      </c>
      <c r="C888" s="1" t="n">
        <v>45981</v>
      </c>
      <c r="D888" t="inlineStr">
        <is>
          <t>JÄMTLANDS LÄN</t>
        </is>
      </c>
      <c r="E888" t="inlineStr">
        <is>
          <t>RAGUNDA</t>
        </is>
      </c>
      <c r="G888" t="n">
        <v>4</v>
      </c>
      <c r="H888" t="n">
        <v>0</v>
      </c>
      <c r="I888" t="n">
        <v>0</v>
      </c>
      <c r="J888" t="n">
        <v>0</v>
      </c>
      <c r="K888" t="n">
        <v>0</v>
      </c>
      <c r="L888" t="n">
        <v>0</v>
      </c>
      <c r="M888" t="n">
        <v>0</v>
      </c>
      <c r="N888" t="n">
        <v>0</v>
      </c>
      <c r="O888" t="n">
        <v>0</v>
      </c>
      <c r="P888" t="n">
        <v>0</v>
      </c>
      <c r="Q888" t="n">
        <v>0</v>
      </c>
      <c r="R888" s="2" t="inlineStr"/>
    </row>
    <row r="889" ht="15" customHeight="1">
      <c r="A889" t="inlineStr">
        <is>
          <t>A 5308-2025</t>
        </is>
      </c>
      <c r="B889" s="1" t="n">
        <v>45692.49008101852</v>
      </c>
      <c r="C889" s="1" t="n">
        <v>45981</v>
      </c>
      <c r="D889" t="inlineStr">
        <is>
          <t>JÄMTLANDS LÄN</t>
        </is>
      </c>
      <c r="E889" t="inlineStr">
        <is>
          <t>RAGUNDA</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55633-2025</t>
        </is>
      </c>
      <c r="B890" s="1" t="n">
        <v>45972.3443287037</v>
      </c>
      <c r="C890" s="1" t="n">
        <v>45981</v>
      </c>
      <c r="D890" t="inlineStr">
        <is>
          <t>JÄMTLANDS LÄN</t>
        </is>
      </c>
      <c r="E890" t="inlineStr">
        <is>
          <t>RAGUNDA</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58194-2022</t>
        </is>
      </c>
      <c r="B891" s="1" t="n">
        <v>44900</v>
      </c>
      <c r="C891" s="1" t="n">
        <v>45981</v>
      </c>
      <c r="D891" t="inlineStr">
        <is>
          <t>JÄMTLANDS LÄN</t>
        </is>
      </c>
      <c r="E891" t="inlineStr">
        <is>
          <t>RAGUNDA</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24171-2021</t>
        </is>
      </c>
      <c r="B892" s="1" t="n">
        <v>44336</v>
      </c>
      <c r="C892" s="1" t="n">
        <v>45981</v>
      </c>
      <c r="D892" t="inlineStr">
        <is>
          <t>JÄMTLANDS LÄN</t>
        </is>
      </c>
      <c r="E892" t="inlineStr">
        <is>
          <t>RAGUNDA</t>
        </is>
      </c>
      <c r="G892" t="n">
        <v>3.6</v>
      </c>
      <c r="H892" t="n">
        <v>0</v>
      </c>
      <c r="I892" t="n">
        <v>0</v>
      </c>
      <c r="J892" t="n">
        <v>0</v>
      </c>
      <c r="K892" t="n">
        <v>0</v>
      </c>
      <c r="L892" t="n">
        <v>0</v>
      </c>
      <c r="M892" t="n">
        <v>0</v>
      </c>
      <c r="N892" t="n">
        <v>0</v>
      </c>
      <c r="O892" t="n">
        <v>0</v>
      </c>
      <c r="P892" t="n">
        <v>0</v>
      </c>
      <c r="Q892" t="n">
        <v>0</v>
      </c>
      <c r="R892" s="2" t="inlineStr"/>
    </row>
    <row r="893" ht="15" customHeight="1">
      <c r="A893" t="inlineStr">
        <is>
          <t>A 58843-2024</t>
        </is>
      </c>
      <c r="B893" s="1" t="n">
        <v>45636.38599537037</v>
      </c>
      <c r="C893" s="1" t="n">
        <v>45981</v>
      </c>
      <c r="D893" t="inlineStr">
        <is>
          <t>JÄMTLANDS LÄN</t>
        </is>
      </c>
      <c r="E893" t="inlineStr">
        <is>
          <t>RAGUNDA</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47229-2025</t>
        </is>
      </c>
      <c r="B894" s="1" t="n">
        <v>45930.40166666666</v>
      </c>
      <c r="C894" s="1" t="n">
        <v>45981</v>
      </c>
      <c r="D894" t="inlineStr">
        <is>
          <t>JÄMTLANDS LÄN</t>
        </is>
      </c>
      <c r="E894" t="inlineStr">
        <is>
          <t>RAGUNDA</t>
        </is>
      </c>
      <c r="G894" t="n">
        <v>1.8</v>
      </c>
      <c r="H894" t="n">
        <v>0</v>
      </c>
      <c r="I894" t="n">
        <v>0</v>
      </c>
      <c r="J894" t="n">
        <v>0</v>
      </c>
      <c r="K894" t="n">
        <v>0</v>
      </c>
      <c r="L894" t="n">
        <v>0</v>
      </c>
      <c r="M894" t="n">
        <v>0</v>
      </c>
      <c r="N894" t="n">
        <v>0</v>
      </c>
      <c r="O894" t="n">
        <v>0</v>
      </c>
      <c r="P894" t="n">
        <v>0</v>
      </c>
      <c r="Q894" t="n">
        <v>0</v>
      </c>
      <c r="R894" s="2" t="inlineStr"/>
    </row>
    <row r="895" ht="15" customHeight="1">
      <c r="A895" t="inlineStr">
        <is>
          <t>A 30459-2021</t>
        </is>
      </c>
      <c r="B895" s="1" t="n">
        <v>44362</v>
      </c>
      <c r="C895" s="1" t="n">
        <v>45981</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49290-2025</t>
        </is>
      </c>
      <c r="B896" s="1" t="n">
        <v>45938.53168981482</v>
      </c>
      <c r="C896" s="1" t="n">
        <v>45981</v>
      </c>
      <c r="D896" t="inlineStr">
        <is>
          <t>JÄMTLANDS LÄN</t>
        </is>
      </c>
      <c r="E896" t="inlineStr">
        <is>
          <t>RAGUNDA</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55797-2025</t>
        </is>
      </c>
      <c r="B897" s="1" t="n">
        <v>45972.65693287037</v>
      </c>
      <c r="C897" s="1" t="n">
        <v>45981</v>
      </c>
      <c r="D897" t="inlineStr">
        <is>
          <t>JÄMTLANDS LÄN</t>
        </is>
      </c>
      <c r="E897" t="inlineStr">
        <is>
          <t>RAGUNDA</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47748-2025</t>
        </is>
      </c>
      <c r="B898" s="1" t="n">
        <v>45931.65693287037</v>
      </c>
      <c r="C898" s="1" t="n">
        <v>45981</v>
      </c>
      <c r="D898" t="inlineStr">
        <is>
          <t>JÄMTLANDS LÄN</t>
        </is>
      </c>
      <c r="E898" t="inlineStr">
        <is>
          <t>RAGUNDA</t>
        </is>
      </c>
      <c r="F898" t="inlineStr">
        <is>
          <t>SCA</t>
        </is>
      </c>
      <c r="G898" t="n">
        <v>8.6</v>
      </c>
      <c r="H898" t="n">
        <v>0</v>
      </c>
      <c r="I898" t="n">
        <v>0</v>
      </c>
      <c r="J898" t="n">
        <v>0</v>
      </c>
      <c r="K898" t="n">
        <v>0</v>
      </c>
      <c r="L898" t="n">
        <v>0</v>
      </c>
      <c r="M898" t="n">
        <v>0</v>
      </c>
      <c r="N898" t="n">
        <v>0</v>
      </c>
      <c r="O898" t="n">
        <v>0</v>
      </c>
      <c r="P898" t="n">
        <v>0</v>
      </c>
      <c r="Q898" t="n">
        <v>0</v>
      </c>
      <c r="R898" s="2" t="inlineStr"/>
    </row>
    <row r="899" ht="15" customHeight="1">
      <c r="A899" t="inlineStr">
        <is>
          <t>A 55897-2025</t>
        </is>
      </c>
      <c r="B899" s="1" t="n">
        <v>45973.38600694444</v>
      </c>
      <c r="C899" s="1" t="n">
        <v>45981</v>
      </c>
      <c r="D899" t="inlineStr">
        <is>
          <t>JÄMTLANDS LÄN</t>
        </is>
      </c>
      <c r="E899" t="inlineStr">
        <is>
          <t>RAGUNDA</t>
        </is>
      </c>
      <c r="F899" t="inlineStr">
        <is>
          <t>SCA</t>
        </is>
      </c>
      <c r="G899" t="n">
        <v>14.1</v>
      </c>
      <c r="H899" t="n">
        <v>0</v>
      </c>
      <c r="I899" t="n">
        <v>0</v>
      </c>
      <c r="J899" t="n">
        <v>0</v>
      </c>
      <c r="K899" t="n">
        <v>0</v>
      </c>
      <c r="L899" t="n">
        <v>0</v>
      </c>
      <c r="M899" t="n">
        <v>0</v>
      </c>
      <c r="N899" t="n">
        <v>0</v>
      </c>
      <c r="O899" t="n">
        <v>0</v>
      </c>
      <c r="P899" t="n">
        <v>0</v>
      </c>
      <c r="Q899" t="n">
        <v>0</v>
      </c>
      <c r="R899" s="2" t="inlineStr"/>
    </row>
    <row r="900" ht="15" customHeight="1">
      <c r="A900" t="inlineStr">
        <is>
          <t>A 37543-2023</t>
        </is>
      </c>
      <c r="B900" s="1" t="n">
        <v>45158.94231481481</v>
      </c>
      <c r="C900" s="1" t="n">
        <v>45981</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55547-2025</t>
        </is>
      </c>
      <c r="B901" s="1" t="n">
        <v>45971.63657407407</v>
      </c>
      <c r="C901" s="1" t="n">
        <v>45981</v>
      </c>
      <c r="D901" t="inlineStr">
        <is>
          <t>JÄMTLANDS LÄN</t>
        </is>
      </c>
      <c r="E901" t="inlineStr">
        <is>
          <t>RAGUNDA</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21332-2025</t>
        </is>
      </c>
      <c r="B902" s="1" t="n">
        <v>45782.36506944444</v>
      </c>
      <c r="C902" s="1" t="n">
        <v>45981</v>
      </c>
      <c r="D902" t="inlineStr">
        <is>
          <t>JÄMTLANDS LÄN</t>
        </is>
      </c>
      <c r="E902" t="inlineStr">
        <is>
          <t>RAGUNDA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53287-2022</t>
        </is>
      </c>
      <c r="B903" s="1" t="n">
        <v>44876</v>
      </c>
      <c r="C903" s="1" t="n">
        <v>45981</v>
      </c>
      <c r="D903" t="inlineStr">
        <is>
          <t>JÄMTLANDS LÄN</t>
        </is>
      </c>
      <c r="E903" t="inlineStr">
        <is>
          <t>RAGUNDA</t>
        </is>
      </c>
      <c r="F903" t="inlineStr">
        <is>
          <t>SCA</t>
        </is>
      </c>
      <c r="G903" t="n">
        <v>6.2</v>
      </c>
      <c r="H903" t="n">
        <v>0</v>
      </c>
      <c r="I903" t="n">
        <v>0</v>
      </c>
      <c r="J903" t="n">
        <v>0</v>
      </c>
      <c r="K903" t="n">
        <v>0</v>
      </c>
      <c r="L903" t="n">
        <v>0</v>
      </c>
      <c r="M903" t="n">
        <v>0</v>
      </c>
      <c r="N903" t="n">
        <v>0</v>
      </c>
      <c r="O903" t="n">
        <v>0</v>
      </c>
      <c r="P903" t="n">
        <v>0</v>
      </c>
      <c r="Q903" t="n">
        <v>0</v>
      </c>
      <c r="R903" s="2" t="inlineStr"/>
    </row>
    <row r="904" ht="15" customHeight="1">
      <c r="A904" t="inlineStr">
        <is>
          <t>A 16320-2025</t>
        </is>
      </c>
      <c r="B904" s="1" t="n">
        <v>45751.34859953704</v>
      </c>
      <c r="C904" s="1" t="n">
        <v>45981</v>
      </c>
      <c r="D904" t="inlineStr">
        <is>
          <t>JÄMTLANDS LÄN</t>
        </is>
      </c>
      <c r="E904" t="inlineStr">
        <is>
          <t>RAGUNDA</t>
        </is>
      </c>
      <c r="F904" t="inlineStr">
        <is>
          <t>SCA</t>
        </is>
      </c>
      <c r="G904" t="n">
        <v>16.2</v>
      </c>
      <c r="H904" t="n">
        <v>0</v>
      </c>
      <c r="I904" t="n">
        <v>0</v>
      </c>
      <c r="J904" t="n">
        <v>0</v>
      </c>
      <c r="K904" t="n">
        <v>0</v>
      </c>
      <c r="L904" t="n">
        <v>0</v>
      </c>
      <c r="M904" t="n">
        <v>0</v>
      </c>
      <c r="N904" t="n">
        <v>0</v>
      </c>
      <c r="O904" t="n">
        <v>0</v>
      </c>
      <c r="P904" t="n">
        <v>0</v>
      </c>
      <c r="Q904" t="n">
        <v>0</v>
      </c>
      <c r="R904" s="2" t="inlineStr"/>
    </row>
    <row r="905" ht="15" customHeight="1">
      <c r="A905" t="inlineStr">
        <is>
          <t>A 16321-2025</t>
        </is>
      </c>
      <c r="B905" s="1" t="n">
        <v>45751.34873842593</v>
      </c>
      <c r="C905" s="1" t="n">
        <v>45981</v>
      </c>
      <c r="D905" t="inlineStr">
        <is>
          <t>JÄMTLANDS LÄN</t>
        </is>
      </c>
      <c r="E905" t="inlineStr">
        <is>
          <t>RAGUNDA</t>
        </is>
      </c>
      <c r="F905" t="inlineStr">
        <is>
          <t>SCA</t>
        </is>
      </c>
      <c r="G905" t="n">
        <v>63.3</v>
      </c>
      <c r="H905" t="n">
        <v>0</v>
      </c>
      <c r="I905" t="n">
        <v>0</v>
      </c>
      <c r="J905" t="n">
        <v>0</v>
      </c>
      <c r="K905" t="n">
        <v>0</v>
      </c>
      <c r="L905" t="n">
        <v>0</v>
      </c>
      <c r="M905" t="n">
        <v>0</v>
      </c>
      <c r="N905" t="n">
        <v>0</v>
      </c>
      <c r="O905" t="n">
        <v>0</v>
      </c>
      <c r="P905" t="n">
        <v>0</v>
      </c>
      <c r="Q905" t="n">
        <v>0</v>
      </c>
      <c r="R905" s="2" t="inlineStr"/>
    </row>
    <row r="906" ht="15" customHeight="1">
      <c r="A906" t="inlineStr">
        <is>
          <t>A 7668-2025</t>
        </is>
      </c>
      <c r="B906" s="1" t="n">
        <v>45706.34450231482</v>
      </c>
      <c r="C906" s="1" t="n">
        <v>45981</v>
      </c>
      <c r="D906" t="inlineStr">
        <is>
          <t>JÄMTLANDS LÄN</t>
        </is>
      </c>
      <c r="E906" t="inlineStr">
        <is>
          <t>RAGUNDA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36046-2023</t>
        </is>
      </c>
      <c r="B907" s="1" t="n">
        <v>45148</v>
      </c>
      <c r="C907" s="1" t="n">
        <v>45981</v>
      </c>
      <c r="D907" t="inlineStr">
        <is>
          <t>JÄMTLANDS LÄN</t>
        </is>
      </c>
      <c r="E907" t="inlineStr">
        <is>
          <t>RAGUNDA</t>
        </is>
      </c>
      <c r="G907" t="n">
        <v>1.9</v>
      </c>
      <c r="H907" t="n">
        <v>0</v>
      </c>
      <c r="I907" t="n">
        <v>0</v>
      </c>
      <c r="J907" t="n">
        <v>0</v>
      </c>
      <c r="K907" t="n">
        <v>0</v>
      </c>
      <c r="L907" t="n">
        <v>0</v>
      </c>
      <c r="M907" t="n">
        <v>0</v>
      </c>
      <c r="N907" t="n">
        <v>0</v>
      </c>
      <c r="O907" t="n">
        <v>0</v>
      </c>
      <c r="P907" t="n">
        <v>0</v>
      </c>
      <c r="Q907" t="n">
        <v>0</v>
      </c>
      <c r="R907" s="2" t="inlineStr"/>
    </row>
    <row r="908" ht="15" customHeight="1">
      <c r="A908" t="inlineStr">
        <is>
          <t>A 28637-2025</t>
        </is>
      </c>
      <c r="B908" s="1" t="n">
        <v>45819.6359375</v>
      </c>
      <c r="C908" s="1" t="n">
        <v>45981</v>
      </c>
      <c r="D908" t="inlineStr">
        <is>
          <t>JÄMTLANDS LÄN</t>
        </is>
      </c>
      <c r="E908" t="inlineStr">
        <is>
          <t>RAGUNDA</t>
        </is>
      </c>
      <c r="F908" t="inlineStr">
        <is>
          <t>SCA</t>
        </is>
      </c>
      <c r="G908" t="n">
        <v>6.6</v>
      </c>
      <c r="H908" t="n">
        <v>0</v>
      </c>
      <c r="I908" t="n">
        <v>0</v>
      </c>
      <c r="J908" t="n">
        <v>0</v>
      </c>
      <c r="K908" t="n">
        <v>0</v>
      </c>
      <c r="L908" t="n">
        <v>0</v>
      </c>
      <c r="M908" t="n">
        <v>0</v>
      </c>
      <c r="N908" t="n">
        <v>0</v>
      </c>
      <c r="O908" t="n">
        <v>0</v>
      </c>
      <c r="P908" t="n">
        <v>0</v>
      </c>
      <c r="Q908" t="n">
        <v>0</v>
      </c>
      <c r="R908" s="2" t="inlineStr"/>
    </row>
    <row r="909" ht="15" customHeight="1">
      <c r="A909" t="inlineStr">
        <is>
          <t>A 14696-2022</t>
        </is>
      </c>
      <c r="B909" s="1" t="n">
        <v>44655</v>
      </c>
      <c r="C909" s="1" t="n">
        <v>45981</v>
      </c>
      <c r="D909" t="inlineStr">
        <is>
          <t>JÄMTLANDS LÄN</t>
        </is>
      </c>
      <c r="E909" t="inlineStr">
        <is>
          <t>RAGUNDA</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56170-2025</t>
        </is>
      </c>
      <c r="B910" s="1" t="n">
        <v>45974.39398148148</v>
      </c>
      <c r="C910" s="1" t="n">
        <v>45981</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55514-2024</t>
        </is>
      </c>
      <c r="B911" s="1" t="n">
        <v>45622.46910879629</v>
      </c>
      <c r="C911" s="1" t="n">
        <v>45981</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18375-2022</t>
        </is>
      </c>
      <c r="B912" s="1" t="n">
        <v>44685</v>
      </c>
      <c r="C912" s="1" t="n">
        <v>45981</v>
      </c>
      <c r="D912" t="inlineStr">
        <is>
          <t>JÄMTLANDS LÄN</t>
        </is>
      </c>
      <c r="E912" t="inlineStr">
        <is>
          <t>RAGUNDA</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17248-2023</t>
        </is>
      </c>
      <c r="B913" s="1" t="n">
        <v>45033</v>
      </c>
      <c r="C913" s="1" t="n">
        <v>45981</v>
      </c>
      <c r="D913" t="inlineStr">
        <is>
          <t>JÄMTLANDS LÄN</t>
        </is>
      </c>
      <c r="E913" t="inlineStr">
        <is>
          <t>RAGUNDA</t>
        </is>
      </c>
      <c r="G913" t="n">
        <v>3</v>
      </c>
      <c r="H913" t="n">
        <v>0</v>
      </c>
      <c r="I913" t="n">
        <v>0</v>
      </c>
      <c r="J913" t="n">
        <v>0</v>
      </c>
      <c r="K913" t="n">
        <v>0</v>
      </c>
      <c r="L913" t="n">
        <v>0</v>
      </c>
      <c r="M913" t="n">
        <v>0</v>
      </c>
      <c r="N913" t="n">
        <v>0</v>
      </c>
      <c r="O913" t="n">
        <v>0</v>
      </c>
      <c r="P913" t="n">
        <v>0</v>
      </c>
      <c r="Q913" t="n">
        <v>0</v>
      </c>
      <c r="R913" s="2" t="inlineStr"/>
    </row>
    <row r="914" ht="15" customHeight="1">
      <c r="A914" t="inlineStr">
        <is>
          <t>A 62011-2022</t>
        </is>
      </c>
      <c r="B914" s="1" t="n">
        <v>44914</v>
      </c>
      <c r="C914" s="1" t="n">
        <v>45981</v>
      </c>
      <c r="D914" t="inlineStr">
        <is>
          <t>JÄMTLANDS LÄN</t>
        </is>
      </c>
      <c r="E914" t="inlineStr">
        <is>
          <t>RAGUNDA</t>
        </is>
      </c>
      <c r="G914" t="n">
        <v>0.3</v>
      </c>
      <c r="H914" t="n">
        <v>0</v>
      </c>
      <c r="I914" t="n">
        <v>0</v>
      </c>
      <c r="J914" t="n">
        <v>0</v>
      </c>
      <c r="K914" t="n">
        <v>0</v>
      </c>
      <c r="L914" t="n">
        <v>0</v>
      </c>
      <c r="M914" t="n">
        <v>0</v>
      </c>
      <c r="N914" t="n">
        <v>0</v>
      </c>
      <c r="O914" t="n">
        <v>0</v>
      </c>
      <c r="P914" t="n">
        <v>0</v>
      </c>
      <c r="Q914" t="n">
        <v>0</v>
      </c>
      <c r="R914" s="2" t="inlineStr"/>
    </row>
    <row r="915" ht="15" customHeight="1">
      <c r="A915" t="inlineStr">
        <is>
          <t>A 28973-2025</t>
        </is>
      </c>
      <c r="B915" s="1" t="n">
        <v>45821.34513888889</v>
      </c>
      <c r="C915" s="1" t="n">
        <v>45981</v>
      </c>
      <c r="D915" t="inlineStr">
        <is>
          <t>JÄMTLANDS LÄN</t>
        </is>
      </c>
      <c r="E915" t="inlineStr">
        <is>
          <t>RAGUNDA</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11557-2023</t>
        </is>
      </c>
      <c r="B916" s="1" t="n">
        <v>44993.94950231481</v>
      </c>
      <c r="C916" s="1" t="n">
        <v>45981</v>
      </c>
      <c r="D916" t="inlineStr">
        <is>
          <t>JÄMTLANDS LÄN</t>
        </is>
      </c>
      <c r="E916" t="inlineStr">
        <is>
          <t>RAGUNDA</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11562-2023</t>
        </is>
      </c>
      <c r="B917" s="1" t="n">
        <v>44993</v>
      </c>
      <c r="C917" s="1" t="n">
        <v>45981</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22131-2021</t>
        </is>
      </c>
      <c r="B918" s="1" t="n">
        <v>44323</v>
      </c>
      <c r="C918" s="1" t="n">
        <v>45981</v>
      </c>
      <c r="D918" t="inlineStr">
        <is>
          <t>JÄMTLANDS LÄN</t>
        </is>
      </c>
      <c r="E918" t="inlineStr">
        <is>
          <t>RAGUNDA</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5971-2025</t>
        </is>
      </c>
      <c r="B919" s="1" t="n">
        <v>45695.51070601852</v>
      </c>
      <c r="C919" s="1" t="n">
        <v>45981</v>
      </c>
      <c r="D919" t="inlineStr">
        <is>
          <t>JÄMTLANDS LÄN</t>
        </is>
      </c>
      <c r="E919" t="inlineStr">
        <is>
          <t>RAGUNDA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30563-2023</t>
        </is>
      </c>
      <c r="B920" s="1" t="n">
        <v>45111.92793981481</v>
      </c>
      <c r="C920" s="1" t="n">
        <v>45981</v>
      </c>
      <c r="D920" t="inlineStr">
        <is>
          <t>JÄMTLANDS LÄN</t>
        </is>
      </c>
      <c r="E920" t="inlineStr">
        <is>
          <t>RAGUNDA</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36212-2023</t>
        </is>
      </c>
      <c r="B921" s="1" t="n">
        <v>45149.95241898148</v>
      </c>
      <c r="C921" s="1" t="n">
        <v>45981</v>
      </c>
      <c r="D921" t="inlineStr">
        <is>
          <t>JÄMTLANDS LÄN</t>
        </is>
      </c>
      <c r="E921" t="inlineStr">
        <is>
          <t>RAGUNDA</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56435-2025</t>
        </is>
      </c>
      <c r="B922" s="1" t="n">
        <v>45975.34679398148</v>
      </c>
      <c r="C922" s="1" t="n">
        <v>45981</v>
      </c>
      <c r="D922" t="inlineStr">
        <is>
          <t>JÄMTLANDS LÄN</t>
        </is>
      </c>
      <c r="E922" t="inlineStr">
        <is>
          <t>RAGUNDA</t>
        </is>
      </c>
      <c r="F922" t="inlineStr">
        <is>
          <t>SCA</t>
        </is>
      </c>
      <c r="G922" t="n">
        <v>9.199999999999999</v>
      </c>
      <c r="H922" t="n">
        <v>0</v>
      </c>
      <c r="I922" t="n">
        <v>0</v>
      </c>
      <c r="J922" t="n">
        <v>0</v>
      </c>
      <c r="K922" t="n">
        <v>0</v>
      </c>
      <c r="L922" t="n">
        <v>0</v>
      </c>
      <c r="M922" t="n">
        <v>0</v>
      </c>
      <c r="N922" t="n">
        <v>0</v>
      </c>
      <c r="O922" t="n">
        <v>0</v>
      </c>
      <c r="P922" t="n">
        <v>0</v>
      </c>
      <c r="Q922" t="n">
        <v>0</v>
      </c>
      <c r="R922" s="2" t="inlineStr"/>
      <c r="U922">
        <f>HYPERLINK("https://klasma.github.io/Logging_2303/knärot/A 56435-2025 karta knärot.png", "A 56435-2025")</f>
        <v/>
      </c>
      <c r="V922">
        <f>HYPERLINK("https://klasma.github.io/Logging_2303/klagomål/A 56435-2025 FSC-klagomål.docx", "A 56435-2025")</f>
        <v/>
      </c>
      <c r="W922">
        <f>HYPERLINK("https://klasma.github.io/Logging_2303/klagomålsmail/A 56435-2025 FSC-klagomål mail.docx", "A 56435-2025")</f>
        <v/>
      </c>
      <c r="X922">
        <f>HYPERLINK("https://klasma.github.io/Logging_2303/tillsyn/A 56435-2025 tillsynsbegäran.docx", "A 56435-2025")</f>
        <v/>
      </c>
      <c r="Y922">
        <f>HYPERLINK("https://klasma.github.io/Logging_2303/tillsynsmail/A 56435-2025 tillsynsbegäran mail.docx", "A 56435-2025")</f>
        <v/>
      </c>
    </row>
    <row r="923" ht="15" customHeight="1">
      <c r="A923" t="inlineStr">
        <is>
          <t>A 12768-2022</t>
        </is>
      </c>
      <c r="B923" s="1" t="n">
        <v>44641</v>
      </c>
      <c r="C923" s="1" t="n">
        <v>45981</v>
      </c>
      <c r="D923" t="inlineStr">
        <is>
          <t>JÄMTLANDS LÄN</t>
        </is>
      </c>
      <c r="E923" t="inlineStr">
        <is>
          <t>RAGUNDA</t>
        </is>
      </c>
      <c r="F923" t="inlineStr">
        <is>
          <t>SCA</t>
        </is>
      </c>
      <c r="G923" t="n">
        <v>8</v>
      </c>
      <c r="H923" t="n">
        <v>0</v>
      </c>
      <c r="I923" t="n">
        <v>0</v>
      </c>
      <c r="J923" t="n">
        <v>0</v>
      </c>
      <c r="K923" t="n">
        <v>0</v>
      </c>
      <c r="L923" t="n">
        <v>0</v>
      </c>
      <c r="M923" t="n">
        <v>0</v>
      </c>
      <c r="N923" t="n">
        <v>0</v>
      </c>
      <c r="O923" t="n">
        <v>0</v>
      </c>
      <c r="P923" t="n">
        <v>0</v>
      </c>
      <c r="Q923" t="n">
        <v>0</v>
      </c>
      <c r="R923" s="2" t="inlineStr"/>
    </row>
    <row r="924" ht="15" customHeight="1">
      <c r="A924" t="inlineStr">
        <is>
          <t>A 12773-2022</t>
        </is>
      </c>
      <c r="B924" s="1" t="n">
        <v>44641</v>
      </c>
      <c r="C924" s="1" t="n">
        <v>45981</v>
      </c>
      <c r="D924" t="inlineStr">
        <is>
          <t>JÄMTLANDS LÄN</t>
        </is>
      </c>
      <c r="E924" t="inlineStr">
        <is>
          <t>RAGUNDA</t>
        </is>
      </c>
      <c r="F924" t="inlineStr">
        <is>
          <t>SCA</t>
        </is>
      </c>
      <c r="G924" t="n">
        <v>14.7</v>
      </c>
      <c r="H924" t="n">
        <v>0</v>
      </c>
      <c r="I924" t="n">
        <v>0</v>
      </c>
      <c r="J924" t="n">
        <v>0</v>
      </c>
      <c r="K924" t="n">
        <v>0</v>
      </c>
      <c r="L924" t="n">
        <v>0</v>
      </c>
      <c r="M924" t="n">
        <v>0</v>
      </c>
      <c r="N924" t="n">
        <v>0</v>
      </c>
      <c r="O924" t="n">
        <v>0</v>
      </c>
      <c r="P924" t="n">
        <v>0</v>
      </c>
      <c r="Q924" t="n">
        <v>0</v>
      </c>
      <c r="R924" s="2" t="inlineStr"/>
    </row>
    <row r="925" ht="15" customHeight="1">
      <c r="A925" t="inlineStr">
        <is>
          <t>A 29731-2025</t>
        </is>
      </c>
      <c r="B925" s="1" t="n">
        <v>45825.58252314815</v>
      </c>
      <c r="C925" s="1" t="n">
        <v>45981</v>
      </c>
      <c r="D925" t="inlineStr">
        <is>
          <t>JÄMTLANDS LÄN</t>
        </is>
      </c>
      <c r="E925" t="inlineStr">
        <is>
          <t>RAGUNDA</t>
        </is>
      </c>
      <c r="G925" t="n">
        <v>2.3</v>
      </c>
      <c r="H925" t="n">
        <v>0</v>
      </c>
      <c r="I925" t="n">
        <v>0</v>
      </c>
      <c r="J925" t="n">
        <v>0</v>
      </c>
      <c r="K925" t="n">
        <v>0</v>
      </c>
      <c r="L925" t="n">
        <v>0</v>
      </c>
      <c r="M925" t="n">
        <v>0</v>
      </c>
      <c r="N925" t="n">
        <v>0</v>
      </c>
      <c r="O925" t="n">
        <v>0</v>
      </c>
      <c r="P925" t="n">
        <v>0</v>
      </c>
      <c r="Q925" t="n">
        <v>0</v>
      </c>
      <c r="R925" s="2" t="inlineStr"/>
    </row>
    <row r="926" ht="15" customHeight="1">
      <c r="A926" t="inlineStr">
        <is>
          <t>A 8654-2024</t>
        </is>
      </c>
      <c r="B926" s="1" t="n">
        <v>45356.03784722222</v>
      </c>
      <c r="C926" s="1" t="n">
        <v>45981</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25304-2023</t>
        </is>
      </c>
      <c r="B927" s="1" t="n">
        <v>45086</v>
      </c>
      <c r="C927" s="1" t="n">
        <v>45981</v>
      </c>
      <c r="D927" t="inlineStr">
        <is>
          <t>JÄMTLANDS LÄN</t>
        </is>
      </c>
      <c r="E927" t="inlineStr">
        <is>
          <t>RAGUNDA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6902-2024</t>
        </is>
      </c>
      <c r="B928" s="1" t="n">
        <v>45342</v>
      </c>
      <c r="C928" s="1" t="n">
        <v>45981</v>
      </c>
      <c r="D928" t="inlineStr">
        <is>
          <t>JÄMTLANDS LÄN</t>
        </is>
      </c>
      <c r="E928" t="inlineStr">
        <is>
          <t>RAGUNDA</t>
        </is>
      </c>
      <c r="F928" t="inlineStr">
        <is>
          <t>SCA</t>
        </is>
      </c>
      <c r="G928" t="n">
        <v>18.7</v>
      </c>
      <c r="H928" t="n">
        <v>0</v>
      </c>
      <c r="I928" t="n">
        <v>0</v>
      </c>
      <c r="J928" t="n">
        <v>0</v>
      </c>
      <c r="K928" t="n">
        <v>0</v>
      </c>
      <c r="L928" t="n">
        <v>0</v>
      </c>
      <c r="M928" t="n">
        <v>0</v>
      </c>
      <c r="N928" t="n">
        <v>0</v>
      </c>
      <c r="O928" t="n">
        <v>0</v>
      </c>
      <c r="P928" t="n">
        <v>0</v>
      </c>
      <c r="Q928" t="n">
        <v>0</v>
      </c>
      <c r="R928" s="2" t="inlineStr"/>
    </row>
    <row r="929" ht="15" customHeight="1">
      <c r="A929" t="inlineStr">
        <is>
          <t>A 6905-2024</t>
        </is>
      </c>
      <c r="B929" s="1" t="n">
        <v>45342.9462037037</v>
      </c>
      <c r="C929" s="1" t="n">
        <v>45981</v>
      </c>
      <c r="D929" t="inlineStr">
        <is>
          <t>JÄMTLANDS LÄN</t>
        </is>
      </c>
      <c r="E929" t="inlineStr">
        <is>
          <t>RAGUNDA</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22731-2023</t>
        </is>
      </c>
      <c r="B930" s="1" t="n">
        <v>45071</v>
      </c>
      <c r="C930" s="1" t="n">
        <v>45981</v>
      </c>
      <c r="D930" t="inlineStr">
        <is>
          <t>JÄMTLANDS LÄN</t>
        </is>
      </c>
      <c r="E930" t="inlineStr">
        <is>
          <t>RAGUNDA</t>
        </is>
      </c>
      <c r="G930" t="n">
        <v>1.5</v>
      </c>
      <c r="H930" t="n">
        <v>0</v>
      </c>
      <c r="I930" t="n">
        <v>0</v>
      </c>
      <c r="J930" t="n">
        <v>0</v>
      </c>
      <c r="K930" t="n">
        <v>0</v>
      </c>
      <c r="L930" t="n">
        <v>0</v>
      </c>
      <c r="M930" t="n">
        <v>0</v>
      </c>
      <c r="N930" t="n">
        <v>0</v>
      </c>
      <c r="O930" t="n">
        <v>0</v>
      </c>
      <c r="P930" t="n">
        <v>0</v>
      </c>
      <c r="Q930" t="n">
        <v>0</v>
      </c>
      <c r="R930" s="2" t="inlineStr"/>
    </row>
    <row r="931" ht="15" customHeight="1">
      <c r="A931" t="inlineStr">
        <is>
          <t>A 5067-2024</t>
        </is>
      </c>
      <c r="B931" s="1" t="n">
        <v>45329.95806712963</v>
      </c>
      <c r="C931" s="1" t="n">
        <v>45981</v>
      </c>
      <c r="D931" t="inlineStr">
        <is>
          <t>JÄMTLANDS LÄN</t>
        </is>
      </c>
      <c r="E931" t="inlineStr">
        <is>
          <t>RAGUNDA</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11245-2025</t>
        </is>
      </c>
      <c r="B932" s="1" t="n">
        <v>45726.38575231482</v>
      </c>
      <c r="C932" s="1" t="n">
        <v>45981</v>
      </c>
      <c r="D932" t="inlineStr">
        <is>
          <t>JÄMTLANDS LÄN</t>
        </is>
      </c>
      <c r="E932" t="inlineStr">
        <is>
          <t>RAGUNDA</t>
        </is>
      </c>
      <c r="G932" t="n">
        <v>2.3</v>
      </c>
      <c r="H932" t="n">
        <v>0</v>
      </c>
      <c r="I932" t="n">
        <v>0</v>
      </c>
      <c r="J932" t="n">
        <v>0</v>
      </c>
      <c r="K932" t="n">
        <v>0</v>
      </c>
      <c r="L932" t="n">
        <v>0</v>
      </c>
      <c r="M932" t="n">
        <v>0</v>
      </c>
      <c r="N932" t="n">
        <v>0</v>
      </c>
      <c r="O932" t="n">
        <v>0</v>
      </c>
      <c r="P932" t="n">
        <v>0</v>
      </c>
      <c r="Q932" t="n">
        <v>0</v>
      </c>
      <c r="R932" s="2" t="inlineStr"/>
    </row>
    <row r="933" ht="15" customHeight="1">
      <c r="A933" t="inlineStr">
        <is>
          <t>A 61923-2024</t>
        </is>
      </c>
      <c r="B933" s="1" t="n">
        <v>45653.44836805556</v>
      </c>
      <c r="C933" s="1" t="n">
        <v>45981</v>
      </c>
      <c r="D933" t="inlineStr">
        <is>
          <t>JÄMTLANDS LÄN</t>
        </is>
      </c>
      <c r="E933" t="inlineStr">
        <is>
          <t>RAGUNDA</t>
        </is>
      </c>
      <c r="F933" t="inlineStr">
        <is>
          <t>SCA</t>
        </is>
      </c>
      <c r="G933" t="n">
        <v>11.1</v>
      </c>
      <c r="H933" t="n">
        <v>0</v>
      </c>
      <c r="I933" t="n">
        <v>0</v>
      </c>
      <c r="J933" t="n">
        <v>0</v>
      </c>
      <c r="K933" t="n">
        <v>0</v>
      </c>
      <c r="L933" t="n">
        <v>0</v>
      </c>
      <c r="M933" t="n">
        <v>0</v>
      </c>
      <c r="N933" t="n">
        <v>0</v>
      </c>
      <c r="O933" t="n">
        <v>0</v>
      </c>
      <c r="P933" t="n">
        <v>0</v>
      </c>
      <c r="Q933" t="n">
        <v>0</v>
      </c>
      <c r="R933" s="2" t="inlineStr"/>
    </row>
    <row r="934" ht="15" customHeight="1">
      <c r="A934" t="inlineStr">
        <is>
          <t>A 23567-2024</t>
        </is>
      </c>
      <c r="B934" s="1" t="n">
        <v>45453.95538194444</v>
      </c>
      <c r="C934" s="1" t="n">
        <v>45981</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19246-2023</t>
        </is>
      </c>
      <c r="B935" s="1" t="n">
        <v>45048.94340277778</v>
      </c>
      <c r="C935" s="1" t="n">
        <v>45981</v>
      </c>
      <c r="D935" t="inlineStr">
        <is>
          <t>JÄMTLANDS LÄN</t>
        </is>
      </c>
      <c r="E935" t="inlineStr">
        <is>
          <t>RAGUNDA</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61109-2024</t>
        </is>
      </c>
      <c r="B936" s="1" t="n">
        <v>45645.55672453704</v>
      </c>
      <c r="C936" s="1" t="n">
        <v>45981</v>
      </c>
      <c r="D936" t="inlineStr">
        <is>
          <t>JÄMTLANDS LÄN</t>
        </is>
      </c>
      <c r="E936" t="inlineStr">
        <is>
          <t>RAGUNDA</t>
        </is>
      </c>
      <c r="G936" t="n">
        <v>4</v>
      </c>
      <c r="H936" t="n">
        <v>0</v>
      </c>
      <c r="I936" t="n">
        <v>0</v>
      </c>
      <c r="J936" t="n">
        <v>0</v>
      </c>
      <c r="K936" t="n">
        <v>0</v>
      </c>
      <c r="L936" t="n">
        <v>0</v>
      </c>
      <c r="M936" t="n">
        <v>0</v>
      </c>
      <c r="N936" t="n">
        <v>0</v>
      </c>
      <c r="O936" t="n">
        <v>0</v>
      </c>
      <c r="P936" t="n">
        <v>0</v>
      </c>
      <c r="Q936" t="n">
        <v>0</v>
      </c>
      <c r="R936" s="2" t="inlineStr"/>
    </row>
    <row r="937" ht="15" customHeight="1">
      <c r="A937" t="inlineStr">
        <is>
          <t>A 58955-2024</t>
        </is>
      </c>
      <c r="B937" s="1" t="n">
        <v>45636.57329861111</v>
      </c>
      <c r="C937" s="1" t="n">
        <v>45981</v>
      </c>
      <c r="D937" t="inlineStr">
        <is>
          <t>JÄMTLANDS LÄN</t>
        </is>
      </c>
      <c r="E937" t="inlineStr">
        <is>
          <t>RAGUNDA</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14905-2022</t>
        </is>
      </c>
      <c r="B938" s="1" t="n">
        <v>44656.94708333333</v>
      </c>
      <c r="C938" s="1" t="n">
        <v>45981</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29723-2025</t>
        </is>
      </c>
      <c r="B939" s="1" t="n">
        <v>45825.57675925926</v>
      </c>
      <c r="C939" s="1" t="n">
        <v>45981</v>
      </c>
      <c r="D939" t="inlineStr">
        <is>
          <t>JÄMTLANDS LÄN</t>
        </is>
      </c>
      <c r="E939" t="inlineStr">
        <is>
          <t>RAGUNDA</t>
        </is>
      </c>
      <c r="G939" t="n">
        <v>3.1</v>
      </c>
      <c r="H939" t="n">
        <v>0</v>
      </c>
      <c r="I939" t="n">
        <v>0</v>
      </c>
      <c r="J939" t="n">
        <v>0</v>
      </c>
      <c r="K939" t="n">
        <v>0</v>
      </c>
      <c r="L939" t="n">
        <v>0</v>
      </c>
      <c r="M939" t="n">
        <v>0</v>
      </c>
      <c r="N939" t="n">
        <v>0</v>
      </c>
      <c r="O939" t="n">
        <v>0</v>
      </c>
      <c r="P939" t="n">
        <v>0</v>
      </c>
      <c r="Q939" t="n">
        <v>0</v>
      </c>
      <c r="R939" s="2" t="inlineStr"/>
    </row>
    <row r="940" ht="15" customHeight="1">
      <c r="A940" t="inlineStr">
        <is>
          <t>A 33877-2023</t>
        </is>
      </c>
      <c r="B940" s="1" t="n">
        <v>45133</v>
      </c>
      <c r="C940" s="1" t="n">
        <v>45981</v>
      </c>
      <c r="D940" t="inlineStr">
        <is>
          <t>JÄMTLANDS LÄN</t>
        </is>
      </c>
      <c r="E940" t="inlineStr">
        <is>
          <t>RAGUNDA</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62541-2022</t>
        </is>
      </c>
      <c r="B941" s="1" t="n">
        <v>44917</v>
      </c>
      <c r="C941" s="1" t="n">
        <v>45981</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9567-2025</t>
        </is>
      </c>
      <c r="B942" s="1" t="n">
        <v>45715.61523148148</v>
      </c>
      <c r="C942" s="1" t="n">
        <v>45981</v>
      </c>
      <c r="D942" t="inlineStr">
        <is>
          <t>JÄMTLANDS LÄN</t>
        </is>
      </c>
      <c r="E942" t="inlineStr">
        <is>
          <t>RAGUNDA</t>
        </is>
      </c>
      <c r="F942" t="inlineStr">
        <is>
          <t>SCA</t>
        </is>
      </c>
      <c r="G942" t="n">
        <v>4.8</v>
      </c>
      <c r="H942" t="n">
        <v>0</v>
      </c>
      <c r="I942" t="n">
        <v>0</v>
      </c>
      <c r="J942" t="n">
        <v>0</v>
      </c>
      <c r="K942" t="n">
        <v>0</v>
      </c>
      <c r="L942" t="n">
        <v>0</v>
      </c>
      <c r="M942" t="n">
        <v>0</v>
      </c>
      <c r="N942" t="n">
        <v>0</v>
      </c>
      <c r="O942" t="n">
        <v>0</v>
      </c>
      <c r="P942" t="n">
        <v>0</v>
      </c>
      <c r="Q942" t="n">
        <v>0</v>
      </c>
      <c r="R942" s="2" t="inlineStr"/>
    </row>
    <row r="943" ht="15" customHeight="1">
      <c r="A943" t="inlineStr">
        <is>
          <t>A 29766-2023</t>
        </is>
      </c>
      <c r="B943" s="1" t="n">
        <v>45098</v>
      </c>
      <c r="C943" s="1" t="n">
        <v>45981</v>
      </c>
      <c r="D943" t="inlineStr">
        <is>
          <t>JÄMTLANDS LÄN</t>
        </is>
      </c>
      <c r="E943" t="inlineStr">
        <is>
          <t>RAGUNDA</t>
        </is>
      </c>
      <c r="G943" t="n">
        <v>2.7</v>
      </c>
      <c r="H943" t="n">
        <v>0</v>
      </c>
      <c r="I943" t="n">
        <v>0</v>
      </c>
      <c r="J943" t="n">
        <v>0</v>
      </c>
      <c r="K943" t="n">
        <v>0</v>
      </c>
      <c r="L943" t="n">
        <v>0</v>
      </c>
      <c r="M943" t="n">
        <v>0</v>
      </c>
      <c r="N943" t="n">
        <v>0</v>
      </c>
      <c r="O943" t="n">
        <v>0</v>
      </c>
      <c r="P943" t="n">
        <v>0</v>
      </c>
      <c r="Q943" t="n">
        <v>0</v>
      </c>
      <c r="R943" s="2" t="inlineStr"/>
    </row>
    <row r="944" ht="15" customHeight="1">
      <c r="A944" t="inlineStr">
        <is>
          <t>A 61107-2024</t>
        </is>
      </c>
      <c r="B944" s="1" t="n">
        <v>45645.55665509259</v>
      </c>
      <c r="C944" s="1" t="n">
        <v>45981</v>
      </c>
      <c r="D944" t="inlineStr">
        <is>
          <t>JÄMTLANDS LÄN</t>
        </is>
      </c>
      <c r="E944" t="inlineStr">
        <is>
          <t>RAGUNDA</t>
        </is>
      </c>
      <c r="G944" t="n">
        <v>3.2</v>
      </c>
      <c r="H944" t="n">
        <v>0</v>
      </c>
      <c r="I944" t="n">
        <v>0</v>
      </c>
      <c r="J944" t="n">
        <v>0</v>
      </c>
      <c r="K944" t="n">
        <v>0</v>
      </c>
      <c r="L944" t="n">
        <v>0</v>
      </c>
      <c r="M944" t="n">
        <v>0</v>
      </c>
      <c r="N944" t="n">
        <v>0</v>
      </c>
      <c r="O944" t="n">
        <v>0</v>
      </c>
      <c r="P944" t="n">
        <v>0</v>
      </c>
      <c r="Q944" t="n">
        <v>0</v>
      </c>
      <c r="R944" s="2" t="inlineStr"/>
    </row>
    <row r="945" ht="15" customHeight="1">
      <c r="A945" t="inlineStr">
        <is>
          <t>A 48748-2025</t>
        </is>
      </c>
      <c r="B945" s="1" t="n">
        <v>45936.67912037037</v>
      </c>
      <c r="C945" s="1" t="n">
        <v>45981</v>
      </c>
      <c r="D945" t="inlineStr">
        <is>
          <t>JÄMTLANDS LÄN</t>
        </is>
      </c>
      <c r="E945" t="inlineStr">
        <is>
          <t>RAGUNDA</t>
        </is>
      </c>
      <c r="F945" t="inlineStr">
        <is>
          <t>SCA</t>
        </is>
      </c>
      <c r="G945" t="n">
        <v>11.1</v>
      </c>
      <c r="H945" t="n">
        <v>0</v>
      </c>
      <c r="I945" t="n">
        <v>0</v>
      </c>
      <c r="J945" t="n">
        <v>0</v>
      </c>
      <c r="K945" t="n">
        <v>0</v>
      </c>
      <c r="L945" t="n">
        <v>0</v>
      </c>
      <c r="M945" t="n">
        <v>0</v>
      </c>
      <c r="N945" t="n">
        <v>0</v>
      </c>
      <c r="O945" t="n">
        <v>0</v>
      </c>
      <c r="P945" t="n">
        <v>0</v>
      </c>
      <c r="Q945" t="n">
        <v>0</v>
      </c>
      <c r="R945" s="2" t="inlineStr"/>
    </row>
    <row r="946" ht="15" customHeight="1">
      <c r="A946" t="inlineStr">
        <is>
          <t>A 21661-2023</t>
        </is>
      </c>
      <c r="B946" s="1" t="n">
        <v>45063</v>
      </c>
      <c r="C946" s="1" t="n">
        <v>45981</v>
      </c>
      <c r="D946" t="inlineStr">
        <is>
          <t>JÄMTLANDS LÄN</t>
        </is>
      </c>
      <c r="E946" t="inlineStr">
        <is>
          <t>RAGUNDA</t>
        </is>
      </c>
      <c r="G946" t="n">
        <v>1.5</v>
      </c>
      <c r="H946" t="n">
        <v>0</v>
      </c>
      <c r="I946" t="n">
        <v>0</v>
      </c>
      <c r="J946" t="n">
        <v>0</v>
      </c>
      <c r="K946" t="n">
        <v>0</v>
      </c>
      <c r="L946" t="n">
        <v>0</v>
      </c>
      <c r="M946" t="n">
        <v>0</v>
      </c>
      <c r="N946" t="n">
        <v>0</v>
      </c>
      <c r="O946" t="n">
        <v>0</v>
      </c>
      <c r="P946" t="n">
        <v>0</v>
      </c>
      <c r="Q946" t="n">
        <v>0</v>
      </c>
      <c r="R946" s="2" t="inlineStr"/>
    </row>
    <row r="947" ht="15" customHeight="1">
      <c r="A947" t="inlineStr">
        <is>
          <t>A 23287-2024</t>
        </is>
      </c>
      <c r="B947" s="1" t="n">
        <v>45453.42041666667</v>
      </c>
      <c r="C947" s="1" t="n">
        <v>45981</v>
      </c>
      <c r="D947" t="inlineStr">
        <is>
          <t>JÄMTLANDS LÄN</t>
        </is>
      </c>
      <c r="E947" t="inlineStr">
        <is>
          <t>RAGUNDA</t>
        </is>
      </c>
      <c r="G947" t="n">
        <v>3.1</v>
      </c>
      <c r="H947" t="n">
        <v>0</v>
      </c>
      <c r="I947" t="n">
        <v>0</v>
      </c>
      <c r="J947" t="n">
        <v>0</v>
      </c>
      <c r="K947" t="n">
        <v>0</v>
      </c>
      <c r="L947" t="n">
        <v>0</v>
      </c>
      <c r="M947" t="n">
        <v>0</v>
      </c>
      <c r="N947" t="n">
        <v>0</v>
      </c>
      <c r="O947" t="n">
        <v>0</v>
      </c>
      <c r="P947" t="n">
        <v>0</v>
      </c>
      <c r="Q947" t="n">
        <v>0</v>
      </c>
      <c r="R947" s="2" t="inlineStr"/>
    </row>
    <row r="948" ht="15" customHeight="1">
      <c r="A948" t="inlineStr">
        <is>
          <t>A 36922-2022</t>
        </is>
      </c>
      <c r="B948" s="1" t="n">
        <v>44805.94592592592</v>
      </c>
      <c r="C948" s="1" t="n">
        <v>45981</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26347-2023</t>
        </is>
      </c>
      <c r="B949" s="1" t="n">
        <v>45091</v>
      </c>
      <c r="C949" s="1" t="n">
        <v>45981</v>
      </c>
      <c r="D949" t="inlineStr">
        <is>
          <t>JÄMTLANDS LÄN</t>
        </is>
      </c>
      <c r="E949" t="inlineStr">
        <is>
          <t>RAGUNDA</t>
        </is>
      </c>
      <c r="F949" t="inlineStr">
        <is>
          <t>SCA</t>
        </is>
      </c>
      <c r="G949" t="n">
        <v>6.6</v>
      </c>
      <c r="H949" t="n">
        <v>0</v>
      </c>
      <c r="I949" t="n">
        <v>0</v>
      </c>
      <c r="J949" t="n">
        <v>0</v>
      </c>
      <c r="K949" t="n">
        <v>0</v>
      </c>
      <c r="L949" t="n">
        <v>0</v>
      </c>
      <c r="M949" t="n">
        <v>0</v>
      </c>
      <c r="N949" t="n">
        <v>0</v>
      </c>
      <c r="O949" t="n">
        <v>0</v>
      </c>
      <c r="P949" t="n">
        <v>0</v>
      </c>
      <c r="Q949" t="n">
        <v>0</v>
      </c>
      <c r="R949" s="2" t="inlineStr"/>
    </row>
    <row r="950" ht="15" customHeight="1">
      <c r="A950" t="inlineStr">
        <is>
          <t>A 57117-2025</t>
        </is>
      </c>
      <c r="B950" s="1" t="n">
        <v>45978</v>
      </c>
      <c r="C950" s="1" t="n">
        <v>45981</v>
      </c>
      <c r="D950" t="inlineStr">
        <is>
          <t>JÄMTLANDS LÄN</t>
        </is>
      </c>
      <c r="E950" t="inlineStr">
        <is>
          <t>RAGUNDA</t>
        </is>
      </c>
      <c r="G950" t="n">
        <v>4.2</v>
      </c>
      <c r="H950" t="n">
        <v>0</v>
      </c>
      <c r="I950" t="n">
        <v>0</v>
      </c>
      <c r="J950" t="n">
        <v>0</v>
      </c>
      <c r="K950" t="n">
        <v>0</v>
      </c>
      <c r="L950" t="n">
        <v>0</v>
      </c>
      <c r="M950" t="n">
        <v>0</v>
      </c>
      <c r="N950" t="n">
        <v>0</v>
      </c>
      <c r="O950" t="n">
        <v>0</v>
      </c>
      <c r="P950" t="n">
        <v>0</v>
      </c>
      <c r="Q950" t="n">
        <v>0</v>
      </c>
      <c r="R950" s="2" t="inlineStr"/>
    </row>
    <row r="951" ht="15" customHeight="1">
      <c r="A951" t="inlineStr">
        <is>
          <t>A 34483-2023</t>
        </is>
      </c>
      <c r="B951" s="1" t="n">
        <v>45139.94681712963</v>
      </c>
      <c r="C951" s="1" t="n">
        <v>45981</v>
      </c>
      <c r="D951" t="inlineStr">
        <is>
          <t>JÄMTLANDS LÄN</t>
        </is>
      </c>
      <c r="E951" t="inlineStr">
        <is>
          <t>RAGUNDA</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48528-2025</t>
        </is>
      </c>
      <c r="B952" s="1" t="n">
        <v>45936.40758101852</v>
      </c>
      <c r="C952" s="1" t="n">
        <v>45981</v>
      </c>
      <c r="D952" t="inlineStr">
        <is>
          <t>JÄMTLANDS LÄN</t>
        </is>
      </c>
      <c r="E952" t="inlineStr">
        <is>
          <t>RAGUNDA</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53109-2025</t>
        </is>
      </c>
      <c r="B953" s="1" t="n">
        <v>45958</v>
      </c>
      <c r="C953" s="1" t="n">
        <v>45981</v>
      </c>
      <c r="D953" t="inlineStr">
        <is>
          <t>JÄMTLANDS LÄN</t>
        </is>
      </c>
      <c r="E953" t="inlineStr">
        <is>
          <t>RAGUNDA</t>
        </is>
      </c>
      <c r="G953" t="n">
        <v>2.1</v>
      </c>
      <c r="H953" t="n">
        <v>0</v>
      </c>
      <c r="I953" t="n">
        <v>0</v>
      </c>
      <c r="J953" t="n">
        <v>0</v>
      </c>
      <c r="K953" t="n">
        <v>0</v>
      </c>
      <c r="L953" t="n">
        <v>0</v>
      </c>
      <c r="M953" t="n">
        <v>0</v>
      </c>
      <c r="N953" t="n">
        <v>0</v>
      </c>
      <c r="O953" t="n">
        <v>0</v>
      </c>
      <c r="P953" t="n">
        <v>0</v>
      </c>
      <c r="Q953" t="n">
        <v>0</v>
      </c>
      <c r="R953" s="2" t="inlineStr"/>
    </row>
    <row r="954" ht="15" customHeight="1">
      <c r="A954" t="inlineStr">
        <is>
          <t>A 22948-2024</t>
        </is>
      </c>
      <c r="B954" s="1" t="n">
        <v>45448.94600694445</v>
      </c>
      <c r="C954" s="1" t="n">
        <v>45981</v>
      </c>
      <c r="D954" t="inlineStr">
        <is>
          <t>JÄMTLANDS LÄN</t>
        </is>
      </c>
      <c r="E954" t="inlineStr">
        <is>
          <t>RAGUNDA</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48742-2025</t>
        </is>
      </c>
      <c r="B955" s="1" t="n">
        <v>45936.67810185185</v>
      </c>
      <c r="C955" s="1" t="n">
        <v>45981</v>
      </c>
      <c r="D955" t="inlineStr">
        <is>
          <t>JÄMTLANDS LÄN</t>
        </is>
      </c>
      <c r="E955" t="inlineStr">
        <is>
          <t>RAGUNDA</t>
        </is>
      </c>
      <c r="F955" t="inlineStr">
        <is>
          <t>SCA</t>
        </is>
      </c>
      <c r="G955" t="n">
        <v>8.9</v>
      </c>
      <c r="H955" t="n">
        <v>0</v>
      </c>
      <c r="I955" t="n">
        <v>0</v>
      </c>
      <c r="J955" t="n">
        <v>0</v>
      </c>
      <c r="K955" t="n">
        <v>0</v>
      </c>
      <c r="L955" t="n">
        <v>0</v>
      </c>
      <c r="M955" t="n">
        <v>0</v>
      </c>
      <c r="N955" t="n">
        <v>0</v>
      </c>
      <c r="O955" t="n">
        <v>0</v>
      </c>
      <c r="P955" t="n">
        <v>0</v>
      </c>
      <c r="Q955" t="n">
        <v>0</v>
      </c>
      <c r="R955" s="2" t="inlineStr"/>
    </row>
    <row r="956" ht="15" customHeight="1">
      <c r="A956" t="inlineStr">
        <is>
          <t>A 30088-2025</t>
        </is>
      </c>
      <c r="B956" s="1" t="n">
        <v>45826.65759259259</v>
      </c>
      <c r="C956" s="1" t="n">
        <v>45981</v>
      </c>
      <c r="D956" t="inlineStr">
        <is>
          <t>JÄMTLANDS LÄN</t>
        </is>
      </c>
      <c r="E956" t="inlineStr">
        <is>
          <t>RAGUNDA</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30348-2025</t>
        </is>
      </c>
      <c r="B957" s="1" t="n">
        <v>45827.53178240741</v>
      </c>
      <c r="C957" s="1" t="n">
        <v>45981</v>
      </c>
      <c r="D957" t="inlineStr">
        <is>
          <t>JÄMTLANDS LÄN</t>
        </is>
      </c>
      <c r="E957" t="inlineStr">
        <is>
          <t>RAGUNDA</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56751-2025</t>
        </is>
      </c>
      <c r="B958" s="1" t="n">
        <v>45978.36538194444</v>
      </c>
      <c r="C958" s="1" t="n">
        <v>45981</v>
      </c>
      <c r="D958" t="inlineStr">
        <is>
          <t>JÄMTLANDS LÄN</t>
        </is>
      </c>
      <c r="E958" t="inlineStr">
        <is>
          <t>RAGUNDA</t>
        </is>
      </c>
      <c r="F958" t="inlineStr">
        <is>
          <t>SCA</t>
        </is>
      </c>
      <c r="G958" t="n">
        <v>34.5</v>
      </c>
      <c r="H958" t="n">
        <v>0</v>
      </c>
      <c r="I958" t="n">
        <v>0</v>
      </c>
      <c r="J958" t="n">
        <v>0</v>
      </c>
      <c r="K958" t="n">
        <v>0</v>
      </c>
      <c r="L958" t="n">
        <v>0</v>
      </c>
      <c r="M958" t="n">
        <v>0</v>
      </c>
      <c r="N958" t="n">
        <v>0</v>
      </c>
      <c r="O958" t="n">
        <v>0</v>
      </c>
      <c r="P958" t="n">
        <v>0</v>
      </c>
      <c r="Q958" t="n">
        <v>0</v>
      </c>
      <c r="R958" s="2" t="inlineStr"/>
    </row>
    <row r="959" ht="15" customHeight="1">
      <c r="A959" t="inlineStr">
        <is>
          <t>A 57184-2025</t>
        </is>
      </c>
      <c r="B959" s="1" t="n">
        <v>45979.57361111111</v>
      </c>
      <c r="C959" s="1" t="n">
        <v>45981</v>
      </c>
      <c r="D959" t="inlineStr">
        <is>
          <t>JÄMTLANDS LÄN</t>
        </is>
      </c>
      <c r="E959" t="inlineStr">
        <is>
          <t>RAGUNDA</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56806-2025</t>
        </is>
      </c>
      <c r="B960" s="1" t="n">
        <v>45978.44842592593</v>
      </c>
      <c r="C960" s="1" t="n">
        <v>45981</v>
      </c>
      <c r="D960" t="inlineStr">
        <is>
          <t>JÄMTLANDS LÄN</t>
        </is>
      </c>
      <c r="E960" t="inlineStr">
        <is>
          <t>RAGUNDA</t>
        </is>
      </c>
      <c r="F960" t="inlineStr">
        <is>
          <t>SCA</t>
        </is>
      </c>
      <c r="G960" t="n">
        <v>7.5</v>
      </c>
      <c r="H960" t="n">
        <v>0</v>
      </c>
      <c r="I960" t="n">
        <v>0</v>
      </c>
      <c r="J960" t="n">
        <v>0</v>
      </c>
      <c r="K960" t="n">
        <v>0</v>
      </c>
      <c r="L960" t="n">
        <v>0</v>
      </c>
      <c r="M960" t="n">
        <v>0</v>
      </c>
      <c r="N960" t="n">
        <v>0</v>
      </c>
      <c r="O960" t="n">
        <v>0</v>
      </c>
      <c r="P960" t="n">
        <v>0</v>
      </c>
      <c r="Q960" t="n">
        <v>0</v>
      </c>
      <c r="R960" s="2" t="inlineStr"/>
    </row>
    <row r="961" ht="15" customHeight="1">
      <c r="A961" t="inlineStr">
        <is>
          <t>A 30434-2025</t>
        </is>
      </c>
      <c r="B961" s="1" t="n">
        <v>45827.63582175926</v>
      </c>
      <c r="C961" s="1" t="n">
        <v>45981</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23304-2023</t>
        </is>
      </c>
      <c r="B962" s="1" t="n">
        <v>45075.945</v>
      </c>
      <c r="C962" s="1" t="n">
        <v>45981</v>
      </c>
      <c r="D962" t="inlineStr">
        <is>
          <t>JÄMTLANDS LÄN</t>
        </is>
      </c>
      <c r="E962" t="inlineStr">
        <is>
          <t>RAGUNDA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69153-2021</t>
        </is>
      </c>
      <c r="B963" s="1" t="n">
        <v>44530.94694444445</v>
      </c>
      <c r="C963" s="1" t="n">
        <v>45981</v>
      </c>
      <c r="D963" t="inlineStr">
        <is>
          <t>JÄMTLANDS LÄN</t>
        </is>
      </c>
      <c r="E963" t="inlineStr">
        <is>
          <t>RAGUNDA</t>
        </is>
      </c>
      <c r="F963" t="inlineStr">
        <is>
          <t>SCA</t>
        </is>
      </c>
      <c r="G963" t="n">
        <v>5</v>
      </c>
      <c r="H963" t="n">
        <v>0</v>
      </c>
      <c r="I963" t="n">
        <v>0</v>
      </c>
      <c r="J963" t="n">
        <v>0</v>
      </c>
      <c r="K963" t="n">
        <v>0</v>
      </c>
      <c r="L963" t="n">
        <v>0</v>
      </c>
      <c r="M963" t="n">
        <v>0</v>
      </c>
      <c r="N963" t="n">
        <v>0</v>
      </c>
      <c r="O963" t="n">
        <v>0</v>
      </c>
      <c r="P963" t="n">
        <v>0</v>
      </c>
      <c r="Q963" t="n">
        <v>0</v>
      </c>
      <c r="R963" s="2" t="inlineStr"/>
    </row>
    <row r="964" ht="15" customHeight="1">
      <c r="A964" t="inlineStr">
        <is>
          <t>A 57111-2025</t>
        </is>
      </c>
      <c r="B964" s="1" t="n">
        <v>45978</v>
      </c>
      <c r="C964" s="1" t="n">
        <v>45981</v>
      </c>
      <c r="D964" t="inlineStr">
        <is>
          <t>JÄMTLANDS LÄN</t>
        </is>
      </c>
      <c r="E964" t="inlineStr">
        <is>
          <t>RAGUNDA</t>
        </is>
      </c>
      <c r="G964" t="n">
        <v>2.3</v>
      </c>
      <c r="H964" t="n">
        <v>0</v>
      </c>
      <c r="I964" t="n">
        <v>0</v>
      </c>
      <c r="J964" t="n">
        <v>0</v>
      </c>
      <c r="K964" t="n">
        <v>0</v>
      </c>
      <c r="L964" t="n">
        <v>0</v>
      </c>
      <c r="M964" t="n">
        <v>0</v>
      </c>
      <c r="N964" t="n">
        <v>0</v>
      </c>
      <c r="O964" t="n">
        <v>0</v>
      </c>
      <c r="P964" t="n">
        <v>0</v>
      </c>
      <c r="Q964" t="n">
        <v>0</v>
      </c>
      <c r="R964" s="2" t="inlineStr"/>
    </row>
    <row r="965" ht="15" customHeight="1">
      <c r="A965" t="inlineStr">
        <is>
          <t>A 48746-2025</t>
        </is>
      </c>
      <c r="B965" s="1" t="n">
        <v>45936.67878472222</v>
      </c>
      <c r="C965" s="1" t="n">
        <v>45981</v>
      </c>
      <c r="D965" t="inlineStr">
        <is>
          <t>JÄMTLANDS LÄN</t>
        </is>
      </c>
      <c r="E965" t="inlineStr">
        <is>
          <t>RAGUNDA</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12585-2024</t>
        </is>
      </c>
      <c r="B966" s="1" t="n">
        <v>45379.93637731481</v>
      </c>
      <c r="C966" s="1" t="n">
        <v>45981</v>
      </c>
      <c r="D966" t="inlineStr">
        <is>
          <t>JÄMTLANDS LÄN</t>
        </is>
      </c>
      <c r="E966" t="inlineStr">
        <is>
          <t>RAGUNDA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55489-2024</t>
        </is>
      </c>
      <c r="B967" s="1" t="n">
        <v>45622.44774305556</v>
      </c>
      <c r="C967" s="1" t="n">
        <v>45981</v>
      </c>
      <c r="D967" t="inlineStr">
        <is>
          <t>JÄMTLANDS LÄN</t>
        </is>
      </c>
      <c r="E967" t="inlineStr">
        <is>
          <t>RAGUNDA</t>
        </is>
      </c>
      <c r="G967" t="n">
        <v>1.6</v>
      </c>
      <c r="H967" t="n">
        <v>0</v>
      </c>
      <c r="I967" t="n">
        <v>0</v>
      </c>
      <c r="J967" t="n">
        <v>0</v>
      </c>
      <c r="K967" t="n">
        <v>0</v>
      </c>
      <c r="L967" t="n">
        <v>0</v>
      </c>
      <c r="M967" t="n">
        <v>0</v>
      </c>
      <c r="N967" t="n">
        <v>0</v>
      </c>
      <c r="O967" t="n">
        <v>0</v>
      </c>
      <c r="P967" t="n">
        <v>0</v>
      </c>
      <c r="Q967" t="n">
        <v>0</v>
      </c>
      <c r="R967" s="2" t="inlineStr"/>
    </row>
    <row r="968" ht="15" customHeight="1">
      <c r="A968" t="inlineStr">
        <is>
          <t>A 18631-2024</t>
        </is>
      </c>
      <c r="B968" s="1" t="n">
        <v>45425.96494212963</v>
      </c>
      <c r="C968" s="1" t="n">
        <v>45981</v>
      </c>
      <c r="D968" t="inlineStr">
        <is>
          <t>JÄMTLANDS LÄN</t>
        </is>
      </c>
      <c r="E968" t="inlineStr">
        <is>
          <t>RAGUNDA</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36226-2023</t>
        </is>
      </c>
      <c r="B969" s="1" t="n">
        <v>45149.95372685185</v>
      </c>
      <c r="C969" s="1" t="n">
        <v>45981</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18615-2024</t>
        </is>
      </c>
      <c r="B970" s="1" t="n">
        <v>45425.96275462963</v>
      </c>
      <c r="C970" s="1" t="n">
        <v>45981</v>
      </c>
      <c r="D970" t="inlineStr">
        <is>
          <t>JÄMTLANDS LÄN</t>
        </is>
      </c>
      <c r="E970" t="inlineStr">
        <is>
          <t>RAGUNDA</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40269-2022</t>
        </is>
      </c>
      <c r="B971" s="1" t="n">
        <v>44820</v>
      </c>
      <c r="C971" s="1" t="n">
        <v>45981</v>
      </c>
      <c r="D971" t="inlineStr">
        <is>
          <t>JÄMTLANDS LÄN</t>
        </is>
      </c>
      <c r="E971" t="inlineStr">
        <is>
          <t>RAGUNDA</t>
        </is>
      </c>
      <c r="F971" t="inlineStr">
        <is>
          <t>SCA</t>
        </is>
      </c>
      <c r="G971" t="n">
        <v>77.8</v>
      </c>
      <c r="H971" t="n">
        <v>0</v>
      </c>
      <c r="I971" t="n">
        <v>0</v>
      </c>
      <c r="J971" t="n">
        <v>0</v>
      </c>
      <c r="K971" t="n">
        <v>0</v>
      </c>
      <c r="L971" t="n">
        <v>0</v>
      </c>
      <c r="M971" t="n">
        <v>0</v>
      </c>
      <c r="N971" t="n">
        <v>0</v>
      </c>
      <c r="O971" t="n">
        <v>0</v>
      </c>
      <c r="P971" t="n">
        <v>0</v>
      </c>
      <c r="Q971" t="n">
        <v>0</v>
      </c>
      <c r="R971" s="2" t="inlineStr"/>
    </row>
    <row r="972" ht="15" customHeight="1">
      <c r="A972" t="inlineStr">
        <is>
          <t>A 26646-2023</t>
        </is>
      </c>
      <c r="B972" s="1" t="n">
        <v>45092</v>
      </c>
      <c r="C972" s="1" t="n">
        <v>45981</v>
      </c>
      <c r="D972" t="inlineStr">
        <is>
          <t>JÄMTLANDS LÄN</t>
        </is>
      </c>
      <c r="E972" t="inlineStr">
        <is>
          <t>RAGUNDA</t>
        </is>
      </c>
      <c r="G972" t="n">
        <v>1.4</v>
      </c>
      <c r="H972" t="n">
        <v>0</v>
      </c>
      <c r="I972" t="n">
        <v>0</v>
      </c>
      <c r="J972" t="n">
        <v>0</v>
      </c>
      <c r="K972" t="n">
        <v>0</v>
      </c>
      <c r="L972" t="n">
        <v>0</v>
      </c>
      <c r="M972" t="n">
        <v>0</v>
      </c>
      <c r="N972" t="n">
        <v>0</v>
      </c>
      <c r="O972" t="n">
        <v>0</v>
      </c>
      <c r="P972" t="n">
        <v>0</v>
      </c>
      <c r="Q972" t="n">
        <v>0</v>
      </c>
      <c r="R972" s="2" t="inlineStr"/>
    </row>
    <row r="973" ht="15" customHeight="1">
      <c r="A973" t="inlineStr">
        <is>
          <t>A 37242-2024</t>
        </is>
      </c>
      <c r="B973" s="1" t="n">
        <v>45540.34428240741</v>
      </c>
      <c r="C973" s="1" t="n">
        <v>45981</v>
      </c>
      <c r="D973" t="inlineStr">
        <is>
          <t>JÄMTLANDS LÄN</t>
        </is>
      </c>
      <c r="E973" t="inlineStr">
        <is>
          <t>RAGUNDA</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43405-2023</t>
        </is>
      </c>
      <c r="B974" s="1" t="n">
        <v>45183.95563657407</v>
      </c>
      <c r="C974" s="1" t="n">
        <v>45981</v>
      </c>
      <c r="D974" t="inlineStr">
        <is>
          <t>JÄMTLANDS LÄN</t>
        </is>
      </c>
      <c r="E974" t="inlineStr">
        <is>
          <t>RAGUNDA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31463-2024</t>
        </is>
      </c>
      <c r="B975" s="1" t="n">
        <v>45505</v>
      </c>
      <c r="C975" s="1" t="n">
        <v>45981</v>
      </c>
      <c r="D975" t="inlineStr">
        <is>
          <t>JÄMTLANDS LÄN</t>
        </is>
      </c>
      <c r="E975" t="inlineStr">
        <is>
          <t>RAGUNDA</t>
        </is>
      </c>
      <c r="F975" t="inlineStr">
        <is>
          <t>SCA</t>
        </is>
      </c>
      <c r="G975" t="n">
        <v>20.3</v>
      </c>
      <c r="H975" t="n">
        <v>0</v>
      </c>
      <c r="I975" t="n">
        <v>0</v>
      </c>
      <c r="J975" t="n">
        <v>0</v>
      </c>
      <c r="K975" t="n">
        <v>0</v>
      </c>
      <c r="L975" t="n">
        <v>0</v>
      </c>
      <c r="M975" t="n">
        <v>0</v>
      </c>
      <c r="N975" t="n">
        <v>0</v>
      </c>
      <c r="O975" t="n">
        <v>0</v>
      </c>
      <c r="P975" t="n">
        <v>0</v>
      </c>
      <c r="Q975" t="n">
        <v>0</v>
      </c>
      <c r="R975" s="2" t="inlineStr"/>
    </row>
    <row r="976" ht="15" customHeight="1">
      <c r="A976" t="inlineStr">
        <is>
          <t>A 59496-2024</t>
        </is>
      </c>
      <c r="B976" s="1" t="n">
        <v>45638</v>
      </c>
      <c r="C976" s="1" t="n">
        <v>45981</v>
      </c>
      <c r="D976" t="inlineStr">
        <is>
          <t>JÄMTLANDS LÄN</t>
        </is>
      </c>
      <c r="E976" t="inlineStr">
        <is>
          <t>RAGUNDA</t>
        </is>
      </c>
      <c r="G976" t="n">
        <v>13.1</v>
      </c>
      <c r="H976" t="n">
        <v>0</v>
      </c>
      <c r="I976" t="n">
        <v>0</v>
      </c>
      <c r="J976" t="n">
        <v>0</v>
      </c>
      <c r="K976" t="n">
        <v>0</v>
      </c>
      <c r="L976" t="n">
        <v>0</v>
      </c>
      <c r="M976" t="n">
        <v>0</v>
      </c>
      <c r="N976" t="n">
        <v>0</v>
      </c>
      <c r="O976" t="n">
        <v>0</v>
      </c>
      <c r="P976" t="n">
        <v>0</v>
      </c>
      <c r="Q976" t="n">
        <v>0</v>
      </c>
      <c r="R976" s="2" t="inlineStr"/>
    </row>
    <row r="977" ht="15" customHeight="1">
      <c r="A977" t="inlineStr">
        <is>
          <t>A 62106-2023</t>
        </is>
      </c>
      <c r="B977" s="1" t="n">
        <v>45266.95082175926</v>
      </c>
      <c r="C977" s="1" t="n">
        <v>45981</v>
      </c>
      <c r="D977" t="inlineStr">
        <is>
          <t>JÄMTLANDS LÄN</t>
        </is>
      </c>
      <c r="E977" t="inlineStr">
        <is>
          <t>RAGUNDA</t>
        </is>
      </c>
      <c r="F977" t="inlineStr">
        <is>
          <t>SCA</t>
        </is>
      </c>
      <c r="G977" t="n">
        <v>6.6</v>
      </c>
      <c r="H977" t="n">
        <v>0</v>
      </c>
      <c r="I977" t="n">
        <v>0</v>
      </c>
      <c r="J977" t="n">
        <v>0</v>
      </c>
      <c r="K977" t="n">
        <v>0</v>
      </c>
      <c r="L977" t="n">
        <v>0</v>
      </c>
      <c r="M977" t="n">
        <v>0</v>
      </c>
      <c r="N977" t="n">
        <v>0</v>
      </c>
      <c r="O977" t="n">
        <v>0</v>
      </c>
      <c r="P977" t="n">
        <v>0</v>
      </c>
      <c r="Q977" t="n">
        <v>0</v>
      </c>
      <c r="R977" s="2" t="inlineStr"/>
    </row>
    <row r="978" ht="15" customHeight="1">
      <c r="A978" t="inlineStr">
        <is>
          <t>A 18781-2024</t>
        </is>
      </c>
      <c r="B978" s="1" t="n">
        <v>45426</v>
      </c>
      <c r="C978" s="1" t="n">
        <v>45981</v>
      </c>
      <c r="D978" t="inlineStr">
        <is>
          <t>JÄMTLANDS LÄN</t>
        </is>
      </c>
      <c r="E978" t="inlineStr">
        <is>
          <t>RAGUNDA</t>
        </is>
      </c>
      <c r="G978" t="n">
        <v>0.9</v>
      </c>
      <c r="H978" t="n">
        <v>0</v>
      </c>
      <c r="I978" t="n">
        <v>0</v>
      </c>
      <c r="J978" t="n">
        <v>0</v>
      </c>
      <c r="K978" t="n">
        <v>0</v>
      </c>
      <c r="L978" t="n">
        <v>0</v>
      </c>
      <c r="M978" t="n">
        <v>0</v>
      </c>
      <c r="N978" t="n">
        <v>0</v>
      </c>
      <c r="O978" t="n">
        <v>0</v>
      </c>
      <c r="P978" t="n">
        <v>0</v>
      </c>
      <c r="Q978" t="n">
        <v>0</v>
      </c>
      <c r="R978" s="2" t="inlineStr"/>
    </row>
    <row r="979" ht="15" customHeight="1">
      <c r="A979" t="inlineStr">
        <is>
          <t>A 62081-2022</t>
        </is>
      </c>
      <c r="B979" s="1" t="n">
        <v>44918</v>
      </c>
      <c r="C979" s="1" t="n">
        <v>45981</v>
      </c>
      <c r="D979" t="inlineStr">
        <is>
          <t>JÄMTLANDS LÄN</t>
        </is>
      </c>
      <c r="E979" t="inlineStr">
        <is>
          <t>RAGUNDA</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45438-2022</t>
        </is>
      </c>
      <c r="B980" s="1" t="n">
        <v>44844.95368055555</v>
      </c>
      <c r="C980" s="1" t="n">
        <v>45981</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56191-2022</t>
        </is>
      </c>
      <c r="B981" s="1" t="n">
        <v>44889.95015046297</v>
      </c>
      <c r="C981" s="1" t="n">
        <v>45981</v>
      </c>
      <c r="D981" t="inlineStr">
        <is>
          <t>JÄMTLANDS LÄN</t>
        </is>
      </c>
      <c r="E981" t="inlineStr">
        <is>
          <t>RAGUNDA</t>
        </is>
      </c>
      <c r="F981" t="inlineStr">
        <is>
          <t>Sveaskog</t>
        </is>
      </c>
      <c r="G981" t="n">
        <v>3</v>
      </c>
      <c r="H981" t="n">
        <v>0</v>
      </c>
      <c r="I981" t="n">
        <v>0</v>
      </c>
      <c r="J981" t="n">
        <v>0</v>
      </c>
      <c r="K981" t="n">
        <v>0</v>
      </c>
      <c r="L981" t="n">
        <v>0</v>
      </c>
      <c r="M981" t="n">
        <v>0</v>
      </c>
      <c r="N981" t="n">
        <v>0</v>
      </c>
      <c r="O981" t="n">
        <v>0</v>
      </c>
      <c r="P981" t="n">
        <v>0</v>
      </c>
      <c r="Q981" t="n">
        <v>0</v>
      </c>
      <c r="R981" s="2" t="inlineStr"/>
    </row>
    <row r="982" ht="15" customHeight="1">
      <c r="A982" t="inlineStr">
        <is>
          <t>A 30823-2023</t>
        </is>
      </c>
      <c r="B982" s="1" t="n">
        <v>45112</v>
      </c>
      <c r="C982" s="1" t="n">
        <v>45981</v>
      </c>
      <c r="D982" t="inlineStr">
        <is>
          <t>JÄMTLANDS LÄN</t>
        </is>
      </c>
      <c r="E982" t="inlineStr">
        <is>
          <t>RAGUNDA</t>
        </is>
      </c>
      <c r="F982" t="inlineStr">
        <is>
          <t>SCA</t>
        </is>
      </c>
      <c r="G982" t="n">
        <v>9</v>
      </c>
      <c r="H982" t="n">
        <v>0</v>
      </c>
      <c r="I982" t="n">
        <v>0</v>
      </c>
      <c r="J982" t="n">
        <v>0</v>
      </c>
      <c r="K982" t="n">
        <v>0</v>
      </c>
      <c r="L982" t="n">
        <v>0</v>
      </c>
      <c r="M982" t="n">
        <v>0</v>
      </c>
      <c r="N982" t="n">
        <v>0</v>
      </c>
      <c r="O982" t="n">
        <v>0</v>
      </c>
      <c r="P982" t="n">
        <v>0</v>
      </c>
      <c r="Q982" t="n">
        <v>0</v>
      </c>
      <c r="R982" s="2" t="inlineStr"/>
    </row>
    <row r="983" ht="15" customHeight="1">
      <c r="A983" t="inlineStr">
        <is>
          <t>A 43339-2024</t>
        </is>
      </c>
      <c r="B983" s="1" t="n">
        <v>45568.51075231482</v>
      </c>
      <c r="C983" s="1" t="n">
        <v>45981</v>
      </c>
      <c r="D983" t="inlineStr">
        <is>
          <t>JÄMTLANDS LÄN</t>
        </is>
      </c>
      <c r="E983" t="inlineStr">
        <is>
          <t>RAGUNDA</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43102-2023</t>
        </is>
      </c>
      <c r="B984" s="1" t="n">
        <v>45182</v>
      </c>
      <c r="C984" s="1" t="n">
        <v>45981</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30826-2023</t>
        </is>
      </c>
      <c r="B985" s="1" t="n">
        <v>45112</v>
      </c>
      <c r="C985" s="1" t="n">
        <v>45981</v>
      </c>
      <c r="D985" t="inlineStr">
        <is>
          <t>JÄMTLANDS LÄN</t>
        </is>
      </c>
      <c r="E985" t="inlineStr">
        <is>
          <t>RAGUNDA</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30887-2025</t>
        </is>
      </c>
      <c r="B986" s="1" t="n">
        <v>45832.3459375</v>
      </c>
      <c r="C986" s="1" t="n">
        <v>45981</v>
      </c>
      <c r="D986" t="inlineStr">
        <is>
          <t>JÄMTLANDS LÄN</t>
        </is>
      </c>
      <c r="E986" t="inlineStr">
        <is>
          <t>RAGUNDA</t>
        </is>
      </c>
      <c r="F986" t="inlineStr">
        <is>
          <t>SCA</t>
        </is>
      </c>
      <c r="G986" t="n">
        <v>10.1</v>
      </c>
      <c r="H986" t="n">
        <v>0</v>
      </c>
      <c r="I986" t="n">
        <v>0</v>
      </c>
      <c r="J986" t="n">
        <v>0</v>
      </c>
      <c r="K986" t="n">
        <v>0</v>
      </c>
      <c r="L986" t="n">
        <v>0</v>
      </c>
      <c r="M986" t="n">
        <v>0</v>
      </c>
      <c r="N986" t="n">
        <v>0</v>
      </c>
      <c r="O986" t="n">
        <v>0</v>
      </c>
      <c r="P986" t="n">
        <v>0</v>
      </c>
      <c r="Q986" t="n">
        <v>0</v>
      </c>
      <c r="R986" s="2" t="inlineStr"/>
    </row>
    <row r="987" ht="15" customHeight="1">
      <c r="A987" t="inlineStr">
        <is>
          <t>A 53263-2024</t>
        </is>
      </c>
      <c r="B987" s="1" t="n">
        <v>45614.34541666666</v>
      </c>
      <c r="C987" s="1" t="n">
        <v>45981</v>
      </c>
      <c r="D987" t="inlineStr">
        <is>
          <t>JÄMTLANDS LÄN</t>
        </is>
      </c>
      <c r="E987" t="inlineStr">
        <is>
          <t>RAGUNDA</t>
        </is>
      </c>
      <c r="G987" t="n">
        <v>1.9</v>
      </c>
      <c r="H987" t="n">
        <v>0</v>
      </c>
      <c r="I987" t="n">
        <v>0</v>
      </c>
      <c r="J987" t="n">
        <v>0</v>
      </c>
      <c r="K987" t="n">
        <v>0</v>
      </c>
      <c r="L987" t="n">
        <v>0</v>
      </c>
      <c r="M987" t="n">
        <v>0</v>
      </c>
      <c r="N987" t="n">
        <v>0</v>
      </c>
      <c r="O987" t="n">
        <v>0</v>
      </c>
      <c r="P987" t="n">
        <v>0</v>
      </c>
      <c r="Q987" t="n">
        <v>0</v>
      </c>
      <c r="R987" s="2" t="inlineStr"/>
    </row>
    <row r="988" ht="15" customHeight="1">
      <c r="A988" t="inlineStr">
        <is>
          <t>A 30883-2025</t>
        </is>
      </c>
      <c r="B988" s="1" t="n">
        <v>45832.34552083333</v>
      </c>
      <c r="C988" s="1" t="n">
        <v>45981</v>
      </c>
      <c r="D988" t="inlineStr">
        <is>
          <t>JÄMTLANDS LÄN</t>
        </is>
      </c>
      <c r="E988" t="inlineStr">
        <is>
          <t>RAGUNDA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26645-2024</t>
        </is>
      </c>
      <c r="B989" s="1" t="n">
        <v>45469.94667824074</v>
      </c>
      <c r="C989" s="1" t="n">
        <v>45981</v>
      </c>
      <c r="D989" t="inlineStr">
        <is>
          <t>JÄMTLANDS LÄN</t>
        </is>
      </c>
      <c r="E989" t="inlineStr">
        <is>
          <t>RAGUNDA</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893-2025</t>
        </is>
      </c>
      <c r="B990" s="1" t="n">
        <v>45665.65684027778</v>
      </c>
      <c r="C990" s="1" t="n">
        <v>45981</v>
      </c>
      <c r="D990" t="inlineStr">
        <is>
          <t>JÄMTLANDS LÄN</t>
        </is>
      </c>
      <c r="E990" t="inlineStr">
        <is>
          <t>RAGUNDA</t>
        </is>
      </c>
      <c r="F990" t="inlineStr">
        <is>
          <t>SCA</t>
        </is>
      </c>
      <c r="G990" t="n">
        <v>45.1</v>
      </c>
      <c r="H990" t="n">
        <v>0</v>
      </c>
      <c r="I990" t="n">
        <v>0</v>
      </c>
      <c r="J990" t="n">
        <v>0</v>
      </c>
      <c r="K990" t="n">
        <v>0</v>
      </c>
      <c r="L990" t="n">
        <v>0</v>
      </c>
      <c r="M990" t="n">
        <v>0</v>
      </c>
      <c r="N990" t="n">
        <v>0</v>
      </c>
      <c r="O990" t="n">
        <v>0</v>
      </c>
      <c r="P990" t="n">
        <v>0</v>
      </c>
      <c r="Q990" t="n">
        <v>0</v>
      </c>
      <c r="R990" s="2" t="inlineStr"/>
    </row>
    <row r="991" ht="15" customHeight="1">
      <c r="A991" t="inlineStr">
        <is>
          <t>A 9823-2025</t>
        </is>
      </c>
      <c r="B991" s="1" t="n">
        <v>45716</v>
      </c>
      <c r="C991" s="1" t="n">
        <v>45981</v>
      </c>
      <c r="D991" t="inlineStr">
        <is>
          <t>JÄMTLANDS LÄN</t>
        </is>
      </c>
      <c r="E991" t="inlineStr">
        <is>
          <t>RAGUNDA</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31135-2023</t>
        </is>
      </c>
      <c r="B992" s="1" t="n">
        <v>45103</v>
      </c>
      <c r="C992" s="1" t="n">
        <v>45981</v>
      </c>
      <c r="D992" t="inlineStr">
        <is>
          <t>JÄMTLANDS LÄN</t>
        </is>
      </c>
      <c r="E992" t="inlineStr">
        <is>
          <t>RAGUNDA</t>
        </is>
      </c>
      <c r="G992" t="n">
        <v>0.9</v>
      </c>
      <c r="H992" t="n">
        <v>0</v>
      </c>
      <c r="I992" t="n">
        <v>0</v>
      </c>
      <c r="J992" t="n">
        <v>0</v>
      </c>
      <c r="K992" t="n">
        <v>0</v>
      </c>
      <c r="L992" t="n">
        <v>0</v>
      </c>
      <c r="M992" t="n">
        <v>0</v>
      </c>
      <c r="N992" t="n">
        <v>0</v>
      </c>
      <c r="O992" t="n">
        <v>0</v>
      </c>
      <c r="P992" t="n">
        <v>0</v>
      </c>
      <c r="Q992" t="n">
        <v>0</v>
      </c>
      <c r="R992" s="2" t="inlineStr"/>
    </row>
    <row r="993" ht="15" customHeight="1">
      <c r="A993" t="inlineStr">
        <is>
          <t>A 13917-2023</t>
        </is>
      </c>
      <c r="B993" s="1" t="n">
        <v>45007</v>
      </c>
      <c r="C993" s="1" t="n">
        <v>45981</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53019-2023</t>
        </is>
      </c>
      <c r="B994" s="1" t="n">
        <v>45222</v>
      </c>
      <c r="C994" s="1" t="n">
        <v>45981</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14212-2023</t>
        </is>
      </c>
      <c r="B995" s="1" t="n">
        <v>45009</v>
      </c>
      <c r="C995" s="1" t="n">
        <v>45981</v>
      </c>
      <c r="D995" t="inlineStr">
        <is>
          <t>JÄMTLANDS LÄN</t>
        </is>
      </c>
      <c r="E995" t="inlineStr">
        <is>
          <t>RAGUNDA</t>
        </is>
      </c>
      <c r="G995" t="n">
        <v>0.8</v>
      </c>
      <c r="H995" t="n">
        <v>0</v>
      </c>
      <c r="I995" t="n">
        <v>0</v>
      </c>
      <c r="J995" t="n">
        <v>0</v>
      </c>
      <c r="K995" t="n">
        <v>0</v>
      </c>
      <c r="L995" t="n">
        <v>0</v>
      </c>
      <c r="M995" t="n">
        <v>0</v>
      </c>
      <c r="N995" t="n">
        <v>0</v>
      </c>
      <c r="O995" t="n">
        <v>0</v>
      </c>
      <c r="P995" t="n">
        <v>0</v>
      </c>
      <c r="Q995" t="n">
        <v>0</v>
      </c>
      <c r="R995" s="2" t="inlineStr"/>
    </row>
    <row r="996" ht="15" customHeight="1">
      <c r="A996" t="inlineStr">
        <is>
          <t>A 59996-2023</t>
        </is>
      </c>
      <c r="B996" s="1" t="n">
        <v>45257.92826388889</v>
      </c>
      <c r="C996" s="1" t="n">
        <v>45981</v>
      </c>
      <c r="D996" t="inlineStr">
        <is>
          <t>JÄMTLANDS LÄN</t>
        </is>
      </c>
      <c r="E996" t="inlineStr">
        <is>
          <t>RAGUNDA</t>
        </is>
      </c>
      <c r="G996" t="n">
        <v>2.7</v>
      </c>
      <c r="H996" t="n">
        <v>0</v>
      </c>
      <c r="I996" t="n">
        <v>0</v>
      </c>
      <c r="J996" t="n">
        <v>0</v>
      </c>
      <c r="K996" t="n">
        <v>0</v>
      </c>
      <c r="L996" t="n">
        <v>0</v>
      </c>
      <c r="M996" t="n">
        <v>0</v>
      </c>
      <c r="N996" t="n">
        <v>0</v>
      </c>
      <c r="O996" t="n">
        <v>0</v>
      </c>
      <c r="P996" t="n">
        <v>0</v>
      </c>
      <c r="Q996" t="n">
        <v>0</v>
      </c>
      <c r="R996" s="2" t="inlineStr"/>
    </row>
    <row r="997" ht="15" customHeight="1">
      <c r="A997" t="inlineStr">
        <is>
          <t>A 43132-2023</t>
        </is>
      </c>
      <c r="B997" s="1" t="n">
        <v>45182</v>
      </c>
      <c r="C997" s="1" t="n">
        <v>45981</v>
      </c>
      <c r="D997" t="inlineStr">
        <is>
          <t>JÄMTLANDS LÄN</t>
        </is>
      </c>
      <c r="E997" t="inlineStr">
        <is>
          <t>RAGUNDA</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44980-2023</t>
        </is>
      </c>
      <c r="B998" s="1" t="n">
        <v>45190</v>
      </c>
      <c r="C998" s="1" t="n">
        <v>45981</v>
      </c>
      <c r="D998" t="inlineStr">
        <is>
          <t>JÄMTLANDS LÄN</t>
        </is>
      </c>
      <c r="E998" t="inlineStr">
        <is>
          <t>RAGUNDA</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30880-2025</t>
        </is>
      </c>
      <c r="B999" s="1" t="n">
        <v>45832.34524305556</v>
      </c>
      <c r="C999" s="1" t="n">
        <v>45981</v>
      </c>
      <c r="D999" t="inlineStr">
        <is>
          <t>JÄMTLANDS LÄN</t>
        </is>
      </c>
      <c r="E999" t="inlineStr">
        <is>
          <t>RAGUNDA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14076-2023</t>
        </is>
      </c>
      <c r="B1000" s="1" t="n">
        <v>45009.0897337963</v>
      </c>
      <c r="C1000" s="1" t="n">
        <v>45981</v>
      </c>
      <c r="D1000" t="inlineStr">
        <is>
          <t>JÄMTLANDS LÄN</t>
        </is>
      </c>
      <c r="E1000" t="inlineStr">
        <is>
          <t>RAGUNDA</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56284-2023</t>
        </is>
      </c>
      <c r="B1001" s="1" t="n">
        <v>45241.95724537037</v>
      </c>
      <c r="C1001" s="1" t="n">
        <v>45981</v>
      </c>
      <c r="D1001" t="inlineStr">
        <is>
          <t>JÄMTLANDS LÄN</t>
        </is>
      </c>
      <c r="E1001" t="inlineStr">
        <is>
          <t>RAGUNDA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12805-2025</t>
        </is>
      </c>
      <c r="B1002" s="1" t="n">
        <v>45733.61497685185</v>
      </c>
      <c r="C1002" s="1" t="n">
        <v>45981</v>
      </c>
      <c r="D1002" t="inlineStr">
        <is>
          <t>JÄMTLANDS LÄN</t>
        </is>
      </c>
      <c r="E1002" t="inlineStr">
        <is>
          <t>RAGUNDA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12808-2025</t>
        </is>
      </c>
      <c r="B1003" s="1" t="n">
        <v>45733.61554398148</v>
      </c>
      <c r="C1003" s="1" t="n">
        <v>45981</v>
      </c>
      <c r="D1003" t="inlineStr">
        <is>
          <t>JÄMTLANDS LÄN</t>
        </is>
      </c>
      <c r="E1003" t="inlineStr">
        <is>
          <t>RAGUNDA</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4615-2023</t>
        </is>
      </c>
      <c r="B1004" s="1" t="n">
        <v>44956.93924768519</v>
      </c>
      <c r="C1004" s="1" t="n">
        <v>45981</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5938-2025</t>
        </is>
      </c>
      <c r="B1005" s="1" t="n">
        <v>45695.45868055556</v>
      </c>
      <c r="C1005" s="1" t="n">
        <v>45981</v>
      </c>
      <c r="D1005" t="inlineStr">
        <is>
          <t>JÄMTLANDS LÄN</t>
        </is>
      </c>
      <c r="E1005" t="inlineStr">
        <is>
          <t>RAGUNDA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4125-2024</t>
        </is>
      </c>
      <c r="B1006" s="1" t="n">
        <v>45323</v>
      </c>
      <c r="C1006" s="1" t="n">
        <v>45981</v>
      </c>
      <c r="D1006" t="inlineStr">
        <is>
          <t>JÄMTLANDS LÄN</t>
        </is>
      </c>
      <c r="E1006" t="inlineStr">
        <is>
          <t>RAGUNDA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53549-2024</t>
        </is>
      </c>
      <c r="B1007" s="1" t="n">
        <v>45614.63869212963</v>
      </c>
      <c r="C1007" s="1" t="n">
        <v>45981</v>
      </c>
      <c r="D1007" t="inlineStr">
        <is>
          <t>JÄMTLANDS LÄN</t>
        </is>
      </c>
      <c r="E1007" t="inlineStr">
        <is>
          <t>RAGUNDA</t>
        </is>
      </c>
      <c r="F1007" t="inlineStr">
        <is>
          <t>Kyrkan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61045-2022</t>
        </is>
      </c>
      <c r="B1008" s="1" t="n">
        <v>44914</v>
      </c>
      <c r="C1008" s="1" t="n">
        <v>45981</v>
      </c>
      <c r="D1008" t="inlineStr">
        <is>
          <t>JÄMTLANDS LÄN</t>
        </is>
      </c>
      <c r="E1008" t="inlineStr">
        <is>
          <t>RAGUNDA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61197-2023</t>
        </is>
      </c>
      <c r="B1009" s="1" t="n">
        <v>45260</v>
      </c>
      <c r="C1009" s="1" t="n">
        <v>45981</v>
      </c>
      <c r="D1009" t="inlineStr">
        <is>
          <t>JÄMTLANDS LÄN</t>
        </is>
      </c>
      <c r="E1009" t="inlineStr">
        <is>
          <t>RAGUNDA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13263-2025</t>
        </is>
      </c>
      <c r="B1010" s="1" t="n">
        <v>45735.53177083333</v>
      </c>
      <c r="C1010" s="1" t="n">
        <v>45981</v>
      </c>
      <c r="D1010" t="inlineStr">
        <is>
          <t>JÄMTLANDS LÄN</t>
        </is>
      </c>
      <c r="E1010" t="inlineStr">
        <is>
          <t>RAGUNDA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48066-2022</t>
        </is>
      </c>
      <c r="B1011" s="1" t="n">
        <v>44855</v>
      </c>
      <c r="C1011" s="1" t="n">
        <v>45981</v>
      </c>
      <c r="D1011" t="inlineStr">
        <is>
          <t>JÄMTLANDS LÄN</t>
        </is>
      </c>
      <c r="E1011" t="inlineStr">
        <is>
          <t>RAGUNDA</t>
        </is>
      </c>
      <c r="F1011" t="inlineStr">
        <is>
          <t>SCA</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64415-2023</t>
        </is>
      </c>
      <c r="B1012" s="1" t="n">
        <v>45280</v>
      </c>
      <c r="C1012" s="1" t="n">
        <v>45981</v>
      </c>
      <c r="D1012" t="inlineStr">
        <is>
          <t>JÄMTLANDS LÄN</t>
        </is>
      </c>
      <c r="E1012" t="inlineStr">
        <is>
          <t>RAGUNDA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7284-2025</t>
        </is>
      </c>
      <c r="B1013" s="1" t="n">
        <v>45702.63604166666</v>
      </c>
      <c r="C1013" s="1" t="n">
        <v>45981</v>
      </c>
      <c r="D1013" t="inlineStr">
        <is>
          <t>JÄMTLANDS LÄN</t>
        </is>
      </c>
      <c r="E1013" t="inlineStr">
        <is>
          <t>RAGUNDA</t>
        </is>
      </c>
      <c r="F1013" t="inlineStr">
        <is>
          <t>SCA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31506-2024</t>
        </is>
      </c>
      <c r="B1014" s="1" t="n">
        <v>45505</v>
      </c>
      <c r="C1014" s="1" t="n">
        <v>45981</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60225-2022</t>
        </is>
      </c>
      <c r="B1015" s="1" t="n">
        <v>44903</v>
      </c>
      <c r="C1015" s="1" t="n">
        <v>45981</v>
      </c>
      <c r="D1015" t="inlineStr">
        <is>
          <t>JÄMTLANDS LÄN</t>
        </is>
      </c>
      <c r="E1015" t="inlineStr">
        <is>
          <t>RAGUNDA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32096-2025</t>
        </is>
      </c>
      <c r="B1016" s="1" t="n">
        <v>45835.46334490741</v>
      </c>
      <c r="C1016" s="1" t="n">
        <v>45981</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15864-2024</t>
        </is>
      </c>
      <c r="B1017" s="1" t="n">
        <v>45404.99792824074</v>
      </c>
      <c r="C1017" s="1" t="n">
        <v>45981</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c r="U1017">
        <f>HYPERLINK("https://klasma.github.io/Logging_2303/knärot/A 15864-2024 karta knärot.png", "A 15864-2024")</f>
        <v/>
      </c>
      <c r="V1017">
        <f>HYPERLINK("https://klasma.github.io/Logging_2303/klagomål/A 15864-2024 FSC-klagomål.docx", "A 15864-2024")</f>
        <v/>
      </c>
      <c r="W1017">
        <f>HYPERLINK("https://klasma.github.io/Logging_2303/klagomålsmail/A 15864-2024 FSC-klagomål mail.docx", "A 15864-2024")</f>
        <v/>
      </c>
      <c r="X1017">
        <f>HYPERLINK("https://klasma.github.io/Logging_2303/tillsyn/A 15864-2024 tillsynsbegäran.docx", "A 15864-2024")</f>
        <v/>
      </c>
      <c r="Y1017">
        <f>HYPERLINK("https://klasma.github.io/Logging_2303/tillsynsmail/A 15864-2024 tillsynsbegäran mail.docx", "A 15864-2024")</f>
        <v/>
      </c>
    </row>
    <row r="1018" ht="15" customHeight="1">
      <c r="A1018" t="inlineStr">
        <is>
          <t>A 57749-2024</t>
        </is>
      </c>
      <c r="B1018" s="1" t="n">
        <v>45630.7862037037</v>
      </c>
      <c r="C1018" s="1" t="n">
        <v>45981</v>
      </c>
      <c r="D1018" t="inlineStr">
        <is>
          <t>JÄMTLANDS LÄN</t>
        </is>
      </c>
      <c r="E1018" t="inlineStr">
        <is>
          <t>RAGUNDA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32151-2025</t>
        </is>
      </c>
      <c r="B1019" s="1" t="n">
        <v>45835.53166666667</v>
      </c>
      <c r="C1019" s="1" t="n">
        <v>45981</v>
      </c>
      <c r="D1019" t="inlineStr">
        <is>
          <t>JÄMTLANDS LÄN</t>
        </is>
      </c>
      <c r="E1019" t="inlineStr">
        <is>
          <t>RAGUNDA</t>
        </is>
      </c>
      <c r="F1019" t="inlineStr">
        <is>
          <t>SCA</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19382-2025</t>
        </is>
      </c>
      <c r="B1020" s="1" t="n">
        <v>45769.65659722222</v>
      </c>
      <c r="C1020" s="1" t="n">
        <v>45981</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24280-2021</t>
        </is>
      </c>
      <c r="B1021" s="1" t="n">
        <v>44336</v>
      </c>
      <c r="C1021" s="1" t="n">
        <v>45981</v>
      </c>
      <c r="D1021" t="inlineStr">
        <is>
          <t>JÄMTLANDS LÄN</t>
        </is>
      </c>
      <c r="E1021" t="inlineStr">
        <is>
          <t>RAGUNDA</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32306-2025</t>
        </is>
      </c>
      <c r="B1022" s="1" t="n">
        <v>45835.72046296296</v>
      </c>
      <c r="C1022" s="1" t="n">
        <v>45981</v>
      </c>
      <c r="D1022" t="inlineStr">
        <is>
          <t>JÄMTLANDS LÄN</t>
        </is>
      </c>
      <c r="E1022" t="inlineStr">
        <is>
          <t>RAGUNDA</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8886-2024</t>
        </is>
      </c>
      <c r="B1023" s="1" t="n">
        <v>45357.05300925926</v>
      </c>
      <c r="C1023" s="1" t="n">
        <v>45981</v>
      </c>
      <c r="D1023" t="inlineStr">
        <is>
          <t>JÄMTLANDS LÄN</t>
        </is>
      </c>
      <c r="E1023" t="inlineStr">
        <is>
          <t>RAGUNDA</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37479-2023</t>
        </is>
      </c>
      <c r="B1024" s="1" t="n">
        <v>45156</v>
      </c>
      <c r="C1024" s="1" t="n">
        <v>45981</v>
      </c>
      <c r="D1024" t="inlineStr">
        <is>
          <t>JÄMTLANDS LÄN</t>
        </is>
      </c>
      <c r="E1024" t="inlineStr">
        <is>
          <t>RAGUNDA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5958-2021</t>
        </is>
      </c>
      <c r="B1025" s="1" t="n">
        <v>44231</v>
      </c>
      <c r="C1025" s="1" t="n">
        <v>45981</v>
      </c>
      <c r="D1025" t="inlineStr">
        <is>
          <t>JÄMTLANDS LÄN</t>
        </is>
      </c>
      <c r="E1025" t="inlineStr">
        <is>
          <t>RAGUNDA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28596-2021</t>
        </is>
      </c>
      <c r="B1026" s="1" t="n">
        <v>44356</v>
      </c>
      <c r="C1026" s="1" t="n">
        <v>45981</v>
      </c>
      <c r="D1026" t="inlineStr">
        <is>
          <t>JÄMTLANDS LÄN</t>
        </is>
      </c>
      <c r="E1026" t="inlineStr">
        <is>
          <t>RAGUNDA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11058-2025</t>
        </is>
      </c>
      <c r="B1027" s="1" t="n">
        <v>45723.51079861111</v>
      </c>
      <c r="C1027" s="1" t="n">
        <v>45981</v>
      </c>
      <c r="D1027" t="inlineStr">
        <is>
          <t>JÄMTLANDS LÄN</t>
        </is>
      </c>
      <c r="E1027" t="inlineStr">
        <is>
          <t>RAGUNDA</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4866-2025</t>
        </is>
      </c>
      <c r="B1028" s="1" t="n">
        <v>45688.67542824074</v>
      </c>
      <c r="C1028" s="1" t="n">
        <v>45981</v>
      </c>
      <c r="D1028" t="inlineStr">
        <is>
          <t>JÄMTLANDS LÄN</t>
        </is>
      </c>
      <c r="E1028" t="inlineStr">
        <is>
          <t>RAGUNDA</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38664-2022</t>
        </is>
      </c>
      <c r="B1029" s="1" t="n">
        <v>44813</v>
      </c>
      <c r="C1029" s="1" t="n">
        <v>45981</v>
      </c>
      <c r="D1029" t="inlineStr">
        <is>
          <t>JÄMTLANDS LÄN</t>
        </is>
      </c>
      <c r="E1029" t="inlineStr">
        <is>
          <t>RAGUNDA</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32021-2025</t>
        </is>
      </c>
      <c r="B1030" s="1" t="n">
        <v>45835.40668981482</v>
      </c>
      <c r="C1030" s="1" t="n">
        <v>45981</v>
      </c>
      <c r="D1030" t="inlineStr">
        <is>
          <t>JÄMTLANDS LÄN</t>
        </is>
      </c>
      <c r="E1030" t="inlineStr">
        <is>
          <t>RAGUNDA</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31882-2025</t>
        </is>
      </c>
      <c r="B1031" s="1" t="n">
        <v>45834.65662037037</v>
      </c>
      <c r="C1031" s="1" t="n">
        <v>45981</v>
      </c>
      <c r="D1031" t="inlineStr">
        <is>
          <t>JÄMTLANDS LÄN</t>
        </is>
      </c>
      <c r="E1031" t="inlineStr">
        <is>
          <t>RAGUNDA</t>
        </is>
      </c>
      <c r="F1031" t="inlineStr">
        <is>
          <t>SCA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11780-2024</t>
        </is>
      </c>
      <c r="B1032" s="1" t="n">
        <v>45374</v>
      </c>
      <c r="C1032" s="1" t="n">
        <v>45981</v>
      </c>
      <c r="D1032" t="inlineStr">
        <is>
          <t>JÄMTLANDS LÄN</t>
        </is>
      </c>
      <c r="E1032" t="inlineStr">
        <is>
          <t>RAGUNDA</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24441-2024</t>
        </is>
      </c>
      <c r="B1033" s="1" t="n">
        <v>45457.96372685185</v>
      </c>
      <c r="C1033" s="1" t="n">
        <v>45981</v>
      </c>
      <c r="D1033" t="inlineStr">
        <is>
          <t>JÄMTLANDS LÄN</t>
        </is>
      </c>
      <c r="E1033" t="inlineStr">
        <is>
          <t>RAGUNDA</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40801-2023</t>
        </is>
      </c>
      <c r="B1034" s="1" t="n">
        <v>45170</v>
      </c>
      <c r="C1034" s="1" t="n">
        <v>45981</v>
      </c>
      <c r="D1034" t="inlineStr">
        <is>
          <t>JÄMTLANDS LÄN</t>
        </is>
      </c>
      <c r="E1034" t="inlineStr">
        <is>
          <t>RAGUNDA</t>
        </is>
      </c>
      <c r="F1034" t="inlineStr">
        <is>
          <t>SCA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11288-2022</t>
        </is>
      </c>
      <c r="B1035" s="1" t="n">
        <v>44629</v>
      </c>
      <c r="C1035" s="1" t="n">
        <v>45981</v>
      </c>
      <c r="D1035" t="inlineStr">
        <is>
          <t>JÄMTLANDS LÄN</t>
        </is>
      </c>
      <c r="E1035" t="inlineStr">
        <is>
          <t>RAGUNDA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18984-2023</t>
        </is>
      </c>
      <c r="B1036" s="1" t="n">
        <v>45044</v>
      </c>
      <c r="C1036" s="1" t="n">
        <v>45981</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66011-2021</t>
        </is>
      </c>
      <c r="B1037" s="1" t="n">
        <v>44517.58137731482</v>
      </c>
      <c r="C1037" s="1" t="n">
        <v>45981</v>
      </c>
      <c r="D1037" t="inlineStr">
        <is>
          <t>JÄMTLANDS LÄN</t>
        </is>
      </c>
      <c r="E1037" t="inlineStr">
        <is>
          <t>RAGUNDA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42509-2023</t>
        </is>
      </c>
      <c r="B1038" s="1" t="n">
        <v>45180</v>
      </c>
      <c r="C1038" s="1" t="n">
        <v>45981</v>
      </c>
      <c r="D1038" t="inlineStr">
        <is>
          <t>JÄMTLANDS LÄN</t>
        </is>
      </c>
      <c r="E1038" t="inlineStr">
        <is>
          <t>RAGUNDA</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48065-2023</t>
        </is>
      </c>
      <c r="B1039" s="1" t="n">
        <v>45204.94399305555</v>
      </c>
      <c r="C1039" s="1" t="n">
        <v>45981</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33615-2023</t>
        </is>
      </c>
      <c r="B1040" s="1" t="n">
        <v>45119</v>
      </c>
      <c r="C1040" s="1" t="n">
        <v>45981</v>
      </c>
      <c r="D1040" t="inlineStr">
        <is>
          <t>JÄMTLANDS LÄN</t>
        </is>
      </c>
      <c r="E1040" t="inlineStr">
        <is>
          <t>RAGUNDA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4592-2024</t>
        </is>
      </c>
      <c r="B1041" s="1" t="n">
        <v>45327.94443287037</v>
      </c>
      <c r="C1041" s="1" t="n">
        <v>45981</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32796-2025</t>
        </is>
      </c>
      <c r="B1042" s="1" t="n">
        <v>45839.49082175926</v>
      </c>
      <c r="C1042" s="1" t="n">
        <v>45981</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60195-2023</t>
        </is>
      </c>
      <c r="B1043" s="1" t="n">
        <v>45257</v>
      </c>
      <c r="C1043" s="1" t="n">
        <v>45981</v>
      </c>
      <c r="D1043" t="inlineStr">
        <is>
          <t>JÄMTLANDS LÄN</t>
        </is>
      </c>
      <c r="E1043" t="inlineStr">
        <is>
          <t>RAGUNDA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42510-2023</t>
        </is>
      </c>
      <c r="B1044" s="1" t="n">
        <v>45180.95927083334</v>
      </c>
      <c r="C1044" s="1" t="n">
        <v>45981</v>
      </c>
      <c r="D1044" t="inlineStr">
        <is>
          <t>JÄMTLANDS LÄN</t>
        </is>
      </c>
      <c r="E1044" t="inlineStr">
        <is>
          <t>RAGUNDA</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53860-2023</t>
        </is>
      </c>
      <c r="B1045" s="1" t="n">
        <v>45224</v>
      </c>
      <c r="C1045" s="1" t="n">
        <v>45981</v>
      </c>
      <c r="D1045" t="inlineStr">
        <is>
          <t>JÄMTLANDS LÄN</t>
        </is>
      </c>
      <c r="E1045" t="inlineStr">
        <is>
          <t>RAGUNDA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65898-2020</t>
        </is>
      </c>
      <c r="B1046" s="1" t="n">
        <v>44174</v>
      </c>
      <c r="C1046" s="1" t="n">
        <v>45981</v>
      </c>
      <c r="D1046" t="inlineStr">
        <is>
          <t>JÄMTLANDS LÄN</t>
        </is>
      </c>
      <c r="E1046" t="inlineStr">
        <is>
          <t>RAGUNDA</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32655-2025</t>
        </is>
      </c>
      <c r="B1047" s="1" t="n">
        <v>45838.67800925926</v>
      </c>
      <c r="C1047" s="1" t="n">
        <v>45981</v>
      </c>
      <c r="D1047" t="inlineStr">
        <is>
          <t>JÄMTLANDS LÄN</t>
        </is>
      </c>
      <c r="E1047" t="inlineStr">
        <is>
          <t>RAGUNDA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22981-2023</t>
        </is>
      </c>
      <c r="B1048" s="1" t="n">
        <v>45072.92737268518</v>
      </c>
      <c r="C1048" s="1" t="n">
        <v>45981</v>
      </c>
      <c r="D1048" t="inlineStr">
        <is>
          <t>JÄMTLANDS LÄN</t>
        </is>
      </c>
      <c r="E1048" t="inlineStr">
        <is>
          <t>RAGUNDA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32751-2025</t>
        </is>
      </c>
      <c r="B1049" s="1" t="n">
        <v>45839.42864583333</v>
      </c>
      <c r="C1049" s="1" t="n">
        <v>45981</v>
      </c>
      <c r="D1049" t="inlineStr">
        <is>
          <t>JÄMTLANDS LÄN</t>
        </is>
      </c>
      <c r="E1049" t="inlineStr">
        <is>
          <t>RAGUNDA</t>
        </is>
      </c>
      <c r="F1049" t="inlineStr">
        <is>
          <t>SCA</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44995.98341435185</v>
      </c>
      <c r="C1050" s="1" t="n">
        <v>45981</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26991-2023</t>
        </is>
      </c>
      <c r="B1051" s="1" t="n">
        <v>45093.92207175926</v>
      </c>
      <c r="C1051" s="1" t="n">
        <v>45981</v>
      </c>
      <c r="D1051" t="inlineStr">
        <is>
          <t>JÄMTLANDS LÄN</t>
        </is>
      </c>
      <c r="E1051" t="inlineStr">
        <is>
          <t>RAGUNDA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32777-2025</t>
        </is>
      </c>
      <c r="B1052" s="1" t="n">
        <v>45839.46915509259</v>
      </c>
      <c r="C1052" s="1" t="n">
        <v>45981</v>
      </c>
      <c r="D1052" t="inlineStr">
        <is>
          <t>JÄMTLANDS LÄN</t>
        </is>
      </c>
      <c r="E1052" t="inlineStr">
        <is>
          <t>RAGUNDA</t>
        </is>
      </c>
      <c r="F1052" t="inlineStr">
        <is>
          <t>SCA</t>
        </is>
      </c>
      <c r="G1052" t="n">
        <v>21.7</v>
      </c>
      <c r="H1052" t="n">
        <v>0</v>
      </c>
      <c r="I1052" t="n">
        <v>0</v>
      </c>
      <c r="J1052" t="n">
        <v>0</v>
      </c>
      <c r="K1052" t="n">
        <v>0</v>
      </c>
      <c r="L1052" t="n">
        <v>0</v>
      </c>
      <c r="M1052" t="n">
        <v>0</v>
      </c>
      <c r="N1052" t="n">
        <v>0</v>
      </c>
      <c r="O1052" t="n">
        <v>0</v>
      </c>
      <c r="P1052" t="n">
        <v>0</v>
      </c>
      <c r="Q1052" t="n">
        <v>0</v>
      </c>
      <c r="R1052" s="2" t="inlineStr"/>
    </row>
    <row r="1053" ht="15" customHeight="1">
      <c r="A1053" t="inlineStr">
        <is>
          <t>A 26942-2021</t>
        </is>
      </c>
      <c r="B1053" s="1" t="n">
        <v>44349.91978009259</v>
      </c>
      <c r="C1053" s="1" t="n">
        <v>45981</v>
      </c>
      <c r="D1053" t="inlineStr">
        <is>
          <t>JÄMTLANDS LÄN</t>
        </is>
      </c>
      <c r="E1053" t="inlineStr">
        <is>
          <t>RAGUNDA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32430-2025</t>
        </is>
      </c>
      <c r="B1054" s="1" t="n">
        <v>45838.36532407408</v>
      </c>
      <c r="C1054" s="1" t="n">
        <v>45981</v>
      </c>
      <c r="D1054" t="inlineStr">
        <is>
          <t>JÄMTLANDS LÄN</t>
        </is>
      </c>
      <c r="E1054" t="inlineStr">
        <is>
          <t>RAGUNDA</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13302-2022</t>
        </is>
      </c>
      <c r="B1055" s="1" t="n">
        <v>44644</v>
      </c>
      <c r="C1055" s="1" t="n">
        <v>45981</v>
      </c>
      <c r="D1055" t="inlineStr">
        <is>
          <t>JÄMTLANDS LÄN</t>
        </is>
      </c>
      <c r="E1055" t="inlineStr">
        <is>
          <t>RAGUNDA</t>
        </is>
      </c>
      <c r="F1055" t="inlineStr">
        <is>
          <t>SCA</t>
        </is>
      </c>
      <c r="G1055" t="n">
        <v>35.6</v>
      </c>
      <c r="H1055" t="n">
        <v>0</v>
      </c>
      <c r="I1055" t="n">
        <v>0</v>
      </c>
      <c r="J1055" t="n">
        <v>0</v>
      </c>
      <c r="K1055" t="n">
        <v>0</v>
      </c>
      <c r="L1055" t="n">
        <v>0</v>
      </c>
      <c r="M1055" t="n">
        <v>0</v>
      </c>
      <c r="N1055" t="n">
        <v>0</v>
      </c>
      <c r="O1055" t="n">
        <v>0</v>
      </c>
      <c r="P1055" t="n">
        <v>0</v>
      </c>
      <c r="Q1055" t="n">
        <v>0</v>
      </c>
      <c r="R1055" s="2" t="inlineStr"/>
    </row>
    <row r="1056" ht="15" customHeight="1">
      <c r="A1056" t="inlineStr">
        <is>
          <t>A 46546-2023</t>
        </is>
      </c>
      <c r="B1056" s="1" t="n">
        <v>45197.94152777778</v>
      </c>
      <c r="C1056" s="1" t="n">
        <v>45981</v>
      </c>
      <c r="D1056" t="inlineStr">
        <is>
          <t>JÄMTLANDS LÄN</t>
        </is>
      </c>
      <c r="E1056" t="inlineStr">
        <is>
          <t>RAGUNDA</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19865-2023</t>
        </is>
      </c>
      <c r="B1057" s="1" t="n">
        <v>45053.94305555556</v>
      </c>
      <c r="C1057" s="1" t="n">
        <v>45981</v>
      </c>
      <c r="D1057" t="inlineStr">
        <is>
          <t>JÄMTLANDS LÄN</t>
        </is>
      </c>
      <c r="E1057" t="inlineStr">
        <is>
          <t>RAGUNDA</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32747-2025</t>
        </is>
      </c>
      <c r="B1058" s="1" t="n">
        <v>45839.42810185185</v>
      </c>
      <c r="C1058" s="1" t="n">
        <v>45981</v>
      </c>
      <c r="D1058" t="inlineStr">
        <is>
          <t>JÄMTLANDS LÄN</t>
        </is>
      </c>
      <c r="E1058" t="inlineStr">
        <is>
          <t>RAGUNDA</t>
        </is>
      </c>
      <c r="F1058" t="inlineStr">
        <is>
          <t>SCA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32757-2025</t>
        </is>
      </c>
      <c r="B1059" s="1" t="n">
        <v>45838</v>
      </c>
      <c r="C1059" s="1" t="n">
        <v>45981</v>
      </c>
      <c r="D1059" t="inlineStr">
        <is>
          <t>JÄMTLANDS LÄN</t>
        </is>
      </c>
      <c r="E1059" t="inlineStr">
        <is>
          <t>RAGUNDA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26651-2024</t>
        </is>
      </c>
      <c r="B1060" s="1" t="n">
        <v>45469.94876157407</v>
      </c>
      <c r="C1060" s="1" t="n">
        <v>45981</v>
      </c>
      <c r="D1060" t="inlineStr">
        <is>
          <t>JÄMTLANDS LÄN</t>
        </is>
      </c>
      <c r="E1060" t="inlineStr">
        <is>
          <t>RAGUNDA</t>
        </is>
      </c>
      <c r="F1060" t="inlineStr">
        <is>
          <t>SCA</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40919-2024</t>
        </is>
      </c>
      <c r="B1061" s="1" t="n">
        <v>45558.63575231482</v>
      </c>
      <c r="C1061" s="1" t="n">
        <v>45981</v>
      </c>
      <c r="D1061" t="inlineStr">
        <is>
          <t>JÄMTLANDS LÄN</t>
        </is>
      </c>
      <c r="E1061" t="inlineStr">
        <is>
          <t>RAGUNDA</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3186-2025</t>
        </is>
      </c>
      <c r="B1062" s="1" t="n">
        <v>45679.40362268518</v>
      </c>
      <c r="C1062" s="1" t="n">
        <v>45981</v>
      </c>
      <c r="D1062" t="inlineStr">
        <is>
          <t>JÄMTLANDS LÄN</t>
        </is>
      </c>
      <c r="E1062" t="inlineStr">
        <is>
          <t>RAGUNDA</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32846-2025</t>
        </is>
      </c>
      <c r="B1063" s="1" t="n">
        <v>45839.57331018519</v>
      </c>
      <c r="C1063" s="1" t="n">
        <v>45981</v>
      </c>
      <c r="D1063" t="inlineStr">
        <is>
          <t>JÄMTLANDS LÄN</t>
        </is>
      </c>
      <c r="E1063" t="inlineStr">
        <is>
          <t>RAGUNDA</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465-2023</t>
        </is>
      </c>
      <c r="B1064" s="1" t="n">
        <v>44929</v>
      </c>
      <c r="C1064" s="1" t="n">
        <v>45981</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32748-2025</t>
        </is>
      </c>
      <c r="B1065" s="1" t="n">
        <v>45839.42822916667</v>
      </c>
      <c r="C1065" s="1" t="n">
        <v>45981</v>
      </c>
      <c r="D1065" t="inlineStr">
        <is>
          <t>JÄMTLANDS LÄN</t>
        </is>
      </c>
      <c r="E1065" t="inlineStr">
        <is>
          <t>RAGUNDA</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26455-2023</t>
        </is>
      </c>
      <c r="B1066" s="1" t="n">
        <v>45092</v>
      </c>
      <c r="C1066" s="1" t="n">
        <v>45981</v>
      </c>
      <c r="D1066" t="inlineStr">
        <is>
          <t>JÄMTLANDS LÄN</t>
        </is>
      </c>
      <c r="E1066" t="inlineStr">
        <is>
          <t>RAGUNDA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10639-2024</t>
        </is>
      </c>
      <c r="B1067" s="1" t="n">
        <v>45367.67256944445</v>
      </c>
      <c r="C1067" s="1" t="n">
        <v>45981</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32762-2025</t>
        </is>
      </c>
      <c r="B1068" s="1" t="n">
        <v>45838</v>
      </c>
      <c r="C1068" s="1" t="n">
        <v>45981</v>
      </c>
      <c r="D1068" t="inlineStr">
        <is>
          <t>JÄMTLANDS LÄN</t>
        </is>
      </c>
      <c r="E1068" t="inlineStr">
        <is>
          <t>RAGUNDA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2751-2024</t>
        </is>
      </c>
      <c r="B1069" s="1" t="n">
        <v>45314</v>
      </c>
      <c r="C1069" s="1" t="n">
        <v>45981</v>
      </c>
      <c r="D1069" t="inlineStr">
        <is>
          <t>JÄMTLANDS LÄN</t>
        </is>
      </c>
      <c r="E1069" t="inlineStr">
        <is>
          <t>RAGUNDA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32660-2025</t>
        </is>
      </c>
      <c r="B1070" s="1" t="n">
        <v>45838.67887731481</v>
      </c>
      <c r="C1070" s="1" t="n">
        <v>45981</v>
      </c>
      <c r="D1070" t="inlineStr">
        <is>
          <t>JÄMTLANDS LÄN</t>
        </is>
      </c>
      <c r="E1070" t="inlineStr">
        <is>
          <t>RAGUNDA</t>
        </is>
      </c>
      <c r="F1070" t="inlineStr">
        <is>
          <t>SCA</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36317-2024</t>
        </is>
      </c>
      <c r="B1071" s="1" t="n">
        <v>45534.63537037037</v>
      </c>
      <c r="C1071" s="1" t="n">
        <v>45981</v>
      </c>
      <c r="D1071" t="inlineStr">
        <is>
          <t>JÄMTLANDS LÄN</t>
        </is>
      </c>
      <c r="E1071" t="inlineStr">
        <is>
          <t>RAGUNDA</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18614-2024</t>
        </is>
      </c>
      <c r="B1072" s="1" t="n">
        <v>45425.96263888889</v>
      </c>
      <c r="C1072" s="1" t="n">
        <v>45981</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564-2025</t>
        </is>
      </c>
      <c r="B1073" s="1" t="n">
        <v>45664.55241898148</v>
      </c>
      <c r="C1073" s="1" t="n">
        <v>45981</v>
      </c>
      <c r="D1073" t="inlineStr">
        <is>
          <t>JÄMTLANDS LÄN</t>
        </is>
      </c>
      <c r="E1073" t="inlineStr">
        <is>
          <t>RAGUNDA</t>
        </is>
      </c>
      <c r="F1073" t="inlineStr">
        <is>
          <t>SCA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32527-2025</t>
        </is>
      </c>
      <c r="B1074" s="1" t="n">
        <v>45838.48996527777</v>
      </c>
      <c r="C1074" s="1" t="n">
        <v>45981</v>
      </c>
      <c r="D1074" t="inlineStr">
        <is>
          <t>JÄMTLANDS LÄN</t>
        </is>
      </c>
      <c r="E1074" t="inlineStr">
        <is>
          <t>RAGUNDA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50555-2024</t>
        </is>
      </c>
      <c r="B1075" s="1" t="n">
        <v>45601.59518518519</v>
      </c>
      <c r="C1075" s="1" t="n">
        <v>45981</v>
      </c>
      <c r="D1075" t="inlineStr">
        <is>
          <t>JÄMTLANDS LÄN</t>
        </is>
      </c>
      <c r="E1075" t="inlineStr">
        <is>
          <t>RAGUNDA</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8787-2022</t>
        </is>
      </c>
      <c r="B1076" s="1" t="n">
        <v>44614</v>
      </c>
      <c r="C1076" s="1" t="n">
        <v>45981</v>
      </c>
      <c r="D1076" t="inlineStr">
        <is>
          <t>JÄMTLANDS LÄN</t>
        </is>
      </c>
      <c r="E1076" t="inlineStr">
        <is>
          <t>RAGUNDA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5967-2021</t>
        </is>
      </c>
      <c r="B1077" s="1" t="n">
        <v>44231</v>
      </c>
      <c r="C1077" s="1" t="n">
        <v>45981</v>
      </c>
      <c r="D1077" t="inlineStr">
        <is>
          <t>JÄMTLANDS LÄN</t>
        </is>
      </c>
      <c r="E1077" t="inlineStr">
        <is>
          <t>RAGUNDA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59658-2023</t>
        </is>
      </c>
      <c r="B1078" s="1" t="n">
        <v>45254.96402777778</v>
      </c>
      <c r="C1078" s="1" t="n">
        <v>45981</v>
      </c>
      <c r="D1078" t="inlineStr">
        <is>
          <t>JÄMTLANDS LÄN</t>
        </is>
      </c>
      <c r="E1078" t="inlineStr">
        <is>
          <t>RAGUNDA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50431-2024</t>
        </is>
      </c>
      <c r="B1079" s="1" t="n">
        <v>45601.40686342592</v>
      </c>
      <c r="C1079" s="1" t="n">
        <v>45981</v>
      </c>
      <c r="D1079" t="inlineStr">
        <is>
          <t>JÄMTLANDS LÄN</t>
        </is>
      </c>
      <c r="E1079" t="inlineStr">
        <is>
          <t>RAGUNDA</t>
        </is>
      </c>
      <c r="F1079" t="inlineStr">
        <is>
          <t>SCA</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49649-2024</t>
        </is>
      </c>
      <c r="B1080" s="1" t="n">
        <v>45596.61553240741</v>
      </c>
      <c r="C1080" s="1" t="n">
        <v>45981</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60936-2024</t>
        </is>
      </c>
      <c r="B1081" s="1" t="n">
        <v>45645.36743055555</v>
      </c>
      <c r="C1081" s="1" t="n">
        <v>45981</v>
      </c>
      <c r="D1081" t="inlineStr">
        <is>
          <t>JÄMTLANDS LÄN</t>
        </is>
      </c>
      <c r="E1081" t="inlineStr">
        <is>
          <t>RAGUNDA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2831-2024</t>
        </is>
      </c>
      <c r="B1082" s="1" t="n">
        <v>45314.92758101852</v>
      </c>
      <c r="C1082" s="1" t="n">
        <v>45981</v>
      </c>
      <c r="D1082" t="inlineStr">
        <is>
          <t>JÄMTLANDS LÄN</t>
        </is>
      </c>
      <c r="E1082" t="inlineStr">
        <is>
          <t>RAGUNDA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4212-2024</t>
        </is>
      </c>
      <c r="B1083" s="1" t="n">
        <v>45324</v>
      </c>
      <c r="C1083" s="1" t="n">
        <v>45981</v>
      </c>
      <c r="D1083" t="inlineStr">
        <is>
          <t>JÄMTLANDS LÄN</t>
        </is>
      </c>
      <c r="E1083" t="inlineStr">
        <is>
          <t>RAGUNDA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33140-2025</t>
        </is>
      </c>
      <c r="B1084" s="1" t="n">
        <v>45840.52225694444</v>
      </c>
      <c r="C1084" s="1" t="n">
        <v>45981</v>
      </c>
      <c r="D1084" t="inlineStr">
        <is>
          <t>JÄMTLANDS LÄN</t>
        </is>
      </c>
      <c r="E1084" t="inlineStr">
        <is>
          <t>RAGUNDA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9262-2025</t>
        </is>
      </c>
      <c r="B1085" s="1" t="n">
        <v>45714.60649305556</v>
      </c>
      <c r="C1085" s="1" t="n">
        <v>45981</v>
      </c>
      <c r="D1085" t="inlineStr">
        <is>
          <t>JÄMTLANDS LÄN</t>
        </is>
      </c>
      <c r="E1085" t="inlineStr">
        <is>
          <t>RAGUNDA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53740-2024</t>
        </is>
      </c>
      <c r="B1086" s="1" t="n">
        <v>45615.47091435185</v>
      </c>
      <c r="C1086" s="1" t="n">
        <v>45981</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59372-2024</t>
        </is>
      </c>
      <c r="B1087" s="1" t="n">
        <v>45638.34431712963</v>
      </c>
      <c r="C1087" s="1" t="n">
        <v>45981</v>
      </c>
      <c r="D1087" t="inlineStr">
        <is>
          <t>JÄMTLANDS LÄN</t>
        </is>
      </c>
      <c r="E1087" t="inlineStr">
        <is>
          <t>RAGUNDA</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33556-2025</t>
        </is>
      </c>
      <c r="B1088" s="1" t="n">
        <v>45841.57427083333</v>
      </c>
      <c r="C1088" s="1" t="n">
        <v>45981</v>
      </c>
      <c r="D1088" t="inlineStr">
        <is>
          <t>JÄMTLANDS LÄN</t>
        </is>
      </c>
      <c r="E1088" t="inlineStr">
        <is>
          <t>RAGUNDA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60012-2023</t>
        </is>
      </c>
      <c r="B1089" s="1" t="n">
        <v>45257</v>
      </c>
      <c r="C1089" s="1" t="n">
        <v>45981</v>
      </c>
      <c r="D1089" t="inlineStr">
        <is>
          <t>JÄMTLANDS LÄN</t>
        </is>
      </c>
      <c r="E1089" t="inlineStr">
        <is>
          <t>RAGUNDA</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53676-2022</t>
        </is>
      </c>
      <c r="B1090" s="1" t="n">
        <v>44879</v>
      </c>
      <c r="C1090" s="1" t="n">
        <v>45981</v>
      </c>
      <c r="D1090" t="inlineStr">
        <is>
          <t>JÄMTLANDS LÄN</t>
        </is>
      </c>
      <c r="E1090" t="inlineStr">
        <is>
          <t>RAGUNDA</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12522-2023</t>
        </is>
      </c>
      <c r="B1091" s="1" t="n">
        <v>45000</v>
      </c>
      <c r="C1091" s="1" t="n">
        <v>45981</v>
      </c>
      <c r="D1091" t="inlineStr">
        <is>
          <t>JÄMTLANDS LÄN</t>
        </is>
      </c>
      <c r="E1091" t="inlineStr">
        <is>
          <t>RAGUNDA</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12523-2023</t>
        </is>
      </c>
      <c r="B1092" s="1" t="n">
        <v>45000</v>
      </c>
      <c r="C1092" s="1" t="n">
        <v>45981</v>
      </c>
      <c r="D1092" t="inlineStr">
        <is>
          <t>JÄMTLANDS LÄN</t>
        </is>
      </c>
      <c r="E1092" t="inlineStr">
        <is>
          <t>RAGUNDA</t>
        </is>
      </c>
      <c r="F1092" t="inlineStr">
        <is>
          <t>SCA</t>
        </is>
      </c>
      <c r="G1092" t="n">
        <v>14.3</v>
      </c>
      <c r="H1092" t="n">
        <v>0</v>
      </c>
      <c r="I1092" t="n">
        <v>0</v>
      </c>
      <c r="J1092" t="n">
        <v>0</v>
      </c>
      <c r="K1092" t="n">
        <v>0</v>
      </c>
      <c r="L1092" t="n">
        <v>0</v>
      </c>
      <c r="M1092" t="n">
        <v>0</v>
      </c>
      <c r="N1092" t="n">
        <v>0</v>
      </c>
      <c r="O1092" t="n">
        <v>0</v>
      </c>
      <c r="P1092" t="n">
        <v>0</v>
      </c>
      <c r="Q1092" t="n">
        <v>0</v>
      </c>
      <c r="R1092" s="2" t="inlineStr"/>
    </row>
    <row r="1093" ht="15" customHeight="1">
      <c r="A1093" t="inlineStr">
        <is>
          <t>A 24861-2023</t>
        </is>
      </c>
      <c r="B1093" s="1" t="n">
        <v>45078</v>
      </c>
      <c r="C1093" s="1" t="n">
        <v>45981</v>
      </c>
      <c r="D1093" t="inlineStr">
        <is>
          <t>JÄMTLANDS LÄN</t>
        </is>
      </c>
      <c r="E1093" t="inlineStr">
        <is>
          <t>RAGUNDA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56504-2024</t>
        </is>
      </c>
      <c r="B1094" s="1" t="n">
        <v>45625.51068287037</v>
      </c>
      <c r="C1094" s="1" t="n">
        <v>45981</v>
      </c>
      <c r="D1094" t="inlineStr">
        <is>
          <t>JÄMTLANDS LÄN</t>
        </is>
      </c>
      <c r="E1094" t="inlineStr">
        <is>
          <t>RAGUNDA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13905-2025</t>
        </is>
      </c>
      <c r="B1095" s="1" t="n">
        <v>45737.63574074074</v>
      </c>
      <c r="C1095" s="1" t="n">
        <v>45981</v>
      </c>
      <c r="D1095" t="inlineStr">
        <is>
          <t>JÄMTLANDS LÄN</t>
        </is>
      </c>
      <c r="E1095" t="inlineStr">
        <is>
          <t>RAGUNDA</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13941-2025</t>
        </is>
      </c>
      <c r="B1096" s="1" t="n">
        <v>45737.69822916666</v>
      </c>
      <c r="C1096" s="1" t="n">
        <v>45981</v>
      </c>
      <c r="D1096" t="inlineStr">
        <is>
          <t>JÄMTLANDS LÄN</t>
        </is>
      </c>
      <c r="E1096" t="inlineStr">
        <is>
          <t>RAGUNDA</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50160-2023</t>
        </is>
      </c>
      <c r="B1097" s="1" t="n">
        <v>45208</v>
      </c>
      <c r="C1097" s="1" t="n">
        <v>45981</v>
      </c>
      <c r="D1097" t="inlineStr">
        <is>
          <t>JÄMTLANDS LÄN</t>
        </is>
      </c>
      <c r="E1097" t="inlineStr">
        <is>
          <t>RAGUNDA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934-2023</t>
        </is>
      </c>
      <c r="B1098" s="1" t="n">
        <v>44932.93927083333</v>
      </c>
      <c r="C1098" s="1" t="n">
        <v>45981</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36106-2022</t>
        </is>
      </c>
      <c r="B1099" s="1" t="n">
        <v>44802.94811342593</v>
      </c>
      <c r="C1099" s="1" t="n">
        <v>45981</v>
      </c>
      <c r="D1099" t="inlineStr">
        <is>
          <t>JÄMTLANDS LÄN</t>
        </is>
      </c>
      <c r="E1099" t="inlineStr">
        <is>
          <t>RAGUNDA</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57839-2022</t>
        </is>
      </c>
      <c r="B1100" s="1" t="n">
        <v>44897</v>
      </c>
      <c r="C1100" s="1" t="n">
        <v>45981</v>
      </c>
      <c r="D1100" t="inlineStr">
        <is>
          <t>JÄMTLANDS LÄN</t>
        </is>
      </c>
      <c r="E1100" t="inlineStr">
        <is>
          <t>RAGUNDA</t>
        </is>
      </c>
      <c r="F1100" t="inlineStr">
        <is>
          <t>SCA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41693-2023</t>
        </is>
      </c>
      <c r="B1101" s="1" t="n">
        <v>45176</v>
      </c>
      <c r="C1101" s="1" t="n">
        <v>45981</v>
      </c>
      <c r="D1101" t="inlineStr">
        <is>
          <t>JÄMTLANDS LÄN</t>
        </is>
      </c>
      <c r="E1101" t="inlineStr">
        <is>
          <t>RAGUNDA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53678-2022</t>
        </is>
      </c>
      <c r="B1102" s="1" t="n">
        <v>44879.95768518518</v>
      </c>
      <c r="C1102" s="1" t="n">
        <v>45981</v>
      </c>
      <c r="D1102" t="inlineStr">
        <is>
          <t>JÄMTLANDS LÄN</t>
        </is>
      </c>
      <c r="E1102" t="inlineStr">
        <is>
          <t>RAGUNDA</t>
        </is>
      </c>
      <c r="F1102" t="inlineStr">
        <is>
          <t>Sveaskog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33790-2025</t>
        </is>
      </c>
      <c r="B1103" s="1" t="n">
        <v>45842.42608796297</v>
      </c>
      <c r="C1103" s="1" t="n">
        <v>45981</v>
      </c>
      <c r="D1103" t="inlineStr">
        <is>
          <t>JÄMTLANDS LÄN</t>
        </is>
      </c>
      <c r="E1103" t="inlineStr">
        <is>
          <t>RAGUNDA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34607-2025</t>
        </is>
      </c>
      <c r="B1104" s="1" t="n">
        <v>45847.65703703704</v>
      </c>
      <c r="C1104" s="1" t="n">
        <v>45981</v>
      </c>
      <c r="D1104" t="inlineStr">
        <is>
          <t>JÄMTLANDS LÄN</t>
        </is>
      </c>
      <c r="E1104" t="inlineStr">
        <is>
          <t>RAGUNDA</t>
        </is>
      </c>
      <c r="F1104" t="inlineStr">
        <is>
          <t>SCA</t>
        </is>
      </c>
      <c r="G1104" t="n">
        <v>31.4</v>
      </c>
      <c r="H1104" t="n">
        <v>0</v>
      </c>
      <c r="I1104" t="n">
        <v>0</v>
      </c>
      <c r="J1104" t="n">
        <v>0</v>
      </c>
      <c r="K1104" t="n">
        <v>0</v>
      </c>
      <c r="L1104" t="n">
        <v>0</v>
      </c>
      <c r="M1104" t="n">
        <v>0</v>
      </c>
      <c r="N1104" t="n">
        <v>0</v>
      </c>
      <c r="O1104" t="n">
        <v>0</v>
      </c>
      <c r="P1104" t="n">
        <v>0</v>
      </c>
      <c r="Q1104" t="n">
        <v>0</v>
      </c>
      <c r="R1104" s="2" t="inlineStr"/>
    </row>
    <row r="1105" ht="15" customHeight="1">
      <c r="A1105" t="inlineStr">
        <is>
          <t>A 34461-2025</t>
        </is>
      </c>
      <c r="B1105" s="1" t="n">
        <v>45847.34474537037</v>
      </c>
      <c r="C1105" s="1" t="n">
        <v>45981</v>
      </c>
      <c r="D1105" t="inlineStr">
        <is>
          <t>JÄMTLANDS LÄN</t>
        </is>
      </c>
      <c r="E1105" t="inlineStr">
        <is>
          <t>RAGUNDA</t>
        </is>
      </c>
      <c r="F1105" t="inlineStr">
        <is>
          <t>SCA</t>
        </is>
      </c>
      <c r="G1105" t="n">
        <v>44.8</v>
      </c>
      <c r="H1105" t="n">
        <v>0</v>
      </c>
      <c r="I1105" t="n">
        <v>0</v>
      </c>
      <c r="J1105" t="n">
        <v>0</v>
      </c>
      <c r="K1105" t="n">
        <v>0</v>
      </c>
      <c r="L1105" t="n">
        <v>0</v>
      </c>
      <c r="M1105" t="n">
        <v>0</v>
      </c>
      <c r="N1105" t="n">
        <v>0</v>
      </c>
      <c r="O1105" t="n">
        <v>0</v>
      </c>
      <c r="P1105" t="n">
        <v>0</v>
      </c>
      <c r="Q1105" t="n">
        <v>0</v>
      </c>
      <c r="R1105" s="2" t="inlineStr"/>
    </row>
    <row r="1106" ht="15" customHeight="1">
      <c r="A1106" t="inlineStr">
        <is>
          <t>A 34464-2025</t>
        </is>
      </c>
      <c r="B1106" s="1" t="n">
        <v>45847.34528935186</v>
      </c>
      <c r="C1106" s="1" t="n">
        <v>45981</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34468-2025</t>
        </is>
      </c>
      <c r="B1107" s="1" t="n">
        <v>45847.34597222223</v>
      </c>
      <c r="C1107" s="1" t="n">
        <v>45981</v>
      </c>
      <c r="D1107" t="inlineStr">
        <is>
          <t>JÄMTLANDS LÄN</t>
        </is>
      </c>
      <c r="E1107" t="inlineStr">
        <is>
          <t>RAGUNDA</t>
        </is>
      </c>
      <c r="F1107" t="inlineStr">
        <is>
          <t>SCA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34466-2025</t>
        </is>
      </c>
      <c r="B1108" s="1" t="n">
        <v>45847.34565972222</v>
      </c>
      <c r="C1108" s="1" t="n">
        <v>45981</v>
      </c>
      <c r="D1108" t="inlineStr">
        <is>
          <t>JÄMTLANDS LÄN</t>
        </is>
      </c>
      <c r="E1108" t="inlineStr">
        <is>
          <t>RAGUNDA</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34463-2025</t>
        </is>
      </c>
      <c r="B1109" s="1" t="n">
        <v>45847.34515046296</v>
      </c>
      <c r="C1109" s="1" t="n">
        <v>45981</v>
      </c>
      <c r="D1109" t="inlineStr">
        <is>
          <t>JÄMTLANDS LÄN</t>
        </is>
      </c>
      <c r="E1109" t="inlineStr">
        <is>
          <t>RAGUNDA</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45075.94506944445</v>
      </c>
      <c r="C1110" s="1" t="n">
        <v>45981</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18194-2025</t>
        </is>
      </c>
      <c r="B1111" s="1" t="n">
        <v>45761.67744212963</v>
      </c>
      <c r="C1111" s="1" t="n">
        <v>45981</v>
      </c>
      <c r="D1111" t="inlineStr">
        <is>
          <t>JÄMTLANDS LÄN</t>
        </is>
      </c>
      <c r="E1111" t="inlineStr">
        <is>
          <t>RAGUNDA</t>
        </is>
      </c>
      <c r="F1111" t="inlineStr">
        <is>
          <t>SCA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18225-2024</t>
        </is>
      </c>
      <c r="B1112" s="1" t="n">
        <v>45420</v>
      </c>
      <c r="C1112" s="1" t="n">
        <v>45981</v>
      </c>
      <c r="D1112" t="inlineStr">
        <is>
          <t>JÄMTLANDS LÄN</t>
        </is>
      </c>
      <c r="E1112" t="inlineStr">
        <is>
          <t>RAGUNDA</t>
        </is>
      </c>
      <c r="F1112" t="inlineStr">
        <is>
          <t>SCA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34586-2025</t>
        </is>
      </c>
      <c r="B1113" s="1" t="n">
        <v>45847.61513888889</v>
      </c>
      <c r="C1113" s="1" t="n">
        <v>45981</v>
      </c>
      <c r="D1113" t="inlineStr">
        <is>
          <t>JÄMTLANDS LÄN</t>
        </is>
      </c>
      <c r="E1113" t="inlineStr">
        <is>
          <t>RAGUNDA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54764-2024</t>
        </is>
      </c>
      <c r="B1114" s="1" t="n">
        <v>45618.46921296296</v>
      </c>
      <c r="C1114" s="1" t="n">
        <v>45981</v>
      </c>
      <c r="D1114" t="inlineStr">
        <is>
          <t>JÄMTLANDS LÄN</t>
        </is>
      </c>
      <c r="E1114" t="inlineStr">
        <is>
          <t>RAGUNDA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34588-2025</t>
        </is>
      </c>
      <c r="B1115" s="1" t="n">
        <v>45847.61548611111</v>
      </c>
      <c r="C1115" s="1" t="n">
        <v>45981</v>
      </c>
      <c r="D1115" t="inlineStr">
        <is>
          <t>JÄMTLANDS LÄN</t>
        </is>
      </c>
      <c r="E1115" t="inlineStr">
        <is>
          <t>RAGUNDA</t>
        </is>
      </c>
      <c r="G1115" t="n">
        <v>32.3</v>
      </c>
      <c r="H1115" t="n">
        <v>0</v>
      </c>
      <c r="I1115" t="n">
        <v>0</v>
      </c>
      <c r="J1115" t="n">
        <v>0</v>
      </c>
      <c r="K1115" t="n">
        <v>0</v>
      </c>
      <c r="L1115" t="n">
        <v>0</v>
      </c>
      <c r="M1115" t="n">
        <v>0</v>
      </c>
      <c r="N1115" t="n">
        <v>0</v>
      </c>
      <c r="O1115" t="n">
        <v>0</v>
      </c>
      <c r="P1115" t="n">
        <v>0</v>
      </c>
      <c r="Q1115" t="n">
        <v>0</v>
      </c>
      <c r="R1115" s="2" t="inlineStr"/>
    </row>
    <row r="1116" ht="15" customHeight="1">
      <c r="A1116" t="inlineStr">
        <is>
          <t>A 34296-2025</t>
        </is>
      </c>
      <c r="B1116" s="1" t="n">
        <v>45846.34454861111</v>
      </c>
      <c r="C1116" s="1" t="n">
        <v>45981</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32904-2024</t>
        </is>
      </c>
      <c r="B1117" s="1" t="n">
        <v>45516.94732638889</v>
      </c>
      <c r="C1117" s="1" t="n">
        <v>45981</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34709-2025</t>
        </is>
      </c>
      <c r="B1118" s="1" t="n">
        <v>45848.49761574074</v>
      </c>
      <c r="C1118" s="1" t="n">
        <v>45981</v>
      </c>
      <c r="D1118" t="inlineStr">
        <is>
          <t>JÄMTLANDS LÄN</t>
        </is>
      </c>
      <c r="E1118" t="inlineStr">
        <is>
          <t>RAGUNDA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34772-2025</t>
        </is>
      </c>
      <c r="B1119" s="1" t="n">
        <v>45848.65658564815</v>
      </c>
      <c r="C1119" s="1" t="n">
        <v>45981</v>
      </c>
      <c r="D1119" t="inlineStr">
        <is>
          <t>JÄMTLANDS LÄN</t>
        </is>
      </c>
      <c r="E1119" t="inlineStr">
        <is>
          <t>RAGUNDA</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12976-2025</t>
        </is>
      </c>
      <c r="B1120" s="1" t="n">
        <v>45734.45268518518</v>
      </c>
      <c r="C1120" s="1" t="n">
        <v>45981</v>
      </c>
      <c r="D1120" t="inlineStr">
        <is>
          <t>JÄMTLANDS LÄN</t>
        </is>
      </c>
      <c r="E1120" t="inlineStr">
        <is>
          <t>RAGUNDA</t>
        </is>
      </c>
      <c r="G1120" t="n">
        <v>24.2</v>
      </c>
      <c r="H1120" t="n">
        <v>0</v>
      </c>
      <c r="I1120" t="n">
        <v>0</v>
      </c>
      <c r="J1120" t="n">
        <v>0</v>
      </c>
      <c r="K1120" t="n">
        <v>0</v>
      </c>
      <c r="L1120" t="n">
        <v>0</v>
      </c>
      <c r="M1120" t="n">
        <v>0</v>
      </c>
      <c r="N1120" t="n">
        <v>0</v>
      </c>
      <c r="O1120" t="n">
        <v>0</v>
      </c>
      <c r="P1120" t="n">
        <v>0</v>
      </c>
      <c r="Q1120" t="n">
        <v>0</v>
      </c>
      <c r="R1120" s="2" t="inlineStr"/>
    </row>
    <row r="1121" ht="15" customHeight="1">
      <c r="A1121" t="inlineStr">
        <is>
          <t>A 59286-2023</t>
        </is>
      </c>
      <c r="B1121" s="1" t="n">
        <v>45253</v>
      </c>
      <c r="C1121" s="1" t="n">
        <v>45981</v>
      </c>
      <c r="D1121" t="inlineStr">
        <is>
          <t>JÄMTLANDS LÄN</t>
        </is>
      </c>
      <c r="E1121" t="inlineStr">
        <is>
          <t>RAGUNDA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15672-2021</t>
        </is>
      </c>
      <c r="B1122" s="1" t="n">
        <v>44286</v>
      </c>
      <c r="C1122" s="1" t="n">
        <v>45981</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6688-2024</t>
        </is>
      </c>
      <c r="B1123" s="1" t="n">
        <v>45341</v>
      </c>
      <c r="C1123" s="1" t="n">
        <v>45981</v>
      </c>
      <c r="D1123" t="inlineStr">
        <is>
          <t>JÄMTLANDS LÄN</t>
        </is>
      </c>
      <c r="E1123" t="inlineStr">
        <is>
          <t>RAGUNDA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34710-2025</t>
        </is>
      </c>
      <c r="B1124" s="1" t="n">
        <v>45848.49774305556</v>
      </c>
      <c r="C1124" s="1" t="n">
        <v>45981</v>
      </c>
      <c r="D1124" t="inlineStr">
        <is>
          <t>JÄMTLANDS LÄN</t>
        </is>
      </c>
      <c r="E1124" t="inlineStr">
        <is>
          <t>RAGUNDA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34968-2025</t>
        </is>
      </c>
      <c r="B1125" s="1" t="n">
        <v>45849.65663194445</v>
      </c>
      <c r="C1125" s="1" t="n">
        <v>45981</v>
      </c>
      <c r="D1125" t="inlineStr">
        <is>
          <t>JÄMTLANDS LÄN</t>
        </is>
      </c>
      <c r="E1125" t="inlineStr">
        <is>
          <t>RAGUNDA</t>
        </is>
      </c>
      <c r="F1125" t="inlineStr">
        <is>
          <t>SCA</t>
        </is>
      </c>
      <c r="G1125" t="n">
        <v>20.2</v>
      </c>
      <c r="H1125" t="n">
        <v>0</v>
      </c>
      <c r="I1125" t="n">
        <v>0</v>
      </c>
      <c r="J1125" t="n">
        <v>0</v>
      </c>
      <c r="K1125" t="n">
        <v>0</v>
      </c>
      <c r="L1125" t="n">
        <v>0</v>
      </c>
      <c r="M1125" t="n">
        <v>0</v>
      </c>
      <c r="N1125" t="n">
        <v>0</v>
      </c>
      <c r="O1125" t="n">
        <v>0</v>
      </c>
      <c r="P1125" t="n">
        <v>0</v>
      </c>
      <c r="Q1125" t="n">
        <v>0</v>
      </c>
      <c r="R1125" s="2" t="inlineStr"/>
    </row>
    <row r="1126" ht="15" customHeight="1">
      <c r="A1126" t="inlineStr">
        <is>
          <t>A 50650-2023</t>
        </is>
      </c>
      <c r="B1126" s="1" t="n">
        <v>45210</v>
      </c>
      <c r="C1126" s="1" t="n">
        <v>45981</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41344-2024</t>
        </is>
      </c>
      <c r="B1127" s="1" t="n">
        <v>45559.67759259259</v>
      </c>
      <c r="C1127" s="1" t="n">
        <v>45981</v>
      </c>
      <c r="D1127" t="inlineStr">
        <is>
          <t>JÄMTLANDS LÄN</t>
        </is>
      </c>
      <c r="E1127" t="inlineStr">
        <is>
          <t>RAGUNDA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34998-2025</t>
        </is>
      </c>
      <c r="B1128" s="1" t="n">
        <v>45850.34434027778</v>
      </c>
      <c r="C1128" s="1" t="n">
        <v>45981</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34999-2025</t>
        </is>
      </c>
      <c r="B1129" s="1" t="n">
        <v>45850.34450231482</v>
      </c>
      <c r="C1129" s="1" t="n">
        <v>45981</v>
      </c>
      <c r="D1129" t="inlineStr">
        <is>
          <t>JÄMTLANDS LÄN</t>
        </is>
      </c>
      <c r="E1129" t="inlineStr">
        <is>
          <t>RAGUNDA</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59670-2023</t>
        </is>
      </c>
      <c r="B1130" s="1" t="n">
        <v>45254.96516203704</v>
      </c>
      <c r="C1130" s="1" t="n">
        <v>45981</v>
      </c>
      <c r="D1130" t="inlineStr">
        <is>
          <t>JÄMTLANDS LÄN</t>
        </is>
      </c>
      <c r="E1130" t="inlineStr">
        <is>
          <t>RAGUNDA</t>
        </is>
      </c>
      <c r="F1130" t="inlineStr">
        <is>
          <t>SCA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35092-2025</t>
        </is>
      </c>
      <c r="B1131" s="1" t="n">
        <v>45852.53185185185</v>
      </c>
      <c r="C1131" s="1" t="n">
        <v>45981</v>
      </c>
      <c r="D1131" t="inlineStr">
        <is>
          <t>JÄMTLANDS LÄN</t>
        </is>
      </c>
      <c r="E1131" t="inlineStr">
        <is>
          <t>RAGUNDA</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35091-2025</t>
        </is>
      </c>
      <c r="B1132" s="1" t="n">
        <v>45852.53168981482</v>
      </c>
      <c r="C1132" s="1" t="n">
        <v>45981</v>
      </c>
      <c r="D1132" t="inlineStr">
        <is>
          <t>JÄMTLANDS LÄN</t>
        </is>
      </c>
      <c r="E1132" t="inlineStr">
        <is>
          <t>RAGUNDA</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55508-2024</t>
        </is>
      </c>
      <c r="B1133" s="1" t="n">
        <v>45622.46200231482</v>
      </c>
      <c r="C1133" s="1" t="n">
        <v>45981</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35462-2025</t>
        </is>
      </c>
      <c r="B1134" s="1" t="n">
        <v>45855.61523148148</v>
      </c>
      <c r="C1134" s="1" t="n">
        <v>45981</v>
      </c>
      <c r="D1134" t="inlineStr">
        <is>
          <t>JÄMTLANDS LÄN</t>
        </is>
      </c>
      <c r="E1134" t="inlineStr">
        <is>
          <t>RAGUNDA</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35355-2025</t>
        </is>
      </c>
      <c r="B1135" s="1" t="n">
        <v>45854.65663194445</v>
      </c>
      <c r="C1135" s="1" t="n">
        <v>45981</v>
      </c>
      <c r="D1135" t="inlineStr">
        <is>
          <t>JÄMTLANDS LÄN</t>
        </is>
      </c>
      <c r="E1135" t="inlineStr">
        <is>
          <t>RAGUNDA</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35477-2025</t>
        </is>
      </c>
      <c r="B1136" s="1" t="n">
        <v>45855.67899305555</v>
      </c>
      <c r="C1136" s="1" t="n">
        <v>45981</v>
      </c>
      <c r="D1136" t="inlineStr">
        <is>
          <t>JÄMTLANDS LÄN</t>
        </is>
      </c>
      <c r="E1136" t="inlineStr">
        <is>
          <t>RAGUNDA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59492-2024</t>
        </is>
      </c>
      <c r="B1137" s="1" t="n">
        <v>45638</v>
      </c>
      <c r="C1137" s="1" t="n">
        <v>45981</v>
      </c>
      <c r="D1137" t="inlineStr">
        <is>
          <t>JÄMTLANDS LÄN</t>
        </is>
      </c>
      <c r="E1137" t="inlineStr">
        <is>
          <t>RAGUNDA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20772-2024</t>
        </is>
      </c>
      <c r="B1138" s="1" t="n">
        <v>45436.94628472222</v>
      </c>
      <c r="C1138" s="1" t="n">
        <v>45981</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53757-2024</t>
        </is>
      </c>
      <c r="B1139" s="1" t="n">
        <v>45615.50034722222</v>
      </c>
      <c r="C1139" s="1" t="n">
        <v>45981</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35541-2025</t>
        </is>
      </c>
      <c r="B1140" s="1" t="n">
        <v>45856.46931712963</v>
      </c>
      <c r="C1140" s="1" t="n">
        <v>45981</v>
      </c>
      <c r="D1140" t="inlineStr">
        <is>
          <t>JÄMTLANDS LÄN</t>
        </is>
      </c>
      <c r="E1140" t="inlineStr">
        <is>
          <t>RAGUNDA</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6716-2025</t>
        </is>
      </c>
      <c r="B1141" s="1" t="n">
        <v>45700.57324074074</v>
      </c>
      <c r="C1141" s="1" t="n">
        <v>45981</v>
      </c>
      <c r="D1141" t="inlineStr">
        <is>
          <t>JÄMTLANDS LÄN</t>
        </is>
      </c>
      <c r="E1141" t="inlineStr">
        <is>
          <t>RAGUNDA</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35658-2025</t>
        </is>
      </c>
      <c r="B1142" s="1" t="n">
        <v>45859.594375</v>
      </c>
      <c r="C1142" s="1" t="n">
        <v>45981</v>
      </c>
      <c r="D1142" t="inlineStr">
        <is>
          <t>JÄMTLANDS LÄN</t>
        </is>
      </c>
      <c r="E1142" t="inlineStr">
        <is>
          <t>RAGUNDA</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19866-2023</t>
        </is>
      </c>
      <c r="B1143" s="1" t="n">
        <v>45053.94313657407</v>
      </c>
      <c r="C1143" s="1" t="n">
        <v>45981</v>
      </c>
      <c r="D1143" t="inlineStr">
        <is>
          <t>JÄMTLANDS LÄN</t>
        </is>
      </c>
      <c r="E1143" t="inlineStr">
        <is>
          <t>RAGUNDA</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21853-2024</t>
        </is>
      </c>
      <c r="B1144" s="1" t="n">
        <v>45442.96296296296</v>
      </c>
      <c r="C1144" s="1" t="n">
        <v>45981</v>
      </c>
      <c r="D1144" t="inlineStr">
        <is>
          <t>JÄMTLANDS LÄN</t>
        </is>
      </c>
      <c r="E1144" t="inlineStr">
        <is>
          <t>RAGUNDA</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35689-2025</t>
        </is>
      </c>
      <c r="B1145" s="1" t="n">
        <v>45860.30229166667</v>
      </c>
      <c r="C1145" s="1" t="n">
        <v>45981</v>
      </c>
      <c r="D1145" t="inlineStr">
        <is>
          <t>JÄMTLANDS LÄN</t>
        </is>
      </c>
      <c r="E1145" t="inlineStr">
        <is>
          <t>RAGUNDA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8241-2024</t>
        </is>
      </c>
      <c r="B1146" s="1" t="n">
        <v>45351.98496527778</v>
      </c>
      <c r="C1146" s="1" t="n">
        <v>45981</v>
      </c>
      <c r="D1146" t="inlineStr">
        <is>
          <t>JÄMTLANDS LÄN</t>
        </is>
      </c>
      <c r="E1146" t="inlineStr">
        <is>
          <t>RAGUNDA</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40365-2024</t>
        </is>
      </c>
      <c r="B1147" s="1" t="n">
        <v>45555.38509259259</v>
      </c>
      <c r="C1147" s="1" t="n">
        <v>45981</v>
      </c>
      <c r="D1147" t="inlineStr">
        <is>
          <t>JÄMTLANDS LÄN</t>
        </is>
      </c>
      <c r="E1147" t="inlineStr">
        <is>
          <t>RAGUNDA</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20770-2024</t>
        </is>
      </c>
      <c r="B1148" s="1" t="n">
        <v>45436.94613425926</v>
      </c>
      <c r="C1148" s="1" t="n">
        <v>45981</v>
      </c>
      <c r="D1148" t="inlineStr">
        <is>
          <t>JÄMTLANDS LÄN</t>
        </is>
      </c>
      <c r="E1148" t="inlineStr">
        <is>
          <t>RAGUNDA</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21401-2024</t>
        </is>
      </c>
      <c r="B1149" s="1" t="n">
        <v>45441.33313657407</v>
      </c>
      <c r="C1149" s="1" t="n">
        <v>45981</v>
      </c>
      <c r="D1149" t="inlineStr">
        <is>
          <t>JÄMTLANDS LÄN</t>
        </is>
      </c>
      <c r="E1149" t="inlineStr">
        <is>
          <t>RAGUNDA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54092-2024</t>
        </is>
      </c>
      <c r="B1150" s="1" t="n">
        <v>45616.5108912037</v>
      </c>
      <c r="C1150" s="1" t="n">
        <v>45981</v>
      </c>
      <c r="D1150" t="inlineStr">
        <is>
          <t>JÄMTLANDS LÄN</t>
        </is>
      </c>
      <c r="E1150" t="inlineStr">
        <is>
          <t>RAGUNDA</t>
        </is>
      </c>
      <c r="F1150" t="inlineStr">
        <is>
          <t>Naturvårdsverket</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7281-2024</t>
        </is>
      </c>
      <c r="B1151" s="1" t="n">
        <v>45344</v>
      </c>
      <c r="C1151" s="1" t="n">
        <v>45981</v>
      </c>
      <c r="D1151" t="inlineStr">
        <is>
          <t>JÄMTLANDS LÄN</t>
        </is>
      </c>
      <c r="E1151" t="inlineStr">
        <is>
          <t>RAGUNDA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7284-2024</t>
        </is>
      </c>
      <c r="B1152" s="1" t="n">
        <v>45344.92865740741</v>
      </c>
      <c r="C1152" s="1" t="n">
        <v>45981</v>
      </c>
      <c r="D1152" t="inlineStr">
        <is>
          <t>JÄMTLANDS LÄN</t>
        </is>
      </c>
      <c r="E1152" t="inlineStr">
        <is>
          <t>RAGUNDA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7285-2024</t>
        </is>
      </c>
      <c r="B1153" s="1" t="n">
        <v>45344.92873842592</v>
      </c>
      <c r="C1153" s="1" t="n">
        <v>45981</v>
      </c>
      <c r="D1153" t="inlineStr">
        <is>
          <t>JÄMTLANDS LÄN</t>
        </is>
      </c>
      <c r="E1153" t="inlineStr">
        <is>
          <t>RAGUNDA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36541-2025</t>
        </is>
      </c>
      <c r="B1154" s="1" t="n">
        <v>45869.65666666667</v>
      </c>
      <c r="C1154" s="1" t="n">
        <v>45981</v>
      </c>
      <c r="D1154" t="inlineStr">
        <is>
          <t>JÄMTLANDS LÄN</t>
        </is>
      </c>
      <c r="E1154" t="inlineStr">
        <is>
          <t>RAGUNDA</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36544-2025</t>
        </is>
      </c>
      <c r="B1155" s="1" t="n">
        <v>45869.67744212963</v>
      </c>
      <c r="C1155" s="1" t="n">
        <v>45981</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36553-2025</t>
        </is>
      </c>
      <c r="B1156" s="1" t="n">
        <v>45870.34439814815</v>
      </c>
      <c r="C1156" s="1" t="n">
        <v>45981</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53347-2023</t>
        </is>
      </c>
      <c r="B1157" s="1" t="n">
        <v>45223</v>
      </c>
      <c r="C1157" s="1" t="n">
        <v>45981</v>
      </c>
      <c r="D1157" t="inlineStr">
        <is>
          <t>JÄMTLANDS LÄN</t>
        </is>
      </c>
      <c r="E1157" t="inlineStr">
        <is>
          <t>RAGUNDA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32075-2025</t>
        </is>
      </c>
      <c r="B1158" s="1" t="n">
        <v>45835.4506712963</v>
      </c>
      <c r="C1158" s="1" t="n">
        <v>45981</v>
      </c>
      <c r="D1158" t="inlineStr">
        <is>
          <t>JÄMTLANDS LÄN</t>
        </is>
      </c>
      <c r="E1158" t="inlineStr">
        <is>
          <t>RAGUNDA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60838-2023</t>
        </is>
      </c>
      <c r="B1159" s="1" t="n">
        <v>45260.92561342593</v>
      </c>
      <c r="C1159" s="1" t="n">
        <v>45981</v>
      </c>
      <c r="D1159" t="inlineStr">
        <is>
          <t>JÄMTLANDS LÄN</t>
        </is>
      </c>
      <c r="E1159" t="inlineStr">
        <is>
          <t>RAGUNDA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32874-2025</t>
        </is>
      </c>
      <c r="B1160" s="1" t="n">
        <v>45839</v>
      </c>
      <c r="C1160" s="1" t="n">
        <v>45981</v>
      </c>
      <c r="D1160" t="inlineStr">
        <is>
          <t>JÄMTLANDS LÄN</t>
        </is>
      </c>
      <c r="E1160" t="inlineStr">
        <is>
          <t>RAGUNDA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36994-2025</t>
        </is>
      </c>
      <c r="B1161" s="1" t="n">
        <v>45874.67746527777</v>
      </c>
      <c r="C1161" s="1" t="n">
        <v>45981</v>
      </c>
      <c r="D1161" t="inlineStr">
        <is>
          <t>JÄMTLANDS LÄN</t>
        </is>
      </c>
      <c r="E1161" t="inlineStr">
        <is>
          <t>RAGUNDA</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9548-2025</t>
        </is>
      </c>
      <c r="B1162" s="1" t="n">
        <v>45715.59405092592</v>
      </c>
      <c r="C1162" s="1" t="n">
        <v>45981</v>
      </c>
      <c r="D1162" t="inlineStr">
        <is>
          <t>JÄMTLANDS LÄN</t>
        </is>
      </c>
      <c r="E1162" t="inlineStr">
        <is>
          <t>RAGUNDA</t>
        </is>
      </c>
      <c r="F1162" t="inlineStr">
        <is>
          <t>SCA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53989-2024</t>
        </is>
      </c>
      <c r="B1163" s="1" t="n">
        <v>45616.34479166667</v>
      </c>
      <c r="C1163" s="1" t="n">
        <v>45981</v>
      </c>
      <c r="D1163" t="inlineStr">
        <is>
          <t>JÄMTLANDS LÄN</t>
        </is>
      </c>
      <c r="E1163" t="inlineStr">
        <is>
          <t>RAGUNDA</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37008-2025</t>
        </is>
      </c>
      <c r="B1164" s="1" t="n">
        <v>45874.69844907407</v>
      </c>
      <c r="C1164" s="1" t="n">
        <v>45981</v>
      </c>
      <c r="D1164" t="inlineStr">
        <is>
          <t>JÄMTLANDS LÄN</t>
        </is>
      </c>
      <c r="E1164" t="inlineStr">
        <is>
          <t>RAGUNDA</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36947-2025</t>
        </is>
      </c>
      <c r="B1165" s="1" t="n">
        <v>45874.59496527778</v>
      </c>
      <c r="C1165" s="1" t="n">
        <v>45981</v>
      </c>
      <c r="D1165" t="inlineStr">
        <is>
          <t>JÄMTLANDS LÄN</t>
        </is>
      </c>
      <c r="E1165" t="inlineStr">
        <is>
          <t>RAGUNDA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15581-2024</t>
        </is>
      </c>
      <c r="B1166" s="1" t="n">
        <v>45401</v>
      </c>
      <c r="C1166" s="1" t="n">
        <v>45981</v>
      </c>
      <c r="D1166" t="inlineStr">
        <is>
          <t>JÄMTLANDS LÄN</t>
        </is>
      </c>
      <c r="E1166" t="inlineStr">
        <is>
          <t>RAGUNDA</t>
        </is>
      </c>
      <c r="F1166" t="inlineStr">
        <is>
          <t>Kommuner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15611-2024</t>
        </is>
      </c>
      <c r="B1167" s="1" t="n">
        <v>45401</v>
      </c>
      <c r="C1167" s="1" t="n">
        <v>45981</v>
      </c>
      <c r="D1167" t="inlineStr">
        <is>
          <t>JÄMTLANDS LÄN</t>
        </is>
      </c>
      <c r="E1167" t="inlineStr">
        <is>
          <t>RAGUNDA</t>
        </is>
      </c>
      <c r="F1167" t="inlineStr">
        <is>
          <t>SCA</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23528-2024</t>
        </is>
      </c>
      <c r="B1168" s="1" t="n">
        <v>45453.95016203704</v>
      </c>
      <c r="C1168" s="1" t="n">
        <v>45981</v>
      </c>
      <c r="D1168" t="inlineStr">
        <is>
          <t>JÄMTLANDS LÄN</t>
        </is>
      </c>
      <c r="E1168" t="inlineStr">
        <is>
          <t>RAGUNDA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4594-2024</t>
        </is>
      </c>
      <c r="B1169" s="1" t="n">
        <v>45327.94459490741</v>
      </c>
      <c r="C1169" s="1" t="n">
        <v>45981</v>
      </c>
      <c r="D1169" t="inlineStr">
        <is>
          <t>JÄMTLANDS LÄN</t>
        </is>
      </c>
      <c r="E1169" t="inlineStr">
        <is>
          <t>RAGUNDA</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37292-2025</t>
        </is>
      </c>
      <c r="B1170" s="1" t="n">
        <v>45876.53188657408</v>
      </c>
      <c r="C1170" s="1" t="n">
        <v>45981</v>
      </c>
      <c r="D1170" t="inlineStr">
        <is>
          <t>JÄMTLANDS LÄN</t>
        </is>
      </c>
      <c r="E1170" t="inlineStr">
        <is>
          <t>RAGUNDA</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30824-2023</t>
        </is>
      </c>
      <c r="B1171" s="1" t="n">
        <v>45112.94303240741</v>
      </c>
      <c r="C1171" s="1" t="n">
        <v>45981</v>
      </c>
      <c r="D1171" t="inlineStr">
        <is>
          <t>JÄMTLANDS LÄN</t>
        </is>
      </c>
      <c r="E1171" t="inlineStr">
        <is>
          <t>RAGUNDA</t>
        </is>
      </c>
      <c r="F1171" t="inlineStr">
        <is>
          <t>SCA</t>
        </is>
      </c>
      <c r="G1171" t="n">
        <v>0.9</v>
      </c>
      <c r="H1171" t="n">
        <v>0</v>
      </c>
      <c r="I1171" t="n">
        <v>0</v>
      </c>
      <c r="J1171" t="n">
        <v>0</v>
      </c>
      <c r="K1171" t="n">
        <v>0</v>
      </c>
      <c r="L1171" t="n">
        <v>0</v>
      </c>
      <c r="M1171" t="n">
        <v>0</v>
      </c>
      <c r="N1171" t="n">
        <v>0</v>
      </c>
      <c r="O1171" t="n">
        <v>0</v>
      </c>
      <c r="P1171" t="n">
        <v>0</v>
      </c>
      <c r="Q1171" t="n">
        <v>0</v>
      </c>
      <c r="R1171" s="2" t="inlineStr"/>
    </row>
    <row r="1172">
      <c r="A1172" t="inlineStr">
        <is>
          <t>A 9504-2025</t>
        </is>
      </c>
      <c r="B1172" s="1" t="n">
        <v>45714</v>
      </c>
      <c r="C1172" s="1" t="n">
        <v>45981</v>
      </c>
      <c r="D1172" t="inlineStr">
        <is>
          <t>JÄMTLANDS LÄN</t>
        </is>
      </c>
      <c r="E1172" t="inlineStr">
        <is>
          <t>RAGUNDA</t>
        </is>
      </c>
      <c r="G1172" t="n">
        <v>6</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2025-11-20T16:58:00Z</dcterms:created>
  <dcterms:modified xmlns:dcterms="http://purl.org/dc/terms/" xmlns:xsi="http://www.w3.org/2001/XMLSchema-instance" xsi:type="dcterms:W3CDTF">2025-11-20T16:58:01Z</dcterms:modified>
</cp:coreProperties>
</file>