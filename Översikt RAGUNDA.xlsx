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45917</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45917</v>
      </c>
      <c r="D7" t="inlineStr">
        <is>
          <t>JÄMTLANDS LÄN</t>
        </is>
      </c>
      <c r="E7" t="inlineStr">
        <is>
          <t>RAGUNDA</t>
        </is>
      </c>
      <c r="G7" t="n">
        <v>27.3</v>
      </c>
      <c r="H7" t="n">
        <v>9</v>
      </c>
      <c r="I7" t="n">
        <v>9</v>
      </c>
      <c r="J7" t="n">
        <v>10</v>
      </c>
      <c r="K7" t="n">
        <v>2</v>
      </c>
      <c r="L7" t="n">
        <v>0</v>
      </c>
      <c r="M7" t="n">
        <v>0</v>
      </c>
      <c r="N7" t="n">
        <v>0</v>
      </c>
      <c r="O7" t="n">
        <v>12</v>
      </c>
      <c r="P7" t="n">
        <v>2</v>
      </c>
      <c r="Q7" t="n">
        <v>22</v>
      </c>
      <c r="R7" s="2" t="inlineStr">
        <is>
          <t>Knärot
Rynkskinn
Garnlav
Granticka
Gultoppig fingersvamp
Harticka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45917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45917</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45917</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45917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45917</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45917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45917</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31196-2023</t>
        </is>
      </c>
      <c r="B15" s="1" t="n">
        <v>45113</v>
      </c>
      <c r="C15" s="1" t="n">
        <v>45917</v>
      </c>
      <c r="D15" t="inlineStr">
        <is>
          <t>JÄMTLANDS LÄN</t>
        </is>
      </c>
      <c r="E15" t="inlineStr">
        <is>
          <t>RAGUNDA</t>
        </is>
      </c>
      <c r="F15" t="inlineStr">
        <is>
          <t>SCA</t>
        </is>
      </c>
      <c r="G15" t="n">
        <v>32.8</v>
      </c>
      <c r="H15" t="n">
        <v>0</v>
      </c>
      <c r="I15" t="n">
        <v>4</v>
      </c>
      <c r="J15" t="n">
        <v>11</v>
      </c>
      <c r="K15" t="n">
        <v>0</v>
      </c>
      <c r="L15" t="n">
        <v>0</v>
      </c>
      <c r="M15" t="n">
        <v>0</v>
      </c>
      <c r="N15" t="n">
        <v>0</v>
      </c>
      <c r="O15" t="n">
        <v>11</v>
      </c>
      <c r="P15" t="n">
        <v>0</v>
      </c>
      <c r="Q15" t="n">
        <v>15</v>
      </c>
      <c r="R15" s="2" t="inlineStr">
        <is>
          <t>Dvärgbägarlav
Garnlav
Harticka
Kolflarnlav
Lunglav
Mörk kolflarnlav
Nordtagging
Orange taggsvamp
Skrovlig taggsvamp
Svart taggsvamp
Vedflamlav
Dropptaggsvamp
Skarp dropptaggsvamp
Stuplav
Svavelriska</t>
        </is>
      </c>
      <c r="S15">
        <f>HYPERLINK("https://klasma.github.io/Logging_2303/artfynd/A 31196-2023 artfynd.xlsx", "A 31196-2023")</f>
        <v/>
      </c>
      <c r="T15">
        <f>HYPERLINK("https://klasma.github.io/Logging_2303/kartor/A 31196-2023 karta.png", "A 31196-2023")</f>
        <v/>
      </c>
      <c r="V15">
        <f>HYPERLINK("https://klasma.github.io/Logging_2303/klagomål/A 31196-2023 FSC-klagomål.docx", "A 31196-2023")</f>
        <v/>
      </c>
      <c r="W15">
        <f>HYPERLINK("https://klasma.github.io/Logging_2303/klagomålsmail/A 31196-2023 FSC-klagomål mail.docx", "A 31196-2023")</f>
        <v/>
      </c>
      <c r="X15">
        <f>HYPERLINK("https://klasma.github.io/Logging_2303/tillsyn/A 31196-2023 tillsynsbegäran.docx", "A 31196-2023")</f>
        <v/>
      </c>
      <c r="Y15">
        <f>HYPERLINK("https://klasma.github.io/Logging_2303/tillsynsmail/A 31196-2023 tillsynsbegäran mail.docx", "A 31196-2023")</f>
        <v/>
      </c>
    </row>
    <row r="16" ht="15" customHeight="1">
      <c r="A16" t="inlineStr">
        <is>
          <t>A 45687-2024</t>
        </is>
      </c>
      <c r="B16" s="1" t="n">
        <v>45579.53179398148</v>
      </c>
      <c r="C16" s="1" t="n">
        <v>45917</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29068-2023</t>
        </is>
      </c>
      <c r="B17" s="1" t="n">
        <v>45104</v>
      </c>
      <c r="C17" s="1" t="n">
        <v>45917</v>
      </c>
      <c r="D17" t="inlineStr">
        <is>
          <t>JÄMTLANDS LÄN</t>
        </is>
      </c>
      <c r="E17" t="inlineStr">
        <is>
          <t>RAGUNDA</t>
        </is>
      </c>
      <c r="F17" t="inlineStr">
        <is>
          <t>SCA</t>
        </is>
      </c>
      <c r="G17" t="n">
        <v>10.8</v>
      </c>
      <c r="H17" t="n">
        <v>0</v>
      </c>
      <c r="I17" t="n">
        <v>2</v>
      </c>
      <c r="J17" t="n">
        <v>10</v>
      </c>
      <c r="K17" t="n">
        <v>3</v>
      </c>
      <c r="L17" t="n">
        <v>0</v>
      </c>
      <c r="M17" t="n">
        <v>0</v>
      </c>
      <c r="N17" t="n">
        <v>0</v>
      </c>
      <c r="O17" t="n">
        <v>13</v>
      </c>
      <c r="P17" t="n">
        <v>3</v>
      </c>
      <c r="Q17" t="n">
        <v>15</v>
      </c>
      <c r="R17" s="2" t="inlineStr">
        <is>
          <t>Goliatmusseron
Gräddporing
Smalfotad taggsvamp
Blanksvart spiklav
Blå taggsvamp
Dvärgbägarlav
Garnlav
Motaggsvamp
Orange taggsvamp
Skrovlig taggsvamp
Svartvit taggsvamp
Tallriska
Vedflamlav
Dropptaggsvamp
Skarp dropptaggsvamp</t>
        </is>
      </c>
      <c r="S17">
        <f>HYPERLINK("https://klasma.github.io/Logging_2303/artfynd/A 29068-2023 artfynd.xlsx", "A 29068-2023")</f>
        <v/>
      </c>
      <c r="T17">
        <f>HYPERLINK("https://klasma.github.io/Logging_2303/kartor/A 29068-2023 karta.png", "A 29068-2023")</f>
        <v/>
      </c>
      <c r="V17">
        <f>HYPERLINK("https://klasma.github.io/Logging_2303/klagomål/A 29068-2023 FSC-klagomål.docx", "A 29068-2023")</f>
        <v/>
      </c>
      <c r="W17">
        <f>HYPERLINK("https://klasma.github.io/Logging_2303/klagomålsmail/A 29068-2023 FSC-klagomål mail.docx", "A 29068-2023")</f>
        <v/>
      </c>
      <c r="X17">
        <f>HYPERLINK("https://klasma.github.io/Logging_2303/tillsyn/A 29068-2023 tillsynsbegäran.docx", "A 29068-2023")</f>
        <v/>
      </c>
      <c r="Y17">
        <f>HYPERLINK("https://klasma.github.io/Logging_2303/tillsynsmail/A 29068-2023 tillsynsbegäran mail.docx", "A 29068-2023")</f>
        <v/>
      </c>
    </row>
    <row r="18" ht="15" customHeight="1">
      <c r="A18" t="inlineStr">
        <is>
          <t>A 13308-2022</t>
        </is>
      </c>
      <c r="B18" s="1" t="n">
        <v>44644.93650462963</v>
      </c>
      <c r="C18" s="1" t="n">
        <v>45917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45917</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45917</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45917</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55404-2024</t>
        </is>
      </c>
      <c r="B22" s="1" t="n">
        <v>45622</v>
      </c>
      <c r="C22" s="1" t="n">
        <v>45917</v>
      </c>
      <c r="D22" t="inlineStr">
        <is>
          <t>JÄMTLANDS LÄN</t>
        </is>
      </c>
      <c r="E22" t="inlineStr">
        <is>
          <t>RAGUNDA</t>
        </is>
      </c>
      <c r="G22" t="n">
        <v>3.5</v>
      </c>
      <c r="H22" t="n">
        <v>1</v>
      </c>
      <c r="I22" t="n">
        <v>4</v>
      </c>
      <c r="J22" t="n">
        <v>9</v>
      </c>
      <c r="K22" t="n">
        <v>0</v>
      </c>
      <c r="L22" t="n">
        <v>0</v>
      </c>
      <c r="M22" t="n">
        <v>0</v>
      </c>
      <c r="N22" t="n">
        <v>0</v>
      </c>
      <c r="O22" t="n">
        <v>9</v>
      </c>
      <c r="P22" t="n">
        <v>0</v>
      </c>
      <c r="Q22" t="n">
        <v>13</v>
      </c>
      <c r="R22" s="2" t="inlineStr">
        <is>
          <t>Blek lundlav
Garnlav
Kolflarnlav
Lunglav
Mörk kolflarnlav
Tretåig hackspett
Ullticka
Vedtrappmossa
Vitgrynig nållav
Gulnål
Norrlandslav
Skinnlav
Stuplav</t>
        </is>
      </c>
      <c r="S22">
        <f>HYPERLINK("https://klasma.github.io/Logging_2303/artfynd/A 55404-2024 artfynd.xlsx", "A 55404-2024")</f>
        <v/>
      </c>
      <c r="T22">
        <f>HYPERLINK("https://klasma.github.io/Logging_2303/kartor/A 55404-2024 karta.png", "A 55404-2024")</f>
        <v/>
      </c>
      <c r="V22">
        <f>HYPERLINK("https://klasma.github.io/Logging_2303/klagomål/A 55404-2024 FSC-klagomål.docx", "A 55404-2024")</f>
        <v/>
      </c>
      <c r="W22">
        <f>HYPERLINK("https://klasma.github.io/Logging_2303/klagomålsmail/A 55404-2024 FSC-klagomål mail.docx", "A 55404-2024")</f>
        <v/>
      </c>
      <c r="X22">
        <f>HYPERLINK("https://klasma.github.io/Logging_2303/tillsyn/A 55404-2024 tillsynsbegäran.docx", "A 55404-2024")</f>
        <v/>
      </c>
      <c r="Y22">
        <f>HYPERLINK("https://klasma.github.io/Logging_2303/tillsynsmail/A 55404-2024 tillsynsbegäran mail.docx", "A 55404-2024")</f>
        <v/>
      </c>
      <c r="Z22">
        <f>HYPERLINK("https://klasma.github.io/Logging_2303/fåglar/A 55404-2024 prioriterade fågelarter.docx", "A 55404-2024")</f>
        <v/>
      </c>
    </row>
    <row r="23" ht="15" customHeight="1">
      <c r="A23" t="inlineStr">
        <is>
          <t>A 22985-2025</t>
        </is>
      </c>
      <c r="B23" s="1" t="n">
        <v>45790.57334490741</v>
      </c>
      <c r="C23" s="1" t="n">
        <v>45917</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45917</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29209-2024</t>
        </is>
      </c>
      <c r="B25" s="1" t="n">
        <v>45482.63819444444</v>
      </c>
      <c r="C25" s="1" t="n">
        <v>45917</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21213-2025</t>
        </is>
      </c>
      <c r="B26" s="1" t="n">
        <v>45779.49012731481</v>
      </c>
      <c r="C26" s="1" t="n">
        <v>45917</v>
      </c>
      <c r="D26" t="inlineStr">
        <is>
          <t>JÄMTLANDS LÄN</t>
        </is>
      </c>
      <c r="E26" t="inlineStr">
        <is>
          <t>RAGUNDA</t>
        </is>
      </c>
      <c r="F26" t="inlineStr">
        <is>
          <t>SCA</t>
        </is>
      </c>
      <c r="G26" t="n">
        <v>3.1</v>
      </c>
      <c r="H26" t="n">
        <v>4</v>
      </c>
      <c r="I26" t="n">
        <v>4</v>
      </c>
      <c r="J26" t="n">
        <v>5</v>
      </c>
      <c r="K26" t="n">
        <v>1</v>
      </c>
      <c r="L26" t="n">
        <v>0</v>
      </c>
      <c r="M26" t="n">
        <v>0</v>
      </c>
      <c r="N26" t="n">
        <v>0</v>
      </c>
      <c r="O26" t="n">
        <v>6</v>
      </c>
      <c r="P26" t="n">
        <v>1</v>
      </c>
      <c r="Q26" t="n">
        <v>12</v>
      </c>
      <c r="R26" s="2" t="inlineStr">
        <is>
          <t>Rynkskinn
Garnlav
Lunglav
Skogsfru
Tretåig hackspett
Ullticka
Grönpyrola
Luddlav
Stuplav
Trådticka
Tjäder
Fläcknycklar</t>
        </is>
      </c>
      <c r="S26">
        <f>HYPERLINK("https://klasma.github.io/Logging_2303/artfynd/A 21213-2025 artfynd.xlsx", "A 21213-2025")</f>
        <v/>
      </c>
      <c r="T26">
        <f>HYPERLINK("https://klasma.github.io/Logging_2303/kartor/A 21213-2025 karta.png", "A 21213-2025")</f>
        <v/>
      </c>
      <c r="V26">
        <f>HYPERLINK("https://klasma.github.io/Logging_2303/klagomål/A 21213-2025 FSC-klagomål.docx", "A 21213-2025")</f>
        <v/>
      </c>
      <c r="W26">
        <f>HYPERLINK("https://klasma.github.io/Logging_2303/klagomålsmail/A 21213-2025 FSC-klagomål mail.docx", "A 21213-2025")</f>
        <v/>
      </c>
      <c r="X26">
        <f>HYPERLINK("https://klasma.github.io/Logging_2303/tillsyn/A 21213-2025 tillsynsbegäran.docx", "A 21213-2025")</f>
        <v/>
      </c>
      <c r="Y26">
        <f>HYPERLINK("https://klasma.github.io/Logging_2303/tillsynsmail/A 21213-2025 tillsynsbegäran mail.docx", "A 21213-2025")</f>
        <v/>
      </c>
      <c r="Z26">
        <f>HYPERLINK("https://klasma.github.io/Logging_2303/fåglar/A 21213-2025 prioriterade fågelarter.docx", "A 21213-2025")</f>
        <v/>
      </c>
    </row>
    <row r="27" ht="15" customHeight="1">
      <c r="A27" t="inlineStr">
        <is>
          <t>A 43107-2023</t>
        </is>
      </c>
      <c r="B27" s="1" t="n">
        <v>45182</v>
      </c>
      <c r="C27" s="1" t="n">
        <v>45917</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31839-2022</t>
        </is>
      </c>
      <c r="B28" s="1" t="n">
        <v>44776</v>
      </c>
      <c r="C28" s="1" t="n">
        <v>45917</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32741-2025</t>
        </is>
      </c>
      <c r="B29" s="1" t="n">
        <v>45839.42482638889</v>
      </c>
      <c r="C29" s="1" t="n">
        <v>45917</v>
      </c>
      <c r="D29" t="inlineStr">
        <is>
          <t>JÄMTLANDS LÄN</t>
        </is>
      </c>
      <c r="E29" t="inlineStr">
        <is>
          <t>RAGUNDA</t>
        </is>
      </c>
      <c r="G29" t="n">
        <v>4.2</v>
      </c>
      <c r="H29" t="n">
        <v>4</v>
      </c>
      <c r="I29" t="n">
        <v>2</v>
      </c>
      <c r="J29" t="n">
        <v>8</v>
      </c>
      <c r="K29" t="n">
        <v>1</v>
      </c>
      <c r="L29" t="n">
        <v>0</v>
      </c>
      <c r="M29" t="n">
        <v>0</v>
      </c>
      <c r="N29" t="n">
        <v>0</v>
      </c>
      <c r="O29" t="n">
        <v>9</v>
      </c>
      <c r="P29" t="n">
        <v>1</v>
      </c>
      <c r="Q29" t="n">
        <v>11</v>
      </c>
      <c r="R29" s="2" t="inlineStr">
        <is>
          <t>Knärot
Garnlav
Kolflarnlav
Lunglav
Talltita
Tretåig hackspett
Ullticka
Vedtrappmossa
Vitgrynig nållav
Spindelblomster
Stuplav</t>
        </is>
      </c>
      <c r="S29">
        <f>HYPERLINK("https://klasma.github.io/Logging_2303/artfynd/A 32741-2025 artfynd.xlsx", "A 32741-2025")</f>
        <v/>
      </c>
      <c r="T29">
        <f>HYPERLINK("https://klasma.github.io/Logging_2303/kartor/A 32741-2025 karta.png", "A 32741-2025")</f>
        <v/>
      </c>
      <c r="U29">
        <f>HYPERLINK("https://klasma.github.io/Logging_2303/knärot/A 32741-2025 karta knärot.png", "A 32741-2025")</f>
        <v/>
      </c>
      <c r="V29">
        <f>HYPERLINK("https://klasma.github.io/Logging_2303/klagomål/A 32741-2025 FSC-klagomål.docx", "A 32741-2025")</f>
        <v/>
      </c>
      <c r="W29">
        <f>HYPERLINK("https://klasma.github.io/Logging_2303/klagomålsmail/A 32741-2025 FSC-klagomål mail.docx", "A 32741-2025")</f>
        <v/>
      </c>
      <c r="X29">
        <f>HYPERLINK("https://klasma.github.io/Logging_2303/tillsyn/A 32741-2025 tillsynsbegäran.docx", "A 32741-2025")</f>
        <v/>
      </c>
      <c r="Y29">
        <f>HYPERLINK("https://klasma.github.io/Logging_2303/tillsynsmail/A 32741-2025 tillsynsbegäran mail.docx", "A 32741-2025")</f>
        <v/>
      </c>
      <c r="Z29">
        <f>HYPERLINK("https://klasma.github.io/Logging_2303/fåglar/A 32741-2025 prioriterade fågelarter.docx", "A 32741-2025")</f>
        <v/>
      </c>
    </row>
    <row r="30" ht="15" customHeight="1">
      <c r="A30" t="inlineStr">
        <is>
          <t>A 9347-2024</t>
        </is>
      </c>
      <c r="B30" s="1" t="n">
        <v>45358.99375</v>
      </c>
      <c r="C30" s="1" t="n">
        <v>45917</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22986-2025</t>
        </is>
      </c>
      <c r="B31" s="1" t="n">
        <v>45790.57349537037</v>
      </c>
      <c r="C31" s="1" t="n">
        <v>45917</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25632-2025</t>
        </is>
      </c>
      <c r="B32" s="1" t="n">
        <v>45803.59474537037</v>
      </c>
      <c r="C32" s="1" t="n">
        <v>45917</v>
      </c>
      <c r="D32" t="inlineStr">
        <is>
          <t>JÄMTLANDS LÄN</t>
        </is>
      </c>
      <c r="E32" t="inlineStr">
        <is>
          <t>RAGUNDA</t>
        </is>
      </c>
      <c r="G32" t="n">
        <v>13.3</v>
      </c>
      <c r="H32" t="n">
        <v>6</v>
      </c>
      <c r="I32" t="n">
        <v>3</v>
      </c>
      <c r="J32" t="n">
        <v>5</v>
      </c>
      <c r="K32" t="n">
        <v>1</v>
      </c>
      <c r="L32" t="n">
        <v>0</v>
      </c>
      <c r="M32" t="n">
        <v>0</v>
      </c>
      <c r="N32" t="n">
        <v>0</v>
      </c>
      <c r="O32" t="n">
        <v>6</v>
      </c>
      <c r="P32" t="n">
        <v>1</v>
      </c>
      <c r="Q32" t="n">
        <v>11</v>
      </c>
      <c r="R32" s="2" t="inlineStr">
        <is>
          <t>Knärot
Lunglav
Rödvingetrast
Skrovellav
Spillkråka
Tretåig hackspett
Bårdlav
Stuplav
Svart trolldruva
Blåsippa
Revlummer</t>
        </is>
      </c>
      <c r="S32">
        <f>HYPERLINK("https://klasma.github.io/Logging_2303/artfynd/A 25632-2025 artfynd.xlsx", "A 25632-2025")</f>
        <v/>
      </c>
      <c r="T32">
        <f>HYPERLINK("https://klasma.github.io/Logging_2303/kartor/A 25632-2025 karta.png", "A 25632-2025")</f>
        <v/>
      </c>
      <c r="U32">
        <f>HYPERLINK("https://klasma.github.io/Logging_2303/knärot/A 25632-2025 karta knärot.png", "A 25632-2025")</f>
        <v/>
      </c>
      <c r="V32">
        <f>HYPERLINK("https://klasma.github.io/Logging_2303/klagomål/A 25632-2025 FSC-klagomål.docx", "A 25632-2025")</f>
        <v/>
      </c>
      <c r="W32">
        <f>HYPERLINK("https://klasma.github.io/Logging_2303/klagomålsmail/A 25632-2025 FSC-klagomål mail.docx", "A 25632-2025")</f>
        <v/>
      </c>
      <c r="X32">
        <f>HYPERLINK("https://klasma.github.io/Logging_2303/tillsyn/A 25632-2025 tillsynsbegäran.docx", "A 25632-2025")</f>
        <v/>
      </c>
      <c r="Y32">
        <f>HYPERLINK("https://klasma.github.io/Logging_2303/tillsynsmail/A 25632-2025 tillsynsbegäran mail.docx", "A 25632-2025")</f>
        <v/>
      </c>
      <c r="Z32">
        <f>HYPERLINK("https://klasma.github.io/Logging_2303/fåglar/A 25632-2025 prioriterade fågelarter.docx", "A 25632-2025")</f>
        <v/>
      </c>
    </row>
    <row r="33" ht="15" customHeight="1">
      <c r="A33" t="inlineStr">
        <is>
          <t>A 36943-2022</t>
        </is>
      </c>
      <c r="B33" s="1" t="n">
        <v>44805</v>
      </c>
      <c r="C33" s="1" t="n">
        <v>45917</v>
      </c>
      <c r="D33" t="inlineStr">
        <is>
          <t>JÄMTLANDS LÄN</t>
        </is>
      </c>
      <c r="E33" t="inlineStr">
        <is>
          <t>RAGUNDA</t>
        </is>
      </c>
      <c r="F33" t="inlineStr">
        <is>
          <t>SCA</t>
        </is>
      </c>
      <c r="G33" t="n">
        <v>2.2</v>
      </c>
      <c r="H33" t="n">
        <v>3</v>
      </c>
      <c r="I33" t="n">
        <v>2</v>
      </c>
      <c r="J33" t="n">
        <v>5</v>
      </c>
      <c r="K33" t="n">
        <v>1</v>
      </c>
      <c r="L33" t="n">
        <v>0</v>
      </c>
      <c r="M33" t="n">
        <v>0</v>
      </c>
      <c r="N33" t="n">
        <v>0</v>
      </c>
      <c r="O33" t="n">
        <v>6</v>
      </c>
      <c r="P33" t="n">
        <v>1</v>
      </c>
      <c r="Q33" t="n">
        <v>10</v>
      </c>
      <c r="R33" s="2" t="inlineStr">
        <is>
          <t>Knärot
Garnlav
Lunglav
Mörk kolflarnlav
Rosenticka
Ullticka
Bårdlav
Underviol
Nattviol
Blåsippa</t>
        </is>
      </c>
      <c r="S33">
        <f>HYPERLINK("https://klasma.github.io/Logging_2303/artfynd/A 36943-2022 artfynd.xlsx", "A 36943-2022")</f>
        <v/>
      </c>
      <c r="T33">
        <f>HYPERLINK("https://klasma.github.io/Logging_2303/kartor/A 36943-2022 karta.png", "A 36943-2022")</f>
        <v/>
      </c>
      <c r="U33">
        <f>HYPERLINK("https://klasma.github.io/Logging_2303/knärot/A 36943-2022 karta knärot.png", "A 36943-2022")</f>
        <v/>
      </c>
      <c r="V33">
        <f>HYPERLINK("https://klasma.github.io/Logging_2303/klagomål/A 36943-2022 FSC-klagomål.docx", "A 36943-2022")</f>
        <v/>
      </c>
      <c r="W33">
        <f>HYPERLINK("https://klasma.github.io/Logging_2303/klagomålsmail/A 36943-2022 FSC-klagomål mail.docx", "A 36943-2022")</f>
        <v/>
      </c>
      <c r="X33">
        <f>HYPERLINK("https://klasma.github.io/Logging_2303/tillsyn/A 36943-2022 tillsynsbegäran.docx", "A 36943-2022")</f>
        <v/>
      </c>
      <c r="Y33">
        <f>HYPERLINK("https://klasma.github.io/Logging_2303/tillsynsmail/A 36943-2022 tillsynsbegäran mail.docx", "A 36943-2022")</f>
        <v/>
      </c>
    </row>
    <row r="34" ht="15" customHeight="1">
      <c r="A34" t="inlineStr">
        <is>
          <t>A 13483-2022</t>
        </is>
      </c>
      <c r="B34" s="1" t="n">
        <v>44645.99859953704</v>
      </c>
      <c r="C34" s="1" t="n">
        <v>45917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55894-2022</t>
        </is>
      </c>
      <c r="B35" s="1" t="n">
        <v>44888</v>
      </c>
      <c r="C35" s="1" t="n">
        <v>45917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45917</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21244-2025</t>
        </is>
      </c>
      <c r="B37" s="1" t="n">
        <v>45779.57335648148</v>
      </c>
      <c r="C37" s="1" t="n">
        <v>45917</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41412-2024</t>
        </is>
      </c>
      <c r="B38" s="1" t="n">
        <v>45560.34484953704</v>
      </c>
      <c r="C38" s="1" t="n">
        <v>45917</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12372-2024</t>
        </is>
      </c>
      <c r="B39" s="1" t="n">
        <v>45378</v>
      </c>
      <c r="C39" s="1" t="n">
        <v>45917</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45917</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45917</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30876-2025</t>
        </is>
      </c>
      <c r="B42" s="1" t="n">
        <v>45832.34461805555</v>
      </c>
      <c r="C42" s="1" t="n">
        <v>45917</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33822-2023</t>
        </is>
      </c>
      <c r="B43" s="1" t="n">
        <v>45121</v>
      </c>
      <c r="C43" s="1" t="n">
        <v>45917</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19278-2025</t>
        </is>
      </c>
      <c r="B44" s="1" t="n">
        <v>45769.53180555555</v>
      </c>
      <c r="C44" s="1" t="n">
        <v>45917</v>
      </c>
      <c r="D44" t="inlineStr">
        <is>
          <t>JÄMTLANDS LÄN</t>
        </is>
      </c>
      <c r="E44" t="inlineStr">
        <is>
          <t>RAGUNDA</t>
        </is>
      </c>
      <c r="F44" t="inlineStr">
        <is>
          <t>SCA</t>
        </is>
      </c>
      <c r="G44" t="n">
        <v>11.8</v>
      </c>
      <c r="H44" t="n">
        <v>3</v>
      </c>
      <c r="I44" t="n">
        <v>2</v>
      </c>
      <c r="J44" t="n">
        <v>6</v>
      </c>
      <c r="K44" t="n">
        <v>1</v>
      </c>
      <c r="L44" t="n">
        <v>0</v>
      </c>
      <c r="M44" t="n">
        <v>0</v>
      </c>
      <c r="N44" t="n">
        <v>0</v>
      </c>
      <c r="O44" t="n">
        <v>7</v>
      </c>
      <c r="P44" t="n">
        <v>1</v>
      </c>
      <c r="Q44" t="n">
        <v>9</v>
      </c>
      <c r="R44" s="2" t="inlineStr">
        <is>
          <t>Knärot
Garnlav
Granticka
Lunglav
Talltita
Tretåig hackspett
Ullticka
Norrlandslav
Skinnlav</t>
        </is>
      </c>
      <c r="S44">
        <f>HYPERLINK("https://klasma.github.io/Logging_2303/artfynd/A 19278-2025 artfynd.xlsx", "A 19278-2025")</f>
        <v/>
      </c>
      <c r="T44">
        <f>HYPERLINK("https://klasma.github.io/Logging_2303/kartor/A 19278-2025 karta.png", "A 19278-2025")</f>
        <v/>
      </c>
      <c r="U44">
        <f>HYPERLINK("https://klasma.github.io/Logging_2303/knärot/A 19278-2025 karta knärot.png", "A 19278-2025")</f>
        <v/>
      </c>
      <c r="V44">
        <f>HYPERLINK("https://klasma.github.io/Logging_2303/klagomål/A 19278-2025 FSC-klagomål.docx", "A 19278-2025")</f>
        <v/>
      </c>
      <c r="W44">
        <f>HYPERLINK("https://klasma.github.io/Logging_2303/klagomålsmail/A 19278-2025 FSC-klagomål mail.docx", "A 19278-2025")</f>
        <v/>
      </c>
      <c r="X44">
        <f>HYPERLINK("https://klasma.github.io/Logging_2303/tillsyn/A 19278-2025 tillsynsbegäran.docx", "A 19278-2025")</f>
        <v/>
      </c>
      <c r="Y44">
        <f>HYPERLINK("https://klasma.github.io/Logging_2303/tillsynsmail/A 19278-2025 tillsynsbegäran mail.docx", "A 19278-2025")</f>
        <v/>
      </c>
      <c r="Z44">
        <f>HYPERLINK("https://klasma.github.io/Logging_2303/fåglar/A 19278-2025 prioriterade fågelarter.docx", "A 19278-2025")</f>
        <v/>
      </c>
    </row>
    <row r="45" ht="15" customHeight="1">
      <c r="A45" t="inlineStr">
        <is>
          <t>A 62948-2021</t>
        </is>
      </c>
      <c r="B45" s="1" t="n">
        <v>44504</v>
      </c>
      <c r="C45" s="1" t="n">
        <v>45917</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45008-2023</t>
        </is>
      </c>
      <c r="B46" s="1" t="n">
        <v>45190.96092592592</v>
      </c>
      <c r="C46" s="1" t="n">
        <v>45917</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4146-2025</t>
        </is>
      </c>
      <c r="B47" s="1" t="n">
        <v>45685.36501157407</v>
      </c>
      <c r="C47" s="1" t="n">
        <v>45917</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45917</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45917</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56215-2020</t>
        </is>
      </c>
      <c r="B50" s="1" t="n">
        <v>44133</v>
      </c>
      <c r="C50" s="1" t="n">
        <v>45917</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30335-2025</t>
        </is>
      </c>
      <c r="B51" s="1" t="n">
        <v>45827.5110300926</v>
      </c>
      <c r="C51" s="1" t="n">
        <v>45917</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3634-2024</t>
        </is>
      </c>
      <c r="B52" s="1" t="n">
        <v>45320</v>
      </c>
      <c r="C52" s="1" t="n">
        <v>45917</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32475-2023</t>
        </is>
      </c>
      <c r="B53" s="1" t="n">
        <v>45120</v>
      </c>
      <c r="C53" s="1" t="n">
        <v>45917</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31197-2023</t>
        </is>
      </c>
      <c r="B54" s="1" t="n">
        <v>45113</v>
      </c>
      <c r="C54" s="1" t="n">
        <v>45917</v>
      </c>
      <c r="D54" t="inlineStr">
        <is>
          <t>JÄMTLANDS LÄN</t>
        </is>
      </c>
      <c r="E54" t="inlineStr">
        <is>
          <t>RAGUNDA</t>
        </is>
      </c>
      <c r="F54" t="inlineStr">
        <is>
          <t>SCA</t>
        </is>
      </c>
      <c r="G54" t="n">
        <v>4.6</v>
      </c>
      <c r="H54" t="n">
        <v>0</v>
      </c>
      <c r="I54" t="n">
        <v>2</v>
      </c>
      <c r="J54" t="n">
        <v>4</v>
      </c>
      <c r="K54" t="n">
        <v>2</v>
      </c>
      <c r="L54" t="n">
        <v>0</v>
      </c>
      <c r="M54" t="n">
        <v>0</v>
      </c>
      <c r="N54" t="n">
        <v>0</v>
      </c>
      <c r="O54" t="n">
        <v>6</v>
      </c>
      <c r="P54" t="n">
        <v>2</v>
      </c>
      <c r="Q54" t="n">
        <v>8</v>
      </c>
      <c r="R54" s="2" t="inlineStr">
        <is>
          <t>Gräddporing
Smalfotad taggsvamp
Dvärgbägarlav
Skrovlig taggsvamp
Vaddporing
Vedskivlav
Dropptaggsvamp
Skarp dropptaggsvamp</t>
        </is>
      </c>
      <c r="S54">
        <f>HYPERLINK("https://klasma.github.io/Logging_2303/artfynd/A 31197-2023 artfynd.xlsx", "A 31197-2023")</f>
        <v/>
      </c>
      <c r="T54">
        <f>HYPERLINK("https://klasma.github.io/Logging_2303/kartor/A 31197-2023 karta.png", "A 31197-2023")</f>
        <v/>
      </c>
      <c r="V54">
        <f>HYPERLINK("https://klasma.github.io/Logging_2303/klagomål/A 31197-2023 FSC-klagomål.docx", "A 31197-2023")</f>
        <v/>
      </c>
      <c r="W54">
        <f>HYPERLINK("https://klasma.github.io/Logging_2303/klagomålsmail/A 31197-2023 FSC-klagomål mail.docx", "A 31197-2023")</f>
        <v/>
      </c>
      <c r="X54">
        <f>HYPERLINK("https://klasma.github.io/Logging_2303/tillsyn/A 31197-2023 tillsynsbegäran.docx", "A 31197-2023")</f>
        <v/>
      </c>
      <c r="Y54">
        <f>HYPERLINK("https://klasma.github.io/Logging_2303/tillsynsmail/A 31197-2023 tillsynsbegäran mail.docx", "A 31197-2023")</f>
        <v/>
      </c>
    </row>
    <row r="55" ht="15" customHeight="1">
      <c r="A55" t="inlineStr">
        <is>
          <t>A 55465-2024</t>
        </is>
      </c>
      <c r="B55" s="1" t="n">
        <v>45622</v>
      </c>
      <c r="C55" s="1" t="n">
        <v>45917</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10982-2025</t>
        </is>
      </c>
      <c r="B56" s="1" t="n">
        <v>45723.40688657408</v>
      </c>
      <c r="C56" s="1" t="n">
        <v>45917</v>
      </c>
      <c r="D56" t="inlineStr">
        <is>
          <t>JÄMTLANDS LÄN</t>
        </is>
      </c>
      <c r="E56" t="inlineStr">
        <is>
          <t>RAGUNDA</t>
        </is>
      </c>
      <c r="F56" t="inlineStr">
        <is>
          <t>SCA</t>
        </is>
      </c>
      <c r="G56" t="n">
        <v>6.4</v>
      </c>
      <c r="H56" t="n">
        <v>0</v>
      </c>
      <c r="I56" t="n">
        <v>6</v>
      </c>
      <c r="J56" t="n">
        <v>2</v>
      </c>
      <c r="K56" t="n">
        <v>0</v>
      </c>
      <c r="L56" t="n">
        <v>0</v>
      </c>
      <c r="M56" t="n">
        <v>0</v>
      </c>
      <c r="N56" t="n">
        <v>0</v>
      </c>
      <c r="O56" t="n">
        <v>2</v>
      </c>
      <c r="P56" t="n">
        <v>0</v>
      </c>
      <c r="Q56" t="n">
        <v>8</v>
      </c>
      <c r="R56" s="2" t="inlineStr">
        <is>
          <t>Orange taggsvamp
Skrovlig taggsvamp
Barrfagerspindling
Bårdlav
Dropptaggsvamp
Skarp dropptaggsvamp
Stuplav
Svart trolldruva</t>
        </is>
      </c>
      <c r="S56">
        <f>HYPERLINK("https://klasma.github.io/Logging_2303/artfynd/A 10982-2025 artfynd.xlsx", "A 10982-2025")</f>
        <v/>
      </c>
      <c r="T56">
        <f>HYPERLINK("https://klasma.github.io/Logging_2303/kartor/A 10982-2025 karta.png", "A 10982-2025")</f>
        <v/>
      </c>
      <c r="V56">
        <f>HYPERLINK("https://klasma.github.io/Logging_2303/klagomål/A 10982-2025 FSC-klagomål.docx", "A 10982-2025")</f>
        <v/>
      </c>
      <c r="W56">
        <f>HYPERLINK("https://klasma.github.io/Logging_2303/klagomålsmail/A 10982-2025 FSC-klagomål mail.docx", "A 10982-2025")</f>
        <v/>
      </c>
      <c r="X56">
        <f>HYPERLINK("https://klasma.github.io/Logging_2303/tillsyn/A 10982-2025 tillsynsbegäran.docx", "A 10982-2025")</f>
        <v/>
      </c>
      <c r="Y56">
        <f>HYPERLINK("https://klasma.github.io/Logging_2303/tillsynsmail/A 10982-2025 tillsynsbegäran mail.docx", "A 10982-2025")</f>
        <v/>
      </c>
    </row>
    <row r="57" ht="15" customHeight="1">
      <c r="A57" t="inlineStr">
        <is>
          <t>A 56211-2020</t>
        </is>
      </c>
      <c r="B57" s="1" t="n">
        <v>44133</v>
      </c>
      <c r="C57" s="1" t="n">
        <v>45917</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45917</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45917</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26750-2025</t>
        </is>
      </c>
      <c r="B60" s="1" t="n">
        <v>45810.55061342593</v>
      </c>
      <c r="C60" s="1" t="n">
        <v>45917</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45917</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61386-2022</t>
        </is>
      </c>
      <c r="B62" s="1" t="n">
        <v>44915</v>
      </c>
      <c r="C62" s="1" t="n">
        <v>45917</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45917</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45917</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22466-2025</t>
        </is>
      </c>
      <c r="B65" s="1" t="n">
        <v>45786.61517361111</v>
      </c>
      <c r="C65" s="1" t="n">
        <v>45917</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33806-2023</t>
        </is>
      </c>
      <c r="B66" s="1" t="n">
        <v>45121</v>
      </c>
      <c r="C66" s="1" t="n">
        <v>45917</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24169-2021</t>
        </is>
      </c>
      <c r="B67" s="1" t="n">
        <v>44336</v>
      </c>
      <c r="C67" s="1" t="n">
        <v>45917</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37237-2023</t>
        </is>
      </c>
      <c r="B68" s="1" t="n">
        <v>45155</v>
      </c>
      <c r="C68" s="1" t="n">
        <v>45917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15977-2024</t>
        </is>
      </c>
      <c r="B69" s="1" t="n">
        <v>45405.57392361111</v>
      </c>
      <c r="C69" s="1" t="n">
        <v>45917</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11829-2023</t>
        </is>
      </c>
      <c r="B70" s="1" t="n">
        <v>44994</v>
      </c>
      <c r="C70" s="1" t="n">
        <v>45917</v>
      </c>
      <c r="D70" t="inlineStr">
        <is>
          <t>JÄMTLANDS LÄN</t>
        </is>
      </c>
      <c r="E70" t="inlineStr">
        <is>
          <t>RAGUNDA</t>
        </is>
      </c>
      <c r="F70" t="inlineStr">
        <is>
          <t>SCA</t>
        </is>
      </c>
      <c r="G70" t="n">
        <v>1.8</v>
      </c>
      <c r="H70" t="n">
        <v>0</v>
      </c>
      <c r="I70" t="n">
        <v>1</v>
      </c>
      <c r="J70" t="n">
        <v>6</v>
      </c>
      <c r="K70" t="n">
        <v>0</v>
      </c>
      <c r="L70" t="n">
        <v>0</v>
      </c>
      <c r="M70" t="n">
        <v>0</v>
      </c>
      <c r="N70" t="n">
        <v>0</v>
      </c>
      <c r="O70" t="n">
        <v>6</v>
      </c>
      <c r="P70" t="n">
        <v>0</v>
      </c>
      <c r="Q70" t="n">
        <v>7</v>
      </c>
      <c r="R70" s="2" t="inlineStr">
        <is>
          <t>Garnlav
Kolflarnlav
Lunglav
Ullticka
Vedflamlav
Vedtrappmossa
Vedticka</t>
        </is>
      </c>
      <c r="S70">
        <f>HYPERLINK("https://klasma.github.io/Logging_2303/artfynd/A 11829-2023 artfynd.xlsx", "A 11829-2023")</f>
        <v/>
      </c>
      <c r="T70">
        <f>HYPERLINK("https://klasma.github.io/Logging_2303/kartor/A 11829-2023 karta.png", "A 11829-2023")</f>
        <v/>
      </c>
      <c r="U70">
        <f>HYPERLINK("https://klasma.github.io/Logging_2303/knärot/A 11829-2023 karta knärot.png", "A 11829-2023")</f>
        <v/>
      </c>
      <c r="V70">
        <f>HYPERLINK("https://klasma.github.io/Logging_2303/klagomål/A 11829-2023 FSC-klagomål.docx", "A 11829-2023")</f>
        <v/>
      </c>
      <c r="W70">
        <f>HYPERLINK("https://klasma.github.io/Logging_2303/klagomålsmail/A 11829-2023 FSC-klagomål mail.docx", "A 11829-2023")</f>
        <v/>
      </c>
      <c r="X70">
        <f>HYPERLINK("https://klasma.github.io/Logging_2303/tillsyn/A 11829-2023 tillsynsbegäran.docx", "A 11829-2023")</f>
        <v/>
      </c>
      <c r="Y70">
        <f>HYPERLINK("https://klasma.github.io/Logging_2303/tillsynsmail/A 11829-2023 tillsynsbegäran mail.docx", "A 11829-2023")</f>
        <v/>
      </c>
    </row>
    <row r="71" ht="15" customHeight="1">
      <c r="A71" t="inlineStr">
        <is>
          <t>A 41929-2023</t>
        </is>
      </c>
      <c r="B71" s="1" t="n">
        <v>45176</v>
      </c>
      <c r="C71" s="1" t="n">
        <v>45917</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50987-2020</t>
        </is>
      </c>
      <c r="B72" s="1" t="n">
        <v>44111</v>
      </c>
      <c r="C72" s="1" t="n">
        <v>45917</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45917</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53021-2022</t>
        </is>
      </c>
      <c r="B74" s="1" t="n">
        <v>44875</v>
      </c>
      <c r="C74" s="1" t="n">
        <v>45917</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30884-2025</t>
        </is>
      </c>
      <c r="B75" s="1" t="n">
        <v>45832.34564814815</v>
      </c>
      <c r="C75" s="1" t="n">
        <v>45917</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19402-2025</t>
        </is>
      </c>
      <c r="B76" s="1" t="n">
        <v>45769.67778935185</v>
      </c>
      <c r="C76" s="1" t="n">
        <v>45917</v>
      </c>
      <c r="D76" t="inlineStr">
        <is>
          <t>JÄMTLANDS LÄN</t>
        </is>
      </c>
      <c r="E76" t="inlineStr">
        <is>
          <t>RAGUNDA</t>
        </is>
      </c>
      <c r="F76" t="inlineStr">
        <is>
          <t>SCA</t>
        </is>
      </c>
      <c r="G76" t="n">
        <v>3.1</v>
      </c>
      <c r="H76" t="n">
        <v>2</v>
      </c>
      <c r="I76" t="n">
        <v>3</v>
      </c>
      <c r="J76" t="n">
        <v>3</v>
      </c>
      <c r="K76" t="n">
        <v>0</v>
      </c>
      <c r="L76" t="n">
        <v>0</v>
      </c>
      <c r="M76" t="n">
        <v>0</v>
      </c>
      <c r="N76" t="n">
        <v>0</v>
      </c>
      <c r="O76" t="n">
        <v>3</v>
      </c>
      <c r="P76" t="n">
        <v>0</v>
      </c>
      <c r="Q76" t="n">
        <v>6</v>
      </c>
      <c r="R76" s="2" t="inlineStr">
        <is>
          <t>Garnlav
Lunglav
Tretåig hackspett
Bårdlav
Spindelblomster
Stuplav</t>
        </is>
      </c>
      <c r="S76">
        <f>HYPERLINK("https://klasma.github.io/Logging_2303/artfynd/A 19402-2025 artfynd.xlsx", "A 19402-2025")</f>
        <v/>
      </c>
      <c r="T76">
        <f>HYPERLINK("https://klasma.github.io/Logging_2303/kartor/A 19402-2025 karta.png", "A 19402-2025")</f>
        <v/>
      </c>
      <c r="V76">
        <f>HYPERLINK("https://klasma.github.io/Logging_2303/klagomål/A 19402-2025 FSC-klagomål.docx", "A 19402-2025")</f>
        <v/>
      </c>
      <c r="W76">
        <f>HYPERLINK("https://klasma.github.io/Logging_2303/klagomålsmail/A 19402-2025 FSC-klagomål mail.docx", "A 19402-2025")</f>
        <v/>
      </c>
      <c r="X76">
        <f>HYPERLINK("https://klasma.github.io/Logging_2303/tillsyn/A 19402-2025 tillsynsbegäran.docx", "A 19402-2025")</f>
        <v/>
      </c>
      <c r="Y76">
        <f>HYPERLINK("https://klasma.github.io/Logging_2303/tillsynsmail/A 19402-2025 tillsynsbegäran mail.docx", "A 19402-2025")</f>
        <v/>
      </c>
      <c r="Z76">
        <f>HYPERLINK("https://klasma.github.io/Logging_2303/fåglar/A 19402-2025 prioriterade fågelarter.docx", "A 19402-2025")</f>
        <v/>
      </c>
    </row>
    <row r="77" ht="15" customHeight="1">
      <c r="A77" t="inlineStr">
        <is>
          <t>A 27322-2024</t>
        </is>
      </c>
      <c r="B77" s="1" t="n">
        <v>45471.94783564815</v>
      </c>
      <c r="C77" s="1" t="n">
        <v>45917</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933-2023</t>
        </is>
      </c>
      <c r="B78" s="1" t="n">
        <v>44932</v>
      </c>
      <c r="C78" s="1" t="n">
        <v>45917</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45917</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39973-2025</t>
        </is>
      </c>
      <c r="B80" s="1" t="n">
        <v>45893.38584490741</v>
      </c>
      <c r="C80" s="1" t="n">
        <v>45917</v>
      </c>
      <c r="D80" t="inlineStr">
        <is>
          <t>JÄMTLANDS LÄN</t>
        </is>
      </c>
      <c r="E80" t="inlineStr">
        <is>
          <t>RAGUNDA</t>
        </is>
      </c>
      <c r="F80" t="inlineStr">
        <is>
          <t>Naturvårdsverket</t>
        </is>
      </c>
      <c r="G80" t="n">
        <v>8</v>
      </c>
      <c r="H80" t="n">
        <v>0</v>
      </c>
      <c r="I80" t="n">
        <v>1</v>
      </c>
      <c r="J80" t="n">
        <v>5</v>
      </c>
      <c r="K80" t="n">
        <v>0</v>
      </c>
      <c r="L80" t="n">
        <v>0</v>
      </c>
      <c r="M80" t="n">
        <v>0</v>
      </c>
      <c r="N80" t="n">
        <v>0</v>
      </c>
      <c r="O80" t="n">
        <v>5</v>
      </c>
      <c r="P80" t="n">
        <v>0</v>
      </c>
      <c r="Q80" t="n">
        <v>6</v>
      </c>
      <c r="R80" s="2" t="inlineStr">
        <is>
          <t>Granticka
Lunglav
Mörk kolflarnlav
Tallticka
Vedskivlav
Skinnlav</t>
        </is>
      </c>
      <c r="S80">
        <f>HYPERLINK("https://klasma.github.io/Logging_2303/artfynd/A 39973-2025 artfynd.xlsx", "A 39973-2025")</f>
        <v/>
      </c>
      <c r="T80">
        <f>HYPERLINK("https://klasma.github.io/Logging_2303/kartor/A 39973-2025 karta.png", "A 39973-2025")</f>
        <v/>
      </c>
      <c r="V80">
        <f>HYPERLINK("https://klasma.github.io/Logging_2303/klagomål/A 39973-2025 FSC-klagomål.docx", "A 39973-2025")</f>
        <v/>
      </c>
      <c r="W80">
        <f>HYPERLINK("https://klasma.github.io/Logging_2303/klagomålsmail/A 39973-2025 FSC-klagomål mail.docx", "A 39973-2025")</f>
        <v/>
      </c>
      <c r="X80">
        <f>HYPERLINK("https://klasma.github.io/Logging_2303/tillsyn/A 39973-2025 tillsynsbegäran.docx", "A 39973-2025")</f>
        <v/>
      </c>
      <c r="Y80">
        <f>HYPERLINK("https://klasma.github.io/Logging_2303/tillsynsmail/A 39973-2025 tillsynsbegäran mail.docx", "A 39973-2025")</f>
        <v/>
      </c>
    </row>
    <row r="81" ht="15" customHeight="1">
      <c r="A81" t="inlineStr">
        <is>
          <t>A 34317-2025</t>
        </is>
      </c>
      <c r="B81" s="1" t="n">
        <v>45846.41361111111</v>
      </c>
      <c r="C81" s="1" t="n">
        <v>45917</v>
      </c>
      <c r="D81" t="inlineStr">
        <is>
          <t>JÄMTLANDS LÄN</t>
        </is>
      </c>
      <c r="E81" t="inlineStr">
        <is>
          <t>RAGUNDA</t>
        </is>
      </c>
      <c r="G81" t="n">
        <v>8.300000000000001</v>
      </c>
      <c r="H81" t="n">
        <v>2</v>
      </c>
      <c r="I81" t="n">
        <v>1</v>
      </c>
      <c r="J81" t="n">
        <v>4</v>
      </c>
      <c r="K81" t="n">
        <v>1</v>
      </c>
      <c r="L81" t="n">
        <v>0</v>
      </c>
      <c r="M81" t="n">
        <v>0</v>
      </c>
      <c r="N81" t="n">
        <v>0</v>
      </c>
      <c r="O81" t="n">
        <v>5</v>
      </c>
      <c r="P81" t="n">
        <v>1</v>
      </c>
      <c r="Q81" t="n">
        <v>6</v>
      </c>
      <c r="R81" s="2" t="inlineStr">
        <is>
          <t>Knärot
Garnlav
Lunglav
Nordtagging
Talltita
Skinnlav</t>
        </is>
      </c>
      <c r="S81">
        <f>HYPERLINK("https://klasma.github.io/Logging_2303/artfynd/A 34317-2025 artfynd.xlsx", "A 34317-2025")</f>
        <v/>
      </c>
      <c r="T81">
        <f>HYPERLINK("https://klasma.github.io/Logging_2303/kartor/A 34317-2025 karta.png", "A 34317-2025")</f>
        <v/>
      </c>
      <c r="U81">
        <f>HYPERLINK("https://klasma.github.io/Logging_2303/knärot/A 34317-2025 karta knärot.png", "A 34317-2025")</f>
        <v/>
      </c>
      <c r="V81">
        <f>HYPERLINK("https://klasma.github.io/Logging_2303/klagomål/A 34317-2025 FSC-klagomål.docx", "A 34317-2025")</f>
        <v/>
      </c>
      <c r="W81">
        <f>HYPERLINK("https://klasma.github.io/Logging_2303/klagomålsmail/A 34317-2025 FSC-klagomål mail.docx", "A 34317-2025")</f>
        <v/>
      </c>
      <c r="X81">
        <f>HYPERLINK("https://klasma.github.io/Logging_2303/tillsyn/A 34317-2025 tillsynsbegäran.docx", "A 34317-2025")</f>
        <v/>
      </c>
      <c r="Y81">
        <f>HYPERLINK("https://klasma.github.io/Logging_2303/tillsynsmail/A 34317-2025 tillsynsbegäran mail.docx", "A 34317-2025")</f>
        <v/>
      </c>
      <c r="Z81">
        <f>HYPERLINK("https://klasma.github.io/Logging_2303/fåglar/A 34317-2025 prioriterade fågelarter.docx", "A 34317-2025")</f>
        <v/>
      </c>
    </row>
    <row r="82" ht="15" customHeight="1">
      <c r="A82" t="inlineStr">
        <is>
          <t>A 30637-2024</t>
        </is>
      </c>
      <c r="B82" s="1" t="n">
        <v>45495.56244212963</v>
      </c>
      <c r="C82" s="1" t="n">
        <v>45917</v>
      </c>
      <c r="D82" t="inlineStr">
        <is>
          <t>JÄMTLANDS LÄN</t>
        </is>
      </c>
      <c r="E82" t="inlineStr">
        <is>
          <t>RAGUNDA</t>
        </is>
      </c>
      <c r="G82" t="n">
        <v>4.1</v>
      </c>
      <c r="H82" t="n">
        <v>5</v>
      </c>
      <c r="I82" t="n">
        <v>0</v>
      </c>
      <c r="J82" t="n">
        <v>4</v>
      </c>
      <c r="K82" t="n">
        <v>1</v>
      </c>
      <c r="L82" t="n">
        <v>0</v>
      </c>
      <c r="M82" t="n">
        <v>0</v>
      </c>
      <c r="N82" t="n">
        <v>0</v>
      </c>
      <c r="O82" t="n">
        <v>5</v>
      </c>
      <c r="P82" t="n">
        <v>1</v>
      </c>
      <c r="Q82" t="n">
        <v>6</v>
      </c>
      <c r="R82" s="2" t="inlineStr">
        <is>
          <t>Knärot
Lunglav
Spillkråka
Talltita
Tretåig hackspett
Vanlig groda</t>
        </is>
      </c>
      <c r="S82">
        <f>HYPERLINK("https://klasma.github.io/Logging_2303/artfynd/A 30637-2024 artfynd.xlsx", "A 30637-2024")</f>
        <v/>
      </c>
      <c r="T82">
        <f>HYPERLINK("https://klasma.github.io/Logging_2303/kartor/A 30637-2024 karta.png", "A 30637-2024")</f>
        <v/>
      </c>
      <c r="U82">
        <f>HYPERLINK("https://klasma.github.io/Logging_2303/knärot/A 30637-2024 karta knärot.png", "A 30637-2024")</f>
        <v/>
      </c>
      <c r="V82">
        <f>HYPERLINK("https://klasma.github.io/Logging_2303/klagomål/A 30637-2024 FSC-klagomål.docx", "A 30637-2024")</f>
        <v/>
      </c>
      <c r="W82">
        <f>HYPERLINK("https://klasma.github.io/Logging_2303/klagomålsmail/A 30637-2024 FSC-klagomål mail.docx", "A 30637-2024")</f>
        <v/>
      </c>
      <c r="X82">
        <f>HYPERLINK("https://klasma.github.io/Logging_2303/tillsyn/A 30637-2024 tillsynsbegäran.docx", "A 30637-2024")</f>
        <v/>
      </c>
      <c r="Y82">
        <f>HYPERLINK("https://klasma.github.io/Logging_2303/tillsynsmail/A 30637-2024 tillsynsbegäran mail.docx", "A 30637-2024")</f>
        <v/>
      </c>
      <c r="Z82">
        <f>HYPERLINK("https://klasma.github.io/Logging_2303/fåglar/A 30637-2024 prioriterade fågelarter.docx", "A 30637-2024")</f>
        <v/>
      </c>
    </row>
    <row r="83" ht="15" customHeight="1">
      <c r="A83" t="inlineStr">
        <is>
          <t>A 26326-2024</t>
        </is>
      </c>
      <c r="B83" s="1" t="n">
        <v>45468.97528935185</v>
      </c>
      <c r="C83" s="1" t="n">
        <v>45917</v>
      </c>
      <c r="D83" t="inlineStr">
        <is>
          <t>JÄMTLANDS LÄN</t>
        </is>
      </c>
      <c r="E83" t="inlineStr">
        <is>
          <t>RAGUNDA</t>
        </is>
      </c>
      <c r="F83" t="inlineStr">
        <is>
          <t>SCA</t>
        </is>
      </c>
      <c r="G83" t="n">
        <v>1.8</v>
      </c>
      <c r="H83" t="n">
        <v>1</v>
      </c>
      <c r="I83" t="n">
        <v>1</v>
      </c>
      <c r="J83" t="n">
        <v>4</v>
      </c>
      <c r="K83" t="n">
        <v>1</v>
      </c>
      <c r="L83" t="n">
        <v>0</v>
      </c>
      <c r="M83" t="n">
        <v>0</v>
      </c>
      <c r="N83" t="n">
        <v>0</v>
      </c>
      <c r="O83" t="n">
        <v>5</v>
      </c>
      <c r="P83" t="n">
        <v>1</v>
      </c>
      <c r="Q83" t="n">
        <v>6</v>
      </c>
      <c r="R83" s="2" t="inlineStr">
        <is>
          <t>Knärot
Gammelgransskål
Kortskaftad ärgspik
Mörk kolflarnlav
Vedtrappmossa
Gytterlav</t>
        </is>
      </c>
      <c r="S83">
        <f>HYPERLINK("https://klasma.github.io/Logging_2303/artfynd/A 26326-2024 artfynd.xlsx", "A 26326-2024")</f>
        <v/>
      </c>
      <c r="T83">
        <f>HYPERLINK("https://klasma.github.io/Logging_2303/kartor/A 26326-2024 karta.png", "A 26326-2024")</f>
        <v/>
      </c>
      <c r="U83">
        <f>HYPERLINK("https://klasma.github.io/Logging_2303/knärot/A 26326-2024 karta knärot.png", "A 26326-2024")</f>
        <v/>
      </c>
      <c r="V83">
        <f>HYPERLINK("https://klasma.github.io/Logging_2303/klagomål/A 26326-2024 FSC-klagomål.docx", "A 26326-2024")</f>
        <v/>
      </c>
      <c r="W83">
        <f>HYPERLINK("https://klasma.github.io/Logging_2303/klagomålsmail/A 26326-2024 FSC-klagomål mail.docx", "A 26326-2024")</f>
        <v/>
      </c>
      <c r="X83">
        <f>HYPERLINK("https://klasma.github.io/Logging_2303/tillsyn/A 26326-2024 tillsynsbegäran.docx", "A 26326-2024")</f>
        <v/>
      </c>
      <c r="Y83">
        <f>HYPERLINK("https://klasma.github.io/Logging_2303/tillsynsmail/A 26326-2024 tillsynsbegäran mail.docx", "A 26326-2024")</f>
        <v/>
      </c>
    </row>
    <row r="84" ht="15" customHeight="1">
      <c r="A84" t="inlineStr">
        <is>
          <t>A 49239-2024</t>
        </is>
      </c>
      <c r="B84" s="1" t="n">
        <v>45595.44886574074</v>
      </c>
      <c r="C84" s="1" t="n">
        <v>45917</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24431-2024</t>
        </is>
      </c>
      <c r="B85" s="1" t="n">
        <v>45457</v>
      </c>
      <c r="C85" s="1" t="n">
        <v>45917</v>
      </c>
      <c r="D85" t="inlineStr">
        <is>
          <t>JÄMTLANDS LÄN</t>
        </is>
      </c>
      <c r="E85" t="inlineStr">
        <is>
          <t>RAGUNDA</t>
        </is>
      </c>
      <c r="F85" t="inlineStr">
        <is>
          <t>SCA</t>
        </is>
      </c>
      <c r="G85" t="n">
        <v>3.6</v>
      </c>
      <c r="H85" t="n">
        <v>1</v>
      </c>
      <c r="I85" t="n">
        <v>0</v>
      </c>
      <c r="J85" t="n">
        <v>6</v>
      </c>
      <c r="K85" t="n">
        <v>0</v>
      </c>
      <c r="L85" t="n">
        <v>0</v>
      </c>
      <c r="M85" t="n">
        <v>0</v>
      </c>
      <c r="N85" t="n">
        <v>0</v>
      </c>
      <c r="O85" t="n">
        <v>6</v>
      </c>
      <c r="P85" t="n">
        <v>0</v>
      </c>
      <c r="Q85" t="n">
        <v>6</v>
      </c>
      <c r="R85" s="2" t="inlineStr">
        <is>
          <t>Doftskinn
Gammelgransskål
Rosenticka
Tretåig hackspett
Ullticka
Vitgrynig nållav</t>
        </is>
      </c>
      <c r="S85">
        <f>HYPERLINK("https://klasma.github.io/Logging_2303/artfynd/A 24431-2024 artfynd.xlsx", "A 24431-2024")</f>
        <v/>
      </c>
      <c r="T85">
        <f>HYPERLINK("https://klasma.github.io/Logging_2303/kartor/A 24431-2024 karta.png", "A 24431-2024")</f>
        <v/>
      </c>
      <c r="V85">
        <f>HYPERLINK("https://klasma.github.io/Logging_2303/klagomål/A 24431-2024 FSC-klagomål.docx", "A 24431-2024")</f>
        <v/>
      </c>
      <c r="W85">
        <f>HYPERLINK("https://klasma.github.io/Logging_2303/klagomålsmail/A 24431-2024 FSC-klagomål mail.docx", "A 24431-2024")</f>
        <v/>
      </c>
      <c r="X85">
        <f>HYPERLINK("https://klasma.github.io/Logging_2303/tillsyn/A 24431-2024 tillsynsbegäran.docx", "A 24431-2024")</f>
        <v/>
      </c>
      <c r="Y85">
        <f>HYPERLINK("https://klasma.github.io/Logging_2303/tillsynsmail/A 24431-2024 tillsynsbegäran mail.docx", "A 24431-2024")</f>
        <v/>
      </c>
      <c r="Z85">
        <f>HYPERLINK("https://klasma.github.io/Logging_2303/fåglar/A 24431-2024 prioriterade fågelarter.docx", "A 24431-2024")</f>
        <v/>
      </c>
    </row>
    <row r="86" ht="15" customHeight="1">
      <c r="A86" t="inlineStr">
        <is>
          <t>A 36276-2025</t>
        </is>
      </c>
      <c r="B86" s="1" t="n">
        <v>45867.63619212963</v>
      </c>
      <c r="C86" s="1" t="n">
        <v>45917</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12040-2025</t>
        </is>
      </c>
      <c r="B87" s="1" t="n">
        <v>45728.65684027778</v>
      </c>
      <c r="C87" s="1" t="n">
        <v>45917</v>
      </c>
      <c r="D87" t="inlineStr">
        <is>
          <t>JÄMTLANDS LÄN</t>
        </is>
      </c>
      <c r="E87" t="inlineStr">
        <is>
          <t>RAGUNDA</t>
        </is>
      </c>
      <c r="F87" t="inlineStr">
        <is>
          <t>SCA</t>
        </is>
      </c>
      <c r="G87" t="n">
        <v>28.5</v>
      </c>
      <c r="H87" t="n">
        <v>0</v>
      </c>
      <c r="I87" t="n">
        <v>2</v>
      </c>
      <c r="J87" t="n">
        <v>4</v>
      </c>
      <c r="K87" t="n">
        <v>0</v>
      </c>
      <c r="L87" t="n">
        <v>0</v>
      </c>
      <c r="M87" t="n">
        <v>0</v>
      </c>
      <c r="N87" t="n">
        <v>0</v>
      </c>
      <c r="O87" t="n">
        <v>4</v>
      </c>
      <c r="P87" t="n">
        <v>0</v>
      </c>
      <c r="Q87" t="n">
        <v>6</v>
      </c>
      <c r="R87" s="2" t="inlineStr">
        <is>
          <t>Blå taggsvamp
Skrovlig taggsvamp
Tallriska
Äggvaxskivling
Dropptaggsvamp
Skarp dropptaggsvamp</t>
        </is>
      </c>
      <c r="S87">
        <f>HYPERLINK("https://klasma.github.io/Logging_2303/artfynd/A 12040-2025 artfynd.xlsx", "A 12040-2025")</f>
        <v/>
      </c>
      <c r="T87">
        <f>HYPERLINK("https://klasma.github.io/Logging_2303/kartor/A 12040-2025 karta.png", "A 12040-2025")</f>
        <v/>
      </c>
      <c r="V87">
        <f>HYPERLINK("https://klasma.github.io/Logging_2303/klagomål/A 12040-2025 FSC-klagomål.docx", "A 12040-2025")</f>
        <v/>
      </c>
      <c r="W87">
        <f>HYPERLINK("https://klasma.github.io/Logging_2303/klagomålsmail/A 12040-2025 FSC-klagomål mail.docx", "A 12040-2025")</f>
        <v/>
      </c>
      <c r="X87">
        <f>HYPERLINK("https://klasma.github.io/Logging_2303/tillsyn/A 12040-2025 tillsynsbegäran.docx", "A 12040-2025")</f>
        <v/>
      </c>
      <c r="Y87">
        <f>HYPERLINK("https://klasma.github.io/Logging_2303/tillsynsmail/A 12040-2025 tillsynsbegäran mail.docx", "A 12040-2025")</f>
        <v/>
      </c>
    </row>
    <row r="88" ht="15" customHeight="1">
      <c r="A88" t="inlineStr">
        <is>
          <t>A 55646-2023</t>
        </is>
      </c>
      <c r="B88" s="1" t="n">
        <v>45238</v>
      </c>
      <c r="C88" s="1" t="n">
        <v>45917</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14908-2022</t>
        </is>
      </c>
      <c r="B89" s="1" t="n">
        <v>44656</v>
      </c>
      <c r="C89" s="1" t="n">
        <v>45917</v>
      </c>
      <c r="D89" t="inlineStr">
        <is>
          <t>JÄMTLANDS LÄN</t>
        </is>
      </c>
      <c r="E89" t="inlineStr">
        <is>
          <t>RAGUNDA</t>
        </is>
      </c>
      <c r="F89" t="inlineStr">
        <is>
          <t>SCA</t>
        </is>
      </c>
      <c r="G89" t="n">
        <v>4.6</v>
      </c>
      <c r="H89" t="n">
        <v>0</v>
      </c>
      <c r="I89" t="n">
        <v>3</v>
      </c>
      <c r="J89" t="n">
        <v>2</v>
      </c>
      <c r="K89" t="n">
        <v>0</v>
      </c>
      <c r="L89" t="n">
        <v>0</v>
      </c>
      <c r="M89" t="n">
        <v>0</v>
      </c>
      <c r="N89" t="n">
        <v>0</v>
      </c>
      <c r="O89" t="n">
        <v>2</v>
      </c>
      <c r="P89" t="n">
        <v>0</v>
      </c>
      <c r="Q89" t="n">
        <v>5</v>
      </c>
      <c r="R89" s="2" t="inlineStr">
        <is>
          <t>Garnlav
Skrovellav
Bårdlav
Källmossa
Ögonpyrola</t>
        </is>
      </c>
      <c r="S89">
        <f>HYPERLINK("https://klasma.github.io/Logging_2303/artfynd/A 14908-2022 artfynd.xlsx", "A 14908-2022")</f>
        <v/>
      </c>
      <c r="T89">
        <f>HYPERLINK("https://klasma.github.io/Logging_2303/kartor/A 14908-2022 karta.png", "A 14908-2022")</f>
        <v/>
      </c>
      <c r="V89">
        <f>HYPERLINK("https://klasma.github.io/Logging_2303/klagomål/A 14908-2022 FSC-klagomål.docx", "A 14908-2022")</f>
        <v/>
      </c>
      <c r="W89">
        <f>HYPERLINK("https://klasma.github.io/Logging_2303/klagomålsmail/A 14908-2022 FSC-klagomål mail.docx", "A 14908-2022")</f>
        <v/>
      </c>
      <c r="X89">
        <f>HYPERLINK("https://klasma.github.io/Logging_2303/tillsyn/A 14908-2022 tillsynsbegäran.docx", "A 14908-2022")</f>
        <v/>
      </c>
      <c r="Y89">
        <f>HYPERLINK("https://klasma.github.io/Logging_2303/tillsynsmail/A 14908-2022 tillsynsbegäran mail.docx", "A 14908-2022")</f>
        <v/>
      </c>
    </row>
    <row r="90" ht="15" customHeight="1">
      <c r="A90" t="inlineStr">
        <is>
          <t>A 57073-2023</t>
        </is>
      </c>
      <c r="B90" s="1" t="n">
        <v>45244</v>
      </c>
      <c r="C90" s="1" t="n">
        <v>45917</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Aspgelélav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39365-2024</t>
        </is>
      </c>
      <c r="B91" s="1" t="n">
        <v>45551.46912037037</v>
      </c>
      <c r="C91" s="1" t="n">
        <v>45917</v>
      </c>
      <c r="D91" t="inlineStr">
        <is>
          <t>JÄMTLANDS LÄN</t>
        </is>
      </c>
      <c r="E91" t="inlineStr">
        <is>
          <t>RAGUNDA</t>
        </is>
      </c>
      <c r="F91" t="inlineStr">
        <is>
          <t>SCA</t>
        </is>
      </c>
      <c r="G91" t="n">
        <v>7.3</v>
      </c>
      <c r="H91" t="n">
        <v>0</v>
      </c>
      <c r="I91" t="n">
        <v>3</v>
      </c>
      <c r="J91" t="n">
        <v>2</v>
      </c>
      <c r="K91" t="n">
        <v>0</v>
      </c>
      <c r="L91" t="n">
        <v>0</v>
      </c>
      <c r="M91" t="n">
        <v>0</v>
      </c>
      <c r="N91" t="n">
        <v>0</v>
      </c>
      <c r="O91" t="n">
        <v>2</v>
      </c>
      <c r="P91" t="n">
        <v>0</v>
      </c>
      <c r="Q91" t="n">
        <v>5</v>
      </c>
      <c r="R91" s="2" t="inlineStr">
        <is>
          <t>Lunglav
Ullticka
Korallblylav
Stor aspticka
Vedticka</t>
        </is>
      </c>
      <c r="S91">
        <f>HYPERLINK("https://klasma.github.io/Logging_2303/artfynd/A 39365-2024 artfynd.xlsx", "A 39365-2024")</f>
        <v/>
      </c>
      <c r="T91">
        <f>HYPERLINK("https://klasma.github.io/Logging_2303/kartor/A 39365-2024 karta.png", "A 39365-2024")</f>
        <v/>
      </c>
      <c r="U91">
        <f>HYPERLINK("https://klasma.github.io/Logging_2303/knärot/A 39365-2024 karta knärot.png", "A 39365-2024")</f>
        <v/>
      </c>
      <c r="V91">
        <f>HYPERLINK("https://klasma.github.io/Logging_2303/klagomål/A 39365-2024 FSC-klagomål.docx", "A 39365-2024")</f>
        <v/>
      </c>
      <c r="W91">
        <f>HYPERLINK("https://klasma.github.io/Logging_2303/klagomålsmail/A 39365-2024 FSC-klagomål mail.docx", "A 39365-2024")</f>
        <v/>
      </c>
      <c r="X91">
        <f>HYPERLINK("https://klasma.github.io/Logging_2303/tillsyn/A 39365-2024 tillsynsbegäran.docx", "A 39365-2024")</f>
        <v/>
      </c>
      <c r="Y91">
        <f>HYPERLINK("https://klasma.github.io/Logging_2303/tillsynsmail/A 39365-2024 tillsynsbegäran mail.docx", "A 39365-2024")</f>
        <v/>
      </c>
    </row>
    <row r="92" ht="15" customHeight="1">
      <c r="A92" t="inlineStr">
        <is>
          <t>A 30886-2025</t>
        </is>
      </c>
      <c r="B92" s="1" t="n">
        <v>45832.34578703704</v>
      </c>
      <c r="C92" s="1" t="n">
        <v>45917</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18629-2024</t>
        </is>
      </c>
      <c r="B93" s="1" t="n">
        <v>45425.96472222222</v>
      </c>
      <c r="C93" s="1" t="n">
        <v>45917</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43106-2023</t>
        </is>
      </c>
      <c r="B94" s="1" t="n">
        <v>45182</v>
      </c>
      <c r="C94" s="1" t="n">
        <v>45917</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39974-2025</t>
        </is>
      </c>
      <c r="B95" s="1" t="n">
        <v>45893.38599537037</v>
      </c>
      <c r="C95" s="1" t="n">
        <v>45917</v>
      </c>
      <c r="D95" t="inlineStr">
        <is>
          <t>JÄMTLANDS LÄN</t>
        </is>
      </c>
      <c r="E95" t="inlineStr">
        <is>
          <t>RAGUNDA</t>
        </is>
      </c>
      <c r="F95" t="inlineStr">
        <is>
          <t>SCA</t>
        </is>
      </c>
      <c r="G95" t="n">
        <v>2.5</v>
      </c>
      <c r="H95" t="n">
        <v>0</v>
      </c>
      <c r="I95" t="n">
        <v>2</v>
      </c>
      <c r="J95" t="n">
        <v>3</v>
      </c>
      <c r="K95" t="n">
        <v>0</v>
      </c>
      <c r="L95" t="n">
        <v>0</v>
      </c>
      <c r="M95" t="n">
        <v>0</v>
      </c>
      <c r="N95" t="n">
        <v>0</v>
      </c>
      <c r="O95" t="n">
        <v>3</v>
      </c>
      <c r="P95" t="n">
        <v>0</v>
      </c>
      <c r="Q95" t="n">
        <v>5</v>
      </c>
      <c r="R95" s="2" t="inlineStr">
        <is>
          <t>Garnlav
Lunglav
Skrovellav
Dropptaggsvamp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27313-2024</t>
        </is>
      </c>
      <c r="B96" s="1" t="n">
        <v>45471.94623842592</v>
      </c>
      <c r="C96" s="1" t="n">
        <v>45917</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2579-2025</t>
        </is>
      </c>
      <c r="B97" s="1" t="n">
        <v>45674.67744212963</v>
      </c>
      <c r="C97" s="1" t="n">
        <v>45917</v>
      </c>
      <c r="D97" t="inlineStr">
        <is>
          <t>JÄMTLANDS LÄN</t>
        </is>
      </c>
      <c r="E97" t="inlineStr">
        <is>
          <t>RAGUNDA</t>
        </is>
      </c>
      <c r="F97" t="inlineStr">
        <is>
          <t>SCA</t>
        </is>
      </c>
      <c r="G97" t="n">
        <v>5.5</v>
      </c>
      <c r="H97" t="n">
        <v>3</v>
      </c>
      <c r="I97" t="n">
        <v>0</v>
      </c>
      <c r="J97" t="n">
        <v>4</v>
      </c>
      <c r="K97" t="n">
        <v>0</v>
      </c>
      <c r="L97" t="n">
        <v>0</v>
      </c>
      <c r="M97" t="n">
        <v>0</v>
      </c>
      <c r="N97" t="n">
        <v>0</v>
      </c>
      <c r="O97" t="n">
        <v>4</v>
      </c>
      <c r="P97" t="n">
        <v>0</v>
      </c>
      <c r="Q97" t="n">
        <v>5</v>
      </c>
      <c r="R97" s="2" t="inlineStr">
        <is>
          <t>Granticka
Rosenticka
Rördrom
Spillkråka
Revlummer</t>
        </is>
      </c>
      <c r="S97">
        <f>HYPERLINK("https://klasma.github.io/Logging_2303/artfynd/A 2579-2025 artfynd.xlsx", "A 2579-2025")</f>
        <v/>
      </c>
      <c r="T97">
        <f>HYPERLINK("https://klasma.github.io/Logging_2303/kartor/A 2579-2025 karta.png", "A 2579-2025")</f>
        <v/>
      </c>
      <c r="V97">
        <f>HYPERLINK("https://klasma.github.io/Logging_2303/klagomål/A 2579-2025 FSC-klagomål.docx", "A 2579-2025")</f>
        <v/>
      </c>
      <c r="W97">
        <f>HYPERLINK("https://klasma.github.io/Logging_2303/klagomålsmail/A 2579-2025 FSC-klagomål mail.docx", "A 2579-2025")</f>
        <v/>
      </c>
      <c r="X97">
        <f>HYPERLINK("https://klasma.github.io/Logging_2303/tillsyn/A 2579-2025 tillsynsbegäran.docx", "A 2579-2025")</f>
        <v/>
      </c>
      <c r="Y97">
        <f>HYPERLINK("https://klasma.github.io/Logging_2303/tillsynsmail/A 2579-2025 tillsynsbegäran mail.docx", "A 2579-2025")</f>
        <v/>
      </c>
      <c r="Z97">
        <f>HYPERLINK("https://klasma.github.io/Logging_2303/fåglar/A 2579-2025 prioriterade fågelarter.docx", "A 2579-2025")</f>
        <v/>
      </c>
    </row>
    <row r="98" ht="15" customHeight="1">
      <c r="A98" t="inlineStr">
        <is>
          <t>A 60683-2022</t>
        </is>
      </c>
      <c r="B98" s="1" t="n">
        <v>44911</v>
      </c>
      <c r="C98" s="1" t="n">
        <v>45917</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38169-2024</t>
        </is>
      </c>
      <c r="B99" s="1" t="n">
        <v>45545.45748842593</v>
      </c>
      <c r="C99" s="1" t="n">
        <v>45917</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15379-2024</t>
        </is>
      </c>
      <c r="B100" s="1" t="n">
        <v>45400.94002314815</v>
      </c>
      <c r="C100" s="1" t="n">
        <v>45917</v>
      </c>
      <c r="D100" t="inlineStr">
        <is>
          <t>JÄMTLANDS LÄN</t>
        </is>
      </c>
      <c r="E100" t="inlineStr">
        <is>
          <t>RAGUNDA</t>
        </is>
      </c>
      <c r="F100" t="inlineStr">
        <is>
          <t>SCA</t>
        </is>
      </c>
      <c r="G100" t="n">
        <v>4.2</v>
      </c>
      <c r="H100" t="n">
        <v>3</v>
      </c>
      <c r="I100" t="n">
        <v>3</v>
      </c>
      <c r="J100" t="n">
        <v>0</v>
      </c>
      <c r="K100" t="n">
        <v>1</v>
      </c>
      <c r="L100" t="n">
        <v>0</v>
      </c>
      <c r="M100" t="n">
        <v>0</v>
      </c>
      <c r="N100" t="n">
        <v>0</v>
      </c>
      <c r="O100" t="n">
        <v>1</v>
      </c>
      <c r="P100" t="n">
        <v>1</v>
      </c>
      <c r="Q100" t="n">
        <v>5</v>
      </c>
      <c r="R100" s="2" t="inlineStr">
        <is>
          <t>Knärot
Finbräken
Guckusko
Svavelriska
Blåsippa</t>
        </is>
      </c>
      <c r="S100">
        <f>HYPERLINK("https://klasma.github.io/Logging_2303/artfynd/A 15379-2024 artfynd.xlsx", "A 15379-2024")</f>
        <v/>
      </c>
      <c r="T100">
        <f>HYPERLINK("https://klasma.github.io/Logging_2303/kartor/A 15379-2024 karta.png", "A 15379-2024")</f>
        <v/>
      </c>
      <c r="U100">
        <f>HYPERLINK("https://klasma.github.io/Logging_2303/knärot/A 15379-2024 karta knärot.png", "A 15379-2024")</f>
        <v/>
      </c>
      <c r="V100">
        <f>HYPERLINK("https://klasma.github.io/Logging_2303/klagomål/A 15379-2024 FSC-klagomål.docx", "A 15379-2024")</f>
        <v/>
      </c>
      <c r="W100">
        <f>HYPERLINK("https://klasma.github.io/Logging_2303/klagomålsmail/A 15379-2024 FSC-klagomål mail.docx", "A 15379-2024")</f>
        <v/>
      </c>
      <c r="X100">
        <f>HYPERLINK("https://klasma.github.io/Logging_2303/tillsyn/A 15379-2024 tillsynsbegäran.docx", "A 15379-2024")</f>
        <v/>
      </c>
      <c r="Y100">
        <f>HYPERLINK("https://klasma.github.io/Logging_2303/tillsynsmail/A 15379-2024 tillsynsbegäran mail.docx", "A 15379-2024")</f>
        <v/>
      </c>
    </row>
    <row r="101" ht="15" customHeight="1">
      <c r="A101" t="inlineStr">
        <is>
          <t>A 15244-2025</t>
        </is>
      </c>
      <c r="B101" s="1" t="n">
        <v>45744.61550925926</v>
      </c>
      <c r="C101" s="1" t="n">
        <v>45917</v>
      </c>
      <c r="D101" t="inlineStr">
        <is>
          <t>JÄMTLANDS LÄN</t>
        </is>
      </c>
      <c r="E101" t="inlineStr">
        <is>
          <t>RAGUNDA</t>
        </is>
      </c>
      <c r="F101" t="inlineStr">
        <is>
          <t>SCA</t>
        </is>
      </c>
      <c r="G101" t="n">
        <v>2.6</v>
      </c>
      <c r="H101" t="n">
        <v>0</v>
      </c>
      <c r="I101" t="n">
        <v>2</v>
      </c>
      <c r="J101" t="n">
        <v>3</v>
      </c>
      <c r="K101" t="n">
        <v>0</v>
      </c>
      <c r="L101" t="n">
        <v>0</v>
      </c>
      <c r="M101" t="n">
        <v>0</v>
      </c>
      <c r="N101" t="n">
        <v>0</v>
      </c>
      <c r="O101" t="n">
        <v>3</v>
      </c>
      <c r="P101" t="n">
        <v>0</v>
      </c>
      <c r="Q101" t="n">
        <v>5</v>
      </c>
      <c r="R101" s="2" t="inlineStr">
        <is>
          <t>Garnlav
Rosenticka
Ullticka
Stuplav
Vedticka</t>
        </is>
      </c>
      <c r="S101">
        <f>HYPERLINK("https://klasma.github.io/Logging_2303/artfynd/A 15244-2025 artfynd.xlsx", "A 15244-2025")</f>
        <v/>
      </c>
      <c r="T101">
        <f>HYPERLINK("https://klasma.github.io/Logging_2303/kartor/A 15244-2025 karta.png", "A 15244-2025")</f>
        <v/>
      </c>
      <c r="V101">
        <f>HYPERLINK("https://klasma.github.io/Logging_2303/klagomål/A 15244-2025 FSC-klagomål.docx", "A 15244-2025")</f>
        <v/>
      </c>
      <c r="W101">
        <f>HYPERLINK("https://klasma.github.io/Logging_2303/klagomålsmail/A 15244-2025 FSC-klagomål mail.docx", "A 15244-2025")</f>
        <v/>
      </c>
      <c r="X101">
        <f>HYPERLINK("https://klasma.github.io/Logging_2303/tillsyn/A 15244-2025 tillsynsbegäran.docx", "A 15244-2025")</f>
        <v/>
      </c>
      <c r="Y101">
        <f>HYPERLINK("https://klasma.github.io/Logging_2303/tillsynsmail/A 15244-2025 tillsynsbegäran mail.docx", "A 15244-2025")</f>
        <v/>
      </c>
    </row>
    <row r="102" ht="15" customHeight="1">
      <c r="A102" t="inlineStr">
        <is>
          <t>A 13266-2023</t>
        </is>
      </c>
      <c r="B102" s="1" t="n">
        <v>45002.94356481481</v>
      </c>
      <c r="C102" s="1" t="n">
        <v>45917</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22469-2024</t>
        </is>
      </c>
      <c r="B103" s="1" t="n">
        <v>45446.95087962963</v>
      </c>
      <c r="C103" s="1" t="n">
        <v>45917</v>
      </c>
      <c r="D103" t="inlineStr">
        <is>
          <t>JÄMTLANDS LÄN</t>
        </is>
      </c>
      <c r="E103" t="inlineStr">
        <is>
          <t>RAGUNDA</t>
        </is>
      </c>
      <c r="F103" t="inlineStr">
        <is>
          <t>SCA</t>
        </is>
      </c>
      <c r="G103" t="n">
        <v>5.2</v>
      </c>
      <c r="H103" t="n">
        <v>1</v>
      </c>
      <c r="I103" t="n">
        <v>2</v>
      </c>
      <c r="J103" t="n">
        <v>3</v>
      </c>
      <c r="K103" t="n">
        <v>0</v>
      </c>
      <c r="L103" t="n">
        <v>0</v>
      </c>
      <c r="M103" t="n">
        <v>0</v>
      </c>
      <c r="N103" t="n">
        <v>0</v>
      </c>
      <c r="O103" t="n">
        <v>3</v>
      </c>
      <c r="P103" t="n">
        <v>0</v>
      </c>
      <c r="Q103" t="n">
        <v>5</v>
      </c>
      <c r="R103" s="2" t="inlineStr">
        <is>
          <t>Gammelgransskål
Garnlav
Lunglav
Gytterlav
Tvåblad</t>
        </is>
      </c>
      <c r="S103">
        <f>HYPERLINK("https://klasma.github.io/Logging_2303/artfynd/A 22469-2024 artfynd.xlsx", "A 22469-2024")</f>
        <v/>
      </c>
      <c r="T103">
        <f>HYPERLINK("https://klasma.github.io/Logging_2303/kartor/A 22469-2024 karta.png", "A 22469-2024")</f>
        <v/>
      </c>
      <c r="V103">
        <f>HYPERLINK("https://klasma.github.io/Logging_2303/klagomål/A 22469-2024 FSC-klagomål.docx", "A 22469-2024")</f>
        <v/>
      </c>
      <c r="W103">
        <f>HYPERLINK("https://klasma.github.io/Logging_2303/klagomålsmail/A 22469-2024 FSC-klagomål mail.docx", "A 22469-2024")</f>
        <v/>
      </c>
      <c r="X103">
        <f>HYPERLINK("https://klasma.github.io/Logging_2303/tillsyn/A 22469-2024 tillsynsbegäran.docx", "A 22469-2024")</f>
        <v/>
      </c>
      <c r="Y103">
        <f>HYPERLINK("https://klasma.github.io/Logging_2303/tillsynsmail/A 22469-2024 tillsynsbegäran mail.docx", "A 22469-2024")</f>
        <v/>
      </c>
    </row>
    <row r="104" ht="15" customHeight="1">
      <c r="A104" t="inlineStr">
        <is>
          <t>A 45969-2023</t>
        </is>
      </c>
      <c r="B104" s="1" t="n">
        <v>45195</v>
      </c>
      <c r="C104" s="1" t="n">
        <v>45917</v>
      </c>
      <c r="D104" t="inlineStr">
        <is>
          <t>JÄMTLANDS LÄN</t>
        </is>
      </c>
      <c r="E104" t="inlineStr">
        <is>
          <t>RAGUNDA</t>
        </is>
      </c>
      <c r="F104" t="inlineStr">
        <is>
          <t>SCA</t>
        </is>
      </c>
      <c r="G104" t="n">
        <v>9.300000000000001</v>
      </c>
      <c r="H104" t="n">
        <v>1</v>
      </c>
      <c r="I104" t="n">
        <v>4</v>
      </c>
      <c r="J104" t="n">
        <v>1</v>
      </c>
      <c r="K104" t="n">
        <v>0</v>
      </c>
      <c r="L104" t="n">
        <v>0</v>
      </c>
      <c r="M104" t="n">
        <v>0</v>
      </c>
      <c r="N104" t="n">
        <v>0</v>
      </c>
      <c r="O104" t="n">
        <v>1</v>
      </c>
      <c r="P104" t="n">
        <v>0</v>
      </c>
      <c r="Q104" t="n">
        <v>5</v>
      </c>
      <c r="R104" s="2" t="inlineStr">
        <is>
          <t>Lunglav
Dropptaggsvamp
Grönpyrola
Plattlummer
Skarp dropptaggsvamp</t>
        </is>
      </c>
      <c r="S104">
        <f>HYPERLINK("https://klasma.github.io/Logging_2303/artfynd/A 45969-2023 artfynd.xlsx", "A 45969-2023")</f>
        <v/>
      </c>
      <c r="T104">
        <f>HYPERLINK("https://klasma.github.io/Logging_2303/kartor/A 45969-2023 karta.png", "A 45969-2023")</f>
        <v/>
      </c>
      <c r="V104">
        <f>HYPERLINK("https://klasma.github.io/Logging_2303/klagomål/A 45969-2023 FSC-klagomål.docx", "A 45969-2023")</f>
        <v/>
      </c>
      <c r="W104">
        <f>HYPERLINK("https://klasma.github.io/Logging_2303/klagomålsmail/A 45969-2023 FSC-klagomål mail.docx", "A 45969-2023")</f>
        <v/>
      </c>
      <c r="X104">
        <f>HYPERLINK("https://klasma.github.io/Logging_2303/tillsyn/A 45969-2023 tillsynsbegäran.docx", "A 45969-2023")</f>
        <v/>
      </c>
      <c r="Y104">
        <f>HYPERLINK("https://klasma.github.io/Logging_2303/tillsynsmail/A 45969-2023 tillsynsbegäran mail.docx", "A 45969-2023")</f>
        <v/>
      </c>
    </row>
    <row r="105" ht="15" customHeight="1">
      <c r="A105" t="inlineStr">
        <is>
          <t>A 8636-2021</t>
        </is>
      </c>
      <c r="B105" s="1" t="n">
        <v>44245</v>
      </c>
      <c r="C105" s="1" t="n">
        <v>45917</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45917</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45917</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45917</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15667-2022</t>
        </is>
      </c>
      <c r="B109" s="1" t="n">
        <v>44662</v>
      </c>
      <c r="C109" s="1" t="n">
        <v>45917</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45917</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26082-2025</t>
        </is>
      </c>
      <c r="B111" s="1" t="n">
        <v>45805.34415509259</v>
      </c>
      <c r="C111" s="1" t="n">
        <v>45917</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51686-2020</t>
        </is>
      </c>
      <c r="B112" s="1" t="n">
        <v>44113</v>
      </c>
      <c r="C112" s="1" t="n">
        <v>45917</v>
      </c>
      <c r="D112" t="inlineStr">
        <is>
          <t>JÄMTLANDS LÄN</t>
        </is>
      </c>
      <c r="E112" t="inlineStr">
        <is>
          <t>RAGUNDA</t>
        </is>
      </c>
      <c r="F112" t="inlineStr">
        <is>
          <t>SCA</t>
        </is>
      </c>
      <c r="G112" t="n">
        <v>1.8</v>
      </c>
      <c r="H112" t="n">
        <v>0</v>
      </c>
      <c r="I112" t="n">
        <v>1</v>
      </c>
      <c r="J112" t="n">
        <v>3</v>
      </c>
      <c r="K112" t="n">
        <v>0</v>
      </c>
      <c r="L112" t="n">
        <v>0</v>
      </c>
      <c r="M112" t="n">
        <v>0</v>
      </c>
      <c r="N112" t="n">
        <v>0</v>
      </c>
      <c r="O112" t="n">
        <v>3</v>
      </c>
      <c r="P112" t="n">
        <v>0</v>
      </c>
      <c r="Q112" t="n">
        <v>4</v>
      </c>
      <c r="R112" s="2" t="inlineStr">
        <is>
          <t>Kolflarnlav
Lunglav
Skrovellav
Stuplav</t>
        </is>
      </c>
      <c r="S112">
        <f>HYPERLINK("https://klasma.github.io/Logging_2303/artfynd/A 51686-2020 artfynd.xlsx", "A 51686-2020")</f>
        <v/>
      </c>
      <c r="T112">
        <f>HYPERLINK("https://klasma.github.io/Logging_2303/kartor/A 51686-2020 karta.png", "A 51686-2020")</f>
        <v/>
      </c>
      <c r="V112">
        <f>HYPERLINK("https://klasma.github.io/Logging_2303/klagomål/A 51686-2020 FSC-klagomål.docx", "A 51686-2020")</f>
        <v/>
      </c>
      <c r="W112">
        <f>HYPERLINK("https://klasma.github.io/Logging_2303/klagomålsmail/A 51686-2020 FSC-klagomål mail.docx", "A 51686-2020")</f>
        <v/>
      </c>
      <c r="X112">
        <f>HYPERLINK("https://klasma.github.io/Logging_2303/tillsyn/A 51686-2020 tillsynsbegäran.docx", "A 51686-2020")</f>
        <v/>
      </c>
      <c r="Y112">
        <f>HYPERLINK("https://klasma.github.io/Logging_2303/tillsynsmail/A 51686-2020 tillsynsbegäran mail.docx", "A 51686-2020")</f>
        <v/>
      </c>
    </row>
    <row r="113" ht="15" customHeight="1">
      <c r="A113" t="inlineStr">
        <is>
          <t>A 17092-2022</t>
        </is>
      </c>
      <c r="B113" s="1" t="n">
        <v>44677</v>
      </c>
      <c r="C113" s="1" t="n">
        <v>45917</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32067-2024</t>
        </is>
      </c>
      <c r="B114" s="1" t="n">
        <v>45510</v>
      </c>
      <c r="C114" s="1" t="n">
        <v>45917</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15836-2024</t>
        </is>
      </c>
      <c r="B115" s="1" t="n">
        <v>45404</v>
      </c>
      <c r="C115" s="1" t="n">
        <v>45917</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23931-2024</t>
        </is>
      </c>
      <c r="B116" s="1" t="n">
        <v>45455.96195601852</v>
      </c>
      <c r="C116" s="1" t="n">
        <v>45917</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30483-2024</t>
        </is>
      </c>
      <c r="B117" s="1" t="n">
        <v>45491</v>
      </c>
      <c r="C117" s="1" t="n">
        <v>45917</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40653-2025</t>
        </is>
      </c>
      <c r="B118" s="1" t="n">
        <v>45896.63618055556</v>
      </c>
      <c r="C118" s="1" t="n">
        <v>45917</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30465-2024</t>
        </is>
      </c>
      <c r="B119" s="1" t="n">
        <v>45491</v>
      </c>
      <c r="C119" s="1" t="n">
        <v>45917</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22467-2025</t>
        </is>
      </c>
      <c r="B120" s="1" t="n">
        <v>45786.61534722222</v>
      </c>
      <c r="C120" s="1" t="n">
        <v>45917</v>
      </c>
      <c r="D120" t="inlineStr">
        <is>
          <t>JÄMTLANDS LÄN</t>
        </is>
      </c>
      <c r="E120" t="inlineStr">
        <is>
          <t>RAGUNDA</t>
        </is>
      </c>
      <c r="F120" t="inlineStr">
        <is>
          <t>SCA</t>
        </is>
      </c>
      <c r="G120" t="n">
        <v>1.7</v>
      </c>
      <c r="H120" t="n">
        <v>1</v>
      </c>
      <c r="I120" t="n">
        <v>1</v>
      </c>
      <c r="J120" t="n">
        <v>3</v>
      </c>
      <c r="K120" t="n">
        <v>0</v>
      </c>
      <c r="L120" t="n">
        <v>0</v>
      </c>
      <c r="M120" t="n">
        <v>0</v>
      </c>
      <c r="N120" t="n">
        <v>0</v>
      </c>
      <c r="O120" t="n">
        <v>3</v>
      </c>
      <c r="P120" t="n">
        <v>0</v>
      </c>
      <c r="Q120" t="n">
        <v>4</v>
      </c>
      <c r="R120" s="2" t="inlineStr">
        <is>
          <t>Garnlav
Järpe
Lunglav
Bårdlav</t>
        </is>
      </c>
      <c r="S120">
        <f>HYPERLINK("https://klasma.github.io/Logging_2303/artfynd/A 22467-2025 artfynd.xlsx", "A 22467-2025")</f>
        <v/>
      </c>
      <c r="T120">
        <f>HYPERLINK("https://klasma.github.io/Logging_2303/kartor/A 22467-2025 karta.png", "A 22467-2025")</f>
        <v/>
      </c>
      <c r="V120">
        <f>HYPERLINK("https://klasma.github.io/Logging_2303/klagomål/A 22467-2025 FSC-klagomål.docx", "A 22467-2025")</f>
        <v/>
      </c>
      <c r="W120">
        <f>HYPERLINK("https://klasma.github.io/Logging_2303/klagomålsmail/A 22467-2025 FSC-klagomål mail.docx", "A 22467-2025")</f>
        <v/>
      </c>
      <c r="X120">
        <f>HYPERLINK("https://klasma.github.io/Logging_2303/tillsyn/A 22467-2025 tillsynsbegäran.docx", "A 22467-2025")</f>
        <v/>
      </c>
      <c r="Y120">
        <f>HYPERLINK("https://klasma.github.io/Logging_2303/tillsynsmail/A 22467-2025 tillsynsbegäran mail.docx", "A 22467-2025")</f>
        <v/>
      </c>
      <c r="Z120">
        <f>HYPERLINK("https://klasma.github.io/Logging_2303/fåglar/A 22467-2025 prioriterade fågelarter.docx", "A 22467-2025")</f>
        <v/>
      </c>
    </row>
    <row r="121" ht="15" customHeight="1">
      <c r="A121" t="inlineStr">
        <is>
          <t>A 43960-2023</t>
        </is>
      </c>
      <c r="B121" s="1" t="n">
        <v>45187</v>
      </c>
      <c r="C121" s="1" t="n">
        <v>45917</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60670-2022</t>
        </is>
      </c>
      <c r="B122" s="1" t="n">
        <v>44911</v>
      </c>
      <c r="C122" s="1" t="n">
        <v>45917</v>
      </c>
      <c r="D122" t="inlineStr">
        <is>
          <t>JÄMTLANDS LÄN</t>
        </is>
      </c>
      <c r="E122" t="inlineStr">
        <is>
          <t>RAGUNDA</t>
        </is>
      </c>
      <c r="F122" t="inlineStr">
        <is>
          <t>SCA</t>
        </is>
      </c>
      <c r="G122" t="n">
        <v>5.1</v>
      </c>
      <c r="H122" t="n">
        <v>0</v>
      </c>
      <c r="I122" t="n">
        <v>0</v>
      </c>
      <c r="J122" t="n">
        <v>4</v>
      </c>
      <c r="K122" t="n">
        <v>0</v>
      </c>
      <c r="L122" t="n">
        <v>0</v>
      </c>
      <c r="M122" t="n">
        <v>0</v>
      </c>
      <c r="N122" t="n">
        <v>0</v>
      </c>
      <c r="O122" t="n">
        <v>4</v>
      </c>
      <c r="P122" t="n">
        <v>0</v>
      </c>
      <c r="Q122" t="n">
        <v>4</v>
      </c>
      <c r="R122" s="2" t="inlineStr">
        <is>
          <t>Doftskinn
Gammelgransskål
Lunglav
Ullticka</t>
        </is>
      </c>
      <c r="S122">
        <f>HYPERLINK("https://klasma.github.io/Logging_2303/artfynd/A 60670-2022 artfynd.xlsx", "A 60670-2022")</f>
        <v/>
      </c>
      <c r="T122">
        <f>HYPERLINK("https://klasma.github.io/Logging_2303/kartor/A 60670-2022 karta.png", "A 60670-2022")</f>
        <v/>
      </c>
      <c r="V122">
        <f>HYPERLINK("https://klasma.github.io/Logging_2303/klagomål/A 60670-2022 FSC-klagomål.docx", "A 60670-2022")</f>
        <v/>
      </c>
      <c r="W122">
        <f>HYPERLINK("https://klasma.github.io/Logging_2303/klagomålsmail/A 60670-2022 FSC-klagomål mail.docx", "A 60670-2022")</f>
        <v/>
      </c>
      <c r="X122">
        <f>HYPERLINK("https://klasma.github.io/Logging_2303/tillsyn/A 60670-2022 tillsynsbegäran.docx", "A 60670-2022")</f>
        <v/>
      </c>
      <c r="Y122">
        <f>HYPERLINK("https://klasma.github.io/Logging_2303/tillsynsmail/A 60670-2022 tillsynsbegäran mail.docx", "A 60670-2022")</f>
        <v/>
      </c>
    </row>
    <row r="123" ht="15" customHeight="1">
      <c r="A123" t="inlineStr">
        <is>
          <t>A 21372-2025</t>
        </is>
      </c>
      <c r="B123" s="1" t="n">
        <v>45782.44871527778</v>
      </c>
      <c r="C123" s="1" t="n">
        <v>45917</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45917</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45917</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52644-2024</t>
        </is>
      </c>
      <c r="B126" s="1" t="n">
        <v>45610.34415509259</v>
      </c>
      <c r="C126" s="1" t="n">
        <v>45917</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48052-2022</t>
        </is>
      </c>
      <c r="B127" s="1" t="n">
        <v>44855</v>
      </c>
      <c r="C127" s="1" t="n">
        <v>45917</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45917</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45917</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45917</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20776-2024</t>
        </is>
      </c>
      <c r="B131" s="1" t="n">
        <v>45436.94686342592</v>
      </c>
      <c r="C131" s="1" t="n">
        <v>45917</v>
      </c>
      <c r="D131" t="inlineStr">
        <is>
          <t>JÄMTLANDS LÄN</t>
        </is>
      </c>
      <c r="E131" t="inlineStr">
        <is>
          <t>RAGUNDA</t>
        </is>
      </c>
      <c r="F131" t="inlineStr">
        <is>
          <t>SCA</t>
        </is>
      </c>
      <c r="G131" t="n">
        <v>5.2</v>
      </c>
      <c r="H131" t="n">
        <v>0</v>
      </c>
      <c r="I131" t="n">
        <v>0</v>
      </c>
      <c r="J131" t="n">
        <v>2</v>
      </c>
      <c r="K131" t="n">
        <v>1</v>
      </c>
      <c r="L131" t="n">
        <v>0</v>
      </c>
      <c r="M131" t="n">
        <v>0</v>
      </c>
      <c r="N131" t="n">
        <v>0</v>
      </c>
      <c r="O131" t="n">
        <v>3</v>
      </c>
      <c r="P131" t="n">
        <v>1</v>
      </c>
      <c r="Q131" t="n">
        <v>3</v>
      </c>
      <c r="R131" s="2" t="inlineStr">
        <is>
          <t>Liten hornflikmossa
Garnlav
Vedtrappmossa</t>
        </is>
      </c>
      <c r="S131">
        <f>HYPERLINK("https://klasma.github.io/Logging_2303/artfynd/A 20776-2024 artfynd.xlsx", "A 20776-2024")</f>
        <v/>
      </c>
      <c r="T131">
        <f>HYPERLINK("https://klasma.github.io/Logging_2303/kartor/A 20776-2024 karta.png", "A 20776-2024")</f>
        <v/>
      </c>
      <c r="V131">
        <f>HYPERLINK("https://klasma.github.io/Logging_2303/klagomål/A 20776-2024 FSC-klagomål.docx", "A 20776-2024")</f>
        <v/>
      </c>
      <c r="W131">
        <f>HYPERLINK("https://klasma.github.io/Logging_2303/klagomålsmail/A 20776-2024 FSC-klagomål mail.docx", "A 20776-2024")</f>
        <v/>
      </c>
      <c r="X131">
        <f>HYPERLINK("https://klasma.github.io/Logging_2303/tillsyn/A 20776-2024 tillsynsbegäran.docx", "A 20776-2024")</f>
        <v/>
      </c>
      <c r="Y131">
        <f>HYPERLINK("https://klasma.github.io/Logging_2303/tillsynsmail/A 20776-2024 tillsynsbegäran mail.docx", "A 20776-2024")</f>
        <v/>
      </c>
    </row>
    <row r="132" ht="15" customHeight="1">
      <c r="A132" t="inlineStr">
        <is>
          <t>A 14814-2024</t>
        </is>
      </c>
      <c r="B132" s="1" t="n">
        <v>45397.95748842593</v>
      </c>
      <c r="C132" s="1" t="n">
        <v>45917</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30470-2024</t>
        </is>
      </c>
      <c r="B133" s="1" t="n">
        <v>45491.94715277778</v>
      </c>
      <c r="C133" s="1" t="n">
        <v>45917</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48054-2022</t>
        </is>
      </c>
      <c r="B134" s="1" t="n">
        <v>44855</v>
      </c>
      <c r="C134" s="1" t="n">
        <v>45917</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45917</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32903-2024</t>
        </is>
      </c>
      <c r="B136" s="1" t="n">
        <v>45516.94723379629</v>
      </c>
      <c r="C136" s="1" t="n">
        <v>45917</v>
      </c>
      <c r="D136" t="inlineStr">
        <is>
          <t>JÄMTLANDS LÄN</t>
        </is>
      </c>
      <c r="E136" t="inlineStr">
        <is>
          <t>RAGUNDA</t>
        </is>
      </c>
      <c r="F136" t="inlineStr">
        <is>
          <t>SCA</t>
        </is>
      </c>
      <c r="G136" t="n">
        <v>4.7</v>
      </c>
      <c r="H136" t="n">
        <v>0</v>
      </c>
      <c r="I136" t="n">
        <v>2</v>
      </c>
      <c r="J136" t="n">
        <v>1</v>
      </c>
      <c r="K136" t="n">
        <v>0</v>
      </c>
      <c r="L136" t="n">
        <v>0</v>
      </c>
      <c r="M136" t="n">
        <v>0</v>
      </c>
      <c r="N136" t="n">
        <v>0</v>
      </c>
      <c r="O136" t="n">
        <v>1</v>
      </c>
      <c r="P136" t="n">
        <v>0</v>
      </c>
      <c r="Q136" t="n">
        <v>3</v>
      </c>
      <c r="R136" s="2" t="inlineStr">
        <is>
          <t>Lunglav
Bollvitmossa
Luddlav</t>
        </is>
      </c>
      <c r="S136">
        <f>HYPERLINK("https://klasma.github.io/Logging_2303/artfynd/A 32903-2024 artfynd.xlsx", "A 32903-2024")</f>
        <v/>
      </c>
      <c r="T136">
        <f>HYPERLINK("https://klasma.github.io/Logging_2303/kartor/A 32903-2024 karta.png", "A 32903-2024")</f>
        <v/>
      </c>
      <c r="V136">
        <f>HYPERLINK("https://klasma.github.io/Logging_2303/klagomål/A 32903-2024 FSC-klagomål.docx", "A 32903-2024")</f>
        <v/>
      </c>
      <c r="W136">
        <f>HYPERLINK("https://klasma.github.io/Logging_2303/klagomålsmail/A 32903-2024 FSC-klagomål mail.docx", "A 32903-2024")</f>
        <v/>
      </c>
      <c r="X136">
        <f>HYPERLINK("https://klasma.github.io/Logging_2303/tillsyn/A 32903-2024 tillsynsbegäran.docx", "A 32903-2024")</f>
        <v/>
      </c>
      <c r="Y136">
        <f>HYPERLINK("https://klasma.github.io/Logging_2303/tillsynsmail/A 32903-2024 tillsynsbegäran mail.docx", "A 32903-2024")</f>
        <v/>
      </c>
    </row>
    <row r="137" ht="15" customHeight="1">
      <c r="A137" t="inlineStr">
        <is>
          <t>A 58737-2022</t>
        </is>
      </c>
      <c r="B137" s="1" t="n">
        <v>44902</v>
      </c>
      <c r="C137" s="1" t="n">
        <v>45917</v>
      </c>
      <c r="D137" t="inlineStr">
        <is>
          <t>JÄMTLANDS LÄN</t>
        </is>
      </c>
      <c r="E137" t="inlineStr">
        <is>
          <t>RAGUNDA</t>
        </is>
      </c>
      <c r="F137" t="inlineStr">
        <is>
          <t>SCA</t>
        </is>
      </c>
      <c r="G137" t="n">
        <v>2.7</v>
      </c>
      <c r="H137" t="n">
        <v>0</v>
      </c>
      <c r="I137" t="n">
        <v>2</v>
      </c>
      <c r="J137" t="n">
        <v>1</v>
      </c>
      <c r="K137" t="n">
        <v>0</v>
      </c>
      <c r="L137" t="n">
        <v>0</v>
      </c>
      <c r="M137" t="n">
        <v>0</v>
      </c>
      <c r="N137" t="n">
        <v>0</v>
      </c>
      <c r="O137" t="n">
        <v>1</v>
      </c>
      <c r="P137" t="n">
        <v>0</v>
      </c>
      <c r="Q137" t="n">
        <v>3</v>
      </c>
      <c r="R137" s="2" t="inlineStr">
        <is>
          <t>Garnlav
Källmossor
Stuplav</t>
        </is>
      </c>
      <c r="S137">
        <f>HYPERLINK("https://klasma.github.io/Logging_2303/artfynd/A 58737-2022 artfynd.xlsx", "A 58737-2022")</f>
        <v/>
      </c>
      <c r="T137">
        <f>HYPERLINK("https://klasma.github.io/Logging_2303/kartor/A 58737-2022 karta.png", "A 58737-2022")</f>
        <v/>
      </c>
      <c r="V137">
        <f>HYPERLINK("https://klasma.github.io/Logging_2303/klagomål/A 58737-2022 FSC-klagomål.docx", "A 58737-2022")</f>
        <v/>
      </c>
      <c r="W137">
        <f>HYPERLINK("https://klasma.github.io/Logging_2303/klagomålsmail/A 58737-2022 FSC-klagomål mail.docx", "A 58737-2022")</f>
        <v/>
      </c>
      <c r="X137">
        <f>HYPERLINK("https://klasma.github.io/Logging_2303/tillsyn/A 58737-2022 tillsynsbegäran.docx", "A 58737-2022")</f>
        <v/>
      </c>
      <c r="Y137">
        <f>HYPERLINK("https://klasma.github.io/Logging_2303/tillsynsmail/A 58737-2022 tillsynsbegäran mail.docx", "A 58737-2022")</f>
        <v/>
      </c>
    </row>
    <row r="138" ht="15" customHeight="1">
      <c r="A138" t="inlineStr">
        <is>
          <t>A 33278-2022</t>
        </is>
      </c>
      <c r="B138" s="1" t="n">
        <v>44788</v>
      </c>
      <c r="C138" s="1" t="n">
        <v>45917</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22571-2025</t>
        </is>
      </c>
      <c r="B139" s="1" t="n">
        <v>45789.36503472222</v>
      </c>
      <c r="C139" s="1" t="n">
        <v>45917</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7519-2023</t>
        </is>
      </c>
      <c r="B140" s="1" t="n">
        <v>44971</v>
      </c>
      <c r="C140" s="1" t="n">
        <v>45917</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58368-2024</t>
        </is>
      </c>
      <c r="B141" s="1" t="n">
        <v>45632.69822916666</v>
      </c>
      <c r="C141" s="1" t="n">
        <v>45917</v>
      </c>
      <c r="D141" t="inlineStr">
        <is>
          <t>JÄMTLANDS LÄN</t>
        </is>
      </c>
      <c r="E141" t="inlineStr">
        <is>
          <t>RAGUNDA</t>
        </is>
      </c>
      <c r="F141" t="inlineStr">
        <is>
          <t>SCA</t>
        </is>
      </c>
      <c r="G141" t="n">
        <v>4.1</v>
      </c>
      <c r="H141" t="n">
        <v>2</v>
      </c>
      <c r="I141" t="n">
        <v>0</v>
      </c>
      <c r="J141" t="n">
        <v>3</v>
      </c>
      <c r="K141" t="n">
        <v>0</v>
      </c>
      <c r="L141" t="n">
        <v>0</v>
      </c>
      <c r="M141" t="n">
        <v>0</v>
      </c>
      <c r="N141" t="n">
        <v>0</v>
      </c>
      <c r="O141" t="n">
        <v>3</v>
      </c>
      <c r="P141" t="n">
        <v>0</v>
      </c>
      <c r="Q141" t="n">
        <v>3</v>
      </c>
      <c r="R141" s="2" t="inlineStr">
        <is>
          <t>Järpe
Lunglav
Tretåig hackspett</t>
        </is>
      </c>
      <c r="S141">
        <f>HYPERLINK("https://klasma.github.io/Logging_2303/artfynd/A 58368-2024 artfynd.xlsx", "A 58368-2024")</f>
        <v/>
      </c>
      <c r="T141">
        <f>HYPERLINK("https://klasma.github.io/Logging_2303/kartor/A 58368-2024 karta.png", "A 58368-2024")</f>
        <v/>
      </c>
      <c r="V141">
        <f>HYPERLINK("https://klasma.github.io/Logging_2303/klagomål/A 58368-2024 FSC-klagomål.docx", "A 58368-2024")</f>
        <v/>
      </c>
      <c r="W141">
        <f>HYPERLINK("https://klasma.github.io/Logging_2303/klagomålsmail/A 58368-2024 FSC-klagomål mail.docx", "A 58368-2024")</f>
        <v/>
      </c>
      <c r="X141">
        <f>HYPERLINK("https://klasma.github.io/Logging_2303/tillsyn/A 58368-2024 tillsynsbegäran.docx", "A 58368-2024")</f>
        <v/>
      </c>
      <c r="Y141">
        <f>HYPERLINK("https://klasma.github.io/Logging_2303/tillsynsmail/A 58368-2024 tillsynsbegäran mail.docx", "A 58368-2024")</f>
        <v/>
      </c>
      <c r="Z141">
        <f>HYPERLINK("https://klasma.github.io/Logging_2303/fåglar/A 58368-2024 prioriterade fågelarter.docx", "A 58368-2024")</f>
        <v/>
      </c>
    </row>
    <row r="142" ht="15" customHeight="1">
      <c r="A142" t="inlineStr">
        <is>
          <t>A 53022-2022</t>
        </is>
      </c>
      <c r="B142" s="1" t="n">
        <v>44875</v>
      </c>
      <c r="C142" s="1" t="n">
        <v>45917</v>
      </c>
      <c r="D142" t="inlineStr">
        <is>
          <t>JÄMTLANDS LÄN</t>
        </is>
      </c>
      <c r="E142" t="inlineStr">
        <is>
          <t>RAGUNDA</t>
        </is>
      </c>
      <c r="F142" t="inlineStr">
        <is>
          <t>SCA</t>
        </is>
      </c>
      <c r="G142" t="n">
        <v>2.7</v>
      </c>
      <c r="H142" t="n">
        <v>0</v>
      </c>
      <c r="I142" t="n">
        <v>1</v>
      </c>
      <c r="J142" t="n">
        <v>2</v>
      </c>
      <c r="K142" t="n">
        <v>0</v>
      </c>
      <c r="L142" t="n">
        <v>0</v>
      </c>
      <c r="M142" t="n">
        <v>0</v>
      </c>
      <c r="N142" t="n">
        <v>0</v>
      </c>
      <c r="O142" t="n">
        <v>2</v>
      </c>
      <c r="P142" t="n">
        <v>0</v>
      </c>
      <c r="Q142" t="n">
        <v>3</v>
      </c>
      <c r="R142" s="2" t="inlineStr">
        <is>
          <t>Garnlav
Lunglav
Dropptaggsvamp</t>
        </is>
      </c>
      <c r="S142">
        <f>HYPERLINK("https://klasma.github.io/Logging_2303/artfynd/A 53022-2022 artfynd.xlsx", "A 53022-2022")</f>
        <v/>
      </c>
      <c r="T142">
        <f>HYPERLINK("https://klasma.github.io/Logging_2303/kartor/A 53022-2022 karta.png", "A 53022-2022")</f>
        <v/>
      </c>
      <c r="V142">
        <f>HYPERLINK("https://klasma.github.io/Logging_2303/klagomål/A 53022-2022 FSC-klagomål.docx", "A 53022-2022")</f>
        <v/>
      </c>
      <c r="W142">
        <f>HYPERLINK("https://klasma.github.io/Logging_2303/klagomålsmail/A 53022-2022 FSC-klagomål mail.docx", "A 53022-2022")</f>
        <v/>
      </c>
      <c r="X142">
        <f>HYPERLINK("https://klasma.github.io/Logging_2303/tillsyn/A 53022-2022 tillsynsbegäran.docx", "A 53022-2022")</f>
        <v/>
      </c>
      <c r="Y142">
        <f>HYPERLINK("https://klasma.github.io/Logging_2303/tillsynsmail/A 53022-2022 tillsynsbegäran mail.docx", "A 53022-2022")</f>
        <v/>
      </c>
    </row>
    <row r="143" ht="15" customHeight="1">
      <c r="A143" t="inlineStr">
        <is>
          <t>A 18616-2024</t>
        </is>
      </c>
      <c r="B143" s="1" t="n">
        <v>45425.96285879629</v>
      </c>
      <c r="C143" s="1" t="n">
        <v>45917</v>
      </c>
      <c r="D143" t="inlineStr">
        <is>
          <t>JÄMTLANDS LÄN</t>
        </is>
      </c>
      <c r="E143" t="inlineStr">
        <is>
          <t>RAGUNDA</t>
        </is>
      </c>
      <c r="F143" t="inlineStr">
        <is>
          <t>SCA</t>
        </is>
      </c>
      <c r="G143" t="n">
        <v>3.4</v>
      </c>
      <c r="H143" t="n">
        <v>0</v>
      </c>
      <c r="I143" t="n">
        <v>0</v>
      </c>
      <c r="J143" t="n">
        <v>3</v>
      </c>
      <c r="K143" t="n">
        <v>0</v>
      </c>
      <c r="L143" t="n">
        <v>0</v>
      </c>
      <c r="M143" t="n">
        <v>0</v>
      </c>
      <c r="N143" t="n">
        <v>0</v>
      </c>
      <c r="O143" t="n">
        <v>3</v>
      </c>
      <c r="P143" t="n">
        <v>0</v>
      </c>
      <c r="Q143" t="n">
        <v>3</v>
      </c>
      <c r="R143" s="2" t="inlineStr">
        <is>
          <t>Granticka
Orange taggsvamp
Ullticka</t>
        </is>
      </c>
      <c r="S143">
        <f>HYPERLINK("https://klasma.github.io/Logging_2303/artfynd/A 18616-2024 artfynd.xlsx", "A 18616-2024")</f>
        <v/>
      </c>
      <c r="T143">
        <f>HYPERLINK("https://klasma.github.io/Logging_2303/kartor/A 18616-2024 karta.png", "A 18616-2024")</f>
        <v/>
      </c>
      <c r="V143">
        <f>HYPERLINK("https://klasma.github.io/Logging_2303/klagomål/A 18616-2024 FSC-klagomål.docx", "A 18616-2024")</f>
        <v/>
      </c>
      <c r="W143">
        <f>HYPERLINK("https://klasma.github.io/Logging_2303/klagomålsmail/A 18616-2024 FSC-klagomål mail.docx", "A 18616-2024")</f>
        <v/>
      </c>
      <c r="X143">
        <f>HYPERLINK("https://klasma.github.io/Logging_2303/tillsyn/A 18616-2024 tillsynsbegäran.docx", "A 18616-2024")</f>
        <v/>
      </c>
      <c r="Y143">
        <f>HYPERLINK("https://klasma.github.io/Logging_2303/tillsynsmail/A 18616-2024 tillsynsbegäran mail.docx", "A 18616-2024")</f>
        <v/>
      </c>
    </row>
    <row r="144" ht="15" customHeight="1">
      <c r="A144" t="inlineStr">
        <is>
          <t>A 34585-2025</t>
        </is>
      </c>
      <c r="B144" s="1" t="n">
        <v>45847.61498842593</v>
      </c>
      <c r="C144" s="1" t="n">
        <v>45917</v>
      </c>
      <c r="D144" t="inlineStr">
        <is>
          <t>JÄMTLANDS LÄN</t>
        </is>
      </c>
      <c r="E144" t="inlineStr">
        <is>
          <t>RAGUNDA</t>
        </is>
      </c>
      <c r="F144" t="inlineStr">
        <is>
          <t>SCA</t>
        </is>
      </c>
      <c r="G144" t="n">
        <v>1.1</v>
      </c>
      <c r="H144" t="n">
        <v>2</v>
      </c>
      <c r="I144" t="n">
        <v>1</v>
      </c>
      <c r="J144" t="n">
        <v>0</v>
      </c>
      <c r="K144" t="n">
        <v>0</v>
      </c>
      <c r="L144" t="n">
        <v>0</v>
      </c>
      <c r="M144" t="n">
        <v>0</v>
      </c>
      <c r="N144" t="n">
        <v>0</v>
      </c>
      <c r="O144" t="n">
        <v>0</v>
      </c>
      <c r="P144" t="n">
        <v>0</v>
      </c>
      <c r="Q144" t="n">
        <v>3</v>
      </c>
      <c r="R144" s="2" t="inlineStr">
        <is>
          <t>Underviol
Blåsippa
Revlummer</t>
        </is>
      </c>
      <c r="S144">
        <f>HYPERLINK("https://klasma.github.io/Logging_2303/artfynd/A 34585-2025 artfynd.xlsx", "A 34585-2025")</f>
        <v/>
      </c>
      <c r="T144">
        <f>HYPERLINK("https://klasma.github.io/Logging_2303/kartor/A 34585-2025 karta.png", "A 34585-2025")</f>
        <v/>
      </c>
      <c r="V144">
        <f>HYPERLINK("https://klasma.github.io/Logging_2303/klagomål/A 34585-2025 FSC-klagomål.docx", "A 34585-2025")</f>
        <v/>
      </c>
      <c r="W144">
        <f>HYPERLINK("https://klasma.github.io/Logging_2303/klagomålsmail/A 34585-2025 FSC-klagomål mail.docx", "A 34585-2025")</f>
        <v/>
      </c>
      <c r="X144">
        <f>HYPERLINK("https://klasma.github.io/Logging_2303/tillsyn/A 34585-2025 tillsynsbegäran.docx", "A 34585-2025")</f>
        <v/>
      </c>
      <c r="Y144">
        <f>HYPERLINK("https://klasma.github.io/Logging_2303/tillsynsmail/A 34585-2025 tillsynsbegäran mail.docx", "A 34585-2025")</f>
        <v/>
      </c>
    </row>
    <row r="145" ht="15" customHeight="1">
      <c r="A145" t="inlineStr">
        <is>
          <t>A 32416-2025</t>
        </is>
      </c>
      <c r="B145" s="1" t="n">
        <v>45838</v>
      </c>
      <c r="C145" s="1" t="n">
        <v>45917</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32416-2025 artfynd.xlsx", "A 32416-2025")</f>
        <v/>
      </c>
      <c r="T145">
        <f>HYPERLINK("https://klasma.github.io/Logging_2303/kartor/A 32416-2025 karta.png", "A 32416-2025")</f>
        <v/>
      </c>
      <c r="V145">
        <f>HYPERLINK("https://klasma.github.io/Logging_2303/klagomål/A 32416-2025 FSC-klagomål.docx", "A 32416-2025")</f>
        <v/>
      </c>
      <c r="W145">
        <f>HYPERLINK("https://klasma.github.io/Logging_2303/klagomålsmail/A 32416-2025 FSC-klagomål mail.docx", "A 32416-2025")</f>
        <v/>
      </c>
      <c r="X145">
        <f>HYPERLINK("https://klasma.github.io/Logging_2303/tillsyn/A 32416-2025 tillsynsbegäran.docx", "A 32416-2025")</f>
        <v/>
      </c>
      <c r="Y145">
        <f>HYPERLINK("https://klasma.github.io/Logging_2303/tillsynsmail/A 32416-2025 tillsynsbegäran mail.docx", "A 32416-2025")</f>
        <v/>
      </c>
    </row>
    <row r="146" ht="15" customHeight="1">
      <c r="A146" t="inlineStr">
        <is>
          <t>A 41877-2025</t>
        </is>
      </c>
      <c r="B146" s="1" t="n">
        <v>45903.345625</v>
      </c>
      <c r="C146" s="1" t="n">
        <v>45917</v>
      </c>
      <c r="D146" t="inlineStr">
        <is>
          <t>JÄMTLANDS LÄN</t>
        </is>
      </c>
      <c r="E146" t="inlineStr">
        <is>
          <t>RAGUNDA</t>
        </is>
      </c>
      <c r="G146" t="n">
        <v>27.7</v>
      </c>
      <c r="H146" t="n">
        <v>1</v>
      </c>
      <c r="I146" t="n">
        <v>0</v>
      </c>
      <c r="J146" t="n">
        <v>2</v>
      </c>
      <c r="K146" t="n">
        <v>1</v>
      </c>
      <c r="L146" t="n">
        <v>0</v>
      </c>
      <c r="M146" t="n">
        <v>0</v>
      </c>
      <c r="N146" t="n">
        <v>0</v>
      </c>
      <c r="O146" t="n">
        <v>3</v>
      </c>
      <c r="P146" t="n">
        <v>1</v>
      </c>
      <c r="Q146" t="n">
        <v>3</v>
      </c>
      <c r="R146" s="2" t="inlineStr">
        <is>
          <t>Knärot
Garnlav
Mörk kolflarnlav</t>
        </is>
      </c>
      <c r="S146">
        <f>HYPERLINK("https://klasma.github.io/Logging_2303/artfynd/A 41877-2025 artfynd.xlsx", "A 41877-2025")</f>
        <v/>
      </c>
      <c r="T146">
        <f>HYPERLINK("https://klasma.github.io/Logging_2303/kartor/A 41877-2025 karta.png", "A 41877-2025")</f>
        <v/>
      </c>
      <c r="U146">
        <f>HYPERLINK("https://klasma.github.io/Logging_2303/knärot/A 41877-2025 karta knärot.png", "A 41877-2025")</f>
        <v/>
      </c>
      <c r="V146">
        <f>HYPERLINK("https://klasma.github.io/Logging_2303/klagomål/A 41877-2025 FSC-klagomål.docx", "A 41877-2025")</f>
        <v/>
      </c>
      <c r="W146">
        <f>HYPERLINK("https://klasma.github.io/Logging_2303/klagomålsmail/A 41877-2025 FSC-klagomål mail.docx", "A 41877-2025")</f>
        <v/>
      </c>
      <c r="X146">
        <f>HYPERLINK("https://klasma.github.io/Logging_2303/tillsyn/A 41877-2025 tillsynsbegäran.docx", "A 41877-2025")</f>
        <v/>
      </c>
      <c r="Y146">
        <f>HYPERLINK("https://klasma.github.io/Logging_2303/tillsynsmail/A 41877-2025 tillsynsbegäran mail.docx", "A 41877-2025")</f>
        <v/>
      </c>
    </row>
    <row r="147" ht="15" customHeight="1">
      <c r="A147" t="inlineStr">
        <is>
          <t>A 57941-2024</t>
        </is>
      </c>
      <c r="B147" s="1" t="n">
        <v>45631</v>
      </c>
      <c r="C147" s="1" t="n">
        <v>45917</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5048-2025</t>
        </is>
      </c>
      <c r="B148" s="1" t="n">
        <v>45691.44769675926</v>
      </c>
      <c r="C148" s="1" t="n">
        <v>45917</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16305-2025</t>
        </is>
      </c>
      <c r="B149" s="1" t="n">
        <v>45751.34650462963</v>
      </c>
      <c r="C149" s="1" t="n">
        <v>45917</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28178-2023</t>
        </is>
      </c>
      <c r="B150" s="1" t="n">
        <v>45093</v>
      </c>
      <c r="C150" s="1" t="n">
        <v>45917</v>
      </c>
      <c r="D150" t="inlineStr">
        <is>
          <t>JÄMTLANDS LÄN</t>
        </is>
      </c>
      <c r="E150" t="inlineStr">
        <is>
          <t>RAGUNDA</t>
        </is>
      </c>
      <c r="G150" t="n">
        <v>5.6</v>
      </c>
      <c r="H150" t="n">
        <v>0</v>
      </c>
      <c r="I150" t="n">
        <v>0</v>
      </c>
      <c r="J150" t="n">
        <v>3</v>
      </c>
      <c r="K150" t="n">
        <v>0</v>
      </c>
      <c r="L150" t="n">
        <v>0</v>
      </c>
      <c r="M150" t="n">
        <v>0</v>
      </c>
      <c r="N150" t="n">
        <v>0</v>
      </c>
      <c r="O150" t="n">
        <v>3</v>
      </c>
      <c r="P150" t="n">
        <v>0</v>
      </c>
      <c r="Q150" t="n">
        <v>3</v>
      </c>
      <c r="R150" s="2" t="inlineStr">
        <is>
          <t>Garnlav
Gultoppig fingersvamp
Violettgrå tagellav</t>
        </is>
      </c>
      <c r="S150">
        <f>HYPERLINK("https://klasma.github.io/Logging_2303/artfynd/A 28178-2023 artfynd.xlsx", "A 28178-2023")</f>
        <v/>
      </c>
      <c r="T150">
        <f>HYPERLINK("https://klasma.github.io/Logging_2303/kartor/A 28178-2023 karta.png", "A 28178-2023")</f>
        <v/>
      </c>
      <c r="V150">
        <f>HYPERLINK("https://klasma.github.io/Logging_2303/klagomål/A 28178-2023 FSC-klagomål.docx", "A 28178-2023")</f>
        <v/>
      </c>
      <c r="W150">
        <f>HYPERLINK("https://klasma.github.io/Logging_2303/klagomålsmail/A 28178-2023 FSC-klagomål mail.docx", "A 28178-2023")</f>
        <v/>
      </c>
      <c r="X150">
        <f>HYPERLINK("https://klasma.github.io/Logging_2303/tillsyn/A 28178-2023 tillsynsbegäran.docx", "A 28178-2023")</f>
        <v/>
      </c>
      <c r="Y150">
        <f>HYPERLINK("https://klasma.github.io/Logging_2303/tillsynsmail/A 28178-2023 tillsynsbegäran mail.docx", "A 28178-2023")</f>
        <v/>
      </c>
    </row>
    <row r="151" ht="15" customHeight="1">
      <c r="A151" t="inlineStr">
        <is>
          <t>A 21248-2025</t>
        </is>
      </c>
      <c r="B151" s="1" t="n">
        <v>45779.57392361111</v>
      </c>
      <c r="C151" s="1" t="n">
        <v>45917</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51010-2020</t>
        </is>
      </c>
      <c r="B152" s="1" t="n">
        <v>44111</v>
      </c>
      <c r="C152" s="1" t="n">
        <v>45917</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25769-2025</t>
        </is>
      </c>
      <c r="B153" s="1" t="n">
        <v>45804.34474537037</v>
      </c>
      <c r="C153" s="1" t="n">
        <v>45917</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49047-2023</t>
        </is>
      </c>
      <c r="B154" s="1" t="n">
        <v>45209</v>
      </c>
      <c r="C154" s="1" t="n">
        <v>45917</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36504-2023</t>
        </is>
      </c>
      <c r="B155" s="1" t="n">
        <v>45152</v>
      </c>
      <c r="C155" s="1" t="n">
        <v>45917</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17043-2022</t>
        </is>
      </c>
      <c r="B156" s="1" t="n">
        <v>44676</v>
      </c>
      <c r="C156" s="1" t="n">
        <v>45917</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45917</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3838-2024</t>
        </is>
      </c>
      <c r="B158" s="1" t="n">
        <v>45321</v>
      </c>
      <c r="C158" s="1" t="n">
        <v>45917</v>
      </c>
      <c r="D158" t="inlineStr">
        <is>
          <t>JÄMTLANDS LÄN</t>
        </is>
      </c>
      <c r="E158" t="inlineStr">
        <is>
          <t>RAGUNDA</t>
        </is>
      </c>
      <c r="F158" t="inlineStr">
        <is>
          <t>SCA</t>
        </is>
      </c>
      <c r="G158" t="n">
        <v>2</v>
      </c>
      <c r="H158" t="n">
        <v>1</v>
      </c>
      <c r="I158" t="n">
        <v>1</v>
      </c>
      <c r="J158" t="n">
        <v>1</v>
      </c>
      <c r="K158" t="n">
        <v>0</v>
      </c>
      <c r="L158" t="n">
        <v>0</v>
      </c>
      <c r="M158" t="n">
        <v>0</v>
      </c>
      <c r="N158" t="n">
        <v>0</v>
      </c>
      <c r="O158" t="n">
        <v>1</v>
      </c>
      <c r="P158" t="n">
        <v>0</v>
      </c>
      <c r="Q158" t="n">
        <v>2</v>
      </c>
      <c r="R158" s="2" t="inlineStr">
        <is>
          <t>Garnlav
Guckusko</t>
        </is>
      </c>
      <c r="S158">
        <f>HYPERLINK("https://klasma.github.io/Logging_2303/artfynd/A 3838-2024 artfynd.xlsx", "A 3838-2024")</f>
        <v/>
      </c>
      <c r="T158">
        <f>HYPERLINK("https://klasma.github.io/Logging_2303/kartor/A 3838-2024 karta.png", "A 3838-2024")</f>
        <v/>
      </c>
      <c r="V158">
        <f>HYPERLINK("https://klasma.github.io/Logging_2303/klagomål/A 3838-2024 FSC-klagomål.docx", "A 3838-2024")</f>
        <v/>
      </c>
      <c r="W158">
        <f>HYPERLINK("https://klasma.github.io/Logging_2303/klagomålsmail/A 3838-2024 FSC-klagomål mail.docx", "A 3838-2024")</f>
        <v/>
      </c>
      <c r="X158">
        <f>HYPERLINK("https://klasma.github.io/Logging_2303/tillsyn/A 3838-2024 tillsynsbegäran.docx", "A 3838-2024")</f>
        <v/>
      </c>
      <c r="Y158">
        <f>HYPERLINK("https://klasma.github.io/Logging_2303/tillsynsmail/A 3838-2024 tillsynsbegäran mail.docx", "A 3838-2024")</f>
        <v/>
      </c>
    </row>
    <row r="159" ht="15" customHeight="1">
      <c r="A159" t="inlineStr">
        <is>
          <t>A 45035-2023</t>
        </is>
      </c>
      <c r="B159" s="1" t="n">
        <v>45191</v>
      </c>
      <c r="C159" s="1" t="n">
        <v>45917</v>
      </c>
      <c r="D159" t="inlineStr">
        <is>
          <t>JÄMTLANDS LÄN</t>
        </is>
      </c>
      <c r="E159" t="inlineStr">
        <is>
          <t>RAGUNDA</t>
        </is>
      </c>
      <c r="G159" t="n">
        <v>2.9</v>
      </c>
      <c r="H159" t="n">
        <v>0</v>
      </c>
      <c r="I159" t="n">
        <v>1</v>
      </c>
      <c r="J159" t="n">
        <v>1</v>
      </c>
      <c r="K159" t="n">
        <v>0</v>
      </c>
      <c r="L159" t="n">
        <v>0</v>
      </c>
      <c r="M159" t="n">
        <v>0</v>
      </c>
      <c r="N159" t="n">
        <v>0</v>
      </c>
      <c r="O159" t="n">
        <v>1</v>
      </c>
      <c r="P159" t="n">
        <v>0</v>
      </c>
      <c r="Q159" t="n">
        <v>2</v>
      </c>
      <c r="R159" s="2" t="inlineStr">
        <is>
          <t>Lunglav
Korallblylav</t>
        </is>
      </c>
      <c r="S159">
        <f>HYPERLINK("https://klasma.github.io/Logging_2303/artfynd/A 45035-2023 artfynd.xlsx", "A 45035-2023")</f>
        <v/>
      </c>
      <c r="T159">
        <f>HYPERLINK("https://klasma.github.io/Logging_2303/kartor/A 45035-2023 karta.png", "A 45035-2023")</f>
        <v/>
      </c>
      <c r="V159">
        <f>HYPERLINK("https://klasma.github.io/Logging_2303/klagomål/A 45035-2023 FSC-klagomål.docx", "A 45035-2023")</f>
        <v/>
      </c>
      <c r="W159">
        <f>HYPERLINK("https://klasma.github.io/Logging_2303/klagomålsmail/A 45035-2023 FSC-klagomål mail.docx", "A 45035-2023")</f>
        <v/>
      </c>
      <c r="X159">
        <f>HYPERLINK("https://klasma.github.io/Logging_2303/tillsyn/A 45035-2023 tillsynsbegäran.docx", "A 45035-2023")</f>
        <v/>
      </c>
      <c r="Y159">
        <f>HYPERLINK("https://klasma.github.io/Logging_2303/tillsynsmail/A 45035-2023 tillsynsbegäran mail.docx", "A 45035-2023")</f>
        <v/>
      </c>
    </row>
    <row r="160" ht="15" customHeight="1">
      <c r="A160" t="inlineStr">
        <is>
          <t>A 56285-2023</t>
        </is>
      </c>
      <c r="B160" s="1" t="n">
        <v>45241</v>
      </c>
      <c r="C160" s="1" t="n">
        <v>45917</v>
      </c>
      <c r="D160" t="inlineStr">
        <is>
          <t>JÄMTLANDS LÄN</t>
        </is>
      </c>
      <c r="E160" t="inlineStr">
        <is>
          <t>RAGUNDA</t>
        </is>
      </c>
      <c r="F160" t="inlineStr">
        <is>
          <t>SCA</t>
        </is>
      </c>
      <c r="G160" t="n">
        <v>5.5</v>
      </c>
      <c r="H160" t="n">
        <v>0</v>
      </c>
      <c r="I160" t="n">
        <v>0</v>
      </c>
      <c r="J160" t="n">
        <v>2</v>
      </c>
      <c r="K160" t="n">
        <v>0</v>
      </c>
      <c r="L160" t="n">
        <v>0</v>
      </c>
      <c r="M160" t="n">
        <v>0</v>
      </c>
      <c r="N160" t="n">
        <v>0</v>
      </c>
      <c r="O160" t="n">
        <v>2</v>
      </c>
      <c r="P160" t="n">
        <v>0</v>
      </c>
      <c r="Q160" t="n">
        <v>2</v>
      </c>
      <c r="R160" s="2" t="inlineStr">
        <is>
          <t>Lunglav
Skrovellav</t>
        </is>
      </c>
      <c r="S160">
        <f>HYPERLINK("https://klasma.github.io/Logging_2303/artfynd/A 56285-2023 artfynd.xlsx", "A 56285-2023")</f>
        <v/>
      </c>
      <c r="T160">
        <f>HYPERLINK("https://klasma.github.io/Logging_2303/kartor/A 56285-2023 karta.png", "A 56285-2023")</f>
        <v/>
      </c>
      <c r="V160">
        <f>HYPERLINK("https://klasma.github.io/Logging_2303/klagomål/A 56285-2023 FSC-klagomål.docx", "A 56285-2023")</f>
        <v/>
      </c>
      <c r="W160">
        <f>HYPERLINK("https://klasma.github.io/Logging_2303/klagomålsmail/A 56285-2023 FSC-klagomål mail.docx", "A 56285-2023")</f>
        <v/>
      </c>
      <c r="X160">
        <f>HYPERLINK("https://klasma.github.io/Logging_2303/tillsyn/A 56285-2023 tillsynsbegäran.docx", "A 56285-2023")</f>
        <v/>
      </c>
      <c r="Y160">
        <f>HYPERLINK("https://klasma.github.io/Logging_2303/tillsynsmail/A 56285-2023 tillsynsbegäran mail.docx", "A 56285-2023")</f>
        <v/>
      </c>
    </row>
    <row r="161" ht="15" customHeight="1">
      <c r="A161" t="inlineStr">
        <is>
          <t>A 11544-2024</t>
        </is>
      </c>
      <c r="B161" s="1" t="n">
        <v>45372.95680555556</v>
      </c>
      <c r="C161" s="1" t="n">
        <v>45917</v>
      </c>
      <c r="D161" t="inlineStr">
        <is>
          <t>JÄMTLANDS LÄN</t>
        </is>
      </c>
      <c r="E161" t="inlineStr">
        <is>
          <t>RAGUNDA</t>
        </is>
      </c>
      <c r="F161" t="inlineStr">
        <is>
          <t>SCA</t>
        </is>
      </c>
      <c r="G161" t="n">
        <v>15.5</v>
      </c>
      <c r="H161" t="n">
        <v>0</v>
      </c>
      <c r="I161" t="n">
        <v>0</v>
      </c>
      <c r="J161" t="n">
        <v>2</v>
      </c>
      <c r="K161" t="n">
        <v>0</v>
      </c>
      <c r="L161" t="n">
        <v>0</v>
      </c>
      <c r="M161" t="n">
        <v>0</v>
      </c>
      <c r="N161" t="n">
        <v>0</v>
      </c>
      <c r="O161" t="n">
        <v>2</v>
      </c>
      <c r="P161" t="n">
        <v>0</v>
      </c>
      <c r="Q161" t="n">
        <v>2</v>
      </c>
      <c r="R161" s="2" t="inlineStr">
        <is>
          <t>Granticka
Mörk kolflarnlav</t>
        </is>
      </c>
      <c r="S161">
        <f>HYPERLINK("https://klasma.github.io/Logging_2303/artfynd/A 11544-2024 artfynd.xlsx", "A 11544-2024")</f>
        <v/>
      </c>
      <c r="T161">
        <f>HYPERLINK("https://klasma.github.io/Logging_2303/kartor/A 11544-2024 karta.png", "A 11544-2024")</f>
        <v/>
      </c>
      <c r="V161">
        <f>HYPERLINK("https://klasma.github.io/Logging_2303/klagomål/A 11544-2024 FSC-klagomål.docx", "A 11544-2024")</f>
        <v/>
      </c>
      <c r="W161">
        <f>HYPERLINK("https://klasma.github.io/Logging_2303/klagomålsmail/A 11544-2024 FSC-klagomål mail.docx", "A 11544-2024")</f>
        <v/>
      </c>
      <c r="X161">
        <f>HYPERLINK("https://klasma.github.io/Logging_2303/tillsyn/A 11544-2024 tillsynsbegäran.docx", "A 11544-2024")</f>
        <v/>
      </c>
      <c r="Y161">
        <f>HYPERLINK("https://klasma.github.io/Logging_2303/tillsynsmail/A 11544-2024 tillsynsbegäran mail.docx", "A 11544-2024")</f>
        <v/>
      </c>
    </row>
    <row r="162" ht="15" customHeight="1">
      <c r="A162" t="inlineStr">
        <is>
          <t>A 12271-2024</t>
        </is>
      </c>
      <c r="B162" s="1" t="n">
        <v>45378</v>
      </c>
      <c r="C162" s="1" t="n">
        <v>45917</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48427-2023</t>
        </is>
      </c>
      <c r="B163" s="1" t="n">
        <v>45205</v>
      </c>
      <c r="C163" s="1" t="n">
        <v>45917</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34715-2024</t>
        </is>
      </c>
      <c r="B164" s="1" t="n">
        <v>45526.56393518519</v>
      </c>
      <c r="C164" s="1" t="n">
        <v>45917</v>
      </c>
      <c r="D164" t="inlineStr">
        <is>
          <t>JÄMTLANDS LÄN</t>
        </is>
      </c>
      <c r="E164" t="inlineStr">
        <is>
          <t>RAGUNDA</t>
        </is>
      </c>
      <c r="F164" t="inlineStr">
        <is>
          <t>SCA</t>
        </is>
      </c>
      <c r="G164" t="n">
        <v>3</v>
      </c>
      <c r="H164" t="n">
        <v>0</v>
      </c>
      <c r="I164" t="n">
        <v>1</v>
      </c>
      <c r="J164" t="n">
        <v>1</v>
      </c>
      <c r="K164" t="n">
        <v>0</v>
      </c>
      <c r="L164" t="n">
        <v>0</v>
      </c>
      <c r="M164" t="n">
        <v>0</v>
      </c>
      <c r="N164" t="n">
        <v>0</v>
      </c>
      <c r="O164" t="n">
        <v>1</v>
      </c>
      <c r="P164" t="n">
        <v>0</v>
      </c>
      <c r="Q164" t="n">
        <v>2</v>
      </c>
      <c r="R164" s="2" t="inlineStr">
        <is>
          <t>Garnlav
Vedticka</t>
        </is>
      </c>
      <c r="S164">
        <f>HYPERLINK("https://klasma.github.io/Logging_2303/artfynd/A 34715-2024 artfynd.xlsx", "A 34715-2024")</f>
        <v/>
      </c>
      <c r="T164">
        <f>HYPERLINK("https://klasma.github.io/Logging_2303/kartor/A 34715-2024 karta.png", "A 34715-2024")</f>
        <v/>
      </c>
      <c r="V164">
        <f>HYPERLINK("https://klasma.github.io/Logging_2303/klagomål/A 34715-2024 FSC-klagomål.docx", "A 34715-2024")</f>
        <v/>
      </c>
      <c r="W164">
        <f>HYPERLINK("https://klasma.github.io/Logging_2303/klagomålsmail/A 34715-2024 FSC-klagomål mail.docx", "A 34715-2024")</f>
        <v/>
      </c>
      <c r="X164">
        <f>HYPERLINK("https://klasma.github.io/Logging_2303/tillsyn/A 34715-2024 tillsynsbegäran.docx", "A 34715-2024")</f>
        <v/>
      </c>
      <c r="Y164">
        <f>HYPERLINK("https://klasma.github.io/Logging_2303/tillsynsmail/A 34715-2024 tillsynsbegäran mail.docx", "A 34715-2024")</f>
        <v/>
      </c>
    </row>
    <row r="165" ht="15" customHeight="1">
      <c r="A165" t="inlineStr">
        <is>
          <t>A 39495-2024</t>
        </is>
      </c>
      <c r="B165" s="1" t="n">
        <v>45551.65726851852</v>
      </c>
      <c r="C165" s="1" t="n">
        <v>45917</v>
      </c>
      <c r="D165" t="inlineStr">
        <is>
          <t>JÄMTLANDS LÄN</t>
        </is>
      </c>
      <c r="E165" t="inlineStr">
        <is>
          <t>RAGUNDA</t>
        </is>
      </c>
      <c r="F165" t="inlineStr">
        <is>
          <t>SCA</t>
        </is>
      </c>
      <c r="G165" t="n">
        <v>6.6</v>
      </c>
      <c r="H165" t="n">
        <v>0</v>
      </c>
      <c r="I165" t="n">
        <v>0</v>
      </c>
      <c r="J165" t="n">
        <v>2</v>
      </c>
      <c r="K165" t="n">
        <v>0</v>
      </c>
      <c r="L165" t="n">
        <v>0</v>
      </c>
      <c r="M165" t="n">
        <v>0</v>
      </c>
      <c r="N165" t="n">
        <v>0</v>
      </c>
      <c r="O165" t="n">
        <v>2</v>
      </c>
      <c r="P165" t="n">
        <v>0</v>
      </c>
      <c r="Q165" t="n">
        <v>2</v>
      </c>
      <c r="R165" s="2" t="inlineStr">
        <is>
          <t>Garnlav
Ullticka</t>
        </is>
      </c>
      <c r="S165">
        <f>HYPERLINK("https://klasma.github.io/Logging_2303/artfynd/A 39495-2024 artfynd.xlsx", "A 39495-2024")</f>
        <v/>
      </c>
      <c r="T165">
        <f>HYPERLINK("https://klasma.github.io/Logging_2303/kartor/A 39495-2024 karta.png", "A 39495-2024")</f>
        <v/>
      </c>
      <c r="V165">
        <f>HYPERLINK("https://klasma.github.io/Logging_2303/klagomål/A 39495-2024 FSC-klagomål.docx", "A 39495-2024")</f>
        <v/>
      </c>
      <c r="W165">
        <f>HYPERLINK("https://klasma.github.io/Logging_2303/klagomålsmail/A 39495-2024 FSC-klagomål mail.docx", "A 39495-2024")</f>
        <v/>
      </c>
      <c r="X165">
        <f>HYPERLINK("https://klasma.github.io/Logging_2303/tillsyn/A 39495-2024 tillsynsbegäran.docx", "A 39495-2024")</f>
        <v/>
      </c>
      <c r="Y165">
        <f>HYPERLINK("https://klasma.github.io/Logging_2303/tillsynsmail/A 39495-2024 tillsynsbegäran mail.docx", "A 39495-2024")</f>
        <v/>
      </c>
    </row>
    <row r="166" ht="15" customHeight="1">
      <c r="A166" t="inlineStr">
        <is>
          <t>A 47267-2022</t>
        </is>
      </c>
      <c r="B166" s="1" t="n">
        <v>44852</v>
      </c>
      <c r="C166" s="1" t="n">
        <v>45917</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31960-2025</t>
        </is>
      </c>
      <c r="B167" s="1" t="n">
        <v>45835.344375</v>
      </c>
      <c r="C167" s="1" t="n">
        <v>45917</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14502-2024</t>
        </is>
      </c>
      <c r="B168" s="1" t="n">
        <v>45394</v>
      </c>
      <c r="C168" s="1" t="n">
        <v>45917</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26324-2024</t>
        </is>
      </c>
      <c r="B169" s="1" t="n">
        <v>45468.97495370371</v>
      </c>
      <c r="C169" s="1" t="n">
        <v>45917</v>
      </c>
      <c r="D169" t="inlineStr">
        <is>
          <t>JÄMTLANDS LÄN</t>
        </is>
      </c>
      <c r="E169" t="inlineStr">
        <is>
          <t>RAGUNDA</t>
        </is>
      </c>
      <c r="F169" t="inlineStr">
        <is>
          <t>SCA</t>
        </is>
      </c>
      <c r="G169" t="n">
        <v>2</v>
      </c>
      <c r="H169" t="n">
        <v>1</v>
      </c>
      <c r="I169" t="n">
        <v>0</v>
      </c>
      <c r="J169" t="n">
        <v>1</v>
      </c>
      <c r="K169" t="n">
        <v>1</v>
      </c>
      <c r="L169" t="n">
        <v>0</v>
      </c>
      <c r="M169" t="n">
        <v>0</v>
      </c>
      <c r="N169" t="n">
        <v>0</v>
      </c>
      <c r="O169" t="n">
        <v>2</v>
      </c>
      <c r="P169" t="n">
        <v>1</v>
      </c>
      <c r="Q169" t="n">
        <v>2</v>
      </c>
      <c r="R169" s="2" t="inlineStr">
        <is>
          <t>Knärot
Vedtrappmossa</t>
        </is>
      </c>
      <c r="S169">
        <f>HYPERLINK("https://klasma.github.io/Logging_2303/artfynd/A 26324-2024 artfynd.xlsx", "A 26324-2024")</f>
        <v/>
      </c>
      <c r="T169">
        <f>HYPERLINK("https://klasma.github.io/Logging_2303/kartor/A 26324-2024 karta.png", "A 26324-2024")</f>
        <v/>
      </c>
      <c r="U169">
        <f>HYPERLINK("https://klasma.github.io/Logging_2303/knärot/A 26324-2024 karta knärot.png", "A 26324-2024")</f>
        <v/>
      </c>
      <c r="V169">
        <f>HYPERLINK("https://klasma.github.io/Logging_2303/klagomål/A 26324-2024 FSC-klagomål.docx", "A 26324-2024")</f>
        <v/>
      </c>
      <c r="W169">
        <f>HYPERLINK("https://klasma.github.io/Logging_2303/klagomålsmail/A 26324-2024 FSC-klagomål mail.docx", "A 26324-2024")</f>
        <v/>
      </c>
      <c r="X169">
        <f>HYPERLINK("https://klasma.github.io/Logging_2303/tillsyn/A 26324-2024 tillsynsbegäran.docx", "A 26324-2024")</f>
        <v/>
      </c>
      <c r="Y169">
        <f>HYPERLINK("https://klasma.github.io/Logging_2303/tillsynsmail/A 26324-2024 tillsynsbegäran mail.docx", "A 26324-2024")</f>
        <v/>
      </c>
    </row>
    <row r="170" ht="15" customHeight="1">
      <c r="A170" t="inlineStr">
        <is>
          <t>A 11843-2023</t>
        </is>
      </c>
      <c r="B170" s="1" t="n">
        <v>44993</v>
      </c>
      <c r="C170" s="1" t="n">
        <v>45917</v>
      </c>
      <c r="D170" t="inlineStr">
        <is>
          <t>JÄMTLANDS LÄN</t>
        </is>
      </c>
      <c r="E170" t="inlineStr">
        <is>
          <t>RAGUNDA</t>
        </is>
      </c>
      <c r="G170" t="n">
        <v>6.4</v>
      </c>
      <c r="H170" t="n">
        <v>2</v>
      </c>
      <c r="I170" t="n">
        <v>0</v>
      </c>
      <c r="J170" t="n">
        <v>1</v>
      </c>
      <c r="K170" t="n">
        <v>0</v>
      </c>
      <c r="L170" t="n">
        <v>0</v>
      </c>
      <c r="M170" t="n">
        <v>0</v>
      </c>
      <c r="N170" t="n">
        <v>0</v>
      </c>
      <c r="O170" t="n">
        <v>1</v>
      </c>
      <c r="P170" t="n">
        <v>0</v>
      </c>
      <c r="Q170" t="n">
        <v>2</v>
      </c>
      <c r="R170" s="2" t="inlineStr">
        <is>
          <t>Spillkråka
Revlummer</t>
        </is>
      </c>
      <c r="S170">
        <f>HYPERLINK("https://klasma.github.io/Logging_2303/artfynd/A 11843-2023 artfynd.xlsx", "A 11843-2023")</f>
        <v/>
      </c>
      <c r="T170">
        <f>HYPERLINK("https://klasma.github.io/Logging_2303/kartor/A 11843-2023 karta.png", "A 11843-2023")</f>
        <v/>
      </c>
      <c r="V170">
        <f>HYPERLINK("https://klasma.github.io/Logging_2303/klagomål/A 11843-2023 FSC-klagomål.docx", "A 11843-2023")</f>
        <v/>
      </c>
      <c r="W170">
        <f>HYPERLINK("https://klasma.github.io/Logging_2303/klagomålsmail/A 11843-2023 FSC-klagomål mail.docx", "A 11843-2023")</f>
        <v/>
      </c>
      <c r="X170">
        <f>HYPERLINK("https://klasma.github.io/Logging_2303/tillsyn/A 11843-2023 tillsynsbegäran.docx", "A 11843-2023")</f>
        <v/>
      </c>
      <c r="Y170">
        <f>HYPERLINK("https://klasma.github.io/Logging_2303/tillsynsmail/A 11843-2023 tillsynsbegäran mail.docx", "A 11843-2023")</f>
        <v/>
      </c>
      <c r="Z170">
        <f>HYPERLINK("https://klasma.github.io/Logging_2303/fåglar/A 11843-2023 prioriterade fågelarter.docx", "A 11843-2023")</f>
        <v/>
      </c>
    </row>
    <row r="171" ht="15" customHeight="1">
      <c r="A171" t="inlineStr">
        <is>
          <t>A 26482-2023</t>
        </is>
      </c>
      <c r="B171" s="1" t="n">
        <v>45089</v>
      </c>
      <c r="C171" s="1" t="n">
        <v>45917</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35131-2025</t>
        </is>
      </c>
      <c r="B172" s="1" t="n">
        <v>45852.63597222222</v>
      </c>
      <c r="C172" s="1" t="n">
        <v>45917</v>
      </c>
      <c r="D172" t="inlineStr">
        <is>
          <t>JÄMTLANDS LÄN</t>
        </is>
      </c>
      <c r="E172" t="inlineStr">
        <is>
          <t>RAGUNDA</t>
        </is>
      </c>
      <c r="F172" t="inlineStr">
        <is>
          <t>SCA</t>
        </is>
      </c>
      <c r="G172" t="n">
        <v>6.9</v>
      </c>
      <c r="H172" t="n">
        <v>1</v>
      </c>
      <c r="I172" t="n">
        <v>1</v>
      </c>
      <c r="J172" t="n">
        <v>0</v>
      </c>
      <c r="K172" t="n">
        <v>0</v>
      </c>
      <c r="L172" t="n">
        <v>0</v>
      </c>
      <c r="M172" t="n">
        <v>0</v>
      </c>
      <c r="N172" t="n">
        <v>0</v>
      </c>
      <c r="O172" t="n">
        <v>0</v>
      </c>
      <c r="P172" t="n">
        <v>0</v>
      </c>
      <c r="Q172" t="n">
        <v>2</v>
      </c>
      <c r="R172" s="2" t="inlineStr">
        <is>
          <t>Ögonpyrola
Nattviol</t>
        </is>
      </c>
      <c r="S172">
        <f>HYPERLINK("https://klasma.github.io/Logging_2303/artfynd/A 35131-2025 artfynd.xlsx", "A 35131-2025")</f>
        <v/>
      </c>
      <c r="T172">
        <f>HYPERLINK("https://klasma.github.io/Logging_2303/kartor/A 35131-2025 karta.png", "A 35131-2025")</f>
        <v/>
      </c>
      <c r="V172">
        <f>HYPERLINK("https://klasma.github.io/Logging_2303/klagomål/A 35131-2025 FSC-klagomål.docx", "A 35131-2025")</f>
        <v/>
      </c>
      <c r="W172">
        <f>HYPERLINK("https://klasma.github.io/Logging_2303/klagomålsmail/A 35131-2025 FSC-klagomål mail.docx", "A 35131-2025")</f>
        <v/>
      </c>
      <c r="X172">
        <f>HYPERLINK("https://klasma.github.io/Logging_2303/tillsyn/A 35131-2025 tillsynsbegäran.docx", "A 35131-2025")</f>
        <v/>
      </c>
      <c r="Y172">
        <f>HYPERLINK("https://klasma.github.io/Logging_2303/tillsynsmail/A 35131-2025 tillsynsbegäran mail.docx", "A 35131-2025")</f>
        <v/>
      </c>
    </row>
    <row r="173" ht="15" customHeight="1">
      <c r="A173" t="inlineStr">
        <is>
          <t>A 46771-2024</t>
        </is>
      </c>
      <c r="B173" s="1" t="n">
        <v>45583.49642361111</v>
      </c>
      <c r="C173" s="1" t="n">
        <v>45917</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35344-2025</t>
        </is>
      </c>
      <c r="B174" s="1" t="n">
        <v>45854.61494212963</v>
      </c>
      <c r="C174" s="1" t="n">
        <v>45917</v>
      </c>
      <c r="D174" t="inlineStr">
        <is>
          <t>JÄMTLANDS LÄN</t>
        </is>
      </c>
      <c r="E174" t="inlineStr">
        <is>
          <t>RAGUNDA</t>
        </is>
      </c>
      <c r="F174" t="inlineStr">
        <is>
          <t>SCA</t>
        </is>
      </c>
      <c r="G174" t="n">
        <v>6.1</v>
      </c>
      <c r="H174" t="n">
        <v>0</v>
      </c>
      <c r="I174" t="n">
        <v>0</v>
      </c>
      <c r="J174" t="n">
        <v>2</v>
      </c>
      <c r="K174" t="n">
        <v>0</v>
      </c>
      <c r="L174" t="n">
        <v>0</v>
      </c>
      <c r="M174" t="n">
        <v>0</v>
      </c>
      <c r="N174" t="n">
        <v>0</v>
      </c>
      <c r="O174" t="n">
        <v>2</v>
      </c>
      <c r="P174" t="n">
        <v>0</v>
      </c>
      <c r="Q174" t="n">
        <v>2</v>
      </c>
      <c r="R174" s="2" t="inlineStr">
        <is>
          <t>Svart taggsvamp
Vedtrappmossa</t>
        </is>
      </c>
      <c r="S174">
        <f>HYPERLINK("https://klasma.github.io/Logging_2303/artfynd/A 35344-2025 artfynd.xlsx", "A 35344-2025")</f>
        <v/>
      </c>
      <c r="T174">
        <f>HYPERLINK("https://klasma.github.io/Logging_2303/kartor/A 35344-2025 karta.png", "A 35344-2025")</f>
        <v/>
      </c>
      <c r="V174">
        <f>HYPERLINK("https://klasma.github.io/Logging_2303/klagomål/A 35344-2025 FSC-klagomål.docx", "A 35344-2025")</f>
        <v/>
      </c>
      <c r="W174">
        <f>HYPERLINK("https://klasma.github.io/Logging_2303/klagomålsmail/A 35344-2025 FSC-klagomål mail.docx", "A 35344-2025")</f>
        <v/>
      </c>
      <c r="X174">
        <f>HYPERLINK("https://klasma.github.io/Logging_2303/tillsyn/A 35344-2025 tillsynsbegäran.docx", "A 35344-2025")</f>
        <v/>
      </c>
      <c r="Y174">
        <f>HYPERLINK("https://klasma.github.io/Logging_2303/tillsynsmail/A 35344-2025 tillsynsbegäran mail.docx", "A 35344-2025")</f>
        <v/>
      </c>
    </row>
    <row r="175" ht="15" customHeight="1">
      <c r="A175" t="inlineStr">
        <is>
          <t>A 10866-2025</t>
        </is>
      </c>
      <c r="B175" s="1" t="n">
        <v>45722.61543981481</v>
      </c>
      <c r="C175" s="1" t="n">
        <v>45917</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48084-2022</t>
        </is>
      </c>
      <c r="B176" s="1" t="n">
        <v>44855</v>
      </c>
      <c r="C176" s="1" t="n">
        <v>45917</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36756-2023</t>
        </is>
      </c>
      <c r="B177" s="1" t="n">
        <v>45153</v>
      </c>
      <c r="C177" s="1" t="n">
        <v>45917</v>
      </c>
      <c r="D177" t="inlineStr">
        <is>
          <t>JÄMTLANDS LÄN</t>
        </is>
      </c>
      <c r="E177" t="inlineStr">
        <is>
          <t>RAGUNDA</t>
        </is>
      </c>
      <c r="G177" t="n">
        <v>3.5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HYPERLINK("https://klasma.github.io/Logging_2303/artfynd/A 36756-2023 artfynd.xlsx", "A 36756-2023")</f>
        <v/>
      </c>
      <c r="T177">
        <f>HYPERLINK("https://klasma.github.io/Logging_2303/kartor/A 36756-2023 karta.png", "A 36756-2023")</f>
        <v/>
      </c>
      <c r="V177">
        <f>HYPERLINK("https://klasma.github.io/Logging_2303/klagomål/A 36756-2023 FSC-klagomål.docx", "A 36756-2023")</f>
        <v/>
      </c>
      <c r="W177">
        <f>HYPERLINK("https://klasma.github.io/Logging_2303/klagomålsmail/A 36756-2023 FSC-klagomål mail.docx", "A 36756-2023")</f>
        <v/>
      </c>
      <c r="X177">
        <f>HYPERLINK("https://klasma.github.io/Logging_2303/tillsyn/A 36756-2023 tillsynsbegäran.docx", "A 36756-2023")</f>
        <v/>
      </c>
      <c r="Y177">
        <f>HYPERLINK("https://klasma.github.io/Logging_2303/tillsynsmail/A 36756-2023 tillsynsbegäran mail.docx", "A 36756-2023")</f>
        <v/>
      </c>
      <c r="Z177">
        <f>HYPERLINK("https://klasma.github.io/Logging_2303/fåglar/A 36756-2023 prioriterade fågelarter.docx", "A 36756-2023")</f>
        <v/>
      </c>
    </row>
    <row r="178" ht="15" customHeight="1">
      <c r="A178" t="inlineStr">
        <is>
          <t>A 57940-2024</t>
        </is>
      </c>
      <c r="B178" s="1" t="n">
        <v>45631</v>
      </c>
      <c r="C178" s="1" t="n">
        <v>45917</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19384-2025</t>
        </is>
      </c>
      <c r="B179" s="1" t="n">
        <v>45769.65692129629</v>
      </c>
      <c r="C179" s="1" t="n">
        <v>45917</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11086-2025</t>
        </is>
      </c>
      <c r="B180" s="1" t="n">
        <v>45723.57329861111</v>
      </c>
      <c r="C180" s="1" t="n">
        <v>45917</v>
      </c>
      <c r="D180" t="inlineStr">
        <is>
          <t>JÄMTLANDS LÄN</t>
        </is>
      </c>
      <c r="E180" t="inlineStr">
        <is>
          <t>RAGUNDA</t>
        </is>
      </c>
      <c r="F180" t="inlineStr">
        <is>
          <t>SCA</t>
        </is>
      </c>
      <c r="G180" t="n">
        <v>10.8</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11086-2025 artfynd.xlsx", "A 11086-2025")</f>
        <v/>
      </c>
      <c r="T180">
        <f>HYPERLINK("https://klasma.github.io/Logging_2303/kartor/A 11086-2025 karta.png", "A 11086-2025")</f>
        <v/>
      </c>
      <c r="V180">
        <f>HYPERLINK("https://klasma.github.io/Logging_2303/klagomål/A 11086-2025 FSC-klagomål.docx", "A 11086-2025")</f>
        <v/>
      </c>
      <c r="W180">
        <f>HYPERLINK("https://klasma.github.io/Logging_2303/klagomålsmail/A 11086-2025 FSC-klagomål mail.docx", "A 11086-2025")</f>
        <v/>
      </c>
      <c r="X180">
        <f>HYPERLINK("https://klasma.github.io/Logging_2303/tillsyn/A 11086-2025 tillsynsbegäran.docx", "A 11086-2025")</f>
        <v/>
      </c>
      <c r="Y180">
        <f>HYPERLINK("https://klasma.github.io/Logging_2303/tillsynsmail/A 11086-2025 tillsynsbegäran mail.docx", "A 11086-2025")</f>
        <v/>
      </c>
    </row>
    <row r="181" ht="15" customHeight="1">
      <c r="A181" t="inlineStr">
        <is>
          <t>A 41490-2022</t>
        </is>
      </c>
      <c r="B181" s="1" t="n">
        <v>44826.94976851852</v>
      </c>
      <c r="C181" s="1" t="n">
        <v>45917</v>
      </c>
      <c r="D181" t="inlineStr">
        <is>
          <t>JÄMTLANDS LÄN</t>
        </is>
      </c>
      <c r="E181" t="inlineStr">
        <is>
          <t>RAGUNDA</t>
        </is>
      </c>
      <c r="F181" t="inlineStr">
        <is>
          <t>SCA</t>
        </is>
      </c>
      <c r="G181" t="n">
        <v>2.7</v>
      </c>
      <c r="H181" t="n">
        <v>0</v>
      </c>
      <c r="I181" t="n">
        <v>1</v>
      </c>
      <c r="J181" t="n">
        <v>1</v>
      </c>
      <c r="K181" t="n">
        <v>0</v>
      </c>
      <c r="L181" t="n">
        <v>0</v>
      </c>
      <c r="M181" t="n">
        <v>0</v>
      </c>
      <c r="N181" t="n">
        <v>0</v>
      </c>
      <c r="O181" t="n">
        <v>1</v>
      </c>
      <c r="P181" t="n">
        <v>0</v>
      </c>
      <c r="Q181" t="n">
        <v>2</v>
      </c>
      <c r="R181" s="2" t="inlineStr">
        <is>
          <t>Lunglav
Skinnlav</t>
        </is>
      </c>
      <c r="S181">
        <f>HYPERLINK("https://klasma.github.io/Logging_2303/artfynd/A 41490-2022 artfynd.xlsx", "A 41490-2022")</f>
        <v/>
      </c>
      <c r="T181">
        <f>HYPERLINK("https://klasma.github.io/Logging_2303/kartor/A 41490-2022 karta.png", "A 41490-2022")</f>
        <v/>
      </c>
      <c r="V181">
        <f>HYPERLINK("https://klasma.github.io/Logging_2303/klagomål/A 41490-2022 FSC-klagomål.docx", "A 41490-2022")</f>
        <v/>
      </c>
      <c r="W181">
        <f>HYPERLINK("https://klasma.github.io/Logging_2303/klagomålsmail/A 41490-2022 FSC-klagomål mail.docx", "A 41490-2022")</f>
        <v/>
      </c>
      <c r="X181">
        <f>HYPERLINK("https://klasma.github.io/Logging_2303/tillsyn/A 41490-2022 tillsynsbegäran.docx", "A 41490-2022")</f>
        <v/>
      </c>
      <c r="Y181">
        <f>HYPERLINK("https://klasma.github.io/Logging_2303/tillsynsmail/A 41490-2022 tillsynsbegäran mail.docx", "A 41490-2022")</f>
        <v/>
      </c>
    </row>
    <row r="182" ht="15" customHeight="1">
      <c r="A182" t="inlineStr">
        <is>
          <t>A 55647-2023</t>
        </is>
      </c>
      <c r="B182" s="1" t="n">
        <v>45238</v>
      </c>
      <c r="C182" s="1" t="n">
        <v>45917</v>
      </c>
      <c r="D182" t="inlineStr">
        <is>
          <t>JÄMTLANDS LÄN</t>
        </is>
      </c>
      <c r="E182" t="inlineStr">
        <is>
          <t>RAGUNDA</t>
        </is>
      </c>
      <c r="F182" t="inlineStr">
        <is>
          <t>SCA</t>
        </is>
      </c>
      <c r="G182" t="n">
        <v>3.7</v>
      </c>
      <c r="H182" t="n">
        <v>0</v>
      </c>
      <c r="I182" t="n">
        <v>1</v>
      </c>
      <c r="J182" t="n">
        <v>1</v>
      </c>
      <c r="K182" t="n">
        <v>0</v>
      </c>
      <c r="L182" t="n">
        <v>0</v>
      </c>
      <c r="M182" t="n">
        <v>0</v>
      </c>
      <c r="N182" t="n">
        <v>0</v>
      </c>
      <c r="O182" t="n">
        <v>1</v>
      </c>
      <c r="P182" t="n">
        <v>0</v>
      </c>
      <c r="Q182" t="n">
        <v>2</v>
      </c>
      <c r="R182" s="2" t="inlineStr">
        <is>
          <t>Granticka
Trådticka</t>
        </is>
      </c>
      <c r="S182">
        <f>HYPERLINK("https://klasma.github.io/Logging_2303/artfynd/A 55647-2023 artfynd.xlsx", "A 55647-2023")</f>
        <v/>
      </c>
      <c r="T182">
        <f>HYPERLINK("https://klasma.github.io/Logging_2303/kartor/A 55647-2023 karta.png", "A 55647-2023")</f>
        <v/>
      </c>
      <c r="V182">
        <f>HYPERLINK("https://klasma.github.io/Logging_2303/klagomål/A 55647-2023 FSC-klagomål.docx", "A 55647-2023")</f>
        <v/>
      </c>
      <c r="W182">
        <f>HYPERLINK("https://klasma.github.io/Logging_2303/klagomålsmail/A 55647-2023 FSC-klagomål mail.docx", "A 55647-2023")</f>
        <v/>
      </c>
      <c r="X182">
        <f>HYPERLINK("https://klasma.github.io/Logging_2303/tillsyn/A 55647-2023 tillsynsbegäran.docx", "A 55647-2023")</f>
        <v/>
      </c>
      <c r="Y182">
        <f>HYPERLINK("https://klasma.github.io/Logging_2303/tillsynsmail/A 55647-2023 tillsynsbegäran mail.docx", "A 55647-2023")</f>
        <v/>
      </c>
    </row>
    <row r="183" ht="15" customHeight="1">
      <c r="A183" t="inlineStr">
        <is>
          <t>A 50089-2022</t>
        </is>
      </c>
      <c r="B183" s="1" t="n">
        <v>44865</v>
      </c>
      <c r="C183" s="1" t="n">
        <v>45917</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21245-2025</t>
        </is>
      </c>
      <c r="B184" s="1" t="n">
        <v>45779.57350694444</v>
      </c>
      <c r="C184" s="1" t="n">
        <v>45917</v>
      </c>
      <c r="D184" t="inlineStr">
        <is>
          <t>JÄMTLANDS LÄN</t>
        </is>
      </c>
      <c r="E184" t="inlineStr">
        <is>
          <t>RAGUNDA</t>
        </is>
      </c>
      <c r="F184" t="inlineStr">
        <is>
          <t>SCA</t>
        </is>
      </c>
      <c r="G184" t="n">
        <v>3.7</v>
      </c>
      <c r="H184" t="n">
        <v>1</v>
      </c>
      <c r="I184" t="n">
        <v>0</v>
      </c>
      <c r="J184" t="n">
        <v>1</v>
      </c>
      <c r="K184" t="n">
        <v>0</v>
      </c>
      <c r="L184" t="n">
        <v>0</v>
      </c>
      <c r="M184" t="n">
        <v>0</v>
      </c>
      <c r="N184" t="n">
        <v>0</v>
      </c>
      <c r="O184" t="n">
        <v>1</v>
      </c>
      <c r="P184" t="n">
        <v>0</v>
      </c>
      <c r="Q184" t="n">
        <v>2</v>
      </c>
      <c r="R184" s="2" t="inlineStr">
        <is>
          <t>Garnlav
Tjäder</t>
        </is>
      </c>
      <c r="S184">
        <f>HYPERLINK("https://klasma.github.io/Logging_2303/artfynd/A 21245-2025 artfynd.xlsx", "A 21245-2025")</f>
        <v/>
      </c>
      <c r="T184">
        <f>HYPERLINK("https://klasma.github.io/Logging_2303/kartor/A 21245-2025 karta.png", "A 21245-2025")</f>
        <v/>
      </c>
      <c r="V184">
        <f>HYPERLINK("https://klasma.github.io/Logging_2303/klagomål/A 21245-2025 FSC-klagomål.docx", "A 21245-2025")</f>
        <v/>
      </c>
      <c r="W184">
        <f>HYPERLINK("https://klasma.github.io/Logging_2303/klagomålsmail/A 21245-2025 FSC-klagomål mail.docx", "A 21245-2025")</f>
        <v/>
      </c>
      <c r="X184">
        <f>HYPERLINK("https://klasma.github.io/Logging_2303/tillsyn/A 21245-2025 tillsynsbegäran.docx", "A 21245-2025")</f>
        <v/>
      </c>
      <c r="Y184">
        <f>HYPERLINK("https://klasma.github.io/Logging_2303/tillsynsmail/A 21245-2025 tillsynsbegäran mail.docx", "A 21245-2025")</f>
        <v/>
      </c>
      <c r="Z184">
        <f>HYPERLINK("https://klasma.github.io/Logging_2303/fåglar/A 21245-2025 prioriterade fågelarter.docx", "A 21245-2025")</f>
        <v/>
      </c>
    </row>
    <row r="185" ht="15" customHeight="1">
      <c r="A185" t="inlineStr">
        <is>
          <t>A 32736-2023</t>
        </is>
      </c>
      <c r="B185" s="1" t="n">
        <v>45121</v>
      </c>
      <c r="C185" s="1" t="n">
        <v>45917</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Vedtrappmossa
Stor aspticka</t>
        </is>
      </c>
      <c r="S185">
        <f>HYPERLINK("https://klasma.github.io/Logging_2303/artfynd/A 32736-2023 artfynd.xlsx", "A 32736-2023")</f>
        <v/>
      </c>
      <c r="T185">
        <f>HYPERLINK("https://klasma.github.io/Logging_2303/kartor/A 32736-2023 karta.png", "A 32736-2023")</f>
        <v/>
      </c>
      <c r="V185">
        <f>HYPERLINK("https://klasma.github.io/Logging_2303/klagomål/A 32736-2023 FSC-klagomål.docx", "A 32736-2023")</f>
        <v/>
      </c>
      <c r="W185">
        <f>HYPERLINK("https://klasma.github.io/Logging_2303/klagomålsmail/A 32736-2023 FSC-klagomål mail.docx", "A 32736-2023")</f>
        <v/>
      </c>
      <c r="X185">
        <f>HYPERLINK("https://klasma.github.io/Logging_2303/tillsyn/A 32736-2023 tillsynsbegäran.docx", "A 32736-2023")</f>
        <v/>
      </c>
      <c r="Y185">
        <f>HYPERLINK("https://klasma.github.io/Logging_2303/tillsynsmail/A 32736-2023 tillsynsbegäran mail.docx", "A 32736-2023")</f>
        <v/>
      </c>
    </row>
    <row r="186" ht="15" customHeight="1">
      <c r="A186" t="inlineStr">
        <is>
          <t>A 45021-2023</t>
        </is>
      </c>
      <c r="B186" s="1" t="n">
        <v>45190</v>
      </c>
      <c r="C186" s="1" t="n">
        <v>45917</v>
      </c>
      <c r="D186" t="inlineStr">
        <is>
          <t>JÄMTLANDS LÄN</t>
        </is>
      </c>
      <c r="E186" t="inlineStr">
        <is>
          <t>RAGUNDA</t>
        </is>
      </c>
      <c r="F186" t="inlineStr">
        <is>
          <t>SCA</t>
        </is>
      </c>
      <c r="G186" t="n">
        <v>1.6</v>
      </c>
      <c r="H186" t="n">
        <v>1</v>
      </c>
      <c r="I186" t="n">
        <v>0</v>
      </c>
      <c r="J186" t="n">
        <v>1</v>
      </c>
      <c r="K186" t="n">
        <v>0</v>
      </c>
      <c r="L186" t="n">
        <v>0</v>
      </c>
      <c r="M186" t="n">
        <v>0</v>
      </c>
      <c r="N186" t="n">
        <v>0</v>
      </c>
      <c r="O186" t="n">
        <v>1</v>
      </c>
      <c r="P186" t="n">
        <v>0</v>
      </c>
      <c r="Q186" t="n">
        <v>2</v>
      </c>
      <c r="R186" s="2" t="inlineStr">
        <is>
          <t>Lunglav
Fläcknycklar</t>
        </is>
      </c>
      <c r="S186">
        <f>HYPERLINK("https://klasma.github.io/Logging_2303/artfynd/A 45021-2023 artfynd.xlsx", "A 45021-2023")</f>
        <v/>
      </c>
      <c r="T186">
        <f>HYPERLINK("https://klasma.github.io/Logging_2303/kartor/A 45021-2023 karta.png", "A 45021-2023")</f>
        <v/>
      </c>
      <c r="V186">
        <f>HYPERLINK("https://klasma.github.io/Logging_2303/klagomål/A 45021-2023 FSC-klagomål.docx", "A 45021-2023")</f>
        <v/>
      </c>
      <c r="W186">
        <f>HYPERLINK("https://klasma.github.io/Logging_2303/klagomålsmail/A 45021-2023 FSC-klagomål mail.docx", "A 45021-2023")</f>
        <v/>
      </c>
      <c r="X186">
        <f>HYPERLINK("https://klasma.github.io/Logging_2303/tillsyn/A 45021-2023 tillsynsbegäran.docx", "A 45021-2023")</f>
        <v/>
      </c>
      <c r="Y186">
        <f>HYPERLINK("https://klasma.github.io/Logging_2303/tillsynsmail/A 45021-2023 tillsynsbegäran mail.docx", "A 45021-2023")</f>
        <v/>
      </c>
    </row>
    <row r="187" ht="15" customHeight="1">
      <c r="A187" t="inlineStr">
        <is>
          <t>A 25155-2025</t>
        </is>
      </c>
      <c r="B187" s="1" t="n">
        <v>45800.42782407408</v>
      </c>
      <c r="C187" s="1" t="n">
        <v>45917</v>
      </c>
      <c r="D187" t="inlineStr">
        <is>
          <t>JÄMTLANDS LÄN</t>
        </is>
      </c>
      <c r="E187" t="inlineStr">
        <is>
          <t>RAGUNDA</t>
        </is>
      </c>
      <c r="F187" t="inlineStr">
        <is>
          <t>SCA</t>
        </is>
      </c>
      <c r="G187" t="n">
        <v>1.7</v>
      </c>
      <c r="H187" t="n">
        <v>1</v>
      </c>
      <c r="I187" t="n">
        <v>0</v>
      </c>
      <c r="J187" t="n">
        <v>1</v>
      </c>
      <c r="K187" t="n">
        <v>0</v>
      </c>
      <c r="L187" t="n">
        <v>0</v>
      </c>
      <c r="M187" t="n">
        <v>0</v>
      </c>
      <c r="N187" t="n">
        <v>0</v>
      </c>
      <c r="O187" t="n">
        <v>1</v>
      </c>
      <c r="P187" t="n">
        <v>0</v>
      </c>
      <c r="Q187" t="n">
        <v>2</v>
      </c>
      <c r="R187" s="2" t="inlineStr">
        <is>
          <t>Leptoporus mollis
Fläcknycklar</t>
        </is>
      </c>
      <c r="S187">
        <f>HYPERLINK("https://klasma.github.io/Logging_2303/artfynd/A 25155-2025 artfynd.xlsx", "A 25155-2025")</f>
        <v/>
      </c>
      <c r="T187">
        <f>HYPERLINK("https://klasma.github.io/Logging_2303/kartor/A 25155-2025 karta.png", "A 25155-2025")</f>
        <v/>
      </c>
      <c r="V187">
        <f>HYPERLINK("https://klasma.github.io/Logging_2303/klagomål/A 25155-2025 FSC-klagomål.docx", "A 25155-2025")</f>
        <v/>
      </c>
      <c r="W187">
        <f>HYPERLINK("https://klasma.github.io/Logging_2303/klagomålsmail/A 25155-2025 FSC-klagomål mail.docx", "A 25155-2025")</f>
        <v/>
      </c>
      <c r="X187">
        <f>HYPERLINK("https://klasma.github.io/Logging_2303/tillsyn/A 25155-2025 tillsynsbegäran.docx", "A 25155-2025")</f>
        <v/>
      </c>
      <c r="Y187">
        <f>HYPERLINK("https://klasma.github.io/Logging_2303/tillsynsmail/A 25155-2025 tillsynsbegäran mail.docx", "A 25155-2025")</f>
        <v/>
      </c>
    </row>
    <row r="188" ht="15" customHeight="1">
      <c r="A188" t="inlineStr">
        <is>
          <t>A 44409-2023</t>
        </is>
      </c>
      <c r="B188" s="1" t="n">
        <v>45188</v>
      </c>
      <c r="C188" s="1" t="n">
        <v>45917</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17733-2022</t>
        </is>
      </c>
      <c r="B189" s="1" t="n">
        <v>44680</v>
      </c>
      <c r="C189" s="1" t="n">
        <v>45917</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40826-2023</t>
        </is>
      </c>
      <c r="B190" s="1" t="n">
        <v>45171</v>
      </c>
      <c r="C190" s="1" t="n">
        <v>45917</v>
      </c>
      <c r="D190" t="inlineStr">
        <is>
          <t>JÄMTLANDS LÄN</t>
        </is>
      </c>
      <c r="E190" t="inlineStr">
        <is>
          <t>RAGUNDA</t>
        </is>
      </c>
      <c r="F190" t="inlineStr">
        <is>
          <t>SCA</t>
        </is>
      </c>
      <c r="G190" t="n">
        <v>4.5</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40826-2023 artfynd.xlsx", "A 40826-2023")</f>
        <v/>
      </c>
      <c r="T190">
        <f>HYPERLINK("https://klasma.github.io/Logging_2303/kartor/A 40826-2023 karta.png", "A 40826-2023")</f>
        <v/>
      </c>
      <c r="V190">
        <f>HYPERLINK("https://klasma.github.io/Logging_2303/klagomål/A 40826-2023 FSC-klagomål.docx", "A 40826-2023")</f>
        <v/>
      </c>
      <c r="W190">
        <f>HYPERLINK("https://klasma.github.io/Logging_2303/klagomålsmail/A 40826-2023 FSC-klagomål mail.docx", "A 40826-2023")</f>
        <v/>
      </c>
      <c r="X190">
        <f>HYPERLINK("https://klasma.github.io/Logging_2303/tillsyn/A 40826-2023 tillsynsbegäran.docx", "A 40826-2023")</f>
        <v/>
      </c>
      <c r="Y190">
        <f>HYPERLINK("https://klasma.github.io/Logging_2303/tillsynsmail/A 40826-2023 tillsynsbegäran mail.docx", "A 40826-2023")</f>
        <v/>
      </c>
    </row>
    <row r="191" ht="15" customHeight="1">
      <c r="A191" t="inlineStr">
        <is>
          <t>A 51916-2021</t>
        </is>
      </c>
      <c r="B191" s="1" t="n">
        <v>44462</v>
      </c>
      <c r="C191" s="1" t="n">
        <v>45917</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45917</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45917</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45917</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45917</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45917</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45917</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27286-2022</t>
        </is>
      </c>
      <c r="B198" s="1" t="n">
        <v>44741</v>
      </c>
      <c r="C198" s="1" t="n">
        <v>45917</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45917</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24443-2024</t>
        </is>
      </c>
      <c r="B200" s="1" t="n">
        <v>45457.9640625</v>
      </c>
      <c r="C200" s="1" t="n">
        <v>45917</v>
      </c>
      <c r="D200" t="inlineStr">
        <is>
          <t>JÄMTLANDS LÄN</t>
        </is>
      </c>
      <c r="E200" t="inlineStr">
        <is>
          <t>RAGUNDA</t>
        </is>
      </c>
      <c r="F200" t="inlineStr">
        <is>
          <t>SCA</t>
        </is>
      </c>
      <c r="G200" t="n">
        <v>2.1</v>
      </c>
      <c r="H200" t="n">
        <v>0</v>
      </c>
      <c r="I200" t="n">
        <v>0</v>
      </c>
      <c r="J200" t="n">
        <v>1</v>
      </c>
      <c r="K200" t="n">
        <v>0</v>
      </c>
      <c r="L200" t="n">
        <v>0</v>
      </c>
      <c r="M200" t="n">
        <v>0</v>
      </c>
      <c r="N200" t="n">
        <v>0</v>
      </c>
      <c r="O200" t="n">
        <v>1</v>
      </c>
      <c r="P200" t="n">
        <v>0</v>
      </c>
      <c r="Q200" t="n">
        <v>1</v>
      </c>
      <c r="R200" s="2" t="inlineStr">
        <is>
          <t>Lunglav</t>
        </is>
      </c>
      <c r="S200">
        <f>HYPERLINK("https://klasma.github.io/Logging_2303/artfynd/A 24443-2024 artfynd.xlsx", "A 24443-2024")</f>
        <v/>
      </c>
      <c r="T200">
        <f>HYPERLINK("https://klasma.github.io/Logging_2303/kartor/A 24443-2024 karta.png", "A 24443-2024")</f>
        <v/>
      </c>
      <c r="U200">
        <f>HYPERLINK("https://klasma.github.io/Logging_2303/knärot/A 24443-2024 karta knärot.png", "A 24443-2024")</f>
        <v/>
      </c>
      <c r="V200">
        <f>HYPERLINK("https://klasma.github.io/Logging_2303/klagomål/A 24443-2024 FSC-klagomål.docx", "A 24443-2024")</f>
        <v/>
      </c>
      <c r="W200">
        <f>HYPERLINK("https://klasma.github.io/Logging_2303/klagomålsmail/A 24443-2024 FSC-klagomål mail.docx", "A 24443-2024")</f>
        <v/>
      </c>
      <c r="X200">
        <f>HYPERLINK("https://klasma.github.io/Logging_2303/tillsyn/A 24443-2024 tillsynsbegäran.docx", "A 24443-2024")</f>
        <v/>
      </c>
      <c r="Y200">
        <f>HYPERLINK("https://klasma.github.io/Logging_2303/tillsynsmail/A 24443-2024 tillsynsbegäran mail.docx", "A 24443-2024")</f>
        <v/>
      </c>
    </row>
    <row r="201" ht="15" customHeight="1">
      <c r="A201" t="inlineStr">
        <is>
          <t>A 16316-2025</t>
        </is>
      </c>
      <c r="B201" s="1" t="n">
        <v>45751.34795138889</v>
      </c>
      <c r="C201" s="1" t="n">
        <v>45917</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19387-2025</t>
        </is>
      </c>
      <c r="B202" s="1" t="n">
        <v>45769.65736111111</v>
      </c>
      <c r="C202" s="1" t="n">
        <v>45917</v>
      </c>
      <c r="D202" t="inlineStr">
        <is>
          <t>JÄMTLANDS LÄN</t>
        </is>
      </c>
      <c r="E202" t="inlineStr">
        <is>
          <t>RAGUNDA</t>
        </is>
      </c>
      <c r="F202" t="inlineStr">
        <is>
          <t>SCA</t>
        </is>
      </c>
      <c r="G202" t="n">
        <v>16.4</v>
      </c>
      <c r="H202" t="n">
        <v>1</v>
      </c>
      <c r="I202" t="n">
        <v>0</v>
      </c>
      <c r="J202" t="n">
        <v>0</v>
      </c>
      <c r="K202" t="n">
        <v>1</v>
      </c>
      <c r="L202" t="n">
        <v>0</v>
      </c>
      <c r="M202" t="n">
        <v>0</v>
      </c>
      <c r="N202" t="n">
        <v>0</v>
      </c>
      <c r="O202" t="n">
        <v>1</v>
      </c>
      <c r="P202" t="n">
        <v>1</v>
      </c>
      <c r="Q202" t="n">
        <v>1</v>
      </c>
      <c r="R202" s="2" t="inlineStr">
        <is>
          <t>Norna</t>
        </is>
      </c>
      <c r="S202">
        <f>HYPERLINK("https://klasma.github.io/Logging_2303/artfynd/A 19387-2025 artfynd.xlsx", "A 19387-2025")</f>
        <v/>
      </c>
      <c r="T202">
        <f>HYPERLINK("https://klasma.github.io/Logging_2303/kartor/A 19387-2025 karta.png", "A 19387-2025")</f>
        <v/>
      </c>
      <c r="V202">
        <f>HYPERLINK("https://klasma.github.io/Logging_2303/klagomål/A 19387-2025 FSC-klagomål.docx", "A 19387-2025")</f>
        <v/>
      </c>
      <c r="W202">
        <f>HYPERLINK("https://klasma.github.io/Logging_2303/klagomålsmail/A 19387-2025 FSC-klagomål mail.docx", "A 19387-2025")</f>
        <v/>
      </c>
      <c r="X202">
        <f>HYPERLINK("https://klasma.github.io/Logging_2303/tillsyn/A 19387-2025 tillsynsbegäran.docx", "A 19387-2025")</f>
        <v/>
      </c>
      <c r="Y202">
        <f>HYPERLINK("https://klasma.github.io/Logging_2303/tillsynsmail/A 19387-2025 tillsynsbegäran mail.docx", "A 19387-2025")</f>
        <v/>
      </c>
    </row>
    <row r="203" ht="15" customHeight="1">
      <c r="A203" t="inlineStr">
        <is>
          <t>A 20575-2025</t>
        </is>
      </c>
      <c r="B203" s="1" t="n">
        <v>45775.67769675926</v>
      </c>
      <c r="C203" s="1" t="n">
        <v>45917</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1057-2024</t>
        </is>
      </c>
      <c r="B204" s="1" t="n">
        <v>45301</v>
      </c>
      <c r="C204" s="1" t="n">
        <v>45917</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27573-2025</t>
        </is>
      </c>
      <c r="B205" s="1" t="n">
        <v>45813.49061342593</v>
      </c>
      <c r="C205" s="1" t="n">
        <v>45917</v>
      </c>
      <c r="D205" t="inlineStr">
        <is>
          <t>JÄMTLANDS LÄN</t>
        </is>
      </c>
      <c r="E205" t="inlineStr">
        <is>
          <t>RAGUNDA</t>
        </is>
      </c>
      <c r="F205" t="inlineStr">
        <is>
          <t>SCA</t>
        </is>
      </c>
      <c r="G205" t="n">
        <v>14.9</v>
      </c>
      <c r="H205" t="n">
        <v>0</v>
      </c>
      <c r="I205" t="n">
        <v>1</v>
      </c>
      <c r="J205" t="n">
        <v>0</v>
      </c>
      <c r="K205" t="n">
        <v>0</v>
      </c>
      <c r="L205" t="n">
        <v>0</v>
      </c>
      <c r="M205" t="n">
        <v>0</v>
      </c>
      <c r="N205" t="n">
        <v>0</v>
      </c>
      <c r="O205" t="n">
        <v>0</v>
      </c>
      <c r="P205" t="n">
        <v>0</v>
      </c>
      <c r="Q205" t="n">
        <v>1</v>
      </c>
      <c r="R205" s="2" t="inlineStr">
        <is>
          <t>Skinnlav</t>
        </is>
      </c>
      <c r="S205">
        <f>HYPERLINK("https://klasma.github.io/Logging_2303/artfynd/A 27573-2025 artfynd.xlsx", "A 27573-2025")</f>
        <v/>
      </c>
      <c r="T205">
        <f>HYPERLINK("https://klasma.github.io/Logging_2303/kartor/A 27573-2025 karta.png", "A 27573-2025")</f>
        <v/>
      </c>
      <c r="U205">
        <f>HYPERLINK("https://klasma.github.io/Logging_2303/knärot/A 27573-2025 karta knärot.png", "A 27573-2025")</f>
        <v/>
      </c>
      <c r="V205">
        <f>HYPERLINK("https://klasma.github.io/Logging_2303/klagomål/A 27573-2025 FSC-klagomål.docx", "A 27573-2025")</f>
        <v/>
      </c>
      <c r="W205">
        <f>HYPERLINK("https://klasma.github.io/Logging_2303/klagomålsmail/A 27573-2025 FSC-klagomål mail.docx", "A 27573-2025")</f>
        <v/>
      </c>
      <c r="X205">
        <f>HYPERLINK("https://klasma.github.io/Logging_2303/tillsyn/A 27573-2025 tillsynsbegäran.docx", "A 27573-2025")</f>
        <v/>
      </c>
      <c r="Y205">
        <f>HYPERLINK("https://klasma.github.io/Logging_2303/tillsynsmail/A 27573-2025 tillsynsbegäran mail.docx", "A 27573-2025")</f>
        <v/>
      </c>
    </row>
    <row r="206" ht="15" customHeight="1">
      <c r="A206" t="inlineStr">
        <is>
          <t>A 978-2024</t>
        </is>
      </c>
      <c r="B206" s="1" t="n">
        <v>45301</v>
      </c>
      <c r="C206" s="1" t="n">
        <v>45917</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48429-2023</t>
        </is>
      </c>
      <c r="B207" s="1" t="n">
        <v>45205</v>
      </c>
      <c r="C207" s="1" t="n">
        <v>45917</v>
      </c>
      <c r="D207" t="inlineStr">
        <is>
          <t>JÄMTLANDS LÄN</t>
        </is>
      </c>
      <c r="E207" t="inlineStr">
        <is>
          <t>RAGUNDA</t>
        </is>
      </c>
      <c r="F207" t="inlineStr">
        <is>
          <t>SCA</t>
        </is>
      </c>
      <c r="G207" t="n">
        <v>1.8</v>
      </c>
      <c r="H207" t="n">
        <v>0</v>
      </c>
      <c r="I207" t="n">
        <v>1</v>
      </c>
      <c r="J207" t="n">
        <v>0</v>
      </c>
      <c r="K207" t="n">
        <v>0</v>
      </c>
      <c r="L207" t="n">
        <v>0</v>
      </c>
      <c r="M207" t="n">
        <v>0</v>
      </c>
      <c r="N207" t="n">
        <v>0</v>
      </c>
      <c r="O207" t="n">
        <v>0</v>
      </c>
      <c r="P207" t="n">
        <v>0</v>
      </c>
      <c r="Q207" t="n">
        <v>1</v>
      </c>
      <c r="R207" s="2" t="inlineStr">
        <is>
          <t>Dropptaggsvamp</t>
        </is>
      </c>
      <c r="S207">
        <f>HYPERLINK("https://klasma.github.io/Logging_2303/artfynd/A 48429-2023 artfynd.xlsx", "A 48429-2023")</f>
        <v/>
      </c>
      <c r="T207">
        <f>HYPERLINK("https://klasma.github.io/Logging_2303/kartor/A 48429-2023 karta.png", "A 48429-2023")</f>
        <v/>
      </c>
      <c r="V207">
        <f>HYPERLINK("https://klasma.github.io/Logging_2303/klagomål/A 48429-2023 FSC-klagomål.docx", "A 48429-2023")</f>
        <v/>
      </c>
      <c r="W207">
        <f>HYPERLINK("https://klasma.github.io/Logging_2303/klagomålsmail/A 48429-2023 FSC-klagomål mail.docx", "A 48429-2023")</f>
        <v/>
      </c>
      <c r="X207">
        <f>HYPERLINK("https://klasma.github.io/Logging_2303/tillsyn/A 48429-2023 tillsynsbegäran.docx", "A 48429-2023")</f>
        <v/>
      </c>
      <c r="Y207">
        <f>HYPERLINK("https://klasma.github.io/Logging_2303/tillsynsmail/A 48429-2023 tillsynsbegäran mail.docx", "A 48429-2023")</f>
        <v/>
      </c>
    </row>
    <row r="208" ht="15" customHeight="1">
      <c r="A208" t="inlineStr">
        <is>
          <t>A 59104-2023</t>
        </is>
      </c>
      <c r="B208" s="1" t="n">
        <v>45252</v>
      </c>
      <c r="C208" s="1" t="n">
        <v>45917</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19728-2025</t>
        </is>
      </c>
      <c r="B209" s="1" t="n">
        <v>45771.36548611111</v>
      </c>
      <c r="C209" s="1" t="n">
        <v>45917</v>
      </c>
      <c r="D209" t="inlineStr">
        <is>
          <t>JÄMTLANDS LÄN</t>
        </is>
      </c>
      <c r="E209" t="inlineStr">
        <is>
          <t>RAGUNDA</t>
        </is>
      </c>
      <c r="F209" t="inlineStr">
        <is>
          <t>SCA</t>
        </is>
      </c>
      <c r="G209" t="n">
        <v>6.2</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19728-2025 artfynd.xlsx", "A 19728-2025")</f>
        <v/>
      </c>
      <c r="T209">
        <f>HYPERLINK("https://klasma.github.io/Logging_2303/kartor/A 19728-2025 karta.png", "A 19728-2025")</f>
        <v/>
      </c>
      <c r="V209">
        <f>HYPERLINK("https://klasma.github.io/Logging_2303/klagomål/A 19728-2025 FSC-klagomål.docx", "A 19728-2025")</f>
        <v/>
      </c>
      <c r="W209">
        <f>HYPERLINK("https://klasma.github.io/Logging_2303/klagomålsmail/A 19728-2025 FSC-klagomål mail.docx", "A 19728-2025")</f>
        <v/>
      </c>
      <c r="X209">
        <f>HYPERLINK("https://klasma.github.io/Logging_2303/tillsyn/A 19728-2025 tillsynsbegäran.docx", "A 19728-2025")</f>
        <v/>
      </c>
      <c r="Y209">
        <f>HYPERLINK("https://klasma.github.io/Logging_2303/tillsynsmail/A 19728-2025 tillsynsbegäran mail.docx", "A 19728-2025")</f>
        <v/>
      </c>
      <c r="Z209">
        <f>HYPERLINK("https://klasma.github.io/Logging_2303/fåglar/A 19728-2025 prioriterade fågelarter.docx", "A 19728-2025")</f>
        <v/>
      </c>
    </row>
    <row r="210" ht="15" customHeight="1">
      <c r="A210" t="inlineStr">
        <is>
          <t>A 11040-2023</t>
        </is>
      </c>
      <c r="B210" s="1" t="n">
        <v>44991</v>
      </c>
      <c r="C210" s="1" t="n">
        <v>45917</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20774-2024</t>
        </is>
      </c>
      <c r="B211" s="1" t="n">
        <v>45436.94644675926</v>
      </c>
      <c r="C211" s="1" t="n">
        <v>45917</v>
      </c>
      <c r="D211" t="inlineStr">
        <is>
          <t>JÄMTLANDS LÄN</t>
        </is>
      </c>
      <c r="E211" t="inlineStr">
        <is>
          <t>RAGUNDA</t>
        </is>
      </c>
      <c r="F211" t="inlineStr">
        <is>
          <t>SCA</t>
        </is>
      </c>
      <c r="G211" t="n">
        <v>2.3</v>
      </c>
      <c r="H211" t="n">
        <v>0</v>
      </c>
      <c r="I211" t="n">
        <v>1</v>
      </c>
      <c r="J211" t="n">
        <v>0</v>
      </c>
      <c r="K211" t="n">
        <v>0</v>
      </c>
      <c r="L211" t="n">
        <v>0</v>
      </c>
      <c r="M211" t="n">
        <v>0</v>
      </c>
      <c r="N211" t="n">
        <v>0</v>
      </c>
      <c r="O211" t="n">
        <v>0</v>
      </c>
      <c r="P211" t="n">
        <v>0</v>
      </c>
      <c r="Q211" t="n">
        <v>1</v>
      </c>
      <c r="R211" s="2" t="inlineStr">
        <is>
          <t>Fjällig taggsvamp s.str.</t>
        </is>
      </c>
      <c r="S211">
        <f>HYPERLINK("https://klasma.github.io/Logging_2303/artfynd/A 20774-2024 artfynd.xlsx", "A 20774-2024")</f>
        <v/>
      </c>
      <c r="T211">
        <f>HYPERLINK("https://klasma.github.io/Logging_2303/kartor/A 20774-2024 karta.png", "A 20774-2024")</f>
        <v/>
      </c>
      <c r="V211">
        <f>HYPERLINK("https://klasma.github.io/Logging_2303/klagomål/A 20774-2024 FSC-klagomål.docx", "A 20774-2024")</f>
        <v/>
      </c>
      <c r="W211">
        <f>HYPERLINK("https://klasma.github.io/Logging_2303/klagomålsmail/A 20774-2024 FSC-klagomål mail.docx", "A 20774-2024")</f>
        <v/>
      </c>
      <c r="X211">
        <f>HYPERLINK("https://klasma.github.io/Logging_2303/tillsyn/A 20774-2024 tillsynsbegäran.docx", "A 20774-2024")</f>
        <v/>
      </c>
      <c r="Y211">
        <f>HYPERLINK("https://klasma.github.io/Logging_2303/tillsynsmail/A 20774-2024 tillsynsbegäran mail.docx", "A 20774-2024")</f>
        <v/>
      </c>
    </row>
    <row r="212" ht="15" customHeight="1">
      <c r="A212" t="inlineStr">
        <is>
          <t>A 30390-2025</t>
        </is>
      </c>
      <c r="B212" s="1" t="n">
        <v>45827.57371527778</v>
      </c>
      <c r="C212" s="1" t="n">
        <v>45917</v>
      </c>
      <c r="D212" t="inlineStr">
        <is>
          <t>JÄMTLANDS LÄN</t>
        </is>
      </c>
      <c r="E212" t="inlineStr">
        <is>
          <t>RAGUNDA</t>
        </is>
      </c>
      <c r="F212" t="inlineStr">
        <is>
          <t>SCA</t>
        </is>
      </c>
      <c r="G212" t="n">
        <v>11.2</v>
      </c>
      <c r="H212" t="n">
        <v>0</v>
      </c>
      <c r="I212" t="n">
        <v>0</v>
      </c>
      <c r="J212" t="n">
        <v>1</v>
      </c>
      <c r="K212" t="n">
        <v>0</v>
      </c>
      <c r="L212" t="n">
        <v>0</v>
      </c>
      <c r="M212" t="n">
        <v>0</v>
      </c>
      <c r="N212" t="n">
        <v>0</v>
      </c>
      <c r="O212" t="n">
        <v>1</v>
      </c>
      <c r="P212" t="n">
        <v>0</v>
      </c>
      <c r="Q212" t="n">
        <v>1</v>
      </c>
      <c r="R212" s="2" t="inlineStr">
        <is>
          <t>Lunglav</t>
        </is>
      </c>
      <c r="S212">
        <f>HYPERLINK("https://klasma.github.io/Logging_2303/artfynd/A 30390-2025 artfynd.xlsx", "A 30390-2025")</f>
        <v/>
      </c>
      <c r="T212">
        <f>HYPERLINK("https://klasma.github.io/Logging_2303/kartor/A 30390-2025 karta.png", "A 30390-2025")</f>
        <v/>
      </c>
      <c r="U212">
        <f>HYPERLINK("https://klasma.github.io/Logging_2303/knärot/A 30390-2025 karta knärot.png", "A 30390-2025")</f>
        <v/>
      </c>
      <c r="V212">
        <f>HYPERLINK("https://klasma.github.io/Logging_2303/klagomål/A 30390-2025 FSC-klagomål.docx", "A 30390-2025")</f>
        <v/>
      </c>
      <c r="W212">
        <f>HYPERLINK("https://klasma.github.io/Logging_2303/klagomålsmail/A 30390-2025 FSC-klagomål mail.docx", "A 30390-2025")</f>
        <v/>
      </c>
      <c r="X212">
        <f>HYPERLINK("https://klasma.github.io/Logging_2303/tillsyn/A 30390-2025 tillsynsbegäran.docx", "A 30390-2025")</f>
        <v/>
      </c>
      <c r="Y212">
        <f>HYPERLINK("https://klasma.github.io/Logging_2303/tillsynsmail/A 30390-2025 tillsynsbegäran mail.docx", "A 30390-2025")</f>
        <v/>
      </c>
    </row>
    <row r="213" ht="15" customHeight="1">
      <c r="A213" t="inlineStr">
        <is>
          <t>A 49091-2022</t>
        </is>
      </c>
      <c r="B213" s="1" t="n">
        <v>44860</v>
      </c>
      <c r="C213" s="1" t="n">
        <v>45917</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52898-2020</t>
        </is>
      </c>
      <c r="B214" s="1" t="n">
        <v>44119</v>
      </c>
      <c r="C214" s="1" t="n">
        <v>45917</v>
      </c>
      <c r="D214" t="inlineStr">
        <is>
          <t>JÄMTLANDS LÄN</t>
        </is>
      </c>
      <c r="E214" t="inlineStr">
        <is>
          <t>RAGUNDA</t>
        </is>
      </c>
      <c r="G214" t="n">
        <v>1.4</v>
      </c>
      <c r="H214" t="n">
        <v>1</v>
      </c>
      <c r="I214" t="n">
        <v>0</v>
      </c>
      <c r="J214" t="n">
        <v>0</v>
      </c>
      <c r="K214" t="n">
        <v>0</v>
      </c>
      <c r="L214" t="n">
        <v>0</v>
      </c>
      <c r="M214" t="n">
        <v>0</v>
      </c>
      <c r="N214" t="n">
        <v>0</v>
      </c>
      <c r="O214" t="n">
        <v>0</v>
      </c>
      <c r="P214" t="n">
        <v>0</v>
      </c>
      <c r="Q214" t="n">
        <v>1</v>
      </c>
      <c r="R214" s="2" t="inlineStr">
        <is>
          <t>Revlummer</t>
        </is>
      </c>
      <c r="S214">
        <f>HYPERLINK("https://klasma.github.io/Logging_2303/artfynd/A 52898-2020 artfynd.xlsx", "A 52898-2020")</f>
        <v/>
      </c>
      <c r="T214">
        <f>HYPERLINK("https://klasma.github.io/Logging_2303/kartor/A 52898-2020 karta.png", "A 52898-2020")</f>
        <v/>
      </c>
      <c r="V214">
        <f>HYPERLINK("https://klasma.github.io/Logging_2303/klagomål/A 52898-2020 FSC-klagomål.docx", "A 52898-2020")</f>
        <v/>
      </c>
      <c r="W214">
        <f>HYPERLINK("https://klasma.github.io/Logging_2303/klagomålsmail/A 52898-2020 FSC-klagomål mail.docx", "A 52898-2020")</f>
        <v/>
      </c>
      <c r="X214">
        <f>HYPERLINK("https://klasma.github.io/Logging_2303/tillsyn/A 52898-2020 tillsynsbegäran.docx", "A 52898-2020")</f>
        <v/>
      </c>
      <c r="Y214">
        <f>HYPERLINK("https://klasma.github.io/Logging_2303/tillsynsmail/A 52898-2020 tillsynsbegäran mail.docx", "A 52898-2020")</f>
        <v/>
      </c>
    </row>
    <row r="215" ht="15" customHeight="1">
      <c r="A215" t="inlineStr">
        <is>
          <t>A 22054-2025</t>
        </is>
      </c>
      <c r="B215" s="1" t="n">
        <v>45785.36525462963</v>
      </c>
      <c r="C215" s="1" t="n">
        <v>45917</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32445-2025</t>
        </is>
      </c>
      <c r="B216" s="1" t="n">
        <v>45838.38627314815</v>
      </c>
      <c r="C216" s="1" t="n">
        <v>45917</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32445-2025 artfynd.xlsx", "A 32445-2025")</f>
        <v/>
      </c>
      <c r="T216">
        <f>HYPERLINK("https://klasma.github.io/Logging_2303/kartor/A 32445-2025 karta.png", "A 32445-2025")</f>
        <v/>
      </c>
      <c r="V216">
        <f>HYPERLINK("https://klasma.github.io/Logging_2303/klagomål/A 32445-2025 FSC-klagomål.docx", "A 32445-2025")</f>
        <v/>
      </c>
      <c r="W216">
        <f>HYPERLINK("https://klasma.github.io/Logging_2303/klagomålsmail/A 32445-2025 FSC-klagomål mail.docx", "A 32445-2025")</f>
        <v/>
      </c>
      <c r="X216">
        <f>HYPERLINK("https://klasma.github.io/Logging_2303/tillsyn/A 32445-2025 tillsynsbegäran.docx", "A 32445-2025")</f>
        <v/>
      </c>
      <c r="Y216">
        <f>HYPERLINK("https://klasma.github.io/Logging_2303/tillsynsmail/A 32445-2025 tillsynsbegäran mail.docx", "A 32445-2025")</f>
        <v/>
      </c>
      <c r="Z216">
        <f>HYPERLINK("https://klasma.github.io/Logging_2303/fåglar/A 32445-2025 prioriterade fågelarter.docx", "A 32445-2025")</f>
        <v/>
      </c>
    </row>
    <row r="217" ht="15" customHeight="1">
      <c r="A217" t="inlineStr">
        <is>
          <t>A 26317-2024</t>
        </is>
      </c>
      <c r="B217" s="1" t="n">
        <v>45468</v>
      </c>
      <c r="C217" s="1" t="n">
        <v>45917</v>
      </c>
      <c r="D217" t="inlineStr">
        <is>
          <t>JÄMTLANDS LÄN</t>
        </is>
      </c>
      <c r="E217" t="inlineStr">
        <is>
          <t>RAGUNDA</t>
        </is>
      </c>
      <c r="F217" t="inlineStr">
        <is>
          <t>SCA</t>
        </is>
      </c>
      <c r="G217" t="n">
        <v>3.8</v>
      </c>
      <c r="H217" t="n">
        <v>0</v>
      </c>
      <c r="I217" t="n">
        <v>0</v>
      </c>
      <c r="J217" t="n">
        <v>1</v>
      </c>
      <c r="K217" t="n">
        <v>0</v>
      </c>
      <c r="L217" t="n">
        <v>0</v>
      </c>
      <c r="M217" t="n">
        <v>0</v>
      </c>
      <c r="N217" t="n">
        <v>0</v>
      </c>
      <c r="O217" t="n">
        <v>1</v>
      </c>
      <c r="P217" t="n">
        <v>0</v>
      </c>
      <c r="Q217" t="n">
        <v>1</v>
      </c>
      <c r="R217" s="2" t="inlineStr">
        <is>
          <t>Kortskaftad ärgspik</t>
        </is>
      </c>
      <c r="S217">
        <f>HYPERLINK("https://klasma.github.io/Logging_2303/artfynd/A 26317-2024 artfynd.xlsx", "A 26317-2024")</f>
        <v/>
      </c>
      <c r="T217">
        <f>HYPERLINK("https://klasma.github.io/Logging_2303/kartor/A 26317-2024 karta.png", "A 26317-2024")</f>
        <v/>
      </c>
      <c r="V217">
        <f>HYPERLINK("https://klasma.github.io/Logging_2303/klagomål/A 26317-2024 FSC-klagomål.docx", "A 26317-2024")</f>
        <v/>
      </c>
      <c r="W217">
        <f>HYPERLINK("https://klasma.github.io/Logging_2303/klagomålsmail/A 26317-2024 FSC-klagomål mail.docx", "A 26317-2024")</f>
        <v/>
      </c>
      <c r="X217">
        <f>HYPERLINK("https://klasma.github.io/Logging_2303/tillsyn/A 26317-2024 tillsynsbegäran.docx", "A 26317-2024")</f>
        <v/>
      </c>
      <c r="Y217">
        <f>HYPERLINK("https://klasma.github.io/Logging_2303/tillsynsmail/A 26317-2024 tillsynsbegäran mail.docx", "A 26317-2024")</f>
        <v/>
      </c>
    </row>
    <row r="218" ht="15" customHeight="1">
      <c r="A218" t="inlineStr">
        <is>
          <t>A 29921-2024</t>
        </is>
      </c>
      <c r="B218" s="1" t="n">
        <v>45487.92863425926</v>
      </c>
      <c r="C218" s="1" t="n">
        <v>45917</v>
      </c>
      <c r="D218" t="inlineStr">
        <is>
          <t>JÄMTLANDS LÄN</t>
        </is>
      </c>
      <c r="E218" t="inlineStr">
        <is>
          <t>RAGUNDA</t>
        </is>
      </c>
      <c r="G218" t="n">
        <v>1.6</v>
      </c>
      <c r="H218" t="n">
        <v>1</v>
      </c>
      <c r="I218" t="n">
        <v>0</v>
      </c>
      <c r="J218" t="n">
        <v>0</v>
      </c>
      <c r="K218" t="n">
        <v>1</v>
      </c>
      <c r="L218" t="n">
        <v>0</v>
      </c>
      <c r="M218" t="n">
        <v>0</v>
      </c>
      <c r="N218" t="n">
        <v>0</v>
      </c>
      <c r="O218" t="n">
        <v>1</v>
      </c>
      <c r="P218" t="n">
        <v>1</v>
      </c>
      <c r="Q218" t="n">
        <v>1</v>
      </c>
      <c r="R218" s="2" t="inlineStr">
        <is>
          <t>Knärot</t>
        </is>
      </c>
      <c r="S218">
        <f>HYPERLINK("https://klasma.github.io/Logging_2303/artfynd/A 29921-2024 artfynd.xlsx", "A 29921-2024")</f>
        <v/>
      </c>
      <c r="T218">
        <f>HYPERLINK("https://klasma.github.io/Logging_2303/kartor/A 29921-2024 karta.png", "A 29921-2024")</f>
        <v/>
      </c>
      <c r="U218">
        <f>HYPERLINK("https://klasma.github.io/Logging_2303/knärot/A 29921-2024 karta knärot.png", "A 29921-2024")</f>
        <v/>
      </c>
      <c r="V218">
        <f>HYPERLINK("https://klasma.github.io/Logging_2303/klagomål/A 29921-2024 FSC-klagomål.docx", "A 29921-2024")</f>
        <v/>
      </c>
      <c r="W218">
        <f>HYPERLINK("https://klasma.github.io/Logging_2303/klagomålsmail/A 29921-2024 FSC-klagomål mail.docx", "A 29921-2024")</f>
        <v/>
      </c>
      <c r="X218">
        <f>HYPERLINK("https://klasma.github.io/Logging_2303/tillsyn/A 29921-2024 tillsynsbegäran.docx", "A 29921-2024")</f>
        <v/>
      </c>
      <c r="Y218">
        <f>HYPERLINK("https://klasma.github.io/Logging_2303/tillsynsmail/A 29921-2024 tillsynsbegäran mail.docx", "A 29921-2024")</f>
        <v/>
      </c>
    </row>
    <row r="219" ht="15" customHeight="1">
      <c r="A219" t="inlineStr">
        <is>
          <t>A 23930-2024</t>
        </is>
      </c>
      <c r="B219" s="1" t="n">
        <v>45455.96184027778</v>
      </c>
      <c r="C219" s="1" t="n">
        <v>45917</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30485-2024</t>
        </is>
      </c>
      <c r="B220" s="1" t="n">
        <v>45491.95008101852</v>
      </c>
      <c r="C220" s="1" t="n">
        <v>45917</v>
      </c>
      <c r="D220" t="inlineStr">
        <is>
          <t>JÄMTLANDS LÄN</t>
        </is>
      </c>
      <c r="E220" t="inlineStr">
        <is>
          <t>RAGUNDA</t>
        </is>
      </c>
      <c r="F220" t="inlineStr">
        <is>
          <t>SCA</t>
        </is>
      </c>
      <c r="G220" t="n">
        <v>2</v>
      </c>
      <c r="H220" t="n">
        <v>0</v>
      </c>
      <c r="I220" t="n">
        <v>0</v>
      </c>
      <c r="J220" t="n">
        <v>1</v>
      </c>
      <c r="K220" t="n">
        <v>0</v>
      </c>
      <c r="L220" t="n">
        <v>0</v>
      </c>
      <c r="M220" t="n">
        <v>0</v>
      </c>
      <c r="N220" t="n">
        <v>0</v>
      </c>
      <c r="O220" t="n">
        <v>1</v>
      </c>
      <c r="P220" t="n">
        <v>0</v>
      </c>
      <c r="Q220" t="n">
        <v>1</v>
      </c>
      <c r="R220" s="2" t="inlineStr">
        <is>
          <t>Garnlav</t>
        </is>
      </c>
      <c r="S220">
        <f>HYPERLINK("https://klasma.github.io/Logging_2303/artfynd/A 30485-2024 artfynd.xlsx", "A 30485-2024")</f>
        <v/>
      </c>
      <c r="T220">
        <f>HYPERLINK("https://klasma.github.io/Logging_2303/kartor/A 30485-2024 karta.png", "A 30485-2024")</f>
        <v/>
      </c>
      <c r="V220">
        <f>HYPERLINK("https://klasma.github.io/Logging_2303/klagomål/A 30485-2024 FSC-klagomål.docx", "A 30485-2024")</f>
        <v/>
      </c>
      <c r="W220">
        <f>HYPERLINK("https://klasma.github.io/Logging_2303/klagomålsmail/A 30485-2024 FSC-klagomål mail.docx", "A 30485-2024")</f>
        <v/>
      </c>
      <c r="X220">
        <f>HYPERLINK("https://klasma.github.io/Logging_2303/tillsyn/A 30485-2024 tillsynsbegäran.docx", "A 30485-2024")</f>
        <v/>
      </c>
      <c r="Y220">
        <f>HYPERLINK("https://klasma.github.io/Logging_2303/tillsynsmail/A 30485-2024 tillsynsbegäran mail.docx", "A 30485-2024")</f>
        <v/>
      </c>
    </row>
    <row r="221" ht="15" customHeight="1">
      <c r="A221" t="inlineStr">
        <is>
          <t>A 31773-2021</t>
        </is>
      </c>
      <c r="B221" s="1" t="n">
        <v>44369</v>
      </c>
      <c r="C221" s="1" t="n">
        <v>45917</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34474-2025</t>
        </is>
      </c>
      <c r="B222" s="1" t="n">
        <v>45847.36528935185</v>
      </c>
      <c r="C222" s="1" t="n">
        <v>45917</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48477-2023</t>
        </is>
      </c>
      <c r="B223" s="1" t="n">
        <v>45206</v>
      </c>
      <c r="C223" s="1" t="n">
        <v>45917</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48477-2023 artfynd.xlsx", "A 48477-2023")</f>
        <v/>
      </c>
      <c r="T223">
        <f>HYPERLINK("https://klasma.github.io/Logging_2303/kartor/A 48477-2023 karta.png", "A 48477-2023")</f>
        <v/>
      </c>
      <c r="V223">
        <f>HYPERLINK("https://klasma.github.io/Logging_2303/klagomål/A 48477-2023 FSC-klagomål.docx", "A 48477-2023")</f>
        <v/>
      </c>
      <c r="W223">
        <f>HYPERLINK("https://klasma.github.io/Logging_2303/klagomålsmail/A 48477-2023 FSC-klagomål mail.docx", "A 48477-2023")</f>
        <v/>
      </c>
      <c r="X223">
        <f>HYPERLINK("https://klasma.github.io/Logging_2303/tillsyn/A 48477-2023 tillsynsbegäran.docx", "A 48477-2023")</f>
        <v/>
      </c>
      <c r="Y223">
        <f>HYPERLINK("https://klasma.github.io/Logging_2303/tillsynsmail/A 48477-2023 tillsynsbegäran mail.docx", "A 48477-2023")</f>
        <v/>
      </c>
    </row>
    <row r="224" ht="15" customHeight="1">
      <c r="A224" t="inlineStr">
        <is>
          <t>A 33432-2023</t>
        </is>
      </c>
      <c r="B224" s="1" t="n">
        <v>45128</v>
      </c>
      <c r="C224" s="1" t="n">
        <v>45917</v>
      </c>
      <c r="D224" t="inlineStr">
        <is>
          <t>JÄMTLANDS LÄN</t>
        </is>
      </c>
      <c r="E224" t="inlineStr">
        <is>
          <t>RAGUNDA</t>
        </is>
      </c>
      <c r="F224" t="inlineStr">
        <is>
          <t>SCA</t>
        </is>
      </c>
      <c r="G224" t="n">
        <v>10</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33432-2023 artfynd.xlsx", "A 33432-2023")</f>
        <v/>
      </c>
      <c r="T224">
        <f>HYPERLINK("https://klasma.github.io/Logging_2303/kartor/A 33432-2023 karta.png", "A 33432-2023")</f>
        <v/>
      </c>
      <c r="V224">
        <f>HYPERLINK("https://klasma.github.io/Logging_2303/klagomål/A 33432-2023 FSC-klagomål.docx", "A 33432-2023")</f>
        <v/>
      </c>
      <c r="W224">
        <f>HYPERLINK("https://klasma.github.io/Logging_2303/klagomålsmail/A 33432-2023 FSC-klagomål mail.docx", "A 33432-2023")</f>
        <v/>
      </c>
      <c r="X224">
        <f>HYPERLINK("https://klasma.github.io/Logging_2303/tillsyn/A 33432-2023 tillsynsbegäran.docx", "A 33432-2023")</f>
        <v/>
      </c>
      <c r="Y224">
        <f>HYPERLINK("https://klasma.github.io/Logging_2303/tillsynsmail/A 33432-2023 tillsynsbegäran mail.docx", "A 33432-2023")</f>
        <v/>
      </c>
      <c r="Z224">
        <f>HYPERLINK("https://klasma.github.io/Logging_2303/fåglar/A 33432-2023 prioriterade fågelarter.docx", "A 33432-2023")</f>
        <v/>
      </c>
    </row>
    <row r="225" ht="15" customHeight="1">
      <c r="A225" t="inlineStr">
        <is>
          <t>A 40841-2025</t>
        </is>
      </c>
      <c r="B225" s="1" t="n">
        <v>45897.531875</v>
      </c>
      <c r="C225" s="1" t="n">
        <v>45917</v>
      </c>
      <c r="D225" t="inlineStr">
        <is>
          <t>JÄMTLANDS LÄN</t>
        </is>
      </c>
      <c r="E225" t="inlineStr">
        <is>
          <t>RAGUNDA</t>
        </is>
      </c>
      <c r="F225" t="inlineStr">
        <is>
          <t>SCA</t>
        </is>
      </c>
      <c r="G225" t="n">
        <v>1.1</v>
      </c>
      <c r="H225" t="n">
        <v>0</v>
      </c>
      <c r="I225" t="n">
        <v>0</v>
      </c>
      <c r="J225" t="n">
        <v>1</v>
      </c>
      <c r="K225" t="n">
        <v>0</v>
      </c>
      <c r="L225" t="n">
        <v>0</v>
      </c>
      <c r="M225" t="n">
        <v>0</v>
      </c>
      <c r="N225" t="n">
        <v>0</v>
      </c>
      <c r="O225" t="n">
        <v>1</v>
      </c>
      <c r="P225" t="n">
        <v>0</v>
      </c>
      <c r="Q225" t="n">
        <v>1</v>
      </c>
      <c r="R225" s="2" t="inlineStr">
        <is>
          <t>Garnlav</t>
        </is>
      </c>
      <c r="S225">
        <f>HYPERLINK("https://klasma.github.io/Logging_2303/artfynd/A 40841-2025 artfynd.xlsx", "A 40841-2025")</f>
        <v/>
      </c>
      <c r="T225">
        <f>HYPERLINK("https://klasma.github.io/Logging_2303/kartor/A 40841-2025 karta.png", "A 40841-2025")</f>
        <v/>
      </c>
      <c r="V225">
        <f>HYPERLINK("https://klasma.github.io/Logging_2303/klagomål/A 40841-2025 FSC-klagomål.docx", "A 40841-2025")</f>
        <v/>
      </c>
      <c r="W225">
        <f>HYPERLINK("https://klasma.github.io/Logging_2303/klagomålsmail/A 40841-2025 FSC-klagomål mail.docx", "A 40841-2025")</f>
        <v/>
      </c>
      <c r="X225">
        <f>HYPERLINK("https://klasma.github.io/Logging_2303/tillsyn/A 40841-2025 tillsynsbegäran.docx", "A 40841-2025")</f>
        <v/>
      </c>
      <c r="Y225">
        <f>HYPERLINK("https://klasma.github.io/Logging_2303/tillsynsmail/A 40841-2025 tillsynsbegäran mail.docx", "A 40841-2025")</f>
        <v/>
      </c>
    </row>
    <row r="226" ht="15" customHeight="1">
      <c r="A226" t="inlineStr">
        <is>
          <t>A 36854-2023</t>
        </is>
      </c>
      <c r="B226" s="1" t="n">
        <v>45153</v>
      </c>
      <c r="C226" s="1" t="n">
        <v>45917</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45917</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45917</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10884-2025</t>
        </is>
      </c>
      <c r="B229" s="1" t="n">
        <v>45722.65670138889</v>
      </c>
      <c r="C229" s="1" t="n">
        <v>45917</v>
      </c>
      <c r="D229" t="inlineStr">
        <is>
          <t>JÄMTLANDS LÄN</t>
        </is>
      </c>
      <c r="E229" t="inlineStr">
        <is>
          <t>RAGUNDA</t>
        </is>
      </c>
      <c r="F229" t="inlineStr">
        <is>
          <t>SCA</t>
        </is>
      </c>
      <c r="G229" t="n">
        <v>5.4</v>
      </c>
      <c r="H229" t="n">
        <v>0</v>
      </c>
      <c r="I229" t="n">
        <v>1</v>
      </c>
      <c r="J229" t="n">
        <v>0</v>
      </c>
      <c r="K229" t="n">
        <v>0</v>
      </c>
      <c r="L229" t="n">
        <v>0</v>
      </c>
      <c r="M229" t="n">
        <v>0</v>
      </c>
      <c r="N229" t="n">
        <v>0</v>
      </c>
      <c r="O229" t="n">
        <v>0</v>
      </c>
      <c r="P229" t="n">
        <v>0</v>
      </c>
      <c r="Q229" t="n">
        <v>1</v>
      </c>
      <c r="R229" s="2" t="inlineStr">
        <is>
          <t>Dropptaggsvamp</t>
        </is>
      </c>
      <c r="S229">
        <f>HYPERLINK("https://klasma.github.io/Logging_2303/artfynd/A 10884-2025 artfynd.xlsx", "A 10884-2025")</f>
        <v/>
      </c>
      <c r="T229">
        <f>HYPERLINK("https://klasma.github.io/Logging_2303/kartor/A 10884-2025 karta.png", "A 10884-2025")</f>
        <v/>
      </c>
      <c r="V229">
        <f>HYPERLINK("https://klasma.github.io/Logging_2303/klagomål/A 10884-2025 FSC-klagomål.docx", "A 10884-2025")</f>
        <v/>
      </c>
      <c r="W229">
        <f>HYPERLINK("https://klasma.github.io/Logging_2303/klagomålsmail/A 10884-2025 FSC-klagomål mail.docx", "A 10884-2025")</f>
        <v/>
      </c>
      <c r="X229">
        <f>HYPERLINK("https://klasma.github.io/Logging_2303/tillsyn/A 10884-2025 tillsynsbegäran.docx", "A 10884-2025")</f>
        <v/>
      </c>
      <c r="Y229">
        <f>HYPERLINK("https://klasma.github.io/Logging_2303/tillsynsmail/A 10884-2025 tillsynsbegäran mail.docx", "A 10884-2025")</f>
        <v/>
      </c>
    </row>
    <row r="230" ht="15" customHeight="1">
      <c r="A230" t="inlineStr">
        <is>
          <t>A 18985-2023</t>
        </is>
      </c>
      <c r="B230" s="1" t="n">
        <v>45044</v>
      </c>
      <c r="C230" s="1" t="n">
        <v>45917</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32069-2024</t>
        </is>
      </c>
      <c r="B231" s="1" t="n">
        <v>45510</v>
      </c>
      <c r="C231" s="1" t="n">
        <v>45917</v>
      </c>
      <c r="D231" t="inlineStr">
        <is>
          <t>JÄMTLANDS LÄN</t>
        </is>
      </c>
      <c r="E231" t="inlineStr">
        <is>
          <t>RAGUNDA</t>
        </is>
      </c>
      <c r="F231" t="inlineStr">
        <is>
          <t>SCA</t>
        </is>
      </c>
      <c r="G231" t="n">
        <v>1.8</v>
      </c>
      <c r="H231" t="n">
        <v>0</v>
      </c>
      <c r="I231" t="n">
        <v>0</v>
      </c>
      <c r="J231" t="n">
        <v>1</v>
      </c>
      <c r="K231" t="n">
        <v>0</v>
      </c>
      <c r="L231" t="n">
        <v>0</v>
      </c>
      <c r="M231" t="n">
        <v>0</v>
      </c>
      <c r="N231" t="n">
        <v>0</v>
      </c>
      <c r="O231" t="n">
        <v>1</v>
      </c>
      <c r="P231" t="n">
        <v>0</v>
      </c>
      <c r="Q231" t="n">
        <v>1</v>
      </c>
      <c r="R231" s="2" t="inlineStr">
        <is>
          <t>Lunglav</t>
        </is>
      </c>
      <c r="S231">
        <f>HYPERLINK("https://klasma.github.io/Logging_2303/artfynd/A 32069-2024 artfynd.xlsx", "A 32069-2024")</f>
        <v/>
      </c>
      <c r="T231">
        <f>HYPERLINK("https://klasma.github.io/Logging_2303/kartor/A 32069-2024 karta.png", "A 32069-2024")</f>
        <v/>
      </c>
      <c r="V231">
        <f>HYPERLINK("https://klasma.github.io/Logging_2303/klagomål/A 32069-2024 FSC-klagomål.docx", "A 32069-2024")</f>
        <v/>
      </c>
      <c r="W231">
        <f>HYPERLINK("https://klasma.github.io/Logging_2303/klagomålsmail/A 32069-2024 FSC-klagomål mail.docx", "A 32069-2024")</f>
        <v/>
      </c>
      <c r="X231">
        <f>HYPERLINK("https://klasma.github.io/Logging_2303/tillsyn/A 32069-2024 tillsynsbegäran.docx", "A 32069-2024")</f>
        <v/>
      </c>
      <c r="Y231">
        <f>HYPERLINK("https://klasma.github.io/Logging_2303/tillsynsmail/A 32069-2024 tillsynsbegäran mail.docx", "A 32069-2024")</f>
        <v/>
      </c>
    </row>
    <row r="232" ht="15" customHeight="1">
      <c r="A232" t="inlineStr">
        <is>
          <t>A 50164-2023</t>
        </is>
      </c>
      <c r="B232" s="1" t="n">
        <v>45208</v>
      </c>
      <c r="C232" s="1" t="n">
        <v>45917</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2929-2024</t>
        </is>
      </c>
      <c r="B233" s="1" t="n">
        <v>45315</v>
      </c>
      <c r="C233" s="1" t="n">
        <v>45917</v>
      </c>
      <c r="D233" t="inlineStr">
        <is>
          <t>JÄMTLANDS LÄN</t>
        </is>
      </c>
      <c r="E233" t="inlineStr">
        <is>
          <t>RAGUNDA</t>
        </is>
      </c>
      <c r="G233" t="n">
        <v>1</v>
      </c>
      <c r="H233" t="n">
        <v>0</v>
      </c>
      <c r="I233" t="n">
        <v>0</v>
      </c>
      <c r="J233" t="n">
        <v>1</v>
      </c>
      <c r="K233" t="n">
        <v>0</v>
      </c>
      <c r="L233" t="n">
        <v>0</v>
      </c>
      <c r="M233" t="n">
        <v>0</v>
      </c>
      <c r="N233" t="n">
        <v>0</v>
      </c>
      <c r="O233" t="n">
        <v>1</v>
      </c>
      <c r="P233" t="n">
        <v>0</v>
      </c>
      <c r="Q233" t="n">
        <v>1</v>
      </c>
      <c r="R233" s="2" t="inlineStr">
        <is>
          <t>Klådris</t>
        </is>
      </c>
      <c r="S233">
        <f>HYPERLINK("https://klasma.github.io/Logging_2303/artfynd/A 2929-2024 artfynd.xlsx", "A 2929-2024")</f>
        <v/>
      </c>
      <c r="T233">
        <f>HYPERLINK("https://klasma.github.io/Logging_2303/kartor/A 2929-2024 karta.png", "A 2929-2024")</f>
        <v/>
      </c>
      <c r="V233">
        <f>HYPERLINK("https://klasma.github.io/Logging_2303/klagomål/A 2929-2024 FSC-klagomål.docx", "A 2929-2024")</f>
        <v/>
      </c>
      <c r="W233">
        <f>HYPERLINK("https://klasma.github.io/Logging_2303/klagomålsmail/A 2929-2024 FSC-klagomål mail.docx", "A 2929-2024")</f>
        <v/>
      </c>
      <c r="X233">
        <f>HYPERLINK("https://klasma.github.io/Logging_2303/tillsyn/A 2929-2024 tillsynsbegäran.docx", "A 2929-2024")</f>
        <v/>
      </c>
      <c r="Y233">
        <f>HYPERLINK("https://klasma.github.io/Logging_2303/tillsynsmail/A 2929-2024 tillsynsbegäran mail.docx", "A 2929-2024")</f>
        <v/>
      </c>
    </row>
    <row r="234" ht="15" customHeight="1">
      <c r="A234" t="inlineStr">
        <is>
          <t>A 50233-2024</t>
        </is>
      </c>
      <c r="B234" s="1" t="n">
        <v>45600.55265046296</v>
      </c>
      <c r="C234" s="1" t="n">
        <v>45917</v>
      </c>
      <c r="D234" t="inlineStr">
        <is>
          <t>JÄMTLANDS LÄN</t>
        </is>
      </c>
      <c r="E234" t="inlineStr">
        <is>
          <t>RAGUNDA</t>
        </is>
      </c>
      <c r="F234" t="inlineStr">
        <is>
          <t>SCA</t>
        </is>
      </c>
      <c r="G234" t="n">
        <v>5.6</v>
      </c>
      <c r="H234" t="n">
        <v>0</v>
      </c>
      <c r="I234" t="n">
        <v>0</v>
      </c>
      <c r="J234" t="n">
        <v>1</v>
      </c>
      <c r="K234" t="n">
        <v>0</v>
      </c>
      <c r="L234" t="n">
        <v>0</v>
      </c>
      <c r="M234" t="n">
        <v>0</v>
      </c>
      <c r="N234" t="n">
        <v>0</v>
      </c>
      <c r="O234" t="n">
        <v>1</v>
      </c>
      <c r="P234" t="n">
        <v>0</v>
      </c>
      <c r="Q234" t="n">
        <v>1</v>
      </c>
      <c r="R234" s="2" t="inlineStr">
        <is>
          <t>Granticka</t>
        </is>
      </c>
      <c r="S234">
        <f>HYPERLINK("https://klasma.github.io/Logging_2303/artfynd/A 50233-2024 artfynd.xlsx", "A 50233-2024")</f>
        <v/>
      </c>
      <c r="T234">
        <f>HYPERLINK("https://klasma.github.io/Logging_2303/kartor/A 50233-2024 karta.png", "A 50233-2024")</f>
        <v/>
      </c>
      <c r="V234">
        <f>HYPERLINK("https://klasma.github.io/Logging_2303/klagomål/A 50233-2024 FSC-klagomål.docx", "A 50233-2024")</f>
        <v/>
      </c>
      <c r="W234">
        <f>HYPERLINK("https://klasma.github.io/Logging_2303/klagomålsmail/A 50233-2024 FSC-klagomål mail.docx", "A 50233-2024")</f>
        <v/>
      </c>
      <c r="X234">
        <f>HYPERLINK("https://klasma.github.io/Logging_2303/tillsyn/A 50233-2024 tillsynsbegäran.docx", "A 50233-2024")</f>
        <v/>
      </c>
      <c r="Y234">
        <f>HYPERLINK("https://klasma.github.io/Logging_2303/tillsynsmail/A 50233-2024 tillsynsbegäran mail.docx", "A 50233-2024")</f>
        <v/>
      </c>
    </row>
    <row r="235" ht="15" customHeight="1">
      <c r="A235" t="inlineStr">
        <is>
          <t>A 19751-2025</t>
        </is>
      </c>
      <c r="B235" s="1" t="n">
        <v>45771.3859837963</v>
      </c>
      <c r="C235" s="1" t="n">
        <v>45917</v>
      </c>
      <c r="D235" t="inlineStr">
        <is>
          <t>JÄMTLANDS LÄN</t>
        </is>
      </c>
      <c r="E235" t="inlineStr">
        <is>
          <t>RAGUNDA</t>
        </is>
      </c>
      <c r="F235" t="inlineStr">
        <is>
          <t>SCA</t>
        </is>
      </c>
      <c r="G235" t="n">
        <v>1.1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19751-2025 artfynd.xlsx", "A 19751-2025")</f>
        <v/>
      </c>
      <c r="T235">
        <f>HYPERLINK("https://klasma.github.io/Logging_2303/kartor/A 19751-2025 karta.png", "A 19751-2025")</f>
        <v/>
      </c>
      <c r="V235">
        <f>HYPERLINK("https://klasma.github.io/Logging_2303/klagomål/A 19751-2025 FSC-klagomål.docx", "A 19751-2025")</f>
        <v/>
      </c>
      <c r="W235">
        <f>HYPERLINK("https://klasma.github.io/Logging_2303/klagomålsmail/A 19751-2025 FSC-klagomål mail.docx", "A 19751-2025")</f>
        <v/>
      </c>
      <c r="X235">
        <f>HYPERLINK("https://klasma.github.io/Logging_2303/tillsyn/A 19751-2025 tillsynsbegäran.docx", "A 19751-2025")</f>
        <v/>
      </c>
      <c r="Y235">
        <f>HYPERLINK("https://klasma.github.io/Logging_2303/tillsynsmail/A 19751-2025 tillsynsbegäran mail.docx", "A 19751-2025")</f>
        <v/>
      </c>
      <c r="Z235">
        <f>HYPERLINK("https://klasma.github.io/Logging_2303/fåglar/A 19751-2025 prioriterade fågelarter.docx", "A 19751-2025")</f>
        <v/>
      </c>
    </row>
    <row r="236" ht="15" customHeight="1">
      <c r="A236" t="inlineStr">
        <is>
          <t>A 58846-2024</t>
        </is>
      </c>
      <c r="B236" s="1" t="n">
        <v>45636.3863425926</v>
      </c>
      <c r="C236" s="1" t="n">
        <v>45917</v>
      </c>
      <c r="D236" t="inlineStr">
        <is>
          <t>JÄMTLANDS LÄN</t>
        </is>
      </c>
      <c r="E236" t="inlineStr">
        <is>
          <t>RAGUNDA</t>
        </is>
      </c>
      <c r="F236" t="inlineStr">
        <is>
          <t>SCA</t>
        </is>
      </c>
      <c r="G236" t="n">
        <v>1.5</v>
      </c>
      <c r="H236" t="n">
        <v>0</v>
      </c>
      <c r="I236" t="n">
        <v>0</v>
      </c>
      <c r="J236" t="n">
        <v>0</v>
      </c>
      <c r="K236" t="n">
        <v>1</v>
      </c>
      <c r="L236" t="n">
        <v>0</v>
      </c>
      <c r="M236" t="n">
        <v>0</v>
      </c>
      <c r="N236" t="n">
        <v>0</v>
      </c>
      <c r="O236" t="n">
        <v>1</v>
      </c>
      <c r="P236" t="n">
        <v>1</v>
      </c>
      <c r="Q236" t="n">
        <v>1</v>
      </c>
      <c r="R236" s="2" t="inlineStr">
        <is>
          <t>Rynkskinn</t>
        </is>
      </c>
      <c r="S236">
        <f>HYPERLINK("https://klasma.github.io/Logging_2303/artfynd/A 58846-2024 artfynd.xlsx", "A 58846-2024")</f>
        <v/>
      </c>
      <c r="T236">
        <f>HYPERLINK("https://klasma.github.io/Logging_2303/kartor/A 58846-2024 karta.png", "A 58846-2024")</f>
        <v/>
      </c>
      <c r="V236">
        <f>HYPERLINK("https://klasma.github.io/Logging_2303/klagomål/A 58846-2024 FSC-klagomål.docx", "A 58846-2024")</f>
        <v/>
      </c>
      <c r="W236">
        <f>HYPERLINK("https://klasma.github.io/Logging_2303/klagomålsmail/A 58846-2024 FSC-klagomål mail.docx", "A 58846-2024")</f>
        <v/>
      </c>
      <c r="X236">
        <f>HYPERLINK("https://klasma.github.io/Logging_2303/tillsyn/A 58846-2024 tillsynsbegäran.docx", "A 58846-2024")</f>
        <v/>
      </c>
      <c r="Y236">
        <f>HYPERLINK("https://klasma.github.io/Logging_2303/tillsynsmail/A 58846-2024 tillsynsbegäran mail.docx", "A 58846-2024")</f>
        <v/>
      </c>
    </row>
    <row r="237" ht="15" customHeight="1">
      <c r="A237" t="inlineStr">
        <is>
          <t>A 26322-2024</t>
        </is>
      </c>
      <c r="B237" s="1" t="n">
        <v>45468.97461805555</v>
      </c>
      <c r="C237" s="1" t="n">
        <v>45917</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36224-2023</t>
        </is>
      </c>
      <c r="B238" s="1" t="n">
        <v>45149</v>
      </c>
      <c r="C238" s="1" t="n">
        <v>45917</v>
      </c>
      <c r="D238" t="inlineStr">
        <is>
          <t>JÄMTLANDS LÄN</t>
        </is>
      </c>
      <c r="E238" t="inlineStr">
        <is>
          <t>RAGUNDA</t>
        </is>
      </c>
      <c r="F238" t="inlineStr">
        <is>
          <t>SCA</t>
        </is>
      </c>
      <c r="G238" t="n">
        <v>8.1</v>
      </c>
      <c r="H238" t="n">
        <v>0</v>
      </c>
      <c r="I238" t="n">
        <v>0</v>
      </c>
      <c r="J238" t="n">
        <v>1</v>
      </c>
      <c r="K238" t="n">
        <v>0</v>
      </c>
      <c r="L238" t="n">
        <v>0</v>
      </c>
      <c r="M238" t="n">
        <v>0</v>
      </c>
      <c r="N238" t="n">
        <v>0</v>
      </c>
      <c r="O238" t="n">
        <v>1</v>
      </c>
      <c r="P238" t="n">
        <v>0</v>
      </c>
      <c r="Q238" t="n">
        <v>1</v>
      </c>
      <c r="R238" s="2" t="inlineStr">
        <is>
          <t>Garnlav</t>
        </is>
      </c>
      <c r="S238">
        <f>HYPERLINK("https://klasma.github.io/Logging_2303/artfynd/A 36224-2023 artfynd.xlsx", "A 36224-2023")</f>
        <v/>
      </c>
      <c r="T238">
        <f>HYPERLINK("https://klasma.github.io/Logging_2303/kartor/A 36224-2023 karta.png", "A 36224-2023")</f>
        <v/>
      </c>
      <c r="V238">
        <f>HYPERLINK("https://klasma.github.io/Logging_2303/klagomål/A 36224-2023 FSC-klagomål.docx", "A 36224-2023")</f>
        <v/>
      </c>
      <c r="W238">
        <f>HYPERLINK("https://klasma.github.io/Logging_2303/klagomålsmail/A 36224-2023 FSC-klagomål mail.docx", "A 36224-2023")</f>
        <v/>
      </c>
      <c r="X238">
        <f>HYPERLINK("https://klasma.github.io/Logging_2303/tillsyn/A 36224-2023 tillsynsbegäran.docx", "A 36224-2023")</f>
        <v/>
      </c>
      <c r="Y238">
        <f>HYPERLINK("https://klasma.github.io/Logging_2303/tillsynsmail/A 36224-2023 tillsynsbegäran mail.docx", "A 36224-2023")</f>
        <v/>
      </c>
    </row>
    <row r="239" ht="15" customHeight="1">
      <c r="A239" t="inlineStr">
        <is>
          <t>A 21212-2025</t>
        </is>
      </c>
      <c r="B239" s="1" t="n">
        <v>45779.48993055556</v>
      </c>
      <c r="C239" s="1" t="n">
        <v>45917</v>
      </c>
      <c r="D239" t="inlineStr">
        <is>
          <t>JÄMTLANDS LÄN</t>
        </is>
      </c>
      <c r="E239" t="inlineStr">
        <is>
          <t>RAGUNDA</t>
        </is>
      </c>
      <c r="F239" t="inlineStr">
        <is>
          <t>SCA</t>
        </is>
      </c>
      <c r="G239" t="n">
        <v>2.6</v>
      </c>
      <c r="H239" t="n">
        <v>0</v>
      </c>
      <c r="I239" t="n">
        <v>0</v>
      </c>
      <c r="J239" t="n">
        <v>1</v>
      </c>
      <c r="K239" t="n">
        <v>0</v>
      </c>
      <c r="L239" t="n">
        <v>0</v>
      </c>
      <c r="M239" t="n">
        <v>0</v>
      </c>
      <c r="N239" t="n">
        <v>0</v>
      </c>
      <c r="O239" t="n">
        <v>1</v>
      </c>
      <c r="P239" t="n">
        <v>0</v>
      </c>
      <c r="Q239" t="n">
        <v>1</v>
      </c>
      <c r="R239" s="2" t="inlineStr">
        <is>
          <t>Garnlav</t>
        </is>
      </c>
      <c r="S239">
        <f>HYPERLINK("https://klasma.github.io/Logging_2303/artfynd/A 21212-2025 artfynd.xlsx", "A 21212-2025")</f>
        <v/>
      </c>
      <c r="T239">
        <f>HYPERLINK("https://klasma.github.io/Logging_2303/kartor/A 21212-2025 karta.png", "A 21212-2025")</f>
        <v/>
      </c>
      <c r="V239">
        <f>HYPERLINK("https://klasma.github.io/Logging_2303/klagomål/A 21212-2025 FSC-klagomål.docx", "A 21212-2025")</f>
        <v/>
      </c>
      <c r="W239">
        <f>HYPERLINK("https://klasma.github.io/Logging_2303/klagomålsmail/A 21212-2025 FSC-klagomål mail.docx", "A 21212-2025")</f>
        <v/>
      </c>
      <c r="X239">
        <f>HYPERLINK("https://klasma.github.io/Logging_2303/tillsyn/A 21212-2025 tillsynsbegäran.docx", "A 21212-2025")</f>
        <v/>
      </c>
      <c r="Y239">
        <f>HYPERLINK("https://klasma.github.io/Logging_2303/tillsynsmail/A 21212-2025 tillsynsbegäran mail.docx", "A 21212-2025")</f>
        <v/>
      </c>
    </row>
    <row r="240" ht="15" customHeight="1">
      <c r="A240" t="inlineStr">
        <is>
          <t>A 17340-2023</t>
        </is>
      </c>
      <c r="B240" s="1" t="n">
        <v>45033</v>
      </c>
      <c r="C240" s="1" t="n">
        <v>45917</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16724-2025</t>
        </is>
      </c>
      <c r="B241" s="1" t="n">
        <v>45754.51064814815</v>
      </c>
      <c r="C241" s="1" t="n">
        <v>45917</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62072-2023</t>
        </is>
      </c>
      <c r="B242" s="1" t="n">
        <v>45266</v>
      </c>
      <c r="C242" s="1" t="n">
        <v>45917</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25694-2023</t>
        </is>
      </c>
      <c r="B243" s="1" t="n">
        <v>45089</v>
      </c>
      <c r="C243" s="1" t="n">
        <v>45917</v>
      </c>
      <c r="D243" t="inlineStr">
        <is>
          <t>JÄMTLANDS LÄN</t>
        </is>
      </c>
      <c r="E243" t="inlineStr">
        <is>
          <t>RAGUNDA</t>
        </is>
      </c>
      <c r="F243" t="inlineStr">
        <is>
          <t>SCA</t>
        </is>
      </c>
      <c r="G243" t="n">
        <v>1.5</v>
      </c>
      <c r="H243" t="n">
        <v>0</v>
      </c>
      <c r="I243" t="n">
        <v>0</v>
      </c>
      <c r="J243" t="n">
        <v>1</v>
      </c>
      <c r="K243" t="n">
        <v>0</v>
      </c>
      <c r="L243" t="n">
        <v>0</v>
      </c>
      <c r="M243" t="n">
        <v>0</v>
      </c>
      <c r="N243" t="n">
        <v>0</v>
      </c>
      <c r="O243" t="n">
        <v>1</v>
      </c>
      <c r="P243" t="n">
        <v>0</v>
      </c>
      <c r="Q243" t="n">
        <v>1</v>
      </c>
      <c r="R243" s="2" t="inlineStr">
        <is>
          <t>Ullticka</t>
        </is>
      </c>
      <c r="S243">
        <f>HYPERLINK("https://klasma.github.io/Logging_2303/artfynd/A 25694-2023 artfynd.xlsx", "A 25694-2023")</f>
        <v/>
      </c>
      <c r="T243">
        <f>HYPERLINK("https://klasma.github.io/Logging_2303/kartor/A 25694-2023 karta.png", "A 25694-2023")</f>
        <v/>
      </c>
      <c r="V243">
        <f>HYPERLINK("https://klasma.github.io/Logging_2303/klagomål/A 25694-2023 FSC-klagomål.docx", "A 25694-2023")</f>
        <v/>
      </c>
      <c r="W243">
        <f>HYPERLINK("https://klasma.github.io/Logging_2303/klagomålsmail/A 25694-2023 FSC-klagomål mail.docx", "A 25694-2023")</f>
        <v/>
      </c>
      <c r="X243">
        <f>HYPERLINK("https://klasma.github.io/Logging_2303/tillsyn/A 25694-2023 tillsynsbegäran.docx", "A 25694-2023")</f>
        <v/>
      </c>
      <c r="Y243">
        <f>HYPERLINK("https://klasma.github.io/Logging_2303/tillsynsmail/A 25694-2023 tillsynsbegäran mail.docx", "A 25694-2023")</f>
        <v/>
      </c>
    </row>
    <row r="244" ht="15" customHeight="1">
      <c r="A244" t="inlineStr">
        <is>
          <t>A 49770-2024</t>
        </is>
      </c>
      <c r="B244" s="1" t="n">
        <v>45597.34461805555</v>
      </c>
      <c r="C244" s="1" t="n">
        <v>45917</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36757-2023</t>
        </is>
      </c>
      <c r="B245" s="1" t="n">
        <v>45153</v>
      </c>
      <c r="C245" s="1" t="n">
        <v>45917</v>
      </c>
      <c r="D245" t="inlineStr">
        <is>
          <t>JÄMTLANDS LÄN</t>
        </is>
      </c>
      <c r="E245" t="inlineStr">
        <is>
          <t>RAGUNDA</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36757-2023 artfynd.xlsx", "A 36757-2023")</f>
        <v/>
      </c>
      <c r="T245">
        <f>HYPERLINK("https://klasma.github.io/Logging_2303/kartor/A 36757-2023 karta.png", "A 36757-2023")</f>
        <v/>
      </c>
      <c r="V245">
        <f>HYPERLINK("https://klasma.github.io/Logging_2303/klagomål/A 36757-2023 FSC-klagomål.docx", "A 36757-2023")</f>
        <v/>
      </c>
      <c r="W245">
        <f>HYPERLINK("https://klasma.github.io/Logging_2303/klagomålsmail/A 36757-2023 FSC-klagomål mail.docx", "A 36757-2023")</f>
        <v/>
      </c>
      <c r="X245">
        <f>HYPERLINK("https://klasma.github.io/Logging_2303/tillsyn/A 36757-2023 tillsynsbegäran.docx", "A 36757-2023")</f>
        <v/>
      </c>
      <c r="Y245">
        <f>HYPERLINK("https://klasma.github.io/Logging_2303/tillsynsmail/A 36757-2023 tillsynsbegäran mail.docx", "A 36757-2023")</f>
        <v/>
      </c>
      <c r="Z245">
        <f>HYPERLINK("https://klasma.github.io/Logging_2303/fåglar/A 36757-2023 prioriterade fågelarter.docx", "A 36757-2023")</f>
        <v/>
      </c>
    </row>
    <row r="246" ht="15" customHeight="1">
      <c r="A246" t="inlineStr">
        <is>
          <t>A 43404-2023</t>
        </is>
      </c>
      <c r="B246" s="1" t="n">
        <v>45183</v>
      </c>
      <c r="C246" s="1" t="n">
        <v>45917</v>
      </c>
      <c r="D246" t="inlineStr">
        <is>
          <t>JÄMTLANDS LÄN</t>
        </is>
      </c>
      <c r="E246" t="inlineStr">
        <is>
          <t>RAGUNDA</t>
        </is>
      </c>
      <c r="F246" t="inlineStr">
        <is>
          <t>SCA</t>
        </is>
      </c>
      <c r="G246" t="n">
        <v>0.9</v>
      </c>
      <c r="H246" t="n">
        <v>0</v>
      </c>
      <c r="I246" t="n">
        <v>1</v>
      </c>
      <c r="J246" t="n">
        <v>0</v>
      </c>
      <c r="K246" t="n">
        <v>0</v>
      </c>
      <c r="L246" t="n">
        <v>0</v>
      </c>
      <c r="M246" t="n">
        <v>0</v>
      </c>
      <c r="N246" t="n">
        <v>0</v>
      </c>
      <c r="O246" t="n">
        <v>0</v>
      </c>
      <c r="P246" t="n">
        <v>0</v>
      </c>
      <c r="Q246" t="n">
        <v>1</v>
      </c>
      <c r="R246" s="2" t="inlineStr">
        <is>
          <t>Kryddspindling</t>
        </is>
      </c>
      <c r="S246">
        <f>HYPERLINK("https://klasma.github.io/Logging_2303/artfynd/A 43404-2023 artfynd.xlsx", "A 43404-2023")</f>
        <v/>
      </c>
      <c r="T246">
        <f>HYPERLINK("https://klasma.github.io/Logging_2303/kartor/A 43404-2023 karta.png", "A 43404-2023")</f>
        <v/>
      </c>
      <c r="V246">
        <f>HYPERLINK("https://klasma.github.io/Logging_2303/klagomål/A 43404-2023 FSC-klagomål.docx", "A 43404-2023")</f>
        <v/>
      </c>
      <c r="W246">
        <f>HYPERLINK("https://klasma.github.io/Logging_2303/klagomålsmail/A 43404-2023 FSC-klagomål mail.docx", "A 43404-2023")</f>
        <v/>
      </c>
      <c r="X246">
        <f>HYPERLINK("https://klasma.github.io/Logging_2303/tillsyn/A 43404-2023 tillsynsbegäran.docx", "A 43404-2023")</f>
        <v/>
      </c>
      <c r="Y246">
        <f>HYPERLINK("https://klasma.github.io/Logging_2303/tillsynsmail/A 43404-2023 tillsynsbegäran mail.docx", "A 43404-2023")</f>
        <v/>
      </c>
    </row>
    <row r="247" ht="15" customHeight="1">
      <c r="A247" t="inlineStr">
        <is>
          <t>A 61324-2024</t>
        </is>
      </c>
      <c r="B247" s="1" t="n">
        <v>45646.34438657408</v>
      </c>
      <c r="C247" s="1" t="n">
        <v>45917</v>
      </c>
      <c r="D247" t="inlineStr">
        <is>
          <t>JÄMTLANDS LÄN</t>
        </is>
      </c>
      <c r="E247" t="inlineStr">
        <is>
          <t>RAGUNDA</t>
        </is>
      </c>
      <c r="F247" t="inlineStr">
        <is>
          <t>SCA</t>
        </is>
      </c>
      <c r="G247" t="n">
        <v>11.2</v>
      </c>
      <c r="H247" t="n">
        <v>1</v>
      </c>
      <c r="I247" t="n">
        <v>0</v>
      </c>
      <c r="J247" t="n">
        <v>0</v>
      </c>
      <c r="K247" t="n">
        <v>0</v>
      </c>
      <c r="L247" t="n">
        <v>0</v>
      </c>
      <c r="M247" t="n">
        <v>0</v>
      </c>
      <c r="N247" t="n">
        <v>0</v>
      </c>
      <c r="O247" t="n">
        <v>0</v>
      </c>
      <c r="P247" t="n">
        <v>0</v>
      </c>
      <c r="Q247" t="n">
        <v>1</v>
      </c>
      <c r="R247" s="2" t="inlineStr">
        <is>
          <t>Trana</t>
        </is>
      </c>
      <c r="S247">
        <f>HYPERLINK("https://klasma.github.io/Logging_2303/artfynd/A 61324-2024 artfynd.xlsx", "A 61324-2024")</f>
        <v/>
      </c>
      <c r="T247">
        <f>HYPERLINK("https://klasma.github.io/Logging_2303/kartor/A 61324-2024 karta.png", "A 61324-2024")</f>
        <v/>
      </c>
      <c r="V247">
        <f>HYPERLINK("https://klasma.github.io/Logging_2303/klagomål/A 61324-2024 FSC-klagomål.docx", "A 61324-2024")</f>
        <v/>
      </c>
      <c r="W247">
        <f>HYPERLINK("https://klasma.github.io/Logging_2303/klagomålsmail/A 61324-2024 FSC-klagomål mail.docx", "A 61324-2024")</f>
        <v/>
      </c>
      <c r="X247">
        <f>HYPERLINK("https://klasma.github.io/Logging_2303/tillsyn/A 61324-2024 tillsynsbegäran.docx", "A 61324-2024")</f>
        <v/>
      </c>
      <c r="Y247">
        <f>HYPERLINK("https://klasma.github.io/Logging_2303/tillsynsmail/A 61324-2024 tillsynsbegäran mail.docx", "A 61324-2024")</f>
        <v/>
      </c>
      <c r="Z247">
        <f>HYPERLINK("https://klasma.github.io/Logging_2303/fåglar/A 61324-2024 prioriterade fågelarter.docx", "A 61324-2024")</f>
        <v/>
      </c>
    </row>
    <row r="248" ht="15" customHeight="1">
      <c r="A248" t="inlineStr">
        <is>
          <t>A 57941-2020</t>
        </is>
      </c>
      <c r="B248" s="1" t="n">
        <v>44141</v>
      </c>
      <c r="C248" s="1" t="n">
        <v>45917</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45917</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45917</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45917</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45917</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45917</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45917</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45917</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45917</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45917</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45917</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45917</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47546-2021</t>
        </is>
      </c>
      <c r="B260" s="1" t="n">
        <v>44447.92069444444</v>
      </c>
      <c r="C260" s="1" t="n">
        <v>45917</v>
      </c>
      <c r="D260" t="inlineStr">
        <is>
          <t>JÄMTLANDS LÄN</t>
        </is>
      </c>
      <c r="E260" t="inlineStr">
        <is>
          <t>RAGUNDA</t>
        </is>
      </c>
      <c r="G260" t="n">
        <v>0.4</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45917</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45917</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45917</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45917</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45917</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45917</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45917</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45917</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45917</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45917</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45917</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45917</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45917</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45917</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45917</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45917</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45917</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45917</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45917</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45917</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45917</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45917</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45917</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45917</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45917</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45917</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45917</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45917</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45917</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45917</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45917</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45917</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45917</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45917</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45917</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45917</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45917</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45917</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45917</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45917</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45917</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45917</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45917</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45917</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45917</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45917</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45917</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45917</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45917</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45917</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45917</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45917</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45917</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45917</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45917</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45917</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45917</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45917</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45917</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45917</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45917</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45917</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45917</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45917</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45917</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45917</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45917</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45917</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45917</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45917</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45917</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45917</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45917</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45917</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45917</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45917</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45917</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45917</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45917</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45917</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21195-2022</t>
        </is>
      </c>
      <c r="B341" s="1" t="n">
        <v>44704.94229166667</v>
      </c>
      <c r="C341" s="1" t="n">
        <v>45917</v>
      </c>
      <c r="D341" t="inlineStr">
        <is>
          <t>JÄMTLANDS LÄN</t>
        </is>
      </c>
      <c r="E341" t="inlineStr">
        <is>
          <t>RAGUNDA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44241-2021</t>
        </is>
      </c>
      <c r="B342" s="1" t="n">
        <v>44434.94517361111</v>
      </c>
      <c r="C342" s="1" t="n">
        <v>45917</v>
      </c>
      <c r="D342" t="inlineStr">
        <is>
          <t>JÄMTLANDS LÄN</t>
        </is>
      </c>
      <c r="E342" t="inlineStr">
        <is>
          <t>RAGUNDA</t>
        </is>
      </c>
      <c r="G342" t="n">
        <v>0.8</v>
      </c>
      <c r="H342" t="n">
        <v>0</v>
      </c>
      <c r="I342" t="n">
        <v>0</v>
      </c>
      <c r="J342" t="n">
        <v>0</v>
      </c>
      <c r="K342" t="n">
        <v>0</v>
      </c>
      <c r="L342" t="n">
        <v>0</v>
      </c>
      <c r="M342" t="n">
        <v>0</v>
      </c>
      <c r="N342" t="n">
        <v>0</v>
      </c>
      <c r="O342" t="n">
        <v>0</v>
      </c>
      <c r="P342" t="n">
        <v>0</v>
      </c>
      <c r="Q342" t="n">
        <v>0</v>
      </c>
      <c r="R342" s="2" t="inlineStr"/>
    </row>
    <row r="343" ht="15" customHeight="1">
      <c r="A343" t="inlineStr">
        <is>
          <t>A 49531-2022</t>
        </is>
      </c>
      <c r="B343" s="1" t="n">
        <v>44861</v>
      </c>
      <c r="C343" s="1" t="n">
        <v>45917</v>
      </c>
      <c r="D343" t="inlineStr">
        <is>
          <t>JÄMTLANDS LÄN</t>
        </is>
      </c>
      <c r="E343" t="inlineStr">
        <is>
          <t>RAGUNDA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45917</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45917</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39698-2022</t>
        </is>
      </c>
      <c r="B346" s="1" t="n">
        <v>44818</v>
      </c>
      <c r="C346" s="1" t="n">
        <v>45917</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43147-2022</t>
        </is>
      </c>
      <c r="B347" s="1" t="n">
        <v>44833.9519212963</v>
      </c>
      <c r="C347" s="1" t="n">
        <v>45917</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48056-2020</t>
        </is>
      </c>
      <c r="B348" s="1" t="n">
        <v>44099</v>
      </c>
      <c r="C348" s="1" t="n">
        <v>45917</v>
      </c>
      <c r="D348" t="inlineStr">
        <is>
          <t>JÄMTLANDS LÄN</t>
        </is>
      </c>
      <c r="E348" t="inlineStr">
        <is>
          <t>RAGUNDA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25253-2022</t>
        </is>
      </c>
      <c r="B349" s="1" t="n">
        <v>44729.94136574074</v>
      </c>
      <c r="C349" s="1" t="n">
        <v>45917</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10120-2022</t>
        </is>
      </c>
      <c r="B350" s="1" t="n">
        <v>44621</v>
      </c>
      <c r="C350" s="1" t="n">
        <v>45917</v>
      </c>
      <c r="D350" t="inlineStr">
        <is>
          <t>JÄMTLANDS LÄN</t>
        </is>
      </c>
      <c r="E350" t="inlineStr">
        <is>
          <t>RAGUNDA</t>
        </is>
      </c>
      <c r="G350" t="n">
        <v>0.4</v>
      </c>
      <c r="H350" t="n">
        <v>0</v>
      </c>
      <c r="I350" t="n">
        <v>0</v>
      </c>
      <c r="J350" t="n">
        <v>0</v>
      </c>
      <c r="K350" t="n">
        <v>0</v>
      </c>
      <c r="L350" t="n">
        <v>0</v>
      </c>
      <c r="M350" t="n">
        <v>0</v>
      </c>
      <c r="N350" t="n">
        <v>0</v>
      </c>
      <c r="O350" t="n">
        <v>0</v>
      </c>
      <c r="P350" t="n">
        <v>0</v>
      </c>
      <c r="Q350" t="n">
        <v>0</v>
      </c>
      <c r="R350" s="2" t="inlineStr"/>
    </row>
    <row r="351" ht="15" customHeight="1">
      <c r="A351" t="inlineStr">
        <is>
          <t>A 13964-2022</t>
        </is>
      </c>
      <c r="B351" s="1" t="n">
        <v>44650</v>
      </c>
      <c r="C351" s="1" t="n">
        <v>45917</v>
      </c>
      <c r="D351" t="inlineStr">
        <is>
          <t>JÄMTLANDS LÄN</t>
        </is>
      </c>
      <c r="E351" t="inlineStr">
        <is>
          <t>RAGUNDA</t>
        </is>
      </c>
      <c r="G351" t="n">
        <v>2.6</v>
      </c>
      <c r="H351" t="n">
        <v>0</v>
      </c>
      <c r="I351" t="n">
        <v>0</v>
      </c>
      <c r="J351" t="n">
        <v>0</v>
      </c>
      <c r="K351" t="n">
        <v>0</v>
      </c>
      <c r="L351" t="n">
        <v>0</v>
      </c>
      <c r="M351" t="n">
        <v>0</v>
      </c>
      <c r="N351" t="n">
        <v>0</v>
      </c>
      <c r="O351" t="n">
        <v>0</v>
      </c>
      <c r="P351" t="n">
        <v>0</v>
      </c>
      <c r="Q351" t="n">
        <v>0</v>
      </c>
      <c r="R351" s="2" t="inlineStr"/>
    </row>
    <row r="352" ht="15" customHeight="1">
      <c r="A352" t="inlineStr">
        <is>
          <t>A 31972-2022</t>
        </is>
      </c>
      <c r="B352" s="1" t="n">
        <v>44777.95504629629</v>
      </c>
      <c r="C352" s="1" t="n">
        <v>45917</v>
      </c>
      <c r="D352" t="inlineStr">
        <is>
          <t>JÄMTLANDS LÄN</t>
        </is>
      </c>
      <c r="E352" t="inlineStr">
        <is>
          <t>RAGUNDA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48086-2022</t>
        </is>
      </c>
      <c r="B353" s="1" t="n">
        <v>44855.9471875</v>
      </c>
      <c r="C353" s="1" t="n">
        <v>45917</v>
      </c>
      <c r="D353" t="inlineStr">
        <is>
          <t>JÄMTLANDS LÄN</t>
        </is>
      </c>
      <c r="E353" t="inlineStr">
        <is>
          <t>RAGUNDA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57246-2020</t>
        </is>
      </c>
      <c r="B354" s="1" t="n">
        <v>44138</v>
      </c>
      <c r="C354" s="1" t="n">
        <v>45917</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40213-2021</t>
        </is>
      </c>
      <c r="B355" s="1" t="n">
        <v>44418.9369212963</v>
      </c>
      <c r="C355" s="1" t="n">
        <v>45917</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9187-2022</t>
        </is>
      </c>
      <c r="B356" s="1" t="n">
        <v>44615</v>
      </c>
      <c r="C356" s="1" t="n">
        <v>45917</v>
      </c>
      <c r="D356" t="inlineStr">
        <is>
          <t>JÄMTLANDS LÄN</t>
        </is>
      </c>
      <c r="E356" t="inlineStr">
        <is>
          <t>RAGUNDA</t>
        </is>
      </c>
      <c r="G356" t="n">
        <v>2</v>
      </c>
      <c r="H356" t="n">
        <v>0</v>
      </c>
      <c r="I356" t="n">
        <v>0</v>
      </c>
      <c r="J356" t="n">
        <v>0</v>
      </c>
      <c r="K356" t="n">
        <v>0</v>
      </c>
      <c r="L356" t="n">
        <v>0</v>
      </c>
      <c r="M356" t="n">
        <v>0</v>
      </c>
      <c r="N356" t="n">
        <v>0</v>
      </c>
      <c r="O356" t="n">
        <v>0</v>
      </c>
      <c r="P356" t="n">
        <v>0</v>
      </c>
      <c r="Q356" t="n">
        <v>0</v>
      </c>
      <c r="R356" s="2" t="inlineStr"/>
    </row>
    <row r="357" ht="15" customHeight="1">
      <c r="A357" t="inlineStr">
        <is>
          <t>A 52334-2021</t>
        </is>
      </c>
      <c r="B357" s="1" t="n">
        <v>44463.94077546296</v>
      </c>
      <c r="C357" s="1" t="n">
        <v>45917</v>
      </c>
      <c r="D357" t="inlineStr">
        <is>
          <t>JÄMTLANDS LÄN</t>
        </is>
      </c>
      <c r="E357" t="inlineStr">
        <is>
          <t>RAGUNDA</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57713-2020</t>
        </is>
      </c>
      <c r="B358" s="1" t="n">
        <v>44140</v>
      </c>
      <c r="C358" s="1" t="n">
        <v>45917</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33279-2022</t>
        </is>
      </c>
      <c r="B359" s="1" t="n">
        <v>44788</v>
      </c>
      <c r="C359" s="1" t="n">
        <v>45917</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47567-2022</t>
        </is>
      </c>
      <c r="B360" s="1" t="n">
        <v>44853</v>
      </c>
      <c r="C360" s="1" t="n">
        <v>45917</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6177-2022</t>
        </is>
      </c>
      <c r="B361" s="1" t="n">
        <v>44599.98685185185</v>
      </c>
      <c r="C361" s="1" t="n">
        <v>45917</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57730-2020</t>
        </is>
      </c>
      <c r="B362" s="1" t="n">
        <v>44140</v>
      </c>
      <c r="C362" s="1" t="n">
        <v>45917</v>
      </c>
      <c r="D362" t="inlineStr">
        <is>
          <t>JÄMTLANDS LÄN</t>
        </is>
      </c>
      <c r="E362" t="inlineStr">
        <is>
          <t>RAGUNDA</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35749-2022</t>
        </is>
      </c>
      <c r="B363" s="1" t="n">
        <v>44799.94394675926</v>
      </c>
      <c r="C363" s="1" t="n">
        <v>45917</v>
      </c>
      <c r="D363" t="inlineStr">
        <is>
          <t>JÄMTLANDS LÄN</t>
        </is>
      </c>
      <c r="E363" t="inlineStr">
        <is>
          <t>RAGUNDA</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45917</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1858-2022</t>
        </is>
      </c>
      <c r="B365" s="1" t="n">
        <v>44574</v>
      </c>
      <c r="C365" s="1" t="n">
        <v>45917</v>
      </c>
      <c r="D365" t="inlineStr">
        <is>
          <t>JÄMTLANDS LÄN</t>
        </is>
      </c>
      <c r="E365" t="inlineStr">
        <is>
          <t>RAGUNDA</t>
        </is>
      </c>
      <c r="G365" t="n">
        <v>5.7</v>
      </c>
      <c r="H365" t="n">
        <v>0</v>
      </c>
      <c r="I365" t="n">
        <v>0</v>
      </c>
      <c r="J365" t="n">
        <v>0</v>
      </c>
      <c r="K365" t="n">
        <v>0</v>
      </c>
      <c r="L365" t="n">
        <v>0</v>
      </c>
      <c r="M365" t="n">
        <v>0</v>
      </c>
      <c r="N365" t="n">
        <v>0</v>
      </c>
      <c r="O365" t="n">
        <v>0</v>
      </c>
      <c r="P365" t="n">
        <v>0</v>
      </c>
      <c r="Q365" t="n">
        <v>0</v>
      </c>
      <c r="R365" s="2" t="inlineStr"/>
    </row>
    <row r="366" ht="15" customHeight="1">
      <c r="A366" t="inlineStr">
        <is>
          <t>A 54836-2022</t>
        </is>
      </c>
      <c r="B366" s="1" t="n">
        <v>44883.94918981481</v>
      </c>
      <c r="C366" s="1" t="n">
        <v>45917</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45917</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45917</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45917</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59996-2021</t>
        </is>
      </c>
      <c r="B370" s="1" t="n">
        <v>44494.93930555556</v>
      </c>
      <c r="C370" s="1" t="n">
        <v>45917</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22655-2021</t>
        </is>
      </c>
      <c r="B371" s="1" t="n">
        <v>44322</v>
      </c>
      <c r="C371" s="1" t="n">
        <v>45917</v>
      </c>
      <c r="D371" t="inlineStr">
        <is>
          <t>JÄMTLANDS LÄN</t>
        </is>
      </c>
      <c r="E371" t="inlineStr">
        <is>
          <t>RAGUNDA</t>
        </is>
      </c>
      <c r="G371" t="n">
        <v>5.8</v>
      </c>
      <c r="H371" t="n">
        <v>0</v>
      </c>
      <c r="I371" t="n">
        <v>0</v>
      </c>
      <c r="J371" t="n">
        <v>0</v>
      </c>
      <c r="K371" t="n">
        <v>0</v>
      </c>
      <c r="L371" t="n">
        <v>0</v>
      </c>
      <c r="M371" t="n">
        <v>0</v>
      </c>
      <c r="N371" t="n">
        <v>0</v>
      </c>
      <c r="O371" t="n">
        <v>0</v>
      </c>
      <c r="P371" t="n">
        <v>0</v>
      </c>
      <c r="Q371" t="n">
        <v>0</v>
      </c>
      <c r="R371" s="2" t="inlineStr"/>
    </row>
    <row r="372" ht="15" customHeight="1">
      <c r="A372" t="inlineStr">
        <is>
          <t>A 58984-2021</t>
        </is>
      </c>
      <c r="B372" s="1" t="n">
        <v>44489.94711805556</v>
      </c>
      <c r="C372" s="1" t="n">
        <v>45917</v>
      </c>
      <c r="D372" t="inlineStr">
        <is>
          <t>JÄMTLANDS LÄN</t>
        </is>
      </c>
      <c r="E372" t="inlineStr">
        <is>
          <t>RAGUNDA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40978-2022</t>
        </is>
      </c>
      <c r="B373" s="1" t="n">
        <v>44823</v>
      </c>
      <c r="C373" s="1" t="n">
        <v>45917</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21194-2022</t>
        </is>
      </c>
      <c r="B374" s="1" t="n">
        <v>44704.9422337963</v>
      </c>
      <c r="C374" s="1" t="n">
        <v>45917</v>
      </c>
      <c r="D374" t="inlineStr">
        <is>
          <t>JÄMTLANDS LÄN</t>
        </is>
      </c>
      <c r="E374" t="inlineStr">
        <is>
          <t>RAGUNDA</t>
        </is>
      </c>
      <c r="F374" t="inlineStr">
        <is>
          <t>SCA</t>
        </is>
      </c>
      <c r="G374" t="n">
        <v>10.6</v>
      </c>
      <c r="H374" t="n">
        <v>0</v>
      </c>
      <c r="I374" t="n">
        <v>0</v>
      </c>
      <c r="J374" t="n">
        <v>0</v>
      </c>
      <c r="K374" t="n">
        <v>0</v>
      </c>
      <c r="L374" t="n">
        <v>0</v>
      </c>
      <c r="M374" t="n">
        <v>0</v>
      </c>
      <c r="N374" t="n">
        <v>0</v>
      </c>
      <c r="O374" t="n">
        <v>0</v>
      </c>
      <c r="P374" t="n">
        <v>0</v>
      </c>
      <c r="Q374" t="n">
        <v>0</v>
      </c>
      <c r="R374" s="2" t="inlineStr"/>
    </row>
    <row r="375" ht="15" customHeight="1">
      <c r="A375" t="inlineStr">
        <is>
          <t>A 24741-2022</t>
        </is>
      </c>
      <c r="B375" s="1" t="n">
        <v>44727</v>
      </c>
      <c r="C375" s="1" t="n">
        <v>45917</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60313-2021</t>
        </is>
      </c>
      <c r="B376" s="1" t="n">
        <v>44495</v>
      </c>
      <c r="C376" s="1" t="n">
        <v>45917</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48536-2022</t>
        </is>
      </c>
      <c r="B377" s="1" t="n">
        <v>44858</v>
      </c>
      <c r="C377" s="1" t="n">
        <v>45917</v>
      </c>
      <c r="D377" t="inlineStr">
        <is>
          <t>JÄMTLANDS LÄN</t>
        </is>
      </c>
      <c r="E377" t="inlineStr">
        <is>
          <t>RAGUNDA</t>
        </is>
      </c>
      <c r="F377" t="inlineStr">
        <is>
          <t>SCA</t>
        </is>
      </c>
      <c r="G377" t="n">
        <v>9.5</v>
      </c>
      <c r="H377" t="n">
        <v>0</v>
      </c>
      <c r="I377" t="n">
        <v>0</v>
      </c>
      <c r="J377" t="n">
        <v>0</v>
      </c>
      <c r="K377" t="n">
        <v>0</v>
      </c>
      <c r="L377" t="n">
        <v>0</v>
      </c>
      <c r="M377" t="n">
        <v>0</v>
      </c>
      <c r="N377" t="n">
        <v>0</v>
      </c>
      <c r="O377" t="n">
        <v>0</v>
      </c>
      <c r="P377" t="n">
        <v>0</v>
      </c>
      <c r="Q377" t="n">
        <v>0</v>
      </c>
      <c r="R377" s="2" t="inlineStr"/>
    </row>
    <row r="378" ht="15" customHeight="1">
      <c r="A378" t="inlineStr">
        <is>
          <t>A 41613-2021</t>
        </is>
      </c>
      <c r="B378" s="1" t="n">
        <v>44425</v>
      </c>
      <c r="C378" s="1" t="n">
        <v>45917</v>
      </c>
      <c r="D378" t="inlineStr">
        <is>
          <t>JÄMTLANDS LÄN</t>
        </is>
      </c>
      <c r="E378" t="inlineStr">
        <is>
          <t>RAGUNDA</t>
        </is>
      </c>
      <c r="F378" t="inlineStr">
        <is>
          <t>Kommuner</t>
        </is>
      </c>
      <c r="G378" t="n">
        <v>1.5</v>
      </c>
      <c r="H378" t="n">
        <v>0</v>
      </c>
      <c r="I378" t="n">
        <v>0</v>
      </c>
      <c r="J378" t="n">
        <v>0</v>
      </c>
      <c r="K378" t="n">
        <v>0</v>
      </c>
      <c r="L378" t="n">
        <v>0</v>
      </c>
      <c r="M378" t="n">
        <v>0</v>
      </c>
      <c r="N378" t="n">
        <v>0</v>
      </c>
      <c r="O378" t="n">
        <v>0</v>
      </c>
      <c r="P378" t="n">
        <v>0</v>
      </c>
      <c r="Q378" t="n">
        <v>0</v>
      </c>
      <c r="R378" s="2" t="inlineStr"/>
    </row>
    <row r="379" ht="15" customHeight="1">
      <c r="A379" t="inlineStr">
        <is>
          <t>A 56193-2022</t>
        </is>
      </c>
      <c r="B379" s="1" t="n">
        <v>44889</v>
      </c>
      <c r="C379" s="1" t="n">
        <v>45917</v>
      </c>
      <c r="D379" t="inlineStr">
        <is>
          <t>JÄMTLANDS LÄN</t>
        </is>
      </c>
      <c r="E379" t="inlineStr">
        <is>
          <t>RAGUNDA</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5515-2022</t>
        </is>
      </c>
      <c r="B380" s="1" t="n">
        <v>44595</v>
      </c>
      <c r="C380" s="1" t="n">
        <v>45917</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60957-2021</t>
        </is>
      </c>
      <c r="B381" s="1" t="n">
        <v>44496</v>
      </c>
      <c r="C381" s="1" t="n">
        <v>45917</v>
      </c>
      <c r="D381" t="inlineStr">
        <is>
          <t>JÄMTLANDS LÄN</t>
        </is>
      </c>
      <c r="E381" t="inlineStr">
        <is>
          <t>RAGUNDA</t>
        </is>
      </c>
      <c r="G381" t="n">
        <v>1.6</v>
      </c>
      <c r="H381" t="n">
        <v>0</v>
      </c>
      <c r="I381" t="n">
        <v>0</v>
      </c>
      <c r="J381" t="n">
        <v>0</v>
      </c>
      <c r="K381" t="n">
        <v>0</v>
      </c>
      <c r="L381" t="n">
        <v>0</v>
      </c>
      <c r="M381" t="n">
        <v>0</v>
      </c>
      <c r="N381" t="n">
        <v>0</v>
      </c>
      <c r="O381" t="n">
        <v>0</v>
      </c>
      <c r="P381" t="n">
        <v>0</v>
      </c>
      <c r="Q381" t="n">
        <v>0</v>
      </c>
      <c r="R381" s="2" t="inlineStr"/>
    </row>
    <row r="382" ht="15" customHeight="1">
      <c r="A382" t="inlineStr">
        <is>
          <t>A 26122-2022</t>
        </is>
      </c>
      <c r="B382" s="1" t="n">
        <v>44734.94193287037</v>
      </c>
      <c r="C382" s="1" t="n">
        <v>45917</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46048-2022</t>
        </is>
      </c>
      <c r="B383" s="1" t="n">
        <v>44846</v>
      </c>
      <c r="C383" s="1" t="n">
        <v>45917</v>
      </c>
      <c r="D383" t="inlineStr">
        <is>
          <t>JÄMTLANDS LÄN</t>
        </is>
      </c>
      <c r="E383" t="inlineStr">
        <is>
          <t>RAGUNDA</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21193-2022</t>
        </is>
      </c>
      <c r="B384" s="1" t="n">
        <v>44704.94217592593</v>
      </c>
      <c r="C384" s="1" t="n">
        <v>45917</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29409-2021</t>
        </is>
      </c>
      <c r="B385" s="1" t="n">
        <v>44361.55445601852</v>
      </c>
      <c r="C385" s="1" t="n">
        <v>45917</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13917-2023</t>
        </is>
      </c>
      <c r="B386" s="1" t="n">
        <v>45007</v>
      </c>
      <c r="C386" s="1" t="n">
        <v>45917</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18820-2023</t>
        </is>
      </c>
      <c r="B387" s="1" t="n">
        <v>45042</v>
      </c>
      <c r="C387" s="1" t="n">
        <v>45917</v>
      </c>
      <c r="D387" t="inlineStr">
        <is>
          <t>JÄMTLANDS LÄN</t>
        </is>
      </c>
      <c r="E387" t="inlineStr">
        <is>
          <t>RAGUNDA</t>
        </is>
      </c>
      <c r="G387" t="n">
        <v>18.8</v>
      </c>
      <c r="H387" t="n">
        <v>0</v>
      </c>
      <c r="I387" t="n">
        <v>0</v>
      </c>
      <c r="J387" t="n">
        <v>0</v>
      </c>
      <c r="K387" t="n">
        <v>0</v>
      </c>
      <c r="L387" t="n">
        <v>0</v>
      </c>
      <c r="M387" t="n">
        <v>0</v>
      </c>
      <c r="N387" t="n">
        <v>0</v>
      </c>
      <c r="O387" t="n">
        <v>0</v>
      </c>
      <c r="P387" t="n">
        <v>0</v>
      </c>
      <c r="Q387" t="n">
        <v>0</v>
      </c>
      <c r="R387" s="2" t="inlineStr"/>
    </row>
    <row r="388" ht="15" customHeight="1">
      <c r="A388" t="inlineStr">
        <is>
          <t>A 11147-2025</t>
        </is>
      </c>
      <c r="B388" s="1" t="n">
        <v>45723.67777777778</v>
      </c>
      <c r="C388" s="1" t="n">
        <v>45917</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24280-2021</t>
        </is>
      </c>
      <c r="B389" s="1" t="n">
        <v>44336</v>
      </c>
      <c r="C389" s="1" t="n">
        <v>45917</v>
      </c>
      <c r="D389" t="inlineStr">
        <is>
          <t>JÄMTLANDS LÄN</t>
        </is>
      </c>
      <c r="E389" t="inlineStr">
        <is>
          <t>RAGUNDA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14821-2025</t>
        </is>
      </c>
      <c r="B390" s="1" t="n">
        <v>45743.36</v>
      </c>
      <c r="C390" s="1" t="n">
        <v>45917</v>
      </c>
      <c r="D390" t="inlineStr">
        <is>
          <t>JÄMTLANDS LÄN</t>
        </is>
      </c>
      <c r="E390" t="inlineStr">
        <is>
          <t>RAGUNDA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32288-2022</t>
        </is>
      </c>
      <c r="B391" s="1" t="n">
        <v>44781</v>
      </c>
      <c r="C391" s="1" t="n">
        <v>45917</v>
      </c>
      <c r="D391" t="inlineStr">
        <is>
          <t>JÄMTLANDS LÄN</t>
        </is>
      </c>
      <c r="E391" t="inlineStr">
        <is>
          <t>RAGUNDA</t>
        </is>
      </c>
      <c r="G391" t="n">
        <v>0.8</v>
      </c>
      <c r="H391" t="n">
        <v>0</v>
      </c>
      <c r="I391" t="n">
        <v>0</v>
      </c>
      <c r="J391" t="n">
        <v>0</v>
      </c>
      <c r="K391" t="n">
        <v>0</v>
      </c>
      <c r="L391" t="n">
        <v>0</v>
      </c>
      <c r="M391" t="n">
        <v>0</v>
      </c>
      <c r="N391" t="n">
        <v>0</v>
      </c>
      <c r="O391" t="n">
        <v>0</v>
      </c>
      <c r="P391" t="n">
        <v>0</v>
      </c>
      <c r="Q391" t="n">
        <v>0</v>
      </c>
      <c r="R391" s="2" t="inlineStr"/>
    </row>
    <row r="392" ht="15" customHeight="1">
      <c r="A392" t="inlineStr">
        <is>
          <t>A 62358-2023</t>
        </is>
      </c>
      <c r="B392" s="1" t="n">
        <v>45267</v>
      </c>
      <c r="C392" s="1" t="n">
        <v>45917</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19264-2025</t>
        </is>
      </c>
      <c r="B393" s="1" t="n">
        <v>45769.51087962963</v>
      </c>
      <c r="C393" s="1" t="n">
        <v>45917</v>
      </c>
      <c r="D393" t="inlineStr">
        <is>
          <t>JÄMTLANDS LÄN</t>
        </is>
      </c>
      <c r="E393" t="inlineStr">
        <is>
          <t>RAGUNDA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23304-2023</t>
        </is>
      </c>
      <c r="B394" s="1" t="n">
        <v>45075.945</v>
      </c>
      <c r="C394" s="1" t="n">
        <v>45917</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47803-2022</t>
        </is>
      </c>
      <c r="B395" s="1" t="n">
        <v>44854.95390046296</v>
      </c>
      <c r="C395" s="1" t="n">
        <v>45917</v>
      </c>
      <c r="D395" t="inlineStr">
        <is>
          <t>JÄMTLANDS LÄN</t>
        </is>
      </c>
      <c r="E395" t="inlineStr">
        <is>
          <t>RAGUNDA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42652-2022</t>
        </is>
      </c>
      <c r="B396" s="1" t="n">
        <v>44831.94846064815</v>
      </c>
      <c r="C396" s="1" t="n">
        <v>45917</v>
      </c>
      <c r="D396" t="inlineStr">
        <is>
          <t>JÄMTLANDS LÄN</t>
        </is>
      </c>
      <c r="E396" t="inlineStr">
        <is>
          <t>RAGUNDA</t>
        </is>
      </c>
      <c r="F396" t="inlineStr">
        <is>
          <t>SCA</t>
        </is>
      </c>
      <c r="G396" t="n">
        <v>5.6</v>
      </c>
      <c r="H396" t="n">
        <v>0</v>
      </c>
      <c r="I396" t="n">
        <v>0</v>
      </c>
      <c r="J396" t="n">
        <v>0</v>
      </c>
      <c r="K396" t="n">
        <v>0</v>
      </c>
      <c r="L396" t="n">
        <v>0</v>
      </c>
      <c r="M396" t="n">
        <v>0</v>
      </c>
      <c r="N396" t="n">
        <v>0</v>
      </c>
      <c r="O396" t="n">
        <v>0</v>
      </c>
      <c r="P396" t="n">
        <v>0</v>
      </c>
      <c r="Q396" t="n">
        <v>0</v>
      </c>
      <c r="R396" s="2" t="inlineStr"/>
    </row>
    <row r="397" ht="15" customHeight="1">
      <c r="A397" t="inlineStr">
        <is>
          <t>A 42653-2022</t>
        </is>
      </c>
      <c r="B397" s="1" t="n">
        <v>44831.9485300926</v>
      </c>
      <c r="C397" s="1" t="n">
        <v>45917</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37806-2021</t>
        </is>
      </c>
      <c r="B398" s="1" t="n">
        <v>44402.42243055555</v>
      </c>
      <c r="C398" s="1" t="n">
        <v>45917</v>
      </c>
      <c r="D398" t="inlineStr">
        <is>
          <t>JÄMTLANDS LÄN</t>
        </is>
      </c>
      <c r="E398" t="inlineStr">
        <is>
          <t>RAGUNDA</t>
        </is>
      </c>
      <c r="G398" t="n">
        <v>0.3</v>
      </c>
      <c r="H398" t="n">
        <v>0</v>
      </c>
      <c r="I398" t="n">
        <v>0</v>
      </c>
      <c r="J398" t="n">
        <v>0</v>
      </c>
      <c r="K398" t="n">
        <v>0</v>
      </c>
      <c r="L398" t="n">
        <v>0</v>
      </c>
      <c r="M398" t="n">
        <v>0</v>
      </c>
      <c r="N398" t="n">
        <v>0</v>
      </c>
      <c r="O398" t="n">
        <v>0</v>
      </c>
      <c r="P398" t="n">
        <v>0</v>
      </c>
      <c r="Q398" t="n">
        <v>0</v>
      </c>
      <c r="R398" s="2" t="inlineStr"/>
    </row>
    <row r="399" ht="15" customHeight="1">
      <c r="A399" t="inlineStr">
        <is>
          <t>A 25027-2022</t>
        </is>
      </c>
      <c r="B399" s="1" t="n">
        <v>44728.94392361111</v>
      </c>
      <c r="C399" s="1" t="n">
        <v>45917</v>
      </c>
      <c r="D399" t="inlineStr">
        <is>
          <t>JÄMTLANDS LÄN</t>
        </is>
      </c>
      <c r="E399" t="inlineStr">
        <is>
          <t>RAGUNDA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32986-2022</t>
        </is>
      </c>
      <c r="B400" s="1" t="n">
        <v>44784.94157407407</v>
      </c>
      <c r="C400" s="1" t="n">
        <v>45917</v>
      </c>
      <c r="D400" t="inlineStr">
        <is>
          <t>JÄMTLANDS LÄN</t>
        </is>
      </c>
      <c r="E400" t="inlineStr">
        <is>
          <t>RAGUNDA</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31854-2022</t>
        </is>
      </c>
      <c r="B401" s="1" t="n">
        <v>44776</v>
      </c>
      <c r="C401" s="1" t="n">
        <v>45917</v>
      </c>
      <c r="D401" t="inlineStr">
        <is>
          <t>JÄMTLANDS LÄN</t>
        </is>
      </c>
      <c r="E401" t="inlineStr">
        <is>
          <t>RAGUNDA</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64492-2023</t>
        </is>
      </c>
      <c r="B402" s="1" t="n">
        <v>45280.92645833334</v>
      </c>
      <c r="C402" s="1" t="n">
        <v>45917</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42882-2022</t>
        </is>
      </c>
      <c r="B403" s="1" t="n">
        <v>44832.95300925926</v>
      </c>
      <c r="C403" s="1" t="n">
        <v>45917</v>
      </c>
      <c r="D403" t="inlineStr">
        <is>
          <t>JÄMTLANDS LÄN</t>
        </is>
      </c>
      <c r="E403" t="inlineStr">
        <is>
          <t>RAGUNDA</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42267-2022</t>
        </is>
      </c>
      <c r="B404" s="1" t="n">
        <v>44830</v>
      </c>
      <c r="C404" s="1" t="n">
        <v>45917</v>
      </c>
      <c r="D404" t="inlineStr">
        <is>
          <t>JÄMTLANDS LÄN</t>
        </is>
      </c>
      <c r="E404" t="inlineStr">
        <is>
          <t>RAGUNDA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28597-2021</t>
        </is>
      </c>
      <c r="B405" s="1" t="n">
        <v>44356.91935185185</v>
      </c>
      <c r="C405" s="1" t="n">
        <v>45917</v>
      </c>
      <c r="D405" t="inlineStr">
        <is>
          <t>JÄMTLANDS LÄN</t>
        </is>
      </c>
      <c r="E405" t="inlineStr">
        <is>
          <t>RAGUNDA</t>
        </is>
      </c>
      <c r="G405" t="n">
        <v>3.1</v>
      </c>
      <c r="H405" t="n">
        <v>0</v>
      </c>
      <c r="I405" t="n">
        <v>0</v>
      </c>
      <c r="J405" t="n">
        <v>0</v>
      </c>
      <c r="K405" t="n">
        <v>0</v>
      </c>
      <c r="L405" t="n">
        <v>0</v>
      </c>
      <c r="M405" t="n">
        <v>0</v>
      </c>
      <c r="N405" t="n">
        <v>0</v>
      </c>
      <c r="O405" t="n">
        <v>0</v>
      </c>
      <c r="P405" t="n">
        <v>0</v>
      </c>
      <c r="Q405" t="n">
        <v>0</v>
      </c>
      <c r="R405" s="2" t="inlineStr"/>
    </row>
    <row r="406" ht="15" customHeight="1">
      <c r="A406" t="inlineStr">
        <is>
          <t>A 36941-2022</t>
        </is>
      </c>
      <c r="B406" s="1" t="n">
        <v>44805</v>
      </c>
      <c r="C406" s="1" t="n">
        <v>45917</v>
      </c>
      <c r="D406" t="inlineStr">
        <is>
          <t>JÄMTLANDS LÄN</t>
        </is>
      </c>
      <c r="E406" t="inlineStr">
        <is>
          <t>RAGUNDA</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20548-2021</t>
        </is>
      </c>
      <c r="B407" s="1" t="n">
        <v>44315</v>
      </c>
      <c r="C407" s="1" t="n">
        <v>45917</v>
      </c>
      <c r="D407" t="inlineStr">
        <is>
          <t>JÄMTLANDS LÄN</t>
        </is>
      </c>
      <c r="E407" t="inlineStr">
        <is>
          <t>RAGUNDA</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28596-2021</t>
        </is>
      </c>
      <c r="B408" s="1" t="n">
        <v>44356</v>
      </c>
      <c r="C408" s="1" t="n">
        <v>45917</v>
      </c>
      <c r="D408" t="inlineStr">
        <is>
          <t>JÄMTLANDS LÄN</t>
        </is>
      </c>
      <c r="E408" t="inlineStr">
        <is>
          <t>RAGUNDA</t>
        </is>
      </c>
      <c r="G408" t="n">
        <v>5.4</v>
      </c>
      <c r="H408" t="n">
        <v>0</v>
      </c>
      <c r="I408" t="n">
        <v>0</v>
      </c>
      <c r="J408" t="n">
        <v>0</v>
      </c>
      <c r="K408" t="n">
        <v>0</v>
      </c>
      <c r="L408" t="n">
        <v>0</v>
      </c>
      <c r="M408" t="n">
        <v>0</v>
      </c>
      <c r="N408" t="n">
        <v>0</v>
      </c>
      <c r="O408" t="n">
        <v>0</v>
      </c>
      <c r="P408" t="n">
        <v>0</v>
      </c>
      <c r="Q408" t="n">
        <v>0</v>
      </c>
      <c r="R408" s="2" t="inlineStr"/>
    </row>
    <row r="409" ht="15" customHeight="1">
      <c r="A409" t="inlineStr">
        <is>
          <t>A 49530-2022</t>
        </is>
      </c>
      <c r="B409" s="1" t="n">
        <v>44861</v>
      </c>
      <c r="C409" s="1" t="n">
        <v>45917</v>
      </c>
      <c r="D409" t="inlineStr">
        <is>
          <t>JÄMTLANDS LÄN</t>
        </is>
      </c>
      <c r="E409" t="inlineStr">
        <is>
          <t>RAGUNDA</t>
        </is>
      </c>
      <c r="F409" t="inlineStr">
        <is>
          <t>SCA</t>
        </is>
      </c>
      <c r="G409" t="n">
        <v>13.4</v>
      </c>
      <c r="H409" t="n">
        <v>0</v>
      </c>
      <c r="I409" t="n">
        <v>0</v>
      </c>
      <c r="J409" t="n">
        <v>0</v>
      </c>
      <c r="K409" t="n">
        <v>0</v>
      </c>
      <c r="L409" t="n">
        <v>0</v>
      </c>
      <c r="M409" t="n">
        <v>0</v>
      </c>
      <c r="N409" t="n">
        <v>0</v>
      </c>
      <c r="O409" t="n">
        <v>0</v>
      </c>
      <c r="P409" t="n">
        <v>0</v>
      </c>
      <c r="Q409" t="n">
        <v>0</v>
      </c>
      <c r="R409" s="2" t="inlineStr"/>
    </row>
    <row r="410" ht="15" customHeight="1">
      <c r="A410" t="inlineStr">
        <is>
          <t>A 36106-2022</t>
        </is>
      </c>
      <c r="B410" s="1" t="n">
        <v>44802.94811342593</v>
      </c>
      <c r="C410" s="1" t="n">
        <v>45917</v>
      </c>
      <c r="D410" t="inlineStr">
        <is>
          <t>JÄMTLANDS LÄN</t>
        </is>
      </c>
      <c r="E410" t="inlineStr">
        <is>
          <t>RAGUNDA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65017-2021</t>
        </is>
      </c>
      <c r="B411" s="1" t="n">
        <v>44512</v>
      </c>
      <c r="C411" s="1" t="n">
        <v>45917</v>
      </c>
      <c r="D411" t="inlineStr">
        <is>
          <t>JÄMTLANDS LÄN</t>
        </is>
      </c>
      <c r="E411" t="inlineStr">
        <is>
          <t>RAGUNDA</t>
        </is>
      </c>
      <c r="G411" t="n">
        <v>2.3</v>
      </c>
      <c r="H411" t="n">
        <v>0</v>
      </c>
      <c r="I411" t="n">
        <v>0</v>
      </c>
      <c r="J411" t="n">
        <v>0</v>
      </c>
      <c r="K411" t="n">
        <v>0</v>
      </c>
      <c r="L411" t="n">
        <v>0</v>
      </c>
      <c r="M411" t="n">
        <v>0</v>
      </c>
      <c r="N411" t="n">
        <v>0</v>
      </c>
      <c r="O411" t="n">
        <v>0</v>
      </c>
      <c r="P411" t="n">
        <v>0</v>
      </c>
      <c r="Q411" t="n">
        <v>0</v>
      </c>
      <c r="R411" s="2" t="inlineStr"/>
    </row>
    <row r="412" ht="15" customHeight="1">
      <c r="A412" t="inlineStr">
        <is>
          <t>A 47568-2022</t>
        </is>
      </c>
      <c r="B412" s="1" t="n">
        <v>44853.9499537037</v>
      </c>
      <c r="C412" s="1" t="n">
        <v>45917</v>
      </c>
      <c r="D412" t="inlineStr">
        <is>
          <t>JÄMTLANDS LÄN</t>
        </is>
      </c>
      <c r="E412" t="inlineStr">
        <is>
          <t>RAGUNDA</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26948-2021</t>
        </is>
      </c>
      <c r="B413" s="1" t="n">
        <v>44349.92013888889</v>
      </c>
      <c r="C413" s="1" t="n">
        <v>45917</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26945-2021</t>
        </is>
      </c>
      <c r="B414" s="1" t="n">
        <v>44349.91995370371</v>
      </c>
      <c r="C414" s="1" t="n">
        <v>45917</v>
      </c>
      <c r="D414" t="inlineStr">
        <is>
          <t>JÄMTLANDS LÄN</t>
        </is>
      </c>
      <c r="E414" t="inlineStr">
        <is>
          <t>RAGUNDA</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19600-2021</t>
        </is>
      </c>
      <c r="B415" s="1" t="n">
        <v>44308</v>
      </c>
      <c r="C415" s="1" t="n">
        <v>45917</v>
      </c>
      <c r="D415" t="inlineStr">
        <is>
          <t>JÄMTLANDS LÄN</t>
        </is>
      </c>
      <c r="E415" t="inlineStr">
        <is>
          <t>RAGUNDA</t>
        </is>
      </c>
      <c r="G415" t="n">
        <v>4.3</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45917</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15581-2024</t>
        </is>
      </c>
      <c r="B417" s="1" t="n">
        <v>45401</v>
      </c>
      <c r="C417" s="1" t="n">
        <v>45917</v>
      </c>
      <c r="D417" t="inlineStr">
        <is>
          <t>JÄMTLANDS LÄN</t>
        </is>
      </c>
      <c r="E417" t="inlineStr">
        <is>
          <t>RAGUNDA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15611-2024</t>
        </is>
      </c>
      <c r="B418" s="1" t="n">
        <v>45401</v>
      </c>
      <c r="C418" s="1" t="n">
        <v>45917</v>
      </c>
      <c r="D418" t="inlineStr">
        <is>
          <t>JÄMTLANDS LÄN</t>
        </is>
      </c>
      <c r="E418" t="inlineStr">
        <is>
          <t>RAGUNDA</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11780-2024</t>
        </is>
      </c>
      <c r="B419" s="1" t="n">
        <v>45374</v>
      </c>
      <c r="C419" s="1" t="n">
        <v>45917</v>
      </c>
      <c r="D419" t="inlineStr">
        <is>
          <t>JÄMTLANDS LÄN</t>
        </is>
      </c>
      <c r="E419" t="inlineStr">
        <is>
          <t>RAGUNDA</t>
        </is>
      </c>
      <c r="G419" t="n">
        <v>14.6</v>
      </c>
      <c r="H419" t="n">
        <v>0</v>
      </c>
      <c r="I419" t="n">
        <v>0</v>
      </c>
      <c r="J419" t="n">
        <v>0</v>
      </c>
      <c r="K419" t="n">
        <v>0</v>
      </c>
      <c r="L419" t="n">
        <v>0</v>
      </c>
      <c r="M419" t="n">
        <v>0</v>
      </c>
      <c r="N419" t="n">
        <v>0</v>
      </c>
      <c r="O419" t="n">
        <v>0</v>
      </c>
      <c r="P419" t="n">
        <v>0</v>
      </c>
      <c r="Q419" t="n">
        <v>0</v>
      </c>
      <c r="R419" s="2" t="inlineStr"/>
    </row>
    <row r="420" ht="15" customHeight="1">
      <c r="A420" t="inlineStr">
        <is>
          <t>A 15664-2022</t>
        </is>
      </c>
      <c r="B420" s="1" t="n">
        <v>44662</v>
      </c>
      <c r="C420" s="1" t="n">
        <v>45917</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21984-2022</t>
        </is>
      </c>
      <c r="B421" s="1" t="n">
        <v>44704</v>
      </c>
      <c r="C421" s="1" t="n">
        <v>45917</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18341-2022</t>
        </is>
      </c>
      <c r="B422" s="1" t="n">
        <v>44685</v>
      </c>
      <c r="C422" s="1" t="n">
        <v>45917</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16460-2022</t>
        </is>
      </c>
      <c r="B423" s="1" t="n">
        <v>44671</v>
      </c>
      <c r="C423" s="1" t="n">
        <v>45917</v>
      </c>
      <c r="D423" t="inlineStr">
        <is>
          <t>JÄMTLANDS LÄN</t>
        </is>
      </c>
      <c r="E423" t="inlineStr">
        <is>
          <t>RAGUNDA</t>
        </is>
      </c>
      <c r="G423" t="n">
        <v>1.7</v>
      </c>
      <c r="H423" t="n">
        <v>0</v>
      </c>
      <c r="I423" t="n">
        <v>0</v>
      </c>
      <c r="J423" t="n">
        <v>0</v>
      </c>
      <c r="K423" t="n">
        <v>0</v>
      </c>
      <c r="L423" t="n">
        <v>0</v>
      </c>
      <c r="M423" t="n">
        <v>0</v>
      </c>
      <c r="N423" t="n">
        <v>0</v>
      </c>
      <c r="O423" t="n">
        <v>0</v>
      </c>
      <c r="P423" t="n">
        <v>0</v>
      </c>
      <c r="Q423" t="n">
        <v>0</v>
      </c>
      <c r="R423" s="2" t="inlineStr"/>
    </row>
    <row r="424" ht="15" customHeight="1">
      <c r="A424" t="inlineStr">
        <is>
          <t>A 9185-2022</t>
        </is>
      </c>
      <c r="B424" s="1" t="n">
        <v>44615</v>
      </c>
      <c r="C424" s="1" t="n">
        <v>45917</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22131-2021</t>
        </is>
      </c>
      <c r="B425" s="1" t="n">
        <v>44323</v>
      </c>
      <c r="C425" s="1" t="n">
        <v>45917</v>
      </c>
      <c r="D425" t="inlineStr">
        <is>
          <t>JÄMTLANDS LÄN</t>
        </is>
      </c>
      <c r="E425" t="inlineStr">
        <is>
          <t>RAGUNDA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59557-2023</t>
        </is>
      </c>
      <c r="B426" s="1" t="n">
        <v>45253</v>
      </c>
      <c r="C426" s="1" t="n">
        <v>45917</v>
      </c>
      <c r="D426" t="inlineStr">
        <is>
          <t>JÄMTLANDS LÄN</t>
        </is>
      </c>
      <c r="E426" t="inlineStr">
        <is>
          <t>RAGUNDA</t>
        </is>
      </c>
      <c r="G426" t="n">
        <v>1</v>
      </c>
      <c r="H426" t="n">
        <v>0</v>
      </c>
      <c r="I426" t="n">
        <v>0</v>
      </c>
      <c r="J426" t="n">
        <v>0</v>
      </c>
      <c r="K426" t="n">
        <v>0</v>
      </c>
      <c r="L426" t="n">
        <v>0</v>
      </c>
      <c r="M426" t="n">
        <v>0</v>
      </c>
      <c r="N426" t="n">
        <v>0</v>
      </c>
      <c r="O426" t="n">
        <v>0</v>
      </c>
      <c r="P426" t="n">
        <v>0</v>
      </c>
      <c r="Q426" t="n">
        <v>0</v>
      </c>
      <c r="R426" s="2" t="inlineStr"/>
    </row>
    <row r="427" ht="15" customHeight="1">
      <c r="A427" t="inlineStr">
        <is>
          <t>A 50157-2023</t>
        </is>
      </c>
      <c r="B427" s="1" t="n">
        <v>45208</v>
      </c>
      <c r="C427" s="1" t="n">
        <v>45917</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38664-2022</t>
        </is>
      </c>
      <c r="B428" s="1" t="n">
        <v>44813</v>
      </c>
      <c r="C428" s="1" t="n">
        <v>45917</v>
      </c>
      <c r="D428" t="inlineStr">
        <is>
          <t>JÄMTLANDS LÄN</t>
        </is>
      </c>
      <c r="E428" t="inlineStr">
        <is>
          <t>RAGUNDA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59286-2023</t>
        </is>
      </c>
      <c r="B429" s="1" t="n">
        <v>45253</v>
      </c>
      <c r="C429" s="1" t="n">
        <v>45917</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9084-2023</t>
        </is>
      </c>
      <c r="B430" s="1" t="n">
        <v>44979</v>
      </c>
      <c r="C430" s="1" t="n">
        <v>45917</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42893-2022</t>
        </is>
      </c>
      <c r="B431" s="1" t="n">
        <v>44832</v>
      </c>
      <c r="C431" s="1" t="n">
        <v>45917</v>
      </c>
      <c r="D431" t="inlineStr">
        <is>
          <t>JÄMTLANDS LÄN</t>
        </is>
      </c>
      <c r="E431" t="inlineStr">
        <is>
          <t>RAGUNDA</t>
        </is>
      </c>
      <c r="F431" t="inlineStr">
        <is>
          <t>SCA</t>
        </is>
      </c>
      <c r="G431" t="n">
        <v>28.4</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44980.93865740741</v>
      </c>
      <c r="C432" s="1" t="n">
        <v>45917</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66706-2021</t>
        </is>
      </c>
      <c r="B433" s="1" t="n">
        <v>44519.94440972222</v>
      </c>
      <c r="C433" s="1" t="n">
        <v>45917</v>
      </c>
      <c r="D433" t="inlineStr">
        <is>
          <t>JÄMTLANDS LÄN</t>
        </is>
      </c>
      <c r="E433" t="inlineStr">
        <is>
          <t>RAGUNDA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7284-2025</t>
        </is>
      </c>
      <c r="B434" s="1" t="n">
        <v>45702.63604166666</v>
      </c>
      <c r="C434" s="1" t="n">
        <v>45917</v>
      </c>
      <c r="D434" t="inlineStr">
        <is>
          <t>JÄMTLANDS LÄN</t>
        </is>
      </c>
      <c r="E434" t="inlineStr">
        <is>
          <t>RAGUNDA</t>
        </is>
      </c>
      <c r="F434" t="inlineStr">
        <is>
          <t>SCA</t>
        </is>
      </c>
      <c r="G434" t="n">
        <v>0.3</v>
      </c>
      <c r="H434" t="n">
        <v>0</v>
      </c>
      <c r="I434" t="n">
        <v>0</v>
      </c>
      <c r="J434" t="n">
        <v>0</v>
      </c>
      <c r="K434" t="n">
        <v>0</v>
      </c>
      <c r="L434" t="n">
        <v>0</v>
      </c>
      <c r="M434" t="n">
        <v>0</v>
      </c>
      <c r="N434" t="n">
        <v>0</v>
      </c>
      <c r="O434" t="n">
        <v>0</v>
      </c>
      <c r="P434" t="n">
        <v>0</v>
      </c>
      <c r="Q434" t="n">
        <v>0</v>
      </c>
      <c r="R434" s="2" t="inlineStr"/>
    </row>
    <row r="435" ht="15" customHeight="1">
      <c r="A435" t="inlineStr">
        <is>
          <t>A 38425-2022</t>
        </is>
      </c>
      <c r="B435" s="1" t="n">
        <v>44812.94709490741</v>
      </c>
      <c r="C435" s="1" t="n">
        <v>45917</v>
      </c>
      <c r="D435" t="inlineStr">
        <is>
          <t>JÄMTLANDS LÄN</t>
        </is>
      </c>
      <c r="E435" t="inlineStr">
        <is>
          <t>RAGUNDA</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36922-2022</t>
        </is>
      </c>
      <c r="B436" s="1" t="n">
        <v>44805.94592592592</v>
      </c>
      <c r="C436" s="1" t="n">
        <v>45917</v>
      </c>
      <c r="D436" t="inlineStr">
        <is>
          <t>JÄMTLANDS LÄN</t>
        </is>
      </c>
      <c r="E436" t="inlineStr">
        <is>
          <t>RAGUNDA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32259-2024</t>
        </is>
      </c>
      <c r="B437" s="1" t="n">
        <v>45511</v>
      </c>
      <c r="C437" s="1" t="n">
        <v>45917</v>
      </c>
      <c r="D437" t="inlineStr">
        <is>
          <t>JÄMTLANDS LÄN</t>
        </is>
      </c>
      <c r="E437" t="inlineStr">
        <is>
          <t>RAGUNDA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25630-2025</t>
        </is>
      </c>
      <c r="B438" s="1" t="n">
        <v>45803.59417824074</v>
      </c>
      <c r="C438" s="1" t="n">
        <v>45917</v>
      </c>
      <c r="D438" t="inlineStr">
        <is>
          <t>JÄMTLANDS LÄN</t>
        </is>
      </c>
      <c r="E438" t="inlineStr">
        <is>
          <t>RAGUNDA</t>
        </is>
      </c>
      <c r="G438" t="n">
        <v>6.9</v>
      </c>
      <c r="H438" t="n">
        <v>0</v>
      </c>
      <c r="I438" t="n">
        <v>0</v>
      </c>
      <c r="J438" t="n">
        <v>0</v>
      </c>
      <c r="K438" t="n">
        <v>0</v>
      </c>
      <c r="L438" t="n">
        <v>0</v>
      </c>
      <c r="M438" t="n">
        <v>0</v>
      </c>
      <c r="N438" t="n">
        <v>0</v>
      </c>
      <c r="O438" t="n">
        <v>0</v>
      </c>
      <c r="P438" t="n">
        <v>0</v>
      </c>
      <c r="Q438" t="n">
        <v>0</v>
      </c>
      <c r="R438" s="2" t="inlineStr"/>
    </row>
    <row r="439" ht="15" customHeight="1">
      <c r="A439" t="inlineStr">
        <is>
          <t>A 60012-2023</t>
        </is>
      </c>
      <c r="B439" s="1" t="n">
        <v>45257</v>
      </c>
      <c r="C439" s="1" t="n">
        <v>45917</v>
      </c>
      <c r="D439" t="inlineStr">
        <is>
          <t>JÄMTLANDS LÄN</t>
        </is>
      </c>
      <c r="E439" t="inlineStr">
        <is>
          <t>RAGUNDA</t>
        </is>
      </c>
      <c r="F439" t="inlineStr">
        <is>
          <t>SCA</t>
        </is>
      </c>
      <c r="G439" t="n">
        <v>5</v>
      </c>
      <c r="H439" t="n">
        <v>0</v>
      </c>
      <c r="I439" t="n">
        <v>0</v>
      </c>
      <c r="J439" t="n">
        <v>0</v>
      </c>
      <c r="K439" t="n">
        <v>0</v>
      </c>
      <c r="L439" t="n">
        <v>0</v>
      </c>
      <c r="M439" t="n">
        <v>0</v>
      </c>
      <c r="N439" t="n">
        <v>0</v>
      </c>
      <c r="O439" t="n">
        <v>0</v>
      </c>
      <c r="P439" t="n">
        <v>0</v>
      </c>
      <c r="Q439" t="n">
        <v>0</v>
      </c>
      <c r="R439" s="2" t="inlineStr"/>
    </row>
    <row r="440" ht="15" customHeight="1">
      <c r="A440" t="inlineStr">
        <is>
          <t>A 19613-2023</t>
        </is>
      </c>
      <c r="B440" s="1" t="n">
        <v>45050.94020833333</v>
      </c>
      <c r="C440" s="1" t="n">
        <v>45917</v>
      </c>
      <c r="D440" t="inlineStr">
        <is>
          <t>JÄMTLANDS LÄN</t>
        </is>
      </c>
      <c r="E440" t="inlineStr">
        <is>
          <t>RAGUNDA</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20221-2025</t>
        </is>
      </c>
      <c r="B441" s="1" t="n">
        <v>45772.6565625</v>
      </c>
      <c r="C441" s="1" t="n">
        <v>45917</v>
      </c>
      <c r="D441" t="inlineStr">
        <is>
          <t>JÄMTLANDS LÄN</t>
        </is>
      </c>
      <c r="E441" t="inlineStr">
        <is>
          <t>RAGUNDA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25994-2025</t>
        </is>
      </c>
      <c r="B442" s="1" t="n">
        <v>45804.65672453704</v>
      </c>
      <c r="C442" s="1" t="n">
        <v>45917</v>
      </c>
      <c r="D442" t="inlineStr">
        <is>
          <t>JÄMTLANDS LÄN</t>
        </is>
      </c>
      <c r="E442" t="inlineStr">
        <is>
          <t>RAGUNDA</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18778-2024</t>
        </is>
      </c>
      <c r="B443" s="1" t="n">
        <v>45426</v>
      </c>
      <c r="C443" s="1" t="n">
        <v>45917</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18781-2024</t>
        </is>
      </c>
      <c r="B444" s="1" t="n">
        <v>45426</v>
      </c>
      <c r="C444" s="1" t="n">
        <v>45917</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17248-2023</t>
        </is>
      </c>
      <c r="B445" s="1" t="n">
        <v>45033</v>
      </c>
      <c r="C445" s="1" t="n">
        <v>45917</v>
      </c>
      <c r="D445" t="inlineStr">
        <is>
          <t>JÄMTLANDS LÄN</t>
        </is>
      </c>
      <c r="E445" t="inlineStr">
        <is>
          <t>RAGUNDA</t>
        </is>
      </c>
      <c r="G445" t="n">
        <v>3</v>
      </c>
      <c r="H445" t="n">
        <v>0</v>
      </c>
      <c r="I445" t="n">
        <v>0</v>
      </c>
      <c r="J445" t="n">
        <v>0</v>
      </c>
      <c r="K445" t="n">
        <v>0</v>
      </c>
      <c r="L445" t="n">
        <v>0</v>
      </c>
      <c r="M445" t="n">
        <v>0</v>
      </c>
      <c r="N445" t="n">
        <v>0</v>
      </c>
      <c r="O445" t="n">
        <v>0</v>
      </c>
      <c r="P445" t="n">
        <v>0</v>
      </c>
      <c r="Q445" t="n">
        <v>0</v>
      </c>
      <c r="R445" s="2" t="inlineStr"/>
    </row>
    <row r="446" ht="15" customHeight="1">
      <c r="A446" t="inlineStr">
        <is>
          <t>A 14513-2025</t>
        </is>
      </c>
      <c r="B446" s="1" t="n">
        <v>45741.63675925926</v>
      </c>
      <c r="C446" s="1" t="n">
        <v>45917</v>
      </c>
      <c r="D446" t="inlineStr">
        <is>
          <t>JÄMTLANDS LÄN</t>
        </is>
      </c>
      <c r="E446" t="inlineStr">
        <is>
          <t>RAGUNDA</t>
        </is>
      </c>
      <c r="F446" t="inlineStr">
        <is>
          <t>SCA</t>
        </is>
      </c>
      <c r="G446" t="n">
        <v>6.8</v>
      </c>
      <c r="H446" t="n">
        <v>0</v>
      </c>
      <c r="I446" t="n">
        <v>0</v>
      </c>
      <c r="J446" t="n">
        <v>0</v>
      </c>
      <c r="K446" t="n">
        <v>0</v>
      </c>
      <c r="L446" t="n">
        <v>0</v>
      </c>
      <c r="M446" t="n">
        <v>0</v>
      </c>
      <c r="N446" t="n">
        <v>0</v>
      </c>
      <c r="O446" t="n">
        <v>0</v>
      </c>
      <c r="P446" t="n">
        <v>0</v>
      </c>
      <c r="Q446" t="n">
        <v>0</v>
      </c>
      <c r="R446" s="2" t="inlineStr"/>
    </row>
    <row r="447" ht="15" customHeight="1">
      <c r="A447" t="inlineStr">
        <is>
          <t>A 26283-2025</t>
        </is>
      </c>
      <c r="B447" s="1" t="n">
        <v>45805.61495370371</v>
      </c>
      <c r="C447" s="1" t="n">
        <v>45917</v>
      </c>
      <c r="D447" t="inlineStr">
        <is>
          <t>JÄMTLANDS LÄN</t>
        </is>
      </c>
      <c r="E447" t="inlineStr">
        <is>
          <t>RAGUNDA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53263-2024</t>
        </is>
      </c>
      <c r="B448" s="1" t="n">
        <v>45614.34541666666</v>
      </c>
      <c r="C448" s="1" t="n">
        <v>45917</v>
      </c>
      <c r="D448" t="inlineStr">
        <is>
          <t>JÄMTLANDS LÄN</t>
        </is>
      </c>
      <c r="E448" t="inlineStr">
        <is>
          <t>RAGUNDA</t>
        </is>
      </c>
      <c r="G448" t="n">
        <v>1.9</v>
      </c>
      <c r="H448" t="n">
        <v>0</v>
      </c>
      <c r="I448" t="n">
        <v>0</v>
      </c>
      <c r="J448" t="n">
        <v>0</v>
      </c>
      <c r="K448" t="n">
        <v>0</v>
      </c>
      <c r="L448" t="n">
        <v>0</v>
      </c>
      <c r="M448" t="n">
        <v>0</v>
      </c>
      <c r="N448" t="n">
        <v>0</v>
      </c>
      <c r="O448" t="n">
        <v>0</v>
      </c>
      <c r="P448" t="n">
        <v>0</v>
      </c>
      <c r="Q448" t="n">
        <v>0</v>
      </c>
      <c r="R448" s="2" t="inlineStr"/>
    </row>
    <row r="449" ht="15" customHeight="1">
      <c r="A449" t="inlineStr">
        <is>
          <t>A 35265-2023</t>
        </is>
      </c>
      <c r="B449" s="1" t="n">
        <v>45145.95326388889</v>
      </c>
      <c r="C449" s="1" t="n">
        <v>45917</v>
      </c>
      <c r="D449" t="inlineStr">
        <is>
          <t>JÄMTLANDS LÄN</t>
        </is>
      </c>
      <c r="E449" t="inlineStr">
        <is>
          <t>RAGUNDA</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31435-2022</t>
        </is>
      </c>
      <c r="B450" s="1" t="n">
        <v>44774</v>
      </c>
      <c r="C450" s="1" t="n">
        <v>45917</v>
      </c>
      <c r="D450" t="inlineStr">
        <is>
          <t>JÄMTLANDS LÄN</t>
        </is>
      </c>
      <c r="E450" t="inlineStr">
        <is>
          <t>RAGUNDA</t>
        </is>
      </c>
      <c r="G450" t="n">
        <v>1.6</v>
      </c>
      <c r="H450" t="n">
        <v>0</v>
      </c>
      <c r="I450" t="n">
        <v>0</v>
      </c>
      <c r="J450" t="n">
        <v>0</v>
      </c>
      <c r="K450" t="n">
        <v>0</v>
      </c>
      <c r="L450" t="n">
        <v>0</v>
      </c>
      <c r="M450" t="n">
        <v>0</v>
      </c>
      <c r="N450" t="n">
        <v>0</v>
      </c>
      <c r="O450" t="n">
        <v>0</v>
      </c>
      <c r="P450" t="n">
        <v>0</v>
      </c>
      <c r="Q450" t="n">
        <v>0</v>
      </c>
      <c r="R450" s="2" t="inlineStr"/>
    </row>
    <row r="451" ht="15" customHeight="1">
      <c r="A451" t="inlineStr">
        <is>
          <t>A 58630-2024</t>
        </is>
      </c>
      <c r="B451" s="1" t="n">
        <v>45635.57331018519</v>
      </c>
      <c r="C451" s="1" t="n">
        <v>45917</v>
      </c>
      <c r="D451" t="inlineStr">
        <is>
          <t>JÄMTLANDS LÄN</t>
        </is>
      </c>
      <c r="E451" t="inlineStr">
        <is>
          <t>RAGUNDA</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50211-2023</t>
        </is>
      </c>
      <c r="B452" s="1" t="n">
        <v>45215.94657407407</v>
      </c>
      <c r="C452" s="1" t="n">
        <v>45917</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24258-2025</t>
        </is>
      </c>
      <c r="B453" s="1" t="n">
        <v>45797.40800925926</v>
      </c>
      <c r="C453" s="1" t="n">
        <v>45917</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14896-2022</t>
        </is>
      </c>
      <c r="B454" s="1" t="n">
        <v>44656</v>
      </c>
      <c r="C454" s="1" t="n">
        <v>45917</v>
      </c>
      <c r="D454" t="inlineStr">
        <is>
          <t>JÄMTLANDS LÄN</t>
        </is>
      </c>
      <c r="E454" t="inlineStr">
        <is>
          <t>RAGUNDA</t>
        </is>
      </c>
      <c r="F454" t="inlineStr">
        <is>
          <t>SCA</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26172-2025</t>
        </is>
      </c>
      <c r="B455" s="1" t="n">
        <v>45805.46613425926</v>
      </c>
      <c r="C455" s="1" t="n">
        <v>45917</v>
      </c>
      <c r="D455" t="inlineStr">
        <is>
          <t>JÄMTLANDS LÄN</t>
        </is>
      </c>
      <c r="E455" t="inlineStr">
        <is>
          <t>RAGUNDA</t>
        </is>
      </c>
      <c r="G455" t="n">
        <v>2.1</v>
      </c>
      <c r="H455" t="n">
        <v>0</v>
      </c>
      <c r="I455" t="n">
        <v>0</v>
      </c>
      <c r="J455" t="n">
        <v>0</v>
      </c>
      <c r="K455" t="n">
        <v>0</v>
      </c>
      <c r="L455" t="n">
        <v>0</v>
      </c>
      <c r="M455" t="n">
        <v>0</v>
      </c>
      <c r="N455" t="n">
        <v>0</v>
      </c>
      <c r="O455" t="n">
        <v>0</v>
      </c>
      <c r="P455" t="n">
        <v>0</v>
      </c>
      <c r="Q455" t="n">
        <v>0</v>
      </c>
      <c r="R455" s="2" t="inlineStr"/>
    </row>
    <row r="456" ht="15" customHeight="1">
      <c r="A456" t="inlineStr">
        <is>
          <t>A 11551-2024</t>
        </is>
      </c>
      <c r="B456" s="1" t="n">
        <v>45372.95762731481</v>
      </c>
      <c r="C456" s="1" t="n">
        <v>45917</v>
      </c>
      <c r="D456" t="inlineStr">
        <is>
          <t>JÄMTLANDS LÄN</t>
        </is>
      </c>
      <c r="E456" t="inlineStr">
        <is>
          <t>RAGUNDA</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55309-2020</t>
        </is>
      </c>
      <c r="B457" s="1" t="n">
        <v>44130.9416550926</v>
      </c>
      <c r="C457" s="1" t="n">
        <v>45917</v>
      </c>
      <c r="D457" t="inlineStr">
        <is>
          <t>JÄMTLANDS LÄN</t>
        </is>
      </c>
      <c r="E457" t="inlineStr">
        <is>
          <t>RAGUNDA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10788-2025</t>
        </is>
      </c>
      <c r="B458" s="1" t="n">
        <v>45722.48982638889</v>
      </c>
      <c r="C458" s="1" t="n">
        <v>45917</v>
      </c>
      <c r="D458" t="inlineStr">
        <is>
          <t>JÄMTLANDS LÄN</t>
        </is>
      </c>
      <c r="E458" t="inlineStr">
        <is>
          <t>RAGUNDA</t>
        </is>
      </c>
      <c r="G458" t="n">
        <v>3.5</v>
      </c>
      <c r="H458" t="n">
        <v>0</v>
      </c>
      <c r="I458" t="n">
        <v>0</v>
      </c>
      <c r="J458" t="n">
        <v>0</v>
      </c>
      <c r="K458" t="n">
        <v>0</v>
      </c>
      <c r="L458" t="n">
        <v>0</v>
      </c>
      <c r="M458" t="n">
        <v>0</v>
      </c>
      <c r="N458" t="n">
        <v>0</v>
      </c>
      <c r="O458" t="n">
        <v>0</v>
      </c>
      <c r="P458" t="n">
        <v>0</v>
      </c>
      <c r="Q458" t="n">
        <v>0</v>
      </c>
      <c r="R458" s="2" t="inlineStr"/>
    </row>
    <row r="459" ht="15" customHeight="1">
      <c r="A459" t="inlineStr">
        <is>
          <t>A 26246-2025</t>
        </is>
      </c>
      <c r="B459" s="1" t="n">
        <v>45805.57390046296</v>
      </c>
      <c r="C459" s="1" t="n">
        <v>45917</v>
      </c>
      <c r="D459" t="inlineStr">
        <is>
          <t>JÄMTLANDS LÄN</t>
        </is>
      </c>
      <c r="E459" t="inlineStr">
        <is>
          <t>RAGUNDA</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2001-2025</t>
        </is>
      </c>
      <c r="B460" s="1" t="n">
        <v>45672.44898148148</v>
      </c>
      <c r="C460" s="1" t="n">
        <v>45917</v>
      </c>
      <c r="D460" t="inlineStr">
        <is>
          <t>JÄMTLANDS LÄN</t>
        </is>
      </c>
      <c r="E460" t="inlineStr">
        <is>
          <t>RAGUNDA</t>
        </is>
      </c>
      <c r="F460" t="inlineStr">
        <is>
          <t>SCA</t>
        </is>
      </c>
      <c r="G460" t="n">
        <v>16.2</v>
      </c>
      <c r="H460" t="n">
        <v>0</v>
      </c>
      <c r="I460" t="n">
        <v>0</v>
      </c>
      <c r="J460" t="n">
        <v>0</v>
      </c>
      <c r="K460" t="n">
        <v>0</v>
      </c>
      <c r="L460" t="n">
        <v>0</v>
      </c>
      <c r="M460" t="n">
        <v>0</v>
      </c>
      <c r="N460" t="n">
        <v>0</v>
      </c>
      <c r="O460" t="n">
        <v>0</v>
      </c>
      <c r="P460" t="n">
        <v>0</v>
      </c>
      <c r="Q460" t="n">
        <v>0</v>
      </c>
      <c r="R460" s="2" t="inlineStr"/>
    </row>
    <row r="461" ht="15" customHeight="1">
      <c r="A461" t="inlineStr">
        <is>
          <t>A 9326-2024</t>
        </is>
      </c>
      <c r="B461" s="1" t="n">
        <v>45358.95818287037</v>
      </c>
      <c r="C461" s="1" t="n">
        <v>45917</v>
      </c>
      <c r="D461" t="inlineStr">
        <is>
          <t>JÄMTLANDS LÄN</t>
        </is>
      </c>
      <c r="E461" t="inlineStr">
        <is>
          <t>RAGUNDA</t>
        </is>
      </c>
      <c r="G461" t="n">
        <v>0.7</v>
      </c>
      <c r="H461" t="n">
        <v>0</v>
      </c>
      <c r="I461" t="n">
        <v>0</v>
      </c>
      <c r="J461" t="n">
        <v>0</v>
      </c>
      <c r="K461" t="n">
        <v>0</v>
      </c>
      <c r="L461" t="n">
        <v>0</v>
      </c>
      <c r="M461" t="n">
        <v>0</v>
      </c>
      <c r="N461" t="n">
        <v>0</v>
      </c>
      <c r="O461" t="n">
        <v>0</v>
      </c>
      <c r="P461" t="n">
        <v>0</v>
      </c>
      <c r="Q461" t="n">
        <v>0</v>
      </c>
      <c r="R461" s="2" t="inlineStr"/>
    </row>
    <row r="462" ht="15" customHeight="1">
      <c r="A462" t="inlineStr">
        <is>
          <t>A 16529-2022</t>
        </is>
      </c>
      <c r="B462" s="1" t="n">
        <v>44671</v>
      </c>
      <c r="C462" s="1" t="n">
        <v>45917</v>
      </c>
      <c r="D462" t="inlineStr">
        <is>
          <t>JÄMTLANDS LÄN</t>
        </is>
      </c>
      <c r="E462" t="inlineStr">
        <is>
          <t>RAGUNDA</t>
        </is>
      </c>
      <c r="G462" t="n">
        <v>1.5</v>
      </c>
      <c r="H462" t="n">
        <v>0</v>
      </c>
      <c r="I462" t="n">
        <v>0</v>
      </c>
      <c r="J462" t="n">
        <v>0</v>
      </c>
      <c r="K462" t="n">
        <v>0</v>
      </c>
      <c r="L462" t="n">
        <v>0</v>
      </c>
      <c r="M462" t="n">
        <v>0</v>
      </c>
      <c r="N462" t="n">
        <v>0</v>
      </c>
      <c r="O462" t="n">
        <v>0</v>
      </c>
      <c r="P462" t="n">
        <v>0</v>
      </c>
      <c r="Q462" t="n">
        <v>0</v>
      </c>
      <c r="R462" s="2" t="inlineStr"/>
    </row>
    <row r="463" ht="15" customHeight="1">
      <c r="A463" t="inlineStr">
        <is>
          <t>A 40269-2022</t>
        </is>
      </c>
      <c r="B463" s="1" t="n">
        <v>44820</v>
      </c>
      <c r="C463" s="1" t="n">
        <v>45917</v>
      </c>
      <c r="D463" t="inlineStr">
        <is>
          <t>JÄMTLANDS LÄN</t>
        </is>
      </c>
      <c r="E463" t="inlineStr">
        <is>
          <t>RAGUNDA</t>
        </is>
      </c>
      <c r="F463" t="inlineStr">
        <is>
          <t>SCA</t>
        </is>
      </c>
      <c r="G463" t="n">
        <v>77.8</v>
      </c>
      <c r="H463" t="n">
        <v>0</v>
      </c>
      <c r="I463" t="n">
        <v>0</v>
      </c>
      <c r="J463" t="n">
        <v>0</v>
      </c>
      <c r="K463" t="n">
        <v>0</v>
      </c>
      <c r="L463" t="n">
        <v>0</v>
      </c>
      <c r="M463" t="n">
        <v>0</v>
      </c>
      <c r="N463" t="n">
        <v>0</v>
      </c>
      <c r="O463" t="n">
        <v>0</v>
      </c>
      <c r="P463" t="n">
        <v>0</v>
      </c>
      <c r="Q463" t="n">
        <v>0</v>
      </c>
      <c r="R463" s="2" t="inlineStr"/>
    </row>
    <row r="464" ht="15" customHeight="1">
      <c r="A464" t="inlineStr">
        <is>
          <t>A 57839-2022</t>
        </is>
      </c>
      <c r="B464" s="1" t="n">
        <v>44897</v>
      </c>
      <c r="C464" s="1" t="n">
        <v>45917</v>
      </c>
      <c r="D464" t="inlineStr">
        <is>
          <t>JÄMTLANDS LÄN</t>
        </is>
      </c>
      <c r="E464" t="inlineStr">
        <is>
          <t>RAGUNDA</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44536-2022</t>
        </is>
      </c>
      <c r="B465" s="1" t="n">
        <v>44839</v>
      </c>
      <c r="C465" s="1" t="n">
        <v>45917</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73278-2021</t>
        </is>
      </c>
      <c r="B466" s="1" t="n">
        <v>44550.92168981482</v>
      </c>
      <c r="C466" s="1" t="n">
        <v>45917</v>
      </c>
      <c r="D466" t="inlineStr">
        <is>
          <t>JÄMTLANDS LÄN</t>
        </is>
      </c>
      <c r="E466" t="inlineStr">
        <is>
          <t>RAGUNDA</t>
        </is>
      </c>
      <c r="G466" t="n">
        <v>4.4</v>
      </c>
      <c r="H466" t="n">
        <v>0</v>
      </c>
      <c r="I466" t="n">
        <v>0</v>
      </c>
      <c r="J466" t="n">
        <v>0</v>
      </c>
      <c r="K466" t="n">
        <v>0</v>
      </c>
      <c r="L466" t="n">
        <v>0</v>
      </c>
      <c r="M466" t="n">
        <v>0</v>
      </c>
      <c r="N466" t="n">
        <v>0</v>
      </c>
      <c r="O466" t="n">
        <v>0</v>
      </c>
      <c r="P466" t="n">
        <v>0</v>
      </c>
      <c r="Q466" t="n">
        <v>0</v>
      </c>
      <c r="R466" s="2" t="inlineStr"/>
    </row>
    <row r="467" ht="15" customHeight="1">
      <c r="A467" t="inlineStr">
        <is>
          <t>A 60663-2022</t>
        </is>
      </c>
      <c r="B467" s="1" t="n">
        <v>44911.93846064815</v>
      </c>
      <c r="C467" s="1" t="n">
        <v>45917</v>
      </c>
      <c r="D467" t="inlineStr">
        <is>
          <t>JÄMTLANDS LÄN</t>
        </is>
      </c>
      <c r="E467" t="inlineStr">
        <is>
          <t>RAGUNDA</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45917</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7281-2025</t>
        </is>
      </c>
      <c r="B469" s="1" t="n">
        <v>45702.63572916666</v>
      </c>
      <c r="C469" s="1" t="n">
        <v>45917</v>
      </c>
      <c r="D469" t="inlineStr">
        <is>
          <t>JÄMTLANDS LÄN</t>
        </is>
      </c>
      <c r="E469" t="inlineStr">
        <is>
          <t>RAGUNDA</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36212-2023</t>
        </is>
      </c>
      <c r="B470" s="1" t="n">
        <v>45149.95241898148</v>
      </c>
      <c r="C470" s="1" t="n">
        <v>45917</v>
      </c>
      <c r="D470" t="inlineStr">
        <is>
          <t>JÄMTLANDS LÄN</t>
        </is>
      </c>
      <c r="E470" t="inlineStr">
        <is>
          <t>RAGUNDA</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30053-2024</t>
        </is>
      </c>
      <c r="B471" s="1" t="n">
        <v>45488.94747685185</v>
      </c>
      <c r="C471" s="1" t="n">
        <v>45917</v>
      </c>
      <c r="D471" t="inlineStr">
        <is>
          <t>JÄMTLANDS LÄN</t>
        </is>
      </c>
      <c r="E471" t="inlineStr">
        <is>
          <t>RAGUNDA</t>
        </is>
      </c>
      <c r="F471" t="inlineStr">
        <is>
          <t>SCA</t>
        </is>
      </c>
      <c r="G471" t="n">
        <v>9.6</v>
      </c>
      <c r="H471" t="n">
        <v>0</v>
      </c>
      <c r="I471" t="n">
        <v>0</v>
      </c>
      <c r="J471" t="n">
        <v>0</v>
      </c>
      <c r="K471" t="n">
        <v>0</v>
      </c>
      <c r="L471" t="n">
        <v>0</v>
      </c>
      <c r="M471" t="n">
        <v>0</v>
      </c>
      <c r="N471" t="n">
        <v>0</v>
      </c>
      <c r="O471" t="n">
        <v>0</v>
      </c>
      <c r="P471" t="n">
        <v>0</v>
      </c>
      <c r="Q471" t="n">
        <v>0</v>
      </c>
      <c r="R471" s="2" t="inlineStr"/>
    </row>
    <row r="472" ht="15" customHeight="1">
      <c r="A472" t="inlineStr">
        <is>
          <t>A 51396-2024</t>
        </is>
      </c>
      <c r="B472" s="1" t="n">
        <v>45604.4190625</v>
      </c>
      <c r="C472" s="1" t="n">
        <v>45917</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59496-2024</t>
        </is>
      </c>
      <c r="B473" s="1" t="n">
        <v>45638</v>
      </c>
      <c r="C473" s="1" t="n">
        <v>45917</v>
      </c>
      <c r="D473" t="inlineStr">
        <is>
          <t>JÄMTLANDS LÄN</t>
        </is>
      </c>
      <c r="E473" t="inlineStr">
        <is>
          <t>RAGUNDA</t>
        </is>
      </c>
      <c r="G473" t="n">
        <v>13.1</v>
      </c>
      <c r="H473" t="n">
        <v>0</v>
      </c>
      <c r="I473" t="n">
        <v>0</v>
      </c>
      <c r="J473" t="n">
        <v>0</v>
      </c>
      <c r="K473" t="n">
        <v>0</v>
      </c>
      <c r="L473" t="n">
        <v>0</v>
      </c>
      <c r="M473" t="n">
        <v>0</v>
      </c>
      <c r="N473" t="n">
        <v>0</v>
      </c>
      <c r="O473" t="n">
        <v>0</v>
      </c>
      <c r="P473" t="n">
        <v>0</v>
      </c>
      <c r="Q473" t="n">
        <v>0</v>
      </c>
      <c r="R473" s="2" t="inlineStr"/>
    </row>
    <row r="474" ht="15" customHeight="1">
      <c r="A474" t="inlineStr">
        <is>
          <t>A 26640-2025</t>
        </is>
      </c>
      <c r="B474" s="1" t="n">
        <v>45810.36495370371</v>
      </c>
      <c r="C474" s="1" t="n">
        <v>45917</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53860-2023</t>
        </is>
      </c>
      <c r="B475" s="1" t="n">
        <v>45224</v>
      </c>
      <c r="C475" s="1" t="n">
        <v>45917</v>
      </c>
      <c r="D475" t="inlineStr">
        <is>
          <t>JÄMTLANDS LÄN</t>
        </is>
      </c>
      <c r="E475" t="inlineStr">
        <is>
          <t>RAGUNDA</t>
        </is>
      </c>
      <c r="G475" t="n">
        <v>3.3</v>
      </c>
      <c r="H475" t="n">
        <v>0</v>
      </c>
      <c r="I475" t="n">
        <v>0</v>
      </c>
      <c r="J475" t="n">
        <v>0</v>
      </c>
      <c r="K475" t="n">
        <v>0</v>
      </c>
      <c r="L475" t="n">
        <v>0</v>
      </c>
      <c r="M475" t="n">
        <v>0</v>
      </c>
      <c r="N475" t="n">
        <v>0</v>
      </c>
      <c r="O475" t="n">
        <v>0</v>
      </c>
      <c r="P475" t="n">
        <v>0</v>
      </c>
      <c r="Q475" t="n">
        <v>0</v>
      </c>
      <c r="R475" s="2" t="inlineStr"/>
    </row>
    <row r="476" ht="15" customHeight="1">
      <c r="A476" t="inlineStr">
        <is>
          <t>A 54599-2023</t>
        </is>
      </c>
      <c r="B476" s="1" t="n">
        <v>45233.92591435185</v>
      </c>
      <c r="C476" s="1" t="n">
        <v>45917</v>
      </c>
      <c r="D476" t="inlineStr">
        <is>
          <t>JÄMTLANDS LÄN</t>
        </is>
      </c>
      <c r="E476" t="inlineStr">
        <is>
          <t>RAGUNDA</t>
        </is>
      </c>
      <c r="G476" t="n">
        <v>3.7</v>
      </c>
      <c r="H476" t="n">
        <v>0</v>
      </c>
      <c r="I476" t="n">
        <v>0</v>
      </c>
      <c r="J476" t="n">
        <v>0</v>
      </c>
      <c r="K476" t="n">
        <v>0</v>
      </c>
      <c r="L476" t="n">
        <v>0</v>
      </c>
      <c r="M476" t="n">
        <v>0</v>
      </c>
      <c r="N476" t="n">
        <v>0</v>
      </c>
      <c r="O476" t="n">
        <v>0</v>
      </c>
      <c r="P476" t="n">
        <v>0</v>
      </c>
      <c r="Q476" t="n">
        <v>0</v>
      </c>
      <c r="R476" s="2" t="inlineStr"/>
    </row>
    <row r="477" ht="15" customHeight="1">
      <c r="A477" t="inlineStr">
        <is>
          <t>A 53762-2023</t>
        </is>
      </c>
      <c r="B477" s="1" t="n">
        <v>45230.96376157407</v>
      </c>
      <c r="C477" s="1" t="n">
        <v>45917</v>
      </c>
      <c r="D477" t="inlineStr">
        <is>
          <t>JÄMTLANDS LÄN</t>
        </is>
      </c>
      <c r="E477" t="inlineStr">
        <is>
          <t>RAGUNDA</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13935-2024</t>
        </is>
      </c>
      <c r="B478" s="1" t="n">
        <v>45391.95329861111</v>
      </c>
      <c r="C478" s="1" t="n">
        <v>45917</v>
      </c>
      <c r="D478" t="inlineStr">
        <is>
          <t>JÄMTLANDS LÄN</t>
        </is>
      </c>
      <c r="E478" t="inlineStr">
        <is>
          <t>RAGUNDA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37265-2024</t>
        </is>
      </c>
      <c r="B479" s="1" t="n">
        <v>45540.38564814815</v>
      </c>
      <c r="C479" s="1" t="n">
        <v>45917</v>
      </c>
      <c r="D479" t="inlineStr">
        <is>
          <t>JÄMTLANDS LÄN</t>
        </is>
      </c>
      <c r="E479" t="inlineStr">
        <is>
          <t>RAGUNDA</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19089-2024</t>
        </is>
      </c>
      <c r="B480" s="1" t="n">
        <v>45428.00471064815</v>
      </c>
      <c r="C480" s="1" t="n">
        <v>45917</v>
      </c>
      <c r="D480" t="inlineStr">
        <is>
          <t>JÄMTLANDS LÄN</t>
        </is>
      </c>
      <c r="E480" t="inlineStr">
        <is>
          <t>RAGUNDA</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18612-2024</t>
        </is>
      </c>
      <c r="B481" s="1" t="n">
        <v>45425.96239583333</v>
      </c>
      <c r="C481" s="1" t="n">
        <v>45917</v>
      </c>
      <c r="D481" t="inlineStr">
        <is>
          <t>JÄMTLANDS LÄN</t>
        </is>
      </c>
      <c r="E481" t="inlineStr">
        <is>
          <t>RAGUNDA</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48249-2024</t>
        </is>
      </c>
      <c r="B482" s="1" t="n">
        <v>45590.40675925926</v>
      </c>
      <c r="C482" s="1" t="n">
        <v>45917</v>
      </c>
      <c r="D482" t="inlineStr">
        <is>
          <t>JÄMTLANDS LÄN</t>
        </is>
      </c>
      <c r="E482" t="inlineStr">
        <is>
          <t>RAGUNDA</t>
        </is>
      </c>
      <c r="F482" t="inlineStr">
        <is>
          <t>SCA</t>
        </is>
      </c>
      <c r="G482" t="n">
        <v>14.4</v>
      </c>
      <c r="H482" t="n">
        <v>0</v>
      </c>
      <c r="I482" t="n">
        <v>0</v>
      </c>
      <c r="J482" t="n">
        <v>0</v>
      </c>
      <c r="K482" t="n">
        <v>0</v>
      </c>
      <c r="L482" t="n">
        <v>0</v>
      </c>
      <c r="M482" t="n">
        <v>0</v>
      </c>
      <c r="N482" t="n">
        <v>0</v>
      </c>
      <c r="O482" t="n">
        <v>0</v>
      </c>
      <c r="P482" t="n">
        <v>0</v>
      </c>
      <c r="Q482" t="n">
        <v>0</v>
      </c>
      <c r="R482" s="2" t="inlineStr"/>
    </row>
    <row r="483" ht="15" customHeight="1">
      <c r="A483" t="inlineStr">
        <is>
          <t>A 10610-2024</t>
        </is>
      </c>
      <c r="B483" s="1" t="n">
        <v>45367.04693287037</v>
      </c>
      <c r="C483" s="1" t="n">
        <v>45917</v>
      </c>
      <c r="D483" t="inlineStr">
        <is>
          <t>JÄMTLANDS LÄN</t>
        </is>
      </c>
      <c r="E483" t="inlineStr">
        <is>
          <t>RAGUNDA</t>
        </is>
      </c>
      <c r="F483" t="inlineStr">
        <is>
          <t>SCA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8779-2025</t>
        </is>
      </c>
      <c r="B484" s="1" t="n">
        <v>45712.61552083334</v>
      </c>
      <c r="C484" s="1" t="n">
        <v>45917</v>
      </c>
      <c r="D484" t="inlineStr">
        <is>
          <t>JÄMTLANDS LÄN</t>
        </is>
      </c>
      <c r="E484" t="inlineStr">
        <is>
          <t>RAGUNDA</t>
        </is>
      </c>
      <c r="F484" t="inlineStr">
        <is>
          <t>SCA</t>
        </is>
      </c>
      <c r="G484" t="n">
        <v>4.9</v>
      </c>
      <c r="H484" t="n">
        <v>0</v>
      </c>
      <c r="I484" t="n">
        <v>0</v>
      </c>
      <c r="J484" t="n">
        <v>0</v>
      </c>
      <c r="K484" t="n">
        <v>0</v>
      </c>
      <c r="L484" t="n">
        <v>0</v>
      </c>
      <c r="M484" t="n">
        <v>0</v>
      </c>
      <c r="N484" t="n">
        <v>0</v>
      </c>
      <c r="O484" t="n">
        <v>0</v>
      </c>
      <c r="P484" t="n">
        <v>0</v>
      </c>
      <c r="Q484" t="n">
        <v>0</v>
      </c>
      <c r="R484" s="2" t="inlineStr"/>
    </row>
    <row r="485" ht="15" customHeight="1">
      <c r="A485" t="inlineStr">
        <is>
          <t>A 61934-2022</t>
        </is>
      </c>
      <c r="B485" s="1" t="n">
        <v>44917</v>
      </c>
      <c r="C485" s="1" t="n">
        <v>45917</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20574-2025</t>
        </is>
      </c>
      <c r="B486" s="1" t="n">
        <v>45775.67747685185</v>
      </c>
      <c r="C486" s="1" t="n">
        <v>45917</v>
      </c>
      <c r="D486" t="inlineStr">
        <is>
          <t>JÄMTLANDS LÄN</t>
        </is>
      </c>
      <c r="E486" t="inlineStr">
        <is>
          <t>RAGUNDA</t>
        </is>
      </c>
      <c r="F486" t="inlineStr">
        <is>
          <t>SCA</t>
        </is>
      </c>
      <c r="G486" t="n">
        <v>5.1</v>
      </c>
      <c r="H486" t="n">
        <v>0</v>
      </c>
      <c r="I486" t="n">
        <v>0</v>
      </c>
      <c r="J486" t="n">
        <v>0</v>
      </c>
      <c r="K486" t="n">
        <v>0</v>
      </c>
      <c r="L486" t="n">
        <v>0</v>
      </c>
      <c r="M486" t="n">
        <v>0</v>
      </c>
      <c r="N486" t="n">
        <v>0</v>
      </c>
      <c r="O486" t="n">
        <v>0</v>
      </c>
      <c r="P486" t="n">
        <v>0</v>
      </c>
      <c r="Q486" t="n">
        <v>0</v>
      </c>
      <c r="R486" s="2" t="inlineStr"/>
    </row>
    <row r="487" ht="15" customHeight="1">
      <c r="A487" t="inlineStr">
        <is>
          <t>A 16676-2022</t>
        </is>
      </c>
      <c r="B487" s="1" t="n">
        <v>44672.94018518519</v>
      </c>
      <c r="C487" s="1" t="n">
        <v>45917</v>
      </c>
      <c r="D487" t="inlineStr">
        <is>
          <t>JÄMTLANDS LÄN</t>
        </is>
      </c>
      <c r="E487" t="inlineStr">
        <is>
          <t>RAGUNDA</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11558-2023</t>
        </is>
      </c>
      <c r="B488" s="1" t="n">
        <v>44993.94958333333</v>
      </c>
      <c r="C488" s="1" t="n">
        <v>45917</v>
      </c>
      <c r="D488" t="inlineStr">
        <is>
          <t>JÄMTLANDS LÄN</t>
        </is>
      </c>
      <c r="E488" t="inlineStr">
        <is>
          <t>RAGUNDA</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18777-2024</t>
        </is>
      </c>
      <c r="B489" s="1" t="n">
        <v>45426</v>
      </c>
      <c r="C489" s="1" t="n">
        <v>45917</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57078-2023</t>
        </is>
      </c>
      <c r="B490" s="1" t="n">
        <v>45244.96774305555</v>
      </c>
      <c r="C490" s="1" t="n">
        <v>45917</v>
      </c>
      <c r="D490" t="inlineStr">
        <is>
          <t>JÄMTLANDS LÄN</t>
        </is>
      </c>
      <c r="E490" t="inlineStr">
        <is>
          <t>RAGUNDA</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12976-2025</t>
        </is>
      </c>
      <c r="B491" s="1" t="n">
        <v>45734.45268518518</v>
      </c>
      <c r="C491" s="1" t="n">
        <v>45917</v>
      </c>
      <c r="D491" t="inlineStr">
        <is>
          <t>JÄMTLANDS LÄN</t>
        </is>
      </c>
      <c r="E491" t="inlineStr">
        <is>
          <t>RAGUNDA</t>
        </is>
      </c>
      <c r="G491" t="n">
        <v>24.2</v>
      </c>
      <c r="H491" t="n">
        <v>0</v>
      </c>
      <c r="I491" t="n">
        <v>0</v>
      </c>
      <c r="J491" t="n">
        <v>0</v>
      </c>
      <c r="K491" t="n">
        <v>0</v>
      </c>
      <c r="L491" t="n">
        <v>0</v>
      </c>
      <c r="M491" t="n">
        <v>0</v>
      </c>
      <c r="N491" t="n">
        <v>0</v>
      </c>
      <c r="O491" t="n">
        <v>0</v>
      </c>
      <c r="P491" t="n">
        <v>0</v>
      </c>
      <c r="Q491" t="n">
        <v>0</v>
      </c>
      <c r="R491" s="2" t="inlineStr"/>
    </row>
    <row r="492" ht="15" customHeight="1">
      <c r="A492" t="inlineStr">
        <is>
          <t>A 56286-2023</t>
        </is>
      </c>
      <c r="B492" s="1" t="n">
        <v>45241.95741898148</v>
      </c>
      <c r="C492" s="1" t="n">
        <v>45917</v>
      </c>
      <c r="D492" t="inlineStr">
        <is>
          <t>JÄMTLANDS LÄN</t>
        </is>
      </c>
      <c r="E492" t="inlineStr">
        <is>
          <t>RAGUNDA</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56287-2023</t>
        </is>
      </c>
      <c r="B493" s="1" t="n">
        <v>45241</v>
      </c>
      <c r="C493" s="1" t="n">
        <v>45917</v>
      </c>
      <c r="D493" t="inlineStr">
        <is>
          <t>JÄMTLANDS LÄN</t>
        </is>
      </c>
      <c r="E493" t="inlineStr">
        <is>
          <t>RAGUNDA</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59658-2023</t>
        </is>
      </c>
      <c r="B494" s="1" t="n">
        <v>45254.96402777778</v>
      </c>
      <c r="C494" s="1" t="n">
        <v>45917</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19404-2025</t>
        </is>
      </c>
      <c r="B495" s="1" t="n">
        <v>45769.67802083334</v>
      </c>
      <c r="C495" s="1" t="n">
        <v>45917</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59670-2023</t>
        </is>
      </c>
      <c r="B496" s="1" t="n">
        <v>45254.96516203704</v>
      </c>
      <c r="C496" s="1" t="n">
        <v>45917</v>
      </c>
      <c r="D496" t="inlineStr">
        <is>
          <t>JÄMTLANDS LÄN</t>
        </is>
      </c>
      <c r="E496" t="inlineStr">
        <is>
          <t>RAGUNDA</t>
        </is>
      </c>
      <c r="F496" t="inlineStr">
        <is>
          <t>SCA</t>
        </is>
      </c>
      <c r="G496" t="n">
        <v>7.6</v>
      </c>
      <c r="H496" t="n">
        <v>0</v>
      </c>
      <c r="I496" t="n">
        <v>0</v>
      </c>
      <c r="J496" t="n">
        <v>0</v>
      </c>
      <c r="K496" t="n">
        <v>0</v>
      </c>
      <c r="L496" t="n">
        <v>0</v>
      </c>
      <c r="M496" t="n">
        <v>0</v>
      </c>
      <c r="N496" t="n">
        <v>0</v>
      </c>
      <c r="O496" t="n">
        <v>0</v>
      </c>
      <c r="P496" t="n">
        <v>0</v>
      </c>
      <c r="Q496" t="n">
        <v>0</v>
      </c>
      <c r="R496" s="2" t="inlineStr"/>
    </row>
    <row r="497" ht="15" customHeight="1">
      <c r="A497" t="inlineStr">
        <is>
          <t>A 28081-2022</t>
        </is>
      </c>
      <c r="B497" s="1" t="n">
        <v>44746</v>
      </c>
      <c r="C497" s="1" t="n">
        <v>45917</v>
      </c>
      <c r="D497" t="inlineStr">
        <is>
          <t>JÄMTLANDS LÄN</t>
        </is>
      </c>
      <c r="E497" t="inlineStr">
        <is>
          <t>RAGUNDA</t>
        </is>
      </c>
      <c r="G497" t="n">
        <v>7.2</v>
      </c>
      <c r="H497" t="n">
        <v>0</v>
      </c>
      <c r="I497" t="n">
        <v>0</v>
      </c>
      <c r="J497" t="n">
        <v>0</v>
      </c>
      <c r="K497" t="n">
        <v>0</v>
      </c>
      <c r="L497" t="n">
        <v>0</v>
      </c>
      <c r="M497" t="n">
        <v>0</v>
      </c>
      <c r="N497" t="n">
        <v>0</v>
      </c>
      <c r="O497" t="n">
        <v>0</v>
      </c>
      <c r="P497" t="n">
        <v>0</v>
      </c>
      <c r="Q497" t="n">
        <v>0</v>
      </c>
      <c r="R497" s="2" t="inlineStr"/>
    </row>
    <row r="498" ht="15" customHeight="1">
      <c r="A498" t="inlineStr">
        <is>
          <t>A 27510-2025</t>
        </is>
      </c>
      <c r="B498" s="1" t="n">
        <v>45813.42790509259</v>
      </c>
      <c r="C498" s="1" t="n">
        <v>45917</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58193-2022</t>
        </is>
      </c>
      <c r="B499" s="1" t="n">
        <v>44900.95700231481</v>
      </c>
      <c r="C499" s="1" t="n">
        <v>45917</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37324-2022</t>
        </is>
      </c>
      <c r="B500" s="1" t="n">
        <v>44806</v>
      </c>
      <c r="C500" s="1" t="n">
        <v>45917</v>
      </c>
      <c r="D500" t="inlineStr">
        <is>
          <t>JÄMTLANDS LÄN</t>
        </is>
      </c>
      <c r="E500" t="inlineStr">
        <is>
          <t>RAGUNDA</t>
        </is>
      </c>
      <c r="G500" t="n">
        <v>2.3</v>
      </c>
      <c r="H500" t="n">
        <v>0</v>
      </c>
      <c r="I500" t="n">
        <v>0</v>
      </c>
      <c r="J500" t="n">
        <v>0</v>
      </c>
      <c r="K500" t="n">
        <v>0</v>
      </c>
      <c r="L500" t="n">
        <v>0</v>
      </c>
      <c r="M500" t="n">
        <v>0</v>
      </c>
      <c r="N500" t="n">
        <v>0</v>
      </c>
      <c r="O500" t="n">
        <v>0</v>
      </c>
      <c r="P500" t="n">
        <v>0</v>
      </c>
      <c r="Q500" t="n">
        <v>0</v>
      </c>
      <c r="R500" s="2" t="inlineStr"/>
    </row>
    <row r="501" ht="15" customHeight="1">
      <c r="A501" t="inlineStr">
        <is>
          <t>A 18194-2025</t>
        </is>
      </c>
      <c r="B501" s="1" t="n">
        <v>45761.67744212963</v>
      </c>
      <c r="C501" s="1" t="n">
        <v>45917</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18989-2025</t>
        </is>
      </c>
      <c r="B502" s="1" t="n">
        <v>45764</v>
      </c>
      <c r="C502" s="1" t="n">
        <v>45917</v>
      </c>
      <c r="D502" t="inlineStr">
        <is>
          <t>JÄMTLANDS LÄN</t>
        </is>
      </c>
      <c r="E502" t="inlineStr">
        <is>
          <t>RAGUNDA</t>
        </is>
      </c>
      <c r="G502" t="n">
        <v>0.9</v>
      </c>
      <c r="H502" t="n">
        <v>0</v>
      </c>
      <c r="I502" t="n">
        <v>0</v>
      </c>
      <c r="J502" t="n">
        <v>0</v>
      </c>
      <c r="K502" t="n">
        <v>0</v>
      </c>
      <c r="L502" t="n">
        <v>0</v>
      </c>
      <c r="M502" t="n">
        <v>0</v>
      </c>
      <c r="N502" t="n">
        <v>0</v>
      </c>
      <c r="O502" t="n">
        <v>0</v>
      </c>
      <c r="P502" t="n">
        <v>0</v>
      </c>
      <c r="Q502" t="n">
        <v>0</v>
      </c>
      <c r="R502" s="2" t="inlineStr"/>
    </row>
    <row r="503" ht="15" customHeight="1">
      <c r="A503" t="inlineStr">
        <is>
          <t>A 26991-2023</t>
        </is>
      </c>
      <c r="B503" s="1" t="n">
        <v>45093.92207175926</v>
      </c>
      <c r="C503" s="1" t="n">
        <v>45917</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13299-2024</t>
        </is>
      </c>
      <c r="B504" s="1" t="n">
        <v>45386.68003472222</v>
      </c>
      <c r="C504" s="1" t="n">
        <v>45917</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58537-2022</t>
        </is>
      </c>
      <c r="B505" s="1" t="n">
        <v>44894</v>
      </c>
      <c r="C505" s="1" t="n">
        <v>45917</v>
      </c>
      <c r="D505" t="inlineStr">
        <is>
          <t>JÄMTLANDS LÄN</t>
        </is>
      </c>
      <c r="E505" t="inlineStr">
        <is>
          <t>RAGUNDA</t>
        </is>
      </c>
      <c r="G505" t="n">
        <v>1.2</v>
      </c>
      <c r="H505" t="n">
        <v>0</v>
      </c>
      <c r="I505" t="n">
        <v>0</v>
      </c>
      <c r="J505" t="n">
        <v>0</v>
      </c>
      <c r="K505" t="n">
        <v>0</v>
      </c>
      <c r="L505" t="n">
        <v>0</v>
      </c>
      <c r="M505" t="n">
        <v>0</v>
      </c>
      <c r="N505" t="n">
        <v>0</v>
      </c>
      <c r="O505" t="n">
        <v>0</v>
      </c>
      <c r="P505" t="n">
        <v>0</v>
      </c>
      <c r="Q505" t="n">
        <v>0</v>
      </c>
      <c r="R505" s="2" t="inlineStr"/>
    </row>
    <row r="506" ht="15" customHeight="1">
      <c r="A506" t="inlineStr">
        <is>
          <t>A 53347-2023</t>
        </is>
      </c>
      <c r="B506" s="1" t="n">
        <v>45223</v>
      </c>
      <c r="C506" s="1" t="n">
        <v>45917</v>
      </c>
      <c r="D506" t="inlineStr">
        <is>
          <t>JÄMTLANDS LÄN</t>
        </is>
      </c>
      <c r="E506" t="inlineStr">
        <is>
          <t>RAGUNDA</t>
        </is>
      </c>
      <c r="G506" t="n">
        <v>1.6</v>
      </c>
      <c r="H506" t="n">
        <v>0</v>
      </c>
      <c r="I506" t="n">
        <v>0</v>
      </c>
      <c r="J506" t="n">
        <v>0</v>
      </c>
      <c r="K506" t="n">
        <v>0</v>
      </c>
      <c r="L506" t="n">
        <v>0</v>
      </c>
      <c r="M506" t="n">
        <v>0</v>
      </c>
      <c r="N506" t="n">
        <v>0</v>
      </c>
      <c r="O506" t="n">
        <v>0</v>
      </c>
      <c r="P506" t="n">
        <v>0</v>
      </c>
      <c r="Q506" t="n">
        <v>0</v>
      </c>
      <c r="R506" s="2" t="inlineStr"/>
    </row>
    <row r="507" ht="15" customHeight="1">
      <c r="A507" t="inlineStr">
        <is>
          <t>A 22948-2024</t>
        </is>
      </c>
      <c r="B507" s="1" t="n">
        <v>45448.94600694445</v>
      </c>
      <c r="C507" s="1" t="n">
        <v>45917</v>
      </c>
      <c r="D507" t="inlineStr">
        <is>
          <t>JÄMTLANDS LÄN</t>
        </is>
      </c>
      <c r="E507" t="inlineStr">
        <is>
          <t>RAGUNDA</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49648-2023</t>
        </is>
      </c>
      <c r="B508" s="1" t="n">
        <v>45211.95061342593</v>
      </c>
      <c r="C508" s="1" t="n">
        <v>45917</v>
      </c>
      <c r="D508" t="inlineStr">
        <is>
          <t>JÄMTLANDS LÄN</t>
        </is>
      </c>
      <c r="E508" t="inlineStr">
        <is>
          <t>RAGUNDA</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53678-2022</t>
        </is>
      </c>
      <c r="B509" s="1" t="n">
        <v>44879.95768518518</v>
      </c>
      <c r="C509" s="1" t="n">
        <v>45917</v>
      </c>
      <c r="D509" t="inlineStr">
        <is>
          <t>JÄMTLANDS LÄN</t>
        </is>
      </c>
      <c r="E509" t="inlineStr">
        <is>
          <t>RAGUNDA</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14369-2024</t>
        </is>
      </c>
      <c r="B510" s="1" t="n">
        <v>45393.94459490741</v>
      </c>
      <c r="C510" s="1" t="n">
        <v>45917</v>
      </c>
      <c r="D510" t="inlineStr">
        <is>
          <t>JÄMTLANDS LÄN</t>
        </is>
      </c>
      <c r="E510" t="inlineStr">
        <is>
          <t>RAGUNDA</t>
        </is>
      </c>
      <c r="F510" t="inlineStr">
        <is>
          <t>Naturvårdsverket</t>
        </is>
      </c>
      <c r="G510" t="n">
        <v>1.8</v>
      </c>
      <c r="H510" t="n">
        <v>0</v>
      </c>
      <c r="I510" t="n">
        <v>0</v>
      </c>
      <c r="J510" t="n">
        <v>0</v>
      </c>
      <c r="K510" t="n">
        <v>0</v>
      </c>
      <c r="L510" t="n">
        <v>0</v>
      </c>
      <c r="M510" t="n">
        <v>0</v>
      </c>
      <c r="N510" t="n">
        <v>0</v>
      </c>
      <c r="O510" t="n">
        <v>0</v>
      </c>
      <c r="P510" t="n">
        <v>0</v>
      </c>
      <c r="Q510" t="n">
        <v>0</v>
      </c>
      <c r="R510" s="2" t="inlineStr"/>
    </row>
    <row r="511" ht="15" customHeight="1">
      <c r="A511" t="inlineStr">
        <is>
          <t>A 10639-2024</t>
        </is>
      </c>
      <c r="B511" s="1" t="n">
        <v>45367.67256944445</v>
      </c>
      <c r="C511" s="1" t="n">
        <v>45917</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19727-2025</t>
        </is>
      </c>
      <c r="B512" s="1" t="n">
        <v>45771.36538194444</v>
      </c>
      <c r="C512" s="1" t="n">
        <v>45917</v>
      </c>
      <c r="D512" t="inlineStr">
        <is>
          <t>JÄMTLANDS LÄN</t>
        </is>
      </c>
      <c r="E512" t="inlineStr">
        <is>
          <t>RAGUNDA</t>
        </is>
      </c>
      <c r="F512" t="inlineStr">
        <is>
          <t>SCA</t>
        </is>
      </c>
      <c r="G512" t="n">
        <v>9</v>
      </c>
      <c r="H512" t="n">
        <v>0</v>
      </c>
      <c r="I512" t="n">
        <v>0</v>
      </c>
      <c r="J512" t="n">
        <v>0</v>
      </c>
      <c r="K512" t="n">
        <v>0</v>
      </c>
      <c r="L512" t="n">
        <v>0</v>
      </c>
      <c r="M512" t="n">
        <v>0</v>
      </c>
      <c r="N512" t="n">
        <v>0</v>
      </c>
      <c r="O512" t="n">
        <v>0</v>
      </c>
      <c r="P512" t="n">
        <v>0</v>
      </c>
      <c r="Q512" t="n">
        <v>0</v>
      </c>
      <c r="R512" s="2" t="inlineStr"/>
    </row>
    <row r="513" ht="15" customHeight="1">
      <c r="A513" t="inlineStr">
        <is>
          <t>A 28216-2025</t>
        </is>
      </c>
      <c r="B513" s="1" t="n">
        <v>45818.46898148148</v>
      </c>
      <c r="C513" s="1" t="n">
        <v>45917</v>
      </c>
      <c r="D513" t="inlineStr">
        <is>
          <t>JÄMTLANDS LÄN</t>
        </is>
      </c>
      <c r="E513" t="inlineStr">
        <is>
          <t>RAGUNDA</t>
        </is>
      </c>
      <c r="G513" t="n">
        <v>6.6</v>
      </c>
      <c r="H513" t="n">
        <v>0</v>
      </c>
      <c r="I513" t="n">
        <v>0</v>
      </c>
      <c r="J513" t="n">
        <v>0</v>
      </c>
      <c r="K513" t="n">
        <v>0</v>
      </c>
      <c r="L513" t="n">
        <v>0</v>
      </c>
      <c r="M513" t="n">
        <v>0</v>
      </c>
      <c r="N513" t="n">
        <v>0</v>
      </c>
      <c r="O513" t="n">
        <v>0</v>
      </c>
      <c r="P513" t="n">
        <v>0</v>
      </c>
      <c r="Q513" t="n">
        <v>0</v>
      </c>
      <c r="R513" s="2" t="inlineStr"/>
    </row>
    <row r="514" ht="15" customHeight="1">
      <c r="A514" t="inlineStr">
        <is>
          <t>A 62106-2023</t>
        </is>
      </c>
      <c r="B514" s="1" t="n">
        <v>45266.95082175926</v>
      </c>
      <c r="C514" s="1" t="n">
        <v>45917</v>
      </c>
      <c r="D514" t="inlineStr">
        <is>
          <t>JÄMTLANDS LÄN</t>
        </is>
      </c>
      <c r="E514" t="inlineStr">
        <is>
          <t>RAGUNDA</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58194-2022</t>
        </is>
      </c>
      <c r="B515" s="1" t="n">
        <v>44900</v>
      </c>
      <c r="C515" s="1" t="n">
        <v>45917</v>
      </c>
      <c r="D515" t="inlineStr">
        <is>
          <t>JÄMTLANDS LÄN</t>
        </is>
      </c>
      <c r="E515" t="inlineStr">
        <is>
          <t>RAGUNDA</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4592-2024</t>
        </is>
      </c>
      <c r="B516" s="1" t="n">
        <v>45327.94443287037</v>
      </c>
      <c r="C516" s="1" t="n">
        <v>45917</v>
      </c>
      <c r="D516" t="inlineStr">
        <is>
          <t>JÄMTLANDS LÄN</t>
        </is>
      </c>
      <c r="E516" t="inlineStr">
        <is>
          <t>RAGUNDA</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42875-2024</t>
        </is>
      </c>
      <c r="B517" s="1" t="n">
        <v>45566.68125</v>
      </c>
      <c r="C517" s="1" t="n">
        <v>45917</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15864-2024</t>
        </is>
      </c>
      <c r="B518" s="1" t="n">
        <v>45404.99792824074</v>
      </c>
      <c r="C518" s="1" t="n">
        <v>45917</v>
      </c>
      <c r="D518" t="inlineStr">
        <is>
          <t>JÄMTLANDS LÄN</t>
        </is>
      </c>
      <c r="E518" t="inlineStr">
        <is>
          <t>RAGUNDA</t>
        </is>
      </c>
      <c r="F518" t="inlineStr">
        <is>
          <t>SCA</t>
        </is>
      </c>
      <c r="G518" t="n">
        <v>1.1</v>
      </c>
      <c r="H518" t="n">
        <v>0</v>
      </c>
      <c r="I518" t="n">
        <v>0</v>
      </c>
      <c r="J518" t="n">
        <v>0</v>
      </c>
      <c r="K518" t="n">
        <v>0</v>
      </c>
      <c r="L518" t="n">
        <v>0</v>
      </c>
      <c r="M518" t="n">
        <v>0</v>
      </c>
      <c r="N518" t="n">
        <v>0</v>
      </c>
      <c r="O518" t="n">
        <v>0</v>
      </c>
      <c r="P518" t="n">
        <v>0</v>
      </c>
      <c r="Q518" t="n">
        <v>0</v>
      </c>
      <c r="R518" s="2" t="inlineStr"/>
      <c r="U518">
        <f>HYPERLINK("https://klasma.github.io/Logging_2303/knärot/A 15864-2024 karta knärot.png", "A 15864-2024")</f>
        <v/>
      </c>
      <c r="V518">
        <f>HYPERLINK("https://klasma.github.io/Logging_2303/klagomål/A 15864-2024 FSC-klagomål.docx", "A 15864-2024")</f>
        <v/>
      </c>
      <c r="W518">
        <f>HYPERLINK("https://klasma.github.io/Logging_2303/klagomålsmail/A 15864-2024 FSC-klagomål mail.docx", "A 15864-2024")</f>
        <v/>
      </c>
      <c r="X518">
        <f>HYPERLINK("https://klasma.github.io/Logging_2303/tillsyn/A 15864-2024 tillsynsbegäran.docx", "A 15864-2024")</f>
        <v/>
      </c>
      <c r="Y518">
        <f>HYPERLINK("https://klasma.github.io/Logging_2303/tillsynsmail/A 15864-2024 tillsynsbegäran mail.docx", "A 15864-2024")</f>
        <v/>
      </c>
    </row>
    <row r="519" ht="15" customHeight="1">
      <c r="A519" t="inlineStr">
        <is>
          <t>A 4015-2022</t>
        </is>
      </c>
      <c r="B519" s="1" t="n">
        <v>44587.92149305555</v>
      </c>
      <c r="C519" s="1" t="n">
        <v>45917</v>
      </c>
      <c r="D519" t="inlineStr">
        <is>
          <t>JÄMTLANDS LÄN</t>
        </is>
      </c>
      <c r="E519" t="inlineStr">
        <is>
          <t>RAGUNDA</t>
        </is>
      </c>
      <c r="G519" t="n">
        <v>3.9</v>
      </c>
      <c r="H519" t="n">
        <v>0</v>
      </c>
      <c r="I519" t="n">
        <v>0</v>
      </c>
      <c r="J519" t="n">
        <v>0</v>
      </c>
      <c r="K519" t="n">
        <v>0</v>
      </c>
      <c r="L519" t="n">
        <v>0</v>
      </c>
      <c r="M519" t="n">
        <v>0</v>
      </c>
      <c r="N519" t="n">
        <v>0</v>
      </c>
      <c r="O519" t="n">
        <v>0</v>
      </c>
      <c r="P519" t="n">
        <v>0</v>
      </c>
      <c r="Q519" t="n">
        <v>0</v>
      </c>
      <c r="R519" s="2" t="inlineStr"/>
    </row>
    <row r="520" ht="15" customHeight="1">
      <c r="A520" t="inlineStr">
        <is>
          <t>A 2599-2023</t>
        </is>
      </c>
      <c r="B520" s="1" t="n">
        <v>44943.94802083333</v>
      </c>
      <c r="C520" s="1" t="n">
        <v>45917</v>
      </c>
      <c r="D520" t="inlineStr">
        <is>
          <t>JÄMTLANDS LÄN</t>
        </is>
      </c>
      <c r="E520" t="inlineStr">
        <is>
          <t>RAGUNDA</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18984-2023</t>
        </is>
      </c>
      <c r="B521" s="1" t="n">
        <v>45044</v>
      </c>
      <c r="C521" s="1" t="n">
        <v>45917</v>
      </c>
      <c r="D521" t="inlineStr">
        <is>
          <t>JÄMTLANDS LÄN</t>
        </is>
      </c>
      <c r="E521" t="inlineStr">
        <is>
          <t>RAGUNDA</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8241-2024</t>
        </is>
      </c>
      <c r="B522" s="1" t="n">
        <v>45351.98496527778</v>
      </c>
      <c r="C522" s="1" t="n">
        <v>45917</v>
      </c>
      <c r="D522" t="inlineStr">
        <is>
          <t>JÄMTLANDS LÄN</t>
        </is>
      </c>
      <c r="E522" t="inlineStr">
        <is>
          <t>RAGUNDA</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14512-2025</t>
        </is>
      </c>
      <c r="B523" s="1" t="n">
        <v>45741.63659722222</v>
      </c>
      <c r="C523" s="1" t="n">
        <v>45917</v>
      </c>
      <c r="D523" t="inlineStr">
        <is>
          <t>JÄMTLANDS LÄN</t>
        </is>
      </c>
      <c r="E523" t="inlineStr">
        <is>
          <t>RAGUNDA</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59044-2022</t>
        </is>
      </c>
      <c r="B524" s="1" t="n">
        <v>44903</v>
      </c>
      <c r="C524" s="1" t="n">
        <v>45917</v>
      </c>
      <c r="D524" t="inlineStr">
        <is>
          <t>JÄMTLANDS LÄN</t>
        </is>
      </c>
      <c r="E524" t="inlineStr">
        <is>
          <t>RAGUNDA</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28637-2025</t>
        </is>
      </c>
      <c r="B525" s="1" t="n">
        <v>45819.6359375</v>
      </c>
      <c r="C525" s="1" t="n">
        <v>45917</v>
      </c>
      <c r="D525" t="inlineStr">
        <is>
          <t>JÄMTLANDS LÄN</t>
        </is>
      </c>
      <c r="E525" t="inlineStr">
        <is>
          <t>RAGUNDA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4014-2022</t>
        </is>
      </c>
      <c r="B526" s="1" t="n">
        <v>44587.92144675926</v>
      </c>
      <c r="C526" s="1" t="n">
        <v>45917</v>
      </c>
      <c r="D526" t="inlineStr">
        <is>
          <t>JÄMTLANDS LÄN</t>
        </is>
      </c>
      <c r="E526" t="inlineStr">
        <is>
          <t>RAGUNDA</t>
        </is>
      </c>
      <c r="G526" t="n">
        <v>3.6</v>
      </c>
      <c r="H526" t="n">
        <v>0</v>
      </c>
      <c r="I526" t="n">
        <v>0</v>
      </c>
      <c r="J526" t="n">
        <v>0</v>
      </c>
      <c r="K526" t="n">
        <v>0</v>
      </c>
      <c r="L526" t="n">
        <v>0</v>
      </c>
      <c r="M526" t="n">
        <v>0</v>
      </c>
      <c r="N526" t="n">
        <v>0</v>
      </c>
      <c r="O526" t="n">
        <v>0</v>
      </c>
      <c r="P526" t="n">
        <v>0</v>
      </c>
      <c r="Q526" t="n">
        <v>0</v>
      </c>
      <c r="R526" s="2" t="inlineStr"/>
    </row>
    <row r="527" ht="15" customHeight="1">
      <c r="A527" t="inlineStr">
        <is>
          <t>A 8243-2024</t>
        </is>
      </c>
      <c r="B527" s="1" t="n">
        <v>45351.98532407408</v>
      </c>
      <c r="C527" s="1" t="n">
        <v>45917</v>
      </c>
      <c r="D527" t="inlineStr">
        <is>
          <t>JÄMTLANDS LÄN</t>
        </is>
      </c>
      <c r="E527" t="inlineStr">
        <is>
          <t>RAGUNDA</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6902-2024</t>
        </is>
      </c>
      <c r="B528" s="1" t="n">
        <v>45342</v>
      </c>
      <c r="C528" s="1" t="n">
        <v>45917</v>
      </c>
      <c r="D528" t="inlineStr">
        <is>
          <t>JÄMTLANDS LÄN</t>
        </is>
      </c>
      <c r="E528" t="inlineStr">
        <is>
          <t>RAGUNDA</t>
        </is>
      </c>
      <c r="F528" t="inlineStr">
        <is>
          <t>SCA</t>
        </is>
      </c>
      <c r="G528" t="n">
        <v>18.7</v>
      </c>
      <c r="H528" t="n">
        <v>0</v>
      </c>
      <c r="I528" t="n">
        <v>0</v>
      </c>
      <c r="J528" t="n">
        <v>0</v>
      </c>
      <c r="K528" t="n">
        <v>0</v>
      </c>
      <c r="L528" t="n">
        <v>0</v>
      </c>
      <c r="M528" t="n">
        <v>0</v>
      </c>
      <c r="N528" t="n">
        <v>0</v>
      </c>
      <c r="O528" t="n">
        <v>0</v>
      </c>
      <c r="P528" t="n">
        <v>0</v>
      </c>
      <c r="Q528" t="n">
        <v>0</v>
      </c>
      <c r="R528" s="2" t="inlineStr"/>
    </row>
    <row r="529" ht="15" customHeight="1">
      <c r="A529" t="inlineStr">
        <is>
          <t>A 6905-2024</t>
        </is>
      </c>
      <c r="B529" s="1" t="n">
        <v>45342.9462037037</v>
      </c>
      <c r="C529" s="1" t="n">
        <v>45917</v>
      </c>
      <c r="D529" t="inlineStr">
        <is>
          <t>JÄMTLANDS LÄN</t>
        </is>
      </c>
      <c r="E529" t="inlineStr">
        <is>
          <t>RAGUNDA</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50649-2022</t>
        </is>
      </c>
      <c r="B530" s="1" t="n">
        <v>44866</v>
      </c>
      <c r="C530" s="1" t="n">
        <v>45917</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53019-2023</t>
        </is>
      </c>
      <c r="B531" s="1" t="n">
        <v>45222</v>
      </c>
      <c r="C531" s="1" t="n">
        <v>45917</v>
      </c>
      <c r="D531" t="inlineStr">
        <is>
          <t>JÄMTLANDS LÄN</t>
        </is>
      </c>
      <c r="E531" t="inlineStr">
        <is>
          <t>RAGUNDA</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59996-2023</t>
        </is>
      </c>
      <c r="B532" s="1" t="n">
        <v>45257.92826388889</v>
      </c>
      <c r="C532" s="1" t="n">
        <v>45917</v>
      </c>
      <c r="D532" t="inlineStr">
        <is>
          <t>JÄMTLANDS LÄN</t>
        </is>
      </c>
      <c r="E532" t="inlineStr">
        <is>
          <t>RAGUNDA</t>
        </is>
      </c>
      <c r="G532" t="n">
        <v>2.7</v>
      </c>
      <c r="H532" t="n">
        <v>0</v>
      </c>
      <c r="I532" t="n">
        <v>0</v>
      </c>
      <c r="J532" t="n">
        <v>0</v>
      </c>
      <c r="K532" t="n">
        <v>0</v>
      </c>
      <c r="L532" t="n">
        <v>0</v>
      </c>
      <c r="M532" t="n">
        <v>0</v>
      </c>
      <c r="N532" t="n">
        <v>0</v>
      </c>
      <c r="O532" t="n">
        <v>0</v>
      </c>
      <c r="P532" t="n">
        <v>0</v>
      </c>
      <c r="Q532" t="n">
        <v>0</v>
      </c>
      <c r="R532" s="2" t="inlineStr"/>
    </row>
    <row r="533" ht="15" customHeight="1">
      <c r="A533" t="inlineStr">
        <is>
          <t>A 1537-2024</t>
        </is>
      </c>
      <c r="B533" s="1" t="n">
        <v>45306</v>
      </c>
      <c r="C533" s="1" t="n">
        <v>45917</v>
      </c>
      <c r="D533" t="inlineStr">
        <is>
          <t>JÄMTLANDS LÄN</t>
        </is>
      </c>
      <c r="E533" t="inlineStr">
        <is>
          <t>RAGUNDA</t>
        </is>
      </c>
      <c r="G533" t="n">
        <v>0.2</v>
      </c>
      <c r="H533" t="n">
        <v>0</v>
      </c>
      <c r="I533" t="n">
        <v>0</v>
      </c>
      <c r="J533" t="n">
        <v>0</v>
      </c>
      <c r="K533" t="n">
        <v>0</v>
      </c>
      <c r="L533" t="n">
        <v>0</v>
      </c>
      <c r="M533" t="n">
        <v>0</v>
      </c>
      <c r="N533" t="n">
        <v>0</v>
      </c>
      <c r="O533" t="n">
        <v>0</v>
      </c>
      <c r="P533" t="n">
        <v>0</v>
      </c>
      <c r="Q533" t="n">
        <v>0</v>
      </c>
      <c r="R533" s="2" t="inlineStr"/>
    </row>
    <row r="534" ht="15" customHeight="1">
      <c r="A534" t="inlineStr">
        <is>
          <t>A 53989-2024</t>
        </is>
      </c>
      <c r="B534" s="1" t="n">
        <v>45616.34479166667</v>
      </c>
      <c r="C534" s="1" t="n">
        <v>45917</v>
      </c>
      <c r="D534" t="inlineStr">
        <is>
          <t>JÄMTLANDS LÄN</t>
        </is>
      </c>
      <c r="E534" t="inlineStr">
        <is>
          <t>RAGUNDA</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42509-2023</t>
        </is>
      </c>
      <c r="B535" s="1" t="n">
        <v>45180</v>
      </c>
      <c r="C535" s="1" t="n">
        <v>45917</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42510-2023</t>
        </is>
      </c>
      <c r="B536" s="1" t="n">
        <v>45180.95927083334</v>
      </c>
      <c r="C536" s="1" t="n">
        <v>45917</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28973-2025</t>
        </is>
      </c>
      <c r="B537" s="1" t="n">
        <v>45821.34513888889</v>
      </c>
      <c r="C537" s="1" t="n">
        <v>45917</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11048-2023</t>
        </is>
      </c>
      <c r="B538" s="1" t="n">
        <v>44991</v>
      </c>
      <c r="C538" s="1" t="n">
        <v>45917</v>
      </c>
      <c r="D538" t="inlineStr">
        <is>
          <t>JÄMTLANDS LÄN</t>
        </is>
      </c>
      <c r="E538" t="inlineStr">
        <is>
          <t>RAGUNDA</t>
        </is>
      </c>
      <c r="F538" t="inlineStr">
        <is>
          <t>SCA</t>
        </is>
      </c>
      <c r="G538" t="n">
        <v>13.5</v>
      </c>
      <c r="H538" t="n">
        <v>0</v>
      </c>
      <c r="I538" t="n">
        <v>0</v>
      </c>
      <c r="J538" t="n">
        <v>0</v>
      </c>
      <c r="K538" t="n">
        <v>0</v>
      </c>
      <c r="L538" t="n">
        <v>0</v>
      </c>
      <c r="M538" t="n">
        <v>0</v>
      </c>
      <c r="N538" t="n">
        <v>0</v>
      </c>
      <c r="O538" t="n">
        <v>0</v>
      </c>
      <c r="P538" t="n">
        <v>0</v>
      </c>
      <c r="Q538" t="n">
        <v>0</v>
      </c>
      <c r="R538" s="2" t="inlineStr"/>
    </row>
    <row r="539" ht="15" customHeight="1">
      <c r="A539" t="inlineStr">
        <is>
          <t>A 29723-2025</t>
        </is>
      </c>
      <c r="B539" s="1" t="n">
        <v>45825.57675925926</v>
      </c>
      <c r="C539" s="1" t="n">
        <v>45917</v>
      </c>
      <c r="D539" t="inlineStr">
        <is>
          <t>JÄMTLANDS LÄN</t>
        </is>
      </c>
      <c r="E539" t="inlineStr">
        <is>
          <t>RAGUNDA</t>
        </is>
      </c>
      <c r="G539" t="n">
        <v>3.1</v>
      </c>
      <c r="H539" t="n">
        <v>0</v>
      </c>
      <c r="I539" t="n">
        <v>0</v>
      </c>
      <c r="J539" t="n">
        <v>0</v>
      </c>
      <c r="K539" t="n">
        <v>0</v>
      </c>
      <c r="L539" t="n">
        <v>0</v>
      </c>
      <c r="M539" t="n">
        <v>0</v>
      </c>
      <c r="N539" t="n">
        <v>0</v>
      </c>
      <c r="O539" t="n">
        <v>0</v>
      </c>
      <c r="P539" t="n">
        <v>0</v>
      </c>
      <c r="Q539" t="n">
        <v>0</v>
      </c>
      <c r="R539" s="2" t="inlineStr"/>
    </row>
    <row r="540" ht="15" customHeight="1">
      <c r="A540" t="inlineStr">
        <is>
          <t>A 29731-2025</t>
        </is>
      </c>
      <c r="B540" s="1" t="n">
        <v>45825.58252314815</v>
      </c>
      <c r="C540" s="1" t="n">
        <v>45917</v>
      </c>
      <c r="D540" t="inlineStr">
        <is>
          <t>JÄMTLANDS LÄN</t>
        </is>
      </c>
      <c r="E540" t="inlineStr">
        <is>
          <t>RAGUNDA</t>
        </is>
      </c>
      <c r="G540" t="n">
        <v>2.3</v>
      </c>
      <c r="H540" t="n">
        <v>0</v>
      </c>
      <c r="I540" t="n">
        <v>0</v>
      </c>
      <c r="J540" t="n">
        <v>0</v>
      </c>
      <c r="K540" t="n">
        <v>0</v>
      </c>
      <c r="L540" t="n">
        <v>0</v>
      </c>
      <c r="M540" t="n">
        <v>0</v>
      </c>
      <c r="N540" t="n">
        <v>0</v>
      </c>
      <c r="O540" t="n">
        <v>0</v>
      </c>
      <c r="P540" t="n">
        <v>0</v>
      </c>
      <c r="Q540" t="n">
        <v>0</v>
      </c>
      <c r="R540" s="2" t="inlineStr"/>
    </row>
    <row r="541" ht="15" customHeight="1">
      <c r="A541" t="inlineStr">
        <is>
          <t>A 60195-2023</t>
        </is>
      </c>
      <c r="B541" s="1" t="n">
        <v>45257</v>
      </c>
      <c r="C541" s="1" t="n">
        <v>45917</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29257-2024</t>
        </is>
      </c>
      <c r="B542" s="1" t="n">
        <v>45482.94815972223</v>
      </c>
      <c r="C542" s="1" t="n">
        <v>45917</v>
      </c>
      <c r="D542" t="inlineStr">
        <is>
          <t>JÄMTLANDS LÄN</t>
        </is>
      </c>
      <c r="E542" t="inlineStr">
        <is>
          <t>RAGUNDA</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61088-2020</t>
        </is>
      </c>
      <c r="B543" s="1" t="n">
        <v>44153</v>
      </c>
      <c r="C543" s="1" t="n">
        <v>45917</v>
      </c>
      <c r="D543" t="inlineStr">
        <is>
          <t>JÄMTLANDS LÄN</t>
        </is>
      </c>
      <c r="E543" t="inlineStr">
        <is>
          <t>RAGUNDA</t>
        </is>
      </c>
      <c r="G543" t="n">
        <v>1.2</v>
      </c>
      <c r="H543" t="n">
        <v>0</v>
      </c>
      <c r="I543" t="n">
        <v>0</v>
      </c>
      <c r="J543" t="n">
        <v>0</v>
      </c>
      <c r="K543" t="n">
        <v>0</v>
      </c>
      <c r="L543" t="n">
        <v>0</v>
      </c>
      <c r="M543" t="n">
        <v>0</v>
      </c>
      <c r="N543" t="n">
        <v>0</v>
      </c>
      <c r="O543" t="n">
        <v>0</v>
      </c>
      <c r="P543" t="n">
        <v>0</v>
      </c>
      <c r="Q543" t="n">
        <v>0</v>
      </c>
      <c r="R543" s="2" t="inlineStr"/>
    </row>
    <row r="544" ht="15" customHeight="1">
      <c r="A544" t="inlineStr">
        <is>
          <t>A 16364-2023</t>
        </is>
      </c>
      <c r="B544" s="1" t="n">
        <v>45028</v>
      </c>
      <c r="C544" s="1" t="n">
        <v>45917</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2819-2023</t>
        </is>
      </c>
      <c r="B545" s="1" t="n">
        <v>44944</v>
      </c>
      <c r="C545" s="1" t="n">
        <v>45917</v>
      </c>
      <c r="D545" t="inlineStr">
        <is>
          <t>JÄMTLANDS LÄN</t>
        </is>
      </c>
      <c r="E545" t="inlineStr">
        <is>
          <t>RAGUNDA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55487-2023</t>
        </is>
      </c>
      <c r="B546" s="1" t="n">
        <v>45238</v>
      </c>
      <c r="C546" s="1" t="n">
        <v>45917</v>
      </c>
      <c r="D546" t="inlineStr">
        <is>
          <t>JÄMTLANDS LÄN</t>
        </is>
      </c>
      <c r="E546" t="inlineStr">
        <is>
          <t>RAGUNDA</t>
        </is>
      </c>
      <c r="G546" t="n">
        <v>3</v>
      </c>
      <c r="H546" t="n">
        <v>0</v>
      </c>
      <c r="I546" t="n">
        <v>0</v>
      </c>
      <c r="J546" t="n">
        <v>0</v>
      </c>
      <c r="K546" t="n">
        <v>0</v>
      </c>
      <c r="L546" t="n">
        <v>0</v>
      </c>
      <c r="M546" t="n">
        <v>0</v>
      </c>
      <c r="N546" t="n">
        <v>0</v>
      </c>
      <c r="O546" t="n">
        <v>0</v>
      </c>
      <c r="P546" t="n">
        <v>0</v>
      </c>
      <c r="Q546" t="n">
        <v>0</v>
      </c>
      <c r="R546" s="2" t="inlineStr"/>
    </row>
    <row r="547" ht="15" customHeight="1">
      <c r="A547" t="inlineStr">
        <is>
          <t>A 29714-2025</t>
        </is>
      </c>
      <c r="B547" s="1" t="n">
        <v>45825.56762731481</v>
      </c>
      <c r="C547" s="1" t="n">
        <v>45917</v>
      </c>
      <c r="D547" t="inlineStr">
        <is>
          <t>JÄMTLANDS LÄN</t>
        </is>
      </c>
      <c r="E547" t="inlineStr">
        <is>
          <t>RAGUNDA</t>
        </is>
      </c>
      <c r="G547" t="n">
        <v>2.7</v>
      </c>
      <c r="H547" t="n">
        <v>0</v>
      </c>
      <c r="I547" t="n">
        <v>0</v>
      </c>
      <c r="J547" t="n">
        <v>0</v>
      </c>
      <c r="K547" t="n">
        <v>0</v>
      </c>
      <c r="L547" t="n">
        <v>0</v>
      </c>
      <c r="M547" t="n">
        <v>0</v>
      </c>
      <c r="N547" t="n">
        <v>0</v>
      </c>
      <c r="O547" t="n">
        <v>0</v>
      </c>
      <c r="P547" t="n">
        <v>0</v>
      </c>
      <c r="Q547" t="n">
        <v>0</v>
      </c>
      <c r="R547" s="2" t="inlineStr"/>
    </row>
    <row r="548" ht="15" customHeight="1">
      <c r="A548" t="inlineStr">
        <is>
          <t>A 30088-2025</t>
        </is>
      </c>
      <c r="B548" s="1" t="n">
        <v>45826.65759259259</v>
      </c>
      <c r="C548" s="1" t="n">
        <v>45917</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182-2023</t>
        </is>
      </c>
      <c r="B549" s="1" t="n">
        <v>44922</v>
      </c>
      <c r="C549" s="1" t="n">
        <v>45917</v>
      </c>
      <c r="D549" t="inlineStr">
        <is>
          <t>JÄMTLANDS LÄN</t>
        </is>
      </c>
      <c r="E549" t="inlineStr">
        <is>
          <t>RAGUNDA</t>
        </is>
      </c>
      <c r="G549" t="n">
        <v>1.4</v>
      </c>
      <c r="H549" t="n">
        <v>0</v>
      </c>
      <c r="I549" t="n">
        <v>0</v>
      </c>
      <c r="J549" t="n">
        <v>0</v>
      </c>
      <c r="K549" t="n">
        <v>0</v>
      </c>
      <c r="L549" t="n">
        <v>0</v>
      </c>
      <c r="M549" t="n">
        <v>0</v>
      </c>
      <c r="N549" t="n">
        <v>0</v>
      </c>
      <c r="O549" t="n">
        <v>0</v>
      </c>
      <c r="P549" t="n">
        <v>0</v>
      </c>
      <c r="Q549" t="n">
        <v>0</v>
      </c>
      <c r="R549" s="2" t="inlineStr"/>
    </row>
    <row r="550" ht="15" customHeight="1">
      <c r="A550" t="inlineStr">
        <is>
          <t>A 66011-2021</t>
        </is>
      </c>
      <c r="B550" s="1" t="n">
        <v>44517.58137731482</v>
      </c>
      <c r="C550" s="1" t="n">
        <v>45917</v>
      </c>
      <c r="D550" t="inlineStr">
        <is>
          <t>JÄMTLANDS LÄN</t>
        </is>
      </c>
      <c r="E550" t="inlineStr">
        <is>
          <t>RAGUNDA</t>
        </is>
      </c>
      <c r="G550" t="n">
        <v>1.1</v>
      </c>
      <c r="H550" t="n">
        <v>0</v>
      </c>
      <c r="I550" t="n">
        <v>0</v>
      </c>
      <c r="J550" t="n">
        <v>0</v>
      </c>
      <c r="K550" t="n">
        <v>0</v>
      </c>
      <c r="L550" t="n">
        <v>0</v>
      </c>
      <c r="M550" t="n">
        <v>0</v>
      </c>
      <c r="N550" t="n">
        <v>0</v>
      </c>
      <c r="O550" t="n">
        <v>0</v>
      </c>
      <c r="P550" t="n">
        <v>0</v>
      </c>
      <c r="Q550" t="n">
        <v>0</v>
      </c>
      <c r="R550" s="2" t="inlineStr"/>
    </row>
    <row r="551" ht="15" customHeight="1">
      <c r="A551" t="inlineStr">
        <is>
          <t>A 20770-2024</t>
        </is>
      </c>
      <c r="B551" s="1" t="n">
        <v>45436.94613425926</v>
      </c>
      <c r="C551" s="1" t="n">
        <v>45917</v>
      </c>
      <c r="D551" t="inlineStr">
        <is>
          <t>JÄMTLANDS LÄN</t>
        </is>
      </c>
      <c r="E551" t="inlineStr">
        <is>
          <t>RAGUNDA</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31463-2024</t>
        </is>
      </c>
      <c r="B552" s="1" t="n">
        <v>45505</v>
      </c>
      <c r="C552" s="1" t="n">
        <v>45917</v>
      </c>
      <c r="D552" t="inlineStr">
        <is>
          <t>JÄMTLANDS LÄN</t>
        </is>
      </c>
      <c r="E552" t="inlineStr">
        <is>
          <t>RAGUNDA</t>
        </is>
      </c>
      <c r="F552" t="inlineStr">
        <is>
          <t>SCA</t>
        </is>
      </c>
      <c r="G552" t="n">
        <v>20.3</v>
      </c>
      <c r="H552" t="n">
        <v>0</v>
      </c>
      <c r="I552" t="n">
        <v>0</v>
      </c>
      <c r="J552" t="n">
        <v>0</v>
      </c>
      <c r="K552" t="n">
        <v>0</v>
      </c>
      <c r="L552" t="n">
        <v>0</v>
      </c>
      <c r="M552" t="n">
        <v>0</v>
      </c>
      <c r="N552" t="n">
        <v>0</v>
      </c>
      <c r="O552" t="n">
        <v>0</v>
      </c>
      <c r="P552" t="n">
        <v>0</v>
      </c>
      <c r="Q552" t="n">
        <v>0</v>
      </c>
      <c r="R552" s="2" t="inlineStr"/>
    </row>
    <row r="553" ht="15" customHeight="1">
      <c r="A553" t="inlineStr">
        <is>
          <t>A 46549-2023</t>
        </is>
      </c>
      <c r="B553" s="1" t="n">
        <v>45197.94171296297</v>
      </c>
      <c r="C553" s="1" t="n">
        <v>45917</v>
      </c>
      <c r="D553" t="inlineStr">
        <is>
          <t>JÄMTLANDS LÄN</t>
        </is>
      </c>
      <c r="E553" t="inlineStr">
        <is>
          <t>RAGUNDA</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32904-2024</t>
        </is>
      </c>
      <c r="B554" s="1" t="n">
        <v>45516.94732638889</v>
      </c>
      <c r="C554" s="1" t="n">
        <v>45917</v>
      </c>
      <c r="D554" t="inlineStr">
        <is>
          <t>JÄMTLANDS LÄN</t>
        </is>
      </c>
      <c r="E554" t="inlineStr">
        <is>
          <t>RAGUNDA</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30348-2025</t>
        </is>
      </c>
      <c r="B555" s="1" t="n">
        <v>45827.53178240741</v>
      </c>
      <c r="C555" s="1" t="n">
        <v>45917</v>
      </c>
      <c r="D555" t="inlineStr">
        <is>
          <t>JÄMTLANDS LÄN</t>
        </is>
      </c>
      <c r="E555" t="inlineStr">
        <is>
          <t>RAGUNDA</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30434-2025</t>
        </is>
      </c>
      <c r="B556" s="1" t="n">
        <v>45827.63582175926</v>
      </c>
      <c r="C556" s="1" t="n">
        <v>45917</v>
      </c>
      <c r="D556" t="inlineStr">
        <is>
          <t>JÄMTLANDS LÄN</t>
        </is>
      </c>
      <c r="E556" t="inlineStr">
        <is>
          <t>RAGUNDA</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19383-2025</t>
        </is>
      </c>
      <c r="B557" s="1" t="n">
        <v>45769.65688657408</v>
      </c>
      <c r="C557" s="1" t="n">
        <v>45917</v>
      </c>
      <c r="D557" t="inlineStr">
        <is>
          <t>JÄMTLANDS LÄN</t>
        </is>
      </c>
      <c r="E557" t="inlineStr">
        <is>
          <t>RAGUNDA</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30883-2025</t>
        </is>
      </c>
      <c r="B558" s="1" t="n">
        <v>45832.34552083333</v>
      </c>
      <c r="C558" s="1" t="n">
        <v>45917</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12783-2023</t>
        </is>
      </c>
      <c r="B559" s="1" t="n">
        <v>45000</v>
      </c>
      <c r="C559" s="1" t="n">
        <v>45917</v>
      </c>
      <c r="D559" t="inlineStr">
        <is>
          <t>JÄMTLANDS LÄN</t>
        </is>
      </c>
      <c r="E559" t="inlineStr">
        <is>
          <t>RAGUNDA</t>
        </is>
      </c>
      <c r="G559" t="n">
        <v>0.9</v>
      </c>
      <c r="H559" t="n">
        <v>0</v>
      </c>
      <c r="I559" t="n">
        <v>0</v>
      </c>
      <c r="J559" t="n">
        <v>0</v>
      </c>
      <c r="K559" t="n">
        <v>0</v>
      </c>
      <c r="L559" t="n">
        <v>0</v>
      </c>
      <c r="M559" t="n">
        <v>0</v>
      </c>
      <c r="N559" t="n">
        <v>0</v>
      </c>
      <c r="O559" t="n">
        <v>0</v>
      </c>
      <c r="P559" t="n">
        <v>0</v>
      </c>
      <c r="Q559" t="n">
        <v>0</v>
      </c>
      <c r="R559" s="2" t="inlineStr"/>
    </row>
    <row r="560" ht="15" customHeight="1">
      <c r="A560" t="inlineStr">
        <is>
          <t>A 35153-2024</t>
        </is>
      </c>
      <c r="B560" s="1" t="n">
        <v>45530</v>
      </c>
      <c r="C560" s="1" t="n">
        <v>45917</v>
      </c>
      <c r="D560" t="inlineStr">
        <is>
          <t>JÄMTLANDS LÄN</t>
        </is>
      </c>
      <c r="E560" t="inlineStr">
        <is>
          <t>RAGUNDA</t>
        </is>
      </c>
      <c r="G560" t="n">
        <v>2.7</v>
      </c>
      <c r="H560" t="n">
        <v>0</v>
      </c>
      <c r="I560" t="n">
        <v>0</v>
      </c>
      <c r="J560" t="n">
        <v>0</v>
      </c>
      <c r="K560" t="n">
        <v>0</v>
      </c>
      <c r="L560" t="n">
        <v>0</v>
      </c>
      <c r="M560" t="n">
        <v>0</v>
      </c>
      <c r="N560" t="n">
        <v>0</v>
      </c>
      <c r="O560" t="n">
        <v>0</v>
      </c>
      <c r="P560" t="n">
        <v>0</v>
      </c>
      <c r="Q560" t="n">
        <v>0</v>
      </c>
      <c r="R560" s="2" t="inlineStr"/>
    </row>
    <row r="561" ht="15" customHeight="1">
      <c r="A561" t="inlineStr">
        <is>
          <t>A 55214-2022</t>
        </is>
      </c>
      <c r="B561" s="1" t="n">
        <v>44886</v>
      </c>
      <c r="C561" s="1" t="n">
        <v>45917</v>
      </c>
      <c r="D561" t="inlineStr">
        <is>
          <t>JÄMTLANDS LÄN</t>
        </is>
      </c>
      <c r="E561" t="inlineStr">
        <is>
          <t>RAGUNDA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61197-2023</t>
        </is>
      </c>
      <c r="B562" s="1" t="n">
        <v>45260</v>
      </c>
      <c r="C562" s="1" t="n">
        <v>45917</v>
      </c>
      <c r="D562" t="inlineStr">
        <is>
          <t>JÄMTLANDS LÄN</t>
        </is>
      </c>
      <c r="E562" t="inlineStr">
        <is>
          <t>RAGUNDA</t>
        </is>
      </c>
      <c r="G562" t="n">
        <v>2.5</v>
      </c>
      <c r="H562" t="n">
        <v>0</v>
      </c>
      <c r="I562" t="n">
        <v>0</v>
      </c>
      <c r="J562" t="n">
        <v>0</v>
      </c>
      <c r="K562" t="n">
        <v>0</v>
      </c>
      <c r="L562" t="n">
        <v>0</v>
      </c>
      <c r="M562" t="n">
        <v>0</v>
      </c>
      <c r="N562" t="n">
        <v>0</v>
      </c>
      <c r="O562" t="n">
        <v>0</v>
      </c>
      <c r="P562" t="n">
        <v>0</v>
      </c>
      <c r="Q562" t="n">
        <v>0</v>
      </c>
      <c r="R562" s="2" t="inlineStr"/>
    </row>
    <row r="563" ht="15" customHeight="1">
      <c r="A563" t="inlineStr">
        <is>
          <t>A 30880-2025</t>
        </is>
      </c>
      <c r="B563" s="1" t="n">
        <v>45832.34524305556</v>
      </c>
      <c r="C563" s="1" t="n">
        <v>45917</v>
      </c>
      <c r="D563" t="inlineStr">
        <is>
          <t>JÄMTLANDS LÄN</t>
        </is>
      </c>
      <c r="E563" t="inlineStr">
        <is>
          <t>RAGUNDA</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30887-2025</t>
        </is>
      </c>
      <c r="B564" s="1" t="n">
        <v>45832.3459375</v>
      </c>
      <c r="C564" s="1" t="n">
        <v>45917</v>
      </c>
      <c r="D564" t="inlineStr">
        <is>
          <t>JÄMTLANDS LÄN</t>
        </is>
      </c>
      <c r="E564" t="inlineStr">
        <is>
          <t>RAGUNDA</t>
        </is>
      </c>
      <c r="F564" t="inlineStr">
        <is>
          <t>SCA</t>
        </is>
      </c>
      <c r="G564" t="n">
        <v>10.1</v>
      </c>
      <c r="H564" t="n">
        <v>0</v>
      </c>
      <c r="I564" t="n">
        <v>0</v>
      </c>
      <c r="J564" t="n">
        <v>0</v>
      </c>
      <c r="K564" t="n">
        <v>0</v>
      </c>
      <c r="L564" t="n">
        <v>0</v>
      </c>
      <c r="M564" t="n">
        <v>0</v>
      </c>
      <c r="N564" t="n">
        <v>0</v>
      </c>
      <c r="O564" t="n">
        <v>0</v>
      </c>
      <c r="P564" t="n">
        <v>0</v>
      </c>
      <c r="Q564" t="n">
        <v>0</v>
      </c>
      <c r="R564" s="2" t="inlineStr"/>
    </row>
    <row r="565" ht="15" customHeight="1">
      <c r="A565" t="inlineStr">
        <is>
          <t>A 40246-2024</t>
        </is>
      </c>
      <c r="B565" s="1" t="n">
        <v>45554.61583333334</v>
      </c>
      <c r="C565" s="1" t="n">
        <v>45917</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23528-2024</t>
        </is>
      </c>
      <c r="B566" s="1" t="n">
        <v>45453.95016203704</v>
      </c>
      <c r="C566" s="1" t="n">
        <v>45917</v>
      </c>
      <c r="D566" t="inlineStr">
        <is>
          <t>JÄMTLANDS LÄN</t>
        </is>
      </c>
      <c r="E566" t="inlineStr">
        <is>
          <t>RAGUNDA</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31135-2023</t>
        </is>
      </c>
      <c r="B567" s="1" t="n">
        <v>45103</v>
      </c>
      <c r="C567" s="1" t="n">
        <v>45917</v>
      </c>
      <c r="D567" t="inlineStr">
        <is>
          <t>JÄMTLANDS LÄN</t>
        </is>
      </c>
      <c r="E567" t="inlineStr">
        <is>
          <t>RAGUNDA</t>
        </is>
      </c>
      <c r="G567" t="n">
        <v>0.9</v>
      </c>
      <c r="H567" t="n">
        <v>0</v>
      </c>
      <c r="I567" t="n">
        <v>0</v>
      </c>
      <c r="J567" t="n">
        <v>0</v>
      </c>
      <c r="K567" t="n">
        <v>0</v>
      </c>
      <c r="L567" t="n">
        <v>0</v>
      </c>
      <c r="M567" t="n">
        <v>0</v>
      </c>
      <c r="N567" t="n">
        <v>0</v>
      </c>
      <c r="O567" t="n">
        <v>0</v>
      </c>
      <c r="P567" t="n">
        <v>0</v>
      </c>
      <c r="Q567" t="n">
        <v>0</v>
      </c>
      <c r="R567" s="2" t="inlineStr"/>
    </row>
    <row r="568" ht="15" customHeight="1">
      <c r="A568" t="inlineStr">
        <is>
          <t>A 37292-2025</t>
        </is>
      </c>
      <c r="B568" s="1" t="n">
        <v>45876.53188657408</v>
      </c>
      <c r="C568" s="1" t="n">
        <v>45917</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22412-2024</t>
        </is>
      </c>
      <c r="B569" s="1" t="n">
        <v>45446.68947916666</v>
      </c>
      <c r="C569" s="1" t="n">
        <v>45917</v>
      </c>
      <c r="D569" t="inlineStr">
        <is>
          <t>JÄMTLANDS LÄN</t>
        </is>
      </c>
      <c r="E569" t="inlineStr">
        <is>
          <t>RAGUNDA</t>
        </is>
      </c>
      <c r="G569" t="n">
        <v>0.8</v>
      </c>
      <c r="H569" t="n">
        <v>0</v>
      </c>
      <c r="I569" t="n">
        <v>0</v>
      </c>
      <c r="J569" t="n">
        <v>0</v>
      </c>
      <c r="K569" t="n">
        <v>0</v>
      </c>
      <c r="L569" t="n">
        <v>0</v>
      </c>
      <c r="M569" t="n">
        <v>0</v>
      </c>
      <c r="N569" t="n">
        <v>0</v>
      </c>
      <c r="O569" t="n">
        <v>0</v>
      </c>
      <c r="P569" t="n">
        <v>0</v>
      </c>
      <c r="Q569" t="n">
        <v>0</v>
      </c>
      <c r="R569" s="2" t="inlineStr"/>
    </row>
    <row r="570" ht="15" customHeight="1">
      <c r="A570" t="inlineStr">
        <is>
          <t>A 24196-2024</t>
        </is>
      </c>
      <c r="B570" s="1" t="n">
        <v>45456.96569444444</v>
      </c>
      <c r="C570" s="1" t="n">
        <v>45917</v>
      </c>
      <c r="D570" t="inlineStr">
        <is>
          <t>JÄMTLANDS LÄN</t>
        </is>
      </c>
      <c r="E570" t="inlineStr">
        <is>
          <t>RAGUNDA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31882-2025</t>
        </is>
      </c>
      <c r="B571" s="1" t="n">
        <v>45834.65662037037</v>
      </c>
      <c r="C571" s="1" t="n">
        <v>45917</v>
      </c>
      <c r="D571" t="inlineStr">
        <is>
          <t>JÄMTLANDS LÄN</t>
        </is>
      </c>
      <c r="E571" t="inlineStr">
        <is>
          <t>RAGUNDA</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13767-2022</t>
        </is>
      </c>
      <c r="B572" s="1" t="n">
        <v>44649.47048611111</v>
      </c>
      <c r="C572" s="1" t="n">
        <v>45917</v>
      </c>
      <c r="D572" t="inlineStr">
        <is>
          <t>JÄMTLANDS LÄN</t>
        </is>
      </c>
      <c r="E572" t="inlineStr">
        <is>
          <t>RAGUNDA</t>
        </is>
      </c>
      <c r="F572" t="inlineStr">
        <is>
          <t>Kommuner</t>
        </is>
      </c>
      <c r="G572" t="n">
        <v>3.1</v>
      </c>
      <c r="H572" t="n">
        <v>0</v>
      </c>
      <c r="I572" t="n">
        <v>0</v>
      </c>
      <c r="J572" t="n">
        <v>0</v>
      </c>
      <c r="K572" t="n">
        <v>0</v>
      </c>
      <c r="L572" t="n">
        <v>0</v>
      </c>
      <c r="M572" t="n">
        <v>0</v>
      </c>
      <c r="N572" t="n">
        <v>0</v>
      </c>
      <c r="O572" t="n">
        <v>0</v>
      </c>
      <c r="P572" t="n">
        <v>0</v>
      </c>
      <c r="Q572" t="n">
        <v>0</v>
      </c>
      <c r="R572" s="2" t="inlineStr"/>
    </row>
    <row r="573" ht="15" customHeight="1">
      <c r="A573" t="inlineStr">
        <is>
          <t>A 21853-2024</t>
        </is>
      </c>
      <c r="B573" s="1" t="n">
        <v>45442.96296296296</v>
      </c>
      <c r="C573" s="1" t="n">
        <v>45917</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50160-2023</t>
        </is>
      </c>
      <c r="B574" s="1" t="n">
        <v>45208</v>
      </c>
      <c r="C574" s="1" t="n">
        <v>45917</v>
      </c>
      <c r="D574" t="inlineStr">
        <is>
          <t>JÄMTLANDS LÄN</t>
        </is>
      </c>
      <c r="E574" t="inlineStr">
        <is>
          <t>RAGUNDA</t>
        </is>
      </c>
      <c r="G574" t="n">
        <v>4.6</v>
      </c>
      <c r="H574" t="n">
        <v>0</v>
      </c>
      <c r="I574" t="n">
        <v>0</v>
      </c>
      <c r="J574" t="n">
        <v>0</v>
      </c>
      <c r="K574" t="n">
        <v>0</v>
      </c>
      <c r="L574" t="n">
        <v>0</v>
      </c>
      <c r="M574" t="n">
        <v>0</v>
      </c>
      <c r="N574" t="n">
        <v>0</v>
      </c>
      <c r="O574" t="n">
        <v>0</v>
      </c>
      <c r="P574" t="n">
        <v>0</v>
      </c>
      <c r="Q574" t="n">
        <v>0</v>
      </c>
      <c r="R574" s="2" t="inlineStr"/>
    </row>
    <row r="575" ht="15" customHeight="1">
      <c r="A575" t="inlineStr">
        <is>
          <t>A 29775-2023</t>
        </is>
      </c>
      <c r="B575" s="1" t="n">
        <v>45098</v>
      </c>
      <c r="C575" s="1" t="n">
        <v>45917</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22569-2023</t>
        </is>
      </c>
      <c r="B576" s="1" t="n">
        <v>45069</v>
      </c>
      <c r="C576" s="1" t="n">
        <v>45917</v>
      </c>
      <c r="D576" t="inlineStr">
        <is>
          <t>JÄMTLANDS LÄN</t>
        </is>
      </c>
      <c r="E576" t="inlineStr">
        <is>
          <t>RAGUNDA</t>
        </is>
      </c>
      <c r="G576" t="n">
        <v>6.6</v>
      </c>
      <c r="H576" t="n">
        <v>0</v>
      </c>
      <c r="I576" t="n">
        <v>0</v>
      </c>
      <c r="J576" t="n">
        <v>0</v>
      </c>
      <c r="K576" t="n">
        <v>0</v>
      </c>
      <c r="L576" t="n">
        <v>0</v>
      </c>
      <c r="M576" t="n">
        <v>0</v>
      </c>
      <c r="N576" t="n">
        <v>0</v>
      </c>
      <c r="O576" t="n">
        <v>0</v>
      </c>
      <c r="P576" t="n">
        <v>0</v>
      </c>
      <c r="Q576" t="n">
        <v>0</v>
      </c>
      <c r="R576" s="2" t="inlineStr"/>
    </row>
    <row r="577" ht="15" customHeight="1">
      <c r="A577" t="inlineStr">
        <is>
          <t>A 40365-2024</t>
        </is>
      </c>
      <c r="B577" s="1" t="n">
        <v>45555.38509259259</v>
      </c>
      <c r="C577" s="1" t="n">
        <v>45917</v>
      </c>
      <c r="D577" t="inlineStr">
        <is>
          <t>JÄMTLANDS LÄN</t>
        </is>
      </c>
      <c r="E577" t="inlineStr">
        <is>
          <t>RAGUNDA</t>
        </is>
      </c>
      <c r="G577" t="n">
        <v>7.8</v>
      </c>
      <c r="H577" t="n">
        <v>0</v>
      </c>
      <c r="I577" t="n">
        <v>0</v>
      </c>
      <c r="J577" t="n">
        <v>0</v>
      </c>
      <c r="K577" t="n">
        <v>0</v>
      </c>
      <c r="L577" t="n">
        <v>0</v>
      </c>
      <c r="M577" t="n">
        <v>0</v>
      </c>
      <c r="N577" t="n">
        <v>0</v>
      </c>
      <c r="O577" t="n">
        <v>0</v>
      </c>
      <c r="P577" t="n">
        <v>0</v>
      </c>
      <c r="Q577" t="n">
        <v>0</v>
      </c>
      <c r="R577" s="2" t="inlineStr"/>
    </row>
    <row r="578" ht="15" customHeight="1">
      <c r="A578" t="inlineStr">
        <is>
          <t>A 4212-2024</t>
        </is>
      </c>
      <c r="B578" s="1" t="n">
        <v>45324</v>
      </c>
      <c r="C578" s="1" t="n">
        <v>45917</v>
      </c>
      <c r="D578" t="inlineStr">
        <is>
          <t>JÄMTLANDS LÄN</t>
        </is>
      </c>
      <c r="E578" t="inlineStr">
        <is>
          <t>RAGUNDA</t>
        </is>
      </c>
      <c r="G578" t="n">
        <v>2</v>
      </c>
      <c r="H578" t="n">
        <v>0</v>
      </c>
      <c r="I578" t="n">
        <v>0</v>
      </c>
      <c r="J578" t="n">
        <v>0</v>
      </c>
      <c r="K578" t="n">
        <v>0</v>
      </c>
      <c r="L578" t="n">
        <v>0</v>
      </c>
      <c r="M578" t="n">
        <v>0</v>
      </c>
      <c r="N578" t="n">
        <v>0</v>
      </c>
      <c r="O578" t="n">
        <v>0</v>
      </c>
      <c r="P578" t="n">
        <v>0</v>
      </c>
      <c r="Q578" t="n">
        <v>0</v>
      </c>
      <c r="R578" s="2" t="inlineStr"/>
    </row>
    <row r="579" ht="15" customHeight="1">
      <c r="A579" t="inlineStr">
        <is>
          <t>A 32762-2025</t>
        </is>
      </c>
      <c r="B579" s="1" t="n">
        <v>45838</v>
      </c>
      <c r="C579" s="1" t="n">
        <v>45917</v>
      </c>
      <c r="D579" t="inlineStr">
        <is>
          <t>JÄMTLANDS LÄN</t>
        </is>
      </c>
      <c r="E579" t="inlineStr">
        <is>
          <t>RAGUNDA</t>
        </is>
      </c>
      <c r="G579" t="n">
        <v>0.6</v>
      </c>
      <c r="H579" t="n">
        <v>0</v>
      </c>
      <c r="I579" t="n">
        <v>0</v>
      </c>
      <c r="J579" t="n">
        <v>0</v>
      </c>
      <c r="K579" t="n">
        <v>0</v>
      </c>
      <c r="L579" t="n">
        <v>0</v>
      </c>
      <c r="M579" t="n">
        <v>0</v>
      </c>
      <c r="N579" t="n">
        <v>0</v>
      </c>
      <c r="O579" t="n">
        <v>0</v>
      </c>
      <c r="P579" t="n">
        <v>0</v>
      </c>
      <c r="Q579" t="n">
        <v>0</v>
      </c>
      <c r="R579" s="2" t="inlineStr"/>
    </row>
    <row r="580" ht="15" customHeight="1">
      <c r="A580" t="inlineStr">
        <is>
          <t>A 55701-2021</t>
        </is>
      </c>
      <c r="B580" s="1" t="n">
        <v>44475</v>
      </c>
      <c r="C580" s="1" t="n">
        <v>45917</v>
      </c>
      <c r="D580" t="inlineStr">
        <is>
          <t>JÄMTLANDS LÄN</t>
        </is>
      </c>
      <c r="E580" t="inlineStr">
        <is>
          <t>RAGUNDA</t>
        </is>
      </c>
      <c r="G580" t="n">
        <v>5.6</v>
      </c>
      <c r="H580" t="n">
        <v>0</v>
      </c>
      <c r="I580" t="n">
        <v>0</v>
      </c>
      <c r="J580" t="n">
        <v>0</v>
      </c>
      <c r="K580" t="n">
        <v>0</v>
      </c>
      <c r="L580" t="n">
        <v>0</v>
      </c>
      <c r="M580" t="n">
        <v>0</v>
      </c>
      <c r="N580" t="n">
        <v>0</v>
      </c>
      <c r="O580" t="n">
        <v>0</v>
      </c>
      <c r="P580" t="n">
        <v>0</v>
      </c>
      <c r="Q580" t="n">
        <v>0</v>
      </c>
      <c r="R580" s="2" t="inlineStr"/>
    </row>
    <row r="581" ht="15" customHeight="1">
      <c r="A581" t="inlineStr">
        <is>
          <t>A 43405-2023</t>
        </is>
      </c>
      <c r="B581" s="1" t="n">
        <v>45183.95563657407</v>
      </c>
      <c r="C581" s="1" t="n">
        <v>45917</v>
      </c>
      <c r="D581" t="inlineStr">
        <is>
          <t>JÄMTLANDS LÄN</t>
        </is>
      </c>
      <c r="E581" t="inlineStr">
        <is>
          <t>RAGUNDA</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60456-2023</t>
        </is>
      </c>
      <c r="B582" s="1" t="n">
        <v>45258</v>
      </c>
      <c r="C582" s="1" t="n">
        <v>45917</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24171-2021</t>
        </is>
      </c>
      <c r="B583" s="1" t="n">
        <v>44336</v>
      </c>
      <c r="C583" s="1" t="n">
        <v>45917</v>
      </c>
      <c r="D583" t="inlineStr">
        <is>
          <t>JÄMTLANDS LÄN</t>
        </is>
      </c>
      <c r="E583" t="inlineStr">
        <is>
          <t>RAGUNDA</t>
        </is>
      </c>
      <c r="G583" t="n">
        <v>3.6</v>
      </c>
      <c r="H583" t="n">
        <v>0</v>
      </c>
      <c r="I583" t="n">
        <v>0</v>
      </c>
      <c r="J583" t="n">
        <v>0</v>
      </c>
      <c r="K583" t="n">
        <v>0</v>
      </c>
      <c r="L583" t="n">
        <v>0</v>
      </c>
      <c r="M583" t="n">
        <v>0</v>
      </c>
      <c r="N583" t="n">
        <v>0</v>
      </c>
      <c r="O583" t="n">
        <v>0</v>
      </c>
      <c r="P583" t="n">
        <v>0</v>
      </c>
      <c r="Q583" t="n">
        <v>0</v>
      </c>
      <c r="R583" s="2" t="inlineStr"/>
    </row>
    <row r="584" ht="15" customHeight="1">
      <c r="A584" t="inlineStr">
        <is>
          <t>A 32306-2025</t>
        </is>
      </c>
      <c r="B584" s="1" t="n">
        <v>45835.72046296296</v>
      </c>
      <c r="C584" s="1" t="n">
        <v>45917</v>
      </c>
      <c r="D584" t="inlineStr">
        <is>
          <t>JÄMTLANDS LÄN</t>
        </is>
      </c>
      <c r="E584" t="inlineStr">
        <is>
          <t>RAGUNDA</t>
        </is>
      </c>
      <c r="G584" t="n">
        <v>10.2</v>
      </c>
      <c r="H584" t="n">
        <v>0</v>
      </c>
      <c r="I584" t="n">
        <v>0</v>
      </c>
      <c r="J584" t="n">
        <v>0</v>
      </c>
      <c r="K584" t="n">
        <v>0</v>
      </c>
      <c r="L584" t="n">
        <v>0</v>
      </c>
      <c r="M584" t="n">
        <v>0</v>
      </c>
      <c r="N584" t="n">
        <v>0</v>
      </c>
      <c r="O584" t="n">
        <v>0</v>
      </c>
      <c r="P584" t="n">
        <v>0</v>
      </c>
      <c r="Q584" t="n">
        <v>0</v>
      </c>
      <c r="R584" s="2" t="inlineStr"/>
    </row>
    <row r="585" ht="15" customHeight="1">
      <c r="A585" t="inlineStr">
        <is>
          <t>A 56984-2022</t>
        </is>
      </c>
      <c r="B585" s="1" t="n">
        <v>44894.79018518519</v>
      </c>
      <c r="C585" s="1" t="n">
        <v>45917</v>
      </c>
      <c r="D585" t="inlineStr">
        <is>
          <t>JÄMTLANDS LÄN</t>
        </is>
      </c>
      <c r="E585" t="inlineStr">
        <is>
          <t>RAGUNDA</t>
        </is>
      </c>
      <c r="G585" t="n">
        <v>1.4</v>
      </c>
      <c r="H585" t="n">
        <v>0</v>
      </c>
      <c r="I585" t="n">
        <v>0</v>
      </c>
      <c r="J585" t="n">
        <v>0</v>
      </c>
      <c r="K585" t="n">
        <v>0</v>
      </c>
      <c r="L585" t="n">
        <v>0</v>
      </c>
      <c r="M585" t="n">
        <v>0</v>
      </c>
      <c r="N585" t="n">
        <v>0</v>
      </c>
      <c r="O585" t="n">
        <v>0</v>
      </c>
      <c r="P585" t="n">
        <v>0</v>
      </c>
      <c r="Q585" t="n">
        <v>0</v>
      </c>
      <c r="R585" s="2" t="inlineStr"/>
    </row>
    <row r="586" ht="15" customHeight="1">
      <c r="A586" t="inlineStr">
        <is>
          <t>A 58438-2022</t>
        </is>
      </c>
      <c r="B586" s="1" t="n">
        <v>44901</v>
      </c>
      <c r="C586" s="1" t="n">
        <v>45917</v>
      </c>
      <c r="D586" t="inlineStr">
        <is>
          <t>JÄMTLANDS LÄN</t>
        </is>
      </c>
      <c r="E586" t="inlineStr">
        <is>
          <t>RAGUNDA</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58442-2022</t>
        </is>
      </c>
      <c r="B587" s="1" t="n">
        <v>44901</v>
      </c>
      <c r="C587" s="1" t="n">
        <v>45917</v>
      </c>
      <c r="D587" t="inlineStr">
        <is>
          <t>JÄMTLANDS LÄN</t>
        </is>
      </c>
      <c r="E587" t="inlineStr">
        <is>
          <t>RAGUNDA</t>
        </is>
      </c>
      <c r="F587" t="inlineStr">
        <is>
          <t>SCA</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32757-2025</t>
        </is>
      </c>
      <c r="B588" s="1" t="n">
        <v>45838</v>
      </c>
      <c r="C588" s="1" t="n">
        <v>45917</v>
      </c>
      <c r="D588" t="inlineStr">
        <is>
          <t>JÄMTLANDS LÄN</t>
        </is>
      </c>
      <c r="E588" t="inlineStr">
        <is>
          <t>RAGUNDA</t>
        </is>
      </c>
      <c r="G588" t="n">
        <v>4.5</v>
      </c>
      <c r="H588" t="n">
        <v>0</v>
      </c>
      <c r="I588" t="n">
        <v>0</v>
      </c>
      <c r="J588" t="n">
        <v>0</v>
      </c>
      <c r="K588" t="n">
        <v>0</v>
      </c>
      <c r="L588" t="n">
        <v>0</v>
      </c>
      <c r="M588" t="n">
        <v>0</v>
      </c>
      <c r="N588" t="n">
        <v>0</v>
      </c>
      <c r="O588" t="n">
        <v>0</v>
      </c>
      <c r="P588" t="n">
        <v>0</v>
      </c>
      <c r="Q588" t="n">
        <v>0</v>
      </c>
      <c r="R588" s="2" t="inlineStr"/>
    </row>
    <row r="589" ht="15" customHeight="1">
      <c r="A589" t="inlineStr">
        <is>
          <t>A 32660-2025</t>
        </is>
      </c>
      <c r="B589" s="1" t="n">
        <v>45838.67887731481</v>
      </c>
      <c r="C589" s="1" t="n">
        <v>45917</v>
      </c>
      <c r="D589" t="inlineStr">
        <is>
          <t>JÄMTLANDS LÄN</t>
        </is>
      </c>
      <c r="E589" t="inlineStr">
        <is>
          <t>RAGUNDA</t>
        </is>
      </c>
      <c r="F589" t="inlineStr">
        <is>
          <t>SCA</t>
        </is>
      </c>
      <c r="G589" t="n">
        <v>10.3</v>
      </c>
      <c r="H589" t="n">
        <v>0</v>
      </c>
      <c r="I589" t="n">
        <v>0</v>
      </c>
      <c r="J589" t="n">
        <v>0</v>
      </c>
      <c r="K589" t="n">
        <v>0</v>
      </c>
      <c r="L589" t="n">
        <v>0</v>
      </c>
      <c r="M589" t="n">
        <v>0</v>
      </c>
      <c r="N589" t="n">
        <v>0</v>
      </c>
      <c r="O589" t="n">
        <v>0</v>
      </c>
      <c r="P589" t="n">
        <v>0</v>
      </c>
      <c r="Q589" t="n">
        <v>0</v>
      </c>
      <c r="R589" s="2" t="inlineStr"/>
    </row>
    <row r="590" ht="15" customHeight="1">
      <c r="A590" t="inlineStr">
        <is>
          <t>A 32527-2025</t>
        </is>
      </c>
      <c r="B590" s="1" t="n">
        <v>45838.48996527777</v>
      </c>
      <c r="C590" s="1" t="n">
        <v>45917</v>
      </c>
      <c r="D590" t="inlineStr">
        <is>
          <t>JÄMTLANDS LÄN</t>
        </is>
      </c>
      <c r="E590" t="inlineStr">
        <is>
          <t>RAGUNDA</t>
        </is>
      </c>
      <c r="G590" t="n">
        <v>5</v>
      </c>
      <c r="H590" t="n">
        <v>0</v>
      </c>
      <c r="I590" t="n">
        <v>0</v>
      </c>
      <c r="J590" t="n">
        <v>0</v>
      </c>
      <c r="K590" t="n">
        <v>0</v>
      </c>
      <c r="L590" t="n">
        <v>0</v>
      </c>
      <c r="M590" t="n">
        <v>0</v>
      </c>
      <c r="N590" t="n">
        <v>0</v>
      </c>
      <c r="O590" t="n">
        <v>0</v>
      </c>
      <c r="P590" t="n">
        <v>0</v>
      </c>
      <c r="Q590" t="n">
        <v>0</v>
      </c>
      <c r="R590" s="2" t="inlineStr"/>
    </row>
    <row r="591" ht="15" customHeight="1">
      <c r="A591" t="inlineStr">
        <is>
          <t>A 5958-2023</t>
        </is>
      </c>
      <c r="B591" s="1" t="n">
        <v>44963</v>
      </c>
      <c r="C591" s="1" t="n">
        <v>45917</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49229-2024</t>
        </is>
      </c>
      <c r="B592" s="1" t="n">
        <v>45595.42738425926</v>
      </c>
      <c r="C592" s="1" t="n">
        <v>45917</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32021-2025</t>
        </is>
      </c>
      <c r="B593" s="1" t="n">
        <v>45835.40668981482</v>
      </c>
      <c r="C593" s="1" t="n">
        <v>45917</v>
      </c>
      <c r="D593" t="inlineStr">
        <is>
          <t>JÄMTLANDS LÄN</t>
        </is>
      </c>
      <c r="E593" t="inlineStr">
        <is>
          <t>RAGUNDA</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50521-2024</t>
        </is>
      </c>
      <c r="B594" s="1" t="n">
        <v>45601.55331018518</v>
      </c>
      <c r="C594" s="1" t="n">
        <v>45917</v>
      </c>
      <c r="D594" t="inlineStr">
        <is>
          <t>JÄMTLANDS LÄN</t>
        </is>
      </c>
      <c r="E594" t="inlineStr">
        <is>
          <t>RAGUNDA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32655-2025</t>
        </is>
      </c>
      <c r="B595" s="1" t="n">
        <v>45838.67800925926</v>
      </c>
      <c r="C595" s="1" t="n">
        <v>45917</v>
      </c>
      <c r="D595" t="inlineStr">
        <is>
          <t>JÄMTLANDS LÄN</t>
        </is>
      </c>
      <c r="E595" t="inlineStr">
        <is>
          <t>RAGUNDA</t>
        </is>
      </c>
      <c r="G595" t="n">
        <v>2.8</v>
      </c>
      <c r="H595" t="n">
        <v>0</v>
      </c>
      <c r="I595" t="n">
        <v>0</v>
      </c>
      <c r="J595" t="n">
        <v>0</v>
      </c>
      <c r="K595" t="n">
        <v>0</v>
      </c>
      <c r="L595" t="n">
        <v>0</v>
      </c>
      <c r="M595" t="n">
        <v>0</v>
      </c>
      <c r="N595" t="n">
        <v>0</v>
      </c>
      <c r="O595" t="n">
        <v>0</v>
      </c>
      <c r="P595" t="n">
        <v>0</v>
      </c>
      <c r="Q595" t="n">
        <v>0</v>
      </c>
      <c r="R595" s="2" t="inlineStr"/>
    </row>
    <row r="596" ht="15" customHeight="1">
      <c r="A596" t="inlineStr">
        <is>
          <t>A 55524-2024</t>
        </is>
      </c>
      <c r="B596" s="1" t="n">
        <v>45622.47435185185</v>
      </c>
      <c r="C596" s="1" t="n">
        <v>45917</v>
      </c>
      <c r="D596" t="inlineStr">
        <is>
          <t>JÄMTLANDS LÄN</t>
        </is>
      </c>
      <c r="E596" t="inlineStr">
        <is>
          <t>RAGUNDA</t>
        </is>
      </c>
      <c r="G596" t="n">
        <v>1.4</v>
      </c>
      <c r="H596" t="n">
        <v>0</v>
      </c>
      <c r="I596" t="n">
        <v>0</v>
      </c>
      <c r="J596" t="n">
        <v>0</v>
      </c>
      <c r="K596" t="n">
        <v>0</v>
      </c>
      <c r="L596" t="n">
        <v>0</v>
      </c>
      <c r="M596" t="n">
        <v>0</v>
      </c>
      <c r="N596" t="n">
        <v>0</v>
      </c>
      <c r="O596" t="n">
        <v>0</v>
      </c>
      <c r="P596" t="n">
        <v>0</v>
      </c>
      <c r="Q596" t="n">
        <v>0</v>
      </c>
      <c r="R596" s="2" t="inlineStr"/>
    </row>
    <row r="597" ht="15" customHeight="1">
      <c r="A597" t="inlineStr">
        <is>
          <t>A 19419-2024</t>
        </is>
      </c>
      <c r="B597" s="1" t="n">
        <v>45429</v>
      </c>
      <c r="C597" s="1" t="n">
        <v>45917</v>
      </c>
      <c r="D597" t="inlineStr">
        <is>
          <t>JÄMTLANDS LÄN</t>
        </is>
      </c>
      <c r="E597" t="inlineStr">
        <is>
          <t>RAGUNDA</t>
        </is>
      </c>
      <c r="G597" t="n">
        <v>3.5</v>
      </c>
      <c r="H597" t="n">
        <v>0</v>
      </c>
      <c r="I597" t="n">
        <v>0</v>
      </c>
      <c r="J597" t="n">
        <v>0</v>
      </c>
      <c r="K597" t="n">
        <v>0</v>
      </c>
      <c r="L597" t="n">
        <v>0</v>
      </c>
      <c r="M597" t="n">
        <v>0</v>
      </c>
      <c r="N597" t="n">
        <v>0</v>
      </c>
      <c r="O597" t="n">
        <v>0</v>
      </c>
      <c r="P597" t="n">
        <v>0</v>
      </c>
      <c r="Q597" t="n">
        <v>0</v>
      </c>
      <c r="R597" s="2" t="inlineStr"/>
    </row>
    <row r="598" ht="15" customHeight="1">
      <c r="A598" t="inlineStr">
        <is>
          <t>A 32151-2025</t>
        </is>
      </c>
      <c r="B598" s="1" t="n">
        <v>45835.53166666667</v>
      </c>
      <c r="C598" s="1" t="n">
        <v>45917</v>
      </c>
      <c r="D598" t="inlineStr">
        <is>
          <t>JÄMTLANDS LÄN</t>
        </is>
      </c>
      <c r="E598" t="inlineStr">
        <is>
          <t>RAGUNDA</t>
        </is>
      </c>
      <c r="F598" t="inlineStr">
        <is>
          <t>SCA</t>
        </is>
      </c>
      <c r="G598" t="n">
        <v>12.3</v>
      </c>
      <c r="H598" t="n">
        <v>0</v>
      </c>
      <c r="I598" t="n">
        <v>0</v>
      </c>
      <c r="J598" t="n">
        <v>0</v>
      </c>
      <c r="K598" t="n">
        <v>0</v>
      </c>
      <c r="L598" t="n">
        <v>0</v>
      </c>
      <c r="M598" t="n">
        <v>0</v>
      </c>
      <c r="N598" t="n">
        <v>0</v>
      </c>
      <c r="O598" t="n">
        <v>0</v>
      </c>
      <c r="P598" t="n">
        <v>0</v>
      </c>
      <c r="Q598" t="n">
        <v>0</v>
      </c>
      <c r="R598" s="2" t="inlineStr"/>
    </row>
    <row r="599" ht="15" customHeight="1">
      <c r="A599" t="inlineStr">
        <is>
          <t>A 29920-2024</t>
        </is>
      </c>
      <c r="B599" s="1" t="n">
        <v>45487.92856481481</v>
      </c>
      <c r="C599" s="1" t="n">
        <v>45917</v>
      </c>
      <c r="D599" t="inlineStr">
        <is>
          <t>JÄMTLANDS LÄN</t>
        </is>
      </c>
      <c r="E599" t="inlineStr">
        <is>
          <t>RAGUNDA</t>
        </is>
      </c>
      <c r="G599" t="n">
        <v>3.4</v>
      </c>
      <c r="H599" t="n">
        <v>0</v>
      </c>
      <c r="I599" t="n">
        <v>0</v>
      </c>
      <c r="J599" t="n">
        <v>0</v>
      </c>
      <c r="K599" t="n">
        <v>0</v>
      </c>
      <c r="L599" t="n">
        <v>0</v>
      </c>
      <c r="M599" t="n">
        <v>0</v>
      </c>
      <c r="N599" t="n">
        <v>0</v>
      </c>
      <c r="O599" t="n">
        <v>0</v>
      </c>
      <c r="P599" t="n">
        <v>0</v>
      </c>
      <c r="Q599" t="n">
        <v>0</v>
      </c>
      <c r="R599" s="2" t="inlineStr"/>
    </row>
    <row r="600" ht="15" customHeight="1">
      <c r="A600" t="inlineStr">
        <is>
          <t>A 62011-2022</t>
        </is>
      </c>
      <c r="B600" s="1" t="n">
        <v>44914</v>
      </c>
      <c r="C600" s="1" t="n">
        <v>45917</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32096-2025</t>
        </is>
      </c>
      <c r="B601" s="1" t="n">
        <v>45835.46334490741</v>
      </c>
      <c r="C601" s="1" t="n">
        <v>45917</v>
      </c>
      <c r="D601" t="inlineStr">
        <is>
          <t>JÄMTLANDS LÄN</t>
        </is>
      </c>
      <c r="E601" t="inlineStr">
        <is>
          <t>RAGUNDA</t>
        </is>
      </c>
      <c r="G601" t="n">
        <v>0.9</v>
      </c>
      <c r="H601" t="n">
        <v>0</v>
      </c>
      <c r="I601" t="n">
        <v>0</v>
      </c>
      <c r="J601" t="n">
        <v>0</v>
      </c>
      <c r="K601" t="n">
        <v>0</v>
      </c>
      <c r="L601" t="n">
        <v>0</v>
      </c>
      <c r="M601" t="n">
        <v>0</v>
      </c>
      <c r="N601" t="n">
        <v>0</v>
      </c>
      <c r="O601" t="n">
        <v>0</v>
      </c>
      <c r="P601" t="n">
        <v>0</v>
      </c>
      <c r="Q601" t="n">
        <v>0</v>
      </c>
      <c r="R601" s="2" t="inlineStr"/>
    </row>
    <row r="602" ht="15" customHeight="1">
      <c r="A602" t="inlineStr">
        <is>
          <t>A 32748-2025</t>
        </is>
      </c>
      <c r="B602" s="1" t="n">
        <v>45839.42822916667</v>
      </c>
      <c r="C602" s="1" t="n">
        <v>45917</v>
      </c>
      <c r="D602" t="inlineStr">
        <is>
          <t>JÄMTLANDS LÄN</t>
        </is>
      </c>
      <c r="E602" t="inlineStr">
        <is>
          <t>RAGUNDA</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32777-2025</t>
        </is>
      </c>
      <c r="B603" s="1" t="n">
        <v>45839.46915509259</v>
      </c>
      <c r="C603" s="1" t="n">
        <v>45917</v>
      </c>
      <c r="D603" t="inlineStr">
        <is>
          <t>JÄMTLANDS LÄN</t>
        </is>
      </c>
      <c r="E603" t="inlineStr">
        <is>
          <t>RAGUNDA</t>
        </is>
      </c>
      <c r="F603" t="inlineStr">
        <is>
          <t>SCA</t>
        </is>
      </c>
      <c r="G603" t="n">
        <v>21.7</v>
      </c>
      <c r="H603" t="n">
        <v>0</v>
      </c>
      <c r="I603" t="n">
        <v>0</v>
      </c>
      <c r="J603" t="n">
        <v>0</v>
      </c>
      <c r="K603" t="n">
        <v>0</v>
      </c>
      <c r="L603" t="n">
        <v>0</v>
      </c>
      <c r="M603" t="n">
        <v>0</v>
      </c>
      <c r="N603" t="n">
        <v>0</v>
      </c>
      <c r="O603" t="n">
        <v>0</v>
      </c>
      <c r="P603" t="n">
        <v>0</v>
      </c>
      <c r="Q603" t="n">
        <v>0</v>
      </c>
      <c r="R603" s="2" t="inlineStr"/>
    </row>
    <row r="604" ht="15" customHeight="1">
      <c r="A604" t="inlineStr">
        <is>
          <t>A 32430-2025</t>
        </is>
      </c>
      <c r="B604" s="1" t="n">
        <v>45838.36532407408</v>
      </c>
      <c r="C604" s="1" t="n">
        <v>45917</v>
      </c>
      <c r="D604" t="inlineStr">
        <is>
          <t>JÄMTLANDS LÄN</t>
        </is>
      </c>
      <c r="E604" t="inlineStr">
        <is>
          <t>RAGUNDA</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2224-2024</t>
        </is>
      </c>
      <c r="B605" s="1" t="n">
        <v>45309.92524305556</v>
      </c>
      <c r="C605" s="1" t="n">
        <v>45917</v>
      </c>
      <c r="D605" t="inlineStr">
        <is>
          <t>JÄMTLANDS LÄN</t>
        </is>
      </c>
      <c r="E605" t="inlineStr">
        <is>
          <t>RAGUNDA</t>
        </is>
      </c>
      <c r="G605" t="n">
        <v>0.9</v>
      </c>
      <c r="H605" t="n">
        <v>0</v>
      </c>
      <c r="I605" t="n">
        <v>0</v>
      </c>
      <c r="J605" t="n">
        <v>0</v>
      </c>
      <c r="K605" t="n">
        <v>0</v>
      </c>
      <c r="L605" t="n">
        <v>0</v>
      </c>
      <c r="M605" t="n">
        <v>0</v>
      </c>
      <c r="N605" t="n">
        <v>0</v>
      </c>
      <c r="O605" t="n">
        <v>0</v>
      </c>
      <c r="P605" t="n">
        <v>0</v>
      </c>
      <c r="Q605" t="n">
        <v>0</v>
      </c>
      <c r="R605" s="2" t="inlineStr"/>
    </row>
    <row r="606" ht="15" customHeight="1">
      <c r="A606" t="inlineStr">
        <is>
          <t>A 22311-2024</t>
        </is>
      </c>
      <c r="B606" s="1" t="n">
        <v>45446.57052083333</v>
      </c>
      <c r="C606" s="1" t="n">
        <v>45917</v>
      </c>
      <c r="D606" t="inlineStr">
        <is>
          <t>JÄMTLANDS LÄN</t>
        </is>
      </c>
      <c r="E606" t="inlineStr">
        <is>
          <t>RAGUNDA</t>
        </is>
      </c>
      <c r="G606" t="n">
        <v>1.3</v>
      </c>
      <c r="H606" t="n">
        <v>0</v>
      </c>
      <c r="I606" t="n">
        <v>0</v>
      </c>
      <c r="J606" t="n">
        <v>0</v>
      </c>
      <c r="K606" t="n">
        <v>0</v>
      </c>
      <c r="L606" t="n">
        <v>0</v>
      </c>
      <c r="M606" t="n">
        <v>0</v>
      </c>
      <c r="N606" t="n">
        <v>0</v>
      </c>
      <c r="O606" t="n">
        <v>0</v>
      </c>
      <c r="P606" t="n">
        <v>0</v>
      </c>
      <c r="Q606" t="n">
        <v>0</v>
      </c>
      <c r="R606" s="2" t="inlineStr"/>
    </row>
    <row r="607" ht="15" customHeight="1">
      <c r="A607" t="inlineStr">
        <is>
          <t>A 19866-2023</t>
        </is>
      </c>
      <c r="B607" s="1" t="n">
        <v>45053.94313657407</v>
      </c>
      <c r="C607" s="1" t="n">
        <v>45917</v>
      </c>
      <c r="D607" t="inlineStr">
        <is>
          <t>JÄMTLANDS LÄN</t>
        </is>
      </c>
      <c r="E607" t="inlineStr">
        <is>
          <t>RAGUNDA</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32796-2025</t>
        </is>
      </c>
      <c r="B608" s="1" t="n">
        <v>45839.49082175926</v>
      </c>
      <c r="C608" s="1" t="n">
        <v>45917</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53935-2022</t>
        </is>
      </c>
      <c r="B609" s="1" t="n">
        <v>44880</v>
      </c>
      <c r="C609" s="1" t="n">
        <v>45917</v>
      </c>
      <c r="D609" t="inlineStr">
        <is>
          <t>JÄMTLANDS LÄN</t>
        </is>
      </c>
      <c r="E609" t="inlineStr">
        <is>
          <t>RAGUNDA</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32747-2025</t>
        </is>
      </c>
      <c r="B610" s="1" t="n">
        <v>45839.42810185185</v>
      </c>
      <c r="C610" s="1" t="n">
        <v>45917</v>
      </c>
      <c r="D610" t="inlineStr">
        <is>
          <t>JÄMTLANDS LÄN</t>
        </is>
      </c>
      <c r="E610" t="inlineStr">
        <is>
          <t>RAGUNDA</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9504-2025</t>
        </is>
      </c>
      <c r="B611" s="1" t="n">
        <v>45714</v>
      </c>
      <c r="C611" s="1" t="n">
        <v>45917</v>
      </c>
      <c r="D611" t="inlineStr">
        <is>
          <t>JÄMTLANDS LÄN</t>
        </is>
      </c>
      <c r="E611" t="inlineStr">
        <is>
          <t>RAGUNDA</t>
        </is>
      </c>
      <c r="G611" t="n">
        <v>6</v>
      </c>
      <c r="H611" t="n">
        <v>0</v>
      </c>
      <c r="I611" t="n">
        <v>0</v>
      </c>
      <c r="J611" t="n">
        <v>0</v>
      </c>
      <c r="K611" t="n">
        <v>0</v>
      </c>
      <c r="L611" t="n">
        <v>0</v>
      </c>
      <c r="M611" t="n">
        <v>0</v>
      </c>
      <c r="N611" t="n">
        <v>0</v>
      </c>
      <c r="O611" t="n">
        <v>0</v>
      </c>
      <c r="P611" t="n">
        <v>0</v>
      </c>
      <c r="Q611" t="n">
        <v>0</v>
      </c>
      <c r="R611" s="2" t="inlineStr"/>
    </row>
    <row r="612" ht="15" customHeight="1">
      <c r="A612" t="inlineStr">
        <is>
          <t>A 18631-2024</t>
        </is>
      </c>
      <c r="B612" s="1" t="n">
        <v>45425.96494212963</v>
      </c>
      <c r="C612" s="1" t="n">
        <v>45917</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56702-2023</t>
        </is>
      </c>
      <c r="B613" s="1" t="n">
        <v>45243</v>
      </c>
      <c r="C613" s="1" t="n">
        <v>45917</v>
      </c>
      <c r="D613" t="inlineStr">
        <is>
          <t>JÄMTLANDS LÄN</t>
        </is>
      </c>
      <c r="E613" t="inlineStr">
        <is>
          <t>RAGUNDA</t>
        </is>
      </c>
      <c r="F613" t="inlineStr">
        <is>
          <t>SCA</t>
        </is>
      </c>
      <c r="G613" t="n">
        <v>10.3</v>
      </c>
      <c r="H613" t="n">
        <v>0</v>
      </c>
      <c r="I613" t="n">
        <v>0</v>
      </c>
      <c r="J613" t="n">
        <v>0</v>
      </c>
      <c r="K613" t="n">
        <v>0</v>
      </c>
      <c r="L613" t="n">
        <v>0</v>
      </c>
      <c r="M613" t="n">
        <v>0</v>
      </c>
      <c r="N613" t="n">
        <v>0</v>
      </c>
      <c r="O613" t="n">
        <v>0</v>
      </c>
      <c r="P613" t="n">
        <v>0</v>
      </c>
      <c r="Q613" t="n">
        <v>0</v>
      </c>
      <c r="R613" s="2" t="inlineStr"/>
    </row>
    <row r="614" ht="15" customHeight="1">
      <c r="A614" t="inlineStr">
        <is>
          <t>A 63708-2023</t>
        </is>
      </c>
      <c r="B614" s="1" t="n">
        <v>45275.95060185185</v>
      </c>
      <c r="C614" s="1" t="n">
        <v>45917</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26651-2024</t>
        </is>
      </c>
      <c r="B615" s="1" t="n">
        <v>45469.94876157407</v>
      </c>
      <c r="C615" s="1" t="n">
        <v>45917</v>
      </c>
      <c r="D615" t="inlineStr">
        <is>
          <t>JÄMTLANDS LÄN</t>
        </is>
      </c>
      <c r="E615" t="inlineStr">
        <is>
          <t>RAGUNDA</t>
        </is>
      </c>
      <c r="F615" t="inlineStr">
        <is>
          <t>SCA</t>
        </is>
      </c>
      <c r="G615" t="n">
        <v>10.4</v>
      </c>
      <c r="H615" t="n">
        <v>0</v>
      </c>
      <c r="I615" t="n">
        <v>0</v>
      </c>
      <c r="J615" t="n">
        <v>0</v>
      </c>
      <c r="K615" t="n">
        <v>0</v>
      </c>
      <c r="L615" t="n">
        <v>0</v>
      </c>
      <c r="M615" t="n">
        <v>0</v>
      </c>
      <c r="N615" t="n">
        <v>0</v>
      </c>
      <c r="O615" t="n">
        <v>0</v>
      </c>
      <c r="P615" t="n">
        <v>0</v>
      </c>
      <c r="Q615" t="n">
        <v>0</v>
      </c>
      <c r="R615" s="2" t="inlineStr"/>
    </row>
    <row r="616" ht="15" customHeight="1">
      <c r="A616" t="inlineStr">
        <is>
          <t>A 46211-2024</t>
        </is>
      </c>
      <c r="B616" s="1" t="n">
        <v>45581.55260416667</v>
      </c>
      <c r="C616" s="1" t="n">
        <v>45917</v>
      </c>
      <c r="D616" t="inlineStr">
        <is>
          <t>JÄMTLANDS LÄN</t>
        </is>
      </c>
      <c r="E616" t="inlineStr">
        <is>
          <t>RAGUNDA</t>
        </is>
      </c>
      <c r="G616" t="n">
        <v>7.3</v>
      </c>
      <c r="H616" t="n">
        <v>0</v>
      </c>
      <c r="I616" t="n">
        <v>0</v>
      </c>
      <c r="J616" t="n">
        <v>0</v>
      </c>
      <c r="K616" t="n">
        <v>0</v>
      </c>
      <c r="L616" t="n">
        <v>0</v>
      </c>
      <c r="M616" t="n">
        <v>0</v>
      </c>
      <c r="N616" t="n">
        <v>0</v>
      </c>
      <c r="O616" t="n">
        <v>0</v>
      </c>
      <c r="P616" t="n">
        <v>0</v>
      </c>
      <c r="Q616" t="n">
        <v>0</v>
      </c>
      <c r="R616" s="2" t="inlineStr"/>
    </row>
    <row r="617" ht="15" customHeight="1">
      <c r="A617" t="inlineStr">
        <is>
          <t>A 32751-2025</t>
        </is>
      </c>
      <c r="B617" s="1" t="n">
        <v>45839.42864583333</v>
      </c>
      <c r="C617" s="1" t="n">
        <v>45917</v>
      </c>
      <c r="D617" t="inlineStr">
        <is>
          <t>JÄMTLANDS LÄN</t>
        </is>
      </c>
      <c r="E617" t="inlineStr">
        <is>
          <t>RAGUNDA</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50486-2023</t>
        </is>
      </c>
      <c r="B618" s="1" t="n">
        <v>45216.92424768519</v>
      </c>
      <c r="C618" s="1" t="n">
        <v>45917</v>
      </c>
      <c r="D618" t="inlineStr">
        <is>
          <t>JÄMTLANDS LÄN</t>
        </is>
      </c>
      <c r="E618" t="inlineStr">
        <is>
          <t>RAGUNDA</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32846-2025</t>
        </is>
      </c>
      <c r="B619" s="1" t="n">
        <v>45839.57331018519</v>
      </c>
      <c r="C619" s="1" t="n">
        <v>45917</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33140-2025</t>
        </is>
      </c>
      <c r="B620" s="1" t="n">
        <v>45840.52225694444</v>
      </c>
      <c r="C620" s="1" t="n">
        <v>45917</v>
      </c>
      <c r="D620" t="inlineStr">
        <is>
          <t>JÄMTLANDS LÄN</t>
        </is>
      </c>
      <c r="E620" t="inlineStr">
        <is>
          <t>RAGUNDA</t>
        </is>
      </c>
      <c r="G620" t="n">
        <v>2</v>
      </c>
      <c r="H620" t="n">
        <v>0</v>
      </c>
      <c r="I620" t="n">
        <v>0</v>
      </c>
      <c r="J620" t="n">
        <v>0</v>
      </c>
      <c r="K620" t="n">
        <v>0</v>
      </c>
      <c r="L620" t="n">
        <v>0</v>
      </c>
      <c r="M620" t="n">
        <v>0</v>
      </c>
      <c r="N620" t="n">
        <v>0</v>
      </c>
      <c r="O620" t="n">
        <v>0</v>
      </c>
      <c r="P620" t="n">
        <v>0</v>
      </c>
      <c r="Q620" t="n">
        <v>0</v>
      </c>
      <c r="R620" s="2" t="inlineStr"/>
    </row>
    <row r="621" ht="15" customHeight="1">
      <c r="A621" t="inlineStr">
        <is>
          <t>A 8679-2023</t>
        </is>
      </c>
      <c r="B621" s="1" t="n">
        <v>44977.98670138889</v>
      </c>
      <c r="C621" s="1" t="n">
        <v>45917</v>
      </c>
      <c r="D621" t="inlineStr">
        <is>
          <t>JÄMTLANDS LÄN</t>
        </is>
      </c>
      <c r="E621" t="inlineStr">
        <is>
          <t>RAGUNDA</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12805-2025</t>
        </is>
      </c>
      <c r="B622" s="1" t="n">
        <v>45733.61497685185</v>
      </c>
      <c r="C622" s="1" t="n">
        <v>45917</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11062-2023</t>
        </is>
      </c>
      <c r="B623" s="1" t="n">
        <v>44991</v>
      </c>
      <c r="C623" s="1" t="n">
        <v>45917</v>
      </c>
      <c r="D623" t="inlineStr">
        <is>
          <t>JÄMTLANDS LÄN</t>
        </is>
      </c>
      <c r="E623" t="inlineStr">
        <is>
          <t>RAGUNDA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12024-2022</t>
        </is>
      </c>
      <c r="B624" s="1" t="n">
        <v>44635</v>
      </c>
      <c r="C624" s="1" t="n">
        <v>45917</v>
      </c>
      <c r="D624" t="inlineStr">
        <is>
          <t>JÄMTLANDS LÄN</t>
        </is>
      </c>
      <c r="E624" t="inlineStr">
        <is>
          <t>RAGUNDA</t>
        </is>
      </c>
      <c r="F624" t="inlineStr">
        <is>
          <t>SCA</t>
        </is>
      </c>
      <c r="G624" t="n">
        <v>4.9</v>
      </c>
      <c r="H624" t="n">
        <v>0</v>
      </c>
      <c r="I624" t="n">
        <v>0</v>
      </c>
      <c r="J624" t="n">
        <v>0</v>
      </c>
      <c r="K624" t="n">
        <v>0</v>
      </c>
      <c r="L624" t="n">
        <v>0</v>
      </c>
      <c r="M624" t="n">
        <v>0</v>
      </c>
      <c r="N624" t="n">
        <v>0</v>
      </c>
      <c r="O624" t="n">
        <v>0</v>
      </c>
      <c r="P624" t="n">
        <v>0</v>
      </c>
      <c r="Q624" t="n">
        <v>0</v>
      </c>
      <c r="R624" s="2" t="inlineStr"/>
    </row>
    <row r="625" ht="15" customHeight="1">
      <c r="A625" t="inlineStr">
        <is>
          <t>A 14158-2024</t>
        </is>
      </c>
      <c r="B625" s="1" t="n">
        <v>45392</v>
      </c>
      <c r="C625" s="1" t="n">
        <v>45917</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55649-2023</t>
        </is>
      </c>
      <c r="B626" s="1" t="n">
        <v>45238</v>
      </c>
      <c r="C626" s="1" t="n">
        <v>45917</v>
      </c>
      <c r="D626" t="inlineStr">
        <is>
          <t>JÄMTLANDS LÄN</t>
        </is>
      </c>
      <c r="E626" t="inlineStr">
        <is>
          <t>RAGUNDA</t>
        </is>
      </c>
      <c r="F626" t="inlineStr">
        <is>
          <t>SCA</t>
        </is>
      </c>
      <c r="G626" t="n">
        <v>6</v>
      </c>
      <c r="H626" t="n">
        <v>0</v>
      </c>
      <c r="I626" t="n">
        <v>0</v>
      </c>
      <c r="J626" t="n">
        <v>0</v>
      </c>
      <c r="K626" t="n">
        <v>0</v>
      </c>
      <c r="L626" t="n">
        <v>0</v>
      </c>
      <c r="M626" t="n">
        <v>0</v>
      </c>
      <c r="N626" t="n">
        <v>0</v>
      </c>
      <c r="O626" t="n">
        <v>0</v>
      </c>
      <c r="P626" t="n">
        <v>0</v>
      </c>
      <c r="Q626" t="n">
        <v>0</v>
      </c>
      <c r="R626" s="2" t="inlineStr"/>
    </row>
    <row r="627" ht="15" customHeight="1">
      <c r="A627" t="inlineStr">
        <is>
          <t>A 53769-2023</t>
        </is>
      </c>
      <c r="B627" s="1" t="n">
        <v>45230</v>
      </c>
      <c r="C627" s="1" t="n">
        <v>45917</v>
      </c>
      <c r="D627" t="inlineStr">
        <is>
          <t>JÄMTLANDS LÄN</t>
        </is>
      </c>
      <c r="E627" t="inlineStr">
        <is>
          <t>RAGUNDA</t>
        </is>
      </c>
      <c r="F627" t="inlineStr">
        <is>
          <t>SCA</t>
        </is>
      </c>
      <c r="G627" t="n">
        <v>11.6</v>
      </c>
      <c r="H627" t="n">
        <v>0</v>
      </c>
      <c r="I627" t="n">
        <v>0</v>
      </c>
      <c r="J627" t="n">
        <v>0</v>
      </c>
      <c r="K627" t="n">
        <v>0</v>
      </c>
      <c r="L627" t="n">
        <v>0</v>
      </c>
      <c r="M627" t="n">
        <v>0</v>
      </c>
      <c r="N627" t="n">
        <v>0</v>
      </c>
      <c r="O627" t="n">
        <v>0</v>
      </c>
      <c r="P627" t="n">
        <v>0</v>
      </c>
      <c r="Q627" t="n">
        <v>0</v>
      </c>
      <c r="R627" s="2" t="inlineStr"/>
    </row>
    <row r="628" ht="15" customHeight="1">
      <c r="A628" t="inlineStr">
        <is>
          <t>A 69153-2021</t>
        </is>
      </c>
      <c r="B628" s="1" t="n">
        <v>44530.94694444445</v>
      </c>
      <c r="C628" s="1" t="n">
        <v>45917</v>
      </c>
      <c r="D628" t="inlineStr">
        <is>
          <t>JÄMTLANDS LÄN</t>
        </is>
      </c>
      <c r="E628" t="inlineStr">
        <is>
          <t>RAGUNDA</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4882-2023</t>
        </is>
      </c>
      <c r="B629" s="1" t="n">
        <v>44957.94075231482</v>
      </c>
      <c r="C629" s="1" t="n">
        <v>45917</v>
      </c>
      <c r="D629" t="inlineStr">
        <is>
          <t>JÄMTLANDS LÄN</t>
        </is>
      </c>
      <c r="E629" t="inlineStr">
        <is>
          <t>RAGUNDA</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39608-2024</t>
        </is>
      </c>
      <c r="B630" s="1" t="n">
        <v>45552.39113425926</v>
      </c>
      <c r="C630" s="1" t="n">
        <v>45917</v>
      </c>
      <c r="D630" t="inlineStr">
        <is>
          <t>JÄMTLANDS LÄN</t>
        </is>
      </c>
      <c r="E630" t="inlineStr">
        <is>
          <t>RAGUNDA</t>
        </is>
      </c>
      <c r="G630" t="n">
        <v>3.2</v>
      </c>
      <c r="H630" t="n">
        <v>0</v>
      </c>
      <c r="I630" t="n">
        <v>0</v>
      </c>
      <c r="J630" t="n">
        <v>0</v>
      </c>
      <c r="K630" t="n">
        <v>0</v>
      </c>
      <c r="L630" t="n">
        <v>0</v>
      </c>
      <c r="M630" t="n">
        <v>0</v>
      </c>
      <c r="N630" t="n">
        <v>0</v>
      </c>
      <c r="O630" t="n">
        <v>0</v>
      </c>
      <c r="P630" t="n">
        <v>0</v>
      </c>
      <c r="Q630" t="n">
        <v>0</v>
      </c>
      <c r="R630" s="2" t="inlineStr"/>
    </row>
    <row r="631" ht="15" customHeight="1">
      <c r="A631" t="inlineStr">
        <is>
          <t>A 18454-2021</t>
        </is>
      </c>
      <c r="B631" s="1" t="n">
        <v>44305.92047453704</v>
      </c>
      <c r="C631" s="1" t="n">
        <v>45917</v>
      </c>
      <c r="D631" t="inlineStr">
        <is>
          <t>JÄMTLANDS LÄN</t>
        </is>
      </c>
      <c r="E631" t="inlineStr">
        <is>
          <t>RAGUNDA</t>
        </is>
      </c>
      <c r="G631" t="n">
        <v>1.3</v>
      </c>
      <c r="H631" t="n">
        <v>0</v>
      </c>
      <c r="I631" t="n">
        <v>0</v>
      </c>
      <c r="J631" t="n">
        <v>0</v>
      </c>
      <c r="K631" t="n">
        <v>0</v>
      </c>
      <c r="L631" t="n">
        <v>0</v>
      </c>
      <c r="M631" t="n">
        <v>0</v>
      </c>
      <c r="N631" t="n">
        <v>0</v>
      </c>
      <c r="O631" t="n">
        <v>0</v>
      </c>
      <c r="P631" t="n">
        <v>0</v>
      </c>
      <c r="Q631" t="n">
        <v>0</v>
      </c>
      <c r="R631" s="2" t="inlineStr"/>
    </row>
    <row r="632" ht="15" customHeight="1">
      <c r="A632" t="inlineStr">
        <is>
          <t>A 26455-2023</t>
        </is>
      </c>
      <c r="B632" s="1" t="n">
        <v>45092</v>
      </c>
      <c r="C632" s="1" t="n">
        <v>45917</v>
      </c>
      <c r="D632" t="inlineStr">
        <is>
          <t>JÄMTLANDS LÄN</t>
        </is>
      </c>
      <c r="E632" t="inlineStr">
        <is>
          <t>RAGUNDA</t>
        </is>
      </c>
      <c r="G632" t="n">
        <v>3.8</v>
      </c>
      <c r="H632" t="n">
        <v>0</v>
      </c>
      <c r="I632" t="n">
        <v>0</v>
      </c>
      <c r="J632" t="n">
        <v>0</v>
      </c>
      <c r="K632" t="n">
        <v>0</v>
      </c>
      <c r="L632" t="n">
        <v>0</v>
      </c>
      <c r="M632" t="n">
        <v>0</v>
      </c>
      <c r="N632" t="n">
        <v>0</v>
      </c>
      <c r="O632" t="n">
        <v>0</v>
      </c>
      <c r="P632" t="n">
        <v>0</v>
      </c>
      <c r="Q632" t="n">
        <v>0</v>
      </c>
      <c r="R632" s="2" t="inlineStr"/>
    </row>
    <row r="633" ht="15" customHeight="1">
      <c r="A633" t="inlineStr">
        <is>
          <t>A 40919-2024</t>
        </is>
      </c>
      <c r="B633" s="1" t="n">
        <v>45558.63575231482</v>
      </c>
      <c r="C633" s="1" t="n">
        <v>45917</v>
      </c>
      <c r="D633" t="inlineStr">
        <is>
          <t>JÄMTLANDS LÄN</t>
        </is>
      </c>
      <c r="E633" t="inlineStr">
        <is>
          <t>RAGUNDA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33763-2025</t>
        </is>
      </c>
      <c r="B634" s="1" t="n">
        <v>45842.38579861111</v>
      </c>
      <c r="C634" s="1" t="n">
        <v>45917</v>
      </c>
      <c r="D634" t="inlineStr">
        <is>
          <t>JÄMTLANDS LÄN</t>
        </is>
      </c>
      <c r="E634" t="inlineStr">
        <is>
          <t>RAGUNDA</t>
        </is>
      </c>
      <c r="F634" t="inlineStr">
        <is>
          <t>SCA</t>
        </is>
      </c>
      <c r="G634" t="n">
        <v>13.4</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45917</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33556-2025</t>
        </is>
      </c>
      <c r="B636" s="1" t="n">
        <v>45841.57427083333</v>
      </c>
      <c r="C636" s="1" t="n">
        <v>45917</v>
      </c>
      <c r="D636" t="inlineStr">
        <is>
          <t>JÄMTLANDS LÄN</t>
        </is>
      </c>
      <c r="E636" t="inlineStr">
        <is>
          <t>RAGUNDA</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48192-2024</t>
        </is>
      </c>
      <c r="B637" s="1" t="n">
        <v>45590</v>
      </c>
      <c r="C637" s="1" t="n">
        <v>45917</v>
      </c>
      <c r="D637" t="inlineStr">
        <is>
          <t>JÄMTLANDS LÄN</t>
        </is>
      </c>
      <c r="E637" t="inlineStr">
        <is>
          <t>RAGUNDA</t>
        </is>
      </c>
      <c r="G637" t="n">
        <v>2.3</v>
      </c>
      <c r="H637" t="n">
        <v>0</v>
      </c>
      <c r="I637" t="n">
        <v>0</v>
      </c>
      <c r="J637" t="n">
        <v>0</v>
      </c>
      <c r="K637" t="n">
        <v>0</v>
      </c>
      <c r="L637" t="n">
        <v>0</v>
      </c>
      <c r="M637" t="n">
        <v>0</v>
      </c>
      <c r="N637" t="n">
        <v>0</v>
      </c>
      <c r="O637" t="n">
        <v>0</v>
      </c>
      <c r="P637" t="n">
        <v>0</v>
      </c>
      <c r="Q637" t="n">
        <v>0</v>
      </c>
      <c r="R637" s="2" t="inlineStr"/>
    </row>
    <row r="638" ht="15" customHeight="1">
      <c r="A638" t="inlineStr">
        <is>
          <t>A 6801-2023</t>
        </is>
      </c>
      <c r="B638" s="1" t="n">
        <v>44966.95328703704</v>
      </c>
      <c r="C638" s="1" t="n">
        <v>45917</v>
      </c>
      <c r="D638" t="inlineStr">
        <is>
          <t>JÄMTLANDS LÄN</t>
        </is>
      </c>
      <c r="E638" t="inlineStr">
        <is>
          <t>RAGUNDA</t>
        </is>
      </c>
      <c r="F638" t="inlineStr">
        <is>
          <t>SCA</t>
        </is>
      </c>
      <c r="G638" t="n">
        <v>10.6</v>
      </c>
      <c r="H638" t="n">
        <v>0</v>
      </c>
      <c r="I638" t="n">
        <v>0</v>
      </c>
      <c r="J638" t="n">
        <v>0</v>
      </c>
      <c r="K638" t="n">
        <v>0</v>
      </c>
      <c r="L638" t="n">
        <v>0</v>
      </c>
      <c r="M638" t="n">
        <v>0</v>
      </c>
      <c r="N638" t="n">
        <v>0</v>
      </c>
      <c r="O638" t="n">
        <v>0</v>
      </c>
      <c r="P638" t="n">
        <v>0</v>
      </c>
      <c r="Q638" t="n">
        <v>0</v>
      </c>
      <c r="R638" s="2" t="inlineStr"/>
    </row>
    <row r="639" ht="15" customHeight="1">
      <c r="A639" t="inlineStr">
        <is>
          <t>A 33790-2025</t>
        </is>
      </c>
      <c r="B639" s="1" t="n">
        <v>45842.42608796297</v>
      </c>
      <c r="C639" s="1" t="n">
        <v>45917</v>
      </c>
      <c r="D639" t="inlineStr">
        <is>
          <t>JÄMTLANDS LÄN</t>
        </is>
      </c>
      <c r="E639" t="inlineStr">
        <is>
          <t>RAGUNDA</t>
        </is>
      </c>
      <c r="G639" t="n">
        <v>0.3</v>
      </c>
      <c r="H639" t="n">
        <v>0</v>
      </c>
      <c r="I639" t="n">
        <v>0</v>
      </c>
      <c r="J639" t="n">
        <v>0</v>
      </c>
      <c r="K639" t="n">
        <v>0</v>
      </c>
      <c r="L639" t="n">
        <v>0</v>
      </c>
      <c r="M639" t="n">
        <v>0</v>
      </c>
      <c r="N639" t="n">
        <v>0</v>
      </c>
      <c r="O639" t="n">
        <v>0</v>
      </c>
      <c r="P639" t="n">
        <v>0</v>
      </c>
      <c r="Q639" t="n">
        <v>0</v>
      </c>
      <c r="R639" s="2" t="inlineStr"/>
    </row>
    <row r="640" ht="15" customHeight="1">
      <c r="A640" t="inlineStr">
        <is>
          <t>A 12768-2022</t>
        </is>
      </c>
      <c r="B640" s="1" t="n">
        <v>44641</v>
      </c>
      <c r="C640" s="1" t="n">
        <v>45917</v>
      </c>
      <c r="D640" t="inlineStr">
        <is>
          <t>JÄMTLANDS LÄN</t>
        </is>
      </c>
      <c r="E640" t="inlineStr">
        <is>
          <t>RAGUNDA</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12773-2022</t>
        </is>
      </c>
      <c r="B641" s="1" t="n">
        <v>44641</v>
      </c>
      <c r="C641" s="1" t="n">
        <v>45917</v>
      </c>
      <c r="D641" t="inlineStr">
        <is>
          <t>JÄMTLANDS LÄN</t>
        </is>
      </c>
      <c r="E641" t="inlineStr">
        <is>
          <t>RAGUNDA</t>
        </is>
      </c>
      <c r="F641" t="inlineStr">
        <is>
          <t>SCA</t>
        </is>
      </c>
      <c r="G641" t="n">
        <v>14.7</v>
      </c>
      <c r="H641" t="n">
        <v>0</v>
      </c>
      <c r="I641" t="n">
        <v>0</v>
      </c>
      <c r="J641" t="n">
        <v>0</v>
      </c>
      <c r="K641" t="n">
        <v>0</v>
      </c>
      <c r="L641" t="n">
        <v>0</v>
      </c>
      <c r="M641" t="n">
        <v>0</v>
      </c>
      <c r="N641" t="n">
        <v>0</v>
      </c>
      <c r="O641" t="n">
        <v>0</v>
      </c>
      <c r="P641" t="n">
        <v>0</v>
      </c>
      <c r="Q641" t="n">
        <v>0</v>
      </c>
      <c r="R641" s="2" t="inlineStr"/>
    </row>
    <row r="642" ht="15" customHeight="1">
      <c r="A642" t="inlineStr">
        <is>
          <t>A 5967-2021</t>
        </is>
      </c>
      <c r="B642" s="1" t="n">
        <v>44231</v>
      </c>
      <c r="C642" s="1" t="n">
        <v>45917</v>
      </c>
      <c r="D642" t="inlineStr">
        <is>
          <t>JÄMTLANDS LÄN</t>
        </is>
      </c>
      <c r="E642" t="inlineStr">
        <is>
          <t>RAGUNDA</t>
        </is>
      </c>
      <c r="G642" t="n">
        <v>3.6</v>
      </c>
      <c r="H642" t="n">
        <v>0</v>
      </c>
      <c r="I642" t="n">
        <v>0</v>
      </c>
      <c r="J642" t="n">
        <v>0</v>
      </c>
      <c r="K642" t="n">
        <v>0</v>
      </c>
      <c r="L642" t="n">
        <v>0</v>
      </c>
      <c r="M642" t="n">
        <v>0</v>
      </c>
      <c r="N642" t="n">
        <v>0</v>
      </c>
      <c r="O642" t="n">
        <v>0</v>
      </c>
      <c r="P642" t="n">
        <v>0</v>
      </c>
      <c r="Q642" t="n">
        <v>0</v>
      </c>
      <c r="R642" s="2" t="inlineStr"/>
    </row>
    <row r="643" ht="15" customHeight="1">
      <c r="A643" t="inlineStr">
        <is>
          <t>A 33650-2025</t>
        </is>
      </c>
      <c r="B643" s="1" t="n">
        <v>45841.6571412037</v>
      </c>
      <c r="C643" s="1" t="n">
        <v>45917</v>
      </c>
      <c r="D643" t="inlineStr">
        <is>
          <t>JÄMTLANDS LÄN</t>
        </is>
      </c>
      <c r="E643" t="inlineStr">
        <is>
          <t>RAGUNDA</t>
        </is>
      </c>
      <c r="G643" t="n">
        <v>1.4</v>
      </c>
      <c r="H643" t="n">
        <v>0</v>
      </c>
      <c r="I643" t="n">
        <v>0</v>
      </c>
      <c r="J643" t="n">
        <v>0</v>
      </c>
      <c r="K643" t="n">
        <v>0</v>
      </c>
      <c r="L643" t="n">
        <v>0</v>
      </c>
      <c r="M643" t="n">
        <v>0</v>
      </c>
      <c r="N643" t="n">
        <v>0</v>
      </c>
      <c r="O643" t="n">
        <v>0</v>
      </c>
      <c r="P643" t="n">
        <v>0</v>
      </c>
      <c r="Q643" t="n">
        <v>0</v>
      </c>
      <c r="R643" s="2" t="inlineStr"/>
    </row>
    <row r="644" ht="15" customHeight="1">
      <c r="A644" t="inlineStr">
        <is>
          <t>A 39192-2025</t>
        </is>
      </c>
      <c r="B644" s="1" t="n">
        <v>45888.6775</v>
      </c>
      <c r="C644" s="1" t="n">
        <v>45917</v>
      </c>
      <c r="D644" t="inlineStr">
        <is>
          <t>JÄMTLANDS LÄN</t>
        </is>
      </c>
      <c r="E644" t="inlineStr">
        <is>
          <t>RAGUNDA</t>
        </is>
      </c>
      <c r="F644" t="inlineStr">
        <is>
          <t>Naturvårdsverket</t>
        </is>
      </c>
      <c r="G644" t="n">
        <v>2.3</v>
      </c>
      <c r="H644" t="n">
        <v>0</v>
      </c>
      <c r="I644" t="n">
        <v>0</v>
      </c>
      <c r="J644" t="n">
        <v>0</v>
      </c>
      <c r="K644" t="n">
        <v>0</v>
      </c>
      <c r="L644" t="n">
        <v>0</v>
      </c>
      <c r="M644" t="n">
        <v>0</v>
      </c>
      <c r="N644" t="n">
        <v>0</v>
      </c>
      <c r="O644" t="n">
        <v>0</v>
      </c>
      <c r="P644" t="n">
        <v>0</v>
      </c>
      <c r="Q644" t="n">
        <v>0</v>
      </c>
      <c r="R644" s="2" t="inlineStr"/>
    </row>
    <row r="645" ht="15" customHeight="1">
      <c r="A645" t="inlineStr">
        <is>
          <t>A 34296-2025</t>
        </is>
      </c>
      <c r="B645" s="1" t="n">
        <v>45846.34454861111</v>
      </c>
      <c r="C645" s="1" t="n">
        <v>45917</v>
      </c>
      <c r="D645" t="inlineStr">
        <is>
          <t>JÄMTLANDS LÄN</t>
        </is>
      </c>
      <c r="E645" t="inlineStr">
        <is>
          <t>RAGUNDA</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10641-2024</t>
        </is>
      </c>
      <c r="B646" s="1" t="n">
        <v>45367.69850694444</v>
      </c>
      <c r="C646" s="1" t="n">
        <v>45917</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10644-2024</t>
        </is>
      </c>
      <c r="B647" s="1" t="n">
        <v>45367.71348379629</v>
      </c>
      <c r="C647" s="1" t="n">
        <v>45917</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18375-2022</t>
        </is>
      </c>
      <c r="B648" s="1" t="n">
        <v>44685</v>
      </c>
      <c r="C648" s="1" t="n">
        <v>45917</v>
      </c>
      <c r="D648" t="inlineStr">
        <is>
          <t>JÄMTLANDS LÄN</t>
        </is>
      </c>
      <c r="E648" t="inlineStr">
        <is>
          <t>RAGUNDA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55536-2024</t>
        </is>
      </c>
      <c r="B649" s="1" t="n">
        <v>45622</v>
      </c>
      <c r="C649" s="1" t="n">
        <v>45917</v>
      </c>
      <c r="D649" t="inlineStr">
        <is>
          <t>JÄMTLANDS LÄN</t>
        </is>
      </c>
      <c r="E649" t="inlineStr">
        <is>
          <t>RAGUNDA</t>
        </is>
      </c>
      <c r="G649" t="n">
        <v>0.8</v>
      </c>
      <c r="H649" t="n">
        <v>0</v>
      </c>
      <c r="I649" t="n">
        <v>0</v>
      </c>
      <c r="J649" t="n">
        <v>0</v>
      </c>
      <c r="K649" t="n">
        <v>0</v>
      </c>
      <c r="L649" t="n">
        <v>0</v>
      </c>
      <c r="M649" t="n">
        <v>0</v>
      </c>
      <c r="N649" t="n">
        <v>0</v>
      </c>
      <c r="O649" t="n">
        <v>0</v>
      </c>
      <c r="P649" t="n">
        <v>0</v>
      </c>
      <c r="Q649" t="n">
        <v>0</v>
      </c>
      <c r="R649" s="2" t="inlineStr"/>
    </row>
    <row r="650" ht="15" customHeight="1">
      <c r="A650" t="inlineStr">
        <is>
          <t>A 17559-2023</t>
        </is>
      </c>
      <c r="B650" s="1" t="n">
        <v>45034</v>
      </c>
      <c r="C650" s="1" t="n">
        <v>45917</v>
      </c>
      <c r="D650" t="inlineStr">
        <is>
          <t>JÄMTLANDS LÄN</t>
        </is>
      </c>
      <c r="E650" t="inlineStr">
        <is>
          <t>RAGUNDA</t>
        </is>
      </c>
      <c r="G650" t="n">
        <v>7.5</v>
      </c>
      <c r="H650" t="n">
        <v>0</v>
      </c>
      <c r="I650" t="n">
        <v>0</v>
      </c>
      <c r="J650" t="n">
        <v>0</v>
      </c>
      <c r="K650" t="n">
        <v>0</v>
      </c>
      <c r="L650" t="n">
        <v>0</v>
      </c>
      <c r="M650" t="n">
        <v>0</v>
      </c>
      <c r="N650" t="n">
        <v>0</v>
      </c>
      <c r="O650" t="n">
        <v>0</v>
      </c>
      <c r="P650" t="n">
        <v>0</v>
      </c>
      <c r="Q650" t="n">
        <v>0</v>
      </c>
      <c r="R650" s="2" t="inlineStr"/>
    </row>
    <row r="651" ht="15" customHeight="1">
      <c r="A651" t="inlineStr">
        <is>
          <t>A 2411-2023</t>
        </is>
      </c>
      <c r="B651" s="1" t="n">
        <v>44942</v>
      </c>
      <c r="C651" s="1" t="n">
        <v>45917</v>
      </c>
      <c r="D651" t="inlineStr">
        <is>
          <t>JÄMTLANDS LÄN</t>
        </is>
      </c>
      <c r="E651" t="inlineStr">
        <is>
          <t>RAGUNDA</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11834-2023</t>
        </is>
      </c>
      <c r="B652" s="1" t="n">
        <v>44994.94296296296</v>
      </c>
      <c r="C652" s="1" t="n">
        <v>45917</v>
      </c>
      <c r="D652" t="inlineStr">
        <is>
          <t>JÄMTLANDS LÄN</t>
        </is>
      </c>
      <c r="E652" t="inlineStr">
        <is>
          <t>RAGUNDA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53264-2024</t>
        </is>
      </c>
      <c r="B653" s="1" t="n">
        <v>45614.34545138889</v>
      </c>
      <c r="C653" s="1" t="n">
        <v>45917</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50431-2024</t>
        </is>
      </c>
      <c r="B654" s="1" t="n">
        <v>45601.40686342592</v>
      </c>
      <c r="C654" s="1" t="n">
        <v>45917</v>
      </c>
      <c r="D654" t="inlineStr">
        <is>
          <t>JÄMTLANDS LÄN</t>
        </is>
      </c>
      <c r="E654" t="inlineStr">
        <is>
          <t>RAGUNDA</t>
        </is>
      </c>
      <c r="F654" t="inlineStr">
        <is>
          <t>SCA</t>
        </is>
      </c>
      <c r="G654" t="n">
        <v>8.5</v>
      </c>
      <c r="H654" t="n">
        <v>0</v>
      </c>
      <c r="I654" t="n">
        <v>0</v>
      </c>
      <c r="J654" t="n">
        <v>0</v>
      </c>
      <c r="K654" t="n">
        <v>0</v>
      </c>
      <c r="L654" t="n">
        <v>0</v>
      </c>
      <c r="M654" t="n">
        <v>0</v>
      </c>
      <c r="N654" t="n">
        <v>0</v>
      </c>
      <c r="O654" t="n">
        <v>0</v>
      </c>
      <c r="P654" t="n">
        <v>0</v>
      </c>
      <c r="Q654" t="n">
        <v>0</v>
      </c>
      <c r="R654" s="2" t="inlineStr"/>
    </row>
    <row r="655" ht="15" customHeight="1">
      <c r="A655" t="inlineStr">
        <is>
          <t>A 30826-2023</t>
        </is>
      </c>
      <c r="B655" s="1" t="n">
        <v>45112</v>
      </c>
      <c r="C655" s="1" t="n">
        <v>45917</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16334-2025</t>
        </is>
      </c>
      <c r="B656" s="1" t="n">
        <v>45751.36490740741</v>
      </c>
      <c r="C656" s="1" t="n">
        <v>45917</v>
      </c>
      <c r="D656" t="inlineStr">
        <is>
          <t>JÄMTLANDS LÄN</t>
        </is>
      </c>
      <c r="E656" t="inlineStr">
        <is>
          <t>RAGUNDA</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56191-2022</t>
        </is>
      </c>
      <c r="B657" s="1" t="n">
        <v>44889.95015046297</v>
      </c>
      <c r="C657" s="1" t="n">
        <v>45917</v>
      </c>
      <c r="D657" t="inlineStr">
        <is>
          <t>JÄMTLANDS LÄN</t>
        </is>
      </c>
      <c r="E657" t="inlineStr">
        <is>
          <t>RAGUNDA</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33621-2023</t>
        </is>
      </c>
      <c r="B658" s="1" t="n">
        <v>45119</v>
      </c>
      <c r="C658" s="1" t="n">
        <v>45917</v>
      </c>
      <c r="D658" t="inlineStr">
        <is>
          <t>JÄMTLANDS LÄN</t>
        </is>
      </c>
      <c r="E658" t="inlineStr">
        <is>
          <t>RAGUNDA</t>
        </is>
      </c>
      <c r="G658" t="n">
        <v>0.5</v>
      </c>
      <c r="H658" t="n">
        <v>0</v>
      </c>
      <c r="I658" t="n">
        <v>0</v>
      </c>
      <c r="J658" t="n">
        <v>0</v>
      </c>
      <c r="K658" t="n">
        <v>0</v>
      </c>
      <c r="L658" t="n">
        <v>0</v>
      </c>
      <c r="M658" t="n">
        <v>0</v>
      </c>
      <c r="N658" t="n">
        <v>0</v>
      </c>
      <c r="O658" t="n">
        <v>0</v>
      </c>
      <c r="P658" t="n">
        <v>0</v>
      </c>
      <c r="Q658" t="n">
        <v>0</v>
      </c>
      <c r="R658" s="2" t="inlineStr"/>
    </row>
    <row r="659" ht="15" customHeight="1">
      <c r="A659" t="inlineStr">
        <is>
          <t>A 65216-2023</t>
        </is>
      </c>
      <c r="B659" s="1" t="n">
        <v>45289</v>
      </c>
      <c r="C659" s="1" t="n">
        <v>45917</v>
      </c>
      <c r="D659" t="inlineStr">
        <is>
          <t>JÄMTLANDS LÄN</t>
        </is>
      </c>
      <c r="E659" t="inlineStr">
        <is>
          <t>RAGUNDA</t>
        </is>
      </c>
      <c r="G659" t="n">
        <v>2.9</v>
      </c>
      <c r="H659" t="n">
        <v>0</v>
      </c>
      <c r="I659" t="n">
        <v>0</v>
      </c>
      <c r="J659" t="n">
        <v>0</v>
      </c>
      <c r="K659" t="n">
        <v>0</v>
      </c>
      <c r="L659" t="n">
        <v>0</v>
      </c>
      <c r="M659" t="n">
        <v>0</v>
      </c>
      <c r="N659" t="n">
        <v>0</v>
      </c>
      <c r="O659" t="n">
        <v>0</v>
      </c>
      <c r="P659" t="n">
        <v>0</v>
      </c>
      <c r="Q659" t="n">
        <v>0</v>
      </c>
      <c r="R659" s="2" t="inlineStr"/>
    </row>
    <row r="660" ht="15" customHeight="1">
      <c r="A660" t="inlineStr">
        <is>
          <t>A 60838-2023</t>
        </is>
      </c>
      <c r="B660" s="1" t="n">
        <v>45260.92561342593</v>
      </c>
      <c r="C660" s="1" t="n">
        <v>45917</v>
      </c>
      <c r="D660" t="inlineStr">
        <is>
          <t>JÄMTLANDS LÄN</t>
        </is>
      </c>
      <c r="E660" t="inlineStr">
        <is>
          <t>RAGUNDA</t>
        </is>
      </c>
      <c r="G660" t="n">
        <v>2.7</v>
      </c>
      <c r="H660" t="n">
        <v>0</v>
      </c>
      <c r="I660" t="n">
        <v>0</v>
      </c>
      <c r="J660" t="n">
        <v>0</v>
      </c>
      <c r="K660" t="n">
        <v>0</v>
      </c>
      <c r="L660" t="n">
        <v>0</v>
      </c>
      <c r="M660" t="n">
        <v>0</v>
      </c>
      <c r="N660" t="n">
        <v>0</v>
      </c>
      <c r="O660" t="n">
        <v>0</v>
      </c>
      <c r="P660" t="n">
        <v>0</v>
      </c>
      <c r="Q660" t="n">
        <v>0</v>
      </c>
      <c r="R660" s="2" t="inlineStr"/>
    </row>
    <row r="661" ht="15" customHeight="1">
      <c r="A661" t="inlineStr">
        <is>
          <t>A 2133-2023</t>
        </is>
      </c>
      <c r="B661" s="1" t="n">
        <v>44939</v>
      </c>
      <c r="C661" s="1" t="n">
        <v>45917</v>
      </c>
      <c r="D661" t="inlineStr">
        <is>
          <t>JÄMTLANDS LÄN</t>
        </is>
      </c>
      <c r="E661" t="inlineStr">
        <is>
          <t>RAGUNDA</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7284-2024</t>
        </is>
      </c>
      <c r="B662" s="1" t="n">
        <v>45344.92865740741</v>
      </c>
      <c r="C662" s="1" t="n">
        <v>45917</v>
      </c>
      <c r="D662" t="inlineStr">
        <is>
          <t>JÄMTLANDS LÄN</t>
        </is>
      </c>
      <c r="E662" t="inlineStr">
        <is>
          <t>RAGUNDA</t>
        </is>
      </c>
      <c r="G662" t="n">
        <v>2.1</v>
      </c>
      <c r="H662" t="n">
        <v>0</v>
      </c>
      <c r="I662" t="n">
        <v>0</v>
      </c>
      <c r="J662" t="n">
        <v>0</v>
      </c>
      <c r="K662" t="n">
        <v>0</v>
      </c>
      <c r="L662" t="n">
        <v>0</v>
      </c>
      <c r="M662" t="n">
        <v>0</v>
      </c>
      <c r="N662" t="n">
        <v>0</v>
      </c>
      <c r="O662" t="n">
        <v>0</v>
      </c>
      <c r="P662" t="n">
        <v>0</v>
      </c>
      <c r="Q662" t="n">
        <v>0</v>
      </c>
      <c r="R662" s="2" t="inlineStr"/>
    </row>
    <row r="663" ht="15" customHeight="1">
      <c r="A663" t="inlineStr">
        <is>
          <t>A 7285-2024</t>
        </is>
      </c>
      <c r="B663" s="1" t="n">
        <v>45344.92873842592</v>
      </c>
      <c r="C663" s="1" t="n">
        <v>45917</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34461-2025</t>
        </is>
      </c>
      <c r="B664" s="1" t="n">
        <v>45847.34474537037</v>
      </c>
      <c r="C664" s="1" t="n">
        <v>45917</v>
      </c>
      <c r="D664" t="inlineStr">
        <is>
          <t>JÄMTLANDS LÄN</t>
        </is>
      </c>
      <c r="E664" t="inlineStr">
        <is>
          <t>RAGUNDA</t>
        </is>
      </c>
      <c r="F664" t="inlineStr">
        <is>
          <t>SCA</t>
        </is>
      </c>
      <c r="G664" t="n">
        <v>44.8</v>
      </c>
      <c r="H664" t="n">
        <v>0</v>
      </c>
      <c r="I664" t="n">
        <v>0</v>
      </c>
      <c r="J664" t="n">
        <v>0</v>
      </c>
      <c r="K664" t="n">
        <v>0</v>
      </c>
      <c r="L664" t="n">
        <v>0</v>
      </c>
      <c r="M664" t="n">
        <v>0</v>
      </c>
      <c r="N664" t="n">
        <v>0</v>
      </c>
      <c r="O664" t="n">
        <v>0</v>
      </c>
      <c r="P664" t="n">
        <v>0</v>
      </c>
      <c r="Q664" t="n">
        <v>0</v>
      </c>
      <c r="R664" s="2" t="inlineStr"/>
    </row>
    <row r="665" ht="15" customHeight="1">
      <c r="A665" t="inlineStr">
        <is>
          <t>A 34464-2025</t>
        </is>
      </c>
      <c r="B665" s="1" t="n">
        <v>45847.34528935186</v>
      </c>
      <c r="C665" s="1" t="n">
        <v>45917</v>
      </c>
      <c r="D665" t="inlineStr">
        <is>
          <t>JÄMTLANDS LÄN</t>
        </is>
      </c>
      <c r="E665" t="inlineStr">
        <is>
          <t>RAGUNDA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2242-2024</t>
        </is>
      </c>
      <c r="B666" s="1" t="n">
        <v>45309</v>
      </c>
      <c r="C666" s="1" t="n">
        <v>45917</v>
      </c>
      <c r="D666" t="inlineStr">
        <is>
          <t>JÄMTLANDS LÄN</t>
        </is>
      </c>
      <c r="E666" t="inlineStr">
        <is>
          <t>RAGUNDA</t>
        </is>
      </c>
      <c r="G666" t="n">
        <v>0.9</v>
      </c>
      <c r="H666" t="n">
        <v>0</v>
      </c>
      <c r="I666" t="n">
        <v>0</v>
      </c>
      <c r="J666" t="n">
        <v>0</v>
      </c>
      <c r="K666" t="n">
        <v>0</v>
      </c>
      <c r="L666" t="n">
        <v>0</v>
      </c>
      <c r="M666" t="n">
        <v>0</v>
      </c>
      <c r="N666" t="n">
        <v>0</v>
      </c>
      <c r="O666" t="n">
        <v>0</v>
      </c>
      <c r="P666" t="n">
        <v>0</v>
      </c>
      <c r="Q666" t="n">
        <v>0</v>
      </c>
      <c r="R666" s="2" t="inlineStr"/>
    </row>
    <row r="667" ht="15" customHeight="1">
      <c r="A667" t="inlineStr">
        <is>
          <t>A 2248-2024</t>
        </is>
      </c>
      <c r="B667" s="1" t="n">
        <v>45309</v>
      </c>
      <c r="C667" s="1" t="n">
        <v>45917</v>
      </c>
      <c r="D667" t="inlineStr">
        <is>
          <t>JÄMTLANDS LÄN</t>
        </is>
      </c>
      <c r="E667" t="inlineStr">
        <is>
          <t>RAGUNDA</t>
        </is>
      </c>
      <c r="G667" t="n">
        <v>4.2</v>
      </c>
      <c r="H667" t="n">
        <v>0</v>
      </c>
      <c r="I667" t="n">
        <v>0</v>
      </c>
      <c r="J667" t="n">
        <v>0</v>
      </c>
      <c r="K667" t="n">
        <v>0</v>
      </c>
      <c r="L667" t="n">
        <v>0</v>
      </c>
      <c r="M667" t="n">
        <v>0</v>
      </c>
      <c r="N667" t="n">
        <v>0</v>
      </c>
      <c r="O667" t="n">
        <v>0</v>
      </c>
      <c r="P667" t="n">
        <v>0</v>
      </c>
      <c r="Q667" t="n">
        <v>0</v>
      </c>
      <c r="R667" s="2" t="inlineStr"/>
    </row>
    <row r="668" ht="15" customHeight="1">
      <c r="A668" t="inlineStr">
        <is>
          <t>A 5958-2021</t>
        </is>
      </c>
      <c r="B668" s="1" t="n">
        <v>44231</v>
      </c>
      <c r="C668" s="1" t="n">
        <v>45917</v>
      </c>
      <c r="D668" t="inlineStr">
        <is>
          <t>JÄMTLANDS LÄN</t>
        </is>
      </c>
      <c r="E668" t="inlineStr">
        <is>
          <t>RAGUNDA</t>
        </is>
      </c>
      <c r="G668" t="n">
        <v>3.1</v>
      </c>
      <c r="H668" t="n">
        <v>0</v>
      </c>
      <c r="I668" t="n">
        <v>0</v>
      </c>
      <c r="J668" t="n">
        <v>0</v>
      </c>
      <c r="K668" t="n">
        <v>0</v>
      </c>
      <c r="L668" t="n">
        <v>0</v>
      </c>
      <c r="M668" t="n">
        <v>0</v>
      </c>
      <c r="N668" t="n">
        <v>0</v>
      </c>
      <c r="O668" t="n">
        <v>0</v>
      </c>
      <c r="P668" t="n">
        <v>0</v>
      </c>
      <c r="Q668" t="n">
        <v>0</v>
      </c>
      <c r="R668" s="2" t="inlineStr"/>
    </row>
    <row r="669" ht="15" customHeight="1">
      <c r="A669" t="inlineStr">
        <is>
          <t>A 24197-2024</t>
        </is>
      </c>
      <c r="B669" s="1" t="n">
        <v>45456.96601851852</v>
      </c>
      <c r="C669" s="1" t="n">
        <v>45917</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4916-2025</t>
        </is>
      </c>
      <c r="B670" s="1" t="n">
        <v>45688.68196759259</v>
      </c>
      <c r="C670" s="1" t="n">
        <v>45917</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34468-2025</t>
        </is>
      </c>
      <c r="B671" s="1" t="n">
        <v>45847.34597222223</v>
      </c>
      <c r="C671" s="1" t="n">
        <v>45917</v>
      </c>
      <c r="D671" t="inlineStr">
        <is>
          <t>JÄMTLANDS LÄN</t>
        </is>
      </c>
      <c r="E671" t="inlineStr">
        <is>
          <t>RAGUNDA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34586-2025</t>
        </is>
      </c>
      <c r="B672" s="1" t="n">
        <v>45847.61513888889</v>
      </c>
      <c r="C672" s="1" t="n">
        <v>45917</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34607-2025</t>
        </is>
      </c>
      <c r="B673" s="1" t="n">
        <v>45847.65703703704</v>
      </c>
      <c r="C673" s="1" t="n">
        <v>45917</v>
      </c>
      <c r="D673" t="inlineStr">
        <is>
          <t>JÄMTLANDS LÄN</t>
        </is>
      </c>
      <c r="E673" t="inlineStr">
        <is>
          <t>RAGUNDA</t>
        </is>
      </c>
      <c r="F673" t="inlineStr">
        <is>
          <t>SCA</t>
        </is>
      </c>
      <c r="G673" t="n">
        <v>31.4</v>
      </c>
      <c r="H673" t="n">
        <v>0</v>
      </c>
      <c r="I673" t="n">
        <v>0</v>
      </c>
      <c r="J673" t="n">
        <v>0</v>
      </c>
      <c r="K673" t="n">
        <v>0</v>
      </c>
      <c r="L673" t="n">
        <v>0</v>
      </c>
      <c r="M673" t="n">
        <v>0</v>
      </c>
      <c r="N673" t="n">
        <v>0</v>
      </c>
      <c r="O673" t="n">
        <v>0</v>
      </c>
      <c r="P673" t="n">
        <v>0</v>
      </c>
      <c r="Q673" t="n">
        <v>0</v>
      </c>
      <c r="R673" s="2" t="inlineStr"/>
    </row>
    <row r="674" ht="15" customHeight="1">
      <c r="A674" t="inlineStr">
        <is>
          <t>A 34772-2025</t>
        </is>
      </c>
      <c r="B674" s="1" t="n">
        <v>45848.65658564815</v>
      </c>
      <c r="C674" s="1" t="n">
        <v>45917</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34466-2025</t>
        </is>
      </c>
      <c r="B675" s="1" t="n">
        <v>45847.34565972222</v>
      </c>
      <c r="C675" s="1" t="n">
        <v>45917</v>
      </c>
      <c r="D675" t="inlineStr">
        <is>
          <t>JÄMTLANDS LÄN</t>
        </is>
      </c>
      <c r="E675" t="inlineStr">
        <is>
          <t>RAGUNDA</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34588-2025</t>
        </is>
      </c>
      <c r="B676" s="1" t="n">
        <v>45847.61548611111</v>
      </c>
      <c r="C676" s="1" t="n">
        <v>45917</v>
      </c>
      <c r="D676" t="inlineStr">
        <is>
          <t>JÄMTLANDS LÄN</t>
        </is>
      </c>
      <c r="E676" t="inlineStr">
        <is>
          <t>RAGUNDA</t>
        </is>
      </c>
      <c r="G676" t="n">
        <v>32.3</v>
      </c>
      <c r="H676" t="n">
        <v>0</v>
      </c>
      <c r="I676" t="n">
        <v>0</v>
      </c>
      <c r="J676" t="n">
        <v>0</v>
      </c>
      <c r="K676" t="n">
        <v>0</v>
      </c>
      <c r="L676" t="n">
        <v>0</v>
      </c>
      <c r="M676" t="n">
        <v>0</v>
      </c>
      <c r="N676" t="n">
        <v>0</v>
      </c>
      <c r="O676" t="n">
        <v>0</v>
      </c>
      <c r="P676" t="n">
        <v>0</v>
      </c>
      <c r="Q676" t="n">
        <v>0</v>
      </c>
      <c r="R676" s="2" t="inlineStr"/>
    </row>
    <row r="677" ht="15" customHeight="1">
      <c r="A677" t="inlineStr">
        <is>
          <t>A 39384-2025</t>
        </is>
      </c>
      <c r="B677" s="1" t="n">
        <v>45889.61517361111</v>
      </c>
      <c r="C677" s="1" t="n">
        <v>45917</v>
      </c>
      <c r="D677" t="inlineStr">
        <is>
          <t>JÄMTLANDS LÄN</t>
        </is>
      </c>
      <c r="E677" t="inlineStr">
        <is>
          <t>RAGUNDA</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49647-2024</t>
        </is>
      </c>
      <c r="B678" s="1" t="n">
        <v>45596.61533564814</v>
      </c>
      <c r="C678" s="1" t="n">
        <v>45917</v>
      </c>
      <c r="D678" t="inlineStr">
        <is>
          <t>JÄMTLANDS LÄN</t>
        </is>
      </c>
      <c r="E678" t="inlineStr">
        <is>
          <t>RAGUNDA</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23305-2023</t>
        </is>
      </c>
      <c r="B679" s="1" t="n">
        <v>45075.94506944445</v>
      </c>
      <c r="C679" s="1" t="n">
        <v>45917</v>
      </c>
      <c r="D679" t="inlineStr">
        <is>
          <t>JÄMTLANDS LÄN</t>
        </is>
      </c>
      <c r="E679" t="inlineStr">
        <is>
          <t>RAGUNDA</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34463-2025</t>
        </is>
      </c>
      <c r="B680" s="1" t="n">
        <v>45847.34515046296</v>
      </c>
      <c r="C680" s="1" t="n">
        <v>45917</v>
      </c>
      <c r="D680" t="inlineStr">
        <is>
          <t>JÄMTLANDS LÄN</t>
        </is>
      </c>
      <c r="E680" t="inlineStr">
        <is>
          <t>RAGUNDA</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34710-2025</t>
        </is>
      </c>
      <c r="B681" s="1" t="n">
        <v>45848.49774305556</v>
      </c>
      <c r="C681" s="1" t="n">
        <v>45917</v>
      </c>
      <c r="D681" t="inlineStr">
        <is>
          <t>JÄMTLANDS LÄN</t>
        </is>
      </c>
      <c r="E681" t="inlineStr">
        <is>
          <t>RAGUNDA</t>
        </is>
      </c>
      <c r="G681" t="n">
        <v>4.1</v>
      </c>
      <c r="H681" t="n">
        <v>0</v>
      </c>
      <c r="I681" t="n">
        <v>0</v>
      </c>
      <c r="J681" t="n">
        <v>0</v>
      </c>
      <c r="K681" t="n">
        <v>0</v>
      </c>
      <c r="L681" t="n">
        <v>0</v>
      </c>
      <c r="M681" t="n">
        <v>0</v>
      </c>
      <c r="N681" t="n">
        <v>0</v>
      </c>
      <c r="O681" t="n">
        <v>0</v>
      </c>
      <c r="P681" t="n">
        <v>0</v>
      </c>
      <c r="Q681" t="n">
        <v>0</v>
      </c>
      <c r="R681" s="2" t="inlineStr"/>
    </row>
    <row r="682" ht="15" customHeight="1">
      <c r="A682" t="inlineStr">
        <is>
          <t>A 39947-2025</t>
        </is>
      </c>
      <c r="B682" s="1" t="n">
        <v>45892.34438657408</v>
      </c>
      <c r="C682" s="1" t="n">
        <v>45917</v>
      </c>
      <c r="D682" t="inlineStr">
        <is>
          <t>JÄMTLANDS LÄN</t>
        </is>
      </c>
      <c r="E682" t="inlineStr">
        <is>
          <t>RAGUNDA</t>
        </is>
      </c>
      <c r="G682" t="n">
        <v>6.6</v>
      </c>
      <c r="H682" t="n">
        <v>0</v>
      </c>
      <c r="I682" t="n">
        <v>0</v>
      </c>
      <c r="J682" t="n">
        <v>0</v>
      </c>
      <c r="K682" t="n">
        <v>0</v>
      </c>
      <c r="L682" t="n">
        <v>0</v>
      </c>
      <c r="M682" t="n">
        <v>0</v>
      </c>
      <c r="N682" t="n">
        <v>0</v>
      </c>
      <c r="O682" t="n">
        <v>0</v>
      </c>
      <c r="P682" t="n">
        <v>0</v>
      </c>
      <c r="Q682" t="n">
        <v>0</v>
      </c>
      <c r="R682" s="2" t="inlineStr"/>
    </row>
    <row r="683" ht="15" customHeight="1">
      <c r="A683" t="inlineStr">
        <is>
          <t>A 39950-2025</t>
        </is>
      </c>
      <c r="B683" s="1" t="n">
        <v>45892.38641203703</v>
      </c>
      <c r="C683" s="1" t="n">
        <v>45917</v>
      </c>
      <c r="D683" t="inlineStr">
        <is>
          <t>JÄMTLANDS LÄN</t>
        </is>
      </c>
      <c r="E683" t="inlineStr">
        <is>
          <t>RAGUNDA</t>
        </is>
      </c>
      <c r="G683" t="n">
        <v>1.1</v>
      </c>
      <c r="H683" t="n">
        <v>0</v>
      </c>
      <c r="I683" t="n">
        <v>0</v>
      </c>
      <c r="J683" t="n">
        <v>0</v>
      </c>
      <c r="K683" t="n">
        <v>0</v>
      </c>
      <c r="L683" t="n">
        <v>0</v>
      </c>
      <c r="M683" t="n">
        <v>0</v>
      </c>
      <c r="N683" t="n">
        <v>0</v>
      </c>
      <c r="O683" t="n">
        <v>0</v>
      </c>
      <c r="P683" t="n">
        <v>0</v>
      </c>
      <c r="Q683" t="n">
        <v>0</v>
      </c>
      <c r="R683" s="2" t="inlineStr"/>
    </row>
    <row r="684" ht="15" customHeight="1">
      <c r="A684" t="inlineStr">
        <is>
          <t>A 4615-2023</t>
        </is>
      </c>
      <c r="B684" s="1" t="n">
        <v>44956.93924768519</v>
      </c>
      <c r="C684" s="1" t="n">
        <v>45917</v>
      </c>
      <c r="D684" t="inlineStr">
        <is>
          <t>JÄMTLANDS LÄN</t>
        </is>
      </c>
      <c r="E684" t="inlineStr">
        <is>
          <t>RAGUNDA</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2673-2024</t>
        </is>
      </c>
      <c r="B685" s="1" t="n">
        <v>45314</v>
      </c>
      <c r="C685" s="1" t="n">
        <v>45917</v>
      </c>
      <c r="D685" t="inlineStr">
        <is>
          <t>JÄMTLANDS LÄN</t>
        </is>
      </c>
      <c r="E685" t="inlineStr">
        <is>
          <t>RAGUNDA</t>
        </is>
      </c>
      <c r="G685" t="n">
        <v>0.9</v>
      </c>
      <c r="H685" t="n">
        <v>0</v>
      </c>
      <c r="I685" t="n">
        <v>0</v>
      </c>
      <c r="J685" t="n">
        <v>0</v>
      </c>
      <c r="K685" t="n">
        <v>0</v>
      </c>
      <c r="L685" t="n">
        <v>0</v>
      </c>
      <c r="M685" t="n">
        <v>0</v>
      </c>
      <c r="N685" t="n">
        <v>0</v>
      </c>
      <c r="O685" t="n">
        <v>0</v>
      </c>
      <c r="P685" t="n">
        <v>0</v>
      </c>
      <c r="Q685" t="n">
        <v>0</v>
      </c>
      <c r="R685" s="2" t="inlineStr"/>
    </row>
    <row r="686" ht="15" customHeight="1">
      <c r="A686" t="inlineStr">
        <is>
          <t>A 39946-2025</t>
        </is>
      </c>
      <c r="B686" s="1" t="n">
        <v>45892.34423611111</v>
      </c>
      <c r="C686" s="1" t="n">
        <v>45917</v>
      </c>
      <c r="D686" t="inlineStr">
        <is>
          <t>JÄMTLANDS LÄN</t>
        </is>
      </c>
      <c r="E686" t="inlineStr">
        <is>
          <t>RAGUNDA</t>
        </is>
      </c>
      <c r="G686" t="n">
        <v>4.7</v>
      </c>
      <c r="H686" t="n">
        <v>0</v>
      </c>
      <c r="I686" t="n">
        <v>0</v>
      </c>
      <c r="J686" t="n">
        <v>0</v>
      </c>
      <c r="K686" t="n">
        <v>0</v>
      </c>
      <c r="L686" t="n">
        <v>0</v>
      </c>
      <c r="M686" t="n">
        <v>0</v>
      </c>
      <c r="N686" t="n">
        <v>0</v>
      </c>
      <c r="O686" t="n">
        <v>0</v>
      </c>
      <c r="P686" t="n">
        <v>0</v>
      </c>
      <c r="Q686" t="n">
        <v>0</v>
      </c>
      <c r="R686" s="2" t="inlineStr"/>
    </row>
    <row r="687" ht="15" customHeight="1">
      <c r="A687" t="inlineStr">
        <is>
          <t>A 39948-2025</t>
        </is>
      </c>
      <c r="B687" s="1" t="n">
        <v>45892.38591435185</v>
      </c>
      <c r="C687" s="1" t="n">
        <v>45917</v>
      </c>
      <c r="D687" t="inlineStr">
        <is>
          <t>JÄMTLANDS LÄN</t>
        </is>
      </c>
      <c r="E687" t="inlineStr">
        <is>
          <t>RAGUNDA</t>
        </is>
      </c>
      <c r="G687" t="n">
        <v>5</v>
      </c>
      <c r="H687" t="n">
        <v>0</v>
      </c>
      <c r="I687" t="n">
        <v>0</v>
      </c>
      <c r="J687" t="n">
        <v>0</v>
      </c>
      <c r="K687" t="n">
        <v>0</v>
      </c>
      <c r="L687" t="n">
        <v>0</v>
      </c>
      <c r="M687" t="n">
        <v>0</v>
      </c>
      <c r="N687" t="n">
        <v>0</v>
      </c>
      <c r="O687" t="n">
        <v>0</v>
      </c>
      <c r="P687" t="n">
        <v>0</v>
      </c>
      <c r="Q687" t="n">
        <v>0</v>
      </c>
      <c r="R687" s="2" t="inlineStr"/>
    </row>
    <row r="688" ht="15" customHeight="1">
      <c r="A688" t="inlineStr">
        <is>
          <t>A 39951-2025</t>
        </is>
      </c>
      <c r="B688" s="1" t="n">
        <v>45892.38657407407</v>
      </c>
      <c r="C688" s="1" t="n">
        <v>45917</v>
      </c>
      <c r="D688" t="inlineStr">
        <is>
          <t>JÄMTLANDS LÄN</t>
        </is>
      </c>
      <c r="E688" t="inlineStr">
        <is>
          <t>RAGUNDA</t>
        </is>
      </c>
      <c r="G688" t="n">
        <v>2.3</v>
      </c>
      <c r="H688" t="n">
        <v>0</v>
      </c>
      <c r="I688" t="n">
        <v>0</v>
      </c>
      <c r="J688" t="n">
        <v>0</v>
      </c>
      <c r="K688" t="n">
        <v>0</v>
      </c>
      <c r="L688" t="n">
        <v>0</v>
      </c>
      <c r="M688" t="n">
        <v>0</v>
      </c>
      <c r="N688" t="n">
        <v>0</v>
      </c>
      <c r="O688" t="n">
        <v>0</v>
      </c>
      <c r="P688" t="n">
        <v>0</v>
      </c>
      <c r="Q688" t="n">
        <v>0</v>
      </c>
      <c r="R688" s="2" t="inlineStr"/>
    </row>
    <row r="689" ht="15" customHeight="1">
      <c r="A689" t="inlineStr">
        <is>
          <t>A 6802-2021</t>
        </is>
      </c>
      <c r="B689" s="1" t="n">
        <v>44236</v>
      </c>
      <c r="C689" s="1" t="n">
        <v>45917</v>
      </c>
      <c r="D689" t="inlineStr">
        <is>
          <t>JÄMTLANDS LÄN</t>
        </is>
      </c>
      <c r="E689" t="inlineStr">
        <is>
          <t>RAGUNDA</t>
        </is>
      </c>
      <c r="G689" t="n">
        <v>11.2</v>
      </c>
      <c r="H689" t="n">
        <v>0</v>
      </c>
      <c r="I689" t="n">
        <v>0</v>
      </c>
      <c r="J689" t="n">
        <v>0</v>
      </c>
      <c r="K689" t="n">
        <v>0</v>
      </c>
      <c r="L689" t="n">
        <v>0</v>
      </c>
      <c r="M689" t="n">
        <v>0</v>
      </c>
      <c r="N689" t="n">
        <v>0</v>
      </c>
      <c r="O689" t="n">
        <v>0</v>
      </c>
      <c r="P689" t="n">
        <v>0</v>
      </c>
      <c r="Q689" t="n">
        <v>0</v>
      </c>
      <c r="R689" s="2" t="inlineStr"/>
    </row>
    <row r="690" ht="15" customHeight="1">
      <c r="A690" t="inlineStr">
        <is>
          <t>A 57112-2024</t>
        </is>
      </c>
      <c r="B690" s="1" t="n">
        <v>45629.36486111111</v>
      </c>
      <c r="C690" s="1" t="n">
        <v>45917</v>
      </c>
      <c r="D690" t="inlineStr">
        <is>
          <t>JÄMTLANDS LÄN</t>
        </is>
      </c>
      <c r="E690" t="inlineStr">
        <is>
          <t>RAGUNDA</t>
        </is>
      </c>
      <c r="G690" t="n">
        <v>0.7</v>
      </c>
      <c r="H690" t="n">
        <v>0</v>
      </c>
      <c r="I690" t="n">
        <v>0</v>
      </c>
      <c r="J690" t="n">
        <v>0</v>
      </c>
      <c r="K690" t="n">
        <v>0</v>
      </c>
      <c r="L690" t="n">
        <v>0</v>
      </c>
      <c r="M690" t="n">
        <v>0</v>
      </c>
      <c r="N690" t="n">
        <v>0</v>
      </c>
      <c r="O690" t="n">
        <v>0</v>
      </c>
      <c r="P690" t="n">
        <v>0</v>
      </c>
      <c r="Q690" t="n">
        <v>0</v>
      </c>
      <c r="R690" s="2" t="inlineStr"/>
    </row>
    <row r="691" ht="15" customHeight="1">
      <c r="A691" t="inlineStr">
        <is>
          <t>A 36375-2022</t>
        </is>
      </c>
      <c r="B691" s="1" t="n">
        <v>44803.94351851852</v>
      </c>
      <c r="C691" s="1" t="n">
        <v>45917</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34709-2025</t>
        </is>
      </c>
      <c r="B692" s="1" t="n">
        <v>45848.49761574074</v>
      </c>
      <c r="C692" s="1" t="n">
        <v>45917</v>
      </c>
      <c r="D692" t="inlineStr">
        <is>
          <t>JÄMTLANDS LÄN</t>
        </is>
      </c>
      <c r="E692" t="inlineStr">
        <is>
          <t>RAGUNDA</t>
        </is>
      </c>
      <c r="G692" t="n">
        <v>3.1</v>
      </c>
      <c r="H692" t="n">
        <v>0</v>
      </c>
      <c r="I692" t="n">
        <v>0</v>
      </c>
      <c r="J692" t="n">
        <v>0</v>
      </c>
      <c r="K692" t="n">
        <v>0</v>
      </c>
      <c r="L692" t="n">
        <v>0</v>
      </c>
      <c r="M692" t="n">
        <v>0</v>
      </c>
      <c r="N692" t="n">
        <v>0</v>
      </c>
      <c r="O692" t="n">
        <v>0</v>
      </c>
      <c r="P692" t="n">
        <v>0</v>
      </c>
      <c r="Q692" t="n">
        <v>0</v>
      </c>
      <c r="R692" s="2" t="inlineStr"/>
    </row>
    <row r="693" ht="15" customHeight="1">
      <c r="A693" t="inlineStr">
        <is>
          <t>A 64415-2023</t>
        </is>
      </c>
      <c r="B693" s="1" t="n">
        <v>45280</v>
      </c>
      <c r="C693" s="1" t="n">
        <v>45917</v>
      </c>
      <c r="D693" t="inlineStr">
        <is>
          <t>JÄMTLANDS LÄN</t>
        </is>
      </c>
      <c r="E693" t="inlineStr">
        <is>
          <t>RAGUNDA</t>
        </is>
      </c>
      <c r="G693" t="n">
        <v>5.1</v>
      </c>
      <c r="H693" t="n">
        <v>0</v>
      </c>
      <c r="I693" t="n">
        <v>0</v>
      </c>
      <c r="J693" t="n">
        <v>0</v>
      </c>
      <c r="K693" t="n">
        <v>0</v>
      </c>
      <c r="L693" t="n">
        <v>0</v>
      </c>
      <c r="M693" t="n">
        <v>0</v>
      </c>
      <c r="N693" t="n">
        <v>0</v>
      </c>
      <c r="O693" t="n">
        <v>0</v>
      </c>
      <c r="P693" t="n">
        <v>0</v>
      </c>
      <c r="Q693" t="n">
        <v>0</v>
      </c>
      <c r="R693" s="2" t="inlineStr"/>
    </row>
    <row r="694" ht="15" customHeight="1">
      <c r="A694" t="inlineStr">
        <is>
          <t>A 17667-2025</t>
        </is>
      </c>
      <c r="B694" s="1" t="n">
        <v>45758.36487268518</v>
      </c>
      <c r="C694" s="1" t="n">
        <v>45917</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5148-2023</t>
        </is>
      </c>
      <c r="B695" s="1" t="n">
        <v>44958</v>
      </c>
      <c r="C695" s="1" t="n">
        <v>45917</v>
      </c>
      <c r="D695" t="inlineStr">
        <is>
          <t>JÄMTLANDS LÄN</t>
        </is>
      </c>
      <c r="E695" t="inlineStr">
        <is>
          <t>RAGUNDA</t>
        </is>
      </c>
      <c r="G695" t="n">
        <v>2.9</v>
      </c>
      <c r="H695" t="n">
        <v>0</v>
      </c>
      <c r="I695" t="n">
        <v>0</v>
      </c>
      <c r="J695" t="n">
        <v>0</v>
      </c>
      <c r="K695" t="n">
        <v>0</v>
      </c>
      <c r="L695" t="n">
        <v>0</v>
      </c>
      <c r="M695" t="n">
        <v>0</v>
      </c>
      <c r="N695" t="n">
        <v>0</v>
      </c>
      <c r="O695" t="n">
        <v>0</v>
      </c>
      <c r="P695" t="n">
        <v>0</v>
      </c>
      <c r="Q695" t="n">
        <v>0</v>
      </c>
      <c r="R695" s="2" t="inlineStr"/>
    </row>
    <row r="696" ht="15" customHeight="1">
      <c r="A696" t="inlineStr">
        <is>
          <t>A 51049-2024</t>
        </is>
      </c>
      <c r="B696" s="1" t="n">
        <v>45603.44644675926</v>
      </c>
      <c r="C696" s="1" t="n">
        <v>45917</v>
      </c>
      <c r="D696" t="inlineStr">
        <is>
          <t>JÄMTLANDS LÄN</t>
        </is>
      </c>
      <c r="E696" t="inlineStr">
        <is>
          <t>RAGUNDA</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35092-2025</t>
        </is>
      </c>
      <c r="B697" s="1" t="n">
        <v>45852.53185185185</v>
      </c>
      <c r="C697" s="1" t="n">
        <v>45917</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55489-2024</t>
        </is>
      </c>
      <c r="B698" s="1" t="n">
        <v>45622.44774305556</v>
      </c>
      <c r="C698" s="1" t="n">
        <v>45917</v>
      </c>
      <c r="D698" t="inlineStr">
        <is>
          <t>JÄMTLANDS LÄN</t>
        </is>
      </c>
      <c r="E698" t="inlineStr">
        <is>
          <t>RAGUNDA</t>
        </is>
      </c>
      <c r="G698" t="n">
        <v>1.6</v>
      </c>
      <c r="H698" t="n">
        <v>0</v>
      </c>
      <c r="I698" t="n">
        <v>0</v>
      </c>
      <c r="J698" t="n">
        <v>0</v>
      </c>
      <c r="K698" t="n">
        <v>0</v>
      </c>
      <c r="L698" t="n">
        <v>0</v>
      </c>
      <c r="M698" t="n">
        <v>0</v>
      </c>
      <c r="N698" t="n">
        <v>0</v>
      </c>
      <c r="O698" t="n">
        <v>0</v>
      </c>
      <c r="P698" t="n">
        <v>0</v>
      </c>
      <c r="Q698" t="n">
        <v>0</v>
      </c>
      <c r="R698" s="2" t="inlineStr"/>
    </row>
    <row r="699" ht="15" customHeight="1">
      <c r="A699" t="inlineStr">
        <is>
          <t>A 39956-2025</t>
        </is>
      </c>
      <c r="B699" s="1" t="n">
        <v>45892.44840277778</v>
      </c>
      <c r="C699" s="1" t="n">
        <v>45917</v>
      </c>
      <c r="D699" t="inlineStr">
        <is>
          <t>JÄMTLANDS LÄN</t>
        </is>
      </c>
      <c r="E699" t="inlineStr">
        <is>
          <t>RAGUNDA</t>
        </is>
      </c>
      <c r="G699" t="n">
        <v>3.6</v>
      </c>
      <c r="H699" t="n">
        <v>0</v>
      </c>
      <c r="I699" t="n">
        <v>0</v>
      </c>
      <c r="J699" t="n">
        <v>0</v>
      </c>
      <c r="K699" t="n">
        <v>0</v>
      </c>
      <c r="L699" t="n">
        <v>0</v>
      </c>
      <c r="M699" t="n">
        <v>0</v>
      </c>
      <c r="N699" t="n">
        <v>0</v>
      </c>
      <c r="O699" t="n">
        <v>0</v>
      </c>
      <c r="P699" t="n">
        <v>0</v>
      </c>
      <c r="Q699" t="n">
        <v>0</v>
      </c>
      <c r="R699" s="2" t="inlineStr"/>
    </row>
    <row r="700" ht="15" customHeight="1">
      <c r="A700" t="inlineStr">
        <is>
          <t>A 34998-2025</t>
        </is>
      </c>
      <c r="B700" s="1" t="n">
        <v>45850.34434027778</v>
      </c>
      <c r="C700" s="1" t="n">
        <v>45917</v>
      </c>
      <c r="D700" t="inlineStr">
        <is>
          <t>JÄMTLANDS LÄN</t>
        </is>
      </c>
      <c r="E700" t="inlineStr">
        <is>
          <t>RAGUNDA</t>
        </is>
      </c>
      <c r="G700" t="n">
        <v>1.4</v>
      </c>
      <c r="H700" t="n">
        <v>0</v>
      </c>
      <c r="I700" t="n">
        <v>0</v>
      </c>
      <c r="J700" t="n">
        <v>0</v>
      </c>
      <c r="K700" t="n">
        <v>0</v>
      </c>
      <c r="L700" t="n">
        <v>0</v>
      </c>
      <c r="M700" t="n">
        <v>0</v>
      </c>
      <c r="N700" t="n">
        <v>0</v>
      </c>
      <c r="O700" t="n">
        <v>0</v>
      </c>
      <c r="P700" t="n">
        <v>0</v>
      </c>
      <c r="Q700" t="n">
        <v>0</v>
      </c>
      <c r="R700" s="2" t="inlineStr"/>
    </row>
    <row r="701" ht="15" customHeight="1">
      <c r="A701" t="inlineStr">
        <is>
          <t>A 14074-2023</t>
        </is>
      </c>
      <c r="B701" s="1" t="n">
        <v>45009.089375</v>
      </c>
      <c r="C701" s="1" t="n">
        <v>45917</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38782-2021</t>
        </is>
      </c>
      <c r="B702" s="1" t="n">
        <v>44410</v>
      </c>
      <c r="C702" s="1" t="n">
        <v>45917</v>
      </c>
      <c r="D702" t="inlineStr">
        <is>
          <t>JÄMTLANDS LÄN</t>
        </is>
      </c>
      <c r="E702" t="inlineStr">
        <is>
          <t>RAGUNDA</t>
        </is>
      </c>
      <c r="G702" t="n">
        <v>3.2</v>
      </c>
      <c r="H702" t="n">
        <v>0</v>
      </c>
      <c r="I702" t="n">
        <v>0</v>
      </c>
      <c r="J702" t="n">
        <v>0</v>
      </c>
      <c r="K702" t="n">
        <v>0</v>
      </c>
      <c r="L702" t="n">
        <v>0</v>
      </c>
      <c r="M702" t="n">
        <v>0</v>
      </c>
      <c r="N702" t="n">
        <v>0</v>
      </c>
      <c r="O702" t="n">
        <v>0</v>
      </c>
      <c r="P702" t="n">
        <v>0</v>
      </c>
      <c r="Q702" t="n">
        <v>0</v>
      </c>
      <c r="R702" s="2" t="inlineStr"/>
    </row>
    <row r="703" ht="15" customHeight="1">
      <c r="A703" t="inlineStr">
        <is>
          <t>A 16250-2022</t>
        </is>
      </c>
      <c r="B703" s="1" t="n">
        <v>44670</v>
      </c>
      <c r="C703" s="1" t="n">
        <v>45917</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34968-2025</t>
        </is>
      </c>
      <c r="B704" s="1" t="n">
        <v>45849.65663194445</v>
      </c>
      <c r="C704" s="1" t="n">
        <v>45917</v>
      </c>
      <c r="D704" t="inlineStr">
        <is>
          <t>JÄMTLANDS LÄN</t>
        </is>
      </c>
      <c r="E704" t="inlineStr">
        <is>
          <t>RAGUNDA</t>
        </is>
      </c>
      <c r="F704" t="inlineStr">
        <is>
          <t>SCA</t>
        </is>
      </c>
      <c r="G704" t="n">
        <v>20.2</v>
      </c>
      <c r="H704" t="n">
        <v>0</v>
      </c>
      <c r="I704" t="n">
        <v>0</v>
      </c>
      <c r="J704" t="n">
        <v>0</v>
      </c>
      <c r="K704" t="n">
        <v>0</v>
      </c>
      <c r="L704" t="n">
        <v>0</v>
      </c>
      <c r="M704" t="n">
        <v>0</v>
      </c>
      <c r="N704" t="n">
        <v>0</v>
      </c>
      <c r="O704" t="n">
        <v>0</v>
      </c>
      <c r="P704" t="n">
        <v>0</v>
      </c>
      <c r="Q704" t="n">
        <v>0</v>
      </c>
      <c r="R704" s="2" t="inlineStr"/>
    </row>
    <row r="705" ht="15" customHeight="1">
      <c r="A705" t="inlineStr">
        <is>
          <t>A 39949-2025</t>
        </is>
      </c>
      <c r="B705" s="1" t="n">
        <v>45892.38619212963</v>
      </c>
      <c r="C705" s="1" t="n">
        <v>45917</v>
      </c>
      <c r="D705" t="inlineStr">
        <is>
          <t>JÄMTLANDS LÄN</t>
        </is>
      </c>
      <c r="E705" t="inlineStr">
        <is>
          <t>RAGUNDA</t>
        </is>
      </c>
      <c r="G705" t="n">
        <v>1.4</v>
      </c>
      <c r="H705" t="n">
        <v>0</v>
      </c>
      <c r="I705" t="n">
        <v>0</v>
      </c>
      <c r="J705" t="n">
        <v>0</v>
      </c>
      <c r="K705" t="n">
        <v>0</v>
      </c>
      <c r="L705" t="n">
        <v>0</v>
      </c>
      <c r="M705" t="n">
        <v>0</v>
      </c>
      <c r="N705" t="n">
        <v>0</v>
      </c>
      <c r="O705" t="n">
        <v>0</v>
      </c>
      <c r="P705" t="n">
        <v>0</v>
      </c>
      <c r="Q705" t="n">
        <v>0</v>
      </c>
      <c r="R705" s="2" t="inlineStr"/>
    </row>
    <row r="706" ht="15" customHeight="1">
      <c r="A706" t="inlineStr">
        <is>
          <t>A 39955-2025</t>
        </is>
      </c>
      <c r="B706" s="1" t="n">
        <v>45892.44824074074</v>
      </c>
      <c r="C706" s="1" t="n">
        <v>45917</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54764-2024</t>
        </is>
      </c>
      <c r="B707" s="1" t="n">
        <v>45618.46921296296</v>
      </c>
      <c r="C707" s="1" t="n">
        <v>45917</v>
      </c>
      <c r="D707" t="inlineStr">
        <is>
          <t>JÄMTLANDS LÄN</t>
        </is>
      </c>
      <c r="E707" t="inlineStr">
        <is>
          <t>RAGUNDA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34999-2025</t>
        </is>
      </c>
      <c r="B708" s="1" t="n">
        <v>45850.34450231482</v>
      </c>
      <c r="C708" s="1" t="n">
        <v>45917</v>
      </c>
      <c r="D708" t="inlineStr">
        <is>
          <t>JÄMTLANDS LÄN</t>
        </is>
      </c>
      <c r="E708" t="inlineStr">
        <is>
          <t>RAGUNDA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35091-2025</t>
        </is>
      </c>
      <c r="B709" s="1" t="n">
        <v>45852.53168981482</v>
      </c>
      <c r="C709" s="1" t="n">
        <v>45917</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13334-2024</t>
        </is>
      </c>
      <c r="B710" s="1" t="n">
        <v>45386</v>
      </c>
      <c r="C710" s="1" t="n">
        <v>45917</v>
      </c>
      <c r="D710" t="inlineStr">
        <is>
          <t>JÄMTLANDS LÄN</t>
        </is>
      </c>
      <c r="E710" t="inlineStr">
        <is>
          <t>RAGUNDA</t>
        </is>
      </c>
      <c r="G710" t="n">
        <v>8.6</v>
      </c>
      <c r="H710" t="n">
        <v>0</v>
      </c>
      <c r="I710" t="n">
        <v>0</v>
      </c>
      <c r="J710" t="n">
        <v>0</v>
      </c>
      <c r="K710" t="n">
        <v>0</v>
      </c>
      <c r="L710" t="n">
        <v>0</v>
      </c>
      <c r="M710" t="n">
        <v>0</v>
      </c>
      <c r="N710" t="n">
        <v>0</v>
      </c>
      <c r="O710" t="n">
        <v>0</v>
      </c>
      <c r="P710" t="n">
        <v>0</v>
      </c>
      <c r="Q710" t="n">
        <v>0</v>
      </c>
      <c r="R710" s="2" t="inlineStr"/>
    </row>
    <row r="711" ht="15" customHeight="1">
      <c r="A711" t="inlineStr">
        <is>
          <t>A 7279-2024</t>
        </is>
      </c>
      <c r="B711" s="1" t="n">
        <v>45344.92822916667</v>
      </c>
      <c r="C711" s="1" t="n">
        <v>45917</v>
      </c>
      <c r="D711" t="inlineStr">
        <is>
          <t>JÄMTLANDS LÄN</t>
        </is>
      </c>
      <c r="E711" t="inlineStr">
        <is>
          <t>RAGUNDA</t>
        </is>
      </c>
      <c r="G711" t="n">
        <v>2.1</v>
      </c>
      <c r="H711" t="n">
        <v>0</v>
      </c>
      <c r="I711" t="n">
        <v>0</v>
      </c>
      <c r="J711" t="n">
        <v>0</v>
      </c>
      <c r="K711" t="n">
        <v>0</v>
      </c>
      <c r="L711" t="n">
        <v>0</v>
      </c>
      <c r="M711" t="n">
        <v>0</v>
      </c>
      <c r="N711" t="n">
        <v>0</v>
      </c>
      <c r="O711" t="n">
        <v>0</v>
      </c>
      <c r="P711" t="n">
        <v>0</v>
      </c>
      <c r="Q711" t="n">
        <v>0</v>
      </c>
      <c r="R711" s="2" t="inlineStr"/>
    </row>
    <row r="712" ht="15" customHeight="1">
      <c r="A712" t="inlineStr">
        <is>
          <t>A 55669-2023</t>
        </is>
      </c>
      <c r="B712" s="1" t="n">
        <v>45238.96797453704</v>
      </c>
      <c r="C712" s="1" t="n">
        <v>45917</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35355-2025</t>
        </is>
      </c>
      <c r="B713" s="1" t="n">
        <v>45854.65663194445</v>
      </c>
      <c r="C713" s="1" t="n">
        <v>45917</v>
      </c>
      <c r="D713" t="inlineStr">
        <is>
          <t>JÄMTLANDS LÄN</t>
        </is>
      </c>
      <c r="E713" t="inlineStr">
        <is>
          <t>RAGUNDA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51389-2024</t>
        </is>
      </c>
      <c r="B714" s="1" t="n">
        <v>45604.40540509259</v>
      </c>
      <c r="C714" s="1" t="n">
        <v>45917</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51393-2024</t>
        </is>
      </c>
      <c r="B715" s="1" t="n">
        <v>45604.41625</v>
      </c>
      <c r="C715" s="1" t="n">
        <v>45917</v>
      </c>
      <c r="D715" t="inlineStr">
        <is>
          <t>JÄMTLANDS LÄN</t>
        </is>
      </c>
      <c r="E715" t="inlineStr">
        <is>
          <t>RAGUNDA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43339-2024</t>
        </is>
      </c>
      <c r="B716" s="1" t="n">
        <v>45568.51075231482</v>
      </c>
      <c r="C716" s="1" t="n">
        <v>45917</v>
      </c>
      <c r="D716" t="inlineStr">
        <is>
          <t>JÄMTLANDS LÄN</t>
        </is>
      </c>
      <c r="E716" t="inlineStr">
        <is>
          <t>RAGUNDA</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38548-2024</t>
        </is>
      </c>
      <c r="B717" s="1" t="n">
        <v>45546</v>
      </c>
      <c r="C717" s="1" t="n">
        <v>45917</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25304-2023</t>
        </is>
      </c>
      <c r="B718" s="1" t="n">
        <v>45086</v>
      </c>
      <c r="C718" s="1" t="n">
        <v>45917</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40586-2025</t>
        </is>
      </c>
      <c r="B719" s="1" t="n">
        <v>45896.52478009259</v>
      </c>
      <c r="C719" s="1" t="n">
        <v>45917</v>
      </c>
      <c r="D719" t="inlineStr">
        <is>
          <t>JÄMTLANDS LÄN</t>
        </is>
      </c>
      <c r="E719" t="inlineStr">
        <is>
          <t>RAGUNDA</t>
        </is>
      </c>
      <c r="G719" t="n">
        <v>1.2</v>
      </c>
      <c r="H719" t="n">
        <v>0</v>
      </c>
      <c r="I719" t="n">
        <v>0</v>
      </c>
      <c r="J719" t="n">
        <v>0</v>
      </c>
      <c r="K719" t="n">
        <v>0</v>
      </c>
      <c r="L719" t="n">
        <v>0</v>
      </c>
      <c r="M719" t="n">
        <v>0</v>
      </c>
      <c r="N719" t="n">
        <v>0</v>
      </c>
      <c r="O719" t="n">
        <v>0</v>
      </c>
      <c r="P719" t="n">
        <v>0</v>
      </c>
      <c r="Q719" t="n">
        <v>0</v>
      </c>
      <c r="R719" s="2" t="inlineStr"/>
    </row>
    <row r="720" ht="15" customHeight="1">
      <c r="A720" t="inlineStr">
        <is>
          <t>A 1809-2025</t>
        </is>
      </c>
      <c r="B720" s="1" t="n">
        <v>45671.48989583334</v>
      </c>
      <c r="C720" s="1" t="n">
        <v>45917</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10706-2023</t>
        </is>
      </c>
      <c r="B721" s="1" t="n">
        <v>44984</v>
      </c>
      <c r="C721" s="1" t="n">
        <v>45917</v>
      </c>
      <c r="D721" t="inlineStr">
        <is>
          <t>JÄMTLANDS LÄN</t>
        </is>
      </c>
      <c r="E721" t="inlineStr">
        <is>
          <t>RAGUNDA</t>
        </is>
      </c>
      <c r="G721" t="n">
        <v>7.7</v>
      </c>
      <c r="H721" t="n">
        <v>0</v>
      </c>
      <c r="I721" t="n">
        <v>0</v>
      </c>
      <c r="J721" t="n">
        <v>0</v>
      </c>
      <c r="K721" t="n">
        <v>0</v>
      </c>
      <c r="L721" t="n">
        <v>0</v>
      </c>
      <c r="M721" t="n">
        <v>0</v>
      </c>
      <c r="N721" t="n">
        <v>0</v>
      </c>
      <c r="O721" t="n">
        <v>0</v>
      </c>
      <c r="P721" t="n">
        <v>0</v>
      </c>
      <c r="Q721" t="n">
        <v>0</v>
      </c>
      <c r="R721" s="2" t="inlineStr"/>
    </row>
    <row r="722" ht="15" customHeight="1">
      <c r="A722" t="inlineStr">
        <is>
          <t>A 891-2022</t>
        </is>
      </c>
      <c r="B722" s="1" t="n">
        <v>44571</v>
      </c>
      <c r="C722" s="1" t="n">
        <v>45917</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8416-2023</t>
        </is>
      </c>
      <c r="B723" s="1" t="n">
        <v>44977.44373842593</v>
      </c>
      <c r="C723" s="1" t="n">
        <v>45917</v>
      </c>
      <c r="D723" t="inlineStr">
        <is>
          <t>JÄMTLANDS LÄN</t>
        </is>
      </c>
      <c r="E723" t="inlineStr">
        <is>
          <t>RAGUNDA</t>
        </is>
      </c>
      <c r="G723" t="n">
        <v>0.7</v>
      </c>
      <c r="H723" t="n">
        <v>0</v>
      </c>
      <c r="I723" t="n">
        <v>0</v>
      </c>
      <c r="J723" t="n">
        <v>0</v>
      </c>
      <c r="K723" t="n">
        <v>0</v>
      </c>
      <c r="L723" t="n">
        <v>0</v>
      </c>
      <c r="M723" t="n">
        <v>0</v>
      </c>
      <c r="N723" t="n">
        <v>0</v>
      </c>
      <c r="O723" t="n">
        <v>0</v>
      </c>
      <c r="P723" t="n">
        <v>0</v>
      </c>
      <c r="Q723" t="n">
        <v>0</v>
      </c>
      <c r="R723" s="2" t="inlineStr"/>
    </row>
    <row r="724" ht="15" customHeight="1">
      <c r="A724" t="inlineStr">
        <is>
          <t>A 40801-2023</t>
        </is>
      </c>
      <c r="B724" s="1" t="n">
        <v>45170</v>
      </c>
      <c r="C724" s="1" t="n">
        <v>45917</v>
      </c>
      <c r="D724" t="inlineStr">
        <is>
          <t>JÄMTLANDS LÄN</t>
        </is>
      </c>
      <c r="E724" t="inlineStr">
        <is>
          <t>RAGUNDA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26026-2024</t>
        </is>
      </c>
      <c r="B725" s="1" t="n">
        <v>45467.96207175926</v>
      </c>
      <c r="C725" s="1" t="n">
        <v>45917</v>
      </c>
      <c r="D725" t="inlineStr">
        <is>
          <t>JÄMTLANDS LÄN</t>
        </is>
      </c>
      <c r="E725" t="inlineStr">
        <is>
          <t>RAGUNDA</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5971-2025</t>
        </is>
      </c>
      <c r="B726" s="1" t="n">
        <v>45695.51070601852</v>
      </c>
      <c r="C726" s="1" t="n">
        <v>45917</v>
      </c>
      <c r="D726" t="inlineStr">
        <is>
          <t>JÄMTLANDS LÄN</t>
        </is>
      </c>
      <c r="E726" t="inlineStr">
        <is>
          <t>RAGUNDA</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27499-2024</t>
        </is>
      </c>
      <c r="B727" s="1" t="n">
        <v>45474.50608796296</v>
      </c>
      <c r="C727" s="1" t="n">
        <v>45917</v>
      </c>
      <c r="D727" t="inlineStr">
        <is>
          <t>JÄMTLANDS LÄN</t>
        </is>
      </c>
      <c r="E727" t="inlineStr">
        <is>
          <t>RAGUNDA</t>
        </is>
      </c>
      <c r="G727" t="n">
        <v>1.3</v>
      </c>
      <c r="H727" t="n">
        <v>0</v>
      </c>
      <c r="I727" t="n">
        <v>0</v>
      </c>
      <c r="J727" t="n">
        <v>0</v>
      </c>
      <c r="K727" t="n">
        <v>0</v>
      </c>
      <c r="L727" t="n">
        <v>0</v>
      </c>
      <c r="M727" t="n">
        <v>0</v>
      </c>
      <c r="N727" t="n">
        <v>0</v>
      </c>
      <c r="O727" t="n">
        <v>0</v>
      </c>
      <c r="P727" t="n">
        <v>0</v>
      </c>
      <c r="Q727" t="n">
        <v>0</v>
      </c>
      <c r="R727" s="2" t="inlineStr"/>
    </row>
    <row r="728" ht="15" customHeight="1">
      <c r="A728" t="inlineStr">
        <is>
          <t>A 52148-2024</t>
        </is>
      </c>
      <c r="B728" s="1" t="n">
        <v>45608.52354166667</v>
      </c>
      <c r="C728" s="1" t="n">
        <v>45917</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41161-2025</t>
        </is>
      </c>
      <c r="B729" s="1" t="n">
        <v>45898.53193287037</v>
      </c>
      <c r="C729" s="1" t="n">
        <v>45917</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41262-2025</t>
        </is>
      </c>
      <c r="B730" s="1" t="n">
        <v>45898.61502314815</v>
      </c>
      <c r="C730" s="1" t="n">
        <v>45917</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462-2023</t>
        </is>
      </c>
      <c r="B731" s="1" t="n">
        <v>44929</v>
      </c>
      <c r="C731" s="1" t="n">
        <v>45917</v>
      </c>
      <c r="D731" t="inlineStr">
        <is>
          <t>JÄMTLANDS LÄN</t>
        </is>
      </c>
      <c r="E731" t="inlineStr">
        <is>
          <t>RAGUNDA</t>
        </is>
      </c>
      <c r="G731" t="n">
        <v>4.5</v>
      </c>
      <c r="H731" t="n">
        <v>0</v>
      </c>
      <c r="I731" t="n">
        <v>0</v>
      </c>
      <c r="J731" t="n">
        <v>0</v>
      </c>
      <c r="K731" t="n">
        <v>0</v>
      </c>
      <c r="L731" t="n">
        <v>0</v>
      </c>
      <c r="M731" t="n">
        <v>0</v>
      </c>
      <c r="N731" t="n">
        <v>0</v>
      </c>
      <c r="O731" t="n">
        <v>0</v>
      </c>
      <c r="P731" t="n">
        <v>0</v>
      </c>
      <c r="Q731" t="n">
        <v>0</v>
      </c>
      <c r="R731" s="2" t="inlineStr"/>
    </row>
    <row r="732" ht="15" customHeight="1">
      <c r="A732" t="inlineStr">
        <is>
          <t>A 35477-2025</t>
        </is>
      </c>
      <c r="B732" s="1" t="n">
        <v>45855.67899305555</v>
      </c>
      <c r="C732" s="1" t="n">
        <v>45917</v>
      </c>
      <c r="D732" t="inlineStr">
        <is>
          <t>JÄMTLANDS LÄN</t>
        </is>
      </c>
      <c r="E732" t="inlineStr">
        <is>
          <t>RAGUNDA</t>
        </is>
      </c>
      <c r="G732" t="n">
        <v>3.6</v>
      </c>
      <c r="H732" t="n">
        <v>0</v>
      </c>
      <c r="I732" t="n">
        <v>0</v>
      </c>
      <c r="J732" t="n">
        <v>0</v>
      </c>
      <c r="K732" t="n">
        <v>0</v>
      </c>
      <c r="L732" t="n">
        <v>0</v>
      </c>
      <c r="M732" t="n">
        <v>0</v>
      </c>
      <c r="N732" t="n">
        <v>0</v>
      </c>
      <c r="O732" t="n">
        <v>0</v>
      </c>
      <c r="P732" t="n">
        <v>0</v>
      </c>
      <c r="Q732" t="n">
        <v>0</v>
      </c>
      <c r="R732" s="2" t="inlineStr"/>
    </row>
    <row r="733" ht="15" customHeight="1">
      <c r="A733" t="inlineStr">
        <is>
          <t>A 35541-2025</t>
        </is>
      </c>
      <c r="B733" s="1" t="n">
        <v>45856.46931712963</v>
      </c>
      <c r="C733" s="1" t="n">
        <v>45917</v>
      </c>
      <c r="D733" t="inlineStr">
        <is>
          <t>JÄMTLANDS LÄN</t>
        </is>
      </c>
      <c r="E733" t="inlineStr">
        <is>
          <t>RAGUNDA</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35462-2025</t>
        </is>
      </c>
      <c r="B734" s="1" t="n">
        <v>45855.61523148148</v>
      </c>
      <c r="C734" s="1" t="n">
        <v>45917</v>
      </c>
      <c r="D734" t="inlineStr">
        <is>
          <t>JÄMTLANDS LÄN</t>
        </is>
      </c>
      <c r="E734" t="inlineStr">
        <is>
          <t>RAGUNDA</t>
        </is>
      </c>
      <c r="F734" t="inlineStr">
        <is>
          <t>SCA</t>
        </is>
      </c>
      <c r="G734" t="n">
        <v>5.7</v>
      </c>
      <c r="H734" t="n">
        <v>0</v>
      </c>
      <c r="I734" t="n">
        <v>0</v>
      </c>
      <c r="J734" t="n">
        <v>0</v>
      </c>
      <c r="K734" t="n">
        <v>0</v>
      </c>
      <c r="L734" t="n">
        <v>0</v>
      </c>
      <c r="M734" t="n">
        <v>0</v>
      </c>
      <c r="N734" t="n">
        <v>0</v>
      </c>
      <c r="O734" t="n">
        <v>0</v>
      </c>
      <c r="P734" t="n">
        <v>0</v>
      </c>
      <c r="Q734" t="n">
        <v>0</v>
      </c>
      <c r="R734" s="2" t="inlineStr"/>
    </row>
    <row r="735" ht="15" customHeight="1">
      <c r="A735" t="inlineStr">
        <is>
          <t>A 41140-2025</t>
        </is>
      </c>
      <c r="B735" s="1" t="n">
        <v>45898.49012731481</v>
      </c>
      <c r="C735" s="1" t="n">
        <v>45917</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51537-2022</t>
        </is>
      </c>
      <c r="B736" s="1" t="n">
        <v>44869</v>
      </c>
      <c r="C736" s="1" t="n">
        <v>45917</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26645-2024</t>
        </is>
      </c>
      <c r="B737" s="1" t="n">
        <v>45469.94667824074</v>
      </c>
      <c r="C737" s="1" t="n">
        <v>45917</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32258-2024</t>
        </is>
      </c>
      <c r="B738" s="1" t="n">
        <v>45511</v>
      </c>
      <c r="C738" s="1" t="n">
        <v>45917</v>
      </c>
      <c r="D738" t="inlineStr">
        <is>
          <t>JÄMTLANDS LÄN</t>
        </is>
      </c>
      <c r="E738" t="inlineStr">
        <is>
          <t>RAGUNDA</t>
        </is>
      </c>
      <c r="F738" t="inlineStr">
        <is>
          <t>SCA</t>
        </is>
      </c>
      <c r="G738" t="n">
        <v>5.5</v>
      </c>
      <c r="H738" t="n">
        <v>0</v>
      </c>
      <c r="I738" t="n">
        <v>0</v>
      </c>
      <c r="J738" t="n">
        <v>0</v>
      </c>
      <c r="K738" t="n">
        <v>0</v>
      </c>
      <c r="L738" t="n">
        <v>0</v>
      </c>
      <c r="M738" t="n">
        <v>0</v>
      </c>
      <c r="N738" t="n">
        <v>0</v>
      </c>
      <c r="O738" t="n">
        <v>0</v>
      </c>
      <c r="P738" t="n">
        <v>0</v>
      </c>
      <c r="Q738" t="n">
        <v>0</v>
      </c>
      <c r="R738" s="2" t="inlineStr"/>
    </row>
    <row r="739" ht="15" customHeight="1">
      <c r="A739" t="inlineStr">
        <is>
          <t>A 41233-2025</t>
        </is>
      </c>
      <c r="B739" s="1" t="n">
        <v>45898.59295138889</v>
      </c>
      <c r="C739" s="1" t="n">
        <v>45917</v>
      </c>
      <c r="D739" t="inlineStr">
        <is>
          <t>JÄMTLANDS LÄN</t>
        </is>
      </c>
      <c r="E739" t="inlineStr">
        <is>
          <t>RAGUNDA</t>
        </is>
      </c>
      <c r="G739" t="n">
        <v>1.7</v>
      </c>
      <c r="H739" t="n">
        <v>0</v>
      </c>
      <c r="I739" t="n">
        <v>0</v>
      </c>
      <c r="J739" t="n">
        <v>0</v>
      </c>
      <c r="K739" t="n">
        <v>0</v>
      </c>
      <c r="L739" t="n">
        <v>0</v>
      </c>
      <c r="M739" t="n">
        <v>0</v>
      </c>
      <c r="N739" t="n">
        <v>0</v>
      </c>
      <c r="O739" t="n">
        <v>0</v>
      </c>
      <c r="P739" t="n">
        <v>0</v>
      </c>
      <c r="Q739" t="n">
        <v>0</v>
      </c>
      <c r="R739" s="2" t="inlineStr"/>
    </row>
    <row r="740" ht="15" customHeight="1">
      <c r="A740" t="inlineStr">
        <is>
          <t>A 12995-2023</t>
        </is>
      </c>
      <c r="B740" s="1" t="n">
        <v>45002.0328125</v>
      </c>
      <c r="C740" s="1" t="n">
        <v>45917</v>
      </c>
      <c r="D740" t="inlineStr">
        <is>
          <t>JÄMTLANDS LÄN</t>
        </is>
      </c>
      <c r="E740" t="inlineStr">
        <is>
          <t>RAGUNDA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35689-2025</t>
        </is>
      </c>
      <c r="B741" s="1" t="n">
        <v>45860.30229166667</v>
      </c>
      <c r="C741" s="1" t="n">
        <v>45917</v>
      </c>
      <c r="D741" t="inlineStr">
        <is>
          <t>JÄMTLANDS LÄN</t>
        </is>
      </c>
      <c r="E741" t="inlineStr">
        <is>
          <t>RAGUNDA</t>
        </is>
      </c>
      <c r="G741" t="n">
        <v>1.9</v>
      </c>
      <c r="H741" t="n">
        <v>0</v>
      </c>
      <c r="I741" t="n">
        <v>0</v>
      </c>
      <c r="J741" t="n">
        <v>0</v>
      </c>
      <c r="K741" t="n">
        <v>0</v>
      </c>
      <c r="L741" t="n">
        <v>0</v>
      </c>
      <c r="M741" t="n">
        <v>0</v>
      </c>
      <c r="N741" t="n">
        <v>0</v>
      </c>
      <c r="O741" t="n">
        <v>0</v>
      </c>
      <c r="P741" t="n">
        <v>0</v>
      </c>
      <c r="Q741" t="n">
        <v>0</v>
      </c>
      <c r="R741" s="2" t="inlineStr"/>
    </row>
    <row r="742" ht="15" customHeight="1">
      <c r="A742" t="inlineStr">
        <is>
          <t>A 41656-2025</t>
        </is>
      </c>
      <c r="B742" s="1" t="n">
        <v>45902.34423611111</v>
      </c>
      <c r="C742" s="1" t="n">
        <v>45917</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41422-2025</t>
        </is>
      </c>
      <c r="B743" s="1" t="n">
        <v>45901.38572916666</v>
      </c>
      <c r="C743" s="1" t="n">
        <v>45917</v>
      </c>
      <c r="D743" t="inlineStr">
        <is>
          <t>JÄMTLANDS LÄN</t>
        </is>
      </c>
      <c r="E743" t="inlineStr">
        <is>
          <t>RAGUNDA</t>
        </is>
      </c>
      <c r="G743" t="n">
        <v>4.3</v>
      </c>
      <c r="H743" t="n">
        <v>0</v>
      </c>
      <c r="I743" t="n">
        <v>0</v>
      </c>
      <c r="J743" t="n">
        <v>0</v>
      </c>
      <c r="K743" t="n">
        <v>0</v>
      </c>
      <c r="L743" t="n">
        <v>0</v>
      </c>
      <c r="M743" t="n">
        <v>0</v>
      </c>
      <c r="N743" t="n">
        <v>0</v>
      </c>
      <c r="O743" t="n">
        <v>0</v>
      </c>
      <c r="P743" t="n">
        <v>0</v>
      </c>
      <c r="Q743" t="n">
        <v>0</v>
      </c>
      <c r="R743" s="2" t="inlineStr"/>
    </row>
    <row r="744" ht="15" customHeight="1">
      <c r="A744" t="inlineStr">
        <is>
          <t>A 41424-2025</t>
        </is>
      </c>
      <c r="B744" s="1" t="n">
        <v>45901.38584490741</v>
      </c>
      <c r="C744" s="1" t="n">
        <v>45917</v>
      </c>
      <c r="D744" t="inlineStr">
        <is>
          <t>JÄMTLANDS LÄN</t>
        </is>
      </c>
      <c r="E744" t="inlineStr">
        <is>
          <t>RAGUNDA</t>
        </is>
      </c>
      <c r="G744" t="n">
        <v>3</v>
      </c>
      <c r="H744" t="n">
        <v>0</v>
      </c>
      <c r="I744" t="n">
        <v>0</v>
      </c>
      <c r="J744" t="n">
        <v>0</v>
      </c>
      <c r="K744" t="n">
        <v>0</v>
      </c>
      <c r="L744" t="n">
        <v>0</v>
      </c>
      <c r="M744" t="n">
        <v>0</v>
      </c>
      <c r="N744" t="n">
        <v>0</v>
      </c>
      <c r="O744" t="n">
        <v>0</v>
      </c>
      <c r="P744" t="n">
        <v>0</v>
      </c>
      <c r="Q744" t="n">
        <v>0</v>
      </c>
      <c r="R744" s="2" t="inlineStr"/>
    </row>
    <row r="745" ht="15" customHeight="1">
      <c r="A745" t="inlineStr">
        <is>
          <t>A 35658-2025</t>
        </is>
      </c>
      <c r="B745" s="1" t="n">
        <v>45859.594375</v>
      </c>
      <c r="C745" s="1" t="n">
        <v>45917</v>
      </c>
      <c r="D745" t="inlineStr">
        <is>
          <t>JÄMTLANDS LÄN</t>
        </is>
      </c>
      <c r="E745" t="inlineStr">
        <is>
          <t>RAGUNDA</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8800-2025</t>
        </is>
      </c>
      <c r="B746" s="1" t="n">
        <v>45712.65671296296</v>
      </c>
      <c r="C746" s="1" t="n">
        <v>45917</v>
      </c>
      <c r="D746" t="inlineStr">
        <is>
          <t>JÄMTLANDS LÄN</t>
        </is>
      </c>
      <c r="E746" t="inlineStr">
        <is>
          <t>RAGUNDA</t>
        </is>
      </c>
      <c r="G746" t="n">
        <v>2.6</v>
      </c>
      <c r="H746" t="n">
        <v>0</v>
      </c>
      <c r="I746" t="n">
        <v>0</v>
      </c>
      <c r="J746" t="n">
        <v>0</v>
      </c>
      <c r="K746" t="n">
        <v>0</v>
      </c>
      <c r="L746" t="n">
        <v>0</v>
      </c>
      <c r="M746" t="n">
        <v>0</v>
      </c>
      <c r="N746" t="n">
        <v>0</v>
      </c>
      <c r="O746" t="n">
        <v>0</v>
      </c>
      <c r="P746" t="n">
        <v>0</v>
      </c>
      <c r="Q746" t="n">
        <v>0</v>
      </c>
      <c r="R746" s="2" t="inlineStr"/>
    </row>
    <row r="747" ht="15" customHeight="1">
      <c r="A747" t="inlineStr">
        <is>
          <t>A 15672-2021</t>
        </is>
      </c>
      <c r="B747" s="1" t="n">
        <v>44286</v>
      </c>
      <c r="C747" s="1" t="n">
        <v>45917</v>
      </c>
      <c r="D747" t="inlineStr">
        <is>
          <t>JÄMTLANDS LÄN</t>
        </is>
      </c>
      <c r="E747" t="inlineStr">
        <is>
          <t>RAGUNDA</t>
        </is>
      </c>
      <c r="G747" t="n">
        <v>1.7</v>
      </c>
      <c r="H747" t="n">
        <v>0</v>
      </c>
      <c r="I747" t="n">
        <v>0</v>
      </c>
      <c r="J747" t="n">
        <v>0</v>
      </c>
      <c r="K747" t="n">
        <v>0</v>
      </c>
      <c r="L747" t="n">
        <v>0</v>
      </c>
      <c r="M747" t="n">
        <v>0</v>
      </c>
      <c r="N747" t="n">
        <v>0</v>
      </c>
      <c r="O747" t="n">
        <v>0</v>
      </c>
      <c r="P747" t="n">
        <v>0</v>
      </c>
      <c r="Q747" t="n">
        <v>0</v>
      </c>
      <c r="R747" s="2" t="inlineStr"/>
    </row>
    <row r="748" ht="15" customHeight="1">
      <c r="A748" t="inlineStr">
        <is>
          <t>A 50650-2023</t>
        </is>
      </c>
      <c r="B748" s="1" t="n">
        <v>45210</v>
      </c>
      <c r="C748" s="1" t="n">
        <v>45917</v>
      </c>
      <c r="D748" t="inlineStr">
        <is>
          <t>JÄMTLANDS LÄN</t>
        </is>
      </c>
      <c r="E748" t="inlineStr">
        <is>
          <t>RAGUNDA</t>
        </is>
      </c>
      <c r="G748" t="n">
        <v>1.3</v>
      </c>
      <c r="H748" t="n">
        <v>0</v>
      </c>
      <c r="I748" t="n">
        <v>0</v>
      </c>
      <c r="J748" t="n">
        <v>0</v>
      </c>
      <c r="K748" t="n">
        <v>0</v>
      </c>
      <c r="L748" t="n">
        <v>0</v>
      </c>
      <c r="M748" t="n">
        <v>0</v>
      </c>
      <c r="N748" t="n">
        <v>0</v>
      </c>
      <c r="O748" t="n">
        <v>0</v>
      </c>
      <c r="P748" t="n">
        <v>0</v>
      </c>
      <c r="Q748" t="n">
        <v>0</v>
      </c>
      <c r="R748" s="2" t="inlineStr"/>
    </row>
    <row r="749" ht="15" customHeight="1">
      <c r="A749" t="inlineStr">
        <is>
          <t>A 564-2025</t>
        </is>
      </c>
      <c r="B749" s="1" t="n">
        <v>45664.55241898148</v>
      </c>
      <c r="C749" s="1" t="n">
        <v>45917</v>
      </c>
      <c r="D749" t="inlineStr">
        <is>
          <t>JÄMTLANDS LÄN</t>
        </is>
      </c>
      <c r="E749" t="inlineStr">
        <is>
          <t>RAGUNDA</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41423-2025</t>
        </is>
      </c>
      <c r="B750" s="1" t="n">
        <v>45901.38578703703</v>
      </c>
      <c r="C750" s="1" t="n">
        <v>45917</v>
      </c>
      <c r="D750" t="inlineStr">
        <is>
          <t>JÄMTLANDS LÄN</t>
        </is>
      </c>
      <c r="E750" t="inlineStr">
        <is>
          <t>RAGUNDA</t>
        </is>
      </c>
      <c r="G750" t="n">
        <v>0.7</v>
      </c>
      <c r="H750" t="n">
        <v>0</v>
      </c>
      <c r="I750" t="n">
        <v>0</v>
      </c>
      <c r="J750" t="n">
        <v>0</v>
      </c>
      <c r="K750" t="n">
        <v>0</v>
      </c>
      <c r="L750" t="n">
        <v>0</v>
      </c>
      <c r="M750" t="n">
        <v>0</v>
      </c>
      <c r="N750" t="n">
        <v>0</v>
      </c>
      <c r="O750" t="n">
        <v>0</v>
      </c>
      <c r="P750" t="n">
        <v>0</v>
      </c>
      <c r="Q750" t="n">
        <v>0</v>
      </c>
      <c r="R750" s="2" t="inlineStr"/>
    </row>
    <row r="751" ht="15" customHeight="1">
      <c r="A751" t="inlineStr">
        <is>
          <t>A 41876-2025</t>
        </is>
      </c>
      <c r="B751" s="1" t="n">
        <v>45903.34555555556</v>
      </c>
      <c r="C751" s="1" t="n">
        <v>45917</v>
      </c>
      <c r="D751" t="inlineStr">
        <is>
          <t>JÄMTLANDS LÄN</t>
        </is>
      </c>
      <c r="E751" t="inlineStr">
        <is>
          <t>RAGUNDA</t>
        </is>
      </c>
      <c r="G751" t="n">
        <v>2</v>
      </c>
      <c r="H751" t="n">
        <v>0</v>
      </c>
      <c r="I751" t="n">
        <v>0</v>
      </c>
      <c r="J751" t="n">
        <v>0</v>
      </c>
      <c r="K751" t="n">
        <v>0</v>
      </c>
      <c r="L751" t="n">
        <v>0</v>
      </c>
      <c r="M751" t="n">
        <v>0</v>
      </c>
      <c r="N751" t="n">
        <v>0</v>
      </c>
      <c r="O751" t="n">
        <v>0</v>
      </c>
      <c r="P751" t="n">
        <v>0</v>
      </c>
      <c r="Q751" t="n">
        <v>0</v>
      </c>
      <c r="R751" s="2" t="inlineStr"/>
    </row>
    <row r="752" ht="15" customHeight="1">
      <c r="A752" t="inlineStr">
        <is>
          <t>A 42269-2025</t>
        </is>
      </c>
      <c r="B752" s="1" t="n">
        <v>45904.60431712963</v>
      </c>
      <c r="C752" s="1" t="n">
        <v>45917</v>
      </c>
      <c r="D752" t="inlineStr">
        <is>
          <t>JÄMTLANDS LÄN</t>
        </is>
      </c>
      <c r="E752" t="inlineStr">
        <is>
          <t>RAGUNDA</t>
        </is>
      </c>
      <c r="G752" t="n">
        <v>4.3</v>
      </c>
      <c r="H752" t="n">
        <v>0</v>
      </c>
      <c r="I752" t="n">
        <v>0</v>
      </c>
      <c r="J752" t="n">
        <v>0</v>
      </c>
      <c r="K752" t="n">
        <v>0</v>
      </c>
      <c r="L752" t="n">
        <v>0</v>
      </c>
      <c r="M752" t="n">
        <v>0</v>
      </c>
      <c r="N752" t="n">
        <v>0</v>
      </c>
      <c r="O752" t="n">
        <v>0</v>
      </c>
      <c r="P752" t="n">
        <v>0</v>
      </c>
      <c r="Q752" t="n">
        <v>0</v>
      </c>
      <c r="R752" s="2" t="inlineStr"/>
    </row>
    <row r="753" ht="15" customHeight="1">
      <c r="A753" t="inlineStr">
        <is>
          <t>A 3767-2025</t>
        </is>
      </c>
      <c r="B753" s="1" t="n">
        <v>45681.60203703704</v>
      </c>
      <c r="C753" s="1" t="n">
        <v>45917</v>
      </c>
      <c r="D753" t="inlineStr">
        <is>
          <t>JÄMTLANDS LÄN</t>
        </is>
      </c>
      <c r="E753" t="inlineStr">
        <is>
          <t>RAGUNDA</t>
        </is>
      </c>
      <c r="G753" t="n">
        <v>4.9</v>
      </c>
      <c r="H753" t="n">
        <v>0</v>
      </c>
      <c r="I753" t="n">
        <v>0</v>
      </c>
      <c r="J753" t="n">
        <v>0</v>
      </c>
      <c r="K753" t="n">
        <v>0</v>
      </c>
      <c r="L753" t="n">
        <v>0</v>
      </c>
      <c r="M753" t="n">
        <v>0</v>
      </c>
      <c r="N753" t="n">
        <v>0</v>
      </c>
      <c r="O753" t="n">
        <v>0</v>
      </c>
      <c r="P753" t="n">
        <v>0</v>
      </c>
      <c r="Q753" t="n">
        <v>0</v>
      </c>
      <c r="R753" s="2" t="inlineStr"/>
    </row>
    <row r="754" ht="15" customHeight="1">
      <c r="A754" t="inlineStr">
        <is>
          <t>A 3186-2025</t>
        </is>
      </c>
      <c r="B754" s="1" t="n">
        <v>45679.40362268518</v>
      </c>
      <c r="C754" s="1" t="n">
        <v>45917</v>
      </c>
      <c r="D754" t="inlineStr">
        <is>
          <t>JÄMTLANDS LÄN</t>
        </is>
      </c>
      <c r="E754" t="inlineStr">
        <is>
          <t>RAGUNDA</t>
        </is>
      </c>
      <c r="G754" t="n">
        <v>5.2</v>
      </c>
      <c r="H754" t="n">
        <v>0</v>
      </c>
      <c r="I754" t="n">
        <v>0</v>
      </c>
      <c r="J754" t="n">
        <v>0</v>
      </c>
      <c r="K754" t="n">
        <v>0</v>
      </c>
      <c r="L754" t="n">
        <v>0</v>
      </c>
      <c r="M754" t="n">
        <v>0</v>
      </c>
      <c r="N754" t="n">
        <v>0</v>
      </c>
      <c r="O754" t="n">
        <v>0</v>
      </c>
      <c r="P754" t="n">
        <v>0</v>
      </c>
      <c r="Q754" t="n">
        <v>0</v>
      </c>
      <c r="R754" s="2" t="inlineStr"/>
    </row>
    <row r="755" ht="15" customHeight="1">
      <c r="A755" t="inlineStr">
        <is>
          <t>A 1308-2025</t>
        </is>
      </c>
      <c r="B755" s="1" t="n">
        <v>45667.55239583334</v>
      </c>
      <c r="C755" s="1" t="n">
        <v>45917</v>
      </c>
      <c r="D755" t="inlineStr">
        <is>
          <t>JÄMTLANDS LÄN</t>
        </is>
      </c>
      <c r="E755" t="inlineStr">
        <is>
          <t>RAGUNDA</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41262-2021</t>
        </is>
      </c>
      <c r="B756" s="1" t="n">
        <v>44424</v>
      </c>
      <c r="C756" s="1" t="n">
        <v>45917</v>
      </c>
      <c r="D756" t="inlineStr">
        <is>
          <t>JÄMTLANDS LÄN</t>
        </is>
      </c>
      <c r="E756" t="inlineStr">
        <is>
          <t>RAGUNDA</t>
        </is>
      </c>
      <c r="G756" t="n">
        <v>2.6</v>
      </c>
      <c r="H756" t="n">
        <v>0</v>
      </c>
      <c r="I756" t="n">
        <v>0</v>
      </c>
      <c r="J756" t="n">
        <v>0</v>
      </c>
      <c r="K756" t="n">
        <v>0</v>
      </c>
      <c r="L756" t="n">
        <v>0</v>
      </c>
      <c r="M756" t="n">
        <v>0</v>
      </c>
      <c r="N756" t="n">
        <v>0</v>
      </c>
      <c r="O756" t="n">
        <v>0</v>
      </c>
      <c r="P756" t="n">
        <v>0</v>
      </c>
      <c r="Q756" t="n">
        <v>0</v>
      </c>
      <c r="R756" s="2" t="inlineStr"/>
    </row>
    <row r="757" ht="15" customHeight="1">
      <c r="A757" t="inlineStr">
        <is>
          <t>A 36371-2023</t>
        </is>
      </c>
      <c r="B757" s="1" t="n">
        <v>45149</v>
      </c>
      <c r="C757" s="1" t="n">
        <v>45917</v>
      </c>
      <c r="D757" t="inlineStr">
        <is>
          <t>JÄMTLANDS LÄN</t>
        </is>
      </c>
      <c r="E757" t="inlineStr">
        <is>
          <t>RAGUNDA</t>
        </is>
      </c>
      <c r="G757" t="n">
        <v>25.7</v>
      </c>
      <c r="H757" t="n">
        <v>0</v>
      </c>
      <c r="I757" t="n">
        <v>0</v>
      </c>
      <c r="J757" t="n">
        <v>0</v>
      </c>
      <c r="K757" t="n">
        <v>0</v>
      </c>
      <c r="L757" t="n">
        <v>0</v>
      </c>
      <c r="M757" t="n">
        <v>0</v>
      </c>
      <c r="N757" t="n">
        <v>0</v>
      </c>
      <c r="O757" t="n">
        <v>0</v>
      </c>
      <c r="P757" t="n">
        <v>0</v>
      </c>
      <c r="Q757" t="n">
        <v>0</v>
      </c>
      <c r="R757" s="2" t="inlineStr"/>
    </row>
    <row r="758" ht="15" customHeight="1">
      <c r="A758" t="inlineStr">
        <is>
          <t>A 56284-2023</t>
        </is>
      </c>
      <c r="B758" s="1" t="n">
        <v>45241.95724537037</v>
      </c>
      <c r="C758" s="1" t="n">
        <v>45917</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18610-2024</t>
        </is>
      </c>
      <c r="B759" s="1" t="n">
        <v>45425.96230324074</v>
      </c>
      <c r="C759" s="1" t="n">
        <v>45917</v>
      </c>
      <c r="D759" t="inlineStr">
        <is>
          <t>JÄMTLANDS LÄN</t>
        </is>
      </c>
      <c r="E759" t="inlineStr">
        <is>
          <t>RAGUNDA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51579-2024</t>
        </is>
      </c>
      <c r="B760" s="1" t="n">
        <v>45604.63575231482</v>
      </c>
      <c r="C760" s="1" t="n">
        <v>45917</v>
      </c>
      <c r="D760" t="inlineStr">
        <is>
          <t>JÄMTLANDS LÄN</t>
        </is>
      </c>
      <c r="E760" t="inlineStr">
        <is>
          <t>RAGUNDA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21401-2024</t>
        </is>
      </c>
      <c r="B761" s="1" t="n">
        <v>45441.33313657407</v>
      </c>
      <c r="C761" s="1" t="n">
        <v>45917</v>
      </c>
      <c r="D761" t="inlineStr">
        <is>
          <t>JÄMTLANDS LÄN</t>
        </is>
      </c>
      <c r="E761" t="inlineStr">
        <is>
          <t>RAGUNDA</t>
        </is>
      </c>
      <c r="G761" t="n">
        <v>3.7</v>
      </c>
      <c r="H761" t="n">
        <v>0</v>
      </c>
      <c r="I761" t="n">
        <v>0</v>
      </c>
      <c r="J761" t="n">
        <v>0</v>
      </c>
      <c r="K761" t="n">
        <v>0</v>
      </c>
      <c r="L761" t="n">
        <v>0</v>
      </c>
      <c r="M761" t="n">
        <v>0</v>
      </c>
      <c r="N761" t="n">
        <v>0</v>
      </c>
      <c r="O761" t="n">
        <v>0</v>
      </c>
      <c r="P761" t="n">
        <v>0</v>
      </c>
      <c r="Q761" t="n">
        <v>0</v>
      </c>
      <c r="R761" s="2" t="inlineStr"/>
    </row>
    <row r="762" ht="15" customHeight="1">
      <c r="A762" t="inlineStr">
        <is>
          <t>A 30563-2023</t>
        </is>
      </c>
      <c r="B762" s="1" t="n">
        <v>45111.92793981481</v>
      </c>
      <c r="C762" s="1" t="n">
        <v>45917</v>
      </c>
      <c r="D762" t="inlineStr">
        <is>
          <t>JÄMTLANDS LÄN</t>
        </is>
      </c>
      <c r="E762" t="inlineStr">
        <is>
          <t>RAGUNDA</t>
        </is>
      </c>
      <c r="F762" t="inlineStr">
        <is>
          <t>Övriga Aktiebolag</t>
        </is>
      </c>
      <c r="G762" t="n">
        <v>2.3</v>
      </c>
      <c r="H762" t="n">
        <v>0</v>
      </c>
      <c r="I762" t="n">
        <v>0</v>
      </c>
      <c r="J762" t="n">
        <v>0</v>
      </c>
      <c r="K762" t="n">
        <v>0</v>
      </c>
      <c r="L762" t="n">
        <v>0</v>
      </c>
      <c r="M762" t="n">
        <v>0</v>
      </c>
      <c r="N762" t="n">
        <v>0</v>
      </c>
      <c r="O762" t="n">
        <v>0</v>
      </c>
      <c r="P762" t="n">
        <v>0</v>
      </c>
      <c r="Q762" t="n">
        <v>0</v>
      </c>
      <c r="R762" s="2" t="inlineStr"/>
    </row>
    <row r="763" ht="15" customHeight="1">
      <c r="A763" t="inlineStr">
        <is>
          <t>A 44630-2023</t>
        </is>
      </c>
      <c r="B763" s="1" t="n">
        <v>45184</v>
      </c>
      <c r="C763" s="1" t="n">
        <v>45917</v>
      </c>
      <c r="D763" t="inlineStr">
        <is>
          <t>JÄMTLANDS LÄN</t>
        </is>
      </c>
      <c r="E763" t="inlineStr">
        <is>
          <t>RAGUNDA</t>
        </is>
      </c>
      <c r="G763" t="n">
        <v>3.4</v>
      </c>
      <c r="H763" t="n">
        <v>0</v>
      </c>
      <c r="I763" t="n">
        <v>0</v>
      </c>
      <c r="J763" t="n">
        <v>0</v>
      </c>
      <c r="K763" t="n">
        <v>0</v>
      </c>
      <c r="L763" t="n">
        <v>0</v>
      </c>
      <c r="M763" t="n">
        <v>0</v>
      </c>
      <c r="N763" t="n">
        <v>0</v>
      </c>
      <c r="O763" t="n">
        <v>0</v>
      </c>
      <c r="P763" t="n">
        <v>0</v>
      </c>
      <c r="Q763" t="n">
        <v>0</v>
      </c>
      <c r="R763" s="2" t="inlineStr"/>
    </row>
    <row r="764" ht="15" customHeight="1">
      <c r="A764" t="inlineStr">
        <is>
          <t>A 42393-2025</t>
        </is>
      </c>
      <c r="B764" s="1" t="n">
        <v>45905</v>
      </c>
      <c r="C764" s="1" t="n">
        <v>45917</v>
      </c>
      <c r="D764" t="inlineStr">
        <is>
          <t>JÄMTLANDS LÄN</t>
        </is>
      </c>
      <c r="E764" t="inlineStr">
        <is>
          <t>RAGUNDA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8886-2024</t>
        </is>
      </c>
      <c r="B765" s="1" t="n">
        <v>45357.05300925926</v>
      </c>
      <c r="C765" s="1" t="n">
        <v>45917</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18615-2024</t>
        </is>
      </c>
      <c r="B766" s="1" t="n">
        <v>45425.96275462963</v>
      </c>
      <c r="C766" s="1" t="n">
        <v>45917</v>
      </c>
      <c r="D766" t="inlineStr">
        <is>
          <t>JÄMTLANDS LÄN</t>
        </is>
      </c>
      <c r="E766" t="inlineStr">
        <is>
          <t>RAGUNDA</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12522-2023</t>
        </is>
      </c>
      <c r="B767" s="1" t="n">
        <v>45000</v>
      </c>
      <c r="C767" s="1" t="n">
        <v>45917</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12523-2023</t>
        </is>
      </c>
      <c r="B768" s="1" t="n">
        <v>45000</v>
      </c>
      <c r="C768" s="1" t="n">
        <v>45917</v>
      </c>
      <c r="D768" t="inlineStr">
        <is>
          <t>JÄMTLANDS LÄN</t>
        </is>
      </c>
      <c r="E768" t="inlineStr">
        <is>
          <t>RAGUNDA</t>
        </is>
      </c>
      <c r="F768" t="inlineStr">
        <is>
          <t>SCA</t>
        </is>
      </c>
      <c r="G768" t="n">
        <v>14.3</v>
      </c>
      <c r="H768" t="n">
        <v>0</v>
      </c>
      <c r="I768" t="n">
        <v>0</v>
      </c>
      <c r="J768" t="n">
        <v>0</v>
      </c>
      <c r="K768" t="n">
        <v>0</v>
      </c>
      <c r="L768" t="n">
        <v>0</v>
      </c>
      <c r="M768" t="n">
        <v>0</v>
      </c>
      <c r="N768" t="n">
        <v>0</v>
      </c>
      <c r="O768" t="n">
        <v>0</v>
      </c>
      <c r="P768" t="n">
        <v>0</v>
      </c>
      <c r="Q768" t="n">
        <v>0</v>
      </c>
      <c r="R768" s="2" t="inlineStr"/>
    </row>
    <row r="769" ht="15" customHeight="1">
      <c r="A769" t="inlineStr">
        <is>
          <t>A 42776-2025</t>
        </is>
      </c>
      <c r="B769" s="1" t="n">
        <v>45908.48993055556</v>
      </c>
      <c r="C769" s="1" t="n">
        <v>45917</v>
      </c>
      <c r="D769" t="inlineStr">
        <is>
          <t>JÄMTLANDS LÄN</t>
        </is>
      </c>
      <c r="E769" t="inlineStr">
        <is>
          <t>RAGUNDA</t>
        </is>
      </c>
      <c r="G769" t="n">
        <v>11.6</v>
      </c>
      <c r="H769" t="n">
        <v>0</v>
      </c>
      <c r="I769" t="n">
        <v>0</v>
      </c>
      <c r="J769" t="n">
        <v>0</v>
      </c>
      <c r="K769" t="n">
        <v>0</v>
      </c>
      <c r="L769" t="n">
        <v>0</v>
      </c>
      <c r="M769" t="n">
        <v>0</v>
      </c>
      <c r="N769" t="n">
        <v>0</v>
      </c>
      <c r="O769" t="n">
        <v>0</v>
      </c>
      <c r="P769" t="n">
        <v>0</v>
      </c>
      <c r="Q769" t="n">
        <v>0</v>
      </c>
      <c r="R769" s="2" t="inlineStr"/>
    </row>
    <row r="770" ht="15" customHeight="1">
      <c r="A770" t="inlineStr">
        <is>
          <t>A 54092-2024</t>
        </is>
      </c>
      <c r="B770" s="1" t="n">
        <v>45616.5108912037</v>
      </c>
      <c r="C770" s="1" t="n">
        <v>45917</v>
      </c>
      <c r="D770" t="inlineStr">
        <is>
          <t>JÄMTLANDS LÄN</t>
        </is>
      </c>
      <c r="E770" t="inlineStr">
        <is>
          <t>RAGUNDA</t>
        </is>
      </c>
      <c r="F770" t="inlineStr">
        <is>
          <t>Naturvårdsverket</t>
        </is>
      </c>
      <c r="G770" t="n">
        <v>1.3</v>
      </c>
      <c r="H770" t="n">
        <v>0</v>
      </c>
      <c r="I770" t="n">
        <v>0</v>
      </c>
      <c r="J770" t="n">
        <v>0</v>
      </c>
      <c r="K770" t="n">
        <v>0</v>
      </c>
      <c r="L770" t="n">
        <v>0</v>
      </c>
      <c r="M770" t="n">
        <v>0</v>
      </c>
      <c r="N770" t="n">
        <v>0</v>
      </c>
      <c r="O770" t="n">
        <v>0</v>
      </c>
      <c r="P770" t="n">
        <v>0</v>
      </c>
      <c r="Q770" t="n">
        <v>0</v>
      </c>
      <c r="R770" s="2" t="inlineStr"/>
    </row>
    <row r="771" ht="15" customHeight="1">
      <c r="A771" t="inlineStr">
        <is>
          <t>A 36246-2024</t>
        </is>
      </c>
      <c r="B771" s="1" t="n">
        <v>45534</v>
      </c>
      <c r="C771" s="1" t="n">
        <v>45917</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23303-2024</t>
        </is>
      </c>
      <c r="B772" s="1" t="n">
        <v>45453.4444212963</v>
      </c>
      <c r="C772" s="1" t="n">
        <v>45917</v>
      </c>
      <c r="D772" t="inlineStr">
        <is>
          <t>JÄMTLANDS LÄN</t>
        </is>
      </c>
      <c r="E772" t="inlineStr">
        <is>
          <t>RAGUNDA</t>
        </is>
      </c>
      <c r="G772" t="n">
        <v>0.7</v>
      </c>
      <c r="H772" t="n">
        <v>0</v>
      </c>
      <c r="I772" t="n">
        <v>0</v>
      </c>
      <c r="J772" t="n">
        <v>0</v>
      </c>
      <c r="K772" t="n">
        <v>0</v>
      </c>
      <c r="L772" t="n">
        <v>0</v>
      </c>
      <c r="M772" t="n">
        <v>0</v>
      </c>
      <c r="N772" t="n">
        <v>0</v>
      </c>
      <c r="O772" t="n">
        <v>0</v>
      </c>
      <c r="P772" t="n">
        <v>0</v>
      </c>
      <c r="Q772" t="n">
        <v>0</v>
      </c>
      <c r="R772" s="2" t="inlineStr"/>
    </row>
    <row r="773" ht="15" customHeight="1">
      <c r="A773" t="inlineStr">
        <is>
          <t>A 32063-2024</t>
        </is>
      </c>
      <c r="B773" s="1" t="n">
        <v>45510</v>
      </c>
      <c r="C773" s="1" t="n">
        <v>45917</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465-2023</t>
        </is>
      </c>
      <c r="B774" s="1" t="n">
        <v>44929</v>
      </c>
      <c r="C774" s="1" t="n">
        <v>45917</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32832-2021</t>
        </is>
      </c>
      <c r="B775" s="1" t="n">
        <v>44375</v>
      </c>
      <c r="C775" s="1" t="n">
        <v>45917</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5307-2025</t>
        </is>
      </c>
      <c r="B776" s="1" t="n">
        <v>45692.48993055556</v>
      </c>
      <c r="C776" s="1" t="n">
        <v>45917</v>
      </c>
      <c r="D776" t="inlineStr">
        <is>
          <t>JÄMTLANDS LÄN</t>
        </is>
      </c>
      <c r="E776" t="inlineStr">
        <is>
          <t>RAGUNDA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3938-2024</t>
        </is>
      </c>
      <c r="B777" s="1" t="n">
        <v>45322</v>
      </c>
      <c r="C777" s="1" t="n">
        <v>45917</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43177-2025</t>
        </is>
      </c>
      <c r="B778" s="1" t="n">
        <v>45910.40667824074</v>
      </c>
      <c r="C778" s="1" t="n">
        <v>45917</v>
      </c>
      <c r="D778" t="inlineStr">
        <is>
          <t>JÄMTLANDS LÄN</t>
        </is>
      </c>
      <c r="E778" t="inlineStr">
        <is>
          <t>RAGUNDA</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62081-2022</t>
        </is>
      </c>
      <c r="B779" s="1" t="n">
        <v>44918</v>
      </c>
      <c r="C779" s="1" t="n">
        <v>45917</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48066-2022</t>
        </is>
      </c>
      <c r="B780" s="1" t="n">
        <v>44855</v>
      </c>
      <c r="C780" s="1" t="n">
        <v>45917</v>
      </c>
      <c r="D780" t="inlineStr">
        <is>
          <t>JÄMTLANDS LÄN</t>
        </is>
      </c>
      <c r="E780" t="inlineStr">
        <is>
          <t>RAGUNDA</t>
        </is>
      </c>
      <c r="F780" t="inlineStr">
        <is>
          <t>SCA</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26942-2021</t>
        </is>
      </c>
      <c r="B781" s="1" t="n">
        <v>44349.91978009259</v>
      </c>
      <c r="C781" s="1" t="n">
        <v>45917</v>
      </c>
      <c r="D781" t="inlineStr">
        <is>
          <t>JÄMTLANDS LÄN</t>
        </is>
      </c>
      <c r="E781" t="inlineStr">
        <is>
          <t>RAGUNDA</t>
        </is>
      </c>
      <c r="G781" t="n">
        <v>6.2</v>
      </c>
      <c r="H781" t="n">
        <v>0</v>
      </c>
      <c r="I781" t="n">
        <v>0</v>
      </c>
      <c r="J781" t="n">
        <v>0</v>
      </c>
      <c r="K781" t="n">
        <v>0</v>
      </c>
      <c r="L781" t="n">
        <v>0</v>
      </c>
      <c r="M781" t="n">
        <v>0</v>
      </c>
      <c r="N781" t="n">
        <v>0</v>
      </c>
      <c r="O781" t="n">
        <v>0</v>
      </c>
      <c r="P781" t="n">
        <v>0</v>
      </c>
      <c r="Q781" t="n">
        <v>0</v>
      </c>
      <c r="R781" s="2" t="inlineStr"/>
    </row>
    <row r="782" ht="15" customHeight="1">
      <c r="A782" t="inlineStr">
        <is>
          <t>A 43181-2025</t>
        </is>
      </c>
      <c r="B782" s="1" t="n">
        <v>45910.40721064815</v>
      </c>
      <c r="C782" s="1" t="n">
        <v>45917</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56504-2024</t>
        </is>
      </c>
      <c r="B783" s="1" t="n">
        <v>45625.51068287037</v>
      </c>
      <c r="C783" s="1" t="n">
        <v>45917</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43330-2025</t>
        </is>
      </c>
      <c r="B784" s="1" t="n">
        <v>45910.67766203704</v>
      </c>
      <c r="C784" s="1" t="n">
        <v>45917</v>
      </c>
      <c r="D784" t="inlineStr">
        <is>
          <t>JÄMTLANDS LÄN</t>
        </is>
      </c>
      <c r="E784" t="inlineStr">
        <is>
          <t>RAGUNDA</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55508-2024</t>
        </is>
      </c>
      <c r="B785" s="1" t="n">
        <v>45622.46200231482</v>
      </c>
      <c r="C785" s="1" t="n">
        <v>45917</v>
      </c>
      <c r="D785" t="inlineStr">
        <is>
          <t>JÄMTLANDS LÄN</t>
        </is>
      </c>
      <c r="E785" t="inlineStr">
        <is>
          <t>RAGUNDA</t>
        </is>
      </c>
      <c r="G785" t="n">
        <v>1.8</v>
      </c>
      <c r="H785" t="n">
        <v>0</v>
      </c>
      <c r="I785" t="n">
        <v>0</v>
      </c>
      <c r="J785" t="n">
        <v>0</v>
      </c>
      <c r="K785" t="n">
        <v>0</v>
      </c>
      <c r="L785" t="n">
        <v>0</v>
      </c>
      <c r="M785" t="n">
        <v>0</v>
      </c>
      <c r="N785" t="n">
        <v>0</v>
      </c>
      <c r="O785" t="n">
        <v>0</v>
      </c>
      <c r="P785" t="n">
        <v>0</v>
      </c>
      <c r="Q785" t="n">
        <v>0</v>
      </c>
      <c r="R785" s="2" t="inlineStr"/>
    </row>
    <row r="786" ht="15" customHeight="1">
      <c r="A786" t="inlineStr">
        <is>
          <t>A 5938-2025</t>
        </is>
      </c>
      <c r="B786" s="1" t="n">
        <v>45695.45868055556</v>
      </c>
      <c r="C786" s="1" t="n">
        <v>45917</v>
      </c>
      <c r="D786" t="inlineStr">
        <is>
          <t>JÄMTLANDS LÄN</t>
        </is>
      </c>
      <c r="E786" t="inlineStr">
        <is>
          <t>RAGUNDA</t>
        </is>
      </c>
      <c r="G786" t="n">
        <v>1</v>
      </c>
      <c r="H786" t="n">
        <v>0</v>
      </c>
      <c r="I786" t="n">
        <v>0</v>
      </c>
      <c r="J786" t="n">
        <v>0</v>
      </c>
      <c r="K786" t="n">
        <v>0</v>
      </c>
      <c r="L786" t="n">
        <v>0</v>
      </c>
      <c r="M786" t="n">
        <v>0</v>
      </c>
      <c r="N786" t="n">
        <v>0</v>
      </c>
      <c r="O786" t="n">
        <v>0</v>
      </c>
      <c r="P786" t="n">
        <v>0</v>
      </c>
      <c r="Q786" t="n">
        <v>0</v>
      </c>
      <c r="R786" s="2" t="inlineStr"/>
    </row>
    <row r="787" ht="15" customHeight="1">
      <c r="A787" t="inlineStr">
        <is>
          <t>A 43776-2025</t>
        </is>
      </c>
      <c r="B787" s="1" t="n">
        <v>45912.51086805556</v>
      </c>
      <c r="C787" s="1" t="n">
        <v>45917</v>
      </c>
      <c r="D787" t="inlineStr">
        <is>
          <t>JÄMTLANDS LÄN</t>
        </is>
      </c>
      <c r="E787" t="inlineStr">
        <is>
          <t>RAGUNDA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28173-2024</t>
        </is>
      </c>
      <c r="B788" s="1" t="n">
        <v>45476.94533564815</v>
      </c>
      <c r="C788" s="1" t="n">
        <v>45917</v>
      </c>
      <c r="D788" t="inlineStr">
        <is>
          <t>JÄMTLANDS LÄN</t>
        </is>
      </c>
      <c r="E788" t="inlineStr">
        <is>
          <t>RAGUNDA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12521-2023</t>
        </is>
      </c>
      <c r="B789" s="1" t="n">
        <v>45000</v>
      </c>
      <c r="C789" s="1" t="n">
        <v>45917</v>
      </c>
      <c r="D789" t="inlineStr">
        <is>
          <t>JÄMTLANDS LÄN</t>
        </is>
      </c>
      <c r="E789" t="inlineStr">
        <is>
          <t>RAGUNDA</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36541-2025</t>
        </is>
      </c>
      <c r="B790" s="1" t="n">
        <v>45869.65666666667</v>
      </c>
      <c r="C790" s="1" t="n">
        <v>45917</v>
      </c>
      <c r="D790" t="inlineStr">
        <is>
          <t>JÄMTLANDS LÄN</t>
        </is>
      </c>
      <c r="E790" t="inlineStr">
        <is>
          <t>RAGUNDA</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36544-2025</t>
        </is>
      </c>
      <c r="B791" s="1" t="n">
        <v>45869.67744212963</v>
      </c>
      <c r="C791" s="1" t="n">
        <v>45917</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3720-2025</t>
        </is>
      </c>
      <c r="B792" s="1" t="n">
        <v>45681.5315625</v>
      </c>
      <c r="C792" s="1" t="n">
        <v>45917</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35537-2021</t>
        </is>
      </c>
      <c r="B793" s="1" t="n">
        <v>44384</v>
      </c>
      <c r="C793" s="1" t="n">
        <v>45917</v>
      </c>
      <c r="D793" t="inlineStr">
        <is>
          <t>JÄMTLANDS LÄN</t>
        </is>
      </c>
      <c r="E793" t="inlineStr">
        <is>
          <t>RAGUNDA</t>
        </is>
      </c>
      <c r="G793" t="n">
        <v>3.1</v>
      </c>
      <c r="H793" t="n">
        <v>0</v>
      </c>
      <c r="I793" t="n">
        <v>0</v>
      </c>
      <c r="J793" t="n">
        <v>0</v>
      </c>
      <c r="K793" t="n">
        <v>0</v>
      </c>
      <c r="L793" t="n">
        <v>0</v>
      </c>
      <c r="M793" t="n">
        <v>0</v>
      </c>
      <c r="N793" t="n">
        <v>0</v>
      </c>
      <c r="O793" t="n">
        <v>0</v>
      </c>
      <c r="P793" t="n">
        <v>0</v>
      </c>
      <c r="Q793" t="n">
        <v>0</v>
      </c>
      <c r="R793" s="2" t="inlineStr"/>
    </row>
    <row r="794" ht="15" customHeight="1">
      <c r="A794" t="inlineStr">
        <is>
          <t>A 2339-2025</t>
        </is>
      </c>
      <c r="B794" s="1" t="n">
        <v>45673.66358796296</v>
      </c>
      <c r="C794" s="1" t="n">
        <v>45917</v>
      </c>
      <c r="D794" t="inlineStr">
        <is>
          <t>JÄMTLANDS LÄN</t>
        </is>
      </c>
      <c r="E794" t="inlineStr">
        <is>
          <t>RAGUNDA</t>
        </is>
      </c>
      <c r="G794" t="n">
        <v>5</v>
      </c>
      <c r="H794" t="n">
        <v>0</v>
      </c>
      <c r="I794" t="n">
        <v>0</v>
      </c>
      <c r="J794" t="n">
        <v>0</v>
      </c>
      <c r="K794" t="n">
        <v>0</v>
      </c>
      <c r="L794" t="n">
        <v>0</v>
      </c>
      <c r="M794" t="n">
        <v>0</v>
      </c>
      <c r="N794" t="n">
        <v>0</v>
      </c>
      <c r="O794" t="n">
        <v>0</v>
      </c>
      <c r="P794" t="n">
        <v>0</v>
      </c>
      <c r="Q794" t="n">
        <v>0</v>
      </c>
      <c r="R794" s="2" t="inlineStr"/>
    </row>
    <row r="795" ht="15" customHeight="1">
      <c r="A795" t="inlineStr">
        <is>
          <t>A 36553-2025</t>
        </is>
      </c>
      <c r="B795" s="1" t="n">
        <v>45870.34439814815</v>
      </c>
      <c r="C795" s="1" t="n">
        <v>45917</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17742-2022</t>
        </is>
      </c>
      <c r="B796" s="1" t="n">
        <v>44680.95246527778</v>
      </c>
      <c r="C796" s="1" t="n">
        <v>45917</v>
      </c>
      <c r="D796" t="inlineStr">
        <is>
          <t>JÄMTLANDS LÄN</t>
        </is>
      </c>
      <c r="E796" t="inlineStr">
        <is>
          <t>RAGUNDA</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43804-2025</t>
        </is>
      </c>
      <c r="B797" s="1" t="n">
        <v>45912.57373842593</v>
      </c>
      <c r="C797" s="1" t="n">
        <v>45917</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50555-2024</t>
        </is>
      </c>
      <c r="B798" s="1" t="n">
        <v>45601.59518518519</v>
      </c>
      <c r="C798" s="1" t="n">
        <v>45917</v>
      </c>
      <c r="D798" t="inlineStr">
        <is>
          <t>JÄMTLANDS LÄN</t>
        </is>
      </c>
      <c r="E798" t="inlineStr">
        <is>
          <t>RAGUNDA</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43812-2025</t>
        </is>
      </c>
      <c r="B799" s="1" t="n">
        <v>45912.59417824074</v>
      </c>
      <c r="C799" s="1" t="n">
        <v>45917</v>
      </c>
      <c r="D799" t="inlineStr">
        <is>
          <t>JÄMTLANDS LÄN</t>
        </is>
      </c>
      <c r="E799" t="inlineStr">
        <is>
          <t>RAGUNDA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18248-2023</t>
        </is>
      </c>
      <c r="B800" s="1" t="n">
        <v>45040</v>
      </c>
      <c r="C800" s="1" t="n">
        <v>45917</v>
      </c>
      <c r="D800" t="inlineStr">
        <is>
          <t>JÄMTLANDS LÄN</t>
        </is>
      </c>
      <c r="E800" t="inlineStr">
        <is>
          <t>RAGUNDA</t>
        </is>
      </c>
      <c r="G800" t="n">
        <v>4.3</v>
      </c>
      <c r="H800" t="n">
        <v>0</v>
      </c>
      <c r="I800" t="n">
        <v>0</v>
      </c>
      <c r="J800" t="n">
        <v>0</v>
      </c>
      <c r="K800" t="n">
        <v>0</v>
      </c>
      <c r="L800" t="n">
        <v>0</v>
      </c>
      <c r="M800" t="n">
        <v>0</v>
      </c>
      <c r="N800" t="n">
        <v>0</v>
      </c>
      <c r="O800" t="n">
        <v>0</v>
      </c>
      <c r="P800" t="n">
        <v>0</v>
      </c>
      <c r="Q800" t="n">
        <v>0</v>
      </c>
      <c r="R800" s="2" t="inlineStr"/>
    </row>
    <row r="801" ht="15" customHeight="1">
      <c r="A801" t="inlineStr">
        <is>
          <t>A 53676-2022</t>
        </is>
      </c>
      <c r="B801" s="1" t="n">
        <v>44879</v>
      </c>
      <c r="C801" s="1" t="n">
        <v>45917</v>
      </c>
      <c r="D801" t="inlineStr">
        <is>
          <t>JÄMTLANDS LÄN</t>
        </is>
      </c>
      <c r="E801" t="inlineStr">
        <is>
          <t>RAGUNDA</t>
        </is>
      </c>
      <c r="F801" t="inlineStr">
        <is>
          <t>Sveaskog</t>
        </is>
      </c>
      <c r="G801" t="n">
        <v>2.5</v>
      </c>
      <c r="H801" t="n">
        <v>0</v>
      </c>
      <c r="I801" t="n">
        <v>0</v>
      </c>
      <c r="J801" t="n">
        <v>0</v>
      </c>
      <c r="K801" t="n">
        <v>0</v>
      </c>
      <c r="L801" t="n">
        <v>0</v>
      </c>
      <c r="M801" t="n">
        <v>0</v>
      </c>
      <c r="N801" t="n">
        <v>0</v>
      </c>
      <c r="O801" t="n">
        <v>0</v>
      </c>
      <c r="P801" t="n">
        <v>0</v>
      </c>
      <c r="Q801" t="n">
        <v>0</v>
      </c>
      <c r="R801" s="2" t="inlineStr"/>
    </row>
    <row r="802" ht="15" customHeight="1">
      <c r="A802" t="inlineStr">
        <is>
          <t>A 45438-2022</t>
        </is>
      </c>
      <c r="B802" s="1" t="n">
        <v>44844.95368055555</v>
      </c>
      <c r="C802" s="1" t="n">
        <v>45917</v>
      </c>
      <c r="D802" t="inlineStr">
        <is>
          <t>JÄMTLANDS LÄN</t>
        </is>
      </c>
      <c r="E802" t="inlineStr">
        <is>
          <t>RAGUNDA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30459-2021</t>
        </is>
      </c>
      <c r="B803" s="1" t="n">
        <v>44362</v>
      </c>
      <c r="C803" s="1" t="n">
        <v>45917</v>
      </c>
      <c r="D803" t="inlineStr">
        <is>
          <t>JÄMTLANDS LÄN</t>
        </is>
      </c>
      <c r="E803" t="inlineStr">
        <is>
          <t>RAGUNDA</t>
        </is>
      </c>
      <c r="G803" t="n">
        <v>1</v>
      </c>
      <c r="H803" t="n">
        <v>0</v>
      </c>
      <c r="I803" t="n">
        <v>0</v>
      </c>
      <c r="J803" t="n">
        <v>0</v>
      </c>
      <c r="K803" t="n">
        <v>0</v>
      </c>
      <c r="L803" t="n">
        <v>0</v>
      </c>
      <c r="M803" t="n">
        <v>0</v>
      </c>
      <c r="N803" t="n">
        <v>0</v>
      </c>
      <c r="O803" t="n">
        <v>0</v>
      </c>
      <c r="P803" t="n">
        <v>0</v>
      </c>
      <c r="Q803" t="n">
        <v>0</v>
      </c>
      <c r="R803" s="2" t="inlineStr"/>
    </row>
    <row r="804" ht="15" customHeight="1">
      <c r="A804" t="inlineStr">
        <is>
          <t>A 29263-2024</t>
        </is>
      </c>
      <c r="B804" s="1" t="n">
        <v>45482.94891203703</v>
      </c>
      <c r="C804" s="1" t="n">
        <v>45917</v>
      </c>
      <c r="D804" t="inlineStr">
        <is>
          <t>JÄMTLANDS LÄN</t>
        </is>
      </c>
      <c r="E804" t="inlineStr">
        <is>
          <t>RAGUNDA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29265-2024</t>
        </is>
      </c>
      <c r="B805" s="1" t="n">
        <v>45482.9491087963</v>
      </c>
      <c r="C805" s="1" t="n">
        <v>45917</v>
      </c>
      <c r="D805" t="inlineStr">
        <is>
          <t>JÄMTLANDS LÄN</t>
        </is>
      </c>
      <c r="E805" t="inlineStr">
        <is>
          <t>RAGUNDA</t>
        </is>
      </c>
      <c r="F805" t="inlineStr">
        <is>
          <t>SCA</t>
        </is>
      </c>
      <c r="G805" t="n">
        <v>11.6</v>
      </c>
      <c r="H805" t="n">
        <v>0</v>
      </c>
      <c r="I805" t="n">
        <v>0</v>
      </c>
      <c r="J805" t="n">
        <v>0</v>
      </c>
      <c r="K805" t="n">
        <v>0</v>
      </c>
      <c r="L805" t="n">
        <v>0</v>
      </c>
      <c r="M805" t="n">
        <v>0</v>
      </c>
      <c r="N805" t="n">
        <v>0</v>
      </c>
      <c r="O805" t="n">
        <v>0</v>
      </c>
      <c r="P805" t="n">
        <v>0</v>
      </c>
      <c r="Q805" t="n">
        <v>0</v>
      </c>
      <c r="R805" s="2" t="inlineStr"/>
    </row>
    <row r="806" ht="15" customHeight="1">
      <c r="A806" t="inlineStr">
        <is>
          <t>A 13898-2023</t>
        </is>
      </c>
      <c r="B806" s="1" t="n">
        <v>45008.01408564814</v>
      </c>
      <c r="C806" s="1" t="n">
        <v>45917</v>
      </c>
      <c r="D806" t="inlineStr">
        <is>
          <t>JÄMTLANDS LÄN</t>
        </is>
      </c>
      <c r="E806" t="inlineStr">
        <is>
          <t>RAGUNDA</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41693-2023</t>
        </is>
      </c>
      <c r="B807" s="1" t="n">
        <v>45176</v>
      </c>
      <c r="C807" s="1" t="n">
        <v>45917</v>
      </c>
      <c r="D807" t="inlineStr">
        <is>
          <t>JÄMTLANDS LÄN</t>
        </is>
      </c>
      <c r="E807" t="inlineStr">
        <is>
          <t>RAGUNDA</t>
        </is>
      </c>
      <c r="G807" t="n">
        <v>5.5</v>
      </c>
      <c r="H807" t="n">
        <v>0</v>
      </c>
      <c r="I807" t="n">
        <v>0</v>
      </c>
      <c r="J807" t="n">
        <v>0</v>
      </c>
      <c r="K807" t="n">
        <v>0</v>
      </c>
      <c r="L807" t="n">
        <v>0</v>
      </c>
      <c r="M807" t="n">
        <v>0</v>
      </c>
      <c r="N807" t="n">
        <v>0</v>
      </c>
      <c r="O807" t="n">
        <v>0</v>
      </c>
      <c r="P807" t="n">
        <v>0</v>
      </c>
      <c r="Q807" t="n">
        <v>0</v>
      </c>
      <c r="R807" s="2" t="inlineStr"/>
    </row>
    <row r="808" ht="15" customHeight="1">
      <c r="A808" t="inlineStr">
        <is>
          <t>A 14212-2023</t>
        </is>
      </c>
      <c r="B808" s="1" t="n">
        <v>45009</v>
      </c>
      <c r="C808" s="1" t="n">
        <v>45917</v>
      </c>
      <c r="D808" t="inlineStr">
        <is>
          <t>JÄMTLANDS LÄN</t>
        </is>
      </c>
      <c r="E808" t="inlineStr">
        <is>
          <t>RAGUNDA</t>
        </is>
      </c>
      <c r="G808" t="n">
        <v>0.8</v>
      </c>
      <c r="H808" t="n">
        <v>0</v>
      </c>
      <c r="I808" t="n">
        <v>0</v>
      </c>
      <c r="J808" t="n">
        <v>0</v>
      </c>
      <c r="K808" t="n">
        <v>0</v>
      </c>
      <c r="L808" t="n">
        <v>0</v>
      </c>
      <c r="M808" t="n">
        <v>0</v>
      </c>
      <c r="N808" t="n">
        <v>0</v>
      </c>
      <c r="O808" t="n">
        <v>0</v>
      </c>
      <c r="P808" t="n">
        <v>0</v>
      </c>
      <c r="Q808" t="n">
        <v>0</v>
      </c>
      <c r="R808" s="2" t="inlineStr"/>
    </row>
    <row r="809" ht="15" customHeight="1">
      <c r="A809" t="inlineStr">
        <is>
          <t>A 20772-2024</t>
        </is>
      </c>
      <c r="B809" s="1" t="n">
        <v>45436.94628472222</v>
      </c>
      <c r="C809" s="1" t="n">
        <v>45917</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18614-2024</t>
        </is>
      </c>
      <c r="B810" s="1" t="n">
        <v>45425.96263888889</v>
      </c>
      <c r="C810" s="1" t="n">
        <v>45917</v>
      </c>
      <c r="D810" t="inlineStr">
        <is>
          <t>JÄMTLANDS LÄN</t>
        </is>
      </c>
      <c r="E810" t="inlineStr">
        <is>
          <t>RAGUNDA</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3770-2025</t>
        </is>
      </c>
      <c r="B811" s="1" t="n">
        <v>45681.6050925926</v>
      </c>
      <c r="C811" s="1" t="n">
        <v>45917</v>
      </c>
      <c r="D811" t="inlineStr">
        <is>
          <t>JÄMTLANDS LÄN</t>
        </is>
      </c>
      <c r="E811" t="inlineStr">
        <is>
          <t>RAGUNDA</t>
        </is>
      </c>
      <c r="G811" t="n">
        <v>2.7</v>
      </c>
      <c r="H811" t="n">
        <v>0</v>
      </c>
      <c r="I811" t="n">
        <v>0</v>
      </c>
      <c r="J811" t="n">
        <v>0</v>
      </c>
      <c r="K811" t="n">
        <v>0</v>
      </c>
      <c r="L811" t="n">
        <v>0</v>
      </c>
      <c r="M811" t="n">
        <v>0</v>
      </c>
      <c r="N811" t="n">
        <v>0</v>
      </c>
      <c r="O811" t="n">
        <v>0</v>
      </c>
      <c r="P811" t="n">
        <v>0</v>
      </c>
      <c r="Q811" t="n">
        <v>0</v>
      </c>
      <c r="R811" s="2" t="inlineStr"/>
    </row>
    <row r="812" ht="15" customHeight="1">
      <c r="A812" t="inlineStr">
        <is>
          <t>A 53757-2024</t>
        </is>
      </c>
      <c r="B812" s="1" t="n">
        <v>45615.50034722222</v>
      </c>
      <c r="C812" s="1" t="n">
        <v>45917</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11252-2025</t>
        </is>
      </c>
      <c r="B813" s="1" t="n">
        <v>45726.38615740741</v>
      </c>
      <c r="C813" s="1" t="n">
        <v>45917</v>
      </c>
      <c r="D813" t="inlineStr">
        <is>
          <t>JÄMTLANDS LÄN</t>
        </is>
      </c>
      <c r="E813" t="inlineStr">
        <is>
          <t>RAGUNDA</t>
        </is>
      </c>
      <c r="G813" t="n">
        <v>1.9</v>
      </c>
      <c r="H813" t="n">
        <v>0</v>
      </c>
      <c r="I813" t="n">
        <v>0</v>
      </c>
      <c r="J813" t="n">
        <v>0</v>
      </c>
      <c r="K813" t="n">
        <v>0</v>
      </c>
      <c r="L813" t="n">
        <v>0</v>
      </c>
      <c r="M813" t="n">
        <v>0</v>
      </c>
      <c r="N813" t="n">
        <v>0</v>
      </c>
      <c r="O813" t="n">
        <v>0</v>
      </c>
      <c r="P813" t="n">
        <v>0</v>
      </c>
      <c r="Q813" t="n">
        <v>0</v>
      </c>
      <c r="R813" s="2" t="inlineStr"/>
    </row>
    <row r="814" ht="15" customHeight="1">
      <c r="A814" t="inlineStr">
        <is>
          <t>A 19246-2023</t>
        </is>
      </c>
      <c r="B814" s="1" t="n">
        <v>45048.94340277778</v>
      </c>
      <c r="C814" s="1" t="n">
        <v>45917</v>
      </c>
      <c r="D814" t="inlineStr">
        <is>
          <t>JÄMTLANDS LÄN</t>
        </is>
      </c>
      <c r="E814" t="inlineStr">
        <is>
          <t>RAGUNDA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464-2023</t>
        </is>
      </c>
      <c r="B815" s="1" t="n">
        <v>44929.92489583333</v>
      </c>
      <c r="C815" s="1" t="n">
        <v>45917</v>
      </c>
      <c r="D815" t="inlineStr">
        <is>
          <t>JÄMTLANDS LÄN</t>
        </is>
      </c>
      <c r="E815" t="inlineStr">
        <is>
          <t>RAGUNDA</t>
        </is>
      </c>
      <c r="G815" t="n">
        <v>1.4</v>
      </c>
      <c r="H815" t="n">
        <v>0</v>
      </c>
      <c r="I815" t="n">
        <v>0</v>
      </c>
      <c r="J815" t="n">
        <v>0</v>
      </c>
      <c r="K815" t="n">
        <v>0</v>
      </c>
      <c r="L815" t="n">
        <v>0</v>
      </c>
      <c r="M815" t="n">
        <v>0</v>
      </c>
      <c r="N815" t="n">
        <v>0</v>
      </c>
      <c r="O815" t="n">
        <v>0</v>
      </c>
      <c r="P815" t="n">
        <v>0</v>
      </c>
      <c r="Q815" t="n">
        <v>0</v>
      </c>
      <c r="R815" s="2" t="inlineStr"/>
    </row>
    <row r="816" ht="15" customHeight="1">
      <c r="A816" t="inlineStr">
        <is>
          <t>A 7668-2025</t>
        </is>
      </c>
      <c r="B816" s="1" t="n">
        <v>45706.34450231482</v>
      </c>
      <c r="C816" s="1" t="n">
        <v>45917</v>
      </c>
      <c r="D816" t="inlineStr">
        <is>
          <t>JÄMTLANDS LÄN</t>
        </is>
      </c>
      <c r="E816" t="inlineStr">
        <is>
          <t>RAGUNDA</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49649-2024</t>
        </is>
      </c>
      <c r="B817" s="1" t="n">
        <v>45596.61553240741</v>
      </c>
      <c r="C817" s="1" t="n">
        <v>45917</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20426-2024</t>
        </is>
      </c>
      <c r="B818" s="1" t="n">
        <v>45435</v>
      </c>
      <c r="C818" s="1" t="n">
        <v>45917</v>
      </c>
      <c r="D818" t="inlineStr">
        <is>
          <t>JÄMTLANDS LÄN</t>
        </is>
      </c>
      <c r="E818" t="inlineStr">
        <is>
          <t>RAGUNDA</t>
        </is>
      </c>
      <c r="G818" t="n">
        <v>2.1</v>
      </c>
      <c r="H818" t="n">
        <v>0</v>
      </c>
      <c r="I818" t="n">
        <v>0</v>
      </c>
      <c r="J818" t="n">
        <v>0</v>
      </c>
      <c r="K818" t="n">
        <v>0</v>
      </c>
      <c r="L818" t="n">
        <v>0</v>
      </c>
      <c r="M818" t="n">
        <v>0</v>
      </c>
      <c r="N818" t="n">
        <v>0</v>
      </c>
      <c r="O818" t="n">
        <v>0</v>
      </c>
      <c r="P818" t="n">
        <v>0</v>
      </c>
      <c r="Q818" t="n">
        <v>0</v>
      </c>
      <c r="R818" s="2" t="inlineStr"/>
    </row>
    <row r="819" ht="15" customHeight="1">
      <c r="A819" t="inlineStr">
        <is>
          <t>A 41344-2024</t>
        </is>
      </c>
      <c r="B819" s="1" t="n">
        <v>45559.67759259259</v>
      </c>
      <c r="C819" s="1" t="n">
        <v>45917</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58955-2024</t>
        </is>
      </c>
      <c r="B820" s="1" t="n">
        <v>45636.57329861111</v>
      </c>
      <c r="C820" s="1" t="n">
        <v>45917</v>
      </c>
      <c r="D820" t="inlineStr">
        <is>
          <t>JÄMTLANDS LÄN</t>
        </is>
      </c>
      <c r="E820" t="inlineStr">
        <is>
          <t>RAGUNDA</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4878-2022</t>
        </is>
      </c>
      <c r="B821" s="1" t="n">
        <v>44593</v>
      </c>
      <c r="C821" s="1" t="n">
        <v>45917</v>
      </c>
      <c r="D821" t="inlineStr">
        <is>
          <t>JÄMTLANDS LÄN</t>
        </is>
      </c>
      <c r="E821" t="inlineStr">
        <is>
          <t>RAGUNDA</t>
        </is>
      </c>
      <c r="G821" t="n">
        <v>21.7</v>
      </c>
      <c r="H821" t="n">
        <v>0</v>
      </c>
      <c r="I821" t="n">
        <v>0</v>
      </c>
      <c r="J821" t="n">
        <v>0</v>
      </c>
      <c r="K821" t="n">
        <v>0</v>
      </c>
      <c r="L821" t="n">
        <v>0</v>
      </c>
      <c r="M821" t="n">
        <v>0</v>
      </c>
      <c r="N821" t="n">
        <v>0</v>
      </c>
      <c r="O821" t="n">
        <v>0</v>
      </c>
      <c r="P821" t="n">
        <v>0</v>
      </c>
      <c r="Q821" t="n">
        <v>0</v>
      </c>
      <c r="R821" s="2" t="inlineStr"/>
    </row>
    <row r="822" ht="15" customHeight="1">
      <c r="A822" t="inlineStr">
        <is>
          <t>A 9548-2025</t>
        </is>
      </c>
      <c r="B822" s="1" t="n">
        <v>45715.59405092592</v>
      </c>
      <c r="C822" s="1" t="n">
        <v>45917</v>
      </c>
      <c r="D822" t="inlineStr">
        <is>
          <t>JÄMTLANDS LÄN</t>
        </is>
      </c>
      <c r="E822" t="inlineStr">
        <is>
          <t>RAGUNDA</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43971-2025</t>
        </is>
      </c>
      <c r="B823" s="1" t="n">
        <v>45915.40694444445</v>
      </c>
      <c r="C823" s="1" t="n">
        <v>45917</v>
      </c>
      <c r="D823" t="inlineStr">
        <is>
          <t>JÄMTLANDS LÄN</t>
        </is>
      </c>
      <c r="E823" t="inlineStr">
        <is>
          <t>RAGUNDA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39489-2023</t>
        </is>
      </c>
      <c r="B824" s="1" t="n">
        <v>45166</v>
      </c>
      <c r="C824" s="1" t="n">
        <v>45917</v>
      </c>
      <c r="D824" t="inlineStr">
        <is>
          <t>JÄMTLANDS LÄN</t>
        </is>
      </c>
      <c r="E824" t="inlineStr">
        <is>
          <t>RAGUNDA</t>
        </is>
      </c>
      <c r="G824" t="n">
        <v>5</v>
      </c>
      <c r="H824" t="n">
        <v>0</v>
      </c>
      <c r="I824" t="n">
        <v>0</v>
      </c>
      <c r="J824" t="n">
        <v>0</v>
      </c>
      <c r="K824" t="n">
        <v>0</v>
      </c>
      <c r="L824" t="n">
        <v>0</v>
      </c>
      <c r="M824" t="n">
        <v>0</v>
      </c>
      <c r="N824" t="n">
        <v>0</v>
      </c>
      <c r="O824" t="n">
        <v>0</v>
      </c>
      <c r="P824" t="n">
        <v>0</v>
      </c>
      <c r="Q824" t="n">
        <v>0</v>
      </c>
      <c r="R824" s="2" t="inlineStr"/>
    </row>
    <row r="825" ht="15" customHeight="1">
      <c r="A825" t="inlineStr">
        <is>
          <t>A 43533-2025</t>
        </is>
      </c>
      <c r="B825" s="1" t="n">
        <v>45911</v>
      </c>
      <c r="C825" s="1" t="n">
        <v>45917</v>
      </c>
      <c r="D825" t="inlineStr">
        <is>
          <t>JÄMTLANDS LÄN</t>
        </is>
      </c>
      <c r="E825" t="inlineStr">
        <is>
          <t>RAGUNDA</t>
        </is>
      </c>
      <c r="G825" t="n">
        <v>19</v>
      </c>
      <c r="H825" t="n">
        <v>0</v>
      </c>
      <c r="I825" t="n">
        <v>0</v>
      </c>
      <c r="J825" t="n">
        <v>0</v>
      </c>
      <c r="K825" t="n">
        <v>0</v>
      </c>
      <c r="L825" t="n">
        <v>0</v>
      </c>
      <c r="M825" t="n">
        <v>0</v>
      </c>
      <c r="N825" t="n">
        <v>0</v>
      </c>
      <c r="O825" t="n">
        <v>0</v>
      </c>
      <c r="P825" t="n">
        <v>0</v>
      </c>
      <c r="Q825" t="n">
        <v>0</v>
      </c>
      <c r="R825" s="2" t="inlineStr"/>
    </row>
    <row r="826" ht="15" customHeight="1">
      <c r="A826" t="inlineStr">
        <is>
          <t>A 57237-2022</t>
        </is>
      </c>
      <c r="B826" s="1" t="n">
        <v>44889</v>
      </c>
      <c r="C826" s="1" t="n">
        <v>45917</v>
      </c>
      <c r="D826" t="inlineStr">
        <is>
          <t>JÄMTLANDS LÄN</t>
        </is>
      </c>
      <c r="E826" t="inlineStr">
        <is>
          <t>RAGUNDA</t>
        </is>
      </c>
      <c r="G826" t="n">
        <v>2.2</v>
      </c>
      <c r="H826" t="n">
        <v>0</v>
      </c>
      <c r="I826" t="n">
        <v>0</v>
      </c>
      <c r="J826" t="n">
        <v>0</v>
      </c>
      <c r="K826" t="n">
        <v>0</v>
      </c>
      <c r="L826" t="n">
        <v>0</v>
      </c>
      <c r="M826" t="n">
        <v>0</v>
      </c>
      <c r="N826" t="n">
        <v>0</v>
      </c>
      <c r="O826" t="n">
        <v>0</v>
      </c>
      <c r="P826" t="n">
        <v>0</v>
      </c>
      <c r="Q826" t="n">
        <v>0</v>
      </c>
      <c r="R826" s="2" t="inlineStr"/>
    </row>
    <row r="827" ht="15" customHeight="1">
      <c r="A827" t="inlineStr">
        <is>
          <t>A 11058-2025</t>
        </is>
      </c>
      <c r="B827" s="1" t="n">
        <v>45723.51079861111</v>
      </c>
      <c r="C827" s="1" t="n">
        <v>45917</v>
      </c>
      <c r="D827" t="inlineStr">
        <is>
          <t>JÄMTLANDS LÄN</t>
        </is>
      </c>
      <c r="E827" t="inlineStr">
        <is>
          <t>RAGUNDA</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43526-2025</t>
        </is>
      </c>
      <c r="B828" s="1" t="n">
        <v>45911</v>
      </c>
      <c r="C828" s="1" t="n">
        <v>45917</v>
      </c>
      <c r="D828" t="inlineStr">
        <is>
          <t>JÄMTLANDS LÄN</t>
        </is>
      </c>
      <c r="E828" t="inlineStr">
        <is>
          <t>RAGUNDA</t>
        </is>
      </c>
      <c r="G828" t="n">
        <v>5.5</v>
      </c>
      <c r="H828" t="n">
        <v>0</v>
      </c>
      <c r="I828" t="n">
        <v>0</v>
      </c>
      <c r="J828" t="n">
        <v>0</v>
      </c>
      <c r="K828" t="n">
        <v>0</v>
      </c>
      <c r="L828" t="n">
        <v>0</v>
      </c>
      <c r="M828" t="n">
        <v>0</v>
      </c>
      <c r="N828" t="n">
        <v>0</v>
      </c>
      <c r="O828" t="n">
        <v>0</v>
      </c>
      <c r="P828" t="n">
        <v>0</v>
      </c>
      <c r="Q828" t="n">
        <v>0</v>
      </c>
      <c r="R828" s="2" t="inlineStr"/>
    </row>
    <row r="829" ht="15" customHeight="1">
      <c r="A829" t="inlineStr">
        <is>
          <t>A 36947-2025</t>
        </is>
      </c>
      <c r="B829" s="1" t="n">
        <v>45874.59496527778</v>
      </c>
      <c r="C829" s="1" t="n">
        <v>45917</v>
      </c>
      <c r="D829" t="inlineStr">
        <is>
          <t>JÄMTLANDS LÄN</t>
        </is>
      </c>
      <c r="E829" t="inlineStr">
        <is>
          <t>RAGUNDA</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13263-2025</t>
        </is>
      </c>
      <c r="B830" s="1" t="n">
        <v>45735.53177083333</v>
      </c>
      <c r="C830" s="1" t="n">
        <v>45917</v>
      </c>
      <c r="D830" t="inlineStr">
        <is>
          <t>JÄMTLANDS LÄN</t>
        </is>
      </c>
      <c r="E830" t="inlineStr">
        <is>
          <t>RAGUNDA</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15554-2025</t>
        </is>
      </c>
      <c r="B831" s="1" t="n">
        <v>45747.67739583334</v>
      </c>
      <c r="C831" s="1" t="n">
        <v>45917</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13276-2025</t>
        </is>
      </c>
      <c r="B832" s="1" t="n">
        <v>45735.5517824074</v>
      </c>
      <c r="C832" s="1" t="n">
        <v>45917</v>
      </c>
      <c r="D832" t="inlineStr">
        <is>
          <t>JÄMTLANDS LÄN</t>
        </is>
      </c>
      <c r="E832" t="inlineStr">
        <is>
          <t>RAGUNDA</t>
        </is>
      </c>
      <c r="G832" t="n">
        <v>16.6</v>
      </c>
      <c r="H832" t="n">
        <v>0</v>
      </c>
      <c r="I832" t="n">
        <v>0</v>
      </c>
      <c r="J832" t="n">
        <v>0</v>
      </c>
      <c r="K832" t="n">
        <v>0</v>
      </c>
      <c r="L832" t="n">
        <v>0</v>
      </c>
      <c r="M832" t="n">
        <v>0</v>
      </c>
      <c r="N832" t="n">
        <v>0</v>
      </c>
      <c r="O832" t="n">
        <v>0</v>
      </c>
      <c r="P832" t="n">
        <v>0</v>
      </c>
      <c r="Q832" t="n">
        <v>0</v>
      </c>
      <c r="R832" s="2" t="inlineStr"/>
    </row>
    <row r="833" ht="15" customHeight="1">
      <c r="A833" t="inlineStr">
        <is>
          <t>A 12405-2025</t>
        </is>
      </c>
      <c r="B833" s="1" t="n">
        <v>45730.42738425926</v>
      </c>
      <c r="C833" s="1" t="n">
        <v>45917</v>
      </c>
      <c r="D833" t="inlineStr">
        <is>
          <t>JÄMTLANDS LÄN</t>
        </is>
      </c>
      <c r="E833" t="inlineStr">
        <is>
          <t>RAGUNDA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12808-2025</t>
        </is>
      </c>
      <c r="B834" s="1" t="n">
        <v>45733.61554398148</v>
      </c>
      <c r="C834" s="1" t="n">
        <v>45917</v>
      </c>
      <c r="D834" t="inlineStr">
        <is>
          <t>JÄMTLANDS LÄN</t>
        </is>
      </c>
      <c r="E834" t="inlineStr">
        <is>
          <t>RAGUNDA</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32075-2025</t>
        </is>
      </c>
      <c r="B835" s="1" t="n">
        <v>45835.4506712963</v>
      </c>
      <c r="C835" s="1" t="n">
        <v>45917</v>
      </c>
      <c r="D835" t="inlineStr">
        <is>
          <t>JÄMTLANDS LÄN</t>
        </is>
      </c>
      <c r="E835" t="inlineStr">
        <is>
          <t>RAGUNDA</t>
        </is>
      </c>
      <c r="G835" t="n">
        <v>1.1</v>
      </c>
      <c r="H835" t="n">
        <v>0</v>
      </c>
      <c r="I835" t="n">
        <v>0</v>
      </c>
      <c r="J835" t="n">
        <v>0</v>
      </c>
      <c r="K835" t="n">
        <v>0</v>
      </c>
      <c r="L835" t="n">
        <v>0</v>
      </c>
      <c r="M835" t="n">
        <v>0</v>
      </c>
      <c r="N835" t="n">
        <v>0</v>
      </c>
      <c r="O835" t="n">
        <v>0</v>
      </c>
      <c r="P835" t="n">
        <v>0</v>
      </c>
      <c r="Q835" t="n">
        <v>0</v>
      </c>
      <c r="R835" s="2" t="inlineStr"/>
    </row>
    <row r="836" ht="15" customHeight="1">
      <c r="A836" t="inlineStr">
        <is>
          <t>A 57170-2024</t>
        </is>
      </c>
      <c r="B836" s="1" t="n">
        <v>45629.42759259259</v>
      </c>
      <c r="C836" s="1" t="n">
        <v>45917</v>
      </c>
      <c r="D836" t="inlineStr">
        <is>
          <t>JÄMTLANDS LÄN</t>
        </is>
      </c>
      <c r="E836" t="inlineStr">
        <is>
          <t>RAGUNDA</t>
        </is>
      </c>
      <c r="F836" t="inlineStr">
        <is>
          <t>SCA</t>
        </is>
      </c>
      <c r="G836" t="n">
        <v>4.4</v>
      </c>
      <c r="H836" t="n">
        <v>0</v>
      </c>
      <c r="I836" t="n">
        <v>0</v>
      </c>
      <c r="J836" t="n">
        <v>0</v>
      </c>
      <c r="K836" t="n">
        <v>0</v>
      </c>
      <c r="L836" t="n">
        <v>0</v>
      </c>
      <c r="M836" t="n">
        <v>0</v>
      </c>
      <c r="N836" t="n">
        <v>0</v>
      </c>
      <c r="O836" t="n">
        <v>0</v>
      </c>
      <c r="P836" t="n">
        <v>0</v>
      </c>
      <c r="Q836" t="n">
        <v>0</v>
      </c>
      <c r="R836" s="2" t="inlineStr"/>
    </row>
    <row r="837" ht="15" customHeight="1">
      <c r="A837" t="inlineStr">
        <is>
          <t>A 36994-2025</t>
        </is>
      </c>
      <c r="B837" s="1" t="n">
        <v>45874.67746527777</v>
      </c>
      <c r="C837" s="1" t="n">
        <v>45917</v>
      </c>
      <c r="D837" t="inlineStr">
        <is>
          <t>JÄMTLANDS LÄN</t>
        </is>
      </c>
      <c r="E837" t="inlineStr">
        <is>
          <t>RAGUNDA</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46546-2023</t>
        </is>
      </c>
      <c r="B838" s="1" t="n">
        <v>45197.94152777778</v>
      </c>
      <c r="C838" s="1" t="n">
        <v>45917</v>
      </c>
      <c r="D838" t="inlineStr">
        <is>
          <t>JÄMTLANDS LÄN</t>
        </is>
      </c>
      <c r="E838" t="inlineStr">
        <is>
          <t>RAGUNDA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6716-2025</t>
        </is>
      </c>
      <c r="B839" s="1" t="n">
        <v>45700.57324074074</v>
      </c>
      <c r="C839" s="1" t="n">
        <v>45917</v>
      </c>
      <c r="D839" t="inlineStr">
        <is>
          <t>JÄMTLANDS LÄN</t>
        </is>
      </c>
      <c r="E839" t="inlineStr">
        <is>
          <t>RAGUNDA</t>
        </is>
      </c>
      <c r="F839" t="inlineStr">
        <is>
          <t>SCA</t>
        </is>
      </c>
      <c r="G839" t="n">
        <v>5.1</v>
      </c>
      <c r="H839" t="n">
        <v>0</v>
      </c>
      <c r="I839" t="n">
        <v>0</v>
      </c>
      <c r="J839" t="n">
        <v>0</v>
      </c>
      <c r="K839" t="n">
        <v>0</v>
      </c>
      <c r="L839" t="n">
        <v>0</v>
      </c>
      <c r="M839" t="n">
        <v>0</v>
      </c>
      <c r="N839" t="n">
        <v>0</v>
      </c>
      <c r="O839" t="n">
        <v>0</v>
      </c>
      <c r="P839" t="n">
        <v>0</v>
      </c>
      <c r="Q839" t="n">
        <v>0</v>
      </c>
      <c r="R839" s="2" t="inlineStr"/>
    </row>
    <row r="840" ht="15" customHeight="1">
      <c r="A840" t="inlineStr">
        <is>
          <t>A 32874-2025</t>
        </is>
      </c>
      <c r="B840" s="1" t="n">
        <v>45839</v>
      </c>
      <c r="C840" s="1" t="n">
        <v>45917</v>
      </c>
      <c r="D840" t="inlineStr">
        <is>
          <t>JÄMTLANDS LÄN</t>
        </is>
      </c>
      <c r="E840" t="inlineStr">
        <is>
          <t>RAGUNDA</t>
        </is>
      </c>
      <c r="G840" t="n">
        <v>2.3</v>
      </c>
      <c r="H840" t="n">
        <v>0</v>
      </c>
      <c r="I840" t="n">
        <v>0</v>
      </c>
      <c r="J840" t="n">
        <v>0</v>
      </c>
      <c r="K840" t="n">
        <v>0</v>
      </c>
      <c r="L840" t="n">
        <v>0</v>
      </c>
      <c r="M840" t="n">
        <v>0</v>
      </c>
      <c r="N840" t="n">
        <v>0</v>
      </c>
      <c r="O840" t="n">
        <v>0</v>
      </c>
      <c r="P840" t="n">
        <v>0</v>
      </c>
      <c r="Q840" t="n">
        <v>0</v>
      </c>
      <c r="R840" s="2" t="inlineStr"/>
    </row>
    <row r="841" ht="15" customHeight="1">
      <c r="A841" t="inlineStr">
        <is>
          <t>A 30823-2023</t>
        </is>
      </c>
      <c r="B841" s="1" t="n">
        <v>45112</v>
      </c>
      <c r="C841" s="1" t="n">
        <v>45917</v>
      </c>
      <c r="D841" t="inlineStr">
        <is>
          <t>JÄMTLANDS LÄN</t>
        </is>
      </c>
      <c r="E841" t="inlineStr">
        <is>
          <t>RAGUNDA</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30484-2024</t>
        </is>
      </c>
      <c r="B842" s="1" t="n">
        <v>45491</v>
      </c>
      <c r="C842" s="1" t="n">
        <v>45917</v>
      </c>
      <c r="D842" t="inlineStr">
        <is>
          <t>JÄMTLANDS LÄN</t>
        </is>
      </c>
      <c r="E842" t="inlineStr">
        <is>
          <t>RAGUNDA</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29940-2023</t>
        </is>
      </c>
      <c r="B843" s="1" t="n">
        <v>45107</v>
      </c>
      <c r="C843" s="1" t="n">
        <v>45917</v>
      </c>
      <c r="D843" t="inlineStr">
        <is>
          <t>JÄMTLANDS LÄN</t>
        </is>
      </c>
      <c r="E843" t="inlineStr">
        <is>
          <t>RAGUNDA</t>
        </is>
      </c>
      <c r="G843" t="n">
        <v>13.5</v>
      </c>
      <c r="H843" t="n">
        <v>0</v>
      </c>
      <c r="I843" t="n">
        <v>0</v>
      </c>
      <c r="J843" t="n">
        <v>0</v>
      </c>
      <c r="K843" t="n">
        <v>0</v>
      </c>
      <c r="L843" t="n">
        <v>0</v>
      </c>
      <c r="M843" t="n">
        <v>0</v>
      </c>
      <c r="N843" t="n">
        <v>0</v>
      </c>
      <c r="O843" t="n">
        <v>0</v>
      </c>
      <c r="P843" t="n">
        <v>0</v>
      </c>
      <c r="Q843" t="n">
        <v>0</v>
      </c>
      <c r="R843" s="2" t="inlineStr"/>
    </row>
    <row r="844" ht="15" customHeight="1">
      <c r="A844" t="inlineStr">
        <is>
          <t>A 11288-2022</t>
        </is>
      </c>
      <c r="B844" s="1" t="n">
        <v>44629</v>
      </c>
      <c r="C844" s="1" t="n">
        <v>45917</v>
      </c>
      <c r="D844" t="inlineStr">
        <is>
          <t>JÄMTLANDS LÄN</t>
        </is>
      </c>
      <c r="E844" t="inlineStr">
        <is>
          <t>RAGUNDA</t>
        </is>
      </c>
      <c r="G844" t="n">
        <v>4.9</v>
      </c>
      <c r="H844" t="n">
        <v>0</v>
      </c>
      <c r="I844" t="n">
        <v>0</v>
      </c>
      <c r="J844" t="n">
        <v>0</v>
      </c>
      <c r="K844" t="n">
        <v>0</v>
      </c>
      <c r="L844" t="n">
        <v>0</v>
      </c>
      <c r="M844" t="n">
        <v>0</v>
      </c>
      <c r="N844" t="n">
        <v>0</v>
      </c>
      <c r="O844" t="n">
        <v>0</v>
      </c>
      <c r="P844" t="n">
        <v>0</v>
      </c>
      <c r="Q844" t="n">
        <v>0</v>
      </c>
      <c r="R844" s="2" t="inlineStr"/>
    </row>
    <row r="845" ht="15" customHeight="1">
      <c r="A845" t="inlineStr">
        <is>
          <t>A 19865-2023</t>
        </is>
      </c>
      <c r="B845" s="1" t="n">
        <v>45053.94305555556</v>
      </c>
      <c r="C845" s="1" t="n">
        <v>45917</v>
      </c>
      <c r="D845" t="inlineStr">
        <is>
          <t>JÄMTLANDS LÄN</t>
        </is>
      </c>
      <c r="E845" t="inlineStr">
        <is>
          <t>RAGUNDA</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1554-2024</t>
        </is>
      </c>
      <c r="B846" s="1" t="n">
        <v>45306</v>
      </c>
      <c r="C846" s="1" t="n">
        <v>45917</v>
      </c>
      <c r="D846" t="inlineStr">
        <is>
          <t>JÄMTLANDS LÄN</t>
        </is>
      </c>
      <c r="E846" t="inlineStr">
        <is>
          <t>RAGUNDA</t>
        </is>
      </c>
      <c r="G846" t="n">
        <v>4.3</v>
      </c>
      <c r="H846" t="n">
        <v>0</v>
      </c>
      <c r="I846" t="n">
        <v>0</v>
      </c>
      <c r="J846" t="n">
        <v>0</v>
      </c>
      <c r="K846" t="n">
        <v>0</v>
      </c>
      <c r="L846" t="n">
        <v>0</v>
      </c>
      <c r="M846" t="n">
        <v>0</v>
      </c>
      <c r="N846" t="n">
        <v>0</v>
      </c>
      <c r="O846" t="n">
        <v>0</v>
      </c>
      <c r="P846" t="n">
        <v>0</v>
      </c>
      <c r="Q846" t="n">
        <v>0</v>
      </c>
      <c r="R846" s="2" t="inlineStr"/>
    </row>
    <row r="847" ht="15" customHeight="1">
      <c r="A847" t="inlineStr">
        <is>
          <t>A 66471-2021</t>
        </is>
      </c>
      <c r="B847" s="1" t="n">
        <v>44518</v>
      </c>
      <c r="C847" s="1" t="n">
        <v>45917</v>
      </c>
      <c r="D847" t="inlineStr">
        <is>
          <t>JÄMTLANDS LÄN</t>
        </is>
      </c>
      <c r="E847" t="inlineStr">
        <is>
          <t>RAGUNDA</t>
        </is>
      </c>
      <c r="G847" t="n">
        <v>13.4</v>
      </c>
      <c r="H847" t="n">
        <v>0</v>
      </c>
      <c r="I847" t="n">
        <v>0</v>
      </c>
      <c r="J847" t="n">
        <v>0</v>
      </c>
      <c r="K847" t="n">
        <v>0</v>
      </c>
      <c r="L847" t="n">
        <v>0</v>
      </c>
      <c r="M847" t="n">
        <v>0</v>
      </c>
      <c r="N847" t="n">
        <v>0</v>
      </c>
      <c r="O847" t="n">
        <v>0</v>
      </c>
      <c r="P847" t="n">
        <v>0</v>
      </c>
      <c r="Q847" t="n">
        <v>0</v>
      </c>
      <c r="R847" s="2" t="inlineStr"/>
    </row>
    <row r="848" ht="15" customHeight="1">
      <c r="A848" t="inlineStr">
        <is>
          <t>A 37008-2025</t>
        </is>
      </c>
      <c r="B848" s="1" t="n">
        <v>45874.69844907407</v>
      </c>
      <c r="C848" s="1" t="n">
        <v>45917</v>
      </c>
      <c r="D848" t="inlineStr">
        <is>
          <t>JÄMTLANDS LÄN</t>
        </is>
      </c>
      <c r="E848" t="inlineStr">
        <is>
          <t>RAGUNDA</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22731-2023</t>
        </is>
      </c>
      <c r="B849" s="1" t="n">
        <v>45071</v>
      </c>
      <c r="C849" s="1" t="n">
        <v>45917</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22011-2023</t>
        </is>
      </c>
      <c r="B850" s="1" t="n">
        <v>45068</v>
      </c>
      <c r="C850" s="1" t="n">
        <v>45917</v>
      </c>
      <c r="D850" t="inlineStr">
        <is>
          <t>JÄMTLANDS LÄN</t>
        </is>
      </c>
      <c r="E850" t="inlineStr">
        <is>
          <t>RAGUNDA</t>
        </is>
      </c>
      <c r="F850" t="inlineStr">
        <is>
          <t>SCA</t>
        </is>
      </c>
      <c r="G850" t="n">
        <v>12.2</v>
      </c>
      <c r="H850" t="n">
        <v>0</v>
      </c>
      <c r="I850" t="n">
        <v>0</v>
      </c>
      <c r="J850" t="n">
        <v>0</v>
      </c>
      <c r="K850" t="n">
        <v>0</v>
      </c>
      <c r="L850" t="n">
        <v>0</v>
      </c>
      <c r="M850" t="n">
        <v>0</v>
      </c>
      <c r="N850" t="n">
        <v>0</v>
      </c>
      <c r="O850" t="n">
        <v>0</v>
      </c>
      <c r="P850" t="n">
        <v>0</v>
      </c>
      <c r="Q850" t="n">
        <v>0</v>
      </c>
      <c r="R850" s="2" t="inlineStr"/>
    </row>
    <row r="851" ht="15" customHeight="1">
      <c r="A851" t="inlineStr">
        <is>
          <t>A 33877-2023</t>
        </is>
      </c>
      <c r="B851" s="1" t="n">
        <v>45133</v>
      </c>
      <c r="C851" s="1" t="n">
        <v>45917</v>
      </c>
      <c r="D851" t="inlineStr">
        <is>
          <t>JÄMTLANDS LÄN</t>
        </is>
      </c>
      <c r="E851" t="inlineStr">
        <is>
          <t>RAGUNDA</t>
        </is>
      </c>
      <c r="F851" t="inlineStr">
        <is>
          <t>SCA</t>
        </is>
      </c>
      <c r="G851" t="n">
        <v>4.3</v>
      </c>
      <c r="H851" t="n">
        <v>0</v>
      </c>
      <c r="I851" t="n">
        <v>0</v>
      </c>
      <c r="J851" t="n">
        <v>0</v>
      </c>
      <c r="K851" t="n">
        <v>0</v>
      </c>
      <c r="L851" t="n">
        <v>0</v>
      </c>
      <c r="M851" t="n">
        <v>0</v>
      </c>
      <c r="N851" t="n">
        <v>0</v>
      </c>
      <c r="O851" t="n">
        <v>0</v>
      </c>
      <c r="P851" t="n">
        <v>0</v>
      </c>
      <c r="Q851" t="n">
        <v>0</v>
      </c>
      <c r="R851" s="2" t="inlineStr"/>
    </row>
    <row r="852" ht="15" customHeight="1">
      <c r="A852" t="inlineStr">
        <is>
          <t>A 13389-2025</t>
        </is>
      </c>
      <c r="B852" s="1" t="n">
        <v>45735.69842592593</v>
      </c>
      <c r="C852" s="1" t="n">
        <v>45917</v>
      </c>
      <c r="D852" t="inlineStr">
        <is>
          <t>JÄMTLANDS LÄN</t>
        </is>
      </c>
      <c r="E852" t="inlineStr">
        <is>
          <t>RAGUNDA</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2831-2024</t>
        </is>
      </c>
      <c r="B853" s="1" t="n">
        <v>45314.92758101852</v>
      </c>
      <c r="C853" s="1" t="n">
        <v>45917</v>
      </c>
      <c r="D853" t="inlineStr">
        <is>
          <t>JÄMTLANDS LÄN</t>
        </is>
      </c>
      <c r="E853" t="inlineStr">
        <is>
          <t>RAGUNDA</t>
        </is>
      </c>
      <c r="G853" t="n">
        <v>0.6</v>
      </c>
      <c r="H853" t="n">
        <v>0</v>
      </c>
      <c r="I853" t="n">
        <v>0</v>
      </c>
      <c r="J853" t="n">
        <v>0</v>
      </c>
      <c r="K853" t="n">
        <v>0</v>
      </c>
      <c r="L853" t="n">
        <v>0</v>
      </c>
      <c r="M853" t="n">
        <v>0</v>
      </c>
      <c r="N853" t="n">
        <v>0</v>
      </c>
      <c r="O853" t="n">
        <v>0</v>
      </c>
      <c r="P853" t="n">
        <v>0</v>
      </c>
      <c r="Q853" t="n">
        <v>0</v>
      </c>
      <c r="R853" s="2" t="inlineStr"/>
    </row>
    <row r="854" ht="15" customHeight="1">
      <c r="A854" t="inlineStr">
        <is>
          <t>A 8775-2025</t>
        </is>
      </c>
      <c r="B854" s="1" t="n">
        <v>45712.61502314815</v>
      </c>
      <c r="C854" s="1" t="n">
        <v>45917</v>
      </c>
      <c r="D854" t="inlineStr">
        <is>
          <t>JÄMTLANDS LÄN</t>
        </is>
      </c>
      <c r="E854" t="inlineStr">
        <is>
          <t>RAGUNDA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8776-2025</t>
        </is>
      </c>
      <c r="B855" s="1" t="n">
        <v>45712.61510416667</v>
      </c>
      <c r="C855" s="1" t="n">
        <v>45917</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13264-2025</t>
        </is>
      </c>
      <c r="B856" s="1" t="n">
        <v>45735</v>
      </c>
      <c r="C856" s="1" t="n">
        <v>45917</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57749-2024</t>
        </is>
      </c>
      <c r="B857" s="1" t="n">
        <v>45630.7862037037</v>
      </c>
      <c r="C857" s="1" t="n">
        <v>45917</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5067-2024</t>
        </is>
      </c>
      <c r="B858" s="1" t="n">
        <v>45329.95806712963</v>
      </c>
      <c r="C858" s="1" t="n">
        <v>45917</v>
      </c>
      <c r="D858" t="inlineStr">
        <is>
          <t>JÄMTLANDS LÄN</t>
        </is>
      </c>
      <c r="E858" t="inlineStr">
        <is>
          <t>RAGUNDA</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5429-2024</t>
        </is>
      </c>
      <c r="B859" s="1" t="n">
        <v>45331.92746527777</v>
      </c>
      <c r="C859" s="1" t="n">
        <v>45917</v>
      </c>
      <c r="D859" t="inlineStr">
        <is>
          <t>JÄMTLANDS LÄN</t>
        </is>
      </c>
      <c r="E859" t="inlineStr">
        <is>
          <t>RAGUNDA</t>
        </is>
      </c>
      <c r="G859" t="n">
        <v>1.1</v>
      </c>
      <c r="H859" t="n">
        <v>0</v>
      </c>
      <c r="I859" t="n">
        <v>0</v>
      </c>
      <c r="J859" t="n">
        <v>0</v>
      </c>
      <c r="K859" t="n">
        <v>0</v>
      </c>
      <c r="L859" t="n">
        <v>0</v>
      </c>
      <c r="M859" t="n">
        <v>0</v>
      </c>
      <c r="N859" t="n">
        <v>0</v>
      </c>
      <c r="O859" t="n">
        <v>0</v>
      </c>
      <c r="P859" t="n">
        <v>0</v>
      </c>
      <c r="Q859" t="n">
        <v>0</v>
      </c>
      <c r="R859" s="2" t="inlineStr"/>
    </row>
    <row r="860" ht="15" customHeight="1">
      <c r="A860" t="inlineStr">
        <is>
          <t>A 37268-2024</t>
        </is>
      </c>
      <c r="B860" s="1" t="n">
        <v>45540.38586805556</v>
      </c>
      <c r="C860" s="1" t="n">
        <v>45917</v>
      </c>
      <c r="D860" t="inlineStr">
        <is>
          <t>JÄMTLANDS LÄN</t>
        </is>
      </c>
      <c r="E860" t="inlineStr">
        <is>
          <t>RAGUNDA</t>
        </is>
      </c>
      <c r="F860" t="inlineStr">
        <is>
          <t>SCA</t>
        </is>
      </c>
      <c r="G860" t="n">
        <v>6.3</v>
      </c>
      <c r="H860" t="n">
        <v>0</v>
      </c>
      <c r="I860" t="n">
        <v>0</v>
      </c>
      <c r="J860" t="n">
        <v>0</v>
      </c>
      <c r="K860" t="n">
        <v>0</v>
      </c>
      <c r="L860" t="n">
        <v>0</v>
      </c>
      <c r="M860" t="n">
        <v>0</v>
      </c>
      <c r="N860" t="n">
        <v>0</v>
      </c>
      <c r="O860" t="n">
        <v>0</v>
      </c>
      <c r="P860" t="n">
        <v>0</v>
      </c>
      <c r="Q860" t="n">
        <v>0</v>
      </c>
      <c r="R860" s="2" t="inlineStr"/>
    </row>
    <row r="861" ht="15" customHeight="1">
      <c r="A861" t="inlineStr">
        <is>
          <t>A 41179-2022</t>
        </is>
      </c>
      <c r="B861" s="1" t="n">
        <v>44825</v>
      </c>
      <c r="C861" s="1" t="n">
        <v>45917</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17598-2021</t>
        </is>
      </c>
      <c r="B862" s="1" t="n">
        <v>44299</v>
      </c>
      <c r="C862" s="1" t="n">
        <v>45917</v>
      </c>
      <c r="D862" t="inlineStr">
        <is>
          <t>JÄMTLANDS LÄN</t>
        </is>
      </c>
      <c r="E862" t="inlineStr">
        <is>
          <t>RAGUNDA</t>
        </is>
      </c>
      <c r="G862" t="n">
        <v>4.6</v>
      </c>
      <c r="H862" t="n">
        <v>0</v>
      </c>
      <c r="I862" t="n">
        <v>0</v>
      </c>
      <c r="J862" t="n">
        <v>0</v>
      </c>
      <c r="K862" t="n">
        <v>0</v>
      </c>
      <c r="L862" t="n">
        <v>0</v>
      </c>
      <c r="M862" t="n">
        <v>0</v>
      </c>
      <c r="N862" t="n">
        <v>0</v>
      </c>
      <c r="O862" t="n">
        <v>0</v>
      </c>
      <c r="P862" t="n">
        <v>0</v>
      </c>
      <c r="Q862" t="n">
        <v>0</v>
      </c>
      <c r="R862" s="2" t="inlineStr"/>
    </row>
    <row r="863" ht="15" customHeight="1">
      <c r="A863" t="inlineStr">
        <is>
          <t>A 62541-2022</t>
        </is>
      </c>
      <c r="B863" s="1" t="n">
        <v>44917</v>
      </c>
      <c r="C863" s="1" t="n">
        <v>45917</v>
      </c>
      <c r="D863" t="inlineStr">
        <is>
          <t>JÄMTLANDS LÄN</t>
        </is>
      </c>
      <c r="E863" t="inlineStr">
        <is>
          <t>RAGUNDA</t>
        </is>
      </c>
      <c r="G863" t="n">
        <v>2.6</v>
      </c>
      <c r="H863" t="n">
        <v>0</v>
      </c>
      <c r="I863" t="n">
        <v>0</v>
      </c>
      <c r="J863" t="n">
        <v>0</v>
      </c>
      <c r="K863" t="n">
        <v>0</v>
      </c>
      <c r="L863" t="n">
        <v>0</v>
      </c>
      <c r="M863" t="n">
        <v>0</v>
      </c>
      <c r="N863" t="n">
        <v>0</v>
      </c>
      <c r="O863" t="n">
        <v>0</v>
      </c>
      <c r="P863" t="n">
        <v>0</v>
      </c>
      <c r="Q863" t="n">
        <v>0</v>
      </c>
      <c r="R863" s="2" t="inlineStr"/>
    </row>
    <row r="864" ht="15" customHeight="1">
      <c r="A864" t="inlineStr">
        <is>
          <t>A 28742-2023</t>
        </is>
      </c>
      <c r="B864" s="1" t="n">
        <v>45103</v>
      </c>
      <c r="C864" s="1" t="n">
        <v>45917</v>
      </c>
      <c r="D864" t="inlineStr">
        <is>
          <t>JÄMTLANDS LÄN</t>
        </is>
      </c>
      <c r="E864" t="inlineStr">
        <is>
          <t>RAGUNDA</t>
        </is>
      </c>
      <c r="G864" t="n">
        <v>1.8</v>
      </c>
      <c r="H864" t="n">
        <v>0</v>
      </c>
      <c r="I864" t="n">
        <v>0</v>
      </c>
      <c r="J864" t="n">
        <v>0</v>
      </c>
      <c r="K864" t="n">
        <v>0</v>
      </c>
      <c r="L864" t="n">
        <v>0</v>
      </c>
      <c r="M864" t="n">
        <v>0</v>
      </c>
      <c r="N864" t="n">
        <v>0</v>
      </c>
      <c r="O864" t="n">
        <v>0</v>
      </c>
      <c r="P864" t="n">
        <v>0</v>
      </c>
      <c r="Q864" t="n">
        <v>0</v>
      </c>
      <c r="R864" s="2" t="inlineStr"/>
    </row>
    <row r="865" ht="15" customHeight="1">
      <c r="A865" t="inlineStr">
        <is>
          <t>A 61400-2022</t>
        </is>
      </c>
      <c r="B865" s="1" t="n">
        <v>44915</v>
      </c>
      <c r="C865" s="1" t="n">
        <v>45917</v>
      </c>
      <c r="D865" t="inlineStr">
        <is>
          <t>JÄMTLANDS LÄN</t>
        </is>
      </c>
      <c r="E865" t="inlineStr">
        <is>
          <t>RAGUNDA</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24861-2023</t>
        </is>
      </c>
      <c r="B866" s="1" t="n">
        <v>45078</v>
      </c>
      <c r="C866" s="1" t="n">
        <v>45917</v>
      </c>
      <c r="D866" t="inlineStr">
        <is>
          <t>JÄMTLANDS LÄN</t>
        </is>
      </c>
      <c r="E866" t="inlineStr">
        <is>
          <t>RAGUNDA</t>
        </is>
      </c>
      <c r="G866" t="n">
        <v>1.3</v>
      </c>
      <c r="H866" t="n">
        <v>0</v>
      </c>
      <c r="I866" t="n">
        <v>0</v>
      </c>
      <c r="J866" t="n">
        <v>0</v>
      </c>
      <c r="K866" t="n">
        <v>0</v>
      </c>
      <c r="L866" t="n">
        <v>0</v>
      </c>
      <c r="M866" t="n">
        <v>0</v>
      </c>
      <c r="N866" t="n">
        <v>0</v>
      </c>
      <c r="O866" t="n">
        <v>0</v>
      </c>
      <c r="P866" t="n">
        <v>0</v>
      </c>
      <c r="Q866" t="n">
        <v>0</v>
      </c>
      <c r="R866" s="2" t="inlineStr"/>
    </row>
    <row r="867" ht="15" customHeight="1">
      <c r="A867" t="inlineStr">
        <is>
          <t>A 22981-2023</t>
        </is>
      </c>
      <c r="B867" s="1" t="n">
        <v>45072.92737268518</v>
      </c>
      <c r="C867" s="1" t="n">
        <v>45917</v>
      </c>
      <c r="D867" t="inlineStr">
        <is>
          <t>JÄMTLANDS LÄN</t>
        </is>
      </c>
      <c r="E867" t="inlineStr">
        <is>
          <t>RAGUNDA</t>
        </is>
      </c>
      <c r="G867" t="n">
        <v>3.8</v>
      </c>
      <c r="H867" t="n">
        <v>0</v>
      </c>
      <c r="I867" t="n">
        <v>0</v>
      </c>
      <c r="J867" t="n">
        <v>0</v>
      </c>
      <c r="K867" t="n">
        <v>0</v>
      </c>
      <c r="L867" t="n">
        <v>0</v>
      </c>
      <c r="M867" t="n">
        <v>0</v>
      </c>
      <c r="N867" t="n">
        <v>0</v>
      </c>
      <c r="O867" t="n">
        <v>0</v>
      </c>
      <c r="P867" t="n">
        <v>0</v>
      </c>
      <c r="Q867" t="n">
        <v>0</v>
      </c>
      <c r="R867" s="2" t="inlineStr"/>
    </row>
    <row r="868" ht="15" customHeight="1">
      <c r="A868" t="inlineStr">
        <is>
          <t>A 21726-2023</t>
        </is>
      </c>
      <c r="B868" s="1" t="n">
        <v>45065.42894675926</v>
      </c>
      <c r="C868" s="1" t="n">
        <v>45917</v>
      </c>
      <c r="D868" t="inlineStr">
        <is>
          <t>JÄMTLANDS LÄN</t>
        </is>
      </c>
      <c r="E868" t="inlineStr">
        <is>
          <t>RAGUNDA</t>
        </is>
      </c>
      <c r="G868" t="n">
        <v>0.4</v>
      </c>
      <c r="H868" t="n">
        <v>0</v>
      </c>
      <c r="I868" t="n">
        <v>0</v>
      </c>
      <c r="J868" t="n">
        <v>0</v>
      </c>
      <c r="K868" t="n">
        <v>0</v>
      </c>
      <c r="L868" t="n">
        <v>0</v>
      </c>
      <c r="M868" t="n">
        <v>0</v>
      </c>
      <c r="N868" t="n">
        <v>0</v>
      </c>
      <c r="O868" t="n">
        <v>0</v>
      </c>
      <c r="P868" t="n">
        <v>0</v>
      </c>
      <c r="Q868" t="n">
        <v>0</v>
      </c>
      <c r="R868" s="2" t="inlineStr"/>
    </row>
    <row r="869" ht="15" customHeight="1">
      <c r="A869" t="inlineStr">
        <is>
          <t>A 55514-2024</t>
        </is>
      </c>
      <c r="B869" s="1" t="n">
        <v>45622.46910879629</v>
      </c>
      <c r="C869" s="1" t="n">
        <v>45917</v>
      </c>
      <c r="D869" t="inlineStr">
        <is>
          <t>JÄMTLANDS LÄN</t>
        </is>
      </c>
      <c r="E869" t="inlineStr">
        <is>
          <t>RAGUNDA</t>
        </is>
      </c>
      <c r="G869" t="n">
        <v>0.9</v>
      </c>
      <c r="H869" t="n">
        <v>0</v>
      </c>
      <c r="I869" t="n">
        <v>0</v>
      </c>
      <c r="J869" t="n">
        <v>0</v>
      </c>
      <c r="K869" t="n">
        <v>0</v>
      </c>
      <c r="L869" t="n">
        <v>0</v>
      </c>
      <c r="M869" t="n">
        <v>0</v>
      </c>
      <c r="N869" t="n">
        <v>0</v>
      </c>
      <c r="O869" t="n">
        <v>0</v>
      </c>
      <c r="P869" t="n">
        <v>0</v>
      </c>
      <c r="Q869" t="n">
        <v>0</v>
      </c>
      <c r="R869" s="2" t="inlineStr"/>
    </row>
    <row r="870" ht="15" customHeight="1">
      <c r="A870" t="inlineStr">
        <is>
          <t>A 24441-2024</t>
        </is>
      </c>
      <c r="B870" s="1" t="n">
        <v>45457.96372685185</v>
      </c>
      <c r="C870" s="1" t="n">
        <v>45917</v>
      </c>
      <c r="D870" t="inlineStr">
        <is>
          <t>JÄMTLANDS LÄN</t>
        </is>
      </c>
      <c r="E870" t="inlineStr">
        <is>
          <t>RAGUNDA</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38270-2021</t>
        </is>
      </c>
      <c r="B871" s="1" t="n">
        <v>44405.92065972222</v>
      </c>
      <c r="C871" s="1" t="n">
        <v>45917</v>
      </c>
      <c r="D871" t="inlineStr">
        <is>
          <t>JÄMTLANDS LÄN</t>
        </is>
      </c>
      <c r="E871" t="inlineStr">
        <is>
          <t>RAGUNDA</t>
        </is>
      </c>
      <c r="G871" t="n">
        <v>1.3</v>
      </c>
      <c r="H871" t="n">
        <v>0</v>
      </c>
      <c r="I871" t="n">
        <v>0</v>
      </c>
      <c r="J871" t="n">
        <v>0</v>
      </c>
      <c r="K871" t="n">
        <v>0</v>
      </c>
      <c r="L871" t="n">
        <v>0</v>
      </c>
      <c r="M871" t="n">
        <v>0</v>
      </c>
      <c r="N871" t="n">
        <v>0</v>
      </c>
      <c r="O871" t="n">
        <v>0</v>
      </c>
      <c r="P871" t="n">
        <v>0</v>
      </c>
      <c r="Q871" t="n">
        <v>0</v>
      </c>
      <c r="R871" s="2" t="inlineStr"/>
    </row>
    <row r="872" ht="15" customHeight="1">
      <c r="A872" t="inlineStr">
        <is>
          <t>A 4866-2025</t>
        </is>
      </c>
      <c r="B872" s="1" t="n">
        <v>45688.67542824074</v>
      </c>
      <c r="C872" s="1" t="n">
        <v>45917</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934-2023</t>
        </is>
      </c>
      <c r="B873" s="1" t="n">
        <v>44932.93927083333</v>
      </c>
      <c r="C873" s="1" t="n">
        <v>45917</v>
      </c>
      <c r="D873" t="inlineStr">
        <is>
          <t>JÄMTLANDS LÄN</t>
        </is>
      </c>
      <c r="E873" t="inlineStr">
        <is>
          <t>RAGUNDA</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37242-2024</t>
        </is>
      </c>
      <c r="B874" s="1" t="n">
        <v>45540.34428240741</v>
      </c>
      <c r="C874" s="1" t="n">
        <v>45917</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9232-2025</t>
        </is>
      </c>
      <c r="B875" s="1" t="n">
        <v>45714.55064814815</v>
      </c>
      <c r="C875" s="1" t="n">
        <v>45917</v>
      </c>
      <c r="D875" t="inlineStr">
        <is>
          <t>JÄMTLANDS LÄN</t>
        </is>
      </c>
      <c r="E875" t="inlineStr">
        <is>
          <t>RAGUNDA</t>
        </is>
      </c>
      <c r="G875" t="n">
        <v>1.9</v>
      </c>
      <c r="H875" t="n">
        <v>0</v>
      </c>
      <c r="I875" t="n">
        <v>0</v>
      </c>
      <c r="J875" t="n">
        <v>0</v>
      </c>
      <c r="K875" t="n">
        <v>0</v>
      </c>
      <c r="L875" t="n">
        <v>0</v>
      </c>
      <c r="M875" t="n">
        <v>0</v>
      </c>
      <c r="N875" t="n">
        <v>0</v>
      </c>
      <c r="O875" t="n">
        <v>0</v>
      </c>
      <c r="P875" t="n">
        <v>0</v>
      </c>
      <c r="Q875" t="n">
        <v>0</v>
      </c>
      <c r="R875" s="2" t="inlineStr"/>
    </row>
    <row r="876" ht="15" customHeight="1">
      <c r="A876" t="inlineStr">
        <is>
          <t>A 41656-2023</t>
        </is>
      </c>
      <c r="B876" s="1" t="n">
        <v>45175</v>
      </c>
      <c r="C876" s="1" t="n">
        <v>45917</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36317-2024</t>
        </is>
      </c>
      <c r="B877" s="1" t="n">
        <v>45534.63537037037</v>
      </c>
      <c r="C877" s="1" t="n">
        <v>45917</v>
      </c>
      <c r="D877" t="inlineStr">
        <is>
          <t>JÄMTLANDS LÄN</t>
        </is>
      </c>
      <c r="E877" t="inlineStr">
        <is>
          <t>RAGUNDA</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179-2025</t>
        </is>
      </c>
      <c r="B878" s="1" t="n">
        <v>45659.69822916666</v>
      </c>
      <c r="C878" s="1" t="n">
        <v>45917</v>
      </c>
      <c r="D878" t="inlineStr">
        <is>
          <t>JÄMTLANDS LÄN</t>
        </is>
      </c>
      <c r="E878" t="inlineStr">
        <is>
          <t>RAGUNDA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20088-2023</t>
        </is>
      </c>
      <c r="B879" s="1" t="n">
        <v>45054</v>
      </c>
      <c r="C879" s="1" t="n">
        <v>45917</v>
      </c>
      <c r="D879" t="inlineStr">
        <is>
          <t>JÄMTLANDS LÄN</t>
        </is>
      </c>
      <c r="E879" t="inlineStr">
        <is>
          <t>RAGUNDA</t>
        </is>
      </c>
      <c r="F879" t="inlineStr">
        <is>
          <t>SCA</t>
        </is>
      </c>
      <c r="G879" t="n">
        <v>23.4</v>
      </c>
      <c r="H879" t="n">
        <v>0</v>
      </c>
      <c r="I879" t="n">
        <v>0</v>
      </c>
      <c r="J879" t="n">
        <v>0</v>
      </c>
      <c r="K879" t="n">
        <v>0</v>
      </c>
      <c r="L879" t="n">
        <v>0</v>
      </c>
      <c r="M879" t="n">
        <v>0</v>
      </c>
      <c r="N879" t="n">
        <v>0</v>
      </c>
      <c r="O879" t="n">
        <v>0</v>
      </c>
      <c r="P879" t="n">
        <v>0</v>
      </c>
      <c r="Q879" t="n">
        <v>0</v>
      </c>
      <c r="R879" s="2" t="inlineStr"/>
    </row>
    <row r="880" ht="15" customHeight="1">
      <c r="A880" t="inlineStr">
        <is>
          <t>A 36226-2023</t>
        </is>
      </c>
      <c r="B880" s="1" t="n">
        <v>45149.95372685185</v>
      </c>
      <c r="C880" s="1" t="n">
        <v>45917</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59136-2023</t>
        </is>
      </c>
      <c r="B881" s="1" t="n">
        <v>45251</v>
      </c>
      <c r="C881" s="1" t="n">
        <v>45917</v>
      </c>
      <c r="D881" t="inlineStr">
        <is>
          <t>JÄMTLANDS LÄN</t>
        </is>
      </c>
      <c r="E881" t="inlineStr">
        <is>
          <t>RAGUNDA</t>
        </is>
      </c>
      <c r="G881" t="n">
        <v>1.7</v>
      </c>
      <c r="H881" t="n">
        <v>0</v>
      </c>
      <c r="I881" t="n">
        <v>0</v>
      </c>
      <c r="J881" t="n">
        <v>0</v>
      </c>
      <c r="K881" t="n">
        <v>0</v>
      </c>
      <c r="L881" t="n">
        <v>0</v>
      </c>
      <c r="M881" t="n">
        <v>0</v>
      </c>
      <c r="N881" t="n">
        <v>0</v>
      </c>
      <c r="O881" t="n">
        <v>0</v>
      </c>
      <c r="P881" t="n">
        <v>0</v>
      </c>
      <c r="Q881" t="n">
        <v>0</v>
      </c>
      <c r="R881" s="2" t="inlineStr"/>
    </row>
    <row r="882" ht="15" customHeight="1">
      <c r="A882" t="inlineStr">
        <is>
          <t>A 35274-2023</t>
        </is>
      </c>
      <c r="B882" s="1" t="n">
        <v>45145</v>
      </c>
      <c r="C882" s="1" t="n">
        <v>45917</v>
      </c>
      <c r="D882" t="inlineStr">
        <is>
          <t>JÄMTLANDS LÄN</t>
        </is>
      </c>
      <c r="E882" t="inlineStr">
        <is>
          <t>RAGUNDA</t>
        </is>
      </c>
      <c r="F882" t="inlineStr">
        <is>
          <t>SCA</t>
        </is>
      </c>
      <c r="G882" t="n">
        <v>6.1</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44904.94824074074</v>
      </c>
      <c r="C883" s="1" t="n">
        <v>45917</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893-2025</t>
        </is>
      </c>
      <c r="B884" s="1" t="n">
        <v>45665.65684027778</v>
      </c>
      <c r="C884" s="1" t="n">
        <v>45917</v>
      </c>
      <c r="D884" t="inlineStr">
        <is>
          <t>JÄMTLANDS LÄN</t>
        </is>
      </c>
      <c r="E884" t="inlineStr">
        <is>
          <t>RAGUNDA</t>
        </is>
      </c>
      <c r="F884" t="inlineStr">
        <is>
          <t>SCA</t>
        </is>
      </c>
      <c r="G884" t="n">
        <v>45.1</v>
      </c>
      <c r="H884" t="n">
        <v>0</v>
      </c>
      <c r="I884" t="n">
        <v>0</v>
      </c>
      <c r="J884" t="n">
        <v>0</v>
      </c>
      <c r="K884" t="n">
        <v>0</v>
      </c>
      <c r="L884" t="n">
        <v>0</v>
      </c>
      <c r="M884" t="n">
        <v>0</v>
      </c>
      <c r="N884" t="n">
        <v>0</v>
      </c>
      <c r="O884" t="n">
        <v>0</v>
      </c>
      <c r="P884" t="n">
        <v>0</v>
      </c>
      <c r="Q884" t="n">
        <v>0</v>
      </c>
      <c r="R884" s="2" t="inlineStr"/>
    </row>
    <row r="885" ht="15" customHeight="1">
      <c r="A885" t="inlineStr">
        <is>
          <t>A 64264-2023</t>
        </is>
      </c>
      <c r="B885" s="1" t="n">
        <v>45279.94564814815</v>
      </c>
      <c r="C885" s="1" t="n">
        <v>45917</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26347-2023</t>
        </is>
      </c>
      <c r="B886" s="1" t="n">
        <v>45091</v>
      </c>
      <c r="C886" s="1" t="n">
        <v>45917</v>
      </c>
      <c r="D886" t="inlineStr">
        <is>
          <t>JÄMTLANDS LÄN</t>
        </is>
      </c>
      <c r="E886" t="inlineStr">
        <is>
          <t>RAGUNDA</t>
        </is>
      </c>
      <c r="F886" t="inlineStr">
        <is>
          <t>SCA</t>
        </is>
      </c>
      <c r="G886" t="n">
        <v>6.6</v>
      </c>
      <c r="H886" t="n">
        <v>0</v>
      </c>
      <c r="I886" t="n">
        <v>0</v>
      </c>
      <c r="J886" t="n">
        <v>0</v>
      </c>
      <c r="K886" t="n">
        <v>0</v>
      </c>
      <c r="L886" t="n">
        <v>0</v>
      </c>
      <c r="M886" t="n">
        <v>0</v>
      </c>
      <c r="N886" t="n">
        <v>0</v>
      </c>
      <c r="O886" t="n">
        <v>0</v>
      </c>
      <c r="P886" t="n">
        <v>0</v>
      </c>
      <c r="Q886" t="n">
        <v>0</v>
      </c>
      <c r="R886" s="2" t="inlineStr"/>
    </row>
    <row r="887" ht="15" customHeight="1">
      <c r="A887" t="inlineStr">
        <is>
          <t>A 7520-2023</t>
        </is>
      </c>
      <c r="B887" s="1" t="n">
        <v>44971</v>
      </c>
      <c r="C887" s="1" t="n">
        <v>45917</v>
      </c>
      <c r="D887" t="inlineStr">
        <is>
          <t>JÄMTLANDS LÄN</t>
        </is>
      </c>
      <c r="E887" t="inlineStr">
        <is>
          <t>RAGUNDA</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53549-2024</t>
        </is>
      </c>
      <c r="B888" s="1" t="n">
        <v>45614.63869212963</v>
      </c>
      <c r="C888" s="1" t="n">
        <v>45917</v>
      </c>
      <c r="D888" t="inlineStr">
        <is>
          <t>JÄMTLANDS LÄN</t>
        </is>
      </c>
      <c r="E888" t="inlineStr">
        <is>
          <t>RAGUNDA</t>
        </is>
      </c>
      <c r="F888" t="inlineStr">
        <is>
          <t>Kyrkan</t>
        </is>
      </c>
      <c r="G888" t="n">
        <v>1.7</v>
      </c>
      <c r="H888" t="n">
        <v>0</v>
      </c>
      <c r="I888" t="n">
        <v>0</v>
      </c>
      <c r="J888" t="n">
        <v>0</v>
      </c>
      <c r="K888" t="n">
        <v>0</v>
      </c>
      <c r="L888" t="n">
        <v>0</v>
      </c>
      <c r="M888" t="n">
        <v>0</v>
      </c>
      <c r="N888" t="n">
        <v>0</v>
      </c>
      <c r="O888" t="n">
        <v>0</v>
      </c>
      <c r="P888" t="n">
        <v>0</v>
      </c>
      <c r="Q888" t="n">
        <v>0</v>
      </c>
      <c r="R888" s="2" t="inlineStr"/>
    </row>
    <row r="889" ht="15" customHeight="1">
      <c r="A889" t="inlineStr">
        <is>
          <t>A 53955-2022</t>
        </is>
      </c>
      <c r="B889" s="1" t="n">
        <v>44880.95741898148</v>
      </c>
      <c r="C889" s="1" t="n">
        <v>45917</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51538-2022</t>
        </is>
      </c>
      <c r="B890" s="1" t="n">
        <v>44869</v>
      </c>
      <c r="C890" s="1" t="n">
        <v>45917</v>
      </c>
      <c r="D890" t="inlineStr">
        <is>
          <t>JÄMTLANDS LÄN</t>
        </is>
      </c>
      <c r="E890" t="inlineStr">
        <is>
          <t>RAGUNDA</t>
        </is>
      </c>
      <c r="G890" t="n">
        <v>6.8</v>
      </c>
      <c r="H890" t="n">
        <v>0</v>
      </c>
      <c r="I890" t="n">
        <v>0</v>
      </c>
      <c r="J890" t="n">
        <v>0</v>
      </c>
      <c r="K890" t="n">
        <v>0</v>
      </c>
      <c r="L890" t="n">
        <v>0</v>
      </c>
      <c r="M890" t="n">
        <v>0</v>
      </c>
      <c r="N890" t="n">
        <v>0</v>
      </c>
      <c r="O890" t="n">
        <v>0</v>
      </c>
      <c r="P890" t="n">
        <v>0</v>
      </c>
      <c r="Q890" t="n">
        <v>0</v>
      </c>
      <c r="R890" s="2" t="inlineStr"/>
    </row>
    <row r="891" ht="15" customHeight="1">
      <c r="A891" t="inlineStr">
        <is>
          <t>A 59492-2024</t>
        </is>
      </c>
      <c r="B891" s="1" t="n">
        <v>45638</v>
      </c>
      <c r="C891" s="1" t="n">
        <v>45917</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61109-2024</t>
        </is>
      </c>
      <c r="B892" s="1" t="n">
        <v>45645.55672453704</v>
      </c>
      <c r="C892" s="1" t="n">
        <v>45917</v>
      </c>
      <c r="D892" t="inlineStr">
        <is>
          <t>JÄMTLANDS LÄN</t>
        </is>
      </c>
      <c r="E892" t="inlineStr">
        <is>
          <t>RAGUNDA</t>
        </is>
      </c>
      <c r="G892" t="n">
        <v>4</v>
      </c>
      <c r="H892" t="n">
        <v>0</v>
      </c>
      <c r="I892" t="n">
        <v>0</v>
      </c>
      <c r="J892" t="n">
        <v>0</v>
      </c>
      <c r="K892" t="n">
        <v>0</v>
      </c>
      <c r="L892" t="n">
        <v>0</v>
      </c>
      <c r="M892" t="n">
        <v>0</v>
      </c>
      <c r="N892" t="n">
        <v>0</v>
      </c>
      <c r="O892" t="n">
        <v>0</v>
      </c>
      <c r="P892" t="n">
        <v>0</v>
      </c>
      <c r="Q892" t="n">
        <v>0</v>
      </c>
      <c r="R892" s="2" t="inlineStr"/>
    </row>
    <row r="893" ht="15" customHeight="1">
      <c r="A893" t="inlineStr">
        <is>
          <t>A 9567-2025</t>
        </is>
      </c>
      <c r="B893" s="1" t="n">
        <v>45715.61523148148</v>
      </c>
      <c r="C893" s="1" t="n">
        <v>45917</v>
      </c>
      <c r="D893" t="inlineStr">
        <is>
          <t>JÄMTLANDS LÄN</t>
        </is>
      </c>
      <c r="E893" t="inlineStr">
        <is>
          <t>RAGUNDA</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53287-2022</t>
        </is>
      </c>
      <c r="B894" s="1" t="n">
        <v>44876</v>
      </c>
      <c r="C894" s="1" t="n">
        <v>45917</v>
      </c>
      <c r="D894" t="inlineStr">
        <is>
          <t>JÄMTLANDS LÄN</t>
        </is>
      </c>
      <c r="E894" t="inlineStr">
        <is>
          <t>RAGUNDA</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51646-2023</t>
        </is>
      </c>
      <c r="B895" s="1" t="n">
        <v>45215</v>
      </c>
      <c r="C895" s="1" t="n">
        <v>45917</v>
      </c>
      <c r="D895" t="inlineStr">
        <is>
          <t>JÄMTLANDS LÄN</t>
        </is>
      </c>
      <c r="E895" t="inlineStr">
        <is>
          <t>RAGUNDA</t>
        </is>
      </c>
      <c r="G895" t="n">
        <v>0.7</v>
      </c>
      <c r="H895" t="n">
        <v>0</v>
      </c>
      <c r="I895" t="n">
        <v>0</v>
      </c>
      <c r="J895" t="n">
        <v>0</v>
      </c>
      <c r="K895" t="n">
        <v>0</v>
      </c>
      <c r="L895" t="n">
        <v>0</v>
      </c>
      <c r="M895" t="n">
        <v>0</v>
      </c>
      <c r="N895" t="n">
        <v>0</v>
      </c>
      <c r="O895" t="n">
        <v>0</v>
      </c>
      <c r="P895" t="n">
        <v>0</v>
      </c>
      <c r="Q895" t="n">
        <v>0</v>
      </c>
      <c r="R895" s="2" t="inlineStr"/>
    </row>
    <row r="896" ht="15" customHeight="1">
      <c r="A896" t="inlineStr">
        <is>
          <t>A 27373-2023</t>
        </is>
      </c>
      <c r="B896" s="1" t="n">
        <v>45096.93866898148</v>
      </c>
      <c r="C896" s="1" t="n">
        <v>45917</v>
      </c>
      <c r="D896" t="inlineStr">
        <is>
          <t>JÄMTLANDS LÄN</t>
        </is>
      </c>
      <c r="E896" t="inlineStr">
        <is>
          <t>RAGUNDA</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65341-2020</t>
        </is>
      </c>
      <c r="B897" s="1" t="n">
        <v>44173</v>
      </c>
      <c r="C897" s="1" t="n">
        <v>45917</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29319-2023</t>
        </is>
      </c>
      <c r="B898" s="1" t="n">
        <v>45105</v>
      </c>
      <c r="C898" s="1" t="n">
        <v>45917</v>
      </c>
      <c r="D898" t="inlineStr">
        <is>
          <t>JÄMTLANDS LÄN</t>
        </is>
      </c>
      <c r="E898" t="inlineStr">
        <is>
          <t>RAGUNDA</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17323-2025</t>
        </is>
      </c>
      <c r="B899" s="1" t="n">
        <v>45756.63601851852</v>
      </c>
      <c r="C899" s="1" t="n">
        <v>45917</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16321-2025</t>
        </is>
      </c>
      <c r="B900" s="1" t="n">
        <v>45751.34873842593</v>
      </c>
      <c r="C900" s="1" t="n">
        <v>45917</v>
      </c>
      <c r="D900" t="inlineStr">
        <is>
          <t>JÄMTLANDS LÄN</t>
        </is>
      </c>
      <c r="E900" t="inlineStr">
        <is>
          <t>RAGUNDA</t>
        </is>
      </c>
      <c r="F900" t="inlineStr">
        <is>
          <t>SCA</t>
        </is>
      </c>
      <c r="G900" t="n">
        <v>63.3</v>
      </c>
      <c r="H900" t="n">
        <v>0</v>
      </c>
      <c r="I900" t="n">
        <v>0</v>
      </c>
      <c r="J900" t="n">
        <v>0</v>
      </c>
      <c r="K900" t="n">
        <v>0</v>
      </c>
      <c r="L900" t="n">
        <v>0</v>
      </c>
      <c r="M900" t="n">
        <v>0</v>
      </c>
      <c r="N900" t="n">
        <v>0</v>
      </c>
      <c r="O900" t="n">
        <v>0</v>
      </c>
      <c r="P900" t="n">
        <v>0</v>
      </c>
      <c r="Q900" t="n">
        <v>0</v>
      </c>
      <c r="R900" s="2" t="inlineStr"/>
    </row>
    <row r="901" ht="15" customHeight="1">
      <c r="A901" t="inlineStr">
        <is>
          <t>A 55904-2022</t>
        </is>
      </c>
      <c r="B901" s="1" t="n">
        <v>44888</v>
      </c>
      <c r="C901" s="1" t="n">
        <v>45917</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65898-2020</t>
        </is>
      </c>
      <c r="B902" s="1" t="n">
        <v>44174</v>
      </c>
      <c r="C902" s="1" t="n">
        <v>45917</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19854-2025</t>
        </is>
      </c>
      <c r="B903" s="1" t="n">
        <v>45771.51074074074</v>
      </c>
      <c r="C903" s="1" t="n">
        <v>45917</v>
      </c>
      <c r="D903" t="inlineStr">
        <is>
          <t>JÄMTLANDS LÄN</t>
        </is>
      </c>
      <c r="E903" t="inlineStr">
        <is>
          <t>RAGUNDA</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6688-2024</t>
        </is>
      </c>
      <c r="B904" s="1" t="n">
        <v>45341</v>
      </c>
      <c r="C904" s="1" t="n">
        <v>45917</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30642-2024</t>
        </is>
      </c>
      <c r="B905" s="1" t="n">
        <v>45495.57677083334</v>
      </c>
      <c r="C905" s="1" t="n">
        <v>45917</v>
      </c>
      <c r="D905" t="inlineStr">
        <is>
          <t>JÄMTLANDS LÄN</t>
        </is>
      </c>
      <c r="E905" t="inlineStr">
        <is>
          <t>RAGUNDA</t>
        </is>
      </c>
      <c r="G905" t="n">
        <v>2.7</v>
      </c>
      <c r="H905" t="n">
        <v>0</v>
      </c>
      <c r="I905" t="n">
        <v>0</v>
      </c>
      <c r="J905" t="n">
        <v>0</v>
      </c>
      <c r="K905" t="n">
        <v>0</v>
      </c>
      <c r="L905" t="n">
        <v>0</v>
      </c>
      <c r="M905" t="n">
        <v>0</v>
      </c>
      <c r="N905" t="n">
        <v>0</v>
      </c>
      <c r="O905" t="n">
        <v>0</v>
      </c>
      <c r="P905" t="n">
        <v>0</v>
      </c>
      <c r="Q905" t="n">
        <v>0</v>
      </c>
      <c r="R905" s="2" t="inlineStr"/>
    </row>
    <row r="906" ht="15" customHeight="1">
      <c r="A906" t="inlineStr">
        <is>
          <t>A 16635-2025</t>
        </is>
      </c>
      <c r="B906" s="1" t="n">
        <v>45754</v>
      </c>
      <c r="C906" s="1" t="n">
        <v>45917</v>
      </c>
      <c r="D906" t="inlineStr">
        <is>
          <t>JÄMTLANDS LÄN</t>
        </is>
      </c>
      <c r="E906" t="inlineStr">
        <is>
          <t>RAGUNDA</t>
        </is>
      </c>
      <c r="F906" t="inlineStr">
        <is>
          <t>SCA</t>
        </is>
      </c>
      <c r="G906" t="n">
        <v>55.4</v>
      </c>
      <c r="H906" t="n">
        <v>0</v>
      </c>
      <c r="I906" t="n">
        <v>0</v>
      </c>
      <c r="J906" t="n">
        <v>0</v>
      </c>
      <c r="K906" t="n">
        <v>0</v>
      </c>
      <c r="L906" t="n">
        <v>0</v>
      </c>
      <c r="M906" t="n">
        <v>0</v>
      </c>
      <c r="N906" t="n">
        <v>0</v>
      </c>
      <c r="O906" t="n">
        <v>0</v>
      </c>
      <c r="P906" t="n">
        <v>0</v>
      </c>
      <c r="Q906" t="n">
        <v>0</v>
      </c>
      <c r="R906" s="2" t="inlineStr"/>
    </row>
    <row r="907" ht="15" customHeight="1">
      <c r="A907" t="inlineStr">
        <is>
          <t>A 19486-2024</t>
        </is>
      </c>
      <c r="B907" s="1" t="n">
        <v>45429</v>
      </c>
      <c r="C907" s="1" t="n">
        <v>45917</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37479-2023</t>
        </is>
      </c>
      <c r="B908" s="1" t="n">
        <v>45156</v>
      </c>
      <c r="C908" s="1" t="n">
        <v>45917</v>
      </c>
      <c r="D908" t="inlineStr">
        <is>
          <t>JÄMTLANDS LÄN</t>
        </is>
      </c>
      <c r="E908" t="inlineStr">
        <is>
          <t>RAGUNDA</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13941-2025</t>
        </is>
      </c>
      <c r="B909" s="1" t="n">
        <v>45737.69822916666</v>
      </c>
      <c r="C909" s="1" t="n">
        <v>45917</v>
      </c>
      <c r="D909" t="inlineStr">
        <is>
          <t>JÄMTLANDS LÄN</t>
        </is>
      </c>
      <c r="E909" t="inlineStr">
        <is>
          <t>RAGUNDA</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41772-2024</t>
        </is>
      </c>
      <c r="B910" s="1" t="n">
        <v>45561.34663194444</v>
      </c>
      <c r="C910" s="1" t="n">
        <v>45917</v>
      </c>
      <c r="D910" t="inlineStr">
        <is>
          <t>JÄMTLANDS LÄN</t>
        </is>
      </c>
      <c r="E910" t="inlineStr">
        <is>
          <t>RAGUNDA</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12660-2024</t>
        </is>
      </c>
      <c r="B911" s="1" t="n">
        <v>45384</v>
      </c>
      <c r="C911" s="1" t="n">
        <v>45917</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26646-2023</t>
        </is>
      </c>
      <c r="B912" s="1" t="n">
        <v>45092</v>
      </c>
      <c r="C912" s="1" t="n">
        <v>45917</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25332-2023</t>
        </is>
      </c>
      <c r="B913" s="1" t="n">
        <v>45086.94010416666</v>
      </c>
      <c r="C913" s="1" t="n">
        <v>45917</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27291-2022</t>
        </is>
      </c>
      <c r="B914" s="1" t="n">
        <v>44741.94070601852</v>
      </c>
      <c r="C914" s="1" t="n">
        <v>45917</v>
      </c>
      <c r="D914" t="inlineStr">
        <is>
          <t>JÄMTLANDS LÄN</t>
        </is>
      </c>
      <c r="E914" t="inlineStr">
        <is>
          <t>RAGUNDA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33615-2023</t>
        </is>
      </c>
      <c r="B915" s="1" t="n">
        <v>45119</v>
      </c>
      <c r="C915" s="1" t="n">
        <v>45917</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43132-2023</t>
        </is>
      </c>
      <c r="B916" s="1" t="n">
        <v>45182</v>
      </c>
      <c r="C916" s="1" t="n">
        <v>45917</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49650-2024</t>
        </is>
      </c>
      <c r="B917" s="1" t="n">
        <v>45596.61569444444</v>
      </c>
      <c r="C917" s="1" t="n">
        <v>45917</v>
      </c>
      <c r="D917" t="inlineStr">
        <is>
          <t>JÄMTLANDS LÄN</t>
        </is>
      </c>
      <c r="E917" t="inlineStr">
        <is>
          <t>RAGUNDA</t>
        </is>
      </c>
      <c r="F917" t="inlineStr">
        <is>
          <t>Naturvårdsverket</t>
        </is>
      </c>
      <c r="G917" t="n">
        <v>3</v>
      </c>
      <c r="H917" t="n">
        <v>0</v>
      </c>
      <c r="I917" t="n">
        <v>0</v>
      </c>
      <c r="J917" t="n">
        <v>0</v>
      </c>
      <c r="K917" t="n">
        <v>0</v>
      </c>
      <c r="L917" t="n">
        <v>0</v>
      </c>
      <c r="M917" t="n">
        <v>0</v>
      </c>
      <c r="N917" t="n">
        <v>0</v>
      </c>
      <c r="O917" t="n">
        <v>0</v>
      </c>
      <c r="P917" t="n">
        <v>0</v>
      </c>
      <c r="Q917" t="n">
        <v>0</v>
      </c>
      <c r="R917" s="2" t="inlineStr"/>
    </row>
    <row r="918" ht="15" customHeight="1">
      <c r="A918" t="inlineStr">
        <is>
          <t>A 49651-2024</t>
        </is>
      </c>
      <c r="B918" s="1" t="n">
        <v>45596.61582175926</v>
      </c>
      <c r="C918" s="1" t="n">
        <v>45917</v>
      </c>
      <c r="D918" t="inlineStr">
        <is>
          <t>JÄMTLANDS LÄN</t>
        </is>
      </c>
      <c r="E918" t="inlineStr">
        <is>
          <t>RAGUNDA</t>
        </is>
      </c>
      <c r="F918" t="inlineStr">
        <is>
          <t>SCA</t>
        </is>
      </c>
      <c r="G918" t="n">
        <v>5.3</v>
      </c>
      <c r="H918" t="n">
        <v>0</v>
      </c>
      <c r="I918" t="n">
        <v>0</v>
      </c>
      <c r="J918" t="n">
        <v>0</v>
      </c>
      <c r="K918" t="n">
        <v>0</v>
      </c>
      <c r="L918" t="n">
        <v>0</v>
      </c>
      <c r="M918" t="n">
        <v>0</v>
      </c>
      <c r="N918" t="n">
        <v>0</v>
      </c>
      <c r="O918" t="n">
        <v>0</v>
      </c>
      <c r="P918" t="n">
        <v>0</v>
      </c>
      <c r="Q918" t="n">
        <v>0</v>
      </c>
      <c r="R918" s="2" t="inlineStr"/>
    </row>
    <row r="919" ht="15" customHeight="1">
      <c r="A919" t="inlineStr">
        <is>
          <t>A 8654-2024</t>
        </is>
      </c>
      <c r="B919" s="1" t="n">
        <v>45356.03784722222</v>
      </c>
      <c r="C919" s="1" t="n">
        <v>45917</v>
      </c>
      <c r="D919" t="inlineStr">
        <is>
          <t>JÄMTLANDS LÄN</t>
        </is>
      </c>
      <c r="E919" t="inlineStr">
        <is>
          <t>RAGUNDA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9325-2024</t>
        </is>
      </c>
      <c r="B920" s="1" t="n">
        <v>45358.95813657407</v>
      </c>
      <c r="C920" s="1" t="n">
        <v>45917</v>
      </c>
      <c r="D920" t="inlineStr">
        <is>
          <t>JÄMTLANDS LÄN</t>
        </is>
      </c>
      <c r="E920" t="inlineStr">
        <is>
          <t>RAGUNDA</t>
        </is>
      </c>
      <c r="G920" t="n">
        <v>3.1</v>
      </c>
      <c r="H920" t="n">
        <v>0</v>
      </c>
      <c r="I920" t="n">
        <v>0</v>
      </c>
      <c r="J920" t="n">
        <v>0</v>
      </c>
      <c r="K920" t="n">
        <v>0</v>
      </c>
      <c r="L920" t="n">
        <v>0</v>
      </c>
      <c r="M920" t="n">
        <v>0</v>
      </c>
      <c r="N920" t="n">
        <v>0</v>
      </c>
      <c r="O920" t="n">
        <v>0</v>
      </c>
      <c r="P920" t="n">
        <v>0</v>
      </c>
      <c r="Q920" t="n">
        <v>0</v>
      </c>
      <c r="R920" s="2" t="inlineStr"/>
    </row>
    <row r="921" ht="15" customHeight="1">
      <c r="A921" t="inlineStr">
        <is>
          <t>A 6477-2024</t>
        </is>
      </c>
      <c r="B921" s="1" t="n">
        <v>45338.95405092592</v>
      </c>
      <c r="C921" s="1" t="n">
        <v>45917</v>
      </c>
      <c r="D921" t="inlineStr">
        <is>
          <t>JÄMTLANDS LÄN</t>
        </is>
      </c>
      <c r="E921" t="inlineStr">
        <is>
          <t>RAGUNDA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45917</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8678-2023</t>
        </is>
      </c>
      <c r="B923" s="1" t="n">
        <v>44977.98660879629</v>
      </c>
      <c r="C923" s="1" t="n">
        <v>45917</v>
      </c>
      <c r="D923" t="inlineStr">
        <is>
          <t>JÄMTLANDS LÄN</t>
        </is>
      </c>
      <c r="E923" t="inlineStr">
        <is>
          <t>RAGUNDA</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29766-2023</t>
        </is>
      </c>
      <c r="B924" s="1" t="n">
        <v>45098</v>
      </c>
      <c r="C924" s="1" t="n">
        <v>45917</v>
      </c>
      <c r="D924" t="inlineStr">
        <is>
          <t>JÄMTLANDS LÄN</t>
        </is>
      </c>
      <c r="E924" t="inlineStr">
        <is>
          <t>RAGUNDA</t>
        </is>
      </c>
      <c r="G924" t="n">
        <v>2.7</v>
      </c>
      <c r="H924" t="n">
        <v>0</v>
      </c>
      <c r="I924" t="n">
        <v>0</v>
      </c>
      <c r="J924" t="n">
        <v>0</v>
      </c>
      <c r="K924" t="n">
        <v>0</v>
      </c>
      <c r="L924" t="n">
        <v>0</v>
      </c>
      <c r="M924" t="n">
        <v>0</v>
      </c>
      <c r="N924" t="n">
        <v>0</v>
      </c>
      <c r="O924" t="n">
        <v>0</v>
      </c>
      <c r="P924" t="n">
        <v>0</v>
      </c>
      <c r="Q924" t="n">
        <v>0</v>
      </c>
      <c r="R924" s="2" t="inlineStr"/>
    </row>
    <row r="925" ht="15" customHeight="1">
      <c r="A925" t="inlineStr">
        <is>
          <t>A 60935-2024</t>
        </is>
      </c>
      <c r="B925" s="1" t="n">
        <v>45645.36740740741</v>
      </c>
      <c r="C925" s="1" t="n">
        <v>45917</v>
      </c>
      <c r="D925" t="inlineStr">
        <is>
          <t>JÄMTLANDS LÄN</t>
        </is>
      </c>
      <c r="E925" t="inlineStr">
        <is>
          <t>RAGUNDA</t>
        </is>
      </c>
      <c r="G925" t="n">
        <v>2.6</v>
      </c>
      <c r="H925" t="n">
        <v>0</v>
      </c>
      <c r="I925" t="n">
        <v>0</v>
      </c>
      <c r="J925" t="n">
        <v>0</v>
      </c>
      <c r="K925" t="n">
        <v>0</v>
      </c>
      <c r="L925" t="n">
        <v>0</v>
      </c>
      <c r="M925" t="n">
        <v>0</v>
      </c>
      <c r="N925" t="n">
        <v>0</v>
      </c>
      <c r="O925" t="n">
        <v>0</v>
      </c>
      <c r="P925" t="n">
        <v>0</v>
      </c>
      <c r="Q925" t="n">
        <v>0</v>
      </c>
      <c r="R925" s="2" t="inlineStr"/>
    </row>
    <row r="926" ht="15" customHeight="1">
      <c r="A926" t="inlineStr">
        <is>
          <t>A 60443-2023</t>
        </is>
      </c>
      <c r="B926" s="1" t="n">
        <v>45258</v>
      </c>
      <c r="C926" s="1" t="n">
        <v>45917</v>
      </c>
      <c r="D926" t="inlineStr">
        <is>
          <t>JÄMTLANDS LÄN</t>
        </is>
      </c>
      <c r="E926" t="inlineStr">
        <is>
          <t>RAGUNDA</t>
        </is>
      </c>
      <c r="G926" t="n">
        <v>2.9</v>
      </c>
      <c r="H926" t="n">
        <v>0</v>
      </c>
      <c r="I926" t="n">
        <v>0</v>
      </c>
      <c r="J926" t="n">
        <v>0</v>
      </c>
      <c r="K926" t="n">
        <v>0</v>
      </c>
      <c r="L926" t="n">
        <v>0</v>
      </c>
      <c r="M926" t="n">
        <v>0</v>
      </c>
      <c r="N926" t="n">
        <v>0</v>
      </c>
      <c r="O926" t="n">
        <v>0</v>
      </c>
      <c r="P926" t="n">
        <v>0</v>
      </c>
      <c r="Q926" t="n">
        <v>0</v>
      </c>
      <c r="R926" s="2" t="inlineStr"/>
    </row>
    <row r="927" ht="15" customHeight="1">
      <c r="A927" t="inlineStr">
        <is>
          <t>A 44759-2024</t>
        </is>
      </c>
      <c r="B927" s="1" t="n">
        <v>45574.61634259259</v>
      </c>
      <c r="C927" s="1" t="n">
        <v>45917</v>
      </c>
      <c r="D927" t="inlineStr">
        <is>
          <t>JÄMTLANDS LÄN</t>
        </is>
      </c>
      <c r="E927" t="inlineStr">
        <is>
          <t>RAGUNDA</t>
        </is>
      </c>
      <c r="G927" t="n">
        <v>1.9</v>
      </c>
      <c r="H927" t="n">
        <v>0</v>
      </c>
      <c r="I927" t="n">
        <v>0</v>
      </c>
      <c r="J927" t="n">
        <v>0</v>
      </c>
      <c r="K927" t="n">
        <v>0</v>
      </c>
      <c r="L927" t="n">
        <v>0</v>
      </c>
      <c r="M927" t="n">
        <v>0</v>
      </c>
      <c r="N927" t="n">
        <v>0</v>
      </c>
      <c r="O927" t="n">
        <v>0</v>
      </c>
      <c r="P927" t="n">
        <v>0</v>
      </c>
      <c r="Q927" t="n">
        <v>0</v>
      </c>
      <c r="R927" s="2" t="inlineStr"/>
    </row>
    <row r="928" ht="15" customHeight="1">
      <c r="A928" t="inlineStr">
        <is>
          <t>A 993-2025</t>
        </is>
      </c>
      <c r="B928" s="1" t="n">
        <v>45666.44943287037</v>
      </c>
      <c r="C928" s="1" t="n">
        <v>45917</v>
      </c>
      <c r="D928" t="inlineStr">
        <is>
          <t>JÄMTLANDS LÄN</t>
        </is>
      </c>
      <c r="E928" t="inlineStr">
        <is>
          <t>RAGUNDA</t>
        </is>
      </c>
      <c r="G928" t="n">
        <v>11.3</v>
      </c>
      <c r="H928" t="n">
        <v>0</v>
      </c>
      <c r="I928" t="n">
        <v>0</v>
      </c>
      <c r="J928" t="n">
        <v>0</v>
      </c>
      <c r="K928" t="n">
        <v>0</v>
      </c>
      <c r="L928" t="n">
        <v>0</v>
      </c>
      <c r="M928" t="n">
        <v>0</v>
      </c>
      <c r="N928" t="n">
        <v>0</v>
      </c>
      <c r="O928" t="n">
        <v>0</v>
      </c>
      <c r="P928" t="n">
        <v>0</v>
      </c>
      <c r="Q928" t="n">
        <v>0</v>
      </c>
      <c r="R928" s="2" t="inlineStr"/>
    </row>
    <row r="929" ht="15" customHeight="1">
      <c r="A929" t="inlineStr">
        <is>
          <t>A 57064-2024</t>
        </is>
      </c>
      <c r="B929" s="1" t="n">
        <v>45629.35326388889</v>
      </c>
      <c r="C929" s="1" t="n">
        <v>45917</v>
      </c>
      <c r="D929" t="inlineStr">
        <is>
          <t>JÄMTLANDS LÄN</t>
        </is>
      </c>
      <c r="E929" t="inlineStr">
        <is>
          <t>RAGUNDA</t>
        </is>
      </c>
      <c r="F929" t="inlineStr">
        <is>
          <t>Naturvårdsverket</t>
        </is>
      </c>
      <c r="G929" t="n">
        <v>0.5</v>
      </c>
      <c r="H929" t="n">
        <v>0</v>
      </c>
      <c r="I929" t="n">
        <v>0</v>
      </c>
      <c r="J929" t="n">
        <v>0</v>
      </c>
      <c r="K929" t="n">
        <v>0</v>
      </c>
      <c r="L929" t="n">
        <v>0</v>
      </c>
      <c r="M929" t="n">
        <v>0</v>
      </c>
      <c r="N929" t="n">
        <v>0</v>
      </c>
      <c r="O929" t="n">
        <v>0</v>
      </c>
      <c r="P929" t="n">
        <v>0</v>
      </c>
      <c r="Q929" t="n">
        <v>0</v>
      </c>
      <c r="R929" s="2" t="inlineStr"/>
    </row>
    <row r="930" ht="15" customHeight="1">
      <c r="A930" t="inlineStr">
        <is>
          <t>A 14156-2024</t>
        </is>
      </c>
      <c r="B930" s="1" t="n">
        <v>45392</v>
      </c>
      <c r="C930" s="1" t="n">
        <v>45917</v>
      </c>
      <c r="D930" t="inlineStr">
        <is>
          <t>JÄMTLANDS LÄN</t>
        </is>
      </c>
      <c r="E930" t="inlineStr">
        <is>
          <t>RAGUNDA</t>
        </is>
      </c>
      <c r="G930" t="n">
        <v>0.6</v>
      </c>
      <c r="H930" t="n">
        <v>0</v>
      </c>
      <c r="I930" t="n">
        <v>0</v>
      </c>
      <c r="J930" t="n">
        <v>0</v>
      </c>
      <c r="K930" t="n">
        <v>0</v>
      </c>
      <c r="L930" t="n">
        <v>0</v>
      </c>
      <c r="M930" t="n">
        <v>0</v>
      </c>
      <c r="N930" t="n">
        <v>0</v>
      </c>
      <c r="O930" t="n">
        <v>0</v>
      </c>
      <c r="P930" t="n">
        <v>0</v>
      </c>
      <c r="Q930" t="n">
        <v>0</v>
      </c>
      <c r="R930" s="2" t="inlineStr"/>
    </row>
    <row r="931" ht="15" customHeight="1">
      <c r="A931" t="inlineStr">
        <is>
          <t>A 14157-2024</t>
        </is>
      </c>
      <c r="B931" s="1" t="n">
        <v>45392.92903935185</v>
      </c>
      <c r="C931" s="1" t="n">
        <v>45917</v>
      </c>
      <c r="D931" t="inlineStr">
        <is>
          <t>JÄMTLANDS LÄN</t>
        </is>
      </c>
      <c r="E931" t="inlineStr">
        <is>
          <t>RAGUNDA</t>
        </is>
      </c>
      <c r="G931" t="n">
        <v>1.7</v>
      </c>
      <c r="H931" t="n">
        <v>0</v>
      </c>
      <c r="I931" t="n">
        <v>0</v>
      </c>
      <c r="J931" t="n">
        <v>0</v>
      </c>
      <c r="K931" t="n">
        <v>0</v>
      </c>
      <c r="L931" t="n">
        <v>0</v>
      </c>
      <c r="M931" t="n">
        <v>0</v>
      </c>
      <c r="N931" t="n">
        <v>0</v>
      </c>
      <c r="O931" t="n">
        <v>0</v>
      </c>
      <c r="P931" t="n">
        <v>0</v>
      </c>
      <c r="Q931" t="n">
        <v>0</v>
      </c>
      <c r="R931" s="2" t="inlineStr"/>
    </row>
    <row r="932" ht="15" customHeight="1">
      <c r="A932" t="inlineStr">
        <is>
          <t>A 44727-2024</t>
        </is>
      </c>
      <c r="B932" s="1" t="n">
        <v>45574.57967592592</v>
      </c>
      <c r="C932" s="1" t="n">
        <v>45917</v>
      </c>
      <c r="D932" t="inlineStr">
        <is>
          <t>JÄMTLANDS LÄN</t>
        </is>
      </c>
      <c r="E932" t="inlineStr">
        <is>
          <t>RAGUNDA</t>
        </is>
      </c>
      <c r="G932" t="n">
        <v>4.7</v>
      </c>
      <c r="H932" t="n">
        <v>0</v>
      </c>
      <c r="I932" t="n">
        <v>0</v>
      </c>
      <c r="J932" t="n">
        <v>0</v>
      </c>
      <c r="K932" t="n">
        <v>0</v>
      </c>
      <c r="L932" t="n">
        <v>0</v>
      </c>
      <c r="M932" t="n">
        <v>0</v>
      </c>
      <c r="N932" t="n">
        <v>0</v>
      </c>
      <c r="O932" t="n">
        <v>0</v>
      </c>
      <c r="P932" t="n">
        <v>0</v>
      </c>
      <c r="Q932" t="n">
        <v>0</v>
      </c>
      <c r="R932" s="2" t="inlineStr"/>
    </row>
    <row r="933" ht="15" customHeight="1">
      <c r="A933" t="inlineStr">
        <is>
          <t>A 60936-2024</t>
        </is>
      </c>
      <c r="B933" s="1" t="n">
        <v>45645.36743055555</v>
      </c>
      <c r="C933" s="1" t="n">
        <v>45917</v>
      </c>
      <c r="D933" t="inlineStr">
        <is>
          <t>JÄMTLANDS LÄN</t>
        </is>
      </c>
      <c r="E933" t="inlineStr">
        <is>
          <t>RAGUNDA</t>
        </is>
      </c>
      <c r="G933" t="n">
        <v>1.2</v>
      </c>
      <c r="H933" t="n">
        <v>0</v>
      </c>
      <c r="I933" t="n">
        <v>0</v>
      </c>
      <c r="J933" t="n">
        <v>0</v>
      </c>
      <c r="K933" t="n">
        <v>0</v>
      </c>
      <c r="L933" t="n">
        <v>0</v>
      </c>
      <c r="M933" t="n">
        <v>0</v>
      </c>
      <c r="N933" t="n">
        <v>0</v>
      </c>
      <c r="O933" t="n">
        <v>0</v>
      </c>
      <c r="P933" t="n">
        <v>0</v>
      </c>
      <c r="Q933" t="n">
        <v>0</v>
      </c>
      <c r="R933" s="2" t="inlineStr"/>
    </row>
    <row r="934" ht="15" customHeight="1">
      <c r="A934" t="inlineStr">
        <is>
          <t>A 19401-2025</t>
        </is>
      </c>
      <c r="B934" s="1" t="n">
        <v>45769.67767361111</v>
      </c>
      <c r="C934" s="1" t="n">
        <v>45917</v>
      </c>
      <c r="D934" t="inlineStr">
        <is>
          <t>JÄMTLANDS LÄN</t>
        </is>
      </c>
      <c r="E934" t="inlineStr">
        <is>
          <t>RAGUNDA</t>
        </is>
      </c>
      <c r="F934" t="inlineStr">
        <is>
          <t>SCA</t>
        </is>
      </c>
      <c r="G934" t="n">
        <v>4.3</v>
      </c>
      <c r="H934" t="n">
        <v>0</v>
      </c>
      <c r="I934" t="n">
        <v>0</v>
      </c>
      <c r="J934" t="n">
        <v>0</v>
      </c>
      <c r="K934" t="n">
        <v>0</v>
      </c>
      <c r="L934" t="n">
        <v>0</v>
      </c>
      <c r="M934" t="n">
        <v>0</v>
      </c>
      <c r="N934" t="n">
        <v>0</v>
      </c>
      <c r="O934" t="n">
        <v>0</v>
      </c>
      <c r="P934" t="n">
        <v>0</v>
      </c>
      <c r="Q934" t="n">
        <v>0</v>
      </c>
      <c r="R934" s="2" t="inlineStr"/>
    </row>
    <row r="935" ht="15" customHeight="1">
      <c r="A935" t="inlineStr">
        <is>
          <t>A 21661-2023</t>
        </is>
      </c>
      <c r="B935" s="1" t="n">
        <v>45063</v>
      </c>
      <c r="C935" s="1" t="n">
        <v>45917</v>
      </c>
      <c r="D935" t="inlineStr">
        <is>
          <t>JÄMTLANDS LÄN</t>
        </is>
      </c>
      <c r="E935" t="inlineStr">
        <is>
          <t>RAGUNDA</t>
        </is>
      </c>
      <c r="G935" t="n">
        <v>1.5</v>
      </c>
      <c r="H935" t="n">
        <v>0</v>
      </c>
      <c r="I935" t="n">
        <v>0</v>
      </c>
      <c r="J935" t="n">
        <v>0</v>
      </c>
      <c r="K935" t="n">
        <v>0</v>
      </c>
      <c r="L935" t="n">
        <v>0</v>
      </c>
      <c r="M935" t="n">
        <v>0</v>
      </c>
      <c r="N935" t="n">
        <v>0</v>
      </c>
      <c r="O935" t="n">
        <v>0</v>
      </c>
      <c r="P935" t="n">
        <v>0</v>
      </c>
      <c r="Q935" t="n">
        <v>0</v>
      </c>
      <c r="R935" s="2" t="inlineStr"/>
    </row>
    <row r="936" ht="15" customHeight="1">
      <c r="A936" t="inlineStr">
        <is>
          <t>A 5930-2025</t>
        </is>
      </c>
      <c r="B936" s="1" t="n">
        <v>45695.44724537037</v>
      </c>
      <c r="C936" s="1" t="n">
        <v>45917</v>
      </c>
      <c r="D936" t="inlineStr">
        <is>
          <t>JÄMTLANDS LÄN</t>
        </is>
      </c>
      <c r="E936" t="inlineStr">
        <is>
          <t>RAGUNDA</t>
        </is>
      </c>
      <c r="G936" t="n">
        <v>0.7</v>
      </c>
      <c r="H936" t="n">
        <v>0</v>
      </c>
      <c r="I936" t="n">
        <v>0</v>
      </c>
      <c r="J936" t="n">
        <v>0</v>
      </c>
      <c r="K936" t="n">
        <v>0</v>
      </c>
      <c r="L936" t="n">
        <v>0</v>
      </c>
      <c r="M936" t="n">
        <v>0</v>
      </c>
      <c r="N936" t="n">
        <v>0</v>
      </c>
      <c r="O936" t="n">
        <v>0</v>
      </c>
      <c r="P936" t="n">
        <v>0</v>
      </c>
      <c r="Q936" t="n">
        <v>0</v>
      </c>
      <c r="R936" s="2" t="inlineStr"/>
    </row>
    <row r="937" ht="15" customHeight="1">
      <c r="A937" t="inlineStr">
        <is>
          <t>A 7281-2024</t>
        </is>
      </c>
      <c r="B937" s="1" t="n">
        <v>45344</v>
      </c>
      <c r="C937" s="1" t="n">
        <v>45917</v>
      </c>
      <c r="D937" t="inlineStr">
        <is>
          <t>JÄMTLANDS LÄN</t>
        </is>
      </c>
      <c r="E937" t="inlineStr">
        <is>
          <t>RAGUNDA</t>
        </is>
      </c>
      <c r="G937" t="n">
        <v>1.2</v>
      </c>
      <c r="H937" t="n">
        <v>0</v>
      </c>
      <c r="I937" t="n">
        <v>0</v>
      </c>
      <c r="J937" t="n">
        <v>0</v>
      </c>
      <c r="K937" t="n">
        <v>0</v>
      </c>
      <c r="L937" t="n">
        <v>0</v>
      </c>
      <c r="M937" t="n">
        <v>0</v>
      </c>
      <c r="N937" t="n">
        <v>0</v>
      </c>
      <c r="O937" t="n">
        <v>0</v>
      </c>
      <c r="P937" t="n">
        <v>0</v>
      </c>
      <c r="Q937" t="n">
        <v>0</v>
      </c>
      <c r="R937" s="2" t="inlineStr"/>
    </row>
    <row r="938" ht="15" customHeight="1">
      <c r="A938" t="inlineStr">
        <is>
          <t>A 19382-2025</t>
        </is>
      </c>
      <c r="B938" s="1" t="n">
        <v>45769.65659722222</v>
      </c>
      <c r="C938" s="1" t="n">
        <v>45917</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19403-2025</t>
        </is>
      </c>
      <c r="B939" s="1" t="n">
        <v>45769.67790509259</v>
      </c>
      <c r="C939" s="1" t="n">
        <v>45917</v>
      </c>
      <c r="D939" t="inlineStr">
        <is>
          <t>JÄMTLANDS LÄN</t>
        </is>
      </c>
      <c r="E939" t="inlineStr">
        <is>
          <t>RAGUNDA</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60225-2022</t>
        </is>
      </c>
      <c r="B940" s="1" t="n">
        <v>44903</v>
      </c>
      <c r="C940" s="1" t="n">
        <v>45917</v>
      </c>
      <c r="D940" t="inlineStr">
        <is>
          <t>JÄMTLANDS LÄN</t>
        </is>
      </c>
      <c r="E940" t="inlineStr">
        <is>
          <t>RAGUNDA</t>
        </is>
      </c>
      <c r="G940" t="n">
        <v>1</v>
      </c>
      <c r="H940" t="n">
        <v>0</v>
      </c>
      <c r="I940" t="n">
        <v>0</v>
      </c>
      <c r="J940" t="n">
        <v>0</v>
      </c>
      <c r="K940" t="n">
        <v>0</v>
      </c>
      <c r="L940" t="n">
        <v>0</v>
      </c>
      <c r="M940" t="n">
        <v>0</v>
      </c>
      <c r="N940" t="n">
        <v>0</v>
      </c>
      <c r="O940" t="n">
        <v>0</v>
      </c>
      <c r="P940" t="n">
        <v>0</v>
      </c>
      <c r="Q940" t="n">
        <v>0</v>
      </c>
      <c r="R940" s="2" t="inlineStr"/>
    </row>
    <row r="941" ht="15" customHeight="1">
      <c r="A941" t="inlineStr">
        <is>
          <t>A 61045-2022</t>
        </is>
      </c>
      <c r="B941" s="1" t="n">
        <v>44914</v>
      </c>
      <c r="C941" s="1" t="n">
        <v>45917</v>
      </c>
      <c r="D941" t="inlineStr">
        <is>
          <t>JÄMTLANDS LÄN</t>
        </is>
      </c>
      <c r="E941" t="inlineStr">
        <is>
          <t>RAGUNDA</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58847-2024</t>
        </is>
      </c>
      <c r="B942" s="1" t="n">
        <v>45636.3864699074</v>
      </c>
      <c r="C942" s="1" t="n">
        <v>45917</v>
      </c>
      <c r="D942" t="inlineStr">
        <is>
          <t>JÄMTLANDS LÄN</t>
        </is>
      </c>
      <c r="E942" t="inlineStr">
        <is>
          <t>RAGUNDA</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16320-2025</t>
        </is>
      </c>
      <c r="B943" s="1" t="n">
        <v>45751.34859953704</v>
      </c>
      <c r="C943" s="1" t="n">
        <v>45917</v>
      </c>
      <c r="D943" t="inlineStr">
        <is>
          <t>JÄMTLANDS LÄN</t>
        </is>
      </c>
      <c r="E943" t="inlineStr">
        <is>
          <t>RAGUNDA</t>
        </is>
      </c>
      <c r="F943" t="inlineStr">
        <is>
          <t>SCA</t>
        </is>
      </c>
      <c r="G943" t="n">
        <v>16.2</v>
      </c>
      <c r="H943" t="n">
        <v>0</v>
      </c>
      <c r="I943" t="n">
        <v>0</v>
      </c>
      <c r="J943" t="n">
        <v>0</v>
      </c>
      <c r="K943" t="n">
        <v>0</v>
      </c>
      <c r="L943" t="n">
        <v>0</v>
      </c>
      <c r="M943" t="n">
        <v>0</v>
      </c>
      <c r="N943" t="n">
        <v>0</v>
      </c>
      <c r="O943" t="n">
        <v>0</v>
      </c>
      <c r="P943" t="n">
        <v>0</v>
      </c>
      <c r="Q943" t="n">
        <v>0</v>
      </c>
      <c r="R943" s="2" t="inlineStr"/>
    </row>
    <row r="944" ht="15" customHeight="1">
      <c r="A944" t="inlineStr">
        <is>
          <t>A 7722-2023</t>
        </is>
      </c>
      <c r="B944" s="1" t="n">
        <v>44972.94140046297</v>
      </c>
      <c r="C944" s="1" t="n">
        <v>45917</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20653-2025</t>
        </is>
      </c>
      <c r="B945" s="1" t="n">
        <v>45776.40311342593</v>
      </c>
      <c r="C945" s="1" t="n">
        <v>45917</v>
      </c>
      <c r="D945" t="inlineStr">
        <is>
          <t>JÄMTLANDS LÄN</t>
        </is>
      </c>
      <c r="E945" t="inlineStr">
        <is>
          <t>RAGUNDA</t>
        </is>
      </c>
      <c r="G945" t="n">
        <v>10.8</v>
      </c>
      <c r="H945" t="n">
        <v>0</v>
      </c>
      <c r="I945" t="n">
        <v>0</v>
      </c>
      <c r="J945" t="n">
        <v>0</v>
      </c>
      <c r="K945" t="n">
        <v>0</v>
      </c>
      <c r="L945" t="n">
        <v>0</v>
      </c>
      <c r="M945" t="n">
        <v>0</v>
      </c>
      <c r="N945" t="n">
        <v>0</v>
      </c>
      <c r="O945" t="n">
        <v>0</v>
      </c>
      <c r="P945" t="n">
        <v>0</v>
      </c>
      <c r="Q945" t="n">
        <v>0</v>
      </c>
      <c r="R945" s="2" t="inlineStr"/>
    </row>
    <row r="946" ht="15" customHeight="1">
      <c r="A946" t="inlineStr">
        <is>
          <t>A 20777-2025</t>
        </is>
      </c>
      <c r="B946" s="1" t="n">
        <v>45776.59422453704</v>
      </c>
      <c r="C946" s="1" t="n">
        <v>45917</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11557-2023</t>
        </is>
      </c>
      <c r="B947" s="1" t="n">
        <v>44993.94950231481</v>
      </c>
      <c r="C947" s="1" t="n">
        <v>45917</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11562-2023</t>
        </is>
      </c>
      <c r="B948" s="1" t="n">
        <v>44993</v>
      </c>
      <c r="C948" s="1" t="n">
        <v>45917</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20722-2025</t>
        </is>
      </c>
      <c r="B949" s="1" t="n">
        <v>45776.50651620371</v>
      </c>
      <c r="C949" s="1" t="n">
        <v>45917</v>
      </c>
      <c r="D949" t="inlineStr">
        <is>
          <t>JÄMTLANDS LÄN</t>
        </is>
      </c>
      <c r="E949" t="inlineStr">
        <is>
          <t>RAGUNDA</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20728-2025</t>
        </is>
      </c>
      <c r="B950" s="1" t="n">
        <v>45776.51130787037</v>
      </c>
      <c r="C950" s="1" t="n">
        <v>45917</v>
      </c>
      <c r="D950" t="inlineStr">
        <is>
          <t>JÄMTLANDS LÄN</t>
        </is>
      </c>
      <c r="E950" t="inlineStr">
        <is>
          <t>RAGUNDA</t>
        </is>
      </c>
      <c r="F950" t="inlineStr">
        <is>
          <t>Kommuner</t>
        </is>
      </c>
      <c r="G950" t="n">
        <v>1.1</v>
      </c>
      <c r="H950" t="n">
        <v>0</v>
      </c>
      <c r="I950" t="n">
        <v>0</v>
      </c>
      <c r="J950" t="n">
        <v>0</v>
      </c>
      <c r="K950" t="n">
        <v>0</v>
      </c>
      <c r="L950" t="n">
        <v>0</v>
      </c>
      <c r="M950" t="n">
        <v>0</v>
      </c>
      <c r="N950" t="n">
        <v>0</v>
      </c>
      <c r="O950" t="n">
        <v>0</v>
      </c>
      <c r="P950" t="n">
        <v>0</v>
      </c>
      <c r="Q950" t="n">
        <v>0</v>
      </c>
      <c r="R950" s="2" t="inlineStr"/>
    </row>
    <row r="951" ht="15" customHeight="1">
      <c r="A951" t="inlineStr">
        <is>
          <t>A 5175-2023</t>
        </is>
      </c>
      <c r="B951" s="1" t="n">
        <v>44958.94298611111</v>
      </c>
      <c r="C951" s="1" t="n">
        <v>45917</v>
      </c>
      <c r="D951" t="inlineStr">
        <is>
          <t>JÄMTLANDS LÄN</t>
        </is>
      </c>
      <c r="E951" t="inlineStr">
        <is>
          <t>RAGUNDA</t>
        </is>
      </c>
      <c r="F951" t="inlineStr">
        <is>
          <t>SCA</t>
        </is>
      </c>
      <c r="G951" t="n">
        <v>17.9</v>
      </c>
      <c r="H951" t="n">
        <v>0</v>
      </c>
      <c r="I951" t="n">
        <v>0</v>
      </c>
      <c r="J951" t="n">
        <v>0</v>
      </c>
      <c r="K951" t="n">
        <v>0</v>
      </c>
      <c r="L951" t="n">
        <v>0</v>
      </c>
      <c r="M951" t="n">
        <v>0</v>
      </c>
      <c r="N951" t="n">
        <v>0</v>
      </c>
      <c r="O951" t="n">
        <v>0</v>
      </c>
      <c r="P951" t="n">
        <v>0</v>
      </c>
      <c r="Q951" t="n">
        <v>0</v>
      </c>
      <c r="R951" s="2" t="inlineStr"/>
    </row>
    <row r="952" ht="15" customHeight="1">
      <c r="A952" t="inlineStr">
        <is>
          <t>A 52345-2024</t>
        </is>
      </c>
      <c r="B952" s="1" t="n">
        <v>45609.34412037037</v>
      </c>
      <c r="C952" s="1" t="n">
        <v>45917</v>
      </c>
      <c r="D952" t="inlineStr">
        <is>
          <t>JÄMTLANDS LÄN</t>
        </is>
      </c>
      <c r="E952" t="inlineStr">
        <is>
          <t>RAGUNDA</t>
        </is>
      </c>
      <c r="F952" t="inlineStr">
        <is>
          <t>SCA</t>
        </is>
      </c>
      <c r="G952" t="n">
        <v>10.3</v>
      </c>
      <c r="H952" t="n">
        <v>0</v>
      </c>
      <c r="I952" t="n">
        <v>0</v>
      </c>
      <c r="J952" t="n">
        <v>0</v>
      </c>
      <c r="K952" t="n">
        <v>0</v>
      </c>
      <c r="L952" t="n">
        <v>0</v>
      </c>
      <c r="M952" t="n">
        <v>0</v>
      </c>
      <c r="N952" t="n">
        <v>0</v>
      </c>
      <c r="O952" t="n">
        <v>0</v>
      </c>
      <c r="P952" t="n">
        <v>0</v>
      </c>
      <c r="Q952" t="n">
        <v>0</v>
      </c>
      <c r="R952" s="2" t="inlineStr"/>
    </row>
    <row r="953" ht="15" customHeight="1">
      <c r="A953" t="inlineStr">
        <is>
          <t>A 41343-2024</t>
        </is>
      </c>
      <c r="B953" s="1" t="n">
        <v>45559.67745370371</v>
      </c>
      <c r="C953" s="1" t="n">
        <v>45917</v>
      </c>
      <c r="D953" t="inlineStr">
        <is>
          <t>JÄMTLANDS LÄN</t>
        </is>
      </c>
      <c r="E953" t="inlineStr">
        <is>
          <t>RAGUNDA</t>
        </is>
      </c>
      <c r="F953" t="inlineStr">
        <is>
          <t>SCA</t>
        </is>
      </c>
      <c r="G953" t="n">
        <v>25.1</v>
      </c>
      <c r="H953" t="n">
        <v>0</v>
      </c>
      <c r="I953" t="n">
        <v>0</v>
      </c>
      <c r="J953" t="n">
        <v>0</v>
      </c>
      <c r="K953" t="n">
        <v>0</v>
      </c>
      <c r="L953" t="n">
        <v>0</v>
      </c>
      <c r="M953" t="n">
        <v>0</v>
      </c>
      <c r="N953" t="n">
        <v>0</v>
      </c>
      <c r="O953" t="n">
        <v>0</v>
      </c>
      <c r="P953" t="n">
        <v>0</v>
      </c>
      <c r="Q953" t="n">
        <v>0</v>
      </c>
      <c r="R953" s="2" t="inlineStr"/>
    </row>
    <row r="954" ht="15" customHeight="1">
      <c r="A954" t="inlineStr">
        <is>
          <t>A 21332-2025</t>
        </is>
      </c>
      <c r="B954" s="1" t="n">
        <v>45782.36506944444</v>
      </c>
      <c r="C954" s="1" t="n">
        <v>45917</v>
      </c>
      <c r="D954" t="inlineStr">
        <is>
          <t>JÄMTLANDS LÄN</t>
        </is>
      </c>
      <c r="E954" t="inlineStr">
        <is>
          <t>RAGUNDA</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21430-2025</t>
        </is>
      </c>
      <c r="B955" s="1" t="n">
        <v>45782.51099537037</v>
      </c>
      <c r="C955" s="1" t="n">
        <v>45917</v>
      </c>
      <c r="D955" t="inlineStr">
        <is>
          <t>JÄMTLANDS LÄN</t>
        </is>
      </c>
      <c r="E955" t="inlineStr">
        <is>
          <t>RAGUNDA</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12039-2023</t>
        </is>
      </c>
      <c r="B956" s="1" t="n">
        <v>44995.98341435185</v>
      </c>
      <c r="C956" s="1" t="n">
        <v>45917</v>
      </c>
      <c r="D956" t="inlineStr">
        <is>
          <t>JÄMTLANDS LÄN</t>
        </is>
      </c>
      <c r="E956" t="inlineStr">
        <is>
          <t>RAGUNDA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12050-2023</t>
        </is>
      </c>
      <c r="B957" s="1" t="n">
        <v>44995.98644675926</v>
      </c>
      <c r="C957" s="1" t="n">
        <v>45917</v>
      </c>
      <c r="D957" t="inlineStr">
        <is>
          <t>JÄMTLANDS LÄN</t>
        </is>
      </c>
      <c r="E957" t="inlineStr">
        <is>
          <t>RAGUNDA</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2751-2024</t>
        </is>
      </c>
      <c r="B958" s="1" t="n">
        <v>45314</v>
      </c>
      <c r="C958" s="1" t="n">
        <v>45917</v>
      </c>
      <c r="D958" t="inlineStr">
        <is>
          <t>JÄMTLANDS LÄN</t>
        </is>
      </c>
      <c r="E958" t="inlineStr">
        <is>
          <t>RAGUNDA</t>
        </is>
      </c>
      <c r="G958" t="n">
        <v>1.8</v>
      </c>
      <c r="H958" t="n">
        <v>0</v>
      </c>
      <c r="I958" t="n">
        <v>0</v>
      </c>
      <c r="J958" t="n">
        <v>0</v>
      </c>
      <c r="K958" t="n">
        <v>0</v>
      </c>
      <c r="L958" t="n">
        <v>0</v>
      </c>
      <c r="M958" t="n">
        <v>0</v>
      </c>
      <c r="N958" t="n">
        <v>0</v>
      </c>
      <c r="O958" t="n">
        <v>0</v>
      </c>
      <c r="P958" t="n">
        <v>0</v>
      </c>
      <c r="Q958" t="n">
        <v>0</v>
      </c>
      <c r="R958" s="2" t="inlineStr"/>
    </row>
    <row r="959" ht="15" customHeight="1">
      <c r="A959" t="inlineStr">
        <is>
          <t>A 36986-2023</t>
        </is>
      </c>
      <c r="B959" s="1" t="n">
        <v>45154.95525462963</v>
      </c>
      <c r="C959" s="1" t="n">
        <v>45917</v>
      </c>
      <c r="D959" t="inlineStr">
        <is>
          <t>JÄMTLANDS LÄN</t>
        </is>
      </c>
      <c r="E959" t="inlineStr">
        <is>
          <t>RAGUNDA</t>
        </is>
      </c>
      <c r="F959" t="inlineStr">
        <is>
          <t>SCA</t>
        </is>
      </c>
      <c r="G959" t="n">
        <v>0.2</v>
      </c>
      <c r="H959" t="n">
        <v>0</v>
      </c>
      <c r="I959" t="n">
        <v>0</v>
      </c>
      <c r="J959" t="n">
        <v>0</v>
      </c>
      <c r="K959" t="n">
        <v>0</v>
      </c>
      <c r="L959" t="n">
        <v>0</v>
      </c>
      <c r="M959" t="n">
        <v>0</v>
      </c>
      <c r="N959" t="n">
        <v>0</v>
      </c>
      <c r="O959" t="n">
        <v>0</v>
      </c>
      <c r="P959" t="n">
        <v>0</v>
      </c>
      <c r="Q959" t="n">
        <v>0</v>
      </c>
      <c r="R959" s="2" t="inlineStr"/>
    </row>
    <row r="960" ht="15" customHeight="1">
      <c r="A960" t="inlineStr">
        <is>
          <t>A 21432-2025</t>
        </is>
      </c>
      <c r="B960" s="1" t="n">
        <v>45782.51109953703</v>
      </c>
      <c r="C960" s="1" t="n">
        <v>45917</v>
      </c>
      <c r="D960" t="inlineStr">
        <is>
          <t>JÄMTLANDS LÄN</t>
        </is>
      </c>
      <c r="E960" t="inlineStr">
        <is>
          <t>RAGUNDA</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14368-2024</t>
        </is>
      </c>
      <c r="B961" s="1" t="n">
        <v>45393.94431712963</v>
      </c>
      <c r="C961" s="1" t="n">
        <v>45917</v>
      </c>
      <c r="D961" t="inlineStr">
        <is>
          <t>JÄMTLANDS LÄN</t>
        </is>
      </c>
      <c r="E961" t="inlineStr">
        <is>
          <t>RAGUNDA</t>
        </is>
      </c>
      <c r="F961" t="inlineStr">
        <is>
          <t>Naturvårdsverket</t>
        </is>
      </c>
      <c r="G961" t="n">
        <v>1.6</v>
      </c>
      <c r="H961" t="n">
        <v>0</v>
      </c>
      <c r="I961" t="n">
        <v>0</v>
      </c>
      <c r="J961" t="n">
        <v>0</v>
      </c>
      <c r="K961" t="n">
        <v>0</v>
      </c>
      <c r="L961" t="n">
        <v>0</v>
      </c>
      <c r="M961" t="n">
        <v>0</v>
      </c>
      <c r="N961" t="n">
        <v>0</v>
      </c>
      <c r="O961" t="n">
        <v>0</v>
      </c>
      <c r="P961" t="n">
        <v>0</v>
      </c>
      <c r="Q961" t="n">
        <v>0</v>
      </c>
      <c r="R961" s="2" t="inlineStr"/>
    </row>
    <row r="962" ht="15" customHeight="1">
      <c r="A962" t="inlineStr">
        <is>
          <t>A 21550-2025</t>
        </is>
      </c>
      <c r="B962" s="1" t="n">
        <v>45782.67758101852</v>
      </c>
      <c r="C962" s="1" t="n">
        <v>45917</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21451-2025</t>
        </is>
      </c>
      <c r="B963" s="1" t="n">
        <v>45782.55287037037</v>
      </c>
      <c r="C963" s="1" t="n">
        <v>45917</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21150-2025</t>
        </is>
      </c>
      <c r="B964" s="1" t="n">
        <v>45779.34417824074</v>
      </c>
      <c r="C964" s="1" t="n">
        <v>45917</v>
      </c>
      <c r="D964" t="inlineStr">
        <is>
          <t>JÄMTLANDS LÄN</t>
        </is>
      </c>
      <c r="E964" t="inlineStr">
        <is>
          <t>RAGUNDA</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21177-2025</t>
        </is>
      </c>
      <c r="B965" s="1" t="n">
        <v>45779.4281712963</v>
      </c>
      <c r="C965" s="1" t="n">
        <v>45917</v>
      </c>
      <c r="D965" t="inlineStr">
        <is>
          <t>JÄMTLANDS LÄN</t>
        </is>
      </c>
      <c r="E965" t="inlineStr">
        <is>
          <t>RAGUNDA</t>
        </is>
      </c>
      <c r="F965" t="inlineStr">
        <is>
          <t>SCA</t>
        </is>
      </c>
      <c r="G965" t="n">
        <v>16.1</v>
      </c>
      <c r="H965" t="n">
        <v>0</v>
      </c>
      <c r="I965" t="n">
        <v>0</v>
      </c>
      <c r="J965" t="n">
        <v>0</v>
      </c>
      <c r="K965" t="n">
        <v>0</v>
      </c>
      <c r="L965" t="n">
        <v>0</v>
      </c>
      <c r="M965" t="n">
        <v>0</v>
      </c>
      <c r="N965" t="n">
        <v>0</v>
      </c>
      <c r="O965" t="n">
        <v>0</v>
      </c>
      <c r="P965" t="n">
        <v>0</v>
      </c>
      <c r="Q965" t="n">
        <v>0</v>
      </c>
      <c r="R965" s="2" t="inlineStr"/>
    </row>
    <row r="966" ht="15" customHeight="1">
      <c r="A966" t="inlineStr">
        <is>
          <t>A 21331-2025</t>
        </is>
      </c>
      <c r="B966" s="1" t="n">
        <v>45782.36494212963</v>
      </c>
      <c r="C966" s="1" t="n">
        <v>45917</v>
      </c>
      <c r="D966" t="inlineStr">
        <is>
          <t>JÄMTLANDS LÄN</t>
        </is>
      </c>
      <c r="E966" t="inlineStr">
        <is>
          <t>RAGUNDA</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21214-2025</t>
        </is>
      </c>
      <c r="B967" s="1" t="n">
        <v>45779.49025462963</v>
      </c>
      <c r="C967" s="1" t="n">
        <v>45917</v>
      </c>
      <c r="D967" t="inlineStr">
        <is>
          <t>JÄMTLANDS LÄN</t>
        </is>
      </c>
      <c r="E967" t="inlineStr">
        <is>
          <t>RAGUNDA</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18159-2023</t>
        </is>
      </c>
      <c r="B968" s="1" t="n">
        <v>45040.94277777777</v>
      </c>
      <c r="C968" s="1" t="n">
        <v>45917</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22941-2024</t>
        </is>
      </c>
      <c r="B969" s="1" t="n">
        <v>45448.94520833333</v>
      </c>
      <c r="C969" s="1" t="n">
        <v>45917</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13700-2023</t>
        </is>
      </c>
      <c r="B970" s="1" t="n">
        <v>45006</v>
      </c>
      <c r="C970" s="1" t="n">
        <v>45917</v>
      </c>
      <c r="D970" t="inlineStr">
        <is>
          <t>JÄMTLANDS LÄN</t>
        </is>
      </c>
      <c r="E970" t="inlineStr">
        <is>
          <t>RAGUNDA</t>
        </is>
      </c>
      <c r="F970" t="inlineStr">
        <is>
          <t>SCA</t>
        </is>
      </c>
      <c r="G970" t="n">
        <v>50.3</v>
      </c>
      <c r="H970" t="n">
        <v>0</v>
      </c>
      <c r="I970" t="n">
        <v>0</v>
      </c>
      <c r="J970" t="n">
        <v>0</v>
      </c>
      <c r="K970" t="n">
        <v>0</v>
      </c>
      <c r="L970" t="n">
        <v>0</v>
      </c>
      <c r="M970" t="n">
        <v>0</v>
      </c>
      <c r="N970" t="n">
        <v>0</v>
      </c>
      <c r="O970" t="n">
        <v>0</v>
      </c>
      <c r="P970" t="n">
        <v>0</v>
      </c>
      <c r="Q970" t="n">
        <v>0</v>
      </c>
      <c r="R970" s="2" t="inlineStr"/>
    </row>
    <row r="971" ht="15" customHeight="1">
      <c r="A971" t="inlineStr">
        <is>
          <t>A 44881-2023</t>
        </is>
      </c>
      <c r="B971" s="1" t="n">
        <v>45187</v>
      </c>
      <c r="C971" s="1" t="n">
        <v>45917</v>
      </c>
      <c r="D971" t="inlineStr">
        <is>
          <t>JÄMTLANDS LÄN</t>
        </is>
      </c>
      <c r="E971" t="inlineStr">
        <is>
          <t>RAGUNDA</t>
        </is>
      </c>
      <c r="G971" t="n">
        <v>2.4</v>
      </c>
      <c r="H971" t="n">
        <v>0</v>
      </c>
      <c r="I971" t="n">
        <v>0</v>
      </c>
      <c r="J971" t="n">
        <v>0</v>
      </c>
      <c r="K971" t="n">
        <v>0</v>
      </c>
      <c r="L971" t="n">
        <v>0</v>
      </c>
      <c r="M971" t="n">
        <v>0</v>
      </c>
      <c r="N971" t="n">
        <v>0</v>
      </c>
      <c r="O971" t="n">
        <v>0</v>
      </c>
      <c r="P971" t="n">
        <v>0</v>
      </c>
      <c r="Q971" t="n">
        <v>0</v>
      </c>
      <c r="R971" s="2" t="inlineStr"/>
    </row>
    <row r="972" ht="15" customHeight="1">
      <c r="A972" t="inlineStr">
        <is>
          <t>A 37543-2023</t>
        </is>
      </c>
      <c r="B972" s="1" t="n">
        <v>45158.94231481481</v>
      </c>
      <c r="C972" s="1" t="n">
        <v>45917</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53171-2024</t>
        </is>
      </c>
      <c r="B973" s="1" t="n">
        <v>45611.65679398148</v>
      </c>
      <c r="C973" s="1" t="n">
        <v>45917</v>
      </c>
      <c r="D973" t="inlineStr">
        <is>
          <t>JÄMTLANDS LÄN</t>
        </is>
      </c>
      <c r="E973" t="inlineStr">
        <is>
          <t>RAGUNDA</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1523-2024</t>
        </is>
      </c>
      <c r="B974" s="1" t="n">
        <v>45306</v>
      </c>
      <c r="C974" s="1" t="n">
        <v>45917</v>
      </c>
      <c r="D974" t="inlineStr">
        <is>
          <t>JÄMTLANDS LÄN</t>
        </is>
      </c>
      <c r="E974" t="inlineStr">
        <is>
          <t>RAGUNDA</t>
        </is>
      </c>
      <c r="G974" t="n">
        <v>4.1</v>
      </c>
      <c r="H974" t="n">
        <v>0</v>
      </c>
      <c r="I974" t="n">
        <v>0</v>
      </c>
      <c r="J974" t="n">
        <v>0</v>
      </c>
      <c r="K974" t="n">
        <v>0</v>
      </c>
      <c r="L974" t="n">
        <v>0</v>
      </c>
      <c r="M974" t="n">
        <v>0</v>
      </c>
      <c r="N974" t="n">
        <v>0</v>
      </c>
      <c r="O974" t="n">
        <v>0</v>
      </c>
      <c r="P974" t="n">
        <v>0</v>
      </c>
      <c r="Q974" t="n">
        <v>0</v>
      </c>
      <c r="R974" s="2" t="inlineStr"/>
    </row>
    <row r="975" ht="15" customHeight="1">
      <c r="A975" t="inlineStr">
        <is>
          <t>A 64265-2023</t>
        </is>
      </c>
      <c r="B975" s="1" t="n">
        <v>45279.94572916667</v>
      </c>
      <c r="C975" s="1" t="n">
        <v>45917</v>
      </c>
      <c r="D975" t="inlineStr">
        <is>
          <t>JÄMTLANDS LÄN</t>
        </is>
      </c>
      <c r="E975" t="inlineStr">
        <is>
          <t>RAGUNDA</t>
        </is>
      </c>
      <c r="F975" t="inlineStr">
        <is>
          <t>SCA</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44605-2024</t>
        </is>
      </c>
      <c r="B976" s="1" t="n">
        <v>45574.51185185185</v>
      </c>
      <c r="C976" s="1" t="n">
        <v>45917</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19438-2023</t>
        </is>
      </c>
      <c r="B977" s="1" t="n">
        <v>45049</v>
      </c>
      <c r="C977" s="1" t="n">
        <v>45917</v>
      </c>
      <c r="D977" t="inlineStr">
        <is>
          <t>JÄMTLANDS LÄN</t>
        </is>
      </c>
      <c r="E977" t="inlineStr">
        <is>
          <t>RAGUNDA</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60629-2023</t>
        </is>
      </c>
      <c r="B978" s="1" t="n">
        <v>45259</v>
      </c>
      <c r="C978" s="1" t="n">
        <v>45917</v>
      </c>
      <c r="D978" t="inlineStr">
        <is>
          <t>JÄMTLANDS LÄN</t>
        </is>
      </c>
      <c r="E978" t="inlineStr">
        <is>
          <t>RAGUNDA</t>
        </is>
      </c>
      <c r="G978" t="n">
        <v>3.4</v>
      </c>
      <c r="H978" t="n">
        <v>0</v>
      </c>
      <c r="I978" t="n">
        <v>0</v>
      </c>
      <c r="J978" t="n">
        <v>0</v>
      </c>
      <c r="K978" t="n">
        <v>0</v>
      </c>
      <c r="L978" t="n">
        <v>0</v>
      </c>
      <c r="M978" t="n">
        <v>0</v>
      </c>
      <c r="N978" t="n">
        <v>0</v>
      </c>
      <c r="O978" t="n">
        <v>0</v>
      </c>
      <c r="P978" t="n">
        <v>0</v>
      </c>
      <c r="Q978" t="n">
        <v>0</v>
      </c>
      <c r="R978" s="2" t="inlineStr"/>
    </row>
    <row r="979" ht="15" customHeight="1">
      <c r="A979" t="inlineStr">
        <is>
          <t>A 44066-2024</t>
        </is>
      </c>
      <c r="B979" s="1" t="n">
        <v>45572.60363425926</v>
      </c>
      <c r="C979" s="1" t="n">
        <v>45917</v>
      </c>
      <c r="D979" t="inlineStr">
        <is>
          <t>JÄMTLANDS LÄN</t>
        </is>
      </c>
      <c r="E979" t="inlineStr">
        <is>
          <t>RAGUNDA</t>
        </is>
      </c>
      <c r="G979" t="n">
        <v>6.4</v>
      </c>
      <c r="H979" t="n">
        <v>0</v>
      </c>
      <c r="I979" t="n">
        <v>0</v>
      </c>
      <c r="J979" t="n">
        <v>0</v>
      </c>
      <c r="K979" t="n">
        <v>0</v>
      </c>
      <c r="L979" t="n">
        <v>0</v>
      </c>
      <c r="M979" t="n">
        <v>0</v>
      </c>
      <c r="N979" t="n">
        <v>0</v>
      </c>
      <c r="O979" t="n">
        <v>0</v>
      </c>
      <c r="P979" t="n">
        <v>0</v>
      </c>
      <c r="Q979" t="n">
        <v>0</v>
      </c>
      <c r="R979" s="2" t="inlineStr"/>
    </row>
    <row r="980" ht="15" customHeight="1">
      <c r="A980" t="inlineStr">
        <is>
          <t>A 53136-2024</t>
        </is>
      </c>
      <c r="B980" s="1" t="n">
        <v>45611.5953125</v>
      </c>
      <c r="C980" s="1" t="n">
        <v>45917</v>
      </c>
      <c r="D980" t="inlineStr">
        <is>
          <t>JÄMTLANDS LÄN</t>
        </is>
      </c>
      <c r="E980" t="inlineStr">
        <is>
          <t>RAGUNDA</t>
        </is>
      </c>
      <c r="G980" t="n">
        <v>3.8</v>
      </c>
      <c r="H980" t="n">
        <v>0</v>
      </c>
      <c r="I980" t="n">
        <v>0</v>
      </c>
      <c r="J980" t="n">
        <v>0</v>
      </c>
      <c r="K980" t="n">
        <v>0</v>
      </c>
      <c r="L980" t="n">
        <v>0</v>
      </c>
      <c r="M980" t="n">
        <v>0</v>
      </c>
      <c r="N980" t="n">
        <v>0</v>
      </c>
      <c r="O980" t="n">
        <v>0</v>
      </c>
      <c r="P980" t="n">
        <v>0</v>
      </c>
      <c r="Q980" t="n">
        <v>0</v>
      </c>
      <c r="R980" s="2" t="inlineStr"/>
    </row>
    <row r="981" ht="15" customHeight="1">
      <c r="A981" t="inlineStr">
        <is>
          <t>A 57889-2024</t>
        </is>
      </c>
      <c r="B981" s="1" t="n">
        <v>45631.46665509259</v>
      </c>
      <c r="C981" s="1" t="n">
        <v>45917</v>
      </c>
      <c r="D981" t="inlineStr">
        <is>
          <t>JÄMTLANDS LÄN</t>
        </is>
      </c>
      <c r="E981" t="inlineStr">
        <is>
          <t>RAGUNDA</t>
        </is>
      </c>
      <c r="G981" t="n">
        <v>11.1</v>
      </c>
      <c r="H981" t="n">
        <v>0</v>
      </c>
      <c r="I981" t="n">
        <v>0</v>
      </c>
      <c r="J981" t="n">
        <v>0</v>
      </c>
      <c r="K981" t="n">
        <v>0</v>
      </c>
      <c r="L981" t="n">
        <v>0</v>
      </c>
      <c r="M981" t="n">
        <v>0</v>
      </c>
      <c r="N981" t="n">
        <v>0</v>
      </c>
      <c r="O981" t="n">
        <v>0</v>
      </c>
      <c r="P981" t="n">
        <v>0</v>
      </c>
      <c r="Q981" t="n">
        <v>0</v>
      </c>
      <c r="R981" s="2" t="inlineStr"/>
    </row>
    <row r="982" ht="15" customHeight="1">
      <c r="A982" t="inlineStr">
        <is>
          <t>A 52228-2024</t>
        </is>
      </c>
      <c r="B982" s="1" t="n">
        <v>45608.6078587963</v>
      </c>
      <c r="C982" s="1" t="n">
        <v>45917</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22388-2025</t>
        </is>
      </c>
      <c r="B983" s="1" t="n">
        <v>45786.51077546296</v>
      </c>
      <c r="C983" s="1" t="n">
        <v>45917</v>
      </c>
      <c r="D983" t="inlineStr">
        <is>
          <t>JÄMTLANDS LÄN</t>
        </is>
      </c>
      <c r="E983" t="inlineStr">
        <is>
          <t>RAGUNDA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22898-2025</t>
        </is>
      </c>
      <c r="B984" s="1" t="n">
        <v>45790.40670138889</v>
      </c>
      <c r="C984" s="1" t="n">
        <v>45917</v>
      </c>
      <c r="D984" t="inlineStr">
        <is>
          <t>JÄMTLANDS LÄN</t>
        </is>
      </c>
      <c r="E984" t="inlineStr">
        <is>
          <t>RAGUNDA</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59372-2024</t>
        </is>
      </c>
      <c r="B985" s="1" t="n">
        <v>45638.34431712963</v>
      </c>
      <c r="C985" s="1" t="n">
        <v>45917</v>
      </c>
      <c r="D985" t="inlineStr">
        <is>
          <t>JÄMTLANDS LÄN</t>
        </is>
      </c>
      <c r="E985" t="inlineStr">
        <is>
          <t>RAGUNDA</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62115-2024</t>
        </is>
      </c>
      <c r="B986" s="1" t="n">
        <v>45656</v>
      </c>
      <c r="C986" s="1" t="n">
        <v>45917</v>
      </c>
      <c r="D986" t="inlineStr">
        <is>
          <t>JÄMTLANDS LÄN</t>
        </is>
      </c>
      <c r="E986" t="inlineStr">
        <is>
          <t>RAGUNDA</t>
        </is>
      </c>
      <c r="G986" t="n">
        <v>3.3</v>
      </c>
      <c r="H986" t="n">
        <v>0</v>
      </c>
      <c r="I986" t="n">
        <v>0</v>
      </c>
      <c r="J986" t="n">
        <v>0</v>
      </c>
      <c r="K986" t="n">
        <v>0</v>
      </c>
      <c r="L986" t="n">
        <v>0</v>
      </c>
      <c r="M986" t="n">
        <v>0</v>
      </c>
      <c r="N986" t="n">
        <v>0</v>
      </c>
      <c r="O986" t="n">
        <v>0</v>
      </c>
      <c r="P986" t="n">
        <v>0</v>
      </c>
      <c r="Q986" t="n">
        <v>0</v>
      </c>
      <c r="R986" s="2" t="inlineStr"/>
    </row>
    <row r="987" ht="15" customHeight="1">
      <c r="A987" t="inlineStr">
        <is>
          <t>A 4594-2024</t>
        </is>
      </c>
      <c r="B987" s="1" t="n">
        <v>45327.94459490741</v>
      </c>
      <c r="C987" s="1" t="n">
        <v>45917</v>
      </c>
      <c r="D987" t="inlineStr">
        <is>
          <t>JÄMTLANDS LÄN</t>
        </is>
      </c>
      <c r="E987" t="inlineStr">
        <is>
          <t>RAGUNDA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3018-2024</t>
        </is>
      </c>
      <c r="B988" s="1" t="n">
        <v>45315.9492824074</v>
      </c>
      <c r="C988" s="1" t="n">
        <v>45917</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48065-2023</t>
        </is>
      </c>
      <c r="B989" s="1" t="n">
        <v>45204.94399305555</v>
      </c>
      <c r="C989" s="1" t="n">
        <v>45917</v>
      </c>
      <c r="D989" t="inlineStr">
        <is>
          <t>JÄMTLANDS LÄN</t>
        </is>
      </c>
      <c r="E989" t="inlineStr">
        <is>
          <t>RAGUNDA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44597-2024</t>
        </is>
      </c>
      <c r="B990" s="1" t="n">
        <v>45574.51087962963</v>
      </c>
      <c r="C990" s="1" t="n">
        <v>45917</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44598-2024</t>
        </is>
      </c>
      <c r="B991" s="1" t="n">
        <v>45574.51090277778</v>
      </c>
      <c r="C991" s="1" t="n">
        <v>45917</v>
      </c>
      <c r="D991" t="inlineStr">
        <is>
          <t>JÄMTLANDS LÄN</t>
        </is>
      </c>
      <c r="E991" t="inlineStr">
        <is>
          <t>RAGUNDA</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49659-2023</t>
        </is>
      </c>
      <c r="B992" s="1" t="n">
        <v>45211.95134259259</v>
      </c>
      <c r="C992" s="1" t="n">
        <v>45917</v>
      </c>
      <c r="D992" t="inlineStr">
        <is>
          <t>JÄMTLANDS LÄN</t>
        </is>
      </c>
      <c r="E992" t="inlineStr">
        <is>
          <t>RAGUNDA</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23734-2024</t>
        </is>
      </c>
      <c r="B993" s="1" t="n">
        <v>45454.95960648148</v>
      </c>
      <c r="C993" s="1" t="n">
        <v>45917</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23405-2025</t>
        </is>
      </c>
      <c r="B994" s="1" t="n">
        <v>45792.34527777778</v>
      </c>
      <c r="C994" s="1" t="n">
        <v>45917</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12653-2024</t>
        </is>
      </c>
      <c r="B995" s="1" t="n">
        <v>45384</v>
      </c>
      <c r="C995" s="1" t="n">
        <v>45917</v>
      </c>
      <c r="D995" t="inlineStr">
        <is>
          <t>JÄMTLANDS LÄN</t>
        </is>
      </c>
      <c r="E995" t="inlineStr">
        <is>
          <t>RAGUNDA</t>
        </is>
      </c>
      <c r="G995" t="n">
        <v>1.1</v>
      </c>
      <c r="H995" t="n">
        <v>0</v>
      </c>
      <c r="I995" t="n">
        <v>0</v>
      </c>
      <c r="J995" t="n">
        <v>0</v>
      </c>
      <c r="K995" t="n">
        <v>0</v>
      </c>
      <c r="L995" t="n">
        <v>0</v>
      </c>
      <c r="M995" t="n">
        <v>0</v>
      </c>
      <c r="N995" t="n">
        <v>0</v>
      </c>
      <c r="O995" t="n">
        <v>0</v>
      </c>
      <c r="P995" t="n">
        <v>0</v>
      </c>
      <c r="Q995" t="n">
        <v>0</v>
      </c>
      <c r="R995" s="2" t="inlineStr"/>
    </row>
    <row r="996" ht="15" customHeight="1">
      <c r="A996" t="inlineStr">
        <is>
          <t>A 23654-2025</t>
        </is>
      </c>
      <c r="B996" s="1" t="n">
        <v>45792.71905092592</v>
      </c>
      <c r="C996" s="1" t="n">
        <v>45917</v>
      </c>
      <c r="D996" t="inlineStr">
        <is>
          <t>JÄMTLANDS LÄN</t>
        </is>
      </c>
      <c r="E996" t="inlineStr">
        <is>
          <t>RAGUNDA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23507-2025</t>
        </is>
      </c>
      <c r="B997" s="1" t="n">
        <v>45792.49023148148</v>
      </c>
      <c r="C997" s="1" t="n">
        <v>45917</v>
      </c>
      <c r="D997" t="inlineStr">
        <is>
          <t>JÄMTLANDS LÄN</t>
        </is>
      </c>
      <c r="E997" t="inlineStr">
        <is>
          <t>RAGUNDA</t>
        </is>
      </c>
      <c r="F997" t="inlineStr">
        <is>
          <t>SCA</t>
        </is>
      </c>
      <c r="G997" t="n">
        <v>16.4</v>
      </c>
      <c r="H997" t="n">
        <v>0</v>
      </c>
      <c r="I997" t="n">
        <v>0</v>
      </c>
      <c r="J997" t="n">
        <v>0</v>
      </c>
      <c r="K997" t="n">
        <v>0</v>
      </c>
      <c r="L997" t="n">
        <v>0</v>
      </c>
      <c r="M997" t="n">
        <v>0</v>
      </c>
      <c r="N997" t="n">
        <v>0</v>
      </c>
      <c r="O997" t="n">
        <v>0</v>
      </c>
      <c r="P997" t="n">
        <v>0</v>
      </c>
      <c r="Q997" t="n">
        <v>0</v>
      </c>
      <c r="R997" s="2" t="inlineStr"/>
    </row>
    <row r="998" ht="15" customHeight="1">
      <c r="A998" t="inlineStr">
        <is>
          <t>A 23586-2025</t>
        </is>
      </c>
      <c r="B998" s="1" t="n">
        <v>45792.63584490741</v>
      </c>
      <c r="C998" s="1" t="n">
        <v>45917</v>
      </c>
      <c r="D998" t="inlineStr">
        <is>
          <t>JÄMTLANDS LÄN</t>
        </is>
      </c>
      <c r="E998" t="inlineStr">
        <is>
          <t>RAGUNDA</t>
        </is>
      </c>
      <c r="F998" t="inlineStr">
        <is>
          <t>SCA</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23413-2025</t>
        </is>
      </c>
      <c r="B999" s="1" t="n">
        <v>45792.34606481482</v>
      </c>
      <c r="C999" s="1" t="n">
        <v>45917</v>
      </c>
      <c r="D999" t="inlineStr">
        <is>
          <t>JÄMTLANDS LÄN</t>
        </is>
      </c>
      <c r="E999" t="inlineStr">
        <is>
          <t>RAGUNDA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34483-2023</t>
        </is>
      </c>
      <c r="B1000" s="1" t="n">
        <v>45139.94681712963</v>
      </c>
      <c r="C1000" s="1" t="n">
        <v>45917</v>
      </c>
      <c r="D1000" t="inlineStr">
        <is>
          <t>JÄMTLANDS LÄN</t>
        </is>
      </c>
      <c r="E1000" t="inlineStr">
        <is>
          <t>RAGUNDA</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23567-2024</t>
        </is>
      </c>
      <c r="B1001" s="1" t="n">
        <v>45453.95538194444</v>
      </c>
      <c r="C1001" s="1" t="n">
        <v>45917</v>
      </c>
      <c r="D1001" t="inlineStr">
        <is>
          <t>JÄMTLANDS LÄN</t>
        </is>
      </c>
      <c r="E1001" t="inlineStr">
        <is>
          <t>RAGUNDA</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57116-2024</t>
        </is>
      </c>
      <c r="B1002" s="1" t="n">
        <v>45629.36513888889</v>
      </c>
      <c r="C1002" s="1" t="n">
        <v>45917</v>
      </c>
      <c r="D1002" t="inlineStr">
        <is>
          <t>JÄMTLANDS LÄN</t>
        </is>
      </c>
      <c r="E1002" t="inlineStr">
        <is>
          <t>RAGUNDA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38312-2024</t>
        </is>
      </c>
      <c r="B1003" s="1" t="n">
        <v>45545.64957175926</v>
      </c>
      <c r="C1003" s="1" t="n">
        <v>45917</v>
      </c>
      <c r="D1003" t="inlineStr">
        <is>
          <t>JÄMTLANDS LÄN</t>
        </is>
      </c>
      <c r="E1003" t="inlineStr">
        <is>
          <t>RAGUNDA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9262-2025</t>
        </is>
      </c>
      <c r="B1004" s="1" t="n">
        <v>45714.60649305556</v>
      </c>
      <c r="C1004" s="1" t="n">
        <v>45917</v>
      </c>
      <c r="D1004" t="inlineStr">
        <is>
          <t>JÄMTLANDS LÄN</t>
        </is>
      </c>
      <c r="E1004" t="inlineStr">
        <is>
          <t>RAGUNDA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16982-2024</t>
        </is>
      </c>
      <c r="B1005" s="1" t="n">
        <v>45412.02506944445</v>
      </c>
      <c r="C1005" s="1" t="n">
        <v>45917</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23253-2025</t>
        </is>
      </c>
      <c r="B1006" s="1" t="n">
        <v>45791.53238425926</v>
      </c>
      <c r="C1006" s="1" t="n">
        <v>45917</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18284-2025</t>
        </is>
      </c>
      <c r="B1007" s="1" t="n">
        <v>45762.39876157408</v>
      </c>
      <c r="C1007" s="1" t="n">
        <v>45917</v>
      </c>
      <c r="D1007" t="inlineStr">
        <is>
          <t>JÄMTLANDS LÄN</t>
        </is>
      </c>
      <c r="E1007" t="inlineStr">
        <is>
          <t>RAGUNDA</t>
        </is>
      </c>
      <c r="G1007" t="n">
        <v>0.2</v>
      </c>
      <c r="H1007" t="n">
        <v>0</v>
      </c>
      <c r="I1007" t="n">
        <v>0</v>
      </c>
      <c r="J1007" t="n">
        <v>0</v>
      </c>
      <c r="K1007" t="n">
        <v>0</v>
      </c>
      <c r="L1007" t="n">
        <v>0</v>
      </c>
      <c r="M1007" t="n">
        <v>0</v>
      </c>
      <c r="N1007" t="n">
        <v>0</v>
      </c>
      <c r="O1007" t="n">
        <v>0</v>
      </c>
      <c r="P1007" t="n">
        <v>0</v>
      </c>
      <c r="Q1007" t="n">
        <v>0</v>
      </c>
      <c r="R1007" s="2" t="inlineStr"/>
      <c r="U1007">
        <f>HYPERLINK("https://klasma.github.io/Logging_2303/knärot/A 18284-2025 karta knärot.png", "A 18284-2025")</f>
        <v/>
      </c>
      <c r="V1007">
        <f>HYPERLINK("https://klasma.github.io/Logging_2303/klagomål/A 18284-2025 FSC-klagomål.docx", "A 18284-2025")</f>
        <v/>
      </c>
      <c r="W1007">
        <f>HYPERLINK("https://klasma.github.io/Logging_2303/klagomålsmail/A 18284-2025 FSC-klagomål mail.docx", "A 18284-2025")</f>
        <v/>
      </c>
      <c r="X1007">
        <f>HYPERLINK("https://klasma.github.io/Logging_2303/tillsyn/A 18284-2025 tillsynsbegäran.docx", "A 18284-2025")</f>
        <v/>
      </c>
      <c r="Y1007">
        <f>HYPERLINK("https://klasma.github.io/Logging_2303/tillsynsmail/A 18284-2025 tillsynsbegäran mail.docx", "A 18284-2025")</f>
        <v/>
      </c>
    </row>
    <row r="1008" ht="15" customHeight="1">
      <c r="A1008" t="inlineStr">
        <is>
          <t>A 58564-2024</t>
        </is>
      </c>
      <c r="B1008" s="1" t="n">
        <v>45635.47243055556</v>
      </c>
      <c r="C1008" s="1" t="n">
        <v>45917</v>
      </c>
      <c r="D1008" t="inlineStr">
        <is>
          <t>JÄMTLANDS LÄN</t>
        </is>
      </c>
      <c r="E1008" t="inlineStr">
        <is>
          <t>RAGUNDA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53144-2024</t>
        </is>
      </c>
      <c r="B1009" s="1" t="n">
        <v>45611</v>
      </c>
      <c r="C1009" s="1" t="n">
        <v>45917</v>
      </c>
      <c r="D1009" t="inlineStr">
        <is>
          <t>JÄMTLANDS LÄN</t>
        </is>
      </c>
      <c r="E1009" t="inlineStr">
        <is>
          <t>RAGUNDA</t>
        </is>
      </c>
      <c r="F1009" t="inlineStr">
        <is>
          <t>SCA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5806-2025</t>
        </is>
      </c>
      <c r="B1010" s="1" t="n">
        <v>45694.69826388889</v>
      </c>
      <c r="C1010" s="1" t="n">
        <v>45917</v>
      </c>
      <c r="D1010" t="inlineStr">
        <is>
          <t>JÄMTLANDS LÄN</t>
        </is>
      </c>
      <c r="E1010" t="inlineStr">
        <is>
          <t>RAGUNDA</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20773-2024</t>
        </is>
      </c>
      <c r="B1011" s="1" t="n">
        <v>45436.94636574074</v>
      </c>
      <c r="C1011" s="1" t="n">
        <v>45917</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19263-2025</t>
        </is>
      </c>
      <c r="B1012" s="1" t="n">
        <v>45769.51075231482</v>
      </c>
      <c r="C1012" s="1" t="n">
        <v>45917</v>
      </c>
      <c r="D1012" t="inlineStr">
        <is>
          <t>JÄMTLANDS LÄN</t>
        </is>
      </c>
      <c r="E1012" t="inlineStr">
        <is>
          <t>RAGUNDA</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23840-2025</t>
        </is>
      </c>
      <c r="B1013" s="1" t="n">
        <v>45793</v>
      </c>
      <c r="C1013" s="1" t="n">
        <v>45917</v>
      </c>
      <c r="D1013" t="inlineStr">
        <is>
          <t>JÄMTLANDS LÄN</t>
        </is>
      </c>
      <c r="E1013" t="inlineStr">
        <is>
          <t>RAGUNDA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24158-2025</t>
        </is>
      </c>
      <c r="B1014" s="1" t="n">
        <v>45796</v>
      </c>
      <c r="C1014" s="1" t="n">
        <v>45917</v>
      </c>
      <c r="D1014" t="inlineStr">
        <is>
          <t>JÄMTLANDS LÄN</t>
        </is>
      </c>
      <c r="E1014" t="inlineStr">
        <is>
          <t>RAGUNDA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24161-2025</t>
        </is>
      </c>
      <c r="B1015" s="1" t="n">
        <v>45796</v>
      </c>
      <c r="C1015" s="1" t="n">
        <v>45917</v>
      </c>
      <c r="D1015" t="inlineStr">
        <is>
          <t>JÄMTLANDS LÄN</t>
        </is>
      </c>
      <c r="E1015" t="inlineStr">
        <is>
          <t>RAGUNDA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23841-2025</t>
        </is>
      </c>
      <c r="B1016" s="1" t="n">
        <v>45793.61523148148</v>
      </c>
      <c r="C1016" s="1" t="n">
        <v>45917</v>
      </c>
      <c r="D1016" t="inlineStr">
        <is>
          <t>JÄMTLANDS LÄN</t>
        </is>
      </c>
      <c r="E1016" t="inlineStr">
        <is>
          <t>RAGUNDA</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14076-2023</t>
        </is>
      </c>
      <c r="B1017" s="1" t="n">
        <v>45009.0897337963</v>
      </c>
      <c r="C1017" s="1" t="n">
        <v>45917</v>
      </c>
      <c r="D1017" t="inlineStr">
        <is>
          <t>JÄMTLANDS LÄN</t>
        </is>
      </c>
      <c r="E1017" t="inlineStr">
        <is>
          <t>RAGUNDA</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45335-2023</t>
        </is>
      </c>
      <c r="B1018" s="1" t="n">
        <v>45191</v>
      </c>
      <c r="C1018" s="1" t="n">
        <v>45917</v>
      </c>
      <c r="D1018" t="inlineStr">
        <is>
          <t>JÄMTLANDS LÄN</t>
        </is>
      </c>
      <c r="E1018" t="inlineStr">
        <is>
          <t>RAGUNDA</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24159-2025</t>
        </is>
      </c>
      <c r="B1019" s="1" t="n">
        <v>45796</v>
      </c>
      <c r="C1019" s="1" t="n">
        <v>45917</v>
      </c>
      <c r="D1019" t="inlineStr">
        <is>
          <t>JÄMTLANDS LÄN</t>
        </is>
      </c>
      <c r="E1019" t="inlineStr">
        <is>
          <t>RAGUNDA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21524-2024</t>
        </is>
      </c>
      <c r="B1020" s="1" t="n">
        <v>45441</v>
      </c>
      <c r="C1020" s="1" t="n">
        <v>45917</v>
      </c>
      <c r="D1020" t="inlineStr">
        <is>
          <t>JÄMTLANDS LÄN</t>
        </is>
      </c>
      <c r="E1020" t="inlineStr">
        <is>
          <t>RAGUNDA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10972-2022</t>
        </is>
      </c>
      <c r="B1021" s="1" t="n">
        <v>44628</v>
      </c>
      <c r="C1021" s="1" t="n">
        <v>45917</v>
      </c>
      <c r="D1021" t="inlineStr">
        <is>
          <t>JÄMTLANDS LÄN</t>
        </is>
      </c>
      <c r="E1021" t="inlineStr">
        <is>
          <t>RAGUNDA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43102-2023</t>
        </is>
      </c>
      <c r="B1022" s="1" t="n">
        <v>45182</v>
      </c>
      <c r="C1022" s="1" t="n">
        <v>45917</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62407-2023</t>
        </is>
      </c>
      <c r="B1023" s="1" t="n">
        <v>45266</v>
      </c>
      <c r="C1023" s="1" t="n">
        <v>45917</v>
      </c>
      <c r="D1023" t="inlineStr">
        <is>
          <t>JÄMTLANDS LÄN</t>
        </is>
      </c>
      <c r="E1023" t="inlineStr">
        <is>
          <t>RAGUNDA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38191-2024</t>
        </is>
      </c>
      <c r="B1024" s="1" t="n">
        <v>45545.49078703704</v>
      </c>
      <c r="C1024" s="1" t="n">
        <v>45917</v>
      </c>
      <c r="D1024" t="inlineStr">
        <is>
          <t>JÄMTLANDS LÄN</t>
        </is>
      </c>
      <c r="E1024" t="inlineStr">
        <is>
          <t>RAGUNDA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6694-2024</t>
        </is>
      </c>
      <c r="B1025" s="1" t="n">
        <v>45341.95381944445</v>
      </c>
      <c r="C1025" s="1" t="n">
        <v>45917</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21083-2024</t>
        </is>
      </c>
      <c r="B1026" s="1" t="n">
        <v>45439.92752314815</v>
      </c>
      <c r="C1026" s="1" t="n">
        <v>45917</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24391-2025</t>
        </is>
      </c>
      <c r="B1027" s="1" t="n">
        <v>45797.63627314815</v>
      </c>
      <c r="C1027" s="1" t="n">
        <v>45917</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25376-2025</t>
        </is>
      </c>
      <c r="B1028" s="1" t="n">
        <v>45800.63619212963</v>
      </c>
      <c r="C1028" s="1" t="n">
        <v>45917</v>
      </c>
      <c r="D1028" t="inlineStr">
        <is>
          <t>JÄMTLANDS LÄN</t>
        </is>
      </c>
      <c r="E1028" t="inlineStr">
        <is>
          <t>RAGUNDA</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59759-2024</t>
        </is>
      </c>
      <c r="B1029" s="1" t="n">
        <v>45639.55240740741</v>
      </c>
      <c r="C1029" s="1" t="n">
        <v>45917</v>
      </c>
      <c r="D1029" t="inlineStr">
        <is>
          <t>JÄMTLANDS LÄN</t>
        </is>
      </c>
      <c r="E1029" t="inlineStr">
        <is>
          <t>RAGUNDA</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12204-2025</t>
        </is>
      </c>
      <c r="B1030" s="1" t="n">
        <v>45729.51074074074</v>
      </c>
      <c r="C1030" s="1" t="n">
        <v>45917</v>
      </c>
      <c r="D1030" t="inlineStr">
        <is>
          <t>JÄMTLANDS LÄN</t>
        </is>
      </c>
      <c r="E1030" t="inlineStr">
        <is>
          <t>RAGUNDA</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24732-2025</t>
        </is>
      </c>
      <c r="B1031" s="1" t="n">
        <v>45799.34421296296</v>
      </c>
      <c r="C1031" s="1" t="n">
        <v>45917</v>
      </c>
      <c r="D1031" t="inlineStr">
        <is>
          <t>JÄMTLANDS LÄN</t>
        </is>
      </c>
      <c r="E1031" t="inlineStr">
        <is>
          <t>RAGUNDA</t>
        </is>
      </c>
      <c r="F1031" t="inlineStr">
        <is>
          <t>SCA</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11245-2025</t>
        </is>
      </c>
      <c r="B1032" s="1" t="n">
        <v>45726.38575231482</v>
      </c>
      <c r="C1032" s="1" t="n">
        <v>45917</v>
      </c>
      <c r="D1032" t="inlineStr">
        <is>
          <t>JÄMTLANDS LÄN</t>
        </is>
      </c>
      <c r="E1032" t="inlineStr">
        <is>
          <t>RAGUNDA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13905-2025</t>
        </is>
      </c>
      <c r="B1033" s="1" t="n">
        <v>45737.63574074074</v>
      </c>
      <c r="C1033" s="1" t="n">
        <v>45917</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25350-2025</t>
        </is>
      </c>
      <c r="B1034" s="1" t="n">
        <v>45800</v>
      </c>
      <c r="C1034" s="1" t="n">
        <v>45917</v>
      </c>
      <c r="D1034" t="inlineStr">
        <is>
          <t>JÄMTLANDS LÄN</t>
        </is>
      </c>
      <c r="E1034" t="inlineStr">
        <is>
          <t>RAGUNDA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25152-2025</t>
        </is>
      </c>
      <c r="B1035" s="1" t="n">
        <v>45800.42743055556</v>
      </c>
      <c r="C1035" s="1" t="n">
        <v>45917</v>
      </c>
      <c r="D1035" t="inlineStr">
        <is>
          <t>JÄMTLANDS LÄN</t>
        </is>
      </c>
      <c r="E1035" t="inlineStr">
        <is>
          <t>RAGUNDA</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25175-2025</t>
        </is>
      </c>
      <c r="B1036" s="1" t="n">
        <v>45800.44822916666</v>
      </c>
      <c r="C1036" s="1" t="n">
        <v>45917</v>
      </c>
      <c r="D1036" t="inlineStr">
        <is>
          <t>JÄMTLANDS LÄN</t>
        </is>
      </c>
      <c r="E1036" t="inlineStr">
        <is>
          <t>RAGUNDA</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25177-2025</t>
        </is>
      </c>
      <c r="B1037" s="1" t="n">
        <v>45800.44862268519</v>
      </c>
      <c r="C1037" s="1" t="n">
        <v>45917</v>
      </c>
      <c r="D1037" t="inlineStr">
        <is>
          <t>JÄMTLANDS LÄN</t>
        </is>
      </c>
      <c r="E1037" t="inlineStr">
        <is>
          <t>RAGUNDA</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4125-2024</t>
        </is>
      </c>
      <c r="B1038" s="1" t="n">
        <v>45323</v>
      </c>
      <c r="C1038" s="1" t="n">
        <v>45917</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44980-2023</t>
        </is>
      </c>
      <c r="B1039" s="1" t="n">
        <v>45190</v>
      </c>
      <c r="C1039" s="1" t="n">
        <v>45917</v>
      </c>
      <c r="D1039" t="inlineStr">
        <is>
          <t>JÄMTLANDS LÄN</t>
        </is>
      </c>
      <c r="E1039" t="inlineStr">
        <is>
          <t>RAGUNDA</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25631-2025</t>
        </is>
      </c>
      <c r="B1040" s="1" t="n">
        <v>45803.5946875</v>
      </c>
      <c r="C1040" s="1" t="n">
        <v>45917</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25659-2025</t>
        </is>
      </c>
      <c r="B1041" s="1" t="n">
        <v>45803.61552083334</v>
      </c>
      <c r="C1041" s="1" t="n">
        <v>45917</v>
      </c>
      <c r="D1041" t="inlineStr">
        <is>
          <t>JÄMTLANDS LÄN</t>
        </is>
      </c>
      <c r="E1041" t="inlineStr">
        <is>
          <t>RAGUNDA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25661-2025</t>
        </is>
      </c>
      <c r="B1042" s="1" t="n">
        <v>45803.61557870371</v>
      </c>
      <c r="C1042" s="1" t="n">
        <v>45917</v>
      </c>
      <c r="D1042" t="inlineStr">
        <is>
          <t>JÄMTLANDS LÄN</t>
        </is>
      </c>
      <c r="E1042" t="inlineStr">
        <is>
          <t>RAGUNDA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25944-2025</t>
        </is>
      </c>
      <c r="B1043" s="1" t="n">
        <v>45804.59487268519</v>
      </c>
      <c r="C1043" s="1" t="n">
        <v>45917</v>
      </c>
      <c r="D1043" t="inlineStr">
        <is>
          <t>JÄMTLANDS LÄN</t>
        </is>
      </c>
      <c r="E1043" t="inlineStr">
        <is>
          <t>RAGUNDA</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25814-2025</t>
        </is>
      </c>
      <c r="B1044" s="1" t="n">
        <v>45804.42642361111</v>
      </c>
      <c r="C1044" s="1" t="n">
        <v>45917</v>
      </c>
      <c r="D1044" t="inlineStr">
        <is>
          <t>JÄMTLANDS LÄN</t>
        </is>
      </c>
      <c r="E1044" t="inlineStr">
        <is>
          <t>RAGUNDA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27777-2022</t>
        </is>
      </c>
      <c r="B1045" s="1" t="n">
        <v>44743</v>
      </c>
      <c r="C1045" s="1" t="n">
        <v>45917</v>
      </c>
      <c r="D1045" t="inlineStr">
        <is>
          <t>JÄMTLANDS LÄN</t>
        </is>
      </c>
      <c r="E1045" t="inlineStr">
        <is>
          <t>RAGUNDA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51245-2024</t>
        </is>
      </c>
      <c r="B1046" s="1" t="n">
        <v>45603.67850694444</v>
      </c>
      <c r="C1046" s="1" t="n">
        <v>45917</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61923-2024</t>
        </is>
      </c>
      <c r="B1047" s="1" t="n">
        <v>45653.44836805556</v>
      </c>
      <c r="C1047" s="1" t="n">
        <v>45917</v>
      </c>
      <c r="D1047" t="inlineStr">
        <is>
          <t>JÄMTLANDS LÄN</t>
        </is>
      </c>
      <c r="E1047" t="inlineStr">
        <is>
          <t>RAGUNDA</t>
        </is>
      </c>
      <c r="F1047" t="inlineStr">
        <is>
          <t>SCA</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50503-2024</t>
        </is>
      </c>
      <c r="B1048" s="1" t="n">
        <v>45601.5315625</v>
      </c>
      <c r="C1048" s="1" t="n">
        <v>45917</v>
      </c>
      <c r="D1048" t="inlineStr">
        <is>
          <t>JÄMTLANDS LÄN</t>
        </is>
      </c>
      <c r="E1048" t="inlineStr">
        <is>
          <t>RAGUNDA</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59556-2024</t>
        </is>
      </c>
      <c r="B1049" s="1" t="n">
        <v>45638.63600694444</v>
      </c>
      <c r="C1049" s="1" t="n">
        <v>45917</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13302-2022</t>
        </is>
      </c>
      <c r="B1050" s="1" t="n">
        <v>44644</v>
      </c>
      <c r="C1050" s="1" t="n">
        <v>45917</v>
      </c>
      <c r="D1050" t="inlineStr">
        <is>
          <t>JÄMTLANDS LÄN</t>
        </is>
      </c>
      <c r="E1050" t="inlineStr">
        <is>
          <t>RAGUNDA</t>
        </is>
      </c>
      <c r="F1050" t="inlineStr">
        <is>
          <t>SCA</t>
        </is>
      </c>
      <c r="G1050" t="n">
        <v>35.6</v>
      </c>
      <c r="H1050" t="n">
        <v>0</v>
      </c>
      <c r="I1050" t="n">
        <v>0</v>
      </c>
      <c r="J1050" t="n">
        <v>0</v>
      </c>
      <c r="K1050" t="n">
        <v>0</v>
      </c>
      <c r="L1050" t="n">
        <v>0</v>
      </c>
      <c r="M1050" t="n">
        <v>0</v>
      </c>
      <c r="N1050" t="n">
        <v>0</v>
      </c>
      <c r="O1050" t="n">
        <v>0</v>
      </c>
      <c r="P1050" t="n">
        <v>0</v>
      </c>
      <c r="Q1050" t="n">
        <v>0</v>
      </c>
      <c r="R1050" s="2" t="inlineStr"/>
    </row>
    <row r="1051" ht="15" customHeight="1">
      <c r="A1051" t="inlineStr">
        <is>
          <t>A 18225-2024</t>
        </is>
      </c>
      <c r="B1051" s="1" t="n">
        <v>45420</v>
      </c>
      <c r="C1051" s="1" t="n">
        <v>45917</v>
      </c>
      <c r="D1051" t="inlineStr">
        <is>
          <t>JÄMTLANDS LÄN</t>
        </is>
      </c>
      <c r="E1051" t="inlineStr">
        <is>
          <t>RAGUNDA</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61598-2024</t>
        </is>
      </c>
      <c r="B1052" s="1" t="n">
        <v>45646.63605324074</v>
      </c>
      <c r="C1052" s="1" t="n">
        <v>45917</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7280-2024</t>
        </is>
      </c>
      <c r="B1053" s="1" t="n">
        <v>45344</v>
      </c>
      <c r="C1053" s="1" t="n">
        <v>45917</v>
      </c>
      <c r="D1053" t="inlineStr">
        <is>
          <t>JÄMTLANDS LÄN</t>
        </is>
      </c>
      <c r="E1053" t="inlineStr">
        <is>
          <t>RAGUNDA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21662-2023</t>
        </is>
      </c>
      <c r="B1054" s="1" t="n">
        <v>45063</v>
      </c>
      <c r="C1054" s="1" t="n">
        <v>45917</v>
      </c>
      <c r="D1054" t="inlineStr">
        <is>
          <t>JÄMTLANDS LÄN</t>
        </is>
      </c>
      <c r="E1054" t="inlineStr">
        <is>
          <t>RAGUNDA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61107-2024</t>
        </is>
      </c>
      <c r="B1055" s="1" t="n">
        <v>45645.55665509259</v>
      </c>
      <c r="C1055" s="1" t="n">
        <v>45917</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5313-2025</t>
        </is>
      </c>
      <c r="B1056" s="1" t="n">
        <v>45692.51069444444</v>
      </c>
      <c r="C1056" s="1" t="n">
        <v>45917</v>
      </c>
      <c r="D1056" t="inlineStr">
        <is>
          <t>JÄMTLANDS LÄN</t>
        </is>
      </c>
      <c r="E1056" t="inlineStr">
        <is>
          <t>RAGUNDA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5357-2025</t>
        </is>
      </c>
      <c r="B1057" s="1" t="n">
        <v>45692.57326388889</v>
      </c>
      <c r="C1057" s="1" t="n">
        <v>45917</v>
      </c>
      <c r="D1057" t="inlineStr">
        <is>
          <t>JÄMTLANDS LÄN</t>
        </is>
      </c>
      <c r="E1057" t="inlineStr">
        <is>
          <t>RAGUNDA</t>
        </is>
      </c>
      <c r="F1057" t="inlineStr">
        <is>
          <t>SCA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44494-2024</t>
        </is>
      </c>
      <c r="B1058" s="1" t="n">
        <v>45574.39081018518</v>
      </c>
      <c r="C1058" s="1" t="n">
        <v>45917</v>
      </c>
      <c r="D1058" t="inlineStr">
        <is>
          <t>JÄMTLANDS LÄN</t>
        </is>
      </c>
      <c r="E1058" t="inlineStr">
        <is>
          <t>RAGUNDA</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12983-2025</t>
        </is>
      </c>
      <c r="B1059" s="1" t="n">
        <v>45734.4633912037</v>
      </c>
      <c r="C1059" s="1" t="n">
        <v>45917</v>
      </c>
      <c r="D1059" t="inlineStr">
        <is>
          <t>JÄMTLANDS LÄN</t>
        </is>
      </c>
      <c r="E1059" t="inlineStr">
        <is>
          <t>RAGUNDA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39626-2024</t>
        </is>
      </c>
      <c r="B1060" s="1" t="n">
        <v>45552.44096064815</v>
      </c>
      <c r="C1060" s="1" t="n">
        <v>45917</v>
      </c>
      <c r="D1060" t="inlineStr">
        <is>
          <t>JÄMTLANDS LÄN</t>
        </is>
      </c>
      <c r="E1060" t="inlineStr">
        <is>
          <t>RAGUNDA</t>
        </is>
      </c>
      <c r="G1060" t="n">
        <v>23.5</v>
      </c>
      <c r="H1060" t="n">
        <v>0</v>
      </c>
      <c r="I1060" t="n">
        <v>0</v>
      </c>
      <c r="J1060" t="n">
        <v>0</v>
      </c>
      <c r="K1060" t="n">
        <v>0</v>
      </c>
      <c r="L1060" t="n">
        <v>0</v>
      </c>
      <c r="M1060" t="n">
        <v>0</v>
      </c>
      <c r="N1060" t="n">
        <v>0</v>
      </c>
      <c r="O1060" t="n">
        <v>0</v>
      </c>
      <c r="P1060" t="n">
        <v>0</v>
      </c>
      <c r="Q1060" t="n">
        <v>0</v>
      </c>
      <c r="R1060" s="2" t="inlineStr"/>
    </row>
    <row r="1061" ht="15" customHeight="1">
      <c r="A1061" t="inlineStr">
        <is>
          <t>A 45631-2024</t>
        </is>
      </c>
      <c r="B1061" s="1" t="n">
        <v>45579.47052083333</v>
      </c>
      <c r="C1061" s="1" t="n">
        <v>45917</v>
      </c>
      <c r="D1061" t="inlineStr">
        <is>
          <t>JÄMTLANDS LÄN</t>
        </is>
      </c>
      <c r="E1061" t="inlineStr">
        <is>
          <t>RAGUNDA</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62135-2024</t>
        </is>
      </c>
      <c r="B1062" s="1" t="n">
        <v>45656.64223379629</v>
      </c>
      <c r="C1062" s="1" t="n">
        <v>45917</v>
      </c>
      <c r="D1062" t="inlineStr">
        <is>
          <t>JÄMTLANDS LÄN</t>
        </is>
      </c>
      <c r="E1062" t="inlineStr">
        <is>
          <t>RAGUNDA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8802-2022</t>
        </is>
      </c>
      <c r="B1063" s="1" t="n">
        <v>44614</v>
      </c>
      <c r="C1063" s="1" t="n">
        <v>45917</v>
      </c>
      <c r="D1063" t="inlineStr">
        <is>
          <t>JÄMTLANDS LÄN</t>
        </is>
      </c>
      <c r="E1063" t="inlineStr">
        <is>
          <t>RAGUNDA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9823-2025</t>
        </is>
      </c>
      <c r="B1064" s="1" t="n">
        <v>45716</v>
      </c>
      <c r="C1064" s="1" t="n">
        <v>45917</v>
      </c>
      <c r="D1064" t="inlineStr">
        <is>
          <t>JÄMTLANDS LÄN</t>
        </is>
      </c>
      <c r="E1064" t="inlineStr">
        <is>
          <t>RAGUNDA</t>
        </is>
      </c>
      <c r="F1064" t="inlineStr">
        <is>
          <t>SCA</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9847-2025</t>
        </is>
      </c>
      <c r="B1065" s="1" t="n">
        <v>45716.61487268518</v>
      </c>
      <c r="C1065" s="1" t="n">
        <v>45917</v>
      </c>
      <c r="D1065" t="inlineStr">
        <is>
          <t>JÄMTLANDS LÄN</t>
        </is>
      </c>
      <c r="E1065" t="inlineStr">
        <is>
          <t>RAGUNDA</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20987-2023</t>
        </is>
      </c>
      <c r="B1066" s="1" t="n">
        <v>45056</v>
      </c>
      <c r="C1066" s="1" t="n">
        <v>45917</v>
      </c>
      <c r="D1066" t="inlineStr">
        <is>
          <t>JÄMTLANDS LÄN</t>
        </is>
      </c>
      <c r="E1066" t="inlineStr">
        <is>
          <t>RAGUNDA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20994-2023</t>
        </is>
      </c>
      <c r="B1067" s="1" t="n">
        <v>45056</v>
      </c>
      <c r="C1067" s="1" t="n">
        <v>45917</v>
      </c>
      <c r="D1067" t="inlineStr">
        <is>
          <t>JÄMTLANDS LÄN</t>
        </is>
      </c>
      <c r="E1067" t="inlineStr">
        <is>
          <t>RAGUNDA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6490-2022</t>
        </is>
      </c>
      <c r="B1068" s="1" t="n">
        <v>44601</v>
      </c>
      <c r="C1068" s="1" t="n">
        <v>45917</v>
      </c>
      <c r="D1068" t="inlineStr">
        <is>
          <t>JÄMTLANDS LÄN</t>
        </is>
      </c>
      <c r="E1068" t="inlineStr">
        <is>
          <t>RAGUNDA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23287-2024</t>
        </is>
      </c>
      <c r="B1069" s="1" t="n">
        <v>45453.42041666667</v>
      </c>
      <c r="C1069" s="1" t="n">
        <v>45917</v>
      </c>
      <c r="D1069" t="inlineStr">
        <is>
          <t>JÄMTLANDS LÄN</t>
        </is>
      </c>
      <c r="E1069" t="inlineStr">
        <is>
          <t>RAGUNDA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53740-2024</t>
        </is>
      </c>
      <c r="B1070" s="1" t="n">
        <v>45615.47091435185</v>
      </c>
      <c r="C1070" s="1" t="n">
        <v>45917</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1325-2025</t>
        </is>
      </c>
      <c r="B1071" s="1" t="n">
        <v>45667.57342592593</v>
      </c>
      <c r="C1071" s="1" t="n">
        <v>45917</v>
      </c>
      <c r="D1071" t="inlineStr">
        <is>
          <t>JÄMTLANDS LÄN</t>
        </is>
      </c>
      <c r="E1071" t="inlineStr">
        <is>
          <t>RAGUNDA</t>
        </is>
      </c>
      <c r="F1071" t="inlineStr">
        <is>
          <t>SCA</t>
        </is>
      </c>
      <c r="G1071" t="n">
        <v>20.2</v>
      </c>
      <c r="H1071" t="n">
        <v>0</v>
      </c>
      <c r="I1071" t="n">
        <v>0</v>
      </c>
      <c r="J1071" t="n">
        <v>0</v>
      </c>
      <c r="K1071" t="n">
        <v>0</v>
      </c>
      <c r="L1071" t="n">
        <v>0</v>
      </c>
      <c r="M1071" t="n">
        <v>0</v>
      </c>
      <c r="N1071" t="n">
        <v>0</v>
      </c>
      <c r="O1071" t="n">
        <v>0</v>
      </c>
      <c r="P1071" t="n">
        <v>0</v>
      </c>
      <c r="Q1071" t="n">
        <v>0</v>
      </c>
      <c r="R1071" s="2" t="inlineStr"/>
    </row>
    <row r="1072" ht="15" customHeight="1">
      <c r="A1072" t="inlineStr">
        <is>
          <t>A 1326-2025</t>
        </is>
      </c>
      <c r="B1072" s="1" t="n">
        <v>45667.57347222222</v>
      </c>
      <c r="C1072" s="1" t="n">
        <v>45917</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14696-2022</t>
        </is>
      </c>
      <c r="B1073" s="1" t="n">
        <v>44655</v>
      </c>
      <c r="C1073" s="1" t="n">
        <v>45917</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45952-2023</t>
        </is>
      </c>
      <c r="B1074" s="1" t="n">
        <v>45195</v>
      </c>
      <c r="C1074" s="1" t="n">
        <v>45917</v>
      </c>
      <c r="D1074" t="inlineStr">
        <is>
          <t>JÄMTLANDS LÄN</t>
        </is>
      </c>
      <c r="E1074" t="inlineStr">
        <is>
          <t>RAGUNDA</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45954-2023</t>
        </is>
      </c>
      <c r="B1075" s="1" t="n">
        <v>45195.94679398148</v>
      </c>
      <c r="C1075" s="1" t="n">
        <v>45917</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45955-2023</t>
        </is>
      </c>
      <c r="B1076" s="1" t="n">
        <v>45195.94685185186</v>
      </c>
      <c r="C1076" s="1" t="n">
        <v>45917</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8787-2022</t>
        </is>
      </c>
      <c r="B1077" s="1" t="n">
        <v>44614</v>
      </c>
      <c r="C1077" s="1" t="n">
        <v>45917</v>
      </c>
      <c r="D1077" t="inlineStr">
        <is>
          <t>JÄMTLANDS LÄN</t>
        </is>
      </c>
      <c r="E1077" t="inlineStr">
        <is>
          <t>RAGUNDA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5308-2025</t>
        </is>
      </c>
      <c r="B1078" s="1" t="n">
        <v>45692.49008101852</v>
      </c>
      <c r="C1078" s="1" t="n">
        <v>45917</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45253-2023</t>
        </is>
      </c>
      <c r="B1079" s="1" t="n">
        <v>45187</v>
      </c>
      <c r="C1079" s="1" t="n">
        <v>45917</v>
      </c>
      <c r="D1079" t="inlineStr">
        <is>
          <t>JÄMTLANDS LÄN</t>
        </is>
      </c>
      <c r="E1079" t="inlineStr">
        <is>
          <t>RAGUNDA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3104-2025</t>
        </is>
      </c>
      <c r="B1080" s="1" t="n">
        <v>45678.67761574074</v>
      </c>
      <c r="C1080" s="1" t="n">
        <v>45917</v>
      </c>
      <c r="D1080" t="inlineStr">
        <is>
          <t>JÄMTLANDS LÄN</t>
        </is>
      </c>
      <c r="E1080" t="inlineStr">
        <is>
          <t>RAGUNDA</t>
        </is>
      </c>
      <c r="F1080" t="inlineStr">
        <is>
          <t>SCA</t>
        </is>
      </c>
      <c r="G1080" t="n">
        <v>46.2</v>
      </c>
      <c r="H1080" t="n">
        <v>0</v>
      </c>
      <c r="I1080" t="n">
        <v>0</v>
      </c>
      <c r="J1080" t="n">
        <v>0</v>
      </c>
      <c r="K1080" t="n">
        <v>0</v>
      </c>
      <c r="L1080" t="n">
        <v>0</v>
      </c>
      <c r="M1080" t="n">
        <v>0</v>
      </c>
      <c r="N1080" t="n">
        <v>0</v>
      </c>
      <c r="O1080" t="n">
        <v>0</v>
      </c>
      <c r="P1080" t="n">
        <v>0</v>
      </c>
      <c r="Q1080" t="n">
        <v>0</v>
      </c>
      <c r="R1080" s="2" t="inlineStr"/>
    </row>
    <row r="1081" ht="15" customHeight="1">
      <c r="A1081" t="inlineStr">
        <is>
          <t>A 36046-2023</t>
        </is>
      </c>
      <c r="B1081" s="1" t="n">
        <v>45148</v>
      </c>
      <c r="C1081" s="1" t="n">
        <v>45917</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18193-2022</t>
        </is>
      </c>
      <c r="B1082" s="1" t="n">
        <v>44684.94032407407</v>
      </c>
      <c r="C1082" s="1" t="n">
        <v>45917</v>
      </c>
      <c r="D1082" t="inlineStr">
        <is>
          <t>JÄMTLANDS LÄN</t>
        </is>
      </c>
      <c r="E1082" t="inlineStr">
        <is>
          <t>RAGUNDA</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34323-2023</t>
        </is>
      </c>
      <c r="B1083" s="1" t="n">
        <v>45138.94925925926</v>
      </c>
      <c r="C1083" s="1" t="n">
        <v>45917</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58843-2024</t>
        </is>
      </c>
      <c r="B1084" s="1" t="n">
        <v>45636.38599537037</v>
      </c>
      <c r="C1084" s="1" t="n">
        <v>45917</v>
      </c>
      <c r="D1084" t="inlineStr">
        <is>
          <t>JÄMTLANDS LÄN</t>
        </is>
      </c>
      <c r="E1084" t="inlineStr">
        <is>
          <t>RAGUNDA</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45953-2023</t>
        </is>
      </c>
      <c r="B1085" s="1" t="n">
        <v>45195.94672453704</v>
      </c>
      <c r="C1085" s="1" t="n">
        <v>45917</v>
      </c>
      <c r="D1085" t="inlineStr">
        <is>
          <t>JÄMTLANDS LÄN</t>
        </is>
      </c>
      <c r="E1085" t="inlineStr">
        <is>
          <t>RAGUNDA</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30824-2023</t>
        </is>
      </c>
      <c r="B1086" s="1" t="n">
        <v>45112.94303240741</v>
      </c>
      <c r="C1086" s="1" t="n">
        <v>45917</v>
      </c>
      <c r="D1086" t="inlineStr">
        <is>
          <t>JÄMTLANDS LÄN</t>
        </is>
      </c>
      <c r="E1086" t="inlineStr">
        <is>
          <t>RAGUNDA</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30825-2023</t>
        </is>
      </c>
      <c r="B1087" s="1" t="n">
        <v>45112.94310185185</v>
      </c>
      <c r="C1087" s="1" t="n">
        <v>45917</v>
      </c>
      <c r="D1087" t="inlineStr">
        <is>
          <t>JÄMTLANDS LÄN</t>
        </is>
      </c>
      <c r="E1087" t="inlineStr">
        <is>
          <t>RAGUNDA</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31506-2024</t>
        </is>
      </c>
      <c r="B1088" s="1" t="n">
        <v>45505</v>
      </c>
      <c r="C1088" s="1" t="n">
        <v>45917</v>
      </c>
      <c r="D1088" t="inlineStr">
        <is>
          <t>JÄMTLANDS LÄN</t>
        </is>
      </c>
      <c r="E1088" t="inlineStr">
        <is>
          <t>RAGUNDA</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55222-2024</t>
        </is>
      </c>
      <c r="B1089" s="1" t="n">
        <v>45621.57395833333</v>
      </c>
      <c r="C1089" s="1" t="n">
        <v>45917</v>
      </c>
      <c r="D1089" t="inlineStr">
        <is>
          <t>JÄMTLANDS LÄN</t>
        </is>
      </c>
      <c r="E1089" t="inlineStr">
        <is>
          <t>RAGUNDA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44755-2024</t>
        </is>
      </c>
      <c r="B1090" s="1" t="n">
        <v>45574.61184027778</v>
      </c>
      <c r="C1090" s="1" t="n">
        <v>45917</v>
      </c>
      <c r="D1090" t="inlineStr">
        <is>
          <t>JÄMTLANDS LÄN</t>
        </is>
      </c>
      <c r="E1090" t="inlineStr">
        <is>
          <t>RAGUNDA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44766-2024</t>
        </is>
      </c>
      <c r="B1091" s="1" t="n">
        <v>45574.62297453704</v>
      </c>
      <c r="C1091" s="1" t="n">
        <v>45917</v>
      </c>
      <c r="D1091" t="inlineStr">
        <is>
          <t>JÄMTLANDS LÄN</t>
        </is>
      </c>
      <c r="E1091" t="inlineStr">
        <is>
          <t>RAGUNDA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44778-2024</t>
        </is>
      </c>
      <c r="B1092" s="1" t="n">
        <v>45574.63355324074</v>
      </c>
      <c r="C1092" s="1" t="n">
        <v>45917</v>
      </c>
      <c r="D1092" t="inlineStr">
        <is>
          <t>JÄMTLANDS LÄN</t>
        </is>
      </c>
      <c r="E1092" t="inlineStr">
        <is>
          <t>RAGUNDA</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8795-2022</t>
        </is>
      </c>
      <c r="B1093" s="1" t="n">
        <v>44614</v>
      </c>
      <c r="C1093" s="1" t="n">
        <v>45917</v>
      </c>
      <c r="D1093" t="inlineStr">
        <is>
          <t>JÄMTLANDS LÄN</t>
        </is>
      </c>
      <c r="E1093" t="inlineStr">
        <is>
          <t>RAGUNDA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14905-2022</t>
        </is>
      </c>
      <c r="B1094" s="1" t="n">
        <v>44656.94708333333</v>
      </c>
      <c r="C1094" s="1" t="n">
        <v>45917</v>
      </c>
      <c r="D1094" t="inlineStr">
        <is>
          <t>JÄMTLANDS LÄN</t>
        </is>
      </c>
      <c r="E1094" t="inlineStr">
        <is>
          <t>RAGUNDA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6257-2025</t>
        </is>
      </c>
      <c r="B1095" s="1" t="n">
        <v>45698.59409722222</v>
      </c>
      <c r="C1095" s="1" t="n">
        <v>45917</v>
      </c>
      <c r="D1095" t="inlineStr">
        <is>
          <t>JÄMTLANDS LÄN</t>
        </is>
      </c>
      <c r="E1095" t="inlineStr">
        <is>
          <t>RAGUNDA</t>
        </is>
      </c>
      <c r="F1095" t="inlineStr">
        <is>
          <t>SCA</t>
        </is>
      </c>
      <c r="G1095" t="n">
        <v>7</v>
      </c>
      <c r="H1095" t="n">
        <v>0</v>
      </c>
      <c r="I1095" t="n">
        <v>0</v>
      </c>
      <c r="J1095" t="n">
        <v>0</v>
      </c>
      <c r="K1095" t="n">
        <v>0</v>
      </c>
      <c r="L1095" t="n">
        <v>0</v>
      </c>
      <c r="M1095" t="n">
        <v>0</v>
      </c>
      <c r="N1095" t="n">
        <v>0</v>
      </c>
      <c r="O1095" t="n">
        <v>0</v>
      </c>
      <c r="P1095" t="n">
        <v>0</v>
      </c>
      <c r="Q1095" t="n">
        <v>0</v>
      </c>
      <c r="R1095" s="2" t="inlineStr"/>
    </row>
    <row r="1096">
      <c r="A1096" t="inlineStr">
        <is>
          <t>A 42508-2023</t>
        </is>
      </c>
      <c r="B1096" s="1" t="n">
        <v>45180.95907407408</v>
      </c>
      <c r="C1096" s="1" t="n">
        <v>45917</v>
      </c>
      <c r="D1096" t="inlineStr">
        <is>
          <t>JÄMTLANDS LÄN</t>
        </is>
      </c>
      <c r="E1096" t="inlineStr">
        <is>
          <t>RAGUNDA</t>
        </is>
      </c>
      <c r="F1096" t="inlineStr">
        <is>
          <t>SCA</t>
        </is>
      </c>
      <c r="G1096" t="n">
        <v>6.1</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2025-09-17T08:59:29Z</dcterms:created>
  <dcterms:modified xmlns:dcterms="http://purl.org/dc/terms/" xmlns:xsi="http://www.w3.org/2001/XMLSchema-instance" xsi:type="dcterms:W3CDTF">2025-09-17T08:59:29Z</dcterms:modified>
</cp:coreProperties>
</file>