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45506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45506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45506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45506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45506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45506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45506</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45506</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45506</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45506</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45506</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45506</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45506</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45506</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45506</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45506</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45506</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45506</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45506</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45506</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45506</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45506</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45506</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45506</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45506</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45506</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45506</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45506</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45506</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45506</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45506</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45506</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45506</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45506</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45506</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45506</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56215-2020</t>
        </is>
      </c>
      <c r="B38" s="1" t="n">
        <v>44133</v>
      </c>
      <c r="C38" s="1" t="n">
        <v>45506</v>
      </c>
      <c r="D38" t="inlineStr">
        <is>
          <t>JÄMTLANDS LÄN</t>
        </is>
      </c>
      <c r="E38" t="inlineStr">
        <is>
          <t>RAGUNDA</t>
        </is>
      </c>
      <c r="F38" t="inlineStr">
        <is>
          <t>SCA</t>
        </is>
      </c>
      <c r="G38" t="n">
        <v>3.4</v>
      </c>
      <c r="H38" t="n">
        <v>2</v>
      </c>
      <c r="I38" t="n">
        <v>5</v>
      </c>
      <c r="J38" t="n">
        <v>2</v>
      </c>
      <c r="K38" t="n">
        <v>0</v>
      </c>
      <c r="L38" t="n">
        <v>0</v>
      </c>
      <c r="M38" t="n">
        <v>0</v>
      </c>
      <c r="N38" t="n">
        <v>0</v>
      </c>
      <c r="O38" t="n">
        <v>2</v>
      </c>
      <c r="P38" t="n">
        <v>0</v>
      </c>
      <c r="Q38" t="n">
        <v>8</v>
      </c>
      <c r="R38" s="2" t="inlineStr">
        <is>
          <t>Granticka
Lunglav
Guckusko
Kransrams
Svart trolldruva
Tibast
Vårärt
Blåsippa</t>
        </is>
      </c>
      <c r="S38">
        <f>HYPERLINK("https://klasma.github.io/Logging_2303/artfynd/A 56215-2020 artfynd.xlsx", "A 56215-2020")</f>
        <v/>
      </c>
      <c r="T38">
        <f>HYPERLINK("https://klasma.github.io/Logging_2303/kartor/A 56215-2020 karta.png", "A 56215-2020")</f>
        <v/>
      </c>
      <c r="V38">
        <f>HYPERLINK("https://klasma.github.io/Logging_2303/klagomål/A 56215-2020 FSC-klagomål.docx", "A 56215-2020")</f>
        <v/>
      </c>
      <c r="W38">
        <f>HYPERLINK("https://klasma.github.io/Logging_2303/klagomålsmail/A 56215-2020 FSC-klagomål mail.docx", "A 56215-2020")</f>
        <v/>
      </c>
      <c r="X38">
        <f>HYPERLINK("https://klasma.github.io/Logging_2303/tillsyn/A 56215-2020 tillsynsbegäran.docx", "A 56215-2020")</f>
        <v/>
      </c>
      <c r="Y38">
        <f>HYPERLINK("https://klasma.github.io/Logging_2303/tillsynsmail/A 56215-2020 tillsynsbegäran mail.docx", "A 56215-2020")</f>
        <v/>
      </c>
    </row>
    <row r="39" ht="15" customHeight="1">
      <c r="A39" t="inlineStr">
        <is>
          <t>A 13307-2022</t>
        </is>
      </c>
      <c r="B39" s="1" t="n">
        <v>44644</v>
      </c>
      <c r="C39" s="1" t="n">
        <v>45506</v>
      </c>
      <c r="D39" t="inlineStr">
        <is>
          <t>JÄMTLANDS LÄN</t>
        </is>
      </c>
      <c r="E39" t="inlineStr">
        <is>
          <t>RAGUNDA</t>
        </is>
      </c>
      <c r="F39" t="inlineStr">
        <is>
          <t>SCA</t>
        </is>
      </c>
      <c r="G39" t="n">
        <v>6.8</v>
      </c>
      <c r="H39" t="n">
        <v>0</v>
      </c>
      <c r="I39" t="n">
        <v>3</v>
      </c>
      <c r="J39" t="n">
        <v>4</v>
      </c>
      <c r="K39" t="n">
        <v>1</v>
      </c>
      <c r="L39" t="n">
        <v>0</v>
      </c>
      <c r="M39" t="n">
        <v>0</v>
      </c>
      <c r="N39" t="n">
        <v>0</v>
      </c>
      <c r="O39" t="n">
        <v>5</v>
      </c>
      <c r="P39" t="n">
        <v>1</v>
      </c>
      <c r="Q39" t="n">
        <v>8</v>
      </c>
      <c r="R39" s="2" t="inlineStr">
        <is>
          <t>Rynkskinn
Doftskinn
Lunglav
Ullticka
Vedtrappmossa
Bårdlav
Skuggblåslav
Vedticka</t>
        </is>
      </c>
      <c r="S39">
        <f>HYPERLINK("https://klasma.github.io/Logging_2303/artfynd/A 13307-2022 artfynd.xlsx", "A 13307-2022")</f>
        <v/>
      </c>
      <c r="T39">
        <f>HYPERLINK("https://klasma.github.io/Logging_2303/kartor/A 13307-2022 karta.png", "A 13307-2022")</f>
        <v/>
      </c>
      <c r="V39">
        <f>HYPERLINK("https://klasma.github.io/Logging_2303/klagomål/A 13307-2022 FSC-klagomål.docx", "A 13307-2022")</f>
        <v/>
      </c>
      <c r="W39">
        <f>HYPERLINK("https://klasma.github.io/Logging_2303/klagomålsmail/A 13307-2022 FSC-klagomål mail.docx", "A 13307-2022")</f>
        <v/>
      </c>
      <c r="X39">
        <f>HYPERLINK("https://klasma.github.io/Logging_2303/tillsyn/A 13307-2022 tillsynsbegäran.docx", "A 13307-2022")</f>
        <v/>
      </c>
      <c r="Y39">
        <f>HYPERLINK("https://klasma.github.io/Logging_2303/tillsynsmail/A 13307-2022 tillsynsbegäran mail.docx", "A 13307-2022")</f>
        <v/>
      </c>
    </row>
    <row r="40" ht="15" customHeight="1">
      <c r="A40" t="inlineStr">
        <is>
          <t>A 58448-2022</t>
        </is>
      </c>
      <c r="B40" s="1" t="n">
        <v>44901</v>
      </c>
      <c r="C40" s="1" t="n">
        <v>45506</v>
      </c>
      <c r="D40" t="inlineStr">
        <is>
          <t>JÄMTLANDS LÄN</t>
        </is>
      </c>
      <c r="E40" t="inlineStr">
        <is>
          <t>RAGUNDA</t>
        </is>
      </c>
      <c r="F40" t="inlineStr">
        <is>
          <t>SCA</t>
        </is>
      </c>
      <c r="G40" t="n">
        <v>2.2</v>
      </c>
      <c r="H40" t="n">
        <v>2</v>
      </c>
      <c r="I40" t="n">
        <v>3</v>
      </c>
      <c r="J40" t="n">
        <v>3</v>
      </c>
      <c r="K40" t="n">
        <v>1</v>
      </c>
      <c r="L40" t="n">
        <v>0</v>
      </c>
      <c r="M40" t="n">
        <v>0</v>
      </c>
      <c r="N40" t="n">
        <v>0</v>
      </c>
      <c r="O40" t="n">
        <v>4</v>
      </c>
      <c r="P40" t="n">
        <v>1</v>
      </c>
      <c r="Q40" t="n">
        <v>8</v>
      </c>
      <c r="R40" s="2" t="inlineStr">
        <is>
          <t>Knärot
Garnlav
Lunglav
Ullticka
Luddlav
Skinnlav
Stuplav
Revlummer</t>
        </is>
      </c>
      <c r="S40">
        <f>HYPERLINK("https://klasma.github.io/Logging_2303/artfynd/A 58448-2022 artfynd.xlsx", "A 58448-2022")</f>
        <v/>
      </c>
      <c r="T40">
        <f>HYPERLINK("https://klasma.github.io/Logging_2303/kartor/A 58448-2022 karta.png", "A 58448-2022")</f>
        <v/>
      </c>
      <c r="U40">
        <f>HYPERLINK("https://klasma.github.io/Logging_2303/knärot/A 58448-2022 karta knärot.png", "A 58448-2022")</f>
        <v/>
      </c>
      <c r="V40">
        <f>HYPERLINK("https://klasma.github.io/Logging_2303/klagomål/A 58448-2022 FSC-klagomål.docx", "A 58448-2022")</f>
        <v/>
      </c>
      <c r="W40">
        <f>HYPERLINK("https://klasma.github.io/Logging_2303/klagomålsmail/A 58448-2022 FSC-klagomål mail.docx", "A 58448-2022")</f>
        <v/>
      </c>
      <c r="X40">
        <f>HYPERLINK("https://klasma.github.io/Logging_2303/tillsyn/A 58448-2022 tillsynsbegäran.docx", "A 58448-2022")</f>
        <v/>
      </c>
      <c r="Y40">
        <f>HYPERLINK("https://klasma.github.io/Logging_2303/tillsynsmail/A 58448-2022 tillsynsbegäran mail.docx", "A 58448-2022")</f>
        <v/>
      </c>
    </row>
    <row r="41" ht="15" customHeight="1">
      <c r="A41" t="inlineStr">
        <is>
          <t>A 10527-2023</t>
        </is>
      </c>
      <c r="B41" s="1" t="n">
        <v>44987</v>
      </c>
      <c r="C41" s="1" t="n">
        <v>45506</v>
      </c>
      <c r="D41" t="inlineStr">
        <is>
          <t>JÄMTLANDS LÄN</t>
        </is>
      </c>
      <c r="E41" t="inlineStr">
        <is>
          <t>RAGUNDA</t>
        </is>
      </c>
      <c r="G41" t="n">
        <v>4.6</v>
      </c>
      <c r="H41" t="n">
        <v>1</v>
      </c>
      <c r="I41" t="n">
        <v>2</v>
      </c>
      <c r="J41" t="n">
        <v>4</v>
      </c>
      <c r="K41" t="n">
        <v>2</v>
      </c>
      <c r="L41" t="n">
        <v>0</v>
      </c>
      <c r="M41" t="n">
        <v>0</v>
      </c>
      <c r="N41" t="n">
        <v>0</v>
      </c>
      <c r="O41" t="n">
        <v>6</v>
      </c>
      <c r="P41" t="n">
        <v>2</v>
      </c>
      <c r="Q41" t="n">
        <v>8</v>
      </c>
      <c r="R41" s="2" t="inlineStr">
        <is>
          <t>Rynkskinn
Sprickporing
Lunglav
Spillkråka
Stjärntagging
Ullticka
Kransrams
Vedticka</t>
        </is>
      </c>
      <c r="S41">
        <f>HYPERLINK("https://klasma.github.io/Logging_2303/artfynd/A 10527-2023 artfynd.xlsx", "A 10527-2023")</f>
        <v/>
      </c>
      <c r="T41">
        <f>HYPERLINK("https://klasma.github.io/Logging_2303/kartor/A 10527-2023 karta.png", "A 10527-2023")</f>
        <v/>
      </c>
      <c r="V41">
        <f>HYPERLINK("https://klasma.github.io/Logging_2303/klagomål/A 10527-2023 FSC-klagomål.docx", "A 10527-2023")</f>
        <v/>
      </c>
      <c r="W41">
        <f>HYPERLINK("https://klasma.github.io/Logging_2303/klagomålsmail/A 10527-2023 FSC-klagomål mail.docx", "A 10527-2023")</f>
        <v/>
      </c>
      <c r="X41">
        <f>HYPERLINK("https://klasma.github.io/Logging_2303/tillsyn/A 10527-2023 tillsynsbegäran.docx", "A 10527-2023")</f>
        <v/>
      </c>
      <c r="Y41">
        <f>HYPERLINK("https://klasma.github.io/Logging_2303/tillsynsmail/A 10527-2023 tillsynsbegäran mail.docx", "A 10527-2023")</f>
        <v/>
      </c>
      <c r="Z41">
        <f>HYPERLINK("https://klasma.github.io/Logging_2303/fåglar/A 10527-2023 prioriterade fågelarter.docx", "A 10527-2023")</f>
        <v/>
      </c>
    </row>
    <row r="42" ht="15" customHeight="1">
      <c r="A42" t="inlineStr">
        <is>
          <t>A 31197-2023</t>
        </is>
      </c>
      <c r="B42" s="1" t="n">
        <v>45113</v>
      </c>
      <c r="C42" s="1" t="n">
        <v>45506</v>
      </c>
      <c r="D42" t="inlineStr">
        <is>
          <t>JÄMTLANDS LÄN</t>
        </is>
      </c>
      <c r="E42" t="inlineStr">
        <is>
          <t>RAGUNDA</t>
        </is>
      </c>
      <c r="F42" t="inlineStr">
        <is>
          <t>SCA</t>
        </is>
      </c>
      <c r="G42" t="n">
        <v>4.6</v>
      </c>
      <c r="H42" t="n">
        <v>0</v>
      </c>
      <c r="I42" t="n">
        <v>2</v>
      </c>
      <c r="J42" t="n">
        <v>4</v>
      </c>
      <c r="K42" t="n">
        <v>2</v>
      </c>
      <c r="L42" t="n">
        <v>0</v>
      </c>
      <c r="M42" t="n">
        <v>0</v>
      </c>
      <c r="N42" t="n">
        <v>0</v>
      </c>
      <c r="O42" t="n">
        <v>6</v>
      </c>
      <c r="P42" t="n">
        <v>2</v>
      </c>
      <c r="Q42" t="n">
        <v>8</v>
      </c>
      <c r="R42" s="2" t="inlineStr">
        <is>
          <t>Gräddporing
Smalfotad taggsvamp
Dvärgbägarlav
Skrovlig taggsvamp
Vaddporing
Vedskivlav
Dropptaggsvamp
Skarp dropptaggsvamp</t>
        </is>
      </c>
      <c r="S42">
        <f>HYPERLINK("https://klasma.github.io/Logging_2303/artfynd/A 31197-2023 artfynd.xlsx", "A 31197-2023")</f>
        <v/>
      </c>
      <c r="T42">
        <f>HYPERLINK("https://klasma.github.io/Logging_2303/kartor/A 31197-2023 karta.png", "A 31197-2023")</f>
        <v/>
      </c>
      <c r="V42">
        <f>HYPERLINK("https://klasma.github.io/Logging_2303/klagomål/A 31197-2023 FSC-klagomål.docx", "A 31197-2023")</f>
        <v/>
      </c>
      <c r="W42">
        <f>HYPERLINK("https://klasma.github.io/Logging_2303/klagomålsmail/A 31197-2023 FSC-klagomål mail.docx", "A 31197-2023")</f>
        <v/>
      </c>
      <c r="X42">
        <f>HYPERLINK("https://klasma.github.io/Logging_2303/tillsyn/A 31197-2023 tillsynsbegäran.docx", "A 31197-2023")</f>
        <v/>
      </c>
      <c r="Y42">
        <f>HYPERLINK("https://klasma.github.io/Logging_2303/tillsynsmail/A 31197-2023 tillsynsbegäran mail.docx", "A 31197-2023")</f>
        <v/>
      </c>
    </row>
    <row r="43" ht="15" customHeight="1">
      <c r="A43" t="inlineStr">
        <is>
          <t>A 32475-2023</t>
        </is>
      </c>
      <c r="B43" s="1" t="n">
        <v>45120</v>
      </c>
      <c r="C43" s="1" t="n">
        <v>45506</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41406-2023</t>
        </is>
      </c>
      <c r="B44" s="1" t="n">
        <v>45174</v>
      </c>
      <c r="C44" s="1" t="n">
        <v>45506</v>
      </c>
      <c r="D44" t="inlineStr">
        <is>
          <t>JÄMTLANDS LÄN</t>
        </is>
      </c>
      <c r="E44" t="inlineStr">
        <is>
          <t>RAGUNDA</t>
        </is>
      </c>
      <c r="F44" t="inlineStr">
        <is>
          <t>SCA</t>
        </is>
      </c>
      <c r="G44" t="n">
        <v>8</v>
      </c>
      <c r="H44" t="n">
        <v>0</v>
      </c>
      <c r="I44" t="n">
        <v>1</v>
      </c>
      <c r="J44" t="n">
        <v>7</v>
      </c>
      <c r="K44" t="n">
        <v>0</v>
      </c>
      <c r="L44" t="n">
        <v>0</v>
      </c>
      <c r="M44" t="n">
        <v>0</v>
      </c>
      <c r="N44" t="n">
        <v>0</v>
      </c>
      <c r="O44" t="n">
        <v>7</v>
      </c>
      <c r="P44" t="n">
        <v>0</v>
      </c>
      <c r="Q44" t="n">
        <v>8</v>
      </c>
      <c r="R44" s="2" t="inlineStr">
        <is>
          <t>Dvärgbägarlav
Grönhjon
Lunglav
Nordtagging
Rosa skärelav
Rosenticka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3634-2024</t>
        </is>
      </c>
      <c r="B45" s="1" t="n">
        <v>45320</v>
      </c>
      <c r="C45" s="1" t="n">
        <v>45506</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17812-2024</t>
        </is>
      </c>
      <c r="B46" s="1" t="n">
        <v>45419</v>
      </c>
      <c r="C46" s="1" t="n">
        <v>45506</v>
      </c>
      <c r="D46" t="inlineStr">
        <is>
          <t>JÄMTLANDS LÄN</t>
        </is>
      </c>
      <c r="E46" t="inlineStr">
        <is>
          <t>RAGUNDA</t>
        </is>
      </c>
      <c r="G46" t="n">
        <v>12.7</v>
      </c>
      <c r="H46" t="n">
        <v>3</v>
      </c>
      <c r="I46" t="n">
        <v>2</v>
      </c>
      <c r="J46" t="n">
        <v>3</v>
      </c>
      <c r="K46" t="n">
        <v>1</v>
      </c>
      <c r="L46" t="n">
        <v>0</v>
      </c>
      <c r="M46" t="n">
        <v>0</v>
      </c>
      <c r="N46" t="n">
        <v>0</v>
      </c>
      <c r="O46" t="n">
        <v>4</v>
      </c>
      <c r="P46" t="n">
        <v>1</v>
      </c>
      <c r="Q46" t="n">
        <v>8</v>
      </c>
      <c r="R46" s="2" t="inlineStr">
        <is>
          <t>Knärot
Garnlav
Lunglav
Skrovellav
Korallblylav
Vedticka
Fläcknycklar
Blåsippa</t>
        </is>
      </c>
      <c r="S46">
        <f>HYPERLINK("https://klasma.github.io/Logging_2303/artfynd/A 17812-2024 artfynd.xlsx", "A 17812-2024")</f>
        <v/>
      </c>
      <c r="T46">
        <f>HYPERLINK("https://klasma.github.io/Logging_2303/kartor/A 17812-2024 karta.png", "A 17812-2024")</f>
        <v/>
      </c>
      <c r="U46">
        <f>HYPERLINK("https://klasma.github.io/Logging_2303/knärot/A 17812-2024 karta knärot.png", "A 17812-2024")</f>
        <v/>
      </c>
      <c r="V46">
        <f>HYPERLINK("https://klasma.github.io/Logging_2303/klagomål/A 17812-2024 FSC-klagomål.docx", "A 17812-2024")</f>
        <v/>
      </c>
      <c r="W46">
        <f>HYPERLINK("https://klasma.github.io/Logging_2303/klagomålsmail/A 17812-2024 FSC-klagomål mail.docx", "A 17812-2024")</f>
        <v/>
      </c>
      <c r="X46">
        <f>HYPERLINK("https://klasma.github.io/Logging_2303/tillsyn/A 17812-2024 tillsynsbegäran.docx", "A 17812-2024")</f>
        <v/>
      </c>
      <c r="Y46">
        <f>HYPERLINK("https://klasma.github.io/Logging_2303/tillsynsmail/A 17812-2024 tillsynsbegäran mail.docx", "A 17812-2024")</f>
        <v/>
      </c>
    </row>
    <row r="47" ht="15" customHeight="1">
      <c r="A47" t="inlineStr">
        <is>
          <t>A 17793-2024</t>
        </is>
      </c>
      <c r="B47" s="1" t="n">
        <v>45418</v>
      </c>
      <c r="C47" s="1" t="n">
        <v>45506</v>
      </c>
      <c r="D47" t="inlineStr">
        <is>
          <t>JÄMTLANDS LÄN</t>
        </is>
      </c>
      <c r="E47" t="inlineStr">
        <is>
          <t>RAGUNDA</t>
        </is>
      </c>
      <c r="F47" t="inlineStr">
        <is>
          <t>Kommuner</t>
        </is>
      </c>
      <c r="G47" t="n">
        <v>19.6</v>
      </c>
      <c r="H47" t="n">
        <v>1</v>
      </c>
      <c r="I47" t="n">
        <v>1</v>
      </c>
      <c r="J47" t="n">
        <v>6</v>
      </c>
      <c r="K47" t="n">
        <v>0</v>
      </c>
      <c r="L47" t="n">
        <v>0</v>
      </c>
      <c r="M47" t="n">
        <v>0</v>
      </c>
      <c r="N47" t="n">
        <v>0</v>
      </c>
      <c r="O47" t="n">
        <v>6</v>
      </c>
      <c r="P47" t="n">
        <v>0</v>
      </c>
      <c r="Q47" t="n">
        <v>8</v>
      </c>
      <c r="R47" s="2" t="inlineStr">
        <is>
          <t>Blanksvart spiklav
Blågrå svartspik
Garnlav
Mörk kolflarnlav
Vedflamlav
Vedskivlav
Dropptaggsvamp
Skogsödla</t>
        </is>
      </c>
      <c r="S47">
        <f>HYPERLINK("https://klasma.github.io/Logging_2303/artfynd/A 17793-2024 artfynd.xlsx", "A 17793-2024")</f>
        <v/>
      </c>
      <c r="T47">
        <f>HYPERLINK("https://klasma.github.io/Logging_2303/kartor/A 17793-2024 karta.png", "A 17793-2024")</f>
        <v/>
      </c>
      <c r="V47">
        <f>HYPERLINK("https://klasma.github.io/Logging_2303/klagomål/A 17793-2024 FSC-klagomål.docx", "A 17793-2024")</f>
        <v/>
      </c>
      <c r="W47">
        <f>HYPERLINK("https://klasma.github.io/Logging_2303/klagomålsmail/A 17793-2024 FSC-klagomål mail.docx", "A 17793-2024")</f>
        <v/>
      </c>
      <c r="X47">
        <f>HYPERLINK("https://klasma.github.io/Logging_2303/tillsyn/A 17793-2024 tillsynsbegäran.docx", "A 17793-2024")</f>
        <v/>
      </c>
      <c r="Y47">
        <f>HYPERLINK("https://klasma.github.io/Logging_2303/tillsynsmail/A 17793-2024 tillsynsbegäran mail.docx", "A 17793-2024")</f>
        <v/>
      </c>
    </row>
    <row r="48" ht="15" customHeight="1">
      <c r="A48" t="inlineStr">
        <is>
          <t>A 56211-2020</t>
        </is>
      </c>
      <c r="B48" s="1" t="n">
        <v>44133</v>
      </c>
      <c r="C48" s="1" t="n">
        <v>45506</v>
      </c>
      <c r="D48" t="inlineStr">
        <is>
          <t>JÄMTLANDS LÄN</t>
        </is>
      </c>
      <c r="E48" t="inlineStr">
        <is>
          <t>RAGUNDA</t>
        </is>
      </c>
      <c r="F48" t="inlineStr">
        <is>
          <t>SCA</t>
        </is>
      </c>
      <c r="G48" t="n">
        <v>7.1</v>
      </c>
      <c r="H48" t="n">
        <v>1</v>
      </c>
      <c r="I48" t="n">
        <v>4</v>
      </c>
      <c r="J48" t="n">
        <v>2</v>
      </c>
      <c r="K48" t="n">
        <v>0</v>
      </c>
      <c r="L48" t="n">
        <v>0</v>
      </c>
      <c r="M48" t="n">
        <v>0</v>
      </c>
      <c r="N48" t="n">
        <v>0</v>
      </c>
      <c r="O48" t="n">
        <v>2</v>
      </c>
      <c r="P48" t="n">
        <v>0</v>
      </c>
      <c r="Q48" t="n">
        <v>7</v>
      </c>
      <c r="R48" s="2" t="inlineStr">
        <is>
          <t>Kolflarnlav
Lunglav
Korallblylav
Skinnlav
Stor aspticka
Vårärt
Blåsippa</t>
        </is>
      </c>
      <c r="S48">
        <f>HYPERLINK("https://klasma.github.io/Logging_2303/artfynd/A 56211-2020 artfynd.xlsx", "A 56211-2020")</f>
        <v/>
      </c>
      <c r="T48">
        <f>HYPERLINK("https://klasma.github.io/Logging_2303/kartor/A 56211-2020 karta.png", "A 56211-2020")</f>
        <v/>
      </c>
      <c r="V48">
        <f>HYPERLINK("https://klasma.github.io/Logging_2303/klagomål/A 56211-2020 FSC-klagomål.docx", "A 56211-2020")</f>
        <v/>
      </c>
      <c r="W48">
        <f>HYPERLINK("https://klasma.github.io/Logging_2303/klagomålsmail/A 56211-2020 FSC-klagomål mail.docx", "A 56211-2020")</f>
        <v/>
      </c>
      <c r="X48">
        <f>HYPERLINK("https://klasma.github.io/Logging_2303/tillsyn/A 56211-2020 tillsynsbegäran.docx", "A 56211-2020")</f>
        <v/>
      </c>
      <c r="Y48">
        <f>HYPERLINK("https://klasma.github.io/Logging_2303/tillsynsmail/A 56211-2020 tillsynsbegäran mail.docx", "A 56211-2020")</f>
        <v/>
      </c>
    </row>
    <row r="49" ht="15" customHeight="1">
      <c r="A49" t="inlineStr">
        <is>
          <t>A 24169-2021</t>
        </is>
      </c>
      <c r="B49" s="1" t="n">
        <v>44336</v>
      </c>
      <c r="C49" s="1" t="n">
        <v>45506</v>
      </c>
      <c r="D49" t="inlineStr">
        <is>
          <t>JÄMTLANDS LÄN</t>
        </is>
      </c>
      <c r="E49" t="inlineStr">
        <is>
          <t>RAGUNDA</t>
        </is>
      </c>
      <c r="G49" t="n">
        <v>9.199999999999999</v>
      </c>
      <c r="H49" t="n">
        <v>3</v>
      </c>
      <c r="I49" t="n">
        <v>5</v>
      </c>
      <c r="J49" t="n">
        <v>2</v>
      </c>
      <c r="K49" t="n">
        <v>0</v>
      </c>
      <c r="L49" t="n">
        <v>0</v>
      </c>
      <c r="M49" t="n">
        <v>0</v>
      </c>
      <c r="N49" t="n">
        <v>0</v>
      </c>
      <c r="O49" t="n">
        <v>2</v>
      </c>
      <c r="P49" t="n">
        <v>0</v>
      </c>
      <c r="Q49" t="n">
        <v>7</v>
      </c>
      <c r="R49" s="2" t="inlineStr">
        <is>
          <t>Lunglav
Tretåig hackspett
Grönkulla
Guckusko
Luddlav
Stuplav
Ögonpyrola</t>
        </is>
      </c>
      <c r="S49">
        <f>HYPERLINK("https://klasma.github.io/Logging_2303/artfynd/A 24169-2021 artfynd.xlsx", "A 24169-2021")</f>
        <v/>
      </c>
      <c r="T49">
        <f>HYPERLINK("https://klasma.github.io/Logging_2303/kartor/A 24169-2021 karta.png", "A 24169-2021")</f>
        <v/>
      </c>
      <c r="V49">
        <f>HYPERLINK("https://klasma.github.io/Logging_2303/klagomål/A 24169-2021 FSC-klagomål.docx", "A 24169-2021")</f>
        <v/>
      </c>
      <c r="W49">
        <f>HYPERLINK("https://klasma.github.io/Logging_2303/klagomålsmail/A 24169-2021 FSC-klagomål mail.docx", "A 24169-2021")</f>
        <v/>
      </c>
      <c r="X49">
        <f>HYPERLINK("https://klasma.github.io/Logging_2303/tillsyn/A 24169-2021 tillsynsbegäran.docx", "A 24169-2021")</f>
        <v/>
      </c>
      <c r="Y49">
        <f>HYPERLINK("https://klasma.github.io/Logging_2303/tillsynsmail/A 24169-2021 tillsynsbegäran mail.docx", "A 24169-2021")</f>
        <v/>
      </c>
      <c r="Z49">
        <f>HYPERLINK("https://klasma.github.io/Logging_2303/fåglar/A 24169-2021 prioriterade fågelarter.docx", "A 24169-2021")</f>
        <v/>
      </c>
    </row>
    <row r="50" ht="15" customHeight="1">
      <c r="A50" t="inlineStr">
        <is>
          <t>A 45020-2021</t>
        </is>
      </c>
      <c r="B50" s="1" t="n">
        <v>44438</v>
      </c>
      <c r="C50" s="1" t="n">
        <v>45506</v>
      </c>
      <c r="D50" t="inlineStr">
        <is>
          <t>JÄMTLANDS LÄN</t>
        </is>
      </c>
      <c r="E50" t="inlineStr">
        <is>
          <t>RAGUNDA</t>
        </is>
      </c>
      <c r="F50" t="inlineStr">
        <is>
          <t>SCA</t>
        </is>
      </c>
      <c r="G50" t="n">
        <v>3.1</v>
      </c>
      <c r="H50" t="n">
        <v>0</v>
      </c>
      <c r="I50" t="n">
        <v>0</v>
      </c>
      <c r="J50" t="n">
        <v>6</v>
      </c>
      <c r="K50" t="n">
        <v>1</v>
      </c>
      <c r="L50" t="n">
        <v>0</v>
      </c>
      <c r="M50" t="n">
        <v>0</v>
      </c>
      <c r="N50" t="n">
        <v>0</v>
      </c>
      <c r="O50" t="n">
        <v>7</v>
      </c>
      <c r="P50" t="n">
        <v>1</v>
      </c>
      <c r="Q50" t="n">
        <v>7</v>
      </c>
      <c r="R50" s="2" t="inlineStr">
        <is>
          <t>Fläckporing
Blanksvart spiklav
Dvärgbägarlav
Mörk kolflarnlav
Nordtagging
Vedskivlav
Vitplätt</t>
        </is>
      </c>
      <c r="S50">
        <f>HYPERLINK("https://klasma.github.io/Logging_2303/artfynd/A 45020-2021 artfynd.xlsx", "A 45020-2021")</f>
        <v/>
      </c>
      <c r="T50">
        <f>HYPERLINK("https://klasma.github.io/Logging_2303/kartor/A 45020-2021 karta.png", "A 45020-2021")</f>
        <v/>
      </c>
      <c r="V50">
        <f>HYPERLINK("https://klasma.github.io/Logging_2303/klagomål/A 45020-2021 FSC-klagomål.docx", "A 45020-2021")</f>
        <v/>
      </c>
      <c r="W50">
        <f>HYPERLINK("https://klasma.github.io/Logging_2303/klagomålsmail/A 45020-2021 FSC-klagomål mail.docx", "A 45020-2021")</f>
        <v/>
      </c>
      <c r="X50">
        <f>HYPERLINK("https://klasma.github.io/Logging_2303/tillsyn/A 45020-2021 tillsynsbegäran.docx", "A 45020-2021")</f>
        <v/>
      </c>
      <c r="Y50">
        <f>HYPERLINK("https://klasma.github.io/Logging_2303/tillsynsmail/A 45020-2021 tillsynsbegäran mail.docx", "A 45020-2021")</f>
        <v/>
      </c>
    </row>
    <row r="51" ht="15" customHeight="1">
      <c r="A51" t="inlineStr">
        <is>
          <t>A 15665-2022</t>
        </is>
      </c>
      <c r="B51" s="1" t="n">
        <v>44662</v>
      </c>
      <c r="C51" s="1" t="n">
        <v>45506</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36693-2022</t>
        </is>
      </c>
      <c r="B52" s="1" t="n">
        <v>44804</v>
      </c>
      <c r="C52" s="1" t="n">
        <v>45506</v>
      </c>
      <c r="D52" t="inlineStr">
        <is>
          <t>JÄMTLANDS LÄN</t>
        </is>
      </c>
      <c r="E52" t="inlineStr">
        <is>
          <t>RAGUNDA</t>
        </is>
      </c>
      <c r="F52" t="inlineStr">
        <is>
          <t>SCA</t>
        </is>
      </c>
      <c r="G52" t="n">
        <v>9.1</v>
      </c>
      <c r="H52" t="n">
        <v>2</v>
      </c>
      <c r="I52" t="n">
        <v>0</v>
      </c>
      <c r="J52" t="n">
        <v>7</v>
      </c>
      <c r="K52" t="n">
        <v>0</v>
      </c>
      <c r="L52" t="n">
        <v>0</v>
      </c>
      <c r="M52" t="n">
        <v>0</v>
      </c>
      <c r="N52" t="n">
        <v>0</v>
      </c>
      <c r="O52" t="n">
        <v>7</v>
      </c>
      <c r="P52" t="n">
        <v>0</v>
      </c>
      <c r="Q52" t="n">
        <v>7</v>
      </c>
      <c r="R52" s="2" t="inlineStr">
        <is>
          <t>Garnlav
Harticka
Lunglav
Talltita
Tretåig hackspett
Ullticka
Vitgrynig nållav</t>
        </is>
      </c>
      <c r="S52">
        <f>HYPERLINK("https://klasma.github.io/Logging_2303/artfynd/A 36693-2022 artfynd.xlsx", "A 36693-2022")</f>
        <v/>
      </c>
      <c r="T52">
        <f>HYPERLINK("https://klasma.github.io/Logging_2303/kartor/A 36693-2022 karta.png", "A 36693-2022")</f>
        <v/>
      </c>
      <c r="V52">
        <f>HYPERLINK("https://klasma.github.io/Logging_2303/klagomål/A 36693-2022 FSC-klagomål.docx", "A 36693-2022")</f>
        <v/>
      </c>
      <c r="W52">
        <f>HYPERLINK("https://klasma.github.io/Logging_2303/klagomålsmail/A 36693-2022 FSC-klagomål mail.docx", "A 36693-2022")</f>
        <v/>
      </c>
      <c r="X52">
        <f>HYPERLINK("https://klasma.github.io/Logging_2303/tillsyn/A 36693-2022 tillsynsbegäran.docx", "A 36693-2022")</f>
        <v/>
      </c>
      <c r="Y52">
        <f>HYPERLINK("https://klasma.github.io/Logging_2303/tillsynsmail/A 36693-2022 tillsynsbegäran mail.docx", "A 36693-2022")</f>
        <v/>
      </c>
      <c r="Z52">
        <f>HYPERLINK("https://klasma.github.io/Logging_2303/fåglar/A 36693-2022 prioriterade fågelarter.docx", "A 36693-2022")</f>
        <v/>
      </c>
    </row>
    <row r="53" ht="15" customHeight="1">
      <c r="A53" t="inlineStr">
        <is>
          <t>A 61386-2022</t>
        </is>
      </c>
      <c r="B53" s="1" t="n">
        <v>44915</v>
      </c>
      <c r="C53" s="1" t="n">
        <v>45506</v>
      </c>
      <c r="D53" t="inlineStr">
        <is>
          <t>JÄMTLANDS LÄN</t>
        </is>
      </c>
      <c r="E53" t="inlineStr">
        <is>
          <t>RAGUNDA</t>
        </is>
      </c>
      <c r="F53" t="inlineStr">
        <is>
          <t>Övriga Aktiebolag</t>
        </is>
      </c>
      <c r="G53" t="n">
        <v>19.7</v>
      </c>
      <c r="H53" t="n">
        <v>1</v>
      </c>
      <c r="I53" t="n">
        <v>2</v>
      </c>
      <c r="J53" t="n">
        <v>3</v>
      </c>
      <c r="K53" t="n">
        <v>2</v>
      </c>
      <c r="L53" t="n">
        <v>0</v>
      </c>
      <c r="M53" t="n">
        <v>0</v>
      </c>
      <c r="N53" t="n">
        <v>0</v>
      </c>
      <c r="O53" t="n">
        <v>5</v>
      </c>
      <c r="P53" t="n">
        <v>2</v>
      </c>
      <c r="Q53" t="n">
        <v>7</v>
      </c>
      <c r="R53" s="2" t="inlineStr">
        <is>
          <t>Knärot
Rynkskinn
Lunglav
Rosenticka
Ullticka
Svart trolldruva
Vanlig flatbagge</t>
        </is>
      </c>
      <c r="S53">
        <f>HYPERLINK("https://klasma.github.io/Logging_2303/artfynd/A 61386-2022 artfynd.xlsx", "A 61386-2022")</f>
        <v/>
      </c>
      <c r="T53">
        <f>HYPERLINK("https://klasma.github.io/Logging_2303/kartor/A 61386-2022 karta.png", "A 61386-2022")</f>
        <v/>
      </c>
      <c r="U53">
        <f>HYPERLINK("https://klasma.github.io/Logging_2303/knärot/A 61386-2022 karta knärot.png", "A 61386-2022")</f>
        <v/>
      </c>
      <c r="V53">
        <f>HYPERLINK("https://klasma.github.io/Logging_2303/klagomål/A 61386-2022 FSC-klagomål.docx", "A 61386-2022")</f>
        <v/>
      </c>
      <c r="W53">
        <f>HYPERLINK("https://klasma.github.io/Logging_2303/klagomålsmail/A 61386-2022 FSC-klagomål mail.docx", "A 61386-2022")</f>
        <v/>
      </c>
      <c r="X53">
        <f>HYPERLINK("https://klasma.github.io/Logging_2303/tillsyn/A 61386-2022 tillsynsbegäran.docx", "A 61386-2022")</f>
        <v/>
      </c>
      <c r="Y53">
        <f>HYPERLINK("https://klasma.github.io/Logging_2303/tillsynsmail/A 61386-2022 tillsynsbegäran mail.docx", "A 61386-2022")</f>
        <v/>
      </c>
    </row>
    <row r="54" ht="15" customHeight="1">
      <c r="A54" t="inlineStr">
        <is>
          <t>A 11829-2023</t>
        </is>
      </c>
      <c r="B54" s="1" t="n">
        <v>44994</v>
      </c>
      <c r="C54" s="1" t="n">
        <v>45506</v>
      </c>
      <c r="D54" t="inlineStr">
        <is>
          <t>JÄMTLANDS LÄN</t>
        </is>
      </c>
      <c r="E54" t="inlineStr">
        <is>
          <t>RAGUNDA</t>
        </is>
      </c>
      <c r="F54" t="inlineStr">
        <is>
          <t>SCA</t>
        </is>
      </c>
      <c r="G54" t="n">
        <v>1.8</v>
      </c>
      <c r="H54" t="n">
        <v>0</v>
      </c>
      <c r="I54" t="n">
        <v>1</v>
      </c>
      <c r="J54" t="n">
        <v>6</v>
      </c>
      <c r="K54" t="n">
        <v>0</v>
      </c>
      <c r="L54" t="n">
        <v>0</v>
      </c>
      <c r="M54" t="n">
        <v>0</v>
      </c>
      <c r="N54" t="n">
        <v>0</v>
      </c>
      <c r="O54" t="n">
        <v>6</v>
      </c>
      <c r="P54" t="n">
        <v>0</v>
      </c>
      <c r="Q54" t="n">
        <v>7</v>
      </c>
      <c r="R54" s="2" t="inlineStr">
        <is>
          <t>Garnlav
Kolflarnlav
Lunglav
Ullticka
Vedflamlav
Vedtrappmossa
Vedticka</t>
        </is>
      </c>
      <c r="S54">
        <f>HYPERLINK("https://klasma.github.io/Logging_2303/artfynd/A 11829-2023 artfynd.xlsx", "A 11829-2023")</f>
        <v/>
      </c>
      <c r="T54">
        <f>HYPERLINK("https://klasma.github.io/Logging_2303/kartor/A 11829-2023 karta.png", "A 11829-2023")</f>
        <v/>
      </c>
      <c r="U54">
        <f>HYPERLINK("https://klasma.github.io/Logging_2303/knärot/A 11829-2023 karta knärot.png", "A 11829-2023")</f>
        <v/>
      </c>
      <c r="V54">
        <f>HYPERLINK("https://klasma.github.io/Logging_2303/klagomål/A 11829-2023 FSC-klagomål.docx", "A 11829-2023")</f>
        <v/>
      </c>
      <c r="W54">
        <f>HYPERLINK("https://klasma.github.io/Logging_2303/klagomålsmail/A 11829-2023 FSC-klagomål mail.docx", "A 11829-2023")</f>
        <v/>
      </c>
      <c r="X54">
        <f>HYPERLINK("https://klasma.github.io/Logging_2303/tillsyn/A 11829-2023 tillsynsbegäran.docx", "A 11829-2023")</f>
        <v/>
      </c>
      <c r="Y54">
        <f>HYPERLINK("https://klasma.github.io/Logging_2303/tillsynsmail/A 11829-2023 tillsynsbegäran mail.docx", "A 11829-2023")</f>
        <v/>
      </c>
    </row>
    <row r="55" ht="15" customHeight="1">
      <c r="A55" t="inlineStr">
        <is>
          <t>A 33806-2023</t>
        </is>
      </c>
      <c r="B55" s="1" t="n">
        <v>45121</v>
      </c>
      <c r="C55" s="1" t="n">
        <v>45506</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37237-2023</t>
        </is>
      </c>
      <c r="B56" s="1" t="n">
        <v>45155</v>
      </c>
      <c r="C56" s="1" t="n">
        <v>45506</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37485-2023</t>
        </is>
      </c>
      <c r="B57" s="1" t="n">
        <v>45156</v>
      </c>
      <c r="C57" s="1" t="n">
        <v>45506</v>
      </c>
      <c r="D57" t="inlineStr">
        <is>
          <t>JÄMTLANDS LÄN</t>
        </is>
      </c>
      <c r="E57" t="inlineStr">
        <is>
          <t>RAGUNDA</t>
        </is>
      </c>
      <c r="F57" t="inlineStr">
        <is>
          <t>SCA</t>
        </is>
      </c>
      <c r="G57" t="n">
        <v>32.3</v>
      </c>
      <c r="H57" t="n">
        <v>2</v>
      </c>
      <c r="I57" t="n">
        <v>2</v>
      </c>
      <c r="J57" t="n">
        <v>5</v>
      </c>
      <c r="K57" t="n">
        <v>0</v>
      </c>
      <c r="L57" t="n">
        <v>0</v>
      </c>
      <c r="M57" t="n">
        <v>0</v>
      </c>
      <c r="N57" t="n">
        <v>0</v>
      </c>
      <c r="O57" t="n">
        <v>5</v>
      </c>
      <c r="P57" t="n">
        <v>0</v>
      </c>
      <c r="Q57" t="n">
        <v>7</v>
      </c>
      <c r="R57" s="2" t="inlineStr">
        <is>
          <t>Garnlav
Granticka
Tretåig hackspett
Ullticka
Violettgrå tagellav
Spindelblomster
Trådticka</t>
        </is>
      </c>
      <c r="S57">
        <f>HYPERLINK("https://klasma.github.io/Logging_2303/artfynd/A 37485-2023 artfynd.xlsx", "A 37485-2023")</f>
        <v/>
      </c>
      <c r="T57">
        <f>HYPERLINK("https://klasma.github.io/Logging_2303/kartor/A 37485-2023 karta.png", "A 37485-2023")</f>
        <v/>
      </c>
      <c r="V57">
        <f>HYPERLINK("https://klasma.github.io/Logging_2303/klagomål/A 37485-2023 FSC-klagomål.docx", "A 37485-2023")</f>
        <v/>
      </c>
      <c r="W57">
        <f>HYPERLINK("https://klasma.github.io/Logging_2303/klagomålsmail/A 37485-2023 FSC-klagomål mail.docx", "A 37485-2023")</f>
        <v/>
      </c>
      <c r="X57">
        <f>HYPERLINK("https://klasma.github.io/Logging_2303/tillsyn/A 37485-2023 tillsynsbegäran.docx", "A 37485-2023")</f>
        <v/>
      </c>
      <c r="Y57">
        <f>HYPERLINK("https://klasma.github.io/Logging_2303/tillsynsmail/A 37485-2023 tillsynsbegäran mail.docx", "A 37485-2023")</f>
        <v/>
      </c>
      <c r="Z57">
        <f>HYPERLINK("https://klasma.github.io/Logging_2303/fåglar/A 37485-2023 prioriterade fågelarter.docx", "A 37485-2023")</f>
        <v/>
      </c>
    </row>
    <row r="58" ht="15" customHeight="1">
      <c r="A58" t="inlineStr">
        <is>
          <t>A 41719-2023</t>
        </is>
      </c>
      <c r="B58" s="1" t="n">
        <v>45176</v>
      </c>
      <c r="C58" s="1" t="n">
        <v>45506</v>
      </c>
      <c r="D58" t="inlineStr">
        <is>
          <t>JÄMTLANDS LÄN</t>
        </is>
      </c>
      <c r="E58" t="inlineStr">
        <is>
          <t>RAGUNDA</t>
        </is>
      </c>
      <c r="G58" t="n">
        <v>14.3</v>
      </c>
      <c r="H58" t="n">
        <v>1</v>
      </c>
      <c r="I58" t="n">
        <v>1</v>
      </c>
      <c r="J58" t="n">
        <v>5</v>
      </c>
      <c r="K58" t="n">
        <v>0</v>
      </c>
      <c r="L58" t="n">
        <v>0</v>
      </c>
      <c r="M58" t="n">
        <v>0</v>
      </c>
      <c r="N58" t="n">
        <v>0</v>
      </c>
      <c r="O58" t="n">
        <v>5</v>
      </c>
      <c r="P58" t="n">
        <v>0</v>
      </c>
      <c r="Q58" t="n">
        <v>7</v>
      </c>
      <c r="R58" s="2" t="inlineStr">
        <is>
          <t>Dvärgbägarlav
Garnlav
Lunglav
Rosenticka
Vedflikmossa
Skinnlav
Tjäder</t>
        </is>
      </c>
      <c r="S58">
        <f>HYPERLINK("https://klasma.github.io/Logging_2303/artfynd/A 41719-2023 artfynd.xlsx", "A 41719-2023")</f>
        <v/>
      </c>
      <c r="T58">
        <f>HYPERLINK("https://klasma.github.io/Logging_2303/kartor/A 41719-2023 karta.png", "A 41719-2023")</f>
        <v/>
      </c>
      <c r="V58">
        <f>HYPERLINK("https://klasma.github.io/Logging_2303/klagomål/A 41719-2023 FSC-klagomål.docx", "A 41719-2023")</f>
        <v/>
      </c>
      <c r="W58">
        <f>HYPERLINK("https://klasma.github.io/Logging_2303/klagomålsmail/A 41719-2023 FSC-klagomål mail.docx", "A 41719-2023")</f>
        <v/>
      </c>
      <c r="X58">
        <f>HYPERLINK("https://klasma.github.io/Logging_2303/tillsyn/A 41719-2023 tillsynsbegäran.docx", "A 41719-2023")</f>
        <v/>
      </c>
      <c r="Y58">
        <f>HYPERLINK("https://klasma.github.io/Logging_2303/tillsynsmail/A 41719-2023 tillsynsbegäran mail.docx", "A 41719-2023")</f>
        <v/>
      </c>
      <c r="Z58">
        <f>HYPERLINK("https://klasma.github.io/Logging_2303/fåglar/A 41719-2023 prioriterade fågelarter.docx", "A 41719-2023")</f>
        <v/>
      </c>
    </row>
    <row r="59" ht="15" customHeight="1">
      <c r="A59" t="inlineStr">
        <is>
          <t>A 41759-2023</t>
        </is>
      </c>
      <c r="B59" s="1" t="n">
        <v>45176</v>
      </c>
      <c r="C59" s="1" t="n">
        <v>45506</v>
      </c>
      <c r="D59" t="inlineStr">
        <is>
          <t>JÄMTLANDS LÄN</t>
        </is>
      </c>
      <c r="E59" t="inlineStr">
        <is>
          <t>RAGUNDA</t>
        </is>
      </c>
      <c r="G59" t="n">
        <v>4.8</v>
      </c>
      <c r="H59" t="n">
        <v>3</v>
      </c>
      <c r="I59" t="n">
        <v>2</v>
      </c>
      <c r="J59" t="n">
        <v>3</v>
      </c>
      <c r="K59" t="n">
        <v>0</v>
      </c>
      <c r="L59" t="n">
        <v>0</v>
      </c>
      <c r="M59" t="n">
        <v>0</v>
      </c>
      <c r="N59" t="n">
        <v>0</v>
      </c>
      <c r="O59" t="n">
        <v>3</v>
      </c>
      <c r="P59" t="n">
        <v>0</v>
      </c>
      <c r="Q59" t="n">
        <v>7</v>
      </c>
      <c r="R59" s="2" t="inlineStr">
        <is>
          <t>Ullticka
Vedflikmossa
Äggvaxskivling
Kransrams
Plattlummer
Tjäder
Blåsippa</t>
        </is>
      </c>
      <c r="S59">
        <f>HYPERLINK("https://klasma.github.io/Logging_2303/artfynd/A 41759-2023 artfynd.xlsx", "A 41759-2023")</f>
        <v/>
      </c>
      <c r="T59">
        <f>HYPERLINK("https://klasma.github.io/Logging_2303/kartor/A 41759-2023 karta.png", "A 41759-2023")</f>
        <v/>
      </c>
      <c r="U59">
        <f>HYPERLINK("https://klasma.github.io/Logging_2303/knärot/A 41759-2023 karta knärot.png", "A 41759-2023")</f>
        <v/>
      </c>
      <c r="V59">
        <f>HYPERLINK("https://klasma.github.io/Logging_2303/klagomål/A 41759-2023 FSC-klagomål.docx", "A 41759-2023")</f>
        <v/>
      </c>
      <c r="W59">
        <f>HYPERLINK("https://klasma.github.io/Logging_2303/klagomålsmail/A 41759-2023 FSC-klagomål mail.docx", "A 41759-2023")</f>
        <v/>
      </c>
      <c r="X59">
        <f>HYPERLINK("https://klasma.github.io/Logging_2303/tillsyn/A 41759-2023 tillsynsbegäran.docx", "A 41759-2023")</f>
        <v/>
      </c>
      <c r="Y59">
        <f>HYPERLINK("https://klasma.github.io/Logging_2303/tillsynsmail/A 41759-2023 tillsynsbegäran mail.docx", "A 41759-2023")</f>
        <v/>
      </c>
      <c r="Z59">
        <f>HYPERLINK("https://klasma.github.io/Logging_2303/fåglar/A 41759-2023 prioriterade fågelarter.docx", "A 41759-2023")</f>
        <v/>
      </c>
    </row>
    <row r="60" ht="15" customHeight="1">
      <c r="A60" t="inlineStr">
        <is>
          <t>A 41929-2023</t>
        </is>
      </c>
      <c r="B60" s="1" t="n">
        <v>45176</v>
      </c>
      <c r="C60" s="1" t="n">
        <v>45506</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18628-2024</t>
        </is>
      </c>
      <c r="B61" s="1" t="n">
        <v>45426</v>
      </c>
      <c r="C61" s="1" t="n">
        <v>45506</v>
      </c>
      <c r="D61" t="inlineStr">
        <is>
          <t>JÄMTLANDS LÄN</t>
        </is>
      </c>
      <c r="E61" t="inlineStr">
        <is>
          <t>RAGUNDA</t>
        </is>
      </c>
      <c r="F61" t="inlineStr">
        <is>
          <t>SCA</t>
        </is>
      </c>
      <c r="G61" t="n">
        <v>5</v>
      </c>
      <c r="H61" t="n">
        <v>2</v>
      </c>
      <c r="I61" t="n">
        <v>2</v>
      </c>
      <c r="J61" t="n">
        <v>3</v>
      </c>
      <c r="K61" t="n">
        <v>1</v>
      </c>
      <c r="L61" t="n">
        <v>0</v>
      </c>
      <c r="M61" t="n">
        <v>0</v>
      </c>
      <c r="N61" t="n">
        <v>0</v>
      </c>
      <c r="O61" t="n">
        <v>4</v>
      </c>
      <c r="P61" t="n">
        <v>1</v>
      </c>
      <c r="Q61" t="n">
        <v>7</v>
      </c>
      <c r="R61" s="2" t="inlineStr">
        <is>
          <t>Gräddporing
Garnlav
Mörk kolflarnlav
Tretåig hackspett
Dropptaggsvamp
Vedticka
Huggorm</t>
        </is>
      </c>
      <c r="S61">
        <f>HYPERLINK("https://klasma.github.io/Logging_2303/artfynd/A 18628-2024 artfynd.xlsx", "A 18628-2024")</f>
        <v/>
      </c>
      <c r="T61">
        <f>HYPERLINK("https://klasma.github.io/Logging_2303/kartor/A 18628-2024 karta.png", "A 18628-2024")</f>
        <v/>
      </c>
      <c r="V61">
        <f>HYPERLINK("https://klasma.github.io/Logging_2303/klagomål/A 18628-2024 FSC-klagomål.docx", "A 18628-2024")</f>
        <v/>
      </c>
      <c r="W61">
        <f>HYPERLINK("https://klasma.github.io/Logging_2303/klagomålsmail/A 18628-2024 FSC-klagomål mail.docx", "A 18628-2024")</f>
        <v/>
      </c>
      <c r="X61">
        <f>HYPERLINK("https://klasma.github.io/Logging_2303/tillsyn/A 18628-2024 tillsynsbegäran.docx", "A 18628-2024")</f>
        <v/>
      </c>
      <c r="Y61">
        <f>HYPERLINK("https://klasma.github.io/Logging_2303/tillsynsmail/A 18628-2024 tillsynsbegäran mail.docx", "A 18628-2024")</f>
        <v/>
      </c>
      <c r="Z61">
        <f>HYPERLINK("https://klasma.github.io/Logging_2303/fåglar/A 18628-2024 prioriterade fågelarter.docx", "A 18628-2024")</f>
        <v/>
      </c>
    </row>
    <row r="62" ht="15" customHeight="1">
      <c r="A62" t="inlineStr">
        <is>
          <t>A 19036-2024</t>
        </is>
      </c>
      <c r="B62" s="1" t="n">
        <v>45427</v>
      </c>
      <c r="C62" s="1" t="n">
        <v>45506</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19036-2024 artfynd.xlsx", "A 19036-2024")</f>
        <v/>
      </c>
      <c r="T62">
        <f>HYPERLINK("https://klasma.github.io/Logging_2303/kartor/A 19036-2024 karta.png", "A 19036-2024")</f>
        <v/>
      </c>
      <c r="V62">
        <f>HYPERLINK("https://klasma.github.io/Logging_2303/klagomål/A 19036-2024 FSC-klagomål.docx", "A 19036-2024")</f>
        <v/>
      </c>
      <c r="W62">
        <f>HYPERLINK("https://klasma.github.io/Logging_2303/klagomålsmail/A 19036-2024 FSC-klagomål mail.docx", "A 19036-2024")</f>
        <v/>
      </c>
      <c r="X62">
        <f>HYPERLINK("https://klasma.github.io/Logging_2303/tillsyn/A 19036-2024 tillsynsbegäran.docx", "A 19036-2024")</f>
        <v/>
      </c>
      <c r="Y62">
        <f>HYPERLINK("https://klasma.github.io/Logging_2303/tillsynsmail/A 19036-2024 tillsynsbegäran mail.docx", "A 19036-2024")</f>
        <v/>
      </c>
    </row>
    <row r="63" ht="15" customHeight="1">
      <c r="A63" t="inlineStr">
        <is>
          <t>A 20397-2024</t>
        </is>
      </c>
      <c r="B63" s="1" t="n">
        <v>45435</v>
      </c>
      <c r="C63" s="1" t="n">
        <v>45506</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27913-2024</t>
        </is>
      </c>
      <c r="B64" s="1" t="n">
        <v>45476</v>
      </c>
      <c r="C64" s="1" t="n">
        <v>45506</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29366-2024</t>
        </is>
      </c>
      <c r="B65" s="1" t="n">
        <v>45483</v>
      </c>
      <c r="C65" s="1" t="n">
        <v>45506</v>
      </c>
      <c r="D65" t="inlineStr">
        <is>
          <t>JÄMTLANDS LÄN</t>
        </is>
      </c>
      <c r="E65" t="inlineStr">
        <is>
          <t>RAGUNDA</t>
        </is>
      </c>
      <c r="G65" t="n">
        <v>8.199999999999999</v>
      </c>
      <c r="H65" t="n">
        <v>0</v>
      </c>
      <c r="I65" t="n">
        <v>4</v>
      </c>
      <c r="J65" t="n">
        <v>2</v>
      </c>
      <c r="K65" t="n">
        <v>1</v>
      </c>
      <c r="L65" t="n">
        <v>0</v>
      </c>
      <c r="M65" t="n">
        <v>0</v>
      </c>
      <c r="N65" t="n">
        <v>0</v>
      </c>
      <c r="O65" t="n">
        <v>3</v>
      </c>
      <c r="P65" t="n">
        <v>1</v>
      </c>
      <c r="Q65" t="n">
        <v>7</v>
      </c>
      <c r="R65" s="2" t="inlineStr">
        <is>
          <t>Smalskaftslav
Lunglav
Vitgrynig nållav
Bårdlav
Dvärgtufs
Skinnlav
Stuplav</t>
        </is>
      </c>
      <c r="S65">
        <f>HYPERLINK("https://klasma.github.io/Logging_2303/artfynd/A 29366-2024 artfynd.xlsx", "A 29366-2024")</f>
        <v/>
      </c>
      <c r="T65">
        <f>HYPERLINK("https://klasma.github.io/Logging_2303/kartor/A 29366-2024 karta.png", "A 29366-2024")</f>
        <v/>
      </c>
      <c r="V65">
        <f>HYPERLINK("https://klasma.github.io/Logging_2303/klagomål/A 29366-2024 FSC-klagomål.docx", "A 29366-2024")</f>
        <v/>
      </c>
      <c r="W65">
        <f>HYPERLINK("https://klasma.github.io/Logging_2303/klagomålsmail/A 29366-2024 FSC-klagomål mail.docx", "A 29366-2024")</f>
        <v/>
      </c>
      <c r="X65">
        <f>HYPERLINK("https://klasma.github.io/Logging_2303/tillsyn/A 29366-2024 tillsynsbegäran.docx", "A 29366-2024")</f>
        <v/>
      </c>
      <c r="Y65">
        <f>HYPERLINK("https://klasma.github.io/Logging_2303/tillsynsmail/A 29366-2024 tillsynsbegäran mail.docx", "A 29366-2024")</f>
        <v/>
      </c>
    </row>
    <row r="66" ht="15" customHeight="1">
      <c r="A66" t="inlineStr">
        <is>
          <t>A 24644-2020</t>
        </is>
      </c>
      <c r="B66" s="1" t="n">
        <v>43977</v>
      </c>
      <c r="C66" s="1" t="n">
        <v>45506</v>
      </c>
      <c r="D66" t="inlineStr">
        <is>
          <t>JÄMTLANDS LÄN</t>
        </is>
      </c>
      <c r="E66" t="inlineStr">
        <is>
          <t>RAGUNDA</t>
        </is>
      </c>
      <c r="F66" t="inlineStr">
        <is>
          <t>SCA</t>
        </is>
      </c>
      <c r="G66" t="n">
        <v>21.6</v>
      </c>
      <c r="H66" t="n">
        <v>0</v>
      </c>
      <c r="I66" t="n">
        <v>2</v>
      </c>
      <c r="J66" t="n">
        <v>4</v>
      </c>
      <c r="K66" t="n">
        <v>0</v>
      </c>
      <c r="L66" t="n">
        <v>0</v>
      </c>
      <c r="M66" t="n">
        <v>0</v>
      </c>
      <c r="N66" t="n">
        <v>0</v>
      </c>
      <c r="O66" t="n">
        <v>4</v>
      </c>
      <c r="P66" t="n">
        <v>0</v>
      </c>
      <c r="Q66" t="n">
        <v>6</v>
      </c>
      <c r="R66" s="2" t="inlineStr">
        <is>
          <t>Luddfingersvamp
Lunglav
Mörk kolflarnlav
Orange taggsvamp
Korallblylav
Stuplav</t>
        </is>
      </c>
      <c r="S66">
        <f>HYPERLINK("https://klasma.github.io/Logging_2303/artfynd/A 24644-2020 artfynd.xlsx", "A 24644-2020")</f>
        <v/>
      </c>
      <c r="T66">
        <f>HYPERLINK("https://klasma.github.io/Logging_2303/kartor/A 24644-2020 karta.png", "A 24644-2020")</f>
        <v/>
      </c>
      <c r="V66">
        <f>HYPERLINK("https://klasma.github.io/Logging_2303/klagomål/A 24644-2020 FSC-klagomål.docx", "A 24644-2020")</f>
        <v/>
      </c>
      <c r="W66">
        <f>HYPERLINK("https://klasma.github.io/Logging_2303/klagomålsmail/A 24644-2020 FSC-klagomål mail.docx", "A 24644-2020")</f>
        <v/>
      </c>
      <c r="X66">
        <f>HYPERLINK("https://klasma.github.io/Logging_2303/tillsyn/A 24644-2020 tillsynsbegäran.docx", "A 24644-2020")</f>
        <v/>
      </c>
      <c r="Y66">
        <f>HYPERLINK("https://klasma.github.io/Logging_2303/tillsynsmail/A 24644-2020 tillsynsbegäran mail.docx", "A 24644-2020")</f>
        <v/>
      </c>
    </row>
    <row r="67" ht="15" customHeight="1">
      <c r="A67" t="inlineStr">
        <is>
          <t>A 1762-2021</t>
        </is>
      </c>
      <c r="B67" s="1" t="n">
        <v>44209</v>
      </c>
      <c r="C67" s="1" t="n">
        <v>45506</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31840-2022</t>
        </is>
      </c>
      <c r="B68" s="1" t="n">
        <v>44777</v>
      </c>
      <c r="C68" s="1" t="n">
        <v>45506</v>
      </c>
      <c r="D68" t="inlineStr">
        <is>
          <t>JÄMTLANDS LÄN</t>
        </is>
      </c>
      <c r="E68" t="inlineStr">
        <is>
          <t>RAGUNDA</t>
        </is>
      </c>
      <c r="F68" t="inlineStr">
        <is>
          <t>SCA</t>
        </is>
      </c>
      <c r="G68" t="n">
        <v>3.9</v>
      </c>
      <c r="H68" t="n">
        <v>1</v>
      </c>
      <c r="I68" t="n">
        <v>2</v>
      </c>
      <c r="J68" t="n">
        <v>4</v>
      </c>
      <c r="K68" t="n">
        <v>0</v>
      </c>
      <c r="L68" t="n">
        <v>0</v>
      </c>
      <c r="M68" t="n">
        <v>0</v>
      </c>
      <c r="N68" t="n">
        <v>0</v>
      </c>
      <c r="O68" t="n">
        <v>4</v>
      </c>
      <c r="P68" t="n">
        <v>0</v>
      </c>
      <c r="Q68" t="n">
        <v>6</v>
      </c>
      <c r="R68" s="2" t="inlineStr">
        <is>
          <t>Barrviolspindling
Tretåig hackspett
Vitgrynig nållav
Äggvaxskivling
Fjällig taggsvamp s.str.
Svavelriska</t>
        </is>
      </c>
      <c r="S68">
        <f>HYPERLINK("https://klasma.github.io/Logging_2303/artfynd/A 31840-2022 artfynd.xlsx", "A 31840-2022")</f>
        <v/>
      </c>
      <c r="T68">
        <f>HYPERLINK("https://klasma.github.io/Logging_2303/kartor/A 31840-2022 karta.png", "A 31840-2022")</f>
        <v/>
      </c>
      <c r="V68">
        <f>HYPERLINK("https://klasma.github.io/Logging_2303/klagomål/A 31840-2022 FSC-klagomål.docx", "A 31840-2022")</f>
        <v/>
      </c>
      <c r="W68">
        <f>HYPERLINK("https://klasma.github.io/Logging_2303/klagomålsmail/A 31840-2022 FSC-klagomål mail.docx", "A 31840-2022")</f>
        <v/>
      </c>
      <c r="X68">
        <f>HYPERLINK("https://klasma.github.io/Logging_2303/tillsyn/A 31840-2022 tillsynsbegäran.docx", "A 31840-2022")</f>
        <v/>
      </c>
      <c r="Y68">
        <f>HYPERLINK("https://klasma.github.io/Logging_2303/tillsynsmail/A 31840-2022 tillsynsbegäran mail.docx", "A 31840-2022")</f>
        <v/>
      </c>
      <c r="Z68">
        <f>HYPERLINK("https://klasma.github.io/Logging_2303/fåglar/A 31840-2022 prioriterade fågelarter.docx", "A 31840-2022")</f>
        <v/>
      </c>
    </row>
    <row r="69" ht="15" customHeight="1">
      <c r="A69" t="inlineStr">
        <is>
          <t>A 53021-2022</t>
        </is>
      </c>
      <c r="B69" s="1" t="n">
        <v>44875</v>
      </c>
      <c r="C69" s="1" t="n">
        <v>45506</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53277-2022</t>
        </is>
      </c>
      <c r="B70" s="1" t="n">
        <v>44876</v>
      </c>
      <c r="C70" s="1" t="n">
        <v>45506</v>
      </c>
      <c r="D70" t="inlineStr">
        <is>
          <t>JÄMTLANDS LÄN</t>
        </is>
      </c>
      <c r="E70" t="inlineStr">
        <is>
          <t>RAGUNDA</t>
        </is>
      </c>
      <c r="F70" t="inlineStr">
        <is>
          <t>SCA</t>
        </is>
      </c>
      <c r="G70" t="n">
        <v>2.5</v>
      </c>
      <c r="H70" t="n">
        <v>1</v>
      </c>
      <c r="I70" t="n">
        <v>3</v>
      </c>
      <c r="J70" t="n">
        <v>3</v>
      </c>
      <c r="K70" t="n">
        <v>0</v>
      </c>
      <c r="L70" t="n">
        <v>0</v>
      </c>
      <c r="M70" t="n">
        <v>0</v>
      </c>
      <c r="N70" t="n">
        <v>0</v>
      </c>
      <c r="O70" t="n">
        <v>3</v>
      </c>
      <c r="P70" t="n">
        <v>0</v>
      </c>
      <c r="Q70" t="n">
        <v>6</v>
      </c>
      <c r="R70" s="2" t="inlineStr">
        <is>
          <t>Garnlav
Kolflarnlav
Ullticka
Dropptaggsvamp
Plattlummer
Vedticka</t>
        </is>
      </c>
      <c r="S70">
        <f>HYPERLINK("https://klasma.github.io/Logging_2303/artfynd/A 53277-2022 artfynd.xlsx", "A 53277-2022")</f>
        <v/>
      </c>
      <c r="T70">
        <f>HYPERLINK("https://klasma.github.io/Logging_2303/kartor/A 53277-2022 karta.png", "A 53277-2022")</f>
        <v/>
      </c>
      <c r="V70">
        <f>HYPERLINK("https://klasma.github.io/Logging_2303/klagomål/A 53277-2022 FSC-klagomål.docx", "A 53277-2022")</f>
        <v/>
      </c>
      <c r="W70">
        <f>HYPERLINK("https://klasma.github.io/Logging_2303/klagomålsmail/A 53277-2022 FSC-klagomål mail.docx", "A 53277-2022")</f>
        <v/>
      </c>
      <c r="X70">
        <f>HYPERLINK("https://klasma.github.io/Logging_2303/tillsyn/A 53277-2022 tillsynsbegäran.docx", "A 53277-2022")</f>
        <v/>
      </c>
      <c r="Y70">
        <f>HYPERLINK("https://klasma.github.io/Logging_2303/tillsynsmail/A 53277-2022 tillsynsbegäran mail.docx", "A 53277-2022")</f>
        <v/>
      </c>
    </row>
    <row r="71" ht="15" customHeight="1">
      <c r="A71" t="inlineStr">
        <is>
          <t>A 60669-2022</t>
        </is>
      </c>
      <c r="B71" s="1" t="n">
        <v>44911</v>
      </c>
      <c r="C71" s="1" t="n">
        <v>45506</v>
      </c>
      <c r="D71" t="inlineStr">
        <is>
          <t>JÄMTLANDS LÄN</t>
        </is>
      </c>
      <c r="E71" t="inlineStr">
        <is>
          <t>RAGUNDA</t>
        </is>
      </c>
      <c r="F71" t="inlineStr">
        <is>
          <t>SCA</t>
        </is>
      </c>
      <c r="G71" t="n">
        <v>2.3</v>
      </c>
      <c r="H71" t="n">
        <v>0</v>
      </c>
      <c r="I71" t="n">
        <v>1</v>
      </c>
      <c r="J71" t="n">
        <v>5</v>
      </c>
      <c r="K71" t="n">
        <v>0</v>
      </c>
      <c r="L71" t="n">
        <v>0</v>
      </c>
      <c r="M71" t="n">
        <v>0</v>
      </c>
      <c r="N71" t="n">
        <v>0</v>
      </c>
      <c r="O71" t="n">
        <v>5</v>
      </c>
      <c r="P71" t="n">
        <v>0</v>
      </c>
      <c r="Q71" t="n">
        <v>6</v>
      </c>
      <c r="R71" s="2" t="inlineStr">
        <is>
          <t>Dvärgbägarlav
Garnlav
Kolflarnlav
Lunglav
Vedskivlav
Dropptaggsvamp</t>
        </is>
      </c>
      <c r="S71">
        <f>HYPERLINK("https://klasma.github.io/Logging_2303/artfynd/A 60669-2022 artfynd.xlsx", "A 60669-2022")</f>
        <v/>
      </c>
      <c r="T71">
        <f>HYPERLINK("https://klasma.github.io/Logging_2303/kartor/A 60669-2022 karta.png", "A 60669-2022")</f>
        <v/>
      </c>
      <c r="V71">
        <f>HYPERLINK("https://klasma.github.io/Logging_2303/klagomål/A 60669-2022 FSC-klagomål.docx", "A 60669-2022")</f>
        <v/>
      </c>
      <c r="W71">
        <f>HYPERLINK("https://klasma.github.io/Logging_2303/klagomålsmail/A 60669-2022 FSC-klagomål mail.docx", "A 60669-2022")</f>
        <v/>
      </c>
      <c r="X71">
        <f>HYPERLINK("https://klasma.github.io/Logging_2303/tillsyn/A 60669-2022 tillsynsbegäran.docx", "A 60669-2022")</f>
        <v/>
      </c>
      <c r="Y71">
        <f>HYPERLINK("https://klasma.github.io/Logging_2303/tillsynsmail/A 60669-2022 tillsynsbegäran mail.docx", "A 60669-2022")</f>
        <v/>
      </c>
    </row>
    <row r="72" ht="15" customHeight="1">
      <c r="A72" t="inlineStr">
        <is>
          <t>A 933-2023</t>
        </is>
      </c>
      <c r="B72" s="1" t="n">
        <v>44932</v>
      </c>
      <c r="C72" s="1" t="n">
        <v>45506</v>
      </c>
      <c r="D72" t="inlineStr">
        <is>
          <t>JÄMTLANDS LÄN</t>
        </is>
      </c>
      <c r="E72" t="inlineStr">
        <is>
          <t>RAGUNDA</t>
        </is>
      </c>
      <c r="F72" t="inlineStr">
        <is>
          <t>SCA</t>
        </is>
      </c>
      <c r="G72" t="n">
        <v>2</v>
      </c>
      <c r="H72" t="n">
        <v>3</v>
      </c>
      <c r="I72" t="n">
        <v>3</v>
      </c>
      <c r="J72" t="n">
        <v>0</v>
      </c>
      <c r="K72" t="n">
        <v>0</v>
      </c>
      <c r="L72" t="n">
        <v>1</v>
      </c>
      <c r="M72" t="n">
        <v>0</v>
      </c>
      <c r="N72" t="n">
        <v>0</v>
      </c>
      <c r="O72" t="n">
        <v>1</v>
      </c>
      <c r="P72" t="n">
        <v>1</v>
      </c>
      <c r="Q72" t="n">
        <v>6</v>
      </c>
      <c r="R72" s="2" t="inlineStr">
        <is>
          <t>Trolldruvemätare
Stor aspticka
Svart trolldruva
Tvåblad
Nattviol
Gullviva</t>
        </is>
      </c>
      <c r="S72">
        <f>HYPERLINK("https://klasma.github.io/Logging_2303/artfynd/A 933-2023 artfynd.xlsx", "A 933-2023")</f>
        <v/>
      </c>
      <c r="T72">
        <f>HYPERLINK("https://klasma.github.io/Logging_2303/kartor/A 933-2023 karta.png", "A 933-2023")</f>
        <v/>
      </c>
      <c r="V72">
        <f>HYPERLINK("https://klasma.github.io/Logging_2303/klagomål/A 933-2023 FSC-klagomål.docx", "A 933-2023")</f>
        <v/>
      </c>
      <c r="W72">
        <f>HYPERLINK("https://klasma.github.io/Logging_2303/klagomålsmail/A 933-2023 FSC-klagomål mail.docx", "A 933-2023")</f>
        <v/>
      </c>
      <c r="X72">
        <f>HYPERLINK("https://klasma.github.io/Logging_2303/tillsyn/A 933-2023 tillsynsbegäran.docx", "A 933-2023")</f>
        <v/>
      </c>
      <c r="Y72">
        <f>HYPERLINK("https://klasma.github.io/Logging_2303/tillsynsmail/A 933-2023 tillsynsbegäran mail.docx", "A 933-2023")</f>
        <v/>
      </c>
    </row>
    <row r="73" ht="15" customHeight="1">
      <c r="A73" t="inlineStr">
        <is>
          <t>A 11828-2023</t>
        </is>
      </c>
      <c r="B73" s="1" t="n">
        <v>44994</v>
      </c>
      <c r="C73" s="1" t="n">
        <v>45506</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15073-2023</t>
        </is>
      </c>
      <c r="B74" s="1" t="n">
        <v>45015</v>
      </c>
      <c r="C74" s="1" t="n">
        <v>45506</v>
      </c>
      <c r="D74" t="inlineStr">
        <is>
          <t>JÄMTLANDS LÄN</t>
        </is>
      </c>
      <c r="E74" t="inlineStr">
        <is>
          <t>RAGUNDA</t>
        </is>
      </c>
      <c r="G74" t="n">
        <v>18.8</v>
      </c>
      <c r="H74" t="n">
        <v>1</v>
      </c>
      <c r="I74" t="n">
        <v>1</v>
      </c>
      <c r="J74" t="n">
        <v>4</v>
      </c>
      <c r="K74" t="n">
        <v>1</v>
      </c>
      <c r="L74" t="n">
        <v>0</v>
      </c>
      <c r="M74" t="n">
        <v>0</v>
      </c>
      <c r="N74" t="n">
        <v>0</v>
      </c>
      <c r="O74" t="n">
        <v>5</v>
      </c>
      <c r="P74" t="n">
        <v>1</v>
      </c>
      <c r="Q74" t="n">
        <v>6</v>
      </c>
      <c r="R74" s="2" t="inlineStr">
        <is>
          <t>Knärot
Garnlav
Kolflarnlav
Lunglav
Vedtrappmossa
Bårdlav</t>
        </is>
      </c>
      <c r="S74">
        <f>HYPERLINK("https://klasma.github.io/Logging_2303/artfynd/A 15073-2023 artfynd.xlsx", "A 15073-2023")</f>
        <v/>
      </c>
      <c r="T74">
        <f>HYPERLINK("https://klasma.github.io/Logging_2303/kartor/A 15073-2023 karta.png", "A 15073-2023")</f>
        <v/>
      </c>
      <c r="U74">
        <f>HYPERLINK("https://klasma.github.io/Logging_2303/knärot/A 15073-2023 karta knärot.png", "A 15073-2023")</f>
        <v/>
      </c>
      <c r="V74">
        <f>HYPERLINK("https://klasma.github.io/Logging_2303/klagomål/A 15073-2023 FSC-klagomål.docx", "A 15073-2023")</f>
        <v/>
      </c>
      <c r="W74">
        <f>HYPERLINK("https://klasma.github.io/Logging_2303/klagomålsmail/A 15073-2023 FSC-klagomål mail.docx", "A 15073-2023")</f>
        <v/>
      </c>
      <c r="X74">
        <f>HYPERLINK("https://klasma.github.io/Logging_2303/tillsyn/A 15073-2023 tillsynsbegäran.docx", "A 15073-2023")</f>
        <v/>
      </c>
      <c r="Y74">
        <f>HYPERLINK("https://klasma.github.io/Logging_2303/tillsynsmail/A 15073-2023 tillsynsbegäran mail.docx", "A 15073-2023")</f>
        <v/>
      </c>
    </row>
    <row r="75" ht="15" customHeight="1">
      <c r="A75" t="inlineStr">
        <is>
          <t>A 16195-2023</t>
        </is>
      </c>
      <c r="B75" s="1" t="n">
        <v>45027</v>
      </c>
      <c r="C75" s="1" t="n">
        <v>45506</v>
      </c>
      <c r="D75" t="inlineStr">
        <is>
          <t>JÄMTLANDS LÄN</t>
        </is>
      </c>
      <c r="E75" t="inlineStr">
        <is>
          <t>RAGUNDA</t>
        </is>
      </c>
      <c r="F75" t="inlineStr">
        <is>
          <t>SCA</t>
        </is>
      </c>
      <c r="G75" t="n">
        <v>11.3</v>
      </c>
      <c r="H75" t="n">
        <v>2</v>
      </c>
      <c r="I75" t="n">
        <v>2</v>
      </c>
      <c r="J75" t="n">
        <v>3</v>
      </c>
      <c r="K75" t="n">
        <v>1</v>
      </c>
      <c r="L75" t="n">
        <v>0</v>
      </c>
      <c r="M75" t="n">
        <v>0</v>
      </c>
      <c r="N75" t="n">
        <v>0</v>
      </c>
      <c r="O75" t="n">
        <v>4</v>
      </c>
      <c r="P75" t="n">
        <v>1</v>
      </c>
      <c r="Q75" t="n">
        <v>6</v>
      </c>
      <c r="R75" s="2" t="inlineStr">
        <is>
          <t>Knärot
Blå taggsvamp
Blågrå svartspik
Skrovlig taggsvamp
Dropptaggsvamp
Plattlummer</t>
        </is>
      </c>
      <c r="S75">
        <f>HYPERLINK("https://klasma.github.io/Logging_2303/artfynd/A 16195-2023 artfynd.xlsx", "A 16195-2023")</f>
        <v/>
      </c>
      <c r="T75">
        <f>HYPERLINK("https://klasma.github.io/Logging_2303/kartor/A 16195-2023 karta.png", "A 16195-2023")</f>
        <v/>
      </c>
      <c r="U75">
        <f>HYPERLINK("https://klasma.github.io/Logging_2303/knärot/A 16195-2023 karta knärot.png", "A 16195-2023")</f>
        <v/>
      </c>
      <c r="V75">
        <f>HYPERLINK("https://klasma.github.io/Logging_2303/klagomål/A 16195-2023 FSC-klagomål.docx", "A 16195-2023")</f>
        <v/>
      </c>
      <c r="W75">
        <f>HYPERLINK("https://klasma.github.io/Logging_2303/klagomålsmail/A 16195-2023 FSC-klagomål mail.docx", "A 16195-2023")</f>
        <v/>
      </c>
      <c r="X75">
        <f>HYPERLINK("https://klasma.github.io/Logging_2303/tillsyn/A 16195-2023 tillsynsbegäran.docx", "A 16195-2023")</f>
        <v/>
      </c>
      <c r="Y75">
        <f>HYPERLINK("https://klasma.github.io/Logging_2303/tillsynsmail/A 16195-2023 tillsynsbegäran mail.docx", "A 16195-2023")</f>
        <v/>
      </c>
    </row>
    <row r="76" ht="15" customHeight="1">
      <c r="A76" t="inlineStr">
        <is>
          <t>A 22469-2023</t>
        </is>
      </c>
      <c r="B76" s="1" t="n">
        <v>45070</v>
      </c>
      <c r="C76" s="1" t="n">
        <v>45506</v>
      </c>
      <c r="D76" t="inlineStr">
        <is>
          <t>JÄMTLANDS LÄN</t>
        </is>
      </c>
      <c r="E76" t="inlineStr">
        <is>
          <t>RAGUNDA</t>
        </is>
      </c>
      <c r="F76" t="inlineStr">
        <is>
          <t>SCA</t>
        </is>
      </c>
      <c r="G76" t="n">
        <v>9.199999999999999</v>
      </c>
      <c r="H76" t="n">
        <v>0</v>
      </c>
      <c r="I76" t="n">
        <v>2</v>
      </c>
      <c r="J76" t="n">
        <v>4</v>
      </c>
      <c r="K76" t="n">
        <v>0</v>
      </c>
      <c r="L76" t="n">
        <v>0</v>
      </c>
      <c r="M76" t="n">
        <v>0</v>
      </c>
      <c r="N76" t="n">
        <v>0</v>
      </c>
      <c r="O76" t="n">
        <v>4</v>
      </c>
      <c r="P76" t="n">
        <v>0</v>
      </c>
      <c r="Q76" t="n">
        <v>6</v>
      </c>
      <c r="R76" s="2" t="inlineStr">
        <is>
          <t>Dvärgbägarlav
Garnlav
Kolflarnlav
Lunglav
Dropptaggsvamp
Källmossor</t>
        </is>
      </c>
      <c r="S76">
        <f>HYPERLINK("https://klasma.github.io/Logging_2303/artfynd/A 22469-2023 artfynd.xlsx", "A 22469-2023")</f>
        <v/>
      </c>
      <c r="T76">
        <f>HYPERLINK("https://klasma.github.io/Logging_2303/kartor/A 22469-2023 karta.png", "A 22469-2023")</f>
        <v/>
      </c>
      <c r="V76">
        <f>HYPERLINK("https://klasma.github.io/Logging_2303/klagomål/A 22469-2023 FSC-klagomål.docx", "A 22469-2023")</f>
        <v/>
      </c>
      <c r="W76">
        <f>HYPERLINK("https://klasma.github.io/Logging_2303/klagomålsmail/A 22469-2023 FSC-klagomål mail.docx", "A 22469-2023")</f>
        <v/>
      </c>
      <c r="X76">
        <f>HYPERLINK("https://klasma.github.io/Logging_2303/tillsyn/A 22469-2023 tillsynsbegäran.docx", "A 22469-2023")</f>
        <v/>
      </c>
      <c r="Y76">
        <f>HYPERLINK("https://klasma.github.io/Logging_2303/tillsynsmail/A 22469-2023 tillsynsbegäran mail.docx", "A 22469-2023")</f>
        <v/>
      </c>
    </row>
    <row r="77" ht="15" customHeight="1">
      <c r="A77" t="inlineStr">
        <is>
          <t>A 55646-2023</t>
        </is>
      </c>
      <c r="B77" s="1" t="n">
        <v>45238</v>
      </c>
      <c r="C77" s="1" t="n">
        <v>45506</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9330-2024</t>
        </is>
      </c>
      <c r="B78" s="1" t="n">
        <v>45359</v>
      </c>
      <c r="C78" s="1" t="n">
        <v>45506</v>
      </c>
      <c r="D78" t="inlineStr">
        <is>
          <t>JÄMTLANDS LÄN</t>
        </is>
      </c>
      <c r="E78" t="inlineStr">
        <is>
          <t>RAGUNDA</t>
        </is>
      </c>
      <c r="F78" t="inlineStr">
        <is>
          <t>SCA</t>
        </is>
      </c>
      <c r="G78" t="n">
        <v>13</v>
      </c>
      <c r="H78" t="n">
        <v>0</v>
      </c>
      <c r="I78" t="n">
        <v>0</v>
      </c>
      <c r="J78" t="n">
        <v>3</v>
      </c>
      <c r="K78" t="n">
        <v>3</v>
      </c>
      <c r="L78" t="n">
        <v>0</v>
      </c>
      <c r="M78" t="n">
        <v>0</v>
      </c>
      <c r="N78" t="n">
        <v>0</v>
      </c>
      <c r="O78" t="n">
        <v>6</v>
      </c>
      <c r="P78" t="n">
        <v>3</v>
      </c>
      <c r="Q78" t="n">
        <v>6</v>
      </c>
      <c r="R78" s="2" t="inlineStr">
        <is>
          <t>Goliatmusseron
Smalfotad taggsvamp
Tajgataggsvamp
Kolflarnlav
Reliktbock
Vedskivlav</t>
        </is>
      </c>
      <c r="S78">
        <f>HYPERLINK("https://klasma.github.io/Logging_2303/artfynd/A 9330-2024 artfynd.xlsx", "A 9330-2024")</f>
        <v/>
      </c>
      <c r="T78">
        <f>HYPERLINK("https://klasma.github.io/Logging_2303/kartor/A 9330-2024 karta.png", "A 9330-2024")</f>
        <v/>
      </c>
      <c r="V78">
        <f>HYPERLINK("https://klasma.github.io/Logging_2303/klagomål/A 9330-2024 FSC-klagomål.docx", "A 9330-2024")</f>
        <v/>
      </c>
      <c r="W78">
        <f>HYPERLINK("https://klasma.github.io/Logging_2303/klagomålsmail/A 9330-2024 FSC-klagomål mail.docx", "A 9330-2024")</f>
        <v/>
      </c>
      <c r="X78">
        <f>HYPERLINK("https://klasma.github.io/Logging_2303/tillsyn/A 9330-2024 tillsynsbegäran.docx", "A 9330-2024")</f>
        <v/>
      </c>
      <c r="Y78">
        <f>HYPERLINK("https://klasma.github.io/Logging_2303/tillsynsmail/A 9330-2024 tillsynsbegäran mail.docx", "A 9330-2024")</f>
        <v/>
      </c>
    </row>
    <row r="79" ht="15" customHeight="1">
      <c r="A79" t="inlineStr">
        <is>
          <t>A 15977-2024</t>
        </is>
      </c>
      <c r="B79" s="1" t="n">
        <v>45405</v>
      </c>
      <c r="C79" s="1" t="n">
        <v>45506</v>
      </c>
      <c r="D79" t="inlineStr">
        <is>
          <t>JÄMTLANDS LÄN</t>
        </is>
      </c>
      <c r="E79" t="inlineStr">
        <is>
          <t>RAGUNDA</t>
        </is>
      </c>
      <c r="F79" t="inlineStr">
        <is>
          <t>Kommuner</t>
        </is>
      </c>
      <c r="G79" t="n">
        <v>12.1</v>
      </c>
      <c r="H79" t="n">
        <v>0</v>
      </c>
      <c r="I79" t="n">
        <v>1</v>
      </c>
      <c r="J79" t="n">
        <v>5</v>
      </c>
      <c r="K79" t="n">
        <v>0</v>
      </c>
      <c r="L79" t="n">
        <v>0</v>
      </c>
      <c r="M79" t="n">
        <v>0</v>
      </c>
      <c r="N79" t="n">
        <v>0</v>
      </c>
      <c r="O79" t="n">
        <v>5</v>
      </c>
      <c r="P79" t="n">
        <v>0</v>
      </c>
      <c r="Q79" t="n">
        <v>6</v>
      </c>
      <c r="R79" s="2" t="inlineStr">
        <is>
          <t>Blanksvart spiklav
Dvärgbägarlav
Garnlav
Mörk kolflarnlav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26326-2024</t>
        </is>
      </c>
      <c r="B80" s="1" t="n">
        <v>45469</v>
      </c>
      <c r="C80" s="1" t="n">
        <v>45506</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45472</v>
      </c>
      <c r="C81" s="1" t="n">
        <v>45506</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50987-2020</t>
        </is>
      </c>
      <c r="B82" s="1" t="n">
        <v>44111</v>
      </c>
      <c r="C82" s="1" t="n">
        <v>45506</v>
      </c>
      <c r="D82" t="inlineStr">
        <is>
          <t>JÄMTLANDS LÄN</t>
        </is>
      </c>
      <c r="E82" t="inlineStr">
        <is>
          <t>RAGUNDA</t>
        </is>
      </c>
      <c r="G82" t="n">
        <v>6.7</v>
      </c>
      <c r="H82" t="n">
        <v>1</v>
      </c>
      <c r="I82" t="n">
        <v>0</v>
      </c>
      <c r="J82" t="n">
        <v>3</v>
      </c>
      <c r="K82" t="n">
        <v>2</v>
      </c>
      <c r="L82" t="n">
        <v>0</v>
      </c>
      <c r="M82" t="n">
        <v>0</v>
      </c>
      <c r="N82" t="n">
        <v>0</v>
      </c>
      <c r="O82" t="n">
        <v>5</v>
      </c>
      <c r="P82" t="n">
        <v>2</v>
      </c>
      <c r="Q82" t="n">
        <v>5</v>
      </c>
      <c r="R82" s="2" t="inlineStr">
        <is>
          <t>Knärot
Norsk näverlav
Garnlav
Skrovellav
Vedtrappmossa</t>
        </is>
      </c>
      <c r="S82">
        <f>HYPERLINK("https://klasma.github.io/Logging_2303/artfynd/A 50987-2020 artfynd.xlsx", "A 50987-2020")</f>
        <v/>
      </c>
      <c r="T82">
        <f>HYPERLINK("https://klasma.github.io/Logging_2303/kartor/A 50987-2020 karta.png", "A 50987-2020")</f>
        <v/>
      </c>
      <c r="U82">
        <f>HYPERLINK("https://klasma.github.io/Logging_2303/knärot/A 50987-2020 karta knärot.png", "A 50987-2020")</f>
        <v/>
      </c>
      <c r="V82">
        <f>HYPERLINK("https://klasma.github.io/Logging_2303/klagomål/A 50987-2020 FSC-klagomål.docx", "A 50987-2020")</f>
        <v/>
      </c>
      <c r="W82">
        <f>HYPERLINK("https://klasma.github.io/Logging_2303/klagomålsmail/A 50987-2020 FSC-klagomål mail.docx", "A 50987-2020")</f>
        <v/>
      </c>
      <c r="X82">
        <f>HYPERLINK("https://klasma.github.io/Logging_2303/tillsyn/A 50987-2020 tillsynsbegäran.docx", "A 50987-2020")</f>
        <v/>
      </c>
      <c r="Y82">
        <f>HYPERLINK("https://klasma.github.io/Logging_2303/tillsynsmail/A 50987-2020 tillsynsbegäran mail.docx", "A 50987-2020")</f>
        <v/>
      </c>
    </row>
    <row r="83" ht="15" customHeight="1">
      <c r="A83" t="inlineStr">
        <is>
          <t>A 57197-2020</t>
        </is>
      </c>
      <c r="B83" s="1" t="n">
        <v>44139</v>
      </c>
      <c r="C83" s="1" t="n">
        <v>45506</v>
      </c>
      <c r="D83" t="inlineStr">
        <is>
          <t>JÄMTLANDS LÄN</t>
        </is>
      </c>
      <c r="E83" t="inlineStr">
        <is>
          <t>RAGUNDA</t>
        </is>
      </c>
      <c r="G83" t="n">
        <v>9.1</v>
      </c>
      <c r="H83" t="n">
        <v>2</v>
      </c>
      <c r="I83" t="n">
        <v>2</v>
      </c>
      <c r="J83" t="n">
        <v>3</v>
      </c>
      <c r="K83" t="n">
        <v>0</v>
      </c>
      <c r="L83" t="n">
        <v>0</v>
      </c>
      <c r="M83" t="n">
        <v>0</v>
      </c>
      <c r="N83" t="n">
        <v>0</v>
      </c>
      <c r="O83" t="n">
        <v>3</v>
      </c>
      <c r="P83" t="n">
        <v>0</v>
      </c>
      <c r="Q83" t="n">
        <v>5</v>
      </c>
      <c r="R83" s="2" t="inlineStr">
        <is>
          <t>Dvärgbägarlav
Kolflarnlav
Spillkråka
Dropptaggsvamp
Tvåblad</t>
        </is>
      </c>
      <c r="S83">
        <f>HYPERLINK("https://klasma.github.io/Logging_2303/artfynd/A 57197-2020 artfynd.xlsx", "A 57197-2020")</f>
        <v/>
      </c>
      <c r="T83">
        <f>HYPERLINK("https://klasma.github.io/Logging_2303/kartor/A 57197-2020 karta.png", "A 57197-2020")</f>
        <v/>
      </c>
      <c r="V83">
        <f>HYPERLINK("https://klasma.github.io/Logging_2303/klagomål/A 57197-2020 FSC-klagomål.docx", "A 57197-2020")</f>
        <v/>
      </c>
      <c r="W83">
        <f>HYPERLINK("https://klasma.github.io/Logging_2303/klagomålsmail/A 57197-2020 FSC-klagomål mail.docx", "A 57197-2020")</f>
        <v/>
      </c>
      <c r="X83">
        <f>HYPERLINK("https://klasma.github.io/Logging_2303/tillsyn/A 57197-2020 tillsynsbegäran.docx", "A 57197-2020")</f>
        <v/>
      </c>
      <c r="Y83">
        <f>HYPERLINK("https://klasma.github.io/Logging_2303/tillsynsmail/A 57197-2020 tillsynsbegäran mail.docx", "A 57197-2020")</f>
        <v/>
      </c>
      <c r="Z83">
        <f>HYPERLINK("https://klasma.github.io/Logging_2303/fåglar/A 57197-2020 prioriterade fågelarter.docx", "A 57197-2020")</f>
        <v/>
      </c>
    </row>
    <row r="84" ht="15" customHeight="1">
      <c r="A84" t="inlineStr">
        <is>
          <t>A 57718-2020</t>
        </is>
      </c>
      <c r="B84" s="1" t="n">
        <v>44140</v>
      </c>
      <c r="C84" s="1" t="n">
        <v>45506</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Lunglav
Ullticka
Korallblylav
Luddlav
Stuplav</t>
        </is>
      </c>
      <c r="S84">
        <f>HYPERLINK("https://klasma.github.io/Logging_2303/artfynd/A 57718-2020 artfynd.xlsx", "A 57718-2020")</f>
        <v/>
      </c>
      <c r="T84">
        <f>HYPERLINK("https://klasma.github.io/Logging_2303/kartor/A 57718-2020 karta.png", "A 57718-2020")</f>
        <v/>
      </c>
      <c r="V84">
        <f>HYPERLINK("https://klasma.github.io/Logging_2303/klagomål/A 57718-2020 FSC-klagomål.docx", "A 57718-2020")</f>
        <v/>
      </c>
      <c r="W84">
        <f>HYPERLINK("https://klasma.github.io/Logging_2303/klagomålsmail/A 57718-2020 FSC-klagomål mail.docx", "A 57718-2020")</f>
        <v/>
      </c>
      <c r="X84">
        <f>HYPERLINK("https://klasma.github.io/Logging_2303/tillsyn/A 57718-2020 tillsynsbegäran.docx", "A 57718-2020")</f>
        <v/>
      </c>
      <c r="Y84">
        <f>HYPERLINK("https://klasma.github.io/Logging_2303/tillsynsmail/A 57718-2020 tillsynsbegäran mail.docx", "A 57718-2020")</f>
        <v/>
      </c>
    </row>
    <row r="85" ht="15" customHeight="1">
      <c r="A85" t="inlineStr">
        <is>
          <t>A 13482-2022</t>
        </is>
      </c>
      <c r="B85" s="1" t="n">
        <v>44645</v>
      </c>
      <c r="C85" s="1" t="n">
        <v>45506</v>
      </c>
      <c r="D85" t="inlineStr">
        <is>
          <t>JÄMTLANDS LÄN</t>
        </is>
      </c>
      <c r="E85" t="inlineStr">
        <is>
          <t>RAGUNDA</t>
        </is>
      </c>
      <c r="F85" t="inlineStr">
        <is>
          <t>SCA</t>
        </is>
      </c>
      <c r="G85" t="n">
        <v>6.6</v>
      </c>
      <c r="H85" t="n">
        <v>0</v>
      </c>
      <c r="I85" t="n">
        <v>0</v>
      </c>
      <c r="J85" t="n">
        <v>5</v>
      </c>
      <c r="K85" t="n">
        <v>0</v>
      </c>
      <c r="L85" t="n">
        <v>0</v>
      </c>
      <c r="M85" t="n">
        <v>0</v>
      </c>
      <c r="N85" t="n">
        <v>0</v>
      </c>
      <c r="O85" t="n">
        <v>5</v>
      </c>
      <c r="P85" t="n">
        <v>0</v>
      </c>
      <c r="Q85" t="n">
        <v>5</v>
      </c>
      <c r="R85" s="2" t="inlineStr">
        <is>
          <t>Dvärgbägarlav
Garnlav
Lunglav
Mörk kolflarnlav
Vedskivlav</t>
        </is>
      </c>
      <c r="S85">
        <f>HYPERLINK("https://klasma.github.io/Logging_2303/artfynd/A 13482-2022 artfynd.xlsx", "A 13482-2022")</f>
        <v/>
      </c>
      <c r="T85">
        <f>HYPERLINK("https://klasma.github.io/Logging_2303/kartor/A 13482-2022 karta.png", "A 13482-2022")</f>
        <v/>
      </c>
      <c r="U85">
        <f>HYPERLINK("https://klasma.github.io/Logging_2303/knärot/A 13482-2022 karta knärot.png", "A 13482-2022")</f>
        <v/>
      </c>
      <c r="V85">
        <f>HYPERLINK("https://klasma.github.io/Logging_2303/klagomål/A 13482-2022 FSC-klagomål.docx", "A 13482-2022")</f>
        <v/>
      </c>
      <c r="W85">
        <f>HYPERLINK("https://klasma.github.io/Logging_2303/klagomålsmail/A 13482-2022 FSC-klagomål mail.docx", "A 13482-2022")</f>
        <v/>
      </c>
      <c r="X85">
        <f>HYPERLINK("https://klasma.github.io/Logging_2303/tillsyn/A 13482-2022 tillsynsbegäran.docx", "A 13482-2022")</f>
        <v/>
      </c>
      <c r="Y85">
        <f>HYPERLINK("https://klasma.github.io/Logging_2303/tillsynsmail/A 13482-2022 tillsynsbegäran mail.docx", "A 13482-2022")</f>
        <v/>
      </c>
    </row>
    <row r="86" ht="15" customHeight="1">
      <c r="A86" t="inlineStr">
        <is>
          <t>A 14908-2022</t>
        </is>
      </c>
      <c r="B86" s="1" t="n">
        <v>44656</v>
      </c>
      <c r="C86" s="1" t="n">
        <v>45506</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Garnlav
Skrovellav
Bårdlav
Källmossa
Ögonpyrola</t>
        </is>
      </c>
      <c r="S86">
        <f>HYPERLINK("https://klasma.github.io/Logging_2303/artfynd/A 14908-2022 artfynd.xlsx", "A 14908-2022")</f>
        <v/>
      </c>
      <c r="T86">
        <f>HYPERLINK("https://klasma.github.io/Logging_2303/kartor/A 14908-2022 karta.png", "A 14908-2022")</f>
        <v/>
      </c>
      <c r="V86">
        <f>HYPERLINK("https://klasma.github.io/Logging_2303/klagomål/A 14908-2022 FSC-klagomål.docx", "A 14908-2022")</f>
        <v/>
      </c>
      <c r="W86">
        <f>HYPERLINK("https://klasma.github.io/Logging_2303/klagomålsmail/A 14908-2022 FSC-klagomål mail.docx", "A 14908-2022")</f>
        <v/>
      </c>
      <c r="X86">
        <f>HYPERLINK("https://klasma.github.io/Logging_2303/tillsyn/A 14908-2022 tillsynsbegäran.docx", "A 14908-2022")</f>
        <v/>
      </c>
      <c r="Y86">
        <f>HYPERLINK("https://klasma.github.io/Logging_2303/tillsynsmail/A 14908-2022 tillsynsbegäran mail.docx", "A 14908-2022")</f>
        <v/>
      </c>
    </row>
    <row r="87" ht="15" customHeight="1">
      <c r="A87" t="inlineStr">
        <is>
          <t>A 26143-2022</t>
        </is>
      </c>
      <c r="B87" s="1" t="n">
        <v>44734</v>
      </c>
      <c r="C87" s="1" t="n">
        <v>45506</v>
      </c>
      <c r="D87" t="inlineStr">
        <is>
          <t>JÄMTLANDS LÄN</t>
        </is>
      </c>
      <c r="E87" t="inlineStr">
        <is>
          <t>RAGUNDA</t>
        </is>
      </c>
      <c r="F87" t="inlineStr">
        <is>
          <t>SCA</t>
        </is>
      </c>
      <c r="G87" t="n">
        <v>4.4</v>
      </c>
      <c r="H87" t="n">
        <v>0</v>
      </c>
      <c r="I87" t="n">
        <v>2</v>
      </c>
      <c r="J87" t="n">
        <v>2</v>
      </c>
      <c r="K87" t="n">
        <v>1</v>
      </c>
      <c r="L87" t="n">
        <v>0</v>
      </c>
      <c r="M87" t="n">
        <v>0</v>
      </c>
      <c r="N87" t="n">
        <v>0</v>
      </c>
      <c r="O87" t="n">
        <v>3</v>
      </c>
      <c r="P87" t="n">
        <v>1</v>
      </c>
      <c r="Q87" t="n">
        <v>5</v>
      </c>
      <c r="R87" s="2" t="inlineStr">
        <is>
          <t>Gräddporing
Kolflarnlav
Lunglav
Dropptaggsvamp
Skinnlav</t>
        </is>
      </c>
      <c r="S87">
        <f>HYPERLINK("https://klasma.github.io/Logging_2303/artfynd/A 26143-2022 artfynd.xlsx", "A 26143-2022")</f>
        <v/>
      </c>
      <c r="T87">
        <f>HYPERLINK("https://klasma.github.io/Logging_2303/kartor/A 26143-2022 karta.png", "A 26143-2022")</f>
        <v/>
      </c>
      <c r="V87">
        <f>HYPERLINK("https://klasma.github.io/Logging_2303/klagomål/A 26143-2022 FSC-klagomål.docx", "A 26143-2022")</f>
        <v/>
      </c>
      <c r="W87">
        <f>HYPERLINK("https://klasma.github.io/Logging_2303/klagomålsmail/A 26143-2022 FSC-klagomål mail.docx", "A 26143-2022")</f>
        <v/>
      </c>
      <c r="X87">
        <f>HYPERLINK("https://klasma.github.io/Logging_2303/tillsyn/A 26143-2022 tillsynsbegäran.docx", "A 26143-2022")</f>
        <v/>
      </c>
      <c r="Y87">
        <f>HYPERLINK("https://klasma.github.io/Logging_2303/tillsynsmail/A 26143-2022 tillsynsbegäran mail.docx", "A 26143-2022")</f>
        <v/>
      </c>
    </row>
    <row r="88" ht="15" customHeight="1">
      <c r="A88" t="inlineStr">
        <is>
          <t>A 50340-2022</t>
        </is>
      </c>
      <c r="B88" s="1" t="n">
        <v>44865</v>
      </c>
      <c r="C88" s="1" t="n">
        <v>45506</v>
      </c>
      <c r="D88" t="inlineStr">
        <is>
          <t>JÄMTLANDS LÄN</t>
        </is>
      </c>
      <c r="E88" t="inlineStr">
        <is>
          <t>RAGUNDA</t>
        </is>
      </c>
      <c r="F88" t="inlineStr">
        <is>
          <t>SCA</t>
        </is>
      </c>
      <c r="G88" t="n">
        <v>12.8</v>
      </c>
      <c r="H88" t="n">
        <v>0</v>
      </c>
      <c r="I88" t="n">
        <v>1</v>
      </c>
      <c r="J88" t="n">
        <v>4</v>
      </c>
      <c r="K88" t="n">
        <v>0</v>
      </c>
      <c r="L88" t="n">
        <v>0</v>
      </c>
      <c r="M88" t="n">
        <v>0</v>
      </c>
      <c r="N88" t="n">
        <v>0</v>
      </c>
      <c r="O88" t="n">
        <v>4</v>
      </c>
      <c r="P88" t="n">
        <v>0</v>
      </c>
      <c r="Q88" t="n">
        <v>5</v>
      </c>
      <c r="R88" s="2" t="inlineStr">
        <is>
          <t>Gammelgransskål
Garnlav
Kolflarnlav
Lunglav
Stor aspticka</t>
        </is>
      </c>
      <c r="S88">
        <f>HYPERLINK("https://klasma.github.io/Logging_2303/artfynd/A 50340-2022 artfynd.xlsx", "A 50340-2022")</f>
        <v/>
      </c>
      <c r="T88">
        <f>HYPERLINK("https://klasma.github.io/Logging_2303/kartor/A 50340-2022 karta.png", "A 50340-2022")</f>
        <v/>
      </c>
      <c r="V88">
        <f>HYPERLINK("https://klasma.github.io/Logging_2303/klagomål/A 50340-2022 FSC-klagomål.docx", "A 50340-2022")</f>
        <v/>
      </c>
      <c r="W88">
        <f>HYPERLINK("https://klasma.github.io/Logging_2303/klagomålsmail/A 50340-2022 FSC-klagomål mail.docx", "A 50340-2022")</f>
        <v/>
      </c>
      <c r="X88">
        <f>HYPERLINK("https://klasma.github.io/Logging_2303/tillsyn/A 50340-2022 tillsynsbegäran.docx", "A 50340-2022")</f>
        <v/>
      </c>
      <c r="Y88">
        <f>HYPERLINK("https://klasma.github.io/Logging_2303/tillsynsmail/A 50340-2022 tillsynsbegäran mail.docx", "A 50340-2022")</f>
        <v/>
      </c>
    </row>
    <row r="89" ht="15" customHeight="1">
      <c r="A89" t="inlineStr">
        <is>
          <t>A 60683-2022</t>
        </is>
      </c>
      <c r="B89" s="1" t="n">
        <v>44911</v>
      </c>
      <c r="C89" s="1" t="n">
        <v>45506</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13266-2023</t>
        </is>
      </c>
      <c r="B90" s="1" t="n">
        <v>45002</v>
      </c>
      <c r="C90" s="1" t="n">
        <v>45506</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43106-2023</t>
        </is>
      </c>
      <c r="B91" s="1" t="n">
        <v>45182</v>
      </c>
      <c r="C91" s="1" t="n">
        <v>45506</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45969-2023</t>
        </is>
      </c>
      <c r="B92" s="1" t="n">
        <v>45195</v>
      </c>
      <c r="C92" s="1" t="n">
        <v>45506</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51032-2023</t>
        </is>
      </c>
      <c r="B93" s="1" t="n">
        <v>45218</v>
      </c>
      <c r="C93" s="1" t="n">
        <v>45506</v>
      </c>
      <c r="D93" t="inlineStr">
        <is>
          <t>JÄMTLANDS LÄN</t>
        </is>
      </c>
      <c r="E93" t="inlineStr">
        <is>
          <t>RAGUNDA</t>
        </is>
      </c>
      <c r="G93" t="n">
        <v>3.5</v>
      </c>
      <c r="H93" t="n">
        <v>3</v>
      </c>
      <c r="I93" t="n">
        <v>3</v>
      </c>
      <c r="J93" t="n">
        <v>1</v>
      </c>
      <c r="K93" t="n">
        <v>0</v>
      </c>
      <c r="L93" t="n">
        <v>0</v>
      </c>
      <c r="M93" t="n">
        <v>0</v>
      </c>
      <c r="N93" t="n">
        <v>0</v>
      </c>
      <c r="O93" t="n">
        <v>1</v>
      </c>
      <c r="P93" t="n">
        <v>0</v>
      </c>
      <c r="Q93" t="n">
        <v>5</v>
      </c>
      <c r="R93" s="2" t="inlineStr">
        <is>
          <t>Gultoppig fingersvamp
Grönkulla
Svart trolldruva
Tvåblad
Blåsippa</t>
        </is>
      </c>
      <c r="S93">
        <f>HYPERLINK("https://klasma.github.io/Logging_2303/artfynd/A 51032-2023 artfynd.xlsx", "A 51032-2023")</f>
        <v/>
      </c>
      <c r="T93">
        <f>HYPERLINK("https://klasma.github.io/Logging_2303/kartor/A 51032-2023 karta.png", "A 51032-2023")</f>
        <v/>
      </c>
      <c r="V93">
        <f>HYPERLINK("https://klasma.github.io/Logging_2303/klagomål/A 51032-2023 FSC-klagomål.docx", "A 51032-2023")</f>
        <v/>
      </c>
      <c r="W93">
        <f>HYPERLINK("https://klasma.github.io/Logging_2303/klagomålsmail/A 51032-2023 FSC-klagomål mail.docx", "A 51032-2023")</f>
        <v/>
      </c>
      <c r="X93">
        <f>HYPERLINK("https://klasma.github.io/Logging_2303/tillsyn/A 51032-2023 tillsynsbegäran.docx", "A 51032-2023")</f>
        <v/>
      </c>
      <c r="Y93">
        <f>HYPERLINK("https://klasma.github.io/Logging_2303/tillsynsmail/A 51032-2023 tillsynsbegäran mail.docx", "A 51032-2023")</f>
        <v/>
      </c>
    </row>
    <row r="94" ht="15" customHeight="1">
      <c r="A94" t="inlineStr">
        <is>
          <t>A 2249-2024</t>
        </is>
      </c>
      <c r="B94" s="1" t="n">
        <v>45309</v>
      </c>
      <c r="C94" s="1" t="n">
        <v>45506</v>
      </c>
      <c r="D94" t="inlineStr">
        <is>
          <t>JÄMTLANDS LÄN</t>
        </is>
      </c>
      <c r="E94" t="inlineStr">
        <is>
          <t>RAGUNDA</t>
        </is>
      </c>
      <c r="G94" t="n">
        <v>4.9</v>
      </c>
      <c r="H94" t="n">
        <v>0</v>
      </c>
      <c r="I94" t="n">
        <v>3</v>
      </c>
      <c r="J94" t="n">
        <v>2</v>
      </c>
      <c r="K94" t="n">
        <v>0</v>
      </c>
      <c r="L94" t="n">
        <v>0</v>
      </c>
      <c r="M94" t="n">
        <v>0</v>
      </c>
      <c r="N94" t="n">
        <v>0</v>
      </c>
      <c r="O94" t="n">
        <v>2</v>
      </c>
      <c r="P94" t="n">
        <v>0</v>
      </c>
      <c r="Q94" t="n">
        <v>5</v>
      </c>
      <c r="R94" s="2" t="inlineStr">
        <is>
          <t>Lunglav
Äggvaxskivling
Bollvitmossa
Bårdlav
Stuplav</t>
        </is>
      </c>
      <c r="S94">
        <f>HYPERLINK("https://klasma.github.io/Logging_2303/artfynd/A 2249-2024 artfynd.xlsx", "A 2249-2024")</f>
        <v/>
      </c>
      <c r="T94">
        <f>HYPERLINK("https://klasma.github.io/Logging_2303/kartor/A 2249-2024 karta.png", "A 2249-2024")</f>
        <v/>
      </c>
      <c r="V94">
        <f>HYPERLINK("https://klasma.github.io/Logging_2303/klagomål/A 2249-2024 FSC-klagomål.docx", "A 2249-2024")</f>
        <v/>
      </c>
      <c r="W94">
        <f>HYPERLINK("https://klasma.github.io/Logging_2303/klagomålsmail/A 2249-2024 FSC-klagomål mail.docx", "A 2249-2024")</f>
        <v/>
      </c>
      <c r="X94">
        <f>HYPERLINK("https://klasma.github.io/Logging_2303/tillsyn/A 2249-2024 tillsynsbegäran.docx", "A 2249-2024")</f>
        <v/>
      </c>
      <c r="Y94">
        <f>HYPERLINK("https://klasma.github.io/Logging_2303/tillsynsmail/A 2249-2024 tillsynsbegäran mail.docx", "A 2249-2024")</f>
        <v/>
      </c>
    </row>
    <row r="95" ht="15" customHeight="1">
      <c r="A95" t="inlineStr">
        <is>
          <t>A 15379-2024</t>
        </is>
      </c>
      <c r="B95" s="1" t="n">
        <v>45401</v>
      </c>
      <c r="C95" s="1" t="n">
        <v>45506</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18629-2024</t>
        </is>
      </c>
      <c r="B96" s="1" t="n">
        <v>45426</v>
      </c>
      <c r="C96" s="1" t="n">
        <v>45506</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45447</v>
      </c>
      <c r="C97" s="1" t="n">
        <v>45506</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24431-2024</t>
        </is>
      </c>
      <c r="B98" s="1" t="n">
        <v>45458</v>
      </c>
      <c r="C98" s="1" t="n">
        <v>45506</v>
      </c>
      <c r="D98" t="inlineStr">
        <is>
          <t>JÄMTLANDS LÄN</t>
        </is>
      </c>
      <c r="E98" t="inlineStr">
        <is>
          <t>RAGUNDA</t>
        </is>
      </c>
      <c r="F98" t="inlineStr">
        <is>
          <t>SCA</t>
        </is>
      </c>
      <c r="G98" t="n">
        <v>3.6</v>
      </c>
      <c r="H98" t="n">
        <v>0</v>
      </c>
      <c r="I98" t="n">
        <v>0</v>
      </c>
      <c r="J98" t="n">
        <v>5</v>
      </c>
      <c r="K98" t="n">
        <v>0</v>
      </c>
      <c r="L98" t="n">
        <v>0</v>
      </c>
      <c r="M98" t="n">
        <v>0</v>
      </c>
      <c r="N98" t="n">
        <v>0</v>
      </c>
      <c r="O98" t="n">
        <v>5</v>
      </c>
      <c r="P98" t="n">
        <v>0</v>
      </c>
      <c r="Q98" t="n">
        <v>5</v>
      </c>
      <c r="R98" s="2" t="inlineStr">
        <is>
          <t>Doftskinn
Gammelgransskål
Rosenticka
Ullticka
Vitgrynig nållav</t>
        </is>
      </c>
      <c r="S98">
        <f>HYPERLINK("https://klasma.github.io/Logging_2303/artfynd/A 24431-2024 artfynd.xlsx", "A 24431-2024")</f>
        <v/>
      </c>
      <c r="T98">
        <f>HYPERLINK("https://klasma.github.io/Logging_2303/kartor/A 24431-2024 karta.png", "A 24431-2024")</f>
        <v/>
      </c>
      <c r="V98">
        <f>HYPERLINK("https://klasma.github.io/Logging_2303/klagomål/A 24431-2024 FSC-klagomål.docx", "A 24431-2024")</f>
        <v/>
      </c>
      <c r="W98">
        <f>HYPERLINK("https://klasma.github.io/Logging_2303/klagomålsmail/A 24431-2024 FSC-klagomål mail.docx", "A 24431-2024")</f>
        <v/>
      </c>
      <c r="X98">
        <f>HYPERLINK("https://klasma.github.io/Logging_2303/tillsyn/A 24431-2024 tillsynsbegäran.docx", "A 24431-2024")</f>
        <v/>
      </c>
      <c r="Y98">
        <f>HYPERLINK("https://klasma.github.io/Logging_2303/tillsynsmail/A 24431-2024 tillsynsbegäran mail.docx", "A 24431-2024")</f>
        <v/>
      </c>
    </row>
    <row r="99" ht="15" customHeight="1">
      <c r="A99" t="inlineStr">
        <is>
          <t>A 27313-2024</t>
        </is>
      </c>
      <c r="B99" s="1" t="n">
        <v>45472</v>
      </c>
      <c r="C99" s="1" t="n">
        <v>45506</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51686-2020</t>
        </is>
      </c>
      <c r="B100" s="1" t="n">
        <v>44113</v>
      </c>
      <c r="C100" s="1" t="n">
        <v>45506</v>
      </c>
      <c r="D100" t="inlineStr">
        <is>
          <t>JÄMTLANDS LÄN</t>
        </is>
      </c>
      <c r="E100" t="inlineStr">
        <is>
          <t>RAGUNDA</t>
        </is>
      </c>
      <c r="F100" t="inlineStr">
        <is>
          <t>SCA</t>
        </is>
      </c>
      <c r="G100" t="n">
        <v>1.8</v>
      </c>
      <c r="H100" t="n">
        <v>0</v>
      </c>
      <c r="I100" t="n">
        <v>1</v>
      </c>
      <c r="J100" t="n">
        <v>3</v>
      </c>
      <c r="K100" t="n">
        <v>0</v>
      </c>
      <c r="L100" t="n">
        <v>0</v>
      </c>
      <c r="M100" t="n">
        <v>0</v>
      </c>
      <c r="N100" t="n">
        <v>0</v>
      </c>
      <c r="O100" t="n">
        <v>3</v>
      </c>
      <c r="P100" t="n">
        <v>0</v>
      </c>
      <c r="Q100" t="n">
        <v>4</v>
      </c>
      <c r="R100" s="2" t="inlineStr">
        <is>
          <t>Kolflarnlav
Lunglav
Skrovellav
Stuplav</t>
        </is>
      </c>
      <c r="S100">
        <f>HYPERLINK("https://klasma.github.io/Logging_2303/artfynd/A 51686-2020 artfynd.xlsx", "A 51686-2020")</f>
        <v/>
      </c>
      <c r="T100">
        <f>HYPERLINK("https://klasma.github.io/Logging_2303/kartor/A 51686-2020 karta.png", "A 51686-2020")</f>
        <v/>
      </c>
      <c r="V100">
        <f>HYPERLINK("https://klasma.github.io/Logging_2303/klagomål/A 51686-2020 FSC-klagomål.docx", "A 51686-2020")</f>
        <v/>
      </c>
      <c r="W100">
        <f>HYPERLINK("https://klasma.github.io/Logging_2303/klagomålsmail/A 51686-2020 FSC-klagomål mail.docx", "A 51686-2020")</f>
        <v/>
      </c>
      <c r="X100">
        <f>HYPERLINK("https://klasma.github.io/Logging_2303/tillsyn/A 51686-2020 tillsynsbegäran.docx", "A 51686-2020")</f>
        <v/>
      </c>
      <c r="Y100">
        <f>HYPERLINK("https://klasma.github.io/Logging_2303/tillsynsmail/A 51686-2020 tillsynsbegäran mail.docx", "A 51686-2020")</f>
        <v/>
      </c>
    </row>
    <row r="101" ht="15" customHeight="1">
      <c r="A101" t="inlineStr">
        <is>
          <t>A 8636-2021</t>
        </is>
      </c>
      <c r="B101" s="1" t="n">
        <v>44245</v>
      </c>
      <c r="C101" s="1" t="n">
        <v>45506</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23682-2021</t>
        </is>
      </c>
      <c r="B102" s="1" t="n">
        <v>44334</v>
      </c>
      <c r="C102" s="1" t="n">
        <v>45506</v>
      </c>
      <c r="D102" t="inlineStr">
        <is>
          <t>JÄMTLANDS LÄN</t>
        </is>
      </c>
      <c r="E102" t="inlineStr">
        <is>
          <t>RAGUNDA</t>
        </is>
      </c>
      <c r="G102" t="n">
        <v>9.199999999999999</v>
      </c>
      <c r="H102" t="n">
        <v>1</v>
      </c>
      <c r="I102" t="n">
        <v>0</v>
      </c>
      <c r="J102" t="n">
        <v>3</v>
      </c>
      <c r="K102" t="n">
        <v>1</v>
      </c>
      <c r="L102" t="n">
        <v>0</v>
      </c>
      <c r="M102" t="n">
        <v>0</v>
      </c>
      <c r="N102" t="n">
        <v>0</v>
      </c>
      <c r="O102" t="n">
        <v>4</v>
      </c>
      <c r="P102" t="n">
        <v>1</v>
      </c>
      <c r="Q102" t="n">
        <v>4</v>
      </c>
      <c r="R102" s="2" t="inlineStr">
        <is>
          <t>Knärot
Garnlav
Lunglav
Rosenticka</t>
        </is>
      </c>
      <c r="S102">
        <f>HYPERLINK("https://klasma.github.io/Logging_2303/artfynd/A 23682-2021 artfynd.xlsx", "A 23682-2021")</f>
        <v/>
      </c>
      <c r="T102">
        <f>HYPERLINK("https://klasma.github.io/Logging_2303/kartor/A 23682-2021 karta.png", "A 23682-2021")</f>
        <v/>
      </c>
      <c r="U102">
        <f>HYPERLINK("https://klasma.github.io/Logging_2303/knärot/A 23682-2021 karta knärot.png", "A 23682-2021")</f>
        <v/>
      </c>
      <c r="V102">
        <f>HYPERLINK("https://klasma.github.io/Logging_2303/klagomål/A 23682-2021 FSC-klagomål.docx", "A 23682-2021")</f>
        <v/>
      </c>
      <c r="W102">
        <f>HYPERLINK("https://klasma.github.io/Logging_2303/klagomålsmail/A 23682-2021 FSC-klagomål mail.docx", "A 23682-2021")</f>
        <v/>
      </c>
      <c r="X102">
        <f>HYPERLINK("https://klasma.github.io/Logging_2303/tillsyn/A 23682-2021 tillsynsbegäran.docx", "A 23682-2021")</f>
        <v/>
      </c>
      <c r="Y102">
        <f>HYPERLINK("https://klasma.github.io/Logging_2303/tillsynsmail/A 23682-2021 tillsynsbegäran mail.docx", "A 23682-2021")</f>
        <v/>
      </c>
    </row>
    <row r="103" ht="15" customHeight="1">
      <c r="A103" t="inlineStr">
        <is>
          <t>A 23676-2021</t>
        </is>
      </c>
      <c r="B103" s="1" t="n">
        <v>44334</v>
      </c>
      <c r="C103" s="1" t="n">
        <v>45506</v>
      </c>
      <c r="D103" t="inlineStr">
        <is>
          <t>JÄMTLANDS LÄN</t>
        </is>
      </c>
      <c r="E103" t="inlineStr">
        <is>
          <t>RAGUNDA</t>
        </is>
      </c>
      <c r="G103" t="n">
        <v>8.5</v>
      </c>
      <c r="H103" t="n">
        <v>1</v>
      </c>
      <c r="I103" t="n">
        <v>1</v>
      </c>
      <c r="J103" t="n">
        <v>3</v>
      </c>
      <c r="K103" t="n">
        <v>0</v>
      </c>
      <c r="L103" t="n">
        <v>0</v>
      </c>
      <c r="M103" t="n">
        <v>0</v>
      </c>
      <c r="N103" t="n">
        <v>0</v>
      </c>
      <c r="O103" t="n">
        <v>3</v>
      </c>
      <c r="P103" t="n">
        <v>0</v>
      </c>
      <c r="Q103" t="n">
        <v>4</v>
      </c>
      <c r="R103" s="2" t="inlineStr">
        <is>
          <t>Lunglav
Rosenticka
Tretåig hackspett
Strutbräken</t>
        </is>
      </c>
      <c r="S103">
        <f>HYPERLINK("https://klasma.github.io/Logging_2303/artfynd/A 23676-2021 artfynd.xlsx", "A 23676-2021")</f>
        <v/>
      </c>
      <c r="T103">
        <f>HYPERLINK("https://klasma.github.io/Logging_2303/kartor/A 23676-2021 karta.png", "A 23676-2021")</f>
        <v/>
      </c>
      <c r="V103">
        <f>HYPERLINK("https://klasma.github.io/Logging_2303/klagomål/A 23676-2021 FSC-klagomål.docx", "A 23676-2021")</f>
        <v/>
      </c>
      <c r="W103">
        <f>HYPERLINK("https://klasma.github.io/Logging_2303/klagomålsmail/A 23676-2021 FSC-klagomål mail.docx", "A 23676-2021")</f>
        <v/>
      </c>
      <c r="X103">
        <f>HYPERLINK("https://klasma.github.io/Logging_2303/tillsyn/A 23676-2021 tillsynsbegäran.docx", "A 23676-2021")</f>
        <v/>
      </c>
      <c r="Y103">
        <f>HYPERLINK("https://klasma.github.io/Logging_2303/tillsynsmail/A 23676-2021 tillsynsbegäran mail.docx", "A 23676-2021")</f>
        <v/>
      </c>
      <c r="Z103">
        <f>HYPERLINK("https://klasma.github.io/Logging_2303/fåglar/A 23676-2021 prioriterade fågelarter.docx", "A 23676-2021")</f>
        <v/>
      </c>
    </row>
    <row r="104" ht="15" customHeight="1">
      <c r="A104" t="inlineStr">
        <is>
          <t>A 23663-2021</t>
        </is>
      </c>
      <c r="B104" s="1" t="n">
        <v>44334</v>
      </c>
      <c r="C104" s="1" t="n">
        <v>45506</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23663-2021 artfynd.xlsx", "A 23663-2021")</f>
        <v/>
      </c>
      <c r="T104">
        <f>HYPERLINK("https://klasma.github.io/Logging_2303/kartor/A 23663-2021 karta.png", "A 23663-2021")</f>
        <v/>
      </c>
      <c r="U104">
        <f>HYPERLINK("https://klasma.github.io/Logging_2303/knärot/A 23663-2021 karta knärot.png", "A 23663-2021")</f>
        <v/>
      </c>
      <c r="V104">
        <f>HYPERLINK("https://klasma.github.io/Logging_2303/klagomål/A 23663-2021 FSC-klagomål.docx", "A 23663-2021")</f>
        <v/>
      </c>
      <c r="W104">
        <f>HYPERLINK("https://klasma.github.io/Logging_2303/klagomålsmail/A 23663-2021 FSC-klagomål mail.docx", "A 23663-2021")</f>
        <v/>
      </c>
      <c r="X104">
        <f>HYPERLINK("https://klasma.github.io/Logging_2303/tillsyn/A 23663-2021 tillsynsbegäran.docx", "A 23663-2021")</f>
        <v/>
      </c>
      <c r="Y104">
        <f>HYPERLINK("https://klasma.github.io/Logging_2303/tillsynsmail/A 23663-2021 tillsynsbegäran mail.docx", "A 23663-2021")</f>
        <v/>
      </c>
    </row>
    <row r="105" ht="15" customHeight="1">
      <c r="A105" t="inlineStr">
        <is>
          <t>A 47165-2021</t>
        </is>
      </c>
      <c r="B105" s="1" t="n">
        <v>44446</v>
      </c>
      <c r="C105" s="1" t="n">
        <v>45506</v>
      </c>
      <c r="D105" t="inlineStr">
        <is>
          <t>JÄMTLANDS LÄN</t>
        </is>
      </c>
      <c r="E105" t="inlineStr">
        <is>
          <t>RAGUNDA</t>
        </is>
      </c>
      <c r="F105" t="inlineStr">
        <is>
          <t>SCA</t>
        </is>
      </c>
      <c r="G105" t="n">
        <v>1.8</v>
      </c>
      <c r="H105" t="n">
        <v>0</v>
      </c>
      <c r="I105" t="n">
        <v>0</v>
      </c>
      <c r="J105" t="n">
        <v>4</v>
      </c>
      <c r="K105" t="n">
        <v>0</v>
      </c>
      <c r="L105" t="n">
        <v>0</v>
      </c>
      <c r="M105" t="n">
        <v>0</v>
      </c>
      <c r="N105" t="n">
        <v>0</v>
      </c>
      <c r="O105" t="n">
        <v>4</v>
      </c>
      <c r="P105" t="n">
        <v>0</v>
      </c>
      <c r="Q105" t="n">
        <v>4</v>
      </c>
      <c r="R105" s="2" t="inlineStr">
        <is>
          <t>Garnlav
Lunglav
Mörk kolflarnlav
Ullticka</t>
        </is>
      </c>
      <c r="S105">
        <f>HYPERLINK("https://klasma.github.io/Logging_2303/artfynd/A 47165-2021 artfynd.xlsx", "A 47165-2021")</f>
        <v/>
      </c>
      <c r="T105">
        <f>HYPERLINK("https://klasma.github.io/Logging_2303/kartor/A 47165-2021 karta.png", "A 47165-2021")</f>
        <v/>
      </c>
      <c r="V105">
        <f>HYPERLINK("https://klasma.github.io/Logging_2303/klagomål/A 47165-2021 FSC-klagomål.docx", "A 47165-2021")</f>
        <v/>
      </c>
      <c r="W105">
        <f>HYPERLINK("https://klasma.github.io/Logging_2303/klagomålsmail/A 47165-2021 FSC-klagomål mail.docx", "A 47165-2021")</f>
        <v/>
      </c>
      <c r="X105">
        <f>HYPERLINK("https://klasma.github.io/Logging_2303/tillsyn/A 47165-2021 tillsynsbegäran.docx", "A 47165-2021")</f>
        <v/>
      </c>
      <c r="Y105">
        <f>HYPERLINK("https://klasma.github.io/Logging_2303/tillsynsmail/A 47165-2021 tillsynsbegäran mail.docx", "A 47165-2021")</f>
        <v/>
      </c>
    </row>
    <row r="106" ht="15" customHeight="1">
      <c r="A106" t="inlineStr">
        <is>
          <t>A 8413-2022</t>
        </is>
      </c>
      <c r="B106" s="1" t="n">
        <v>44610</v>
      </c>
      <c r="C106" s="1" t="n">
        <v>45506</v>
      </c>
      <c r="D106" t="inlineStr">
        <is>
          <t>JÄMTLANDS LÄN</t>
        </is>
      </c>
      <c r="E106" t="inlineStr">
        <is>
          <t>RAGUNDA</t>
        </is>
      </c>
      <c r="F106" t="inlineStr">
        <is>
          <t>SCA</t>
        </is>
      </c>
      <c r="G106" t="n">
        <v>2.2</v>
      </c>
      <c r="H106" t="n">
        <v>0</v>
      </c>
      <c r="I106" t="n">
        <v>1</v>
      </c>
      <c r="J106" t="n">
        <v>3</v>
      </c>
      <c r="K106" t="n">
        <v>0</v>
      </c>
      <c r="L106" t="n">
        <v>0</v>
      </c>
      <c r="M106" t="n">
        <v>0</v>
      </c>
      <c r="N106" t="n">
        <v>0</v>
      </c>
      <c r="O106" t="n">
        <v>3</v>
      </c>
      <c r="P106" t="n">
        <v>0</v>
      </c>
      <c r="Q106" t="n">
        <v>4</v>
      </c>
      <c r="R106" s="2" t="inlineStr">
        <is>
          <t>Garnlav
Kolflarnlav
Lunglav
Källmossor</t>
        </is>
      </c>
      <c r="S106">
        <f>HYPERLINK("https://klasma.github.io/Logging_2303/artfynd/A 8413-2022 artfynd.xlsx", "A 8413-2022")</f>
        <v/>
      </c>
      <c r="T106">
        <f>HYPERLINK("https://klasma.github.io/Logging_2303/kartor/A 8413-2022 karta.png", "A 8413-2022")</f>
        <v/>
      </c>
      <c r="V106">
        <f>HYPERLINK("https://klasma.github.io/Logging_2303/klagomål/A 8413-2022 FSC-klagomål.docx", "A 8413-2022")</f>
        <v/>
      </c>
      <c r="W106">
        <f>HYPERLINK("https://klasma.github.io/Logging_2303/klagomålsmail/A 8413-2022 FSC-klagomål mail.docx", "A 8413-2022")</f>
        <v/>
      </c>
      <c r="X106">
        <f>HYPERLINK("https://klasma.github.io/Logging_2303/tillsyn/A 8413-2022 tillsynsbegäran.docx", "A 8413-2022")</f>
        <v/>
      </c>
      <c r="Y106">
        <f>HYPERLINK("https://klasma.github.io/Logging_2303/tillsynsmail/A 8413-2022 tillsynsbegäran mail.docx", "A 8413-2022")</f>
        <v/>
      </c>
    </row>
    <row r="107" ht="15" customHeight="1">
      <c r="A107" t="inlineStr">
        <is>
          <t>A 10697-2022</t>
        </is>
      </c>
      <c r="B107" s="1" t="n">
        <v>44624</v>
      </c>
      <c r="C107" s="1" t="n">
        <v>45506</v>
      </c>
      <c r="D107" t="inlineStr">
        <is>
          <t>JÄMTLANDS LÄN</t>
        </is>
      </c>
      <c r="E107" t="inlineStr">
        <is>
          <t>RAGUNDA</t>
        </is>
      </c>
      <c r="F107" t="inlineStr">
        <is>
          <t>SCA</t>
        </is>
      </c>
      <c r="G107" t="n">
        <v>3.9</v>
      </c>
      <c r="H107" t="n">
        <v>0</v>
      </c>
      <c r="I107" t="n">
        <v>2</v>
      </c>
      <c r="J107" t="n">
        <v>2</v>
      </c>
      <c r="K107" t="n">
        <v>0</v>
      </c>
      <c r="L107" t="n">
        <v>0</v>
      </c>
      <c r="M107" t="n">
        <v>0</v>
      </c>
      <c r="N107" t="n">
        <v>0</v>
      </c>
      <c r="O107" t="n">
        <v>2</v>
      </c>
      <c r="P107" t="n">
        <v>0</v>
      </c>
      <c r="Q107" t="n">
        <v>4</v>
      </c>
      <c r="R107" s="2" t="inlineStr">
        <is>
          <t>Garnlav
Lunglav
Källmossa
Stuplav</t>
        </is>
      </c>
      <c r="S107">
        <f>HYPERLINK("https://klasma.github.io/Logging_2303/artfynd/A 10697-2022 artfynd.xlsx", "A 10697-2022")</f>
        <v/>
      </c>
      <c r="T107">
        <f>HYPERLINK("https://klasma.github.io/Logging_2303/kartor/A 10697-2022 karta.png", "A 10697-2022")</f>
        <v/>
      </c>
      <c r="V107">
        <f>HYPERLINK("https://klasma.github.io/Logging_2303/klagomål/A 10697-2022 FSC-klagomål.docx", "A 10697-2022")</f>
        <v/>
      </c>
      <c r="W107">
        <f>HYPERLINK("https://klasma.github.io/Logging_2303/klagomålsmail/A 10697-2022 FSC-klagomål mail.docx", "A 10697-2022")</f>
        <v/>
      </c>
      <c r="X107">
        <f>HYPERLINK("https://klasma.github.io/Logging_2303/tillsyn/A 10697-2022 tillsynsbegäran.docx", "A 10697-2022")</f>
        <v/>
      </c>
      <c r="Y107">
        <f>HYPERLINK("https://klasma.github.io/Logging_2303/tillsynsmail/A 10697-2022 tillsynsbegäran mail.docx", "A 10697-2022")</f>
        <v/>
      </c>
    </row>
    <row r="108" ht="15" customHeight="1">
      <c r="A108" t="inlineStr">
        <is>
          <t>A 15667-2022</t>
        </is>
      </c>
      <c r="B108" s="1" t="n">
        <v>44662</v>
      </c>
      <c r="C108" s="1" t="n">
        <v>45506</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17092-2022</t>
        </is>
      </c>
      <c r="B109" s="1" t="n">
        <v>44677</v>
      </c>
      <c r="C109" s="1" t="n">
        <v>45506</v>
      </c>
      <c r="D109" t="inlineStr">
        <is>
          <t>JÄMTLANDS LÄN</t>
        </is>
      </c>
      <c r="E109" t="inlineStr">
        <is>
          <t>RAGUNDA</t>
        </is>
      </c>
      <c r="G109" t="n">
        <v>21.2</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17092-2022 artfynd.xlsx", "A 17092-2022")</f>
        <v/>
      </c>
      <c r="T109">
        <f>HYPERLINK("https://klasma.github.io/Logging_2303/kartor/A 17092-2022 karta.png", "A 17092-2022")</f>
        <v/>
      </c>
      <c r="U109">
        <f>HYPERLINK("https://klasma.github.io/Logging_2303/knärot/A 17092-2022 karta knärot.png", "A 17092-2022")</f>
        <v/>
      </c>
      <c r="V109">
        <f>HYPERLINK("https://klasma.github.io/Logging_2303/klagomål/A 17092-2022 FSC-klagomål.docx", "A 17092-2022")</f>
        <v/>
      </c>
      <c r="W109">
        <f>HYPERLINK("https://klasma.github.io/Logging_2303/klagomålsmail/A 17092-2022 FSC-klagomål mail.docx", "A 17092-2022")</f>
        <v/>
      </c>
      <c r="X109">
        <f>HYPERLINK("https://klasma.github.io/Logging_2303/tillsyn/A 17092-2022 tillsynsbegäran.docx", "A 17092-2022")</f>
        <v/>
      </c>
      <c r="Y109">
        <f>HYPERLINK("https://klasma.github.io/Logging_2303/tillsynsmail/A 17092-2022 tillsynsbegäran mail.docx", "A 17092-2022")</f>
        <v/>
      </c>
    </row>
    <row r="110" ht="15" customHeight="1">
      <c r="A110" t="inlineStr">
        <is>
          <t>A 19851-2022</t>
        </is>
      </c>
      <c r="B110" s="1" t="n">
        <v>44696</v>
      </c>
      <c r="C110" s="1" t="n">
        <v>45506</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25649-2022</t>
        </is>
      </c>
      <c r="B111" s="1" t="n">
        <v>44732</v>
      </c>
      <c r="C111" s="1" t="n">
        <v>45506</v>
      </c>
      <c r="D111" t="inlineStr">
        <is>
          <t>JÄMTLANDS LÄN</t>
        </is>
      </c>
      <c r="E111" t="inlineStr">
        <is>
          <t>RAGUNDA</t>
        </is>
      </c>
      <c r="F111" t="inlineStr">
        <is>
          <t>SCA</t>
        </is>
      </c>
      <c r="G111" t="n">
        <v>2.9</v>
      </c>
      <c r="H111" t="n">
        <v>2</v>
      </c>
      <c r="I111" t="n">
        <v>1</v>
      </c>
      <c r="J111" t="n">
        <v>2</v>
      </c>
      <c r="K111" t="n">
        <v>1</v>
      </c>
      <c r="L111" t="n">
        <v>0</v>
      </c>
      <c r="M111" t="n">
        <v>0</v>
      </c>
      <c r="N111" t="n">
        <v>0</v>
      </c>
      <c r="O111" t="n">
        <v>3</v>
      </c>
      <c r="P111" t="n">
        <v>1</v>
      </c>
      <c r="Q111" t="n">
        <v>4</v>
      </c>
      <c r="R111" s="2" t="inlineStr">
        <is>
          <t>Knärot
Garnlav
Talltita
Dropptaggsvamp</t>
        </is>
      </c>
      <c r="S111">
        <f>HYPERLINK("https://klasma.github.io/Logging_2303/artfynd/A 25649-2022 artfynd.xlsx", "A 25649-2022")</f>
        <v/>
      </c>
      <c r="T111">
        <f>HYPERLINK("https://klasma.github.io/Logging_2303/kartor/A 25649-2022 karta.png", "A 25649-2022")</f>
        <v/>
      </c>
      <c r="U111">
        <f>HYPERLINK("https://klasma.github.io/Logging_2303/knärot/A 25649-2022 karta knärot.png", "A 25649-2022")</f>
        <v/>
      </c>
      <c r="V111">
        <f>HYPERLINK("https://klasma.github.io/Logging_2303/klagomål/A 25649-2022 FSC-klagomål.docx", "A 25649-2022")</f>
        <v/>
      </c>
      <c r="W111">
        <f>HYPERLINK("https://klasma.github.io/Logging_2303/klagomålsmail/A 25649-2022 FSC-klagomål mail.docx", "A 25649-2022")</f>
        <v/>
      </c>
      <c r="X111">
        <f>HYPERLINK("https://klasma.github.io/Logging_2303/tillsyn/A 25649-2022 tillsynsbegäran.docx", "A 25649-2022")</f>
        <v/>
      </c>
      <c r="Y111">
        <f>HYPERLINK("https://klasma.github.io/Logging_2303/tillsynsmail/A 25649-2022 tillsynsbegäran mail.docx", "A 25649-2022")</f>
        <v/>
      </c>
      <c r="Z111">
        <f>HYPERLINK("https://klasma.github.io/Logging_2303/fåglar/A 25649-2022 prioriterade fågelarter.docx", "A 25649-2022")</f>
        <v/>
      </c>
    </row>
    <row r="112" ht="15" customHeight="1">
      <c r="A112" t="inlineStr">
        <is>
          <t>A 60670-2022</t>
        </is>
      </c>
      <c r="B112" s="1" t="n">
        <v>44911</v>
      </c>
      <c r="C112" s="1" t="n">
        <v>45506</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17221-2023</t>
        </is>
      </c>
      <c r="B113" s="1" t="n">
        <v>45034</v>
      </c>
      <c r="C113" s="1" t="n">
        <v>45506</v>
      </c>
      <c r="D113" t="inlineStr">
        <is>
          <t>JÄMTLANDS LÄN</t>
        </is>
      </c>
      <c r="E113" t="inlineStr">
        <is>
          <t>RAGUNDA</t>
        </is>
      </c>
      <c r="F113" t="inlineStr">
        <is>
          <t>SCA</t>
        </is>
      </c>
      <c r="G113" t="n">
        <v>7.8</v>
      </c>
      <c r="H113" t="n">
        <v>0</v>
      </c>
      <c r="I113" t="n">
        <v>1</v>
      </c>
      <c r="J113" t="n">
        <v>3</v>
      </c>
      <c r="K113" t="n">
        <v>0</v>
      </c>
      <c r="L113" t="n">
        <v>0</v>
      </c>
      <c r="M113" t="n">
        <v>0</v>
      </c>
      <c r="N113" t="n">
        <v>0</v>
      </c>
      <c r="O113" t="n">
        <v>3</v>
      </c>
      <c r="P113" t="n">
        <v>0</v>
      </c>
      <c r="Q113" t="n">
        <v>4</v>
      </c>
      <c r="R113" s="2" t="inlineStr">
        <is>
          <t>Garnlav
Lunglav
Ullticka
Stuplav</t>
        </is>
      </c>
      <c r="S113">
        <f>HYPERLINK("https://klasma.github.io/Logging_2303/artfynd/A 17221-2023 artfynd.xlsx", "A 17221-2023")</f>
        <v/>
      </c>
      <c r="T113">
        <f>HYPERLINK("https://klasma.github.io/Logging_2303/kartor/A 17221-2023 karta.png", "A 17221-2023")</f>
        <v/>
      </c>
      <c r="V113">
        <f>HYPERLINK("https://klasma.github.io/Logging_2303/klagomål/A 17221-2023 FSC-klagomål.docx", "A 17221-2023")</f>
        <v/>
      </c>
      <c r="W113">
        <f>HYPERLINK("https://klasma.github.io/Logging_2303/klagomålsmail/A 17221-2023 FSC-klagomål mail.docx", "A 17221-2023")</f>
        <v/>
      </c>
      <c r="X113">
        <f>HYPERLINK("https://klasma.github.io/Logging_2303/tillsyn/A 17221-2023 tillsynsbegäran.docx", "A 17221-2023")</f>
        <v/>
      </c>
      <c r="Y113">
        <f>HYPERLINK("https://klasma.github.io/Logging_2303/tillsynsmail/A 17221-2023 tillsynsbegäran mail.docx", "A 17221-2023")</f>
        <v/>
      </c>
    </row>
    <row r="114" ht="15" customHeight="1">
      <c r="A114" t="inlineStr">
        <is>
          <t>A 43960-2023</t>
        </is>
      </c>
      <c r="B114" s="1" t="n">
        <v>45187</v>
      </c>
      <c r="C114" s="1" t="n">
        <v>45506</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53763-2023</t>
        </is>
      </c>
      <c r="B115" s="1" t="n">
        <v>45230</v>
      </c>
      <c r="C115" s="1" t="n">
        <v>45506</v>
      </c>
      <c r="D115" t="inlineStr">
        <is>
          <t>JÄMTLANDS LÄN</t>
        </is>
      </c>
      <c r="E115" t="inlineStr">
        <is>
          <t>RAGUNDA</t>
        </is>
      </c>
      <c r="F115" t="inlineStr">
        <is>
          <t>SCA</t>
        </is>
      </c>
      <c r="G115" t="n">
        <v>1.8</v>
      </c>
      <c r="H115" t="n">
        <v>0</v>
      </c>
      <c r="I115" t="n">
        <v>1</v>
      </c>
      <c r="J115" t="n">
        <v>3</v>
      </c>
      <c r="K115" t="n">
        <v>0</v>
      </c>
      <c r="L115" t="n">
        <v>0</v>
      </c>
      <c r="M115" t="n">
        <v>0</v>
      </c>
      <c r="N115" t="n">
        <v>0</v>
      </c>
      <c r="O115" t="n">
        <v>3</v>
      </c>
      <c r="P115" t="n">
        <v>0</v>
      </c>
      <c r="Q115" t="n">
        <v>4</v>
      </c>
      <c r="R115" s="2" t="inlineStr">
        <is>
          <t>Kolflarnlav
Lunglav
Skrovellav
Stuplav</t>
        </is>
      </c>
      <c r="S115">
        <f>HYPERLINK("https://klasma.github.io/Logging_2303/artfynd/A 53763-2023 artfynd.xlsx", "A 53763-2023")</f>
        <v/>
      </c>
      <c r="T115">
        <f>HYPERLINK("https://klasma.github.io/Logging_2303/kartor/A 53763-2023 karta.png", "A 53763-2023")</f>
        <v/>
      </c>
      <c r="V115">
        <f>HYPERLINK("https://klasma.github.io/Logging_2303/klagomål/A 53763-2023 FSC-klagomål.docx", "A 53763-2023")</f>
        <v/>
      </c>
      <c r="W115">
        <f>HYPERLINK("https://klasma.github.io/Logging_2303/klagomålsmail/A 53763-2023 FSC-klagomål mail.docx", "A 53763-2023")</f>
        <v/>
      </c>
      <c r="X115">
        <f>HYPERLINK("https://klasma.github.io/Logging_2303/tillsyn/A 53763-2023 tillsynsbegäran.docx", "A 53763-2023")</f>
        <v/>
      </c>
      <c r="Y115">
        <f>HYPERLINK("https://klasma.github.io/Logging_2303/tillsynsmail/A 53763-2023 tillsynsbegäran mail.docx", "A 53763-2023")</f>
        <v/>
      </c>
    </row>
    <row r="116" ht="15" customHeight="1">
      <c r="A116" t="inlineStr">
        <is>
          <t>A 57073-2023</t>
        </is>
      </c>
      <c r="B116" s="1" t="n">
        <v>45245</v>
      </c>
      <c r="C116" s="1" t="n">
        <v>45506</v>
      </c>
      <c r="D116" t="inlineStr">
        <is>
          <t>JÄMTLANDS LÄN</t>
        </is>
      </c>
      <c r="E116" t="inlineStr">
        <is>
          <t>RAGUNDA</t>
        </is>
      </c>
      <c r="F116" t="inlineStr">
        <is>
          <t>SCA</t>
        </is>
      </c>
      <c r="G116" t="n">
        <v>4.1</v>
      </c>
      <c r="H116" t="n">
        <v>0</v>
      </c>
      <c r="I116" t="n">
        <v>0</v>
      </c>
      <c r="J116" t="n">
        <v>3</v>
      </c>
      <c r="K116" t="n">
        <v>1</v>
      </c>
      <c r="L116" t="n">
        <v>0</v>
      </c>
      <c r="M116" t="n">
        <v>0</v>
      </c>
      <c r="N116" t="n">
        <v>0</v>
      </c>
      <c r="O116" t="n">
        <v>4</v>
      </c>
      <c r="P116" t="n">
        <v>1</v>
      </c>
      <c r="Q116" t="n">
        <v>4</v>
      </c>
      <c r="R116" s="2" t="inlineStr">
        <is>
          <t>Aspgelélav
Granticka
Lunglav
Ullticka</t>
        </is>
      </c>
      <c r="S116">
        <f>HYPERLINK("https://klasma.github.io/Logging_2303/artfynd/A 57073-2023 artfynd.xlsx", "A 57073-2023")</f>
        <v/>
      </c>
      <c r="T116">
        <f>HYPERLINK("https://klasma.github.io/Logging_2303/kartor/A 57073-2023 karta.png", "A 57073-2023")</f>
        <v/>
      </c>
      <c r="V116">
        <f>HYPERLINK("https://klasma.github.io/Logging_2303/klagomål/A 57073-2023 FSC-klagomål.docx", "A 57073-2023")</f>
        <v/>
      </c>
      <c r="W116">
        <f>HYPERLINK("https://klasma.github.io/Logging_2303/klagomålsmail/A 57073-2023 FSC-klagomål mail.docx", "A 57073-2023")</f>
        <v/>
      </c>
      <c r="X116">
        <f>HYPERLINK("https://klasma.github.io/Logging_2303/tillsyn/A 57073-2023 tillsynsbegäran.docx", "A 57073-2023")</f>
        <v/>
      </c>
      <c r="Y116">
        <f>HYPERLINK("https://klasma.github.io/Logging_2303/tillsynsmail/A 57073-2023 tillsynsbegäran mail.docx", "A 57073-2023")</f>
        <v/>
      </c>
    </row>
    <row r="117" ht="15" customHeight="1">
      <c r="A117" t="inlineStr">
        <is>
          <t>A 62840-2023</t>
        </is>
      </c>
      <c r="B117" s="1" t="n">
        <v>45271</v>
      </c>
      <c r="C117" s="1" t="n">
        <v>45506</v>
      </c>
      <c r="D117" t="inlineStr">
        <is>
          <t>JÄMTLANDS LÄN</t>
        </is>
      </c>
      <c r="E117" t="inlineStr">
        <is>
          <t>RAGUNDA</t>
        </is>
      </c>
      <c r="F117" t="inlineStr">
        <is>
          <t>SCA</t>
        </is>
      </c>
      <c r="G117" t="n">
        <v>4</v>
      </c>
      <c r="H117" t="n">
        <v>0</v>
      </c>
      <c r="I117" t="n">
        <v>1</v>
      </c>
      <c r="J117" t="n">
        <v>3</v>
      </c>
      <c r="K117" t="n">
        <v>0</v>
      </c>
      <c r="L117" t="n">
        <v>0</v>
      </c>
      <c r="M117" t="n">
        <v>0</v>
      </c>
      <c r="N117" t="n">
        <v>0</v>
      </c>
      <c r="O117" t="n">
        <v>3</v>
      </c>
      <c r="P117" t="n">
        <v>0</v>
      </c>
      <c r="Q117" t="n">
        <v>4</v>
      </c>
      <c r="R117" s="2" t="inlineStr">
        <is>
          <t>Dvärgbägarlav
Mörk kolflarnlav
Vaddporing
Dropptaggsvamp</t>
        </is>
      </c>
      <c r="S117">
        <f>HYPERLINK("https://klasma.github.io/Logging_2303/artfynd/A 62840-2023 artfynd.xlsx", "A 62840-2023")</f>
        <v/>
      </c>
      <c r="T117">
        <f>HYPERLINK("https://klasma.github.io/Logging_2303/kartor/A 62840-2023 karta.png", "A 62840-2023")</f>
        <v/>
      </c>
      <c r="V117">
        <f>HYPERLINK("https://klasma.github.io/Logging_2303/klagomål/A 62840-2023 FSC-klagomål.docx", "A 62840-2023")</f>
        <v/>
      </c>
      <c r="W117">
        <f>HYPERLINK("https://klasma.github.io/Logging_2303/klagomålsmail/A 62840-2023 FSC-klagomål mail.docx", "A 62840-2023")</f>
        <v/>
      </c>
      <c r="X117">
        <f>HYPERLINK("https://klasma.github.io/Logging_2303/tillsyn/A 62840-2023 tillsynsbegäran.docx", "A 62840-2023")</f>
        <v/>
      </c>
      <c r="Y117">
        <f>HYPERLINK("https://klasma.github.io/Logging_2303/tillsynsmail/A 62840-2023 tillsynsbegäran mail.docx", "A 62840-2023")</f>
        <v/>
      </c>
    </row>
    <row r="118" ht="15" customHeight="1">
      <c r="A118" t="inlineStr">
        <is>
          <t>A 9347-2024</t>
        </is>
      </c>
      <c r="B118" s="1" t="n">
        <v>45359</v>
      </c>
      <c r="C118" s="1" t="n">
        <v>45506</v>
      </c>
      <c r="D118" t="inlineStr">
        <is>
          <t>JÄMTLANDS LÄN</t>
        </is>
      </c>
      <c r="E118" t="inlineStr">
        <is>
          <t>RAGUNDA</t>
        </is>
      </c>
      <c r="F118" t="inlineStr">
        <is>
          <t>SCA</t>
        </is>
      </c>
      <c r="G118" t="n">
        <v>1.6</v>
      </c>
      <c r="H118" t="n">
        <v>1</v>
      </c>
      <c r="I118" t="n">
        <v>2</v>
      </c>
      <c r="J118" t="n">
        <v>1</v>
      </c>
      <c r="K118" t="n">
        <v>1</v>
      </c>
      <c r="L118" t="n">
        <v>0</v>
      </c>
      <c r="M118" t="n">
        <v>0</v>
      </c>
      <c r="N118" t="n">
        <v>0</v>
      </c>
      <c r="O118" t="n">
        <v>2</v>
      </c>
      <c r="P118" t="n">
        <v>1</v>
      </c>
      <c r="Q118" t="n">
        <v>4</v>
      </c>
      <c r="R118" s="2" t="inlineStr">
        <is>
          <t>Knärot
Gultoppig fingersvamp
Rödfläckig zontaggsvamp
Svavelriska</t>
        </is>
      </c>
      <c r="S118">
        <f>HYPERLINK("https://klasma.github.io/Logging_2303/artfynd/A 9347-2024 artfynd.xlsx", "A 9347-2024")</f>
        <v/>
      </c>
      <c r="T118">
        <f>HYPERLINK("https://klasma.github.io/Logging_2303/kartor/A 9347-2024 karta.png", "A 9347-2024")</f>
        <v/>
      </c>
      <c r="U118">
        <f>HYPERLINK("https://klasma.github.io/Logging_2303/knärot/A 9347-2024 karta knärot.png", "A 9347-2024")</f>
        <v/>
      </c>
      <c r="V118">
        <f>HYPERLINK("https://klasma.github.io/Logging_2303/klagomål/A 9347-2024 FSC-klagomål.docx", "A 9347-2024")</f>
        <v/>
      </c>
      <c r="W118">
        <f>HYPERLINK("https://klasma.github.io/Logging_2303/klagomålsmail/A 9347-2024 FSC-klagomål mail.docx", "A 9347-2024")</f>
        <v/>
      </c>
      <c r="X118">
        <f>HYPERLINK("https://klasma.github.io/Logging_2303/tillsyn/A 9347-2024 tillsynsbegäran.docx", "A 9347-2024")</f>
        <v/>
      </c>
      <c r="Y118">
        <f>HYPERLINK("https://klasma.github.io/Logging_2303/tillsynsmail/A 9347-2024 tillsynsbegäran mail.docx", "A 9347-2024")</f>
        <v/>
      </c>
    </row>
    <row r="119" ht="15" customHeight="1">
      <c r="A119" t="inlineStr">
        <is>
          <t>A 10214-2024</t>
        </is>
      </c>
      <c r="B119" s="1" t="n">
        <v>45364</v>
      </c>
      <c r="C119" s="1" t="n">
        <v>45506</v>
      </c>
      <c r="D119" t="inlineStr">
        <is>
          <t>JÄMTLANDS LÄN</t>
        </is>
      </c>
      <c r="E119" t="inlineStr">
        <is>
          <t>RAGUNDA</t>
        </is>
      </c>
      <c r="F119" t="inlineStr">
        <is>
          <t>SCA</t>
        </is>
      </c>
      <c r="G119" t="n">
        <v>2.7</v>
      </c>
      <c r="H119" t="n">
        <v>3</v>
      </c>
      <c r="I119" t="n">
        <v>0</v>
      </c>
      <c r="J119" t="n">
        <v>2</v>
      </c>
      <c r="K119" t="n">
        <v>1</v>
      </c>
      <c r="L119" t="n">
        <v>0</v>
      </c>
      <c r="M119" t="n">
        <v>0</v>
      </c>
      <c r="N119" t="n">
        <v>0</v>
      </c>
      <c r="O119" t="n">
        <v>3</v>
      </c>
      <c r="P119" t="n">
        <v>1</v>
      </c>
      <c r="Q119" t="n">
        <v>4</v>
      </c>
      <c r="R119" s="2" t="inlineStr">
        <is>
          <t>Knärot
Lunglav
Tretåig hackspett
Fläcknycklar</t>
        </is>
      </c>
      <c r="S119">
        <f>HYPERLINK("https://klasma.github.io/Logging_2303/artfynd/A 10214-2024 artfynd.xlsx", "A 10214-2024")</f>
        <v/>
      </c>
      <c r="T119">
        <f>HYPERLINK("https://klasma.github.io/Logging_2303/kartor/A 10214-2024 karta.png", "A 10214-2024")</f>
        <v/>
      </c>
      <c r="U119">
        <f>HYPERLINK("https://klasma.github.io/Logging_2303/knärot/A 10214-2024 karta knärot.png", "A 10214-2024")</f>
        <v/>
      </c>
      <c r="V119">
        <f>HYPERLINK("https://klasma.github.io/Logging_2303/klagomål/A 10214-2024 FSC-klagomål.docx", "A 10214-2024")</f>
        <v/>
      </c>
      <c r="W119">
        <f>HYPERLINK("https://klasma.github.io/Logging_2303/klagomålsmail/A 10214-2024 FSC-klagomål mail.docx", "A 10214-2024")</f>
        <v/>
      </c>
      <c r="X119">
        <f>HYPERLINK("https://klasma.github.io/Logging_2303/tillsyn/A 10214-2024 tillsynsbegäran.docx", "A 10214-2024")</f>
        <v/>
      </c>
      <c r="Y119">
        <f>HYPERLINK("https://klasma.github.io/Logging_2303/tillsynsmail/A 10214-2024 tillsynsbegäran mail.docx", "A 10214-2024")</f>
        <v/>
      </c>
      <c r="Z119">
        <f>HYPERLINK("https://klasma.github.io/Logging_2303/fåglar/A 10214-2024 prioriterade fågelarter.docx", "A 10214-2024")</f>
        <v/>
      </c>
    </row>
    <row r="120" ht="15" customHeight="1">
      <c r="A120" t="inlineStr">
        <is>
          <t>A 12268-2024</t>
        </is>
      </c>
      <c r="B120" s="1" t="n">
        <v>45378</v>
      </c>
      <c r="C120" s="1" t="n">
        <v>45506</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12635-2024</t>
        </is>
      </c>
      <c r="B121" s="1" t="n">
        <v>45384</v>
      </c>
      <c r="C121" s="1" t="n">
        <v>45506</v>
      </c>
      <c r="D121" t="inlineStr">
        <is>
          <t>JÄMTLANDS LÄN</t>
        </is>
      </c>
      <c r="E121" t="inlineStr">
        <is>
          <t>RAGUNDA</t>
        </is>
      </c>
      <c r="G121" t="n">
        <v>9.699999999999999</v>
      </c>
      <c r="H121" t="n">
        <v>1</v>
      </c>
      <c r="I121" t="n">
        <v>3</v>
      </c>
      <c r="J121" t="n">
        <v>0</v>
      </c>
      <c r="K121" t="n">
        <v>0</v>
      </c>
      <c r="L121" t="n">
        <v>0</v>
      </c>
      <c r="M121" t="n">
        <v>0</v>
      </c>
      <c r="N121" t="n">
        <v>0</v>
      </c>
      <c r="O121" t="n">
        <v>0</v>
      </c>
      <c r="P121" t="n">
        <v>0</v>
      </c>
      <c r="Q121" t="n">
        <v>4</v>
      </c>
      <c r="R121" s="2" t="inlineStr">
        <is>
          <t>Dropptaggsvamp
Rödgul trumpetsvamp
Vårärt
Blåsippa</t>
        </is>
      </c>
      <c r="S121">
        <f>HYPERLINK("https://klasma.github.io/Logging_2303/artfynd/A 12635-2024 artfynd.xlsx", "A 12635-2024")</f>
        <v/>
      </c>
      <c r="T121">
        <f>HYPERLINK("https://klasma.github.io/Logging_2303/kartor/A 12635-2024 karta.png", "A 12635-2024")</f>
        <v/>
      </c>
      <c r="V121">
        <f>HYPERLINK("https://klasma.github.io/Logging_2303/klagomål/A 12635-2024 FSC-klagomål.docx", "A 12635-2024")</f>
        <v/>
      </c>
      <c r="W121">
        <f>HYPERLINK("https://klasma.github.io/Logging_2303/klagomålsmail/A 12635-2024 FSC-klagomål mail.docx", "A 12635-2024")</f>
        <v/>
      </c>
      <c r="X121">
        <f>HYPERLINK("https://klasma.github.io/Logging_2303/tillsyn/A 12635-2024 tillsynsbegäran.docx", "A 12635-2024")</f>
        <v/>
      </c>
      <c r="Y121">
        <f>HYPERLINK("https://klasma.github.io/Logging_2303/tillsynsmail/A 12635-2024 tillsynsbegäran mail.docx", "A 12635-2024")</f>
        <v/>
      </c>
    </row>
    <row r="122" ht="15" customHeight="1">
      <c r="A122" t="inlineStr">
        <is>
          <t>A 12640-2024</t>
        </is>
      </c>
      <c r="B122" s="1" t="n">
        <v>45384</v>
      </c>
      <c r="C122" s="1" t="n">
        <v>45506</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15836-2024</t>
        </is>
      </c>
      <c r="B123" s="1" t="n">
        <v>45404</v>
      </c>
      <c r="C123" s="1" t="n">
        <v>45506</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17792-2024</t>
        </is>
      </c>
      <c r="B124" s="1" t="n">
        <v>45418</v>
      </c>
      <c r="C124" s="1" t="n">
        <v>45506</v>
      </c>
      <c r="D124" t="inlineStr">
        <is>
          <t>JÄMTLANDS LÄN</t>
        </is>
      </c>
      <c r="E124" t="inlineStr">
        <is>
          <t>RAGUNDA</t>
        </is>
      </c>
      <c r="F124" t="inlineStr">
        <is>
          <t>Kommuner</t>
        </is>
      </c>
      <c r="G124" t="n">
        <v>23.5</v>
      </c>
      <c r="H124" t="n">
        <v>0</v>
      </c>
      <c r="I124" t="n">
        <v>1</v>
      </c>
      <c r="J124" t="n">
        <v>3</v>
      </c>
      <c r="K124" t="n">
        <v>0</v>
      </c>
      <c r="L124" t="n">
        <v>0</v>
      </c>
      <c r="M124" t="n">
        <v>0</v>
      </c>
      <c r="N124" t="n">
        <v>0</v>
      </c>
      <c r="O124" t="n">
        <v>3</v>
      </c>
      <c r="P124" t="n">
        <v>0</v>
      </c>
      <c r="Q124" t="n">
        <v>4</v>
      </c>
      <c r="R124" s="2" t="inlineStr">
        <is>
          <t>Garnlav
Mörk kolflarnlav
Vedskivlav
Dropptaggsvamp</t>
        </is>
      </c>
      <c r="S124">
        <f>HYPERLINK("https://klasma.github.io/Logging_2303/artfynd/A 17792-2024 artfynd.xlsx", "A 17792-2024")</f>
        <v/>
      </c>
      <c r="T124">
        <f>HYPERLINK("https://klasma.github.io/Logging_2303/kartor/A 17792-2024 karta.png", "A 17792-2024")</f>
        <v/>
      </c>
      <c r="V124">
        <f>HYPERLINK("https://klasma.github.io/Logging_2303/klagomål/A 17792-2024 FSC-klagomål.docx", "A 17792-2024")</f>
        <v/>
      </c>
      <c r="W124">
        <f>HYPERLINK("https://klasma.github.io/Logging_2303/klagomålsmail/A 17792-2024 FSC-klagomål mail.docx", "A 17792-2024")</f>
        <v/>
      </c>
      <c r="X124">
        <f>HYPERLINK("https://klasma.github.io/Logging_2303/tillsyn/A 17792-2024 tillsynsbegäran.docx", "A 17792-2024")</f>
        <v/>
      </c>
      <c r="Y124">
        <f>HYPERLINK("https://klasma.github.io/Logging_2303/tillsynsmail/A 17792-2024 tillsynsbegäran mail.docx", "A 17792-2024")</f>
        <v/>
      </c>
    </row>
    <row r="125" ht="15" customHeight="1">
      <c r="A125" t="inlineStr">
        <is>
          <t>A 20765-2024</t>
        </is>
      </c>
      <c r="B125" s="1" t="n">
        <v>45437</v>
      </c>
      <c r="C125" s="1" t="n">
        <v>45506</v>
      </c>
      <c r="D125" t="inlineStr">
        <is>
          <t>JÄMTLANDS LÄN</t>
        </is>
      </c>
      <c r="E125" t="inlineStr">
        <is>
          <t>RAGUNDA</t>
        </is>
      </c>
      <c r="F125" t="inlineStr">
        <is>
          <t>SCA</t>
        </is>
      </c>
      <c r="G125" t="n">
        <v>2.5</v>
      </c>
      <c r="H125" t="n">
        <v>3</v>
      </c>
      <c r="I125" t="n">
        <v>1</v>
      </c>
      <c r="J125" t="n">
        <v>2</v>
      </c>
      <c r="K125" t="n">
        <v>0</v>
      </c>
      <c r="L125" t="n">
        <v>0</v>
      </c>
      <c r="M125" t="n">
        <v>0</v>
      </c>
      <c r="N125" t="n">
        <v>0</v>
      </c>
      <c r="O125" t="n">
        <v>2</v>
      </c>
      <c r="P125" t="n">
        <v>0</v>
      </c>
      <c r="Q125" t="n">
        <v>4</v>
      </c>
      <c r="R125" s="2" t="inlineStr">
        <is>
          <t>Lunglav
Talltita
Korallrot
Fläcknycklar</t>
        </is>
      </c>
      <c r="S125">
        <f>HYPERLINK("https://klasma.github.io/Logging_2303/artfynd/A 20765-2024 artfynd.xlsx", "A 20765-2024")</f>
        <v/>
      </c>
      <c r="T125">
        <f>HYPERLINK("https://klasma.github.io/Logging_2303/kartor/A 20765-2024 karta.png", "A 20765-2024")</f>
        <v/>
      </c>
      <c r="V125">
        <f>HYPERLINK("https://klasma.github.io/Logging_2303/klagomål/A 20765-2024 FSC-klagomål.docx", "A 20765-2024")</f>
        <v/>
      </c>
      <c r="W125">
        <f>HYPERLINK("https://klasma.github.io/Logging_2303/klagomålsmail/A 20765-2024 FSC-klagomål mail.docx", "A 20765-2024")</f>
        <v/>
      </c>
      <c r="X125">
        <f>HYPERLINK("https://klasma.github.io/Logging_2303/tillsyn/A 20765-2024 tillsynsbegäran.docx", "A 20765-2024")</f>
        <v/>
      </c>
      <c r="Y125">
        <f>HYPERLINK("https://klasma.github.io/Logging_2303/tillsynsmail/A 20765-2024 tillsynsbegäran mail.docx", "A 20765-2024")</f>
        <v/>
      </c>
      <c r="Z125">
        <f>HYPERLINK("https://klasma.github.io/Logging_2303/fåglar/A 20765-2024 prioriterade fågelarter.docx", "A 20765-2024")</f>
        <v/>
      </c>
    </row>
    <row r="126" ht="15" customHeight="1">
      <c r="A126" t="inlineStr">
        <is>
          <t>A 23931-2024</t>
        </is>
      </c>
      <c r="B126" s="1" t="n">
        <v>45456</v>
      </c>
      <c r="C126" s="1" t="n">
        <v>45506</v>
      </c>
      <c r="D126" t="inlineStr">
        <is>
          <t>JÄMTLANDS LÄN</t>
        </is>
      </c>
      <c r="E126" t="inlineStr">
        <is>
          <t>RAGUNDA</t>
        </is>
      </c>
      <c r="F126" t="inlineStr">
        <is>
          <t>SCA</t>
        </is>
      </c>
      <c r="G126" t="n">
        <v>4</v>
      </c>
      <c r="H126" t="n">
        <v>1</v>
      </c>
      <c r="I126" t="n">
        <v>0</v>
      </c>
      <c r="J126" t="n">
        <v>3</v>
      </c>
      <c r="K126" t="n">
        <v>1</v>
      </c>
      <c r="L126" t="n">
        <v>0</v>
      </c>
      <c r="M126" t="n">
        <v>0</v>
      </c>
      <c r="N126" t="n">
        <v>0</v>
      </c>
      <c r="O126" t="n">
        <v>4</v>
      </c>
      <c r="P126" t="n">
        <v>1</v>
      </c>
      <c r="Q126" t="n">
        <v>4</v>
      </c>
      <c r="R126" s="2" t="inlineStr">
        <is>
          <t>Knärot
Garnlav
Lunglav
Ullticka</t>
        </is>
      </c>
      <c r="S126">
        <f>HYPERLINK("https://klasma.github.io/Logging_2303/artfynd/A 23931-2024 artfynd.xlsx", "A 23931-2024")</f>
        <v/>
      </c>
      <c r="T126">
        <f>HYPERLINK("https://klasma.github.io/Logging_2303/kartor/A 23931-2024 karta.png", "A 23931-2024")</f>
        <v/>
      </c>
      <c r="U126">
        <f>HYPERLINK("https://klasma.github.io/Logging_2303/knärot/A 23931-2024 karta knärot.png", "A 23931-2024")</f>
        <v/>
      </c>
      <c r="V126">
        <f>HYPERLINK("https://klasma.github.io/Logging_2303/klagomål/A 23931-2024 FSC-klagomål.docx", "A 23931-2024")</f>
        <v/>
      </c>
      <c r="W126">
        <f>HYPERLINK("https://klasma.github.io/Logging_2303/klagomålsmail/A 23931-2024 FSC-klagomål mail.docx", "A 23931-2024")</f>
        <v/>
      </c>
      <c r="X126">
        <f>HYPERLINK("https://klasma.github.io/Logging_2303/tillsyn/A 23931-2024 tillsynsbegäran.docx", "A 23931-2024")</f>
        <v/>
      </c>
      <c r="Y126">
        <f>HYPERLINK("https://klasma.github.io/Logging_2303/tillsynsmail/A 23931-2024 tillsynsbegäran mail.docx", "A 23931-2024")</f>
        <v/>
      </c>
    </row>
    <row r="127" ht="15" customHeight="1">
      <c r="A127" t="inlineStr">
        <is>
          <t>A 30483-2024</t>
        </is>
      </c>
      <c r="B127" s="1" t="n">
        <v>45492</v>
      </c>
      <c r="C127" s="1" t="n">
        <v>45506</v>
      </c>
      <c r="D127" t="inlineStr">
        <is>
          <t>JÄMTLANDS LÄN</t>
        </is>
      </c>
      <c r="E127" t="inlineStr">
        <is>
          <t>RAGUNDA</t>
        </is>
      </c>
      <c r="F127" t="inlineStr">
        <is>
          <t>SCA</t>
        </is>
      </c>
      <c r="G127" t="n">
        <v>1.6</v>
      </c>
      <c r="H127" t="n">
        <v>1</v>
      </c>
      <c r="I127" t="n">
        <v>0</v>
      </c>
      <c r="J127" t="n">
        <v>4</v>
      </c>
      <c r="K127" t="n">
        <v>0</v>
      </c>
      <c r="L127" t="n">
        <v>0</v>
      </c>
      <c r="M127" t="n">
        <v>0</v>
      </c>
      <c r="N127" t="n">
        <v>0</v>
      </c>
      <c r="O127" t="n">
        <v>4</v>
      </c>
      <c r="P127" t="n">
        <v>0</v>
      </c>
      <c r="Q127" t="n">
        <v>4</v>
      </c>
      <c r="R127" s="2" t="inlineStr">
        <is>
          <t>Dvärgbägarlav
Järpe
Kolflarnlav
Vedskivlav</t>
        </is>
      </c>
      <c r="S127">
        <f>HYPERLINK("https://klasma.github.io/Logging_2303/artfynd/A 30483-2024 artfynd.xlsx", "A 30483-2024")</f>
        <v/>
      </c>
      <c r="T127">
        <f>HYPERLINK("https://klasma.github.io/Logging_2303/kartor/A 30483-2024 karta.png", "A 30483-2024")</f>
        <v/>
      </c>
      <c r="V127">
        <f>HYPERLINK("https://klasma.github.io/Logging_2303/klagomål/A 30483-2024 FSC-klagomål.docx", "A 30483-2024")</f>
        <v/>
      </c>
      <c r="W127">
        <f>HYPERLINK("https://klasma.github.io/Logging_2303/klagomålsmail/A 30483-2024 FSC-klagomål mail.docx", "A 30483-2024")</f>
        <v/>
      </c>
      <c r="X127">
        <f>HYPERLINK("https://klasma.github.io/Logging_2303/tillsyn/A 30483-2024 tillsynsbegäran.docx", "A 30483-2024")</f>
        <v/>
      </c>
      <c r="Y127">
        <f>HYPERLINK("https://klasma.github.io/Logging_2303/tillsynsmail/A 30483-2024 tillsynsbegäran mail.docx", "A 30483-2024")</f>
        <v/>
      </c>
      <c r="Z127">
        <f>HYPERLINK("https://klasma.github.io/Logging_2303/fåglar/A 30483-2024 prioriterade fågelarter.docx", "A 30483-2024")</f>
        <v/>
      </c>
    </row>
    <row r="128" ht="15" customHeight="1">
      <c r="A128" t="inlineStr">
        <is>
          <t>A 27770-2019</t>
        </is>
      </c>
      <c r="B128" s="1" t="n">
        <v>43619</v>
      </c>
      <c r="C128" s="1" t="n">
        <v>45506</v>
      </c>
      <c r="D128" t="inlineStr">
        <is>
          <t>JÄMTLANDS LÄN</t>
        </is>
      </c>
      <c r="E128" t="inlineStr">
        <is>
          <t>RAGUNDA</t>
        </is>
      </c>
      <c r="F128" t="inlineStr">
        <is>
          <t>SCA</t>
        </is>
      </c>
      <c r="G128" t="n">
        <v>2.3</v>
      </c>
      <c r="H128" t="n">
        <v>0</v>
      </c>
      <c r="I128" t="n">
        <v>0</v>
      </c>
      <c r="J128" t="n">
        <v>2</v>
      </c>
      <c r="K128" t="n">
        <v>1</v>
      </c>
      <c r="L128" t="n">
        <v>0</v>
      </c>
      <c r="M128" t="n">
        <v>0</v>
      </c>
      <c r="N128" t="n">
        <v>0</v>
      </c>
      <c r="O128" t="n">
        <v>3</v>
      </c>
      <c r="P128" t="n">
        <v>1</v>
      </c>
      <c r="Q128" t="n">
        <v>3</v>
      </c>
      <c r="R128" s="2" t="inlineStr">
        <is>
          <t>Gräddporing
Lunglav
Skrovellav</t>
        </is>
      </c>
      <c r="S128">
        <f>HYPERLINK("https://klasma.github.io/Logging_2303/artfynd/A 27770-2019 artfynd.xlsx", "A 27770-2019")</f>
        <v/>
      </c>
      <c r="T128">
        <f>HYPERLINK("https://klasma.github.io/Logging_2303/kartor/A 27770-2019 karta.png", "A 27770-2019")</f>
        <v/>
      </c>
      <c r="V128">
        <f>HYPERLINK("https://klasma.github.io/Logging_2303/klagomål/A 27770-2019 FSC-klagomål.docx", "A 27770-2019")</f>
        <v/>
      </c>
      <c r="W128">
        <f>HYPERLINK("https://klasma.github.io/Logging_2303/klagomålsmail/A 27770-2019 FSC-klagomål mail.docx", "A 27770-2019")</f>
        <v/>
      </c>
      <c r="X128">
        <f>HYPERLINK("https://klasma.github.io/Logging_2303/tillsyn/A 27770-2019 tillsynsbegäran.docx", "A 27770-2019")</f>
        <v/>
      </c>
      <c r="Y128">
        <f>HYPERLINK("https://klasma.github.io/Logging_2303/tillsynsmail/A 27770-2019 tillsynsbegäran mail.docx", "A 27770-2019")</f>
        <v/>
      </c>
    </row>
    <row r="129" ht="15" customHeight="1">
      <c r="A129" t="inlineStr">
        <is>
          <t>A 68248-2019</t>
        </is>
      </c>
      <c r="B129" s="1" t="n">
        <v>43817</v>
      </c>
      <c r="C129" s="1" t="n">
        <v>45506</v>
      </c>
      <c r="D129" t="inlineStr">
        <is>
          <t>JÄMTLANDS LÄN</t>
        </is>
      </c>
      <c r="E129" t="inlineStr">
        <is>
          <t>RAGUNDA</t>
        </is>
      </c>
      <c r="G129" t="n">
        <v>9</v>
      </c>
      <c r="H129" t="n">
        <v>0</v>
      </c>
      <c r="I129" t="n">
        <v>0</v>
      </c>
      <c r="J129" t="n">
        <v>3</v>
      </c>
      <c r="K129" t="n">
        <v>0</v>
      </c>
      <c r="L129" t="n">
        <v>0</v>
      </c>
      <c r="M129" t="n">
        <v>0</v>
      </c>
      <c r="N129" t="n">
        <v>0</v>
      </c>
      <c r="O129" t="n">
        <v>3</v>
      </c>
      <c r="P129" t="n">
        <v>0</v>
      </c>
      <c r="Q129" t="n">
        <v>3</v>
      </c>
      <c r="R129" s="2" t="inlineStr">
        <is>
          <t>Garnlav
Mörk kolflarnlav
Vedskivlav</t>
        </is>
      </c>
      <c r="S129">
        <f>HYPERLINK("https://klasma.github.io/Logging_2303/artfynd/A 68248-2019 artfynd.xlsx", "A 68248-2019")</f>
        <v/>
      </c>
      <c r="T129">
        <f>HYPERLINK("https://klasma.github.io/Logging_2303/kartor/A 68248-2019 karta.png", "A 68248-2019")</f>
        <v/>
      </c>
      <c r="U129">
        <f>HYPERLINK("https://klasma.github.io/Logging_2303/knärot/A 68248-2019 karta knärot.png", "A 68248-2019")</f>
        <v/>
      </c>
      <c r="V129">
        <f>HYPERLINK("https://klasma.github.io/Logging_2303/klagomål/A 68248-2019 FSC-klagomål.docx", "A 68248-2019")</f>
        <v/>
      </c>
      <c r="W129">
        <f>HYPERLINK("https://klasma.github.io/Logging_2303/klagomålsmail/A 68248-2019 FSC-klagomål mail.docx", "A 68248-2019")</f>
        <v/>
      </c>
      <c r="X129">
        <f>HYPERLINK("https://klasma.github.io/Logging_2303/tillsyn/A 68248-2019 tillsynsbegäran.docx", "A 68248-2019")</f>
        <v/>
      </c>
      <c r="Y129">
        <f>HYPERLINK("https://klasma.github.io/Logging_2303/tillsynsmail/A 68248-2019 tillsynsbegäran mail.docx", "A 68248-2019")</f>
        <v/>
      </c>
    </row>
    <row r="130" ht="15" customHeight="1">
      <c r="A130" t="inlineStr">
        <is>
          <t>A 51010-2020</t>
        </is>
      </c>
      <c r="B130" s="1" t="n">
        <v>44111</v>
      </c>
      <c r="C130" s="1" t="n">
        <v>45506</v>
      </c>
      <c r="D130" t="inlineStr">
        <is>
          <t>JÄMTLANDS LÄN</t>
        </is>
      </c>
      <c r="E130" t="inlineStr">
        <is>
          <t>RAGUNDA</t>
        </is>
      </c>
      <c r="F130" t="inlineStr">
        <is>
          <t>SCA</t>
        </is>
      </c>
      <c r="G130" t="n">
        <v>4.1</v>
      </c>
      <c r="H130" t="n">
        <v>0</v>
      </c>
      <c r="I130" t="n">
        <v>0</v>
      </c>
      <c r="J130" t="n">
        <v>3</v>
      </c>
      <c r="K130" t="n">
        <v>0</v>
      </c>
      <c r="L130" t="n">
        <v>0</v>
      </c>
      <c r="M130" t="n">
        <v>0</v>
      </c>
      <c r="N130" t="n">
        <v>0</v>
      </c>
      <c r="O130" t="n">
        <v>3</v>
      </c>
      <c r="P130" t="n">
        <v>0</v>
      </c>
      <c r="Q130" t="n">
        <v>3</v>
      </c>
      <c r="R130" s="2" t="inlineStr">
        <is>
          <t>Garnlav
Lunglav
Ullticka</t>
        </is>
      </c>
      <c r="S130">
        <f>HYPERLINK("https://klasma.github.io/Logging_2303/artfynd/A 51010-2020 artfynd.xlsx", "A 51010-2020")</f>
        <v/>
      </c>
      <c r="T130">
        <f>HYPERLINK("https://klasma.github.io/Logging_2303/kartor/A 51010-2020 karta.png", "A 51010-2020")</f>
        <v/>
      </c>
      <c r="V130">
        <f>HYPERLINK("https://klasma.github.io/Logging_2303/klagomål/A 51010-2020 FSC-klagomål.docx", "A 51010-2020")</f>
        <v/>
      </c>
      <c r="W130">
        <f>HYPERLINK("https://klasma.github.io/Logging_2303/klagomålsmail/A 51010-2020 FSC-klagomål mail.docx", "A 51010-2020")</f>
        <v/>
      </c>
      <c r="X130">
        <f>HYPERLINK("https://klasma.github.io/Logging_2303/tillsyn/A 51010-2020 tillsynsbegäran.docx", "A 51010-2020")</f>
        <v/>
      </c>
      <c r="Y130">
        <f>HYPERLINK("https://klasma.github.io/Logging_2303/tillsynsmail/A 51010-2020 tillsynsbegäran mail.docx", "A 51010-2020")</f>
        <v/>
      </c>
    </row>
    <row r="131" ht="15" customHeight="1">
      <c r="A131" t="inlineStr">
        <is>
          <t>A 41065-2021</t>
        </is>
      </c>
      <c r="B131" s="1" t="n">
        <v>44421</v>
      </c>
      <c r="C131" s="1" t="n">
        <v>45506</v>
      </c>
      <c r="D131" t="inlineStr">
        <is>
          <t>JÄMTLANDS LÄN</t>
        </is>
      </c>
      <c r="E131" t="inlineStr">
        <is>
          <t>RAGUNDA</t>
        </is>
      </c>
      <c r="F131" t="inlineStr">
        <is>
          <t>SCA</t>
        </is>
      </c>
      <c r="G131" t="n">
        <v>1.6</v>
      </c>
      <c r="H131" t="n">
        <v>0</v>
      </c>
      <c r="I131" t="n">
        <v>1</v>
      </c>
      <c r="J131" t="n">
        <v>2</v>
      </c>
      <c r="K131" t="n">
        <v>0</v>
      </c>
      <c r="L131" t="n">
        <v>0</v>
      </c>
      <c r="M131" t="n">
        <v>0</v>
      </c>
      <c r="N131" t="n">
        <v>0</v>
      </c>
      <c r="O131" t="n">
        <v>2</v>
      </c>
      <c r="P131" t="n">
        <v>0</v>
      </c>
      <c r="Q131" t="n">
        <v>3</v>
      </c>
      <c r="R131" s="2" t="inlineStr">
        <is>
          <t>Kolflarnlav
Lunglav
Stuplav</t>
        </is>
      </c>
      <c r="S131">
        <f>HYPERLINK("https://klasma.github.io/Logging_2303/artfynd/A 41065-2021 artfynd.xlsx", "A 41065-2021")</f>
        <v/>
      </c>
      <c r="T131">
        <f>HYPERLINK("https://klasma.github.io/Logging_2303/kartor/A 41065-2021 karta.png", "A 41065-2021")</f>
        <v/>
      </c>
      <c r="V131">
        <f>HYPERLINK("https://klasma.github.io/Logging_2303/klagomål/A 41065-2021 FSC-klagomål.docx", "A 41065-2021")</f>
        <v/>
      </c>
      <c r="W131">
        <f>HYPERLINK("https://klasma.github.io/Logging_2303/klagomålsmail/A 41065-2021 FSC-klagomål mail.docx", "A 41065-2021")</f>
        <v/>
      </c>
      <c r="X131">
        <f>HYPERLINK("https://klasma.github.io/Logging_2303/tillsyn/A 41065-2021 tillsynsbegäran.docx", "A 41065-2021")</f>
        <v/>
      </c>
      <c r="Y131">
        <f>HYPERLINK("https://klasma.github.io/Logging_2303/tillsynsmail/A 41065-2021 tillsynsbegäran mail.docx", "A 41065-2021")</f>
        <v/>
      </c>
    </row>
    <row r="132" ht="15" customHeight="1">
      <c r="A132" t="inlineStr">
        <is>
          <t>A 27025-2022</t>
        </is>
      </c>
      <c r="B132" s="1" t="n">
        <v>44740</v>
      </c>
      <c r="C132" s="1" t="n">
        <v>45506</v>
      </c>
      <c r="D132" t="inlineStr">
        <is>
          <t>JÄMTLANDS LÄN</t>
        </is>
      </c>
      <c r="E132" t="inlineStr">
        <is>
          <t>RAGUNDA</t>
        </is>
      </c>
      <c r="G132" t="n">
        <v>5.8</v>
      </c>
      <c r="H132" t="n">
        <v>0</v>
      </c>
      <c r="I132" t="n">
        <v>1</v>
      </c>
      <c r="J132" t="n">
        <v>2</v>
      </c>
      <c r="K132" t="n">
        <v>0</v>
      </c>
      <c r="L132" t="n">
        <v>0</v>
      </c>
      <c r="M132" t="n">
        <v>0</v>
      </c>
      <c r="N132" t="n">
        <v>0</v>
      </c>
      <c r="O132" t="n">
        <v>2</v>
      </c>
      <c r="P132" t="n">
        <v>0</v>
      </c>
      <c r="Q132" t="n">
        <v>3</v>
      </c>
      <c r="R132" s="2" t="inlineStr">
        <is>
          <t>Blanksvart spiklav
Kortskaftad ärgspik
Dropptaggsvamp</t>
        </is>
      </c>
      <c r="S132">
        <f>HYPERLINK("https://klasma.github.io/Logging_2303/artfynd/A 27025-2022 artfynd.xlsx", "A 27025-2022")</f>
        <v/>
      </c>
      <c r="T132">
        <f>HYPERLINK("https://klasma.github.io/Logging_2303/kartor/A 27025-2022 karta.png", "A 27025-2022")</f>
        <v/>
      </c>
      <c r="V132">
        <f>HYPERLINK("https://klasma.github.io/Logging_2303/klagomål/A 27025-2022 FSC-klagomål.docx", "A 27025-2022")</f>
        <v/>
      </c>
      <c r="W132">
        <f>HYPERLINK("https://klasma.github.io/Logging_2303/klagomålsmail/A 27025-2022 FSC-klagomål mail.docx", "A 27025-2022")</f>
        <v/>
      </c>
      <c r="X132">
        <f>HYPERLINK("https://klasma.github.io/Logging_2303/tillsyn/A 27025-2022 tillsynsbegäran.docx", "A 27025-2022")</f>
        <v/>
      </c>
      <c r="Y132">
        <f>HYPERLINK("https://klasma.github.io/Logging_2303/tillsynsmail/A 27025-2022 tillsynsbegäran mail.docx", "A 27025-2022")</f>
        <v/>
      </c>
    </row>
    <row r="133" ht="15" customHeight="1">
      <c r="A133" t="inlineStr">
        <is>
          <t>A 48052-2022</t>
        </is>
      </c>
      <c r="B133" s="1" t="n">
        <v>44855</v>
      </c>
      <c r="C133" s="1" t="n">
        <v>45506</v>
      </c>
      <c r="D133" t="inlineStr">
        <is>
          <t>JÄMTLANDS LÄN</t>
        </is>
      </c>
      <c r="E133" t="inlineStr">
        <is>
          <t>RAGUNDA</t>
        </is>
      </c>
      <c r="F133" t="inlineStr">
        <is>
          <t>SCA</t>
        </is>
      </c>
      <c r="G133" t="n">
        <v>8.6</v>
      </c>
      <c r="H133" t="n">
        <v>0</v>
      </c>
      <c r="I133" t="n">
        <v>1</v>
      </c>
      <c r="J133" t="n">
        <v>2</v>
      </c>
      <c r="K133" t="n">
        <v>0</v>
      </c>
      <c r="L133" t="n">
        <v>0</v>
      </c>
      <c r="M133" t="n">
        <v>0</v>
      </c>
      <c r="N133" t="n">
        <v>0</v>
      </c>
      <c r="O133" t="n">
        <v>2</v>
      </c>
      <c r="P133" t="n">
        <v>0</v>
      </c>
      <c r="Q133" t="n">
        <v>3</v>
      </c>
      <c r="R133" s="2" t="inlineStr">
        <is>
          <t>Lunglav
Ullticka
Stuplav</t>
        </is>
      </c>
      <c r="S133">
        <f>HYPERLINK("https://klasma.github.io/Logging_2303/artfynd/A 48052-2022 artfynd.xlsx", "A 48052-2022")</f>
        <v/>
      </c>
      <c r="T133">
        <f>HYPERLINK("https://klasma.github.io/Logging_2303/kartor/A 48052-2022 karta.png", "A 48052-2022")</f>
        <v/>
      </c>
      <c r="V133">
        <f>HYPERLINK("https://klasma.github.io/Logging_2303/klagomål/A 48052-2022 FSC-klagomål.docx", "A 48052-2022")</f>
        <v/>
      </c>
      <c r="W133">
        <f>HYPERLINK("https://klasma.github.io/Logging_2303/klagomålsmail/A 48052-2022 FSC-klagomål mail.docx", "A 48052-2022")</f>
        <v/>
      </c>
      <c r="X133">
        <f>HYPERLINK("https://klasma.github.io/Logging_2303/tillsyn/A 48052-2022 tillsynsbegäran.docx", "A 48052-2022")</f>
        <v/>
      </c>
      <c r="Y133">
        <f>HYPERLINK("https://klasma.github.io/Logging_2303/tillsynsmail/A 48052-2022 tillsynsbegäran mail.docx", "A 48052-2022")</f>
        <v/>
      </c>
    </row>
    <row r="134" ht="15" customHeight="1">
      <c r="A134" t="inlineStr">
        <is>
          <t>A 48054-2022</t>
        </is>
      </c>
      <c r="B134" s="1" t="n">
        <v>44855</v>
      </c>
      <c r="C134" s="1" t="n">
        <v>45506</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53022-2022</t>
        </is>
      </c>
      <c r="B135" s="1" t="n">
        <v>44875</v>
      </c>
      <c r="C135" s="1" t="n">
        <v>45506</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58737-2022</t>
        </is>
      </c>
      <c r="B136" s="1" t="n">
        <v>44902</v>
      </c>
      <c r="C136" s="1" t="n">
        <v>45506</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7519-2023</t>
        </is>
      </c>
      <c r="B137" s="1" t="n">
        <v>44971</v>
      </c>
      <c r="C137" s="1" t="n">
        <v>45506</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10531-2023</t>
        </is>
      </c>
      <c r="B138" s="1" t="n">
        <v>44987</v>
      </c>
      <c r="C138" s="1" t="n">
        <v>45506</v>
      </c>
      <c r="D138" t="inlineStr">
        <is>
          <t>JÄMTLANDS LÄN</t>
        </is>
      </c>
      <c r="E138" t="inlineStr">
        <is>
          <t>RAGUNDA</t>
        </is>
      </c>
      <c r="G138" t="n">
        <v>27.1</v>
      </c>
      <c r="H138" t="n">
        <v>0</v>
      </c>
      <c r="I138" t="n">
        <v>1</v>
      </c>
      <c r="J138" t="n">
        <v>2</v>
      </c>
      <c r="K138" t="n">
        <v>0</v>
      </c>
      <c r="L138" t="n">
        <v>0</v>
      </c>
      <c r="M138" t="n">
        <v>0</v>
      </c>
      <c r="N138" t="n">
        <v>0</v>
      </c>
      <c r="O138" t="n">
        <v>2</v>
      </c>
      <c r="P138" t="n">
        <v>0</v>
      </c>
      <c r="Q138" t="n">
        <v>3</v>
      </c>
      <c r="R138" s="2" t="inlineStr">
        <is>
          <t>Blanksvart spiklav
Stiftgelélav
Dropptaggsvamp</t>
        </is>
      </c>
      <c r="S138">
        <f>HYPERLINK("https://klasma.github.io/Logging_2303/artfynd/A 10531-2023 artfynd.xlsx", "A 10531-2023")</f>
        <v/>
      </c>
      <c r="T138">
        <f>HYPERLINK("https://klasma.github.io/Logging_2303/kartor/A 10531-2023 karta.png", "A 10531-2023")</f>
        <v/>
      </c>
      <c r="U138">
        <f>HYPERLINK("https://klasma.github.io/Logging_2303/knärot/A 10531-2023 karta knärot.png", "A 10531-2023")</f>
        <v/>
      </c>
      <c r="V138">
        <f>HYPERLINK("https://klasma.github.io/Logging_2303/klagomål/A 10531-2023 FSC-klagomål.docx", "A 10531-2023")</f>
        <v/>
      </c>
      <c r="W138">
        <f>HYPERLINK("https://klasma.github.io/Logging_2303/klagomålsmail/A 10531-2023 FSC-klagomål mail.docx", "A 10531-2023")</f>
        <v/>
      </c>
      <c r="X138">
        <f>HYPERLINK("https://klasma.github.io/Logging_2303/tillsyn/A 10531-2023 tillsynsbegäran.docx", "A 10531-2023")</f>
        <v/>
      </c>
      <c r="Y138">
        <f>HYPERLINK("https://klasma.github.io/Logging_2303/tillsynsmail/A 10531-2023 tillsynsbegäran mail.docx", "A 10531-2023")</f>
        <v/>
      </c>
    </row>
    <row r="139" ht="15" customHeight="1">
      <c r="A139" t="inlineStr">
        <is>
          <t>A 15368-2023</t>
        </is>
      </c>
      <c r="B139" s="1" t="n">
        <v>45016</v>
      </c>
      <c r="C139" s="1" t="n">
        <v>45506</v>
      </c>
      <c r="D139" t="inlineStr">
        <is>
          <t>JÄMTLANDS LÄN</t>
        </is>
      </c>
      <c r="E139" t="inlineStr">
        <is>
          <t>RAGUNDA</t>
        </is>
      </c>
      <c r="G139" t="n">
        <v>13</v>
      </c>
      <c r="H139" t="n">
        <v>0</v>
      </c>
      <c r="I139" t="n">
        <v>0</v>
      </c>
      <c r="J139" t="n">
        <v>3</v>
      </c>
      <c r="K139" t="n">
        <v>0</v>
      </c>
      <c r="L139" t="n">
        <v>0</v>
      </c>
      <c r="M139" t="n">
        <v>0</v>
      </c>
      <c r="N139" t="n">
        <v>0</v>
      </c>
      <c r="O139" t="n">
        <v>3</v>
      </c>
      <c r="P139" t="n">
        <v>0</v>
      </c>
      <c r="Q139" t="n">
        <v>3</v>
      </c>
      <c r="R139" s="2" t="inlineStr">
        <is>
          <t>Lunglav
Rosenticka
Ullticka</t>
        </is>
      </c>
      <c r="S139">
        <f>HYPERLINK("https://klasma.github.io/Logging_2303/artfynd/A 15368-2023 artfynd.xlsx", "A 15368-2023")</f>
        <v/>
      </c>
      <c r="T139">
        <f>HYPERLINK("https://klasma.github.io/Logging_2303/kartor/A 15368-2023 karta.png", "A 15368-2023")</f>
        <v/>
      </c>
      <c r="V139">
        <f>HYPERLINK("https://klasma.github.io/Logging_2303/klagomål/A 15368-2023 FSC-klagomål.docx", "A 15368-2023")</f>
        <v/>
      </c>
      <c r="W139">
        <f>HYPERLINK("https://klasma.github.io/Logging_2303/klagomålsmail/A 15368-2023 FSC-klagomål mail.docx", "A 15368-2023")</f>
        <v/>
      </c>
      <c r="X139">
        <f>HYPERLINK("https://klasma.github.io/Logging_2303/tillsyn/A 15368-2023 tillsynsbegäran.docx", "A 15368-2023")</f>
        <v/>
      </c>
      <c r="Y139">
        <f>HYPERLINK("https://klasma.github.io/Logging_2303/tillsynsmail/A 15368-2023 tillsynsbegäran mail.docx", "A 15368-2023")</f>
        <v/>
      </c>
    </row>
    <row r="140" ht="15" customHeight="1">
      <c r="A140" t="inlineStr">
        <is>
          <t>A 19439-2023</t>
        </is>
      </c>
      <c r="B140" s="1" t="n">
        <v>45049</v>
      </c>
      <c r="C140" s="1" t="n">
        <v>45506</v>
      </c>
      <c r="D140" t="inlineStr">
        <is>
          <t>JÄMTLANDS LÄN</t>
        </is>
      </c>
      <c r="E140" t="inlineStr">
        <is>
          <t>RAGUNDA</t>
        </is>
      </c>
      <c r="F140" t="inlineStr">
        <is>
          <t>SCA</t>
        </is>
      </c>
      <c r="G140" t="n">
        <v>1.7</v>
      </c>
      <c r="H140" t="n">
        <v>2</v>
      </c>
      <c r="I140" t="n">
        <v>0</v>
      </c>
      <c r="J140" t="n">
        <v>1</v>
      </c>
      <c r="K140" t="n">
        <v>0</v>
      </c>
      <c r="L140" t="n">
        <v>0</v>
      </c>
      <c r="M140" t="n">
        <v>0</v>
      </c>
      <c r="N140" t="n">
        <v>0</v>
      </c>
      <c r="O140" t="n">
        <v>1</v>
      </c>
      <c r="P140" t="n">
        <v>0</v>
      </c>
      <c r="Q140" t="n">
        <v>3</v>
      </c>
      <c r="R140" s="2" t="inlineStr">
        <is>
          <t>Lunglav
Nattviol
Blåsippa</t>
        </is>
      </c>
      <c r="S140">
        <f>HYPERLINK("https://klasma.github.io/Logging_2303/artfynd/A 19439-2023 artfynd.xlsx", "A 19439-2023")</f>
        <v/>
      </c>
      <c r="T140">
        <f>HYPERLINK("https://klasma.github.io/Logging_2303/kartor/A 19439-2023 karta.png", "A 19439-2023")</f>
        <v/>
      </c>
      <c r="V140">
        <f>HYPERLINK("https://klasma.github.io/Logging_2303/klagomål/A 19439-2023 FSC-klagomål.docx", "A 19439-2023")</f>
        <v/>
      </c>
      <c r="W140">
        <f>HYPERLINK("https://klasma.github.io/Logging_2303/klagomålsmail/A 19439-2023 FSC-klagomål mail.docx", "A 19439-2023")</f>
        <v/>
      </c>
      <c r="X140">
        <f>HYPERLINK("https://klasma.github.io/Logging_2303/tillsyn/A 19439-2023 tillsynsbegäran.docx", "A 19439-2023")</f>
        <v/>
      </c>
      <c r="Y140">
        <f>HYPERLINK("https://klasma.github.io/Logging_2303/tillsynsmail/A 19439-2023 tillsynsbegäran mail.docx", "A 19439-2023")</f>
        <v/>
      </c>
    </row>
    <row r="141" ht="15" customHeight="1">
      <c r="A141" t="inlineStr">
        <is>
          <t>A 22730-2023</t>
        </is>
      </c>
      <c r="B141" s="1" t="n">
        <v>45071</v>
      </c>
      <c r="C141" s="1" t="n">
        <v>45506</v>
      </c>
      <c r="D141" t="inlineStr">
        <is>
          <t>JÄMTLANDS LÄN</t>
        </is>
      </c>
      <c r="E141" t="inlineStr">
        <is>
          <t>RAGUNDA</t>
        </is>
      </c>
      <c r="G141" t="n">
        <v>3.6</v>
      </c>
      <c r="H141" t="n">
        <v>0</v>
      </c>
      <c r="I141" t="n">
        <v>0</v>
      </c>
      <c r="J141" t="n">
        <v>3</v>
      </c>
      <c r="K141" t="n">
        <v>0</v>
      </c>
      <c r="L141" t="n">
        <v>0</v>
      </c>
      <c r="M141" t="n">
        <v>0</v>
      </c>
      <c r="N141" t="n">
        <v>0</v>
      </c>
      <c r="O141" t="n">
        <v>3</v>
      </c>
      <c r="P141" t="n">
        <v>0</v>
      </c>
      <c r="Q141" t="n">
        <v>3</v>
      </c>
      <c r="R141" s="2" t="inlineStr">
        <is>
          <t>Garnlav
Lunglav
Vitgrynig nållav</t>
        </is>
      </c>
      <c r="S141">
        <f>HYPERLINK("https://klasma.github.io/Logging_2303/artfynd/A 22730-2023 artfynd.xlsx", "A 22730-2023")</f>
        <v/>
      </c>
      <c r="T141">
        <f>HYPERLINK("https://klasma.github.io/Logging_2303/kartor/A 22730-2023 karta.png", "A 22730-2023")</f>
        <v/>
      </c>
      <c r="V141">
        <f>HYPERLINK("https://klasma.github.io/Logging_2303/klagomål/A 22730-2023 FSC-klagomål.docx", "A 22730-2023")</f>
        <v/>
      </c>
      <c r="W141">
        <f>HYPERLINK("https://klasma.github.io/Logging_2303/klagomålsmail/A 22730-2023 FSC-klagomål mail.docx", "A 22730-2023")</f>
        <v/>
      </c>
      <c r="X141">
        <f>HYPERLINK("https://klasma.github.io/Logging_2303/tillsyn/A 22730-2023 tillsynsbegäran.docx", "A 22730-2023")</f>
        <v/>
      </c>
      <c r="Y141">
        <f>HYPERLINK("https://klasma.github.io/Logging_2303/tillsynsmail/A 22730-2023 tillsynsbegäran mail.docx", "A 22730-2023")</f>
        <v/>
      </c>
    </row>
    <row r="142" ht="15" customHeight="1">
      <c r="A142" t="inlineStr">
        <is>
          <t>A 28178-2023</t>
        </is>
      </c>
      <c r="B142" s="1" t="n">
        <v>45093</v>
      </c>
      <c r="C142" s="1" t="n">
        <v>45506</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33039-2023</t>
        </is>
      </c>
      <c r="B143" s="1" t="n">
        <v>45126</v>
      </c>
      <c r="C143" s="1" t="n">
        <v>45506</v>
      </c>
      <c r="D143" t="inlineStr">
        <is>
          <t>JÄMTLANDS LÄN</t>
        </is>
      </c>
      <c r="E143" t="inlineStr">
        <is>
          <t>RAGUNDA</t>
        </is>
      </c>
      <c r="F143" t="inlineStr">
        <is>
          <t>SCA</t>
        </is>
      </c>
      <c r="G143" t="n">
        <v>1.2</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HYPERLINK("https://klasma.github.io/Logging_2303/artfynd/A 33039-2023 artfynd.xlsx", "A 33039-2023")</f>
        <v/>
      </c>
      <c r="T143">
        <f>HYPERLINK("https://klasma.github.io/Logging_2303/kartor/A 33039-2023 karta.png", "A 33039-2023")</f>
        <v/>
      </c>
      <c r="V143">
        <f>HYPERLINK("https://klasma.github.io/Logging_2303/klagomål/A 33039-2023 FSC-klagomål.docx", "A 33039-2023")</f>
        <v/>
      </c>
      <c r="W143">
        <f>HYPERLINK("https://klasma.github.io/Logging_2303/klagomålsmail/A 33039-2023 FSC-klagomål mail.docx", "A 33039-2023")</f>
        <v/>
      </c>
      <c r="X143">
        <f>HYPERLINK("https://klasma.github.io/Logging_2303/tillsyn/A 33039-2023 tillsynsbegäran.docx", "A 33039-2023")</f>
        <v/>
      </c>
      <c r="Y143">
        <f>HYPERLINK("https://klasma.github.io/Logging_2303/tillsynsmail/A 33039-2023 tillsynsbegäran mail.docx", "A 33039-2023")</f>
        <v/>
      </c>
    </row>
    <row r="144" ht="15" customHeight="1">
      <c r="A144" t="inlineStr">
        <is>
          <t>A 36504-2023</t>
        </is>
      </c>
      <c r="B144" s="1" t="n">
        <v>45152</v>
      </c>
      <c r="C144" s="1" t="n">
        <v>45506</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36756-2023</t>
        </is>
      </c>
      <c r="B145" s="1" t="n">
        <v>45153</v>
      </c>
      <c r="C145" s="1" t="n">
        <v>45506</v>
      </c>
      <c r="D145" t="inlineStr">
        <is>
          <t>JÄMTLANDS LÄN</t>
        </is>
      </c>
      <c r="E145" t="inlineStr">
        <is>
          <t>RAGUNDA</t>
        </is>
      </c>
      <c r="G145" t="n">
        <v>8.5</v>
      </c>
      <c r="H145" t="n">
        <v>2</v>
      </c>
      <c r="I145" t="n">
        <v>0</v>
      </c>
      <c r="J145" t="n">
        <v>3</v>
      </c>
      <c r="K145" t="n">
        <v>0</v>
      </c>
      <c r="L145" t="n">
        <v>0</v>
      </c>
      <c r="M145" t="n">
        <v>0</v>
      </c>
      <c r="N145" t="n">
        <v>0</v>
      </c>
      <c r="O145" t="n">
        <v>3</v>
      </c>
      <c r="P145" t="n">
        <v>0</v>
      </c>
      <c r="Q145" t="n">
        <v>3</v>
      </c>
      <c r="R145" s="2" t="inlineStr">
        <is>
          <t>Granticka
Spillkråka
Tretåig hackspett</t>
        </is>
      </c>
      <c r="S145">
        <f>HYPERLINK("https://klasma.github.io/Logging_2303/artfynd/A 36756-2023 artfynd.xlsx", "A 36756-2023")</f>
        <v/>
      </c>
      <c r="T145">
        <f>HYPERLINK("https://klasma.github.io/Logging_2303/kartor/A 36756-2023 karta.png", "A 36756-2023")</f>
        <v/>
      </c>
      <c r="V145">
        <f>HYPERLINK("https://klasma.github.io/Logging_2303/klagomål/A 36756-2023 FSC-klagomål.docx", "A 36756-2023")</f>
        <v/>
      </c>
      <c r="W145">
        <f>HYPERLINK("https://klasma.github.io/Logging_2303/klagomålsmail/A 36756-2023 FSC-klagomål mail.docx", "A 36756-2023")</f>
        <v/>
      </c>
      <c r="X145">
        <f>HYPERLINK("https://klasma.github.io/Logging_2303/tillsyn/A 36756-2023 tillsynsbegäran.docx", "A 36756-2023")</f>
        <v/>
      </c>
      <c r="Y145">
        <f>HYPERLINK("https://klasma.github.io/Logging_2303/tillsynsmail/A 36756-2023 tillsynsbegäran mail.docx", "A 36756-2023")</f>
        <v/>
      </c>
      <c r="Z145">
        <f>HYPERLINK("https://klasma.github.io/Logging_2303/fåglar/A 36756-2023 prioriterade fågelarter.docx", "A 36756-2023")</f>
        <v/>
      </c>
    </row>
    <row r="146" ht="15" customHeight="1">
      <c r="A146" t="inlineStr">
        <is>
          <t>A 37235-2023</t>
        </is>
      </c>
      <c r="B146" s="1" t="n">
        <v>45155</v>
      </c>
      <c r="C146" s="1" t="n">
        <v>45506</v>
      </c>
      <c r="D146" t="inlineStr">
        <is>
          <t>JÄMTLANDS LÄN</t>
        </is>
      </c>
      <c r="E146" t="inlineStr">
        <is>
          <t>RAGUNDA</t>
        </is>
      </c>
      <c r="F146" t="inlineStr">
        <is>
          <t>SCA</t>
        </is>
      </c>
      <c r="G146" t="n">
        <v>12.4</v>
      </c>
      <c r="H146" t="n">
        <v>3</v>
      </c>
      <c r="I146" t="n">
        <v>1</v>
      </c>
      <c r="J146" t="n">
        <v>0</v>
      </c>
      <c r="K146" t="n">
        <v>1</v>
      </c>
      <c r="L146" t="n">
        <v>0</v>
      </c>
      <c r="M146" t="n">
        <v>0</v>
      </c>
      <c r="N146" t="n">
        <v>0</v>
      </c>
      <c r="O146" t="n">
        <v>1</v>
      </c>
      <c r="P146" t="n">
        <v>1</v>
      </c>
      <c r="Q146" t="n">
        <v>3</v>
      </c>
      <c r="R146" s="2" t="inlineStr">
        <is>
          <t>Knärot
Tvåblad
Nattviol</t>
        </is>
      </c>
      <c r="S146">
        <f>HYPERLINK("https://klasma.github.io/Logging_2303/artfynd/A 37235-2023 artfynd.xlsx", "A 37235-2023")</f>
        <v/>
      </c>
      <c r="T146">
        <f>HYPERLINK("https://klasma.github.io/Logging_2303/kartor/A 37235-2023 karta.png", "A 37235-2023")</f>
        <v/>
      </c>
      <c r="U146">
        <f>HYPERLINK("https://klasma.github.io/Logging_2303/knärot/A 37235-2023 karta knärot.png", "A 37235-2023")</f>
        <v/>
      </c>
      <c r="V146">
        <f>HYPERLINK("https://klasma.github.io/Logging_2303/klagomål/A 37235-2023 FSC-klagomål.docx", "A 37235-2023")</f>
        <v/>
      </c>
      <c r="W146">
        <f>HYPERLINK("https://klasma.github.io/Logging_2303/klagomålsmail/A 37235-2023 FSC-klagomål mail.docx", "A 37235-2023")</f>
        <v/>
      </c>
      <c r="X146">
        <f>HYPERLINK("https://klasma.github.io/Logging_2303/tillsyn/A 37235-2023 tillsynsbegäran.docx", "A 37235-2023")</f>
        <v/>
      </c>
      <c r="Y146">
        <f>HYPERLINK("https://klasma.github.io/Logging_2303/tillsynsmail/A 37235-2023 tillsynsbegäran mail.docx", "A 37235-2023")</f>
        <v/>
      </c>
    </row>
    <row r="147" ht="15" customHeight="1">
      <c r="A147" t="inlineStr">
        <is>
          <t>A 44302-2023</t>
        </is>
      </c>
      <c r="B147" s="1" t="n">
        <v>45188</v>
      </c>
      <c r="C147" s="1" t="n">
        <v>45506</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49047-2023</t>
        </is>
      </c>
      <c r="B148" s="1" t="n">
        <v>45209</v>
      </c>
      <c r="C148" s="1" t="n">
        <v>45506</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61790-2023</t>
        </is>
      </c>
      <c r="B149" s="1" t="n">
        <v>45265</v>
      </c>
      <c r="C149" s="1" t="n">
        <v>45506</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9565-2024</t>
        </is>
      </c>
      <c r="B150" s="1" t="n">
        <v>45360</v>
      </c>
      <c r="C150" s="1" t="n">
        <v>45506</v>
      </c>
      <c r="D150" t="inlineStr">
        <is>
          <t>JÄMTLANDS LÄN</t>
        </is>
      </c>
      <c r="E150" t="inlineStr">
        <is>
          <t>RAGUNDA</t>
        </is>
      </c>
      <c r="F150" t="inlineStr">
        <is>
          <t>SCA</t>
        </is>
      </c>
      <c r="G150" t="n">
        <v>1.5</v>
      </c>
      <c r="H150" t="n">
        <v>1</v>
      </c>
      <c r="I150" t="n">
        <v>0</v>
      </c>
      <c r="J150" t="n">
        <v>2</v>
      </c>
      <c r="K150" t="n">
        <v>0</v>
      </c>
      <c r="L150" t="n">
        <v>0</v>
      </c>
      <c r="M150" t="n">
        <v>0</v>
      </c>
      <c r="N150" t="n">
        <v>0</v>
      </c>
      <c r="O150" t="n">
        <v>2</v>
      </c>
      <c r="P150" t="n">
        <v>0</v>
      </c>
      <c r="Q150" t="n">
        <v>3</v>
      </c>
      <c r="R150" s="2" t="inlineStr">
        <is>
          <t>Lunglav
Vedskivlav
Fläcknycklar</t>
        </is>
      </c>
      <c r="S150">
        <f>HYPERLINK("https://klasma.github.io/Logging_2303/artfynd/A 9565-2024 artfynd.xlsx", "A 9565-2024")</f>
        <v/>
      </c>
      <c r="T150">
        <f>HYPERLINK("https://klasma.github.io/Logging_2303/kartor/A 9565-2024 karta.png", "A 9565-2024")</f>
        <v/>
      </c>
      <c r="V150">
        <f>HYPERLINK("https://klasma.github.io/Logging_2303/klagomål/A 9565-2024 FSC-klagomål.docx", "A 9565-2024")</f>
        <v/>
      </c>
      <c r="W150">
        <f>HYPERLINK("https://klasma.github.io/Logging_2303/klagomålsmail/A 9565-2024 FSC-klagomål mail.docx", "A 9565-2024")</f>
        <v/>
      </c>
      <c r="X150">
        <f>HYPERLINK("https://klasma.github.io/Logging_2303/tillsyn/A 9565-2024 tillsynsbegäran.docx", "A 9565-2024")</f>
        <v/>
      </c>
      <c r="Y150">
        <f>HYPERLINK("https://klasma.github.io/Logging_2303/tillsynsmail/A 9565-2024 tillsynsbegäran mail.docx", "A 9565-2024")</f>
        <v/>
      </c>
    </row>
    <row r="151" ht="15" customHeight="1">
      <c r="A151" t="inlineStr">
        <is>
          <t>A 12637-2024</t>
        </is>
      </c>
      <c r="B151" s="1" t="n">
        <v>45384</v>
      </c>
      <c r="C151" s="1" t="n">
        <v>45506</v>
      </c>
      <c r="D151" t="inlineStr">
        <is>
          <t>JÄMTLANDS LÄN</t>
        </is>
      </c>
      <c r="E151" t="inlineStr">
        <is>
          <t>RAGUNDA</t>
        </is>
      </c>
      <c r="G151" t="n">
        <v>6.5</v>
      </c>
      <c r="H151" t="n">
        <v>0</v>
      </c>
      <c r="I151" t="n">
        <v>2</v>
      </c>
      <c r="J151" t="n">
        <v>1</v>
      </c>
      <c r="K151" t="n">
        <v>0</v>
      </c>
      <c r="L151" t="n">
        <v>0</v>
      </c>
      <c r="M151" t="n">
        <v>0</v>
      </c>
      <c r="N151" t="n">
        <v>0</v>
      </c>
      <c r="O151" t="n">
        <v>1</v>
      </c>
      <c r="P151" t="n">
        <v>0</v>
      </c>
      <c r="Q151" t="n">
        <v>3</v>
      </c>
      <c r="R151" s="2" t="inlineStr">
        <is>
          <t>Blå taggsvamp
Dropptaggsvamp
Skarp dropptaggsvamp</t>
        </is>
      </c>
      <c r="S151">
        <f>HYPERLINK("https://klasma.github.io/Logging_2303/artfynd/A 12637-2024 artfynd.xlsx", "A 12637-2024")</f>
        <v/>
      </c>
      <c r="T151">
        <f>HYPERLINK("https://klasma.github.io/Logging_2303/kartor/A 12637-2024 karta.png", "A 12637-2024")</f>
        <v/>
      </c>
      <c r="V151">
        <f>HYPERLINK("https://klasma.github.io/Logging_2303/klagomål/A 12637-2024 FSC-klagomål.docx", "A 12637-2024")</f>
        <v/>
      </c>
      <c r="W151">
        <f>HYPERLINK("https://klasma.github.io/Logging_2303/klagomålsmail/A 12637-2024 FSC-klagomål mail.docx", "A 12637-2024")</f>
        <v/>
      </c>
      <c r="X151">
        <f>HYPERLINK("https://klasma.github.io/Logging_2303/tillsyn/A 12637-2024 tillsynsbegäran.docx", "A 12637-2024")</f>
        <v/>
      </c>
      <c r="Y151">
        <f>HYPERLINK("https://klasma.github.io/Logging_2303/tillsynsmail/A 12637-2024 tillsynsbegäran mail.docx", "A 12637-2024")</f>
        <v/>
      </c>
    </row>
    <row r="152" ht="15" customHeight="1">
      <c r="A152" t="inlineStr">
        <is>
          <t>A 14814-2024</t>
        </is>
      </c>
      <c r="B152" s="1" t="n">
        <v>45398</v>
      </c>
      <c r="C152" s="1" t="n">
        <v>45506</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16050-2024</t>
        </is>
      </c>
      <c r="B153" s="1" t="n">
        <v>45406</v>
      </c>
      <c r="C153" s="1" t="n">
        <v>45506</v>
      </c>
      <c r="D153" t="inlineStr">
        <is>
          <t>JÄMTLANDS LÄN</t>
        </is>
      </c>
      <c r="E153" t="inlineStr">
        <is>
          <t>RAGUNDA</t>
        </is>
      </c>
      <c r="F153" t="inlineStr">
        <is>
          <t>SCA</t>
        </is>
      </c>
      <c r="G153" t="n">
        <v>9.699999999999999</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16050-2024 artfynd.xlsx", "A 16050-2024")</f>
        <v/>
      </c>
      <c r="T153">
        <f>HYPERLINK("https://klasma.github.io/Logging_2303/kartor/A 16050-2024 karta.png", "A 16050-2024")</f>
        <v/>
      </c>
      <c r="V153">
        <f>HYPERLINK("https://klasma.github.io/Logging_2303/klagomål/A 16050-2024 FSC-klagomål.docx", "A 16050-2024")</f>
        <v/>
      </c>
      <c r="W153">
        <f>HYPERLINK("https://klasma.github.io/Logging_2303/klagomålsmail/A 16050-2024 FSC-klagomål mail.docx", "A 16050-2024")</f>
        <v/>
      </c>
      <c r="X153">
        <f>HYPERLINK("https://klasma.github.io/Logging_2303/tillsyn/A 16050-2024 tillsynsbegäran.docx", "A 16050-2024")</f>
        <v/>
      </c>
      <c r="Y153">
        <f>HYPERLINK("https://klasma.github.io/Logging_2303/tillsynsmail/A 16050-2024 tillsynsbegäran mail.docx", "A 16050-2024")</f>
        <v/>
      </c>
    </row>
    <row r="154" ht="15" customHeight="1">
      <c r="A154" t="inlineStr">
        <is>
          <t>A 18616-2024</t>
        </is>
      </c>
      <c r="B154" s="1" t="n">
        <v>45426</v>
      </c>
      <c r="C154" s="1" t="n">
        <v>45506</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19395-2024</t>
        </is>
      </c>
      <c r="B155" s="1" t="n">
        <v>45429</v>
      </c>
      <c r="C155" s="1" t="n">
        <v>45506</v>
      </c>
      <c r="D155" t="inlineStr">
        <is>
          <t>JÄMTLANDS LÄN</t>
        </is>
      </c>
      <c r="E155" t="inlineStr">
        <is>
          <t>RAGUNDA</t>
        </is>
      </c>
      <c r="G155" t="n">
        <v>25.4</v>
      </c>
      <c r="H155" t="n">
        <v>1</v>
      </c>
      <c r="I155" t="n">
        <v>1</v>
      </c>
      <c r="J155" t="n">
        <v>1</v>
      </c>
      <c r="K155" t="n">
        <v>1</v>
      </c>
      <c r="L155" t="n">
        <v>0</v>
      </c>
      <c r="M155" t="n">
        <v>0</v>
      </c>
      <c r="N155" t="n">
        <v>0</v>
      </c>
      <c r="O155" t="n">
        <v>2</v>
      </c>
      <c r="P155" t="n">
        <v>1</v>
      </c>
      <c r="Q155" t="n">
        <v>3</v>
      </c>
      <c r="R155" s="2" t="inlineStr">
        <is>
          <t>Knärot
Svartvit taggsvamp
Dropptaggsvamp</t>
        </is>
      </c>
      <c r="S155">
        <f>HYPERLINK("https://klasma.github.io/Logging_2303/artfynd/A 19395-2024 artfynd.xlsx", "A 19395-2024")</f>
        <v/>
      </c>
      <c r="T155">
        <f>HYPERLINK("https://klasma.github.io/Logging_2303/kartor/A 19395-2024 karta.png", "A 19395-2024")</f>
        <v/>
      </c>
      <c r="U155">
        <f>HYPERLINK("https://klasma.github.io/Logging_2303/knärot/A 19395-2024 karta knärot.png", "A 19395-2024")</f>
        <v/>
      </c>
      <c r="V155">
        <f>HYPERLINK("https://klasma.github.io/Logging_2303/klagomål/A 19395-2024 FSC-klagomål.docx", "A 19395-2024")</f>
        <v/>
      </c>
      <c r="W155">
        <f>HYPERLINK("https://klasma.github.io/Logging_2303/klagomålsmail/A 19395-2024 FSC-klagomål mail.docx", "A 19395-2024")</f>
        <v/>
      </c>
      <c r="X155">
        <f>HYPERLINK("https://klasma.github.io/Logging_2303/tillsyn/A 19395-2024 tillsynsbegäran.docx", "A 19395-2024")</f>
        <v/>
      </c>
      <c r="Y155">
        <f>HYPERLINK("https://klasma.github.io/Logging_2303/tillsynsmail/A 19395-2024 tillsynsbegäran mail.docx", "A 19395-2024")</f>
        <v/>
      </c>
    </row>
    <row r="156" ht="15" customHeight="1">
      <c r="A156" t="inlineStr">
        <is>
          <t>A 20776-2024</t>
        </is>
      </c>
      <c r="B156" s="1" t="n">
        <v>45437</v>
      </c>
      <c r="C156" s="1" t="n">
        <v>45506</v>
      </c>
      <c r="D156" t="inlineStr">
        <is>
          <t>JÄMTLANDS LÄN</t>
        </is>
      </c>
      <c r="E156" t="inlineStr">
        <is>
          <t>RAGUNDA</t>
        </is>
      </c>
      <c r="F156" t="inlineStr">
        <is>
          <t>SCA</t>
        </is>
      </c>
      <c r="G156" t="n">
        <v>5.2</v>
      </c>
      <c r="H156" t="n">
        <v>0</v>
      </c>
      <c r="I156" t="n">
        <v>0</v>
      </c>
      <c r="J156" t="n">
        <v>2</v>
      </c>
      <c r="K156" t="n">
        <v>1</v>
      </c>
      <c r="L156" t="n">
        <v>0</v>
      </c>
      <c r="M156" t="n">
        <v>0</v>
      </c>
      <c r="N156" t="n">
        <v>0</v>
      </c>
      <c r="O156" t="n">
        <v>3</v>
      </c>
      <c r="P156" t="n">
        <v>1</v>
      </c>
      <c r="Q156" t="n">
        <v>3</v>
      </c>
      <c r="R156" s="2" t="inlineStr">
        <is>
          <t>Liten hornflikmossa
Garnlav
Vedtrappmossa</t>
        </is>
      </c>
      <c r="S156">
        <f>HYPERLINK("https://klasma.github.io/Logging_2303/artfynd/A 20776-2024 artfynd.xlsx", "A 20776-2024")</f>
        <v/>
      </c>
      <c r="T156">
        <f>HYPERLINK("https://klasma.github.io/Logging_2303/kartor/A 20776-2024 karta.png", "A 20776-2024")</f>
        <v/>
      </c>
      <c r="V156">
        <f>HYPERLINK("https://klasma.github.io/Logging_2303/klagomål/A 20776-2024 FSC-klagomål.docx", "A 20776-2024")</f>
        <v/>
      </c>
      <c r="W156">
        <f>HYPERLINK("https://klasma.github.io/Logging_2303/klagomålsmail/A 20776-2024 FSC-klagomål mail.docx", "A 20776-2024")</f>
        <v/>
      </c>
      <c r="X156">
        <f>HYPERLINK("https://klasma.github.io/Logging_2303/tillsyn/A 20776-2024 tillsynsbegäran.docx", "A 20776-2024")</f>
        <v/>
      </c>
      <c r="Y156">
        <f>HYPERLINK("https://klasma.github.io/Logging_2303/tillsynsmail/A 20776-2024 tillsynsbegäran mail.docx", "A 20776-2024")</f>
        <v/>
      </c>
    </row>
    <row r="157" ht="15" customHeight="1">
      <c r="A157" t="inlineStr">
        <is>
          <t>A 26249-2024</t>
        </is>
      </c>
      <c r="B157" s="1" t="n">
        <v>45468</v>
      </c>
      <c r="C157" s="1" t="n">
        <v>45506</v>
      </c>
      <c r="D157" t="inlineStr">
        <is>
          <t>JÄMTLANDS LÄN</t>
        </is>
      </c>
      <c r="E157" t="inlineStr">
        <is>
          <t>RAGUNDA</t>
        </is>
      </c>
      <c r="G157" t="n">
        <v>11</v>
      </c>
      <c r="H157" t="n">
        <v>1</v>
      </c>
      <c r="I157" t="n">
        <v>1</v>
      </c>
      <c r="J157" t="n">
        <v>2</v>
      </c>
      <c r="K157" t="n">
        <v>0</v>
      </c>
      <c r="L157" t="n">
        <v>0</v>
      </c>
      <c r="M157" t="n">
        <v>0</v>
      </c>
      <c r="N157" t="n">
        <v>0</v>
      </c>
      <c r="O157" t="n">
        <v>2</v>
      </c>
      <c r="P157" t="n">
        <v>0</v>
      </c>
      <c r="Q157" t="n">
        <v>3</v>
      </c>
      <c r="R157" s="2" t="inlineStr">
        <is>
          <t>Garnlav
Ullticka
Spindelblomster</t>
        </is>
      </c>
      <c r="S157">
        <f>HYPERLINK("https://klasma.github.io/Logging_2303/artfynd/A 26249-2024 artfynd.xlsx", "A 26249-2024")</f>
        <v/>
      </c>
      <c r="T157">
        <f>HYPERLINK("https://klasma.github.io/Logging_2303/kartor/A 26249-2024 karta.png", "A 26249-2024")</f>
        <v/>
      </c>
      <c r="U157">
        <f>HYPERLINK("https://klasma.github.io/Logging_2303/knärot/A 26249-2024 karta knärot.png", "A 26249-2024")</f>
        <v/>
      </c>
      <c r="V157">
        <f>HYPERLINK("https://klasma.github.io/Logging_2303/klagomål/A 26249-2024 FSC-klagomål.docx", "A 26249-2024")</f>
        <v/>
      </c>
      <c r="W157">
        <f>HYPERLINK("https://klasma.github.io/Logging_2303/klagomålsmail/A 26249-2024 FSC-klagomål mail.docx", "A 26249-2024")</f>
        <v/>
      </c>
      <c r="X157">
        <f>HYPERLINK("https://klasma.github.io/Logging_2303/tillsyn/A 26249-2024 tillsynsbegäran.docx", "A 26249-2024")</f>
        <v/>
      </c>
      <c r="Y157">
        <f>HYPERLINK("https://klasma.github.io/Logging_2303/tillsynsmail/A 26249-2024 tillsynsbegäran mail.docx", "A 26249-2024")</f>
        <v/>
      </c>
    </row>
    <row r="158" ht="15" customHeight="1">
      <c r="A158" t="inlineStr">
        <is>
          <t>A 43760-2019</t>
        </is>
      </c>
      <c r="B158" s="1" t="n">
        <v>43707</v>
      </c>
      <c r="C158" s="1" t="n">
        <v>45506</v>
      </c>
      <c r="D158" t="inlineStr">
        <is>
          <t>JÄMTLANDS LÄN</t>
        </is>
      </c>
      <c r="E158" t="inlineStr">
        <is>
          <t>RAGUNDA</t>
        </is>
      </c>
      <c r="G158" t="n">
        <v>3.5</v>
      </c>
      <c r="H158" t="n">
        <v>1</v>
      </c>
      <c r="I158" t="n">
        <v>0</v>
      </c>
      <c r="J158" t="n">
        <v>1</v>
      </c>
      <c r="K158" t="n">
        <v>1</v>
      </c>
      <c r="L158" t="n">
        <v>0</v>
      </c>
      <c r="M158" t="n">
        <v>0</v>
      </c>
      <c r="N158" t="n">
        <v>0</v>
      </c>
      <c r="O158" t="n">
        <v>2</v>
      </c>
      <c r="P158" t="n">
        <v>1</v>
      </c>
      <c r="Q158" t="n">
        <v>2</v>
      </c>
      <c r="R158" s="2" t="inlineStr">
        <is>
          <t>Knärot
Lunglav</t>
        </is>
      </c>
      <c r="S158">
        <f>HYPERLINK("https://klasma.github.io/Logging_2303/artfynd/A 43760-2019 artfynd.xlsx", "A 43760-2019")</f>
        <v/>
      </c>
      <c r="T158">
        <f>HYPERLINK("https://klasma.github.io/Logging_2303/kartor/A 43760-2019 karta.png", "A 43760-2019")</f>
        <v/>
      </c>
      <c r="U158">
        <f>HYPERLINK("https://klasma.github.io/Logging_2303/knärot/A 43760-2019 karta knärot.png", "A 43760-2019")</f>
        <v/>
      </c>
      <c r="V158">
        <f>HYPERLINK("https://klasma.github.io/Logging_2303/klagomål/A 43760-2019 FSC-klagomål.docx", "A 43760-2019")</f>
        <v/>
      </c>
      <c r="W158">
        <f>HYPERLINK("https://klasma.github.io/Logging_2303/klagomålsmail/A 43760-2019 FSC-klagomål mail.docx", "A 43760-2019")</f>
        <v/>
      </c>
      <c r="X158">
        <f>HYPERLINK("https://klasma.github.io/Logging_2303/tillsyn/A 43760-2019 tillsynsbegäran.docx", "A 43760-2019")</f>
        <v/>
      </c>
      <c r="Y158">
        <f>HYPERLINK("https://klasma.github.io/Logging_2303/tillsynsmail/A 43760-2019 tillsynsbegäran mail.docx", "A 43760-2019")</f>
        <v/>
      </c>
    </row>
    <row r="159" ht="15" customHeight="1">
      <c r="A159" t="inlineStr">
        <is>
          <t>A 20477-2020</t>
        </is>
      </c>
      <c r="B159" s="1" t="n">
        <v>43948</v>
      </c>
      <c r="C159" s="1" t="n">
        <v>45506</v>
      </c>
      <c r="D159" t="inlineStr">
        <is>
          <t>JÄMTLANDS LÄN</t>
        </is>
      </c>
      <c r="E159" t="inlineStr">
        <is>
          <t>RAGUNDA</t>
        </is>
      </c>
      <c r="G159" t="n">
        <v>33.6</v>
      </c>
      <c r="H159" t="n">
        <v>0</v>
      </c>
      <c r="I159" t="n">
        <v>1</v>
      </c>
      <c r="J159" t="n">
        <v>1</v>
      </c>
      <c r="K159" t="n">
        <v>0</v>
      </c>
      <c r="L159" t="n">
        <v>0</v>
      </c>
      <c r="M159" t="n">
        <v>0</v>
      </c>
      <c r="N159" t="n">
        <v>0</v>
      </c>
      <c r="O159" t="n">
        <v>1</v>
      </c>
      <c r="P159" t="n">
        <v>0</v>
      </c>
      <c r="Q159" t="n">
        <v>2</v>
      </c>
      <c r="R159" s="2" t="inlineStr">
        <is>
          <t>Lunglav
Luddlav</t>
        </is>
      </c>
      <c r="S159">
        <f>HYPERLINK("https://klasma.github.io/Logging_2303/artfynd/A 20477-2020 artfynd.xlsx", "A 20477-2020")</f>
        <v/>
      </c>
      <c r="T159">
        <f>HYPERLINK("https://klasma.github.io/Logging_2303/kartor/A 20477-2020 karta.png", "A 20477-2020")</f>
        <v/>
      </c>
      <c r="V159">
        <f>HYPERLINK("https://klasma.github.io/Logging_2303/klagomål/A 20477-2020 FSC-klagomål.docx", "A 20477-2020")</f>
        <v/>
      </c>
      <c r="W159">
        <f>HYPERLINK("https://klasma.github.io/Logging_2303/klagomålsmail/A 20477-2020 FSC-klagomål mail.docx", "A 20477-2020")</f>
        <v/>
      </c>
      <c r="X159">
        <f>HYPERLINK("https://klasma.github.io/Logging_2303/tillsyn/A 20477-2020 tillsynsbegäran.docx", "A 20477-2020")</f>
        <v/>
      </c>
      <c r="Y159">
        <f>HYPERLINK("https://klasma.github.io/Logging_2303/tillsynsmail/A 20477-2020 tillsynsbegäran mail.docx", "A 20477-2020")</f>
        <v/>
      </c>
    </row>
    <row r="160" ht="15" customHeight="1">
      <c r="A160" t="inlineStr">
        <is>
          <t>A 47164-2021</t>
        </is>
      </c>
      <c r="B160" s="1" t="n">
        <v>44447</v>
      </c>
      <c r="C160" s="1" t="n">
        <v>45506</v>
      </c>
      <c r="D160" t="inlineStr">
        <is>
          <t>JÄMTLANDS LÄN</t>
        </is>
      </c>
      <c r="E160" t="inlineStr">
        <is>
          <t>RAGUNDA</t>
        </is>
      </c>
      <c r="F160" t="inlineStr">
        <is>
          <t>SCA</t>
        </is>
      </c>
      <c r="G160" t="n">
        <v>8.5</v>
      </c>
      <c r="H160" t="n">
        <v>0</v>
      </c>
      <c r="I160" t="n">
        <v>0</v>
      </c>
      <c r="J160" t="n">
        <v>2</v>
      </c>
      <c r="K160" t="n">
        <v>0</v>
      </c>
      <c r="L160" t="n">
        <v>0</v>
      </c>
      <c r="M160" t="n">
        <v>0</v>
      </c>
      <c r="N160" t="n">
        <v>0</v>
      </c>
      <c r="O160" t="n">
        <v>2</v>
      </c>
      <c r="P160" t="n">
        <v>0</v>
      </c>
      <c r="Q160" t="n">
        <v>2</v>
      </c>
      <c r="R160" s="2" t="inlineStr">
        <is>
          <t>Lunglav
Mörk kolflarnlav</t>
        </is>
      </c>
      <c r="S160">
        <f>HYPERLINK("https://klasma.github.io/Logging_2303/artfynd/A 47164-2021 artfynd.xlsx", "A 47164-2021")</f>
        <v/>
      </c>
      <c r="T160">
        <f>HYPERLINK("https://klasma.github.io/Logging_2303/kartor/A 47164-2021 karta.png", "A 47164-2021")</f>
        <v/>
      </c>
      <c r="V160">
        <f>HYPERLINK("https://klasma.github.io/Logging_2303/klagomål/A 47164-2021 FSC-klagomål.docx", "A 47164-2021")</f>
        <v/>
      </c>
      <c r="W160">
        <f>HYPERLINK("https://klasma.github.io/Logging_2303/klagomålsmail/A 47164-2021 FSC-klagomål mail.docx", "A 47164-2021")</f>
        <v/>
      </c>
      <c r="X160">
        <f>HYPERLINK("https://klasma.github.io/Logging_2303/tillsyn/A 47164-2021 tillsynsbegäran.docx", "A 47164-2021")</f>
        <v/>
      </c>
      <c r="Y160">
        <f>HYPERLINK("https://klasma.github.io/Logging_2303/tillsynsmail/A 47164-2021 tillsynsbegäran mail.docx", "A 47164-2021")</f>
        <v/>
      </c>
    </row>
    <row r="161" ht="15" customHeight="1">
      <c r="A161" t="inlineStr">
        <is>
          <t>A 17043-2022</t>
        </is>
      </c>
      <c r="B161" s="1" t="n">
        <v>44676</v>
      </c>
      <c r="C161" s="1" t="n">
        <v>45506</v>
      </c>
      <c r="D161" t="inlineStr">
        <is>
          <t>JÄMTLANDS LÄN</t>
        </is>
      </c>
      <c r="E161" t="inlineStr">
        <is>
          <t>RAGUNDA</t>
        </is>
      </c>
      <c r="F161" t="inlineStr">
        <is>
          <t>SCA</t>
        </is>
      </c>
      <c r="G161" t="n">
        <v>3</v>
      </c>
      <c r="H161" t="n">
        <v>0</v>
      </c>
      <c r="I161" t="n">
        <v>2</v>
      </c>
      <c r="J161" t="n">
        <v>0</v>
      </c>
      <c r="K161" t="n">
        <v>0</v>
      </c>
      <c r="L161" t="n">
        <v>0</v>
      </c>
      <c r="M161" t="n">
        <v>0</v>
      </c>
      <c r="N161" t="n">
        <v>0</v>
      </c>
      <c r="O161" t="n">
        <v>0</v>
      </c>
      <c r="P161" t="n">
        <v>0</v>
      </c>
      <c r="Q161" t="n">
        <v>2</v>
      </c>
      <c r="R161" s="2" t="inlineStr">
        <is>
          <t>Skinnlav
Vedticka</t>
        </is>
      </c>
      <c r="S161">
        <f>HYPERLINK("https://klasma.github.io/Logging_2303/artfynd/A 17043-2022 artfynd.xlsx", "A 17043-2022")</f>
        <v/>
      </c>
      <c r="T161">
        <f>HYPERLINK("https://klasma.github.io/Logging_2303/kartor/A 17043-2022 karta.png", "A 17043-2022")</f>
        <v/>
      </c>
      <c r="V161">
        <f>HYPERLINK("https://klasma.github.io/Logging_2303/klagomål/A 17043-2022 FSC-klagomål.docx", "A 17043-2022")</f>
        <v/>
      </c>
      <c r="W161">
        <f>HYPERLINK("https://klasma.github.io/Logging_2303/klagomålsmail/A 17043-2022 FSC-klagomål mail.docx", "A 17043-2022")</f>
        <v/>
      </c>
      <c r="X161">
        <f>HYPERLINK("https://klasma.github.io/Logging_2303/tillsyn/A 17043-2022 tillsynsbegäran.docx", "A 17043-2022")</f>
        <v/>
      </c>
      <c r="Y161">
        <f>HYPERLINK("https://klasma.github.io/Logging_2303/tillsynsmail/A 17043-2022 tillsynsbegäran mail.docx", "A 17043-2022")</f>
        <v/>
      </c>
    </row>
    <row r="162" ht="15" customHeight="1">
      <c r="A162" t="inlineStr">
        <is>
          <t>A 17733-2022</t>
        </is>
      </c>
      <c r="B162" s="1" t="n">
        <v>44680</v>
      </c>
      <c r="C162" s="1" t="n">
        <v>45506</v>
      </c>
      <c r="D162" t="inlineStr">
        <is>
          <t>JÄMTLANDS LÄN</t>
        </is>
      </c>
      <c r="E162" t="inlineStr">
        <is>
          <t>RAGUNDA</t>
        </is>
      </c>
      <c r="G162" t="n">
        <v>2.2</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17733-2022 artfynd.xlsx", "A 17733-2022")</f>
        <v/>
      </c>
      <c r="T162">
        <f>HYPERLINK("https://klasma.github.io/Logging_2303/kartor/A 17733-2022 karta.png", "A 17733-2022")</f>
        <v/>
      </c>
      <c r="V162">
        <f>HYPERLINK("https://klasma.github.io/Logging_2303/klagomål/A 17733-2022 FSC-klagomål.docx", "A 17733-2022")</f>
        <v/>
      </c>
      <c r="W162">
        <f>HYPERLINK("https://klasma.github.io/Logging_2303/klagomålsmail/A 17733-2022 FSC-klagomål mail.docx", "A 17733-2022")</f>
        <v/>
      </c>
      <c r="X162">
        <f>HYPERLINK("https://klasma.github.io/Logging_2303/tillsyn/A 17733-2022 tillsynsbegäran.docx", "A 17733-2022")</f>
        <v/>
      </c>
      <c r="Y162">
        <f>HYPERLINK("https://klasma.github.io/Logging_2303/tillsynsmail/A 17733-2022 tillsynsbegäran mail.docx", "A 17733-2022")</f>
        <v/>
      </c>
    </row>
    <row r="163" ht="15" customHeight="1">
      <c r="A163" t="inlineStr">
        <is>
          <t>A 18552-2022</t>
        </is>
      </c>
      <c r="B163" s="1" t="n">
        <v>44687</v>
      </c>
      <c r="C163" s="1" t="n">
        <v>45506</v>
      </c>
      <c r="D163" t="inlineStr">
        <is>
          <t>JÄMTLANDS LÄN</t>
        </is>
      </c>
      <c r="E163" t="inlineStr">
        <is>
          <t>RAGUNDA</t>
        </is>
      </c>
      <c r="F163" t="inlineStr">
        <is>
          <t>SCA</t>
        </is>
      </c>
      <c r="G163" t="n">
        <v>2.6</v>
      </c>
      <c r="H163" t="n">
        <v>0</v>
      </c>
      <c r="I163" t="n">
        <v>0</v>
      </c>
      <c r="J163" t="n">
        <v>2</v>
      </c>
      <c r="K163" t="n">
        <v>0</v>
      </c>
      <c r="L163" t="n">
        <v>0</v>
      </c>
      <c r="M163" t="n">
        <v>0</v>
      </c>
      <c r="N163" t="n">
        <v>0</v>
      </c>
      <c r="O163" t="n">
        <v>2</v>
      </c>
      <c r="P163" t="n">
        <v>0</v>
      </c>
      <c r="Q163" t="n">
        <v>2</v>
      </c>
      <c r="R163" s="2" t="inlineStr">
        <is>
          <t>Granticka
Vedtrappmossa</t>
        </is>
      </c>
      <c r="S163">
        <f>HYPERLINK("https://klasma.github.io/Logging_2303/artfynd/A 18552-2022 artfynd.xlsx", "A 18552-2022")</f>
        <v/>
      </c>
      <c r="T163">
        <f>HYPERLINK("https://klasma.github.io/Logging_2303/kartor/A 18552-2022 karta.png", "A 18552-2022")</f>
        <v/>
      </c>
      <c r="V163">
        <f>HYPERLINK("https://klasma.github.io/Logging_2303/klagomål/A 18552-2022 FSC-klagomål.docx", "A 18552-2022")</f>
        <v/>
      </c>
      <c r="W163">
        <f>HYPERLINK("https://klasma.github.io/Logging_2303/klagomålsmail/A 18552-2022 FSC-klagomål mail.docx", "A 18552-2022")</f>
        <v/>
      </c>
      <c r="X163">
        <f>HYPERLINK("https://klasma.github.io/Logging_2303/tillsyn/A 18552-2022 tillsynsbegäran.docx", "A 18552-2022")</f>
        <v/>
      </c>
      <c r="Y163">
        <f>HYPERLINK("https://klasma.github.io/Logging_2303/tillsynsmail/A 18552-2022 tillsynsbegäran mail.docx", "A 18552-2022")</f>
        <v/>
      </c>
    </row>
    <row r="164" ht="15" customHeight="1">
      <c r="A164" t="inlineStr">
        <is>
          <t>A 41490-2022</t>
        </is>
      </c>
      <c r="B164" s="1" t="n">
        <v>44827</v>
      </c>
      <c r="C164" s="1" t="n">
        <v>45506</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47583-2022</t>
        </is>
      </c>
      <c r="B165" s="1" t="n">
        <v>44854</v>
      </c>
      <c r="C165" s="1" t="n">
        <v>45506</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47583-2022 artfynd.xlsx", "A 47583-2022")</f>
        <v/>
      </c>
      <c r="T165">
        <f>HYPERLINK("https://klasma.github.io/Logging_2303/kartor/A 47583-2022 karta.png", "A 47583-2022")</f>
        <v/>
      </c>
      <c r="V165">
        <f>HYPERLINK("https://klasma.github.io/Logging_2303/klagomål/A 47583-2022 FSC-klagomål.docx", "A 47583-2022")</f>
        <v/>
      </c>
      <c r="W165">
        <f>HYPERLINK("https://klasma.github.io/Logging_2303/klagomålsmail/A 47583-2022 FSC-klagomål mail.docx", "A 47583-2022")</f>
        <v/>
      </c>
      <c r="X165">
        <f>HYPERLINK("https://klasma.github.io/Logging_2303/tillsyn/A 47583-2022 tillsynsbegäran.docx", "A 47583-2022")</f>
        <v/>
      </c>
      <c r="Y165">
        <f>HYPERLINK("https://klasma.github.io/Logging_2303/tillsynsmail/A 47583-2022 tillsynsbegäran mail.docx", "A 47583-2022")</f>
        <v/>
      </c>
    </row>
    <row r="166" ht="15" customHeight="1">
      <c r="A166" t="inlineStr">
        <is>
          <t>A 48059-2022</t>
        </is>
      </c>
      <c r="B166" s="1" t="n">
        <v>44855</v>
      </c>
      <c r="C166" s="1" t="n">
        <v>45506</v>
      </c>
      <c r="D166" t="inlineStr">
        <is>
          <t>JÄMTLANDS LÄN</t>
        </is>
      </c>
      <c r="E166" t="inlineStr">
        <is>
          <t>RAGUNDA</t>
        </is>
      </c>
      <c r="F166" t="inlineStr">
        <is>
          <t>SCA</t>
        </is>
      </c>
      <c r="G166" t="n">
        <v>3.2</v>
      </c>
      <c r="H166" t="n">
        <v>0</v>
      </c>
      <c r="I166" t="n">
        <v>0</v>
      </c>
      <c r="J166" t="n">
        <v>2</v>
      </c>
      <c r="K166" t="n">
        <v>0</v>
      </c>
      <c r="L166" t="n">
        <v>0</v>
      </c>
      <c r="M166" t="n">
        <v>0</v>
      </c>
      <c r="N166" t="n">
        <v>0</v>
      </c>
      <c r="O166" t="n">
        <v>2</v>
      </c>
      <c r="P166" t="n">
        <v>0</v>
      </c>
      <c r="Q166" t="n">
        <v>2</v>
      </c>
      <c r="R166" s="2" t="inlineStr">
        <is>
          <t>Garnlav
Lunglav</t>
        </is>
      </c>
      <c r="S166">
        <f>HYPERLINK("https://klasma.github.io/Logging_2303/artfynd/A 48059-2022 artfynd.xlsx", "A 48059-2022")</f>
        <v/>
      </c>
      <c r="T166">
        <f>HYPERLINK("https://klasma.github.io/Logging_2303/kartor/A 48059-2022 karta.png", "A 48059-2022")</f>
        <v/>
      </c>
      <c r="V166">
        <f>HYPERLINK("https://klasma.github.io/Logging_2303/klagomål/A 48059-2022 FSC-klagomål.docx", "A 48059-2022")</f>
        <v/>
      </c>
      <c r="W166">
        <f>HYPERLINK("https://klasma.github.io/Logging_2303/klagomålsmail/A 48059-2022 FSC-klagomål mail.docx", "A 48059-2022")</f>
        <v/>
      </c>
      <c r="X166">
        <f>HYPERLINK("https://klasma.github.io/Logging_2303/tillsyn/A 48059-2022 tillsynsbegäran.docx", "A 48059-2022")</f>
        <v/>
      </c>
      <c r="Y166">
        <f>HYPERLINK("https://klasma.github.io/Logging_2303/tillsynsmail/A 48059-2022 tillsynsbegäran mail.docx", "A 48059-2022")</f>
        <v/>
      </c>
    </row>
    <row r="167" ht="15" customHeight="1">
      <c r="A167" t="inlineStr">
        <is>
          <t>A 48084-2022</t>
        </is>
      </c>
      <c r="B167" s="1" t="n">
        <v>44855</v>
      </c>
      <c r="C167" s="1" t="n">
        <v>45506</v>
      </c>
      <c r="D167" t="inlineStr">
        <is>
          <t>JÄMTLANDS LÄN</t>
        </is>
      </c>
      <c r="E167" t="inlineStr">
        <is>
          <t>RAGUNDA</t>
        </is>
      </c>
      <c r="F167" t="inlineStr">
        <is>
          <t>SCA</t>
        </is>
      </c>
      <c r="G167" t="n">
        <v>4.7</v>
      </c>
      <c r="H167" t="n">
        <v>1</v>
      </c>
      <c r="I167" t="n">
        <v>0</v>
      </c>
      <c r="J167" t="n">
        <v>2</v>
      </c>
      <c r="K167" t="n">
        <v>0</v>
      </c>
      <c r="L167" t="n">
        <v>0</v>
      </c>
      <c r="M167" t="n">
        <v>0</v>
      </c>
      <c r="N167" t="n">
        <v>0</v>
      </c>
      <c r="O167" t="n">
        <v>2</v>
      </c>
      <c r="P167" t="n">
        <v>0</v>
      </c>
      <c r="Q167" t="n">
        <v>2</v>
      </c>
      <c r="R167" s="2" t="inlineStr">
        <is>
          <t>Rosenticka
Tretåig hackspett</t>
        </is>
      </c>
      <c r="S167">
        <f>HYPERLINK("https://klasma.github.io/Logging_2303/artfynd/A 48084-2022 artfynd.xlsx", "A 48084-2022")</f>
        <v/>
      </c>
      <c r="T167">
        <f>HYPERLINK("https://klasma.github.io/Logging_2303/kartor/A 48084-2022 karta.png", "A 48084-2022")</f>
        <v/>
      </c>
      <c r="V167">
        <f>HYPERLINK("https://klasma.github.io/Logging_2303/klagomål/A 48084-2022 FSC-klagomål.docx", "A 48084-2022")</f>
        <v/>
      </c>
      <c r="W167">
        <f>HYPERLINK("https://klasma.github.io/Logging_2303/klagomålsmail/A 48084-2022 FSC-klagomål mail.docx", "A 48084-2022")</f>
        <v/>
      </c>
      <c r="X167">
        <f>HYPERLINK("https://klasma.github.io/Logging_2303/tillsyn/A 48084-2022 tillsynsbegäran.docx", "A 48084-2022")</f>
        <v/>
      </c>
      <c r="Y167">
        <f>HYPERLINK("https://klasma.github.io/Logging_2303/tillsynsmail/A 48084-2022 tillsynsbegäran mail.docx", "A 48084-2022")</f>
        <v/>
      </c>
      <c r="Z167">
        <f>HYPERLINK("https://klasma.github.io/Logging_2303/fåglar/A 48084-2022 prioriterade fågelarter.docx", "A 48084-2022")</f>
        <v/>
      </c>
    </row>
    <row r="168" ht="15" customHeight="1">
      <c r="A168" t="inlineStr">
        <is>
          <t>A 49194-2022</t>
        </is>
      </c>
      <c r="B168" s="1" t="n">
        <v>44860</v>
      </c>
      <c r="C168" s="1" t="n">
        <v>45506</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Doftticka
Lunglav</t>
        </is>
      </c>
      <c r="S168">
        <f>HYPERLINK("https://klasma.github.io/Logging_2303/artfynd/A 49194-2022 artfynd.xlsx", "A 49194-2022")</f>
        <v/>
      </c>
      <c r="T168">
        <f>HYPERLINK("https://klasma.github.io/Logging_2303/kartor/A 49194-2022 karta.png", "A 49194-2022")</f>
        <v/>
      </c>
      <c r="V168">
        <f>HYPERLINK("https://klasma.github.io/Logging_2303/klagomål/A 49194-2022 FSC-klagomål.docx", "A 49194-2022")</f>
        <v/>
      </c>
      <c r="W168">
        <f>HYPERLINK("https://klasma.github.io/Logging_2303/klagomålsmail/A 49194-2022 FSC-klagomål mail.docx", "A 49194-2022")</f>
        <v/>
      </c>
      <c r="X168">
        <f>HYPERLINK("https://klasma.github.io/Logging_2303/tillsyn/A 49194-2022 tillsynsbegäran.docx", "A 49194-2022")</f>
        <v/>
      </c>
      <c r="Y168">
        <f>HYPERLINK("https://klasma.github.io/Logging_2303/tillsynsmail/A 49194-2022 tillsynsbegäran mail.docx", "A 49194-2022")</f>
        <v/>
      </c>
    </row>
    <row r="169" ht="15" customHeight="1">
      <c r="A169" t="inlineStr">
        <is>
          <t>A 8033-2023</t>
        </is>
      </c>
      <c r="B169" s="1" t="n">
        <v>44973</v>
      </c>
      <c r="C169" s="1" t="n">
        <v>45506</v>
      </c>
      <c r="D169" t="inlineStr">
        <is>
          <t>JÄMTLANDS LÄN</t>
        </is>
      </c>
      <c r="E169" t="inlineStr">
        <is>
          <t>RAGUNDA</t>
        </is>
      </c>
      <c r="F169" t="inlineStr">
        <is>
          <t>SCA</t>
        </is>
      </c>
      <c r="G169" t="n">
        <v>9.199999999999999</v>
      </c>
      <c r="H169" t="n">
        <v>0</v>
      </c>
      <c r="I169" t="n">
        <v>1</v>
      </c>
      <c r="J169" t="n">
        <v>1</v>
      </c>
      <c r="K169" t="n">
        <v>0</v>
      </c>
      <c r="L169" t="n">
        <v>0</v>
      </c>
      <c r="M169" t="n">
        <v>0</v>
      </c>
      <c r="N169" t="n">
        <v>0</v>
      </c>
      <c r="O169" t="n">
        <v>1</v>
      </c>
      <c r="P169" t="n">
        <v>0</v>
      </c>
      <c r="Q169" t="n">
        <v>2</v>
      </c>
      <c r="R169" s="2" t="inlineStr">
        <is>
          <t>Kolflarnlav
Grönpyrola</t>
        </is>
      </c>
      <c r="S169">
        <f>HYPERLINK("https://klasma.github.io/Logging_2303/artfynd/A 8033-2023 artfynd.xlsx", "A 8033-2023")</f>
        <v/>
      </c>
      <c r="T169">
        <f>HYPERLINK("https://klasma.github.io/Logging_2303/kartor/A 8033-2023 karta.png", "A 8033-2023")</f>
        <v/>
      </c>
      <c r="V169">
        <f>HYPERLINK("https://klasma.github.io/Logging_2303/klagomål/A 8033-2023 FSC-klagomål.docx", "A 8033-2023")</f>
        <v/>
      </c>
      <c r="W169">
        <f>HYPERLINK("https://klasma.github.io/Logging_2303/klagomålsmail/A 8033-2023 FSC-klagomål mail.docx", "A 8033-2023")</f>
        <v/>
      </c>
      <c r="X169">
        <f>HYPERLINK("https://klasma.github.io/Logging_2303/tillsyn/A 8033-2023 tillsynsbegäran.docx", "A 8033-2023")</f>
        <v/>
      </c>
      <c r="Y169">
        <f>HYPERLINK("https://klasma.github.io/Logging_2303/tillsynsmail/A 8033-2023 tillsynsbegäran mail.docx", "A 8033-2023")</f>
        <v/>
      </c>
    </row>
    <row r="170" ht="15" customHeight="1">
      <c r="A170" t="inlineStr">
        <is>
          <t>A 9340-2023</t>
        </is>
      </c>
      <c r="B170" s="1" t="n">
        <v>44980</v>
      </c>
      <c r="C170" s="1" t="n">
        <v>45506</v>
      </c>
      <c r="D170" t="inlineStr">
        <is>
          <t>JÄMTLANDS LÄN</t>
        </is>
      </c>
      <c r="E170" t="inlineStr">
        <is>
          <t>RAGUNDA</t>
        </is>
      </c>
      <c r="G170" t="n">
        <v>2.9</v>
      </c>
      <c r="H170" t="n">
        <v>0</v>
      </c>
      <c r="I170" t="n">
        <v>0</v>
      </c>
      <c r="J170" t="n">
        <v>2</v>
      </c>
      <c r="K170" t="n">
        <v>0</v>
      </c>
      <c r="L170" t="n">
        <v>0</v>
      </c>
      <c r="M170" t="n">
        <v>0</v>
      </c>
      <c r="N170" t="n">
        <v>0</v>
      </c>
      <c r="O170" t="n">
        <v>2</v>
      </c>
      <c r="P170" t="n">
        <v>0</v>
      </c>
      <c r="Q170" t="n">
        <v>2</v>
      </c>
      <c r="R170" s="2" t="inlineStr">
        <is>
          <t>Garnlav
Lunglav</t>
        </is>
      </c>
      <c r="S170">
        <f>HYPERLINK("https://klasma.github.io/Logging_2303/artfynd/A 9340-2023 artfynd.xlsx", "A 9340-2023")</f>
        <v/>
      </c>
      <c r="T170">
        <f>HYPERLINK("https://klasma.github.io/Logging_2303/kartor/A 9340-2023 karta.png", "A 9340-2023")</f>
        <v/>
      </c>
      <c r="V170">
        <f>HYPERLINK("https://klasma.github.io/Logging_2303/klagomål/A 9340-2023 FSC-klagomål.docx", "A 9340-2023")</f>
        <v/>
      </c>
      <c r="W170">
        <f>HYPERLINK("https://klasma.github.io/Logging_2303/klagomålsmail/A 9340-2023 FSC-klagomål mail.docx", "A 9340-2023")</f>
        <v/>
      </c>
      <c r="X170">
        <f>HYPERLINK("https://klasma.github.io/Logging_2303/tillsyn/A 9340-2023 tillsynsbegäran.docx", "A 9340-2023")</f>
        <v/>
      </c>
      <c r="Y170">
        <f>HYPERLINK("https://klasma.github.io/Logging_2303/tillsynsmail/A 9340-2023 tillsynsbegäran mail.docx", "A 9340-2023")</f>
        <v/>
      </c>
    </row>
    <row r="171" ht="15" customHeight="1">
      <c r="A171" t="inlineStr">
        <is>
          <t>A 13486-2023</t>
        </is>
      </c>
      <c r="B171" s="1" t="n">
        <v>45005</v>
      </c>
      <c r="C171" s="1" t="n">
        <v>45506</v>
      </c>
      <c r="D171" t="inlineStr">
        <is>
          <t>JÄMTLANDS LÄN</t>
        </is>
      </c>
      <c r="E171" t="inlineStr">
        <is>
          <t>RAGUNDA</t>
        </is>
      </c>
      <c r="F171" t="inlineStr">
        <is>
          <t>SCA</t>
        </is>
      </c>
      <c r="G171" t="n">
        <v>4</v>
      </c>
      <c r="H171" t="n">
        <v>0</v>
      </c>
      <c r="I171" t="n">
        <v>0</v>
      </c>
      <c r="J171" t="n">
        <v>2</v>
      </c>
      <c r="K171" t="n">
        <v>0</v>
      </c>
      <c r="L171" t="n">
        <v>0</v>
      </c>
      <c r="M171" t="n">
        <v>0</v>
      </c>
      <c r="N171" t="n">
        <v>0</v>
      </c>
      <c r="O171" t="n">
        <v>2</v>
      </c>
      <c r="P171" t="n">
        <v>0</v>
      </c>
      <c r="Q171" t="n">
        <v>2</v>
      </c>
      <c r="R171" s="2" t="inlineStr">
        <is>
          <t>Dvärgbägarlav
Lunglav</t>
        </is>
      </c>
      <c r="S171">
        <f>HYPERLINK("https://klasma.github.io/Logging_2303/artfynd/A 13486-2023 artfynd.xlsx", "A 13486-2023")</f>
        <v/>
      </c>
      <c r="T171">
        <f>HYPERLINK("https://klasma.github.io/Logging_2303/kartor/A 13486-2023 karta.png", "A 13486-2023")</f>
        <v/>
      </c>
      <c r="V171">
        <f>HYPERLINK("https://klasma.github.io/Logging_2303/klagomål/A 13486-2023 FSC-klagomål.docx", "A 13486-2023")</f>
        <v/>
      </c>
      <c r="W171">
        <f>HYPERLINK("https://klasma.github.io/Logging_2303/klagomålsmail/A 13486-2023 FSC-klagomål mail.docx", "A 13486-2023")</f>
        <v/>
      </c>
      <c r="X171">
        <f>HYPERLINK("https://klasma.github.io/Logging_2303/tillsyn/A 13486-2023 tillsynsbegäran.docx", "A 13486-2023")</f>
        <v/>
      </c>
      <c r="Y171">
        <f>HYPERLINK("https://klasma.github.io/Logging_2303/tillsynsmail/A 13486-2023 tillsynsbegäran mail.docx", "A 13486-2023")</f>
        <v/>
      </c>
    </row>
    <row r="172" ht="15" customHeight="1">
      <c r="A172" t="inlineStr">
        <is>
          <t>A 13899-2023</t>
        </is>
      </c>
      <c r="B172" s="1" t="n">
        <v>45008</v>
      </c>
      <c r="C172" s="1" t="n">
        <v>45506</v>
      </c>
      <c r="D172" t="inlineStr">
        <is>
          <t>JÄMTLANDS LÄN</t>
        </is>
      </c>
      <c r="E172" t="inlineStr">
        <is>
          <t>RAGUNDA</t>
        </is>
      </c>
      <c r="F172" t="inlineStr">
        <is>
          <t>SCA</t>
        </is>
      </c>
      <c r="G172" t="n">
        <v>3.6</v>
      </c>
      <c r="H172" t="n">
        <v>0</v>
      </c>
      <c r="I172" t="n">
        <v>1</v>
      </c>
      <c r="J172" t="n">
        <v>1</v>
      </c>
      <c r="K172" t="n">
        <v>0</v>
      </c>
      <c r="L172" t="n">
        <v>0</v>
      </c>
      <c r="M172" t="n">
        <v>0</v>
      </c>
      <c r="N172" t="n">
        <v>0</v>
      </c>
      <c r="O172" t="n">
        <v>1</v>
      </c>
      <c r="P172" t="n">
        <v>0</v>
      </c>
      <c r="Q172" t="n">
        <v>2</v>
      </c>
      <c r="R172" s="2" t="inlineStr">
        <is>
          <t>Garnlav
Källmossa</t>
        </is>
      </c>
      <c r="S172">
        <f>HYPERLINK("https://klasma.github.io/Logging_2303/artfynd/A 13899-2023 artfynd.xlsx", "A 13899-2023")</f>
        <v/>
      </c>
      <c r="T172">
        <f>HYPERLINK("https://klasma.github.io/Logging_2303/kartor/A 13899-2023 karta.png", "A 13899-2023")</f>
        <v/>
      </c>
      <c r="V172">
        <f>HYPERLINK("https://klasma.github.io/Logging_2303/klagomål/A 13899-2023 FSC-klagomål.docx", "A 13899-2023")</f>
        <v/>
      </c>
      <c r="W172">
        <f>HYPERLINK("https://klasma.github.io/Logging_2303/klagomålsmail/A 13899-2023 FSC-klagomål mail.docx", "A 13899-2023")</f>
        <v/>
      </c>
      <c r="X172">
        <f>HYPERLINK("https://klasma.github.io/Logging_2303/tillsyn/A 13899-2023 tillsynsbegäran.docx", "A 13899-2023")</f>
        <v/>
      </c>
      <c r="Y172">
        <f>HYPERLINK("https://klasma.github.io/Logging_2303/tillsynsmail/A 13899-2023 tillsynsbegäran mail.docx", "A 13899-2023")</f>
        <v/>
      </c>
    </row>
    <row r="173" ht="15" customHeight="1">
      <c r="A173" t="inlineStr">
        <is>
          <t>A 14075-2023</t>
        </is>
      </c>
      <c r="B173" s="1" t="n">
        <v>45009</v>
      </c>
      <c r="C173" s="1" t="n">
        <v>45506</v>
      </c>
      <c r="D173" t="inlineStr">
        <is>
          <t>JÄMTLANDS LÄN</t>
        </is>
      </c>
      <c r="E173" t="inlineStr">
        <is>
          <t>RAGUNDA</t>
        </is>
      </c>
      <c r="F173" t="inlineStr">
        <is>
          <t>SCA</t>
        </is>
      </c>
      <c r="G173" t="n">
        <v>9.5</v>
      </c>
      <c r="H173" t="n">
        <v>0</v>
      </c>
      <c r="I173" t="n">
        <v>0</v>
      </c>
      <c r="J173" t="n">
        <v>1</v>
      </c>
      <c r="K173" t="n">
        <v>1</v>
      </c>
      <c r="L173" t="n">
        <v>0</v>
      </c>
      <c r="M173" t="n">
        <v>0</v>
      </c>
      <c r="N173" t="n">
        <v>0</v>
      </c>
      <c r="O173" t="n">
        <v>2</v>
      </c>
      <c r="P173" t="n">
        <v>1</v>
      </c>
      <c r="Q173" t="n">
        <v>2</v>
      </c>
      <c r="R173" s="2" t="inlineStr">
        <is>
          <t>Gräddporing
Lunglav</t>
        </is>
      </c>
      <c r="S173">
        <f>HYPERLINK("https://klasma.github.io/Logging_2303/artfynd/A 14075-2023 artfynd.xlsx", "A 14075-2023")</f>
        <v/>
      </c>
      <c r="T173">
        <f>HYPERLINK("https://klasma.github.io/Logging_2303/kartor/A 14075-2023 karta.png", "A 14075-2023")</f>
        <v/>
      </c>
      <c r="V173">
        <f>HYPERLINK("https://klasma.github.io/Logging_2303/klagomål/A 14075-2023 FSC-klagomål.docx", "A 14075-2023")</f>
        <v/>
      </c>
      <c r="W173">
        <f>HYPERLINK("https://klasma.github.io/Logging_2303/klagomålsmail/A 14075-2023 FSC-klagomål mail.docx", "A 14075-2023")</f>
        <v/>
      </c>
      <c r="X173">
        <f>HYPERLINK("https://klasma.github.io/Logging_2303/tillsyn/A 14075-2023 tillsynsbegäran.docx", "A 14075-2023")</f>
        <v/>
      </c>
      <c r="Y173">
        <f>HYPERLINK("https://klasma.github.io/Logging_2303/tillsynsmail/A 14075-2023 tillsynsbegäran mail.docx", "A 14075-2023")</f>
        <v/>
      </c>
    </row>
    <row r="174" ht="15" customHeight="1">
      <c r="A174" t="inlineStr">
        <is>
          <t>A 22732-2023</t>
        </is>
      </c>
      <c r="B174" s="1" t="n">
        <v>45071</v>
      </c>
      <c r="C174" s="1" t="n">
        <v>45506</v>
      </c>
      <c r="D174" t="inlineStr">
        <is>
          <t>JÄMTLANDS LÄN</t>
        </is>
      </c>
      <c r="E174" t="inlineStr">
        <is>
          <t>RAGUNDA</t>
        </is>
      </c>
      <c r="G174" t="n">
        <v>3.8</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22732-2023 artfynd.xlsx", "A 22732-2023")</f>
        <v/>
      </c>
      <c r="T174">
        <f>HYPERLINK("https://klasma.github.io/Logging_2303/kartor/A 22732-2023 karta.png", "A 22732-2023")</f>
        <v/>
      </c>
      <c r="V174">
        <f>HYPERLINK("https://klasma.github.io/Logging_2303/klagomål/A 22732-2023 FSC-klagomål.docx", "A 22732-2023")</f>
        <v/>
      </c>
      <c r="W174">
        <f>HYPERLINK("https://klasma.github.io/Logging_2303/klagomålsmail/A 22732-2023 FSC-klagomål mail.docx", "A 22732-2023")</f>
        <v/>
      </c>
      <c r="X174">
        <f>HYPERLINK("https://klasma.github.io/Logging_2303/tillsyn/A 22732-2023 tillsynsbegäran.docx", "A 22732-2023")</f>
        <v/>
      </c>
      <c r="Y174">
        <f>HYPERLINK("https://klasma.github.io/Logging_2303/tillsynsmail/A 22732-2023 tillsynsbegäran mail.docx", "A 22732-2023")</f>
        <v/>
      </c>
    </row>
    <row r="175" ht="15" customHeight="1">
      <c r="A175" t="inlineStr">
        <is>
          <t>A 26482-2023</t>
        </is>
      </c>
      <c r="B175" s="1" t="n">
        <v>45089</v>
      </c>
      <c r="C175" s="1" t="n">
        <v>45506</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32736-2023</t>
        </is>
      </c>
      <c r="B176" s="1" t="n">
        <v>45121</v>
      </c>
      <c r="C176" s="1" t="n">
        <v>45506</v>
      </c>
      <c r="D176" t="inlineStr">
        <is>
          <t>JÄMTLANDS LÄN</t>
        </is>
      </c>
      <c r="E176" t="inlineStr">
        <is>
          <t>RAGUNDA</t>
        </is>
      </c>
      <c r="F176" t="inlineStr">
        <is>
          <t>SCA</t>
        </is>
      </c>
      <c r="G176" t="n">
        <v>2.5</v>
      </c>
      <c r="H176" t="n">
        <v>0</v>
      </c>
      <c r="I176" t="n">
        <v>1</v>
      </c>
      <c r="J176" t="n">
        <v>1</v>
      </c>
      <c r="K176" t="n">
        <v>0</v>
      </c>
      <c r="L176" t="n">
        <v>0</v>
      </c>
      <c r="M176" t="n">
        <v>0</v>
      </c>
      <c r="N176" t="n">
        <v>0</v>
      </c>
      <c r="O176" t="n">
        <v>1</v>
      </c>
      <c r="P176" t="n">
        <v>0</v>
      </c>
      <c r="Q176" t="n">
        <v>2</v>
      </c>
      <c r="R176" s="2" t="inlineStr">
        <is>
          <t>Vedtrappmossa
Stor aspticka</t>
        </is>
      </c>
      <c r="S176">
        <f>HYPERLINK("https://klasma.github.io/Logging_2303/artfynd/A 32736-2023 artfynd.xlsx", "A 32736-2023")</f>
        <v/>
      </c>
      <c r="T176">
        <f>HYPERLINK("https://klasma.github.io/Logging_2303/kartor/A 32736-2023 karta.png", "A 32736-2023")</f>
        <v/>
      </c>
      <c r="V176">
        <f>HYPERLINK("https://klasma.github.io/Logging_2303/klagomål/A 32736-2023 FSC-klagomål.docx", "A 32736-2023")</f>
        <v/>
      </c>
      <c r="W176">
        <f>HYPERLINK("https://klasma.github.io/Logging_2303/klagomålsmail/A 32736-2023 FSC-klagomål mail.docx", "A 32736-2023")</f>
        <v/>
      </c>
      <c r="X176">
        <f>HYPERLINK("https://klasma.github.io/Logging_2303/tillsyn/A 32736-2023 tillsynsbegäran.docx", "A 32736-2023")</f>
        <v/>
      </c>
      <c r="Y176">
        <f>HYPERLINK("https://klasma.github.io/Logging_2303/tillsynsmail/A 32736-2023 tillsynsbegäran mail.docx", "A 32736-2023")</f>
        <v/>
      </c>
    </row>
    <row r="177" ht="15" customHeight="1">
      <c r="A177" t="inlineStr">
        <is>
          <t>A 37236-2023</t>
        </is>
      </c>
      <c r="B177" s="1" t="n">
        <v>45155</v>
      </c>
      <c r="C177" s="1" t="n">
        <v>45506</v>
      </c>
      <c r="D177" t="inlineStr">
        <is>
          <t>JÄMTLANDS LÄN</t>
        </is>
      </c>
      <c r="E177" t="inlineStr">
        <is>
          <t>RAGUNDA</t>
        </is>
      </c>
      <c r="F177" t="inlineStr">
        <is>
          <t>SCA</t>
        </is>
      </c>
      <c r="G177" t="n">
        <v>4.7</v>
      </c>
      <c r="H177" t="n">
        <v>0</v>
      </c>
      <c r="I177" t="n">
        <v>0</v>
      </c>
      <c r="J177" t="n">
        <v>2</v>
      </c>
      <c r="K177" t="n">
        <v>0</v>
      </c>
      <c r="L177" t="n">
        <v>0</v>
      </c>
      <c r="M177" t="n">
        <v>0</v>
      </c>
      <c r="N177" t="n">
        <v>0</v>
      </c>
      <c r="O177" t="n">
        <v>2</v>
      </c>
      <c r="P177" t="n">
        <v>0</v>
      </c>
      <c r="Q177" t="n">
        <v>2</v>
      </c>
      <c r="R177" s="2" t="inlineStr">
        <is>
          <t>Kolflarnlav
Lunglav</t>
        </is>
      </c>
      <c r="S177">
        <f>HYPERLINK("https://klasma.github.io/Logging_2303/artfynd/A 37236-2023 artfynd.xlsx", "A 37236-2023")</f>
        <v/>
      </c>
      <c r="T177">
        <f>HYPERLINK("https://klasma.github.io/Logging_2303/kartor/A 37236-2023 karta.png", "A 37236-2023")</f>
        <v/>
      </c>
      <c r="U177">
        <f>HYPERLINK("https://klasma.github.io/Logging_2303/knärot/A 37236-2023 karta knärot.png", "A 37236-2023")</f>
        <v/>
      </c>
      <c r="V177">
        <f>HYPERLINK("https://klasma.github.io/Logging_2303/klagomål/A 37236-2023 FSC-klagomål.docx", "A 37236-2023")</f>
        <v/>
      </c>
      <c r="W177">
        <f>HYPERLINK("https://klasma.github.io/Logging_2303/klagomålsmail/A 37236-2023 FSC-klagomål mail.docx", "A 37236-2023")</f>
        <v/>
      </c>
      <c r="X177">
        <f>HYPERLINK("https://klasma.github.io/Logging_2303/tillsyn/A 37236-2023 tillsynsbegäran.docx", "A 37236-2023")</f>
        <v/>
      </c>
      <c r="Y177">
        <f>HYPERLINK("https://klasma.github.io/Logging_2303/tillsynsmail/A 37236-2023 tillsynsbegäran mail.docx", "A 37236-2023")</f>
        <v/>
      </c>
    </row>
    <row r="178" ht="15" customHeight="1">
      <c r="A178" t="inlineStr">
        <is>
          <t>A 39818-2023</t>
        </is>
      </c>
      <c r="B178" s="1" t="n">
        <v>45167</v>
      </c>
      <c r="C178" s="1" t="n">
        <v>45506</v>
      </c>
      <c r="D178" t="inlineStr">
        <is>
          <t>JÄMTLANDS LÄN</t>
        </is>
      </c>
      <c r="E178" t="inlineStr">
        <is>
          <t>RAGUNDA</t>
        </is>
      </c>
      <c r="F178" t="inlineStr">
        <is>
          <t>SCA</t>
        </is>
      </c>
      <c r="G178" t="n">
        <v>13.6</v>
      </c>
      <c r="H178" t="n">
        <v>0</v>
      </c>
      <c r="I178" t="n">
        <v>0</v>
      </c>
      <c r="J178" t="n">
        <v>2</v>
      </c>
      <c r="K178" t="n">
        <v>0</v>
      </c>
      <c r="L178" t="n">
        <v>0</v>
      </c>
      <c r="M178" t="n">
        <v>0</v>
      </c>
      <c r="N178" t="n">
        <v>0</v>
      </c>
      <c r="O178" t="n">
        <v>2</v>
      </c>
      <c r="P178" t="n">
        <v>0</v>
      </c>
      <c r="Q178" t="n">
        <v>2</v>
      </c>
      <c r="R178" s="2" t="inlineStr">
        <is>
          <t>Lunglav
Ullticka</t>
        </is>
      </c>
      <c r="S178">
        <f>HYPERLINK("https://klasma.github.io/Logging_2303/artfynd/A 39818-2023 artfynd.xlsx", "A 39818-2023")</f>
        <v/>
      </c>
      <c r="T178">
        <f>HYPERLINK("https://klasma.github.io/Logging_2303/kartor/A 39818-2023 karta.png", "A 39818-2023")</f>
        <v/>
      </c>
      <c r="V178">
        <f>HYPERLINK("https://klasma.github.io/Logging_2303/klagomål/A 39818-2023 FSC-klagomål.docx", "A 39818-2023")</f>
        <v/>
      </c>
      <c r="W178">
        <f>HYPERLINK("https://klasma.github.io/Logging_2303/klagomålsmail/A 39818-2023 FSC-klagomål mail.docx", "A 39818-2023")</f>
        <v/>
      </c>
      <c r="X178">
        <f>HYPERLINK("https://klasma.github.io/Logging_2303/tillsyn/A 39818-2023 tillsynsbegäran.docx", "A 39818-2023")</f>
        <v/>
      </c>
      <c r="Y178">
        <f>HYPERLINK("https://klasma.github.io/Logging_2303/tillsynsmail/A 39818-2023 tillsynsbegäran mail.docx", "A 39818-2023")</f>
        <v/>
      </c>
    </row>
    <row r="179" ht="15" customHeight="1">
      <c r="A179" t="inlineStr">
        <is>
          <t>A 40826-2023</t>
        </is>
      </c>
      <c r="B179" s="1" t="n">
        <v>45171</v>
      </c>
      <c r="C179" s="1" t="n">
        <v>45506</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41407-2023</t>
        </is>
      </c>
      <c r="B180" s="1" t="n">
        <v>45174</v>
      </c>
      <c r="C180" s="1" t="n">
        <v>45506</v>
      </c>
      <c r="D180" t="inlineStr">
        <is>
          <t>JÄMTLANDS LÄN</t>
        </is>
      </c>
      <c r="E180" t="inlineStr">
        <is>
          <t>RAGUNDA</t>
        </is>
      </c>
      <c r="F180" t="inlineStr">
        <is>
          <t>SCA</t>
        </is>
      </c>
      <c r="G180" t="n">
        <v>1.4</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41407-2023 artfynd.xlsx", "A 41407-2023")</f>
        <v/>
      </c>
      <c r="T180">
        <f>HYPERLINK("https://klasma.github.io/Logging_2303/kartor/A 41407-2023 karta.png", "A 41407-2023")</f>
        <v/>
      </c>
      <c r="V180">
        <f>HYPERLINK("https://klasma.github.io/Logging_2303/klagomål/A 41407-2023 FSC-klagomål.docx", "A 41407-2023")</f>
        <v/>
      </c>
      <c r="W180">
        <f>HYPERLINK("https://klasma.github.io/Logging_2303/klagomålsmail/A 41407-2023 FSC-klagomål mail.docx", "A 41407-2023")</f>
        <v/>
      </c>
      <c r="X180">
        <f>HYPERLINK("https://klasma.github.io/Logging_2303/tillsyn/A 41407-2023 tillsynsbegäran.docx", "A 41407-2023")</f>
        <v/>
      </c>
      <c r="Y180">
        <f>HYPERLINK("https://klasma.github.io/Logging_2303/tillsynsmail/A 41407-2023 tillsynsbegäran mail.docx", "A 41407-2023")</f>
        <v/>
      </c>
    </row>
    <row r="181" ht="15" customHeight="1">
      <c r="A181" t="inlineStr">
        <is>
          <t>A 43232-2023</t>
        </is>
      </c>
      <c r="B181" s="1" t="n">
        <v>45180</v>
      </c>
      <c r="C181" s="1" t="n">
        <v>45506</v>
      </c>
      <c r="D181" t="inlineStr">
        <is>
          <t>JÄMTLANDS LÄN</t>
        </is>
      </c>
      <c r="E181" t="inlineStr">
        <is>
          <t>RAGUNDA</t>
        </is>
      </c>
      <c r="G181" t="n">
        <v>7.9</v>
      </c>
      <c r="H181" t="n">
        <v>0</v>
      </c>
      <c r="I181" t="n">
        <v>0</v>
      </c>
      <c r="J181" t="n">
        <v>2</v>
      </c>
      <c r="K181" t="n">
        <v>0</v>
      </c>
      <c r="L181" t="n">
        <v>0</v>
      </c>
      <c r="M181" t="n">
        <v>0</v>
      </c>
      <c r="N181" t="n">
        <v>0</v>
      </c>
      <c r="O181" t="n">
        <v>2</v>
      </c>
      <c r="P181" t="n">
        <v>0</v>
      </c>
      <c r="Q181" t="n">
        <v>2</v>
      </c>
      <c r="R181" s="2" t="inlineStr">
        <is>
          <t>Garnlav
Ullticka</t>
        </is>
      </c>
      <c r="S181">
        <f>HYPERLINK("https://klasma.github.io/Logging_2303/artfynd/A 43232-2023 artfynd.xlsx", "A 43232-2023")</f>
        <v/>
      </c>
      <c r="T181">
        <f>HYPERLINK("https://klasma.github.io/Logging_2303/kartor/A 43232-2023 karta.png", "A 43232-2023")</f>
        <v/>
      </c>
      <c r="V181">
        <f>HYPERLINK("https://klasma.github.io/Logging_2303/klagomål/A 43232-2023 FSC-klagomål.docx", "A 43232-2023")</f>
        <v/>
      </c>
      <c r="W181">
        <f>HYPERLINK("https://klasma.github.io/Logging_2303/klagomålsmail/A 43232-2023 FSC-klagomål mail.docx", "A 43232-2023")</f>
        <v/>
      </c>
      <c r="X181">
        <f>HYPERLINK("https://klasma.github.io/Logging_2303/tillsyn/A 43232-2023 tillsynsbegäran.docx", "A 43232-2023")</f>
        <v/>
      </c>
      <c r="Y181">
        <f>HYPERLINK("https://klasma.github.io/Logging_2303/tillsynsmail/A 43232-2023 tillsynsbegäran mail.docx", "A 43232-2023")</f>
        <v/>
      </c>
    </row>
    <row r="182" ht="15" customHeight="1">
      <c r="A182" t="inlineStr">
        <is>
          <t>A 44409-2023</t>
        </is>
      </c>
      <c r="B182" s="1" t="n">
        <v>45188</v>
      </c>
      <c r="C182" s="1" t="n">
        <v>45506</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45021-2023</t>
        </is>
      </c>
      <c r="B183" s="1" t="n">
        <v>45190</v>
      </c>
      <c r="C183" s="1" t="n">
        <v>45506</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45035-2023</t>
        </is>
      </c>
      <c r="B184" s="1" t="n">
        <v>45191</v>
      </c>
      <c r="C184" s="1" t="n">
        <v>45506</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48427-2023</t>
        </is>
      </c>
      <c r="B185" s="1" t="n">
        <v>45205</v>
      </c>
      <c r="C185" s="1" t="n">
        <v>45506</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48474-2023</t>
        </is>
      </c>
      <c r="B186" s="1" t="n">
        <v>45206</v>
      </c>
      <c r="C186" s="1" t="n">
        <v>45506</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48474-2023 artfynd.xlsx", "A 48474-2023")</f>
        <v/>
      </c>
      <c r="T186">
        <f>HYPERLINK("https://klasma.github.io/Logging_2303/kartor/A 48474-2023 karta.png", "A 48474-2023")</f>
        <v/>
      </c>
      <c r="V186">
        <f>HYPERLINK("https://klasma.github.io/Logging_2303/klagomål/A 48474-2023 FSC-klagomål.docx", "A 48474-2023")</f>
        <v/>
      </c>
      <c r="W186">
        <f>HYPERLINK("https://klasma.github.io/Logging_2303/klagomålsmail/A 48474-2023 FSC-klagomål mail.docx", "A 48474-2023")</f>
        <v/>
      </c>
      <c r="X186">
        <f>HYPERLINK("https://klasma.github.io/Logging_2303/tillsyn/A 48474-2023 tillsynsbegäran.docx", "A 48474-2023")</f>
        <v/>
      </c>
      <c r="Y186">
        <f>HYPERLINK("https://klasma.github.io/Logging_2303/tillsynsmail/A 48474-2023 tillsynsbegäran mail.docx", "A 48474-2023")</f>
        <v/>
      </c>
    </row>
    <row r="187" ht="15" customHeight="1">
      <c r="A187" t="inlineStr">
        <is>
          <t>A 55647-2023</t>
        </is>
      </c>
      <c r="B187" s="1" t="n">
        <v>45238</v>
      </c>
      <c r="C187" s="1" t="n">
        <v>45506</v>
      </c>
      <c r="D187" t="inlineStr">
        <is>
          <t>JÄMTLANDS LÄN</t>
        </is>
      </c>
      <c r="E187" t="inlineStr">
        <is>
          <t>RAGUNDA</t>
        </is>
      </c>
      <c r="F187" t="inlineStr">
        <is>
          <t>SCA</t>
        </is>
      </c>
      <c r="G187" t="n">
        <v>3.7</v>
      </c>
      <c r="H187" t="n">
        <v>0</v>
      </c>
      <c r="I187" t="n">
        <v>1</v>
      </c>
      <c r="J187" t="n">
        <v>1</v>
      </c>
      <c r="K187" t="n">
        <v>0</v>
      </c>
      <c r="L187" t="n">
        <v>0</v>
      </c>
      <c r="M187" t="n">
        <v>0</v>
      </c>
      <c r="N187" t="n">
        <v>0</v>
      </c>
      <c r="O187" t="n">
        <v>1</v>
      </c>
      <c r="P187" t="n">
        <v>0</v>
      </c>
      <c r="Q187" t="n">
        <v>2</v>
      </c>
      <c r="R187" s="2" t="inlineStr">
        <is>
          <t>Granticka
Trådticka</t>
        </is>
      </c>
      <c r="S187">
        <f>HYPERLINK("https://klasma.github.io/Logging_2303/artfynd/A 55647-2023 artfynd.xlsx", "A 55647-2023")</f>
        <v/>
      </c>
      <c r="T187">
        <f>HYPERLINK("https://klasma.github.io/Logging_2303/kartor/A 55647-2023 karta.png", "A 55647-2023")</f>
        <v/>
      </c>
      <c r="V187">
        <f>HYPERLINK("https://klasma.github.io/Logging_2303/klagomål/A 55647-2023 FSC-klagomål.docx", "A 55647-2023")</f>
        <v/>
      </c>
      <c r="W187">
        <f>HYPERLINK("https://klasma.github.io/Logging_2303/klagomålsmail/A 55647-2023 FSC-klagomål mail.docx", "A 55647-2023")</f>
        <v/>
      </c>
      <c r="X187">
        <f>HYPERLINK("https://klasma.github.io/Logging_2303/tillsyn/A 55647-2023 tillsynsbegäran.docx", "A 55647-2023")</f>
        <v/>
      </c>
      <c r="Y187">
        <f>HYPERLINK("https://klasma.github.io/Logging_2303/tillsynsmail/A 55647-2023 tillsynsbegäran mail.docx", "A 55647-2023")</f>
        <v/>
      </c>
    </row>
    <row r="188" ht="15" customHeight="1">
      <c r="A188" t="inlineStr">
        <is>
          <t>A 56285-2023</t>
        </is>
      </c>
      <c r="B188" s="1" t="n">
        <v>45241</v>
      </c>
      <c r="C188" s="1" t="n">
        <v>45506</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3838-2024</t>
        </is>
      </c>
      <c r="B189" s="1" t="n">
        <v>45321</v>
      </c>
      <c r="C189" s="1" t="n">
        <v>45506</v>
      </c>
      <c r="D189" t="inlineStr">
        <is>
          <t>JÄMTLANDS LÄN</t>
        </is>
      </c>
      <c r="E189" t="inlineStr">
        <is>
          <t>RAGUNDA</t>
        </is>
      </c>
      <c r="F189" t="inlineStr">
        <is>
          <t>SCA</t>
        </is>
      </c>
      <c r="G189" t="n">
        <v>2</v>
      </c>
      <c r="H189" t="n">
        <v>1</v>
      </c>
      <c r="I189" t="n">
        <v>1</v>
      </c>
      <c r="J189" t="n">
        <v>1</v>
      </c>
      <c r="K189" t="n">
        <v>0</v>
      </c>
      <c r="L189" t="n">
        <v>0</v>
      </c>
      <c r="M189" t="n">
        <v>0</v>
      </c>
      <c r="N189" t="n">
        <v>0</v>
      </c>
      <c r="O189" t="n">
        <v>1</v>
      </c>
      <c r="P189" t="n">
        <v>0</v>
      </c>
      <c r="Q189" t="n">
        <v>2</v>
      </c>
      <c r="R189" s="2" t="inlineStr">
        <is>
          <t>Garnlav
Guckusko</t>
        </is>
      </c>
      <c r="S189">
        <f>HYPERLINK("https://klasma.github.io/Logging_2303/artfynd/A 3838-2024 artfynd.xlsx", "A 3838-2024")</f>
        <v/>
      </c>
      <c r="T189">
        <f>HYPERLINK("https://klasma.github.io/Logging_2303/kartor/A 3838-2024 karta.png", "A 3838-2024")</f>
        <v/>
      </c>
      <c r="V189">
        <f>HYPERLINK("https://klasma.github.io/Logging_2303/klagomål/A 3838-2024 FSC-klagomål.docx", "A 3838-2024")</f>
        <v/>
      </c>
      <c r="W189">
        <f>HYPERLINK("https://klasma.github.io/Logging_2303/klagomålsmail/A 3838-2024 FSC-klagomål mail.docx", "A 3838-2024")</f>
        <v/>
      </c>
      <c r="X189">
        <f>HYPERLINK("https://klasma.github.io/Logging_2303/tillsyn/A 3838-2024 tillsynsbegäran.docx", "A 3838-2024")</f>
        <v/>
      </c>
      <c r="Y189">
        <f>HYPERLINK("https://klasma.github.io/Logging_2303/tillsynsmail/A 3838-2024 tillsynsbegäran mail.docx", "A 3838-2024")</f>
        <v/>
      </c>
    </row>
    <row r="190" ht="15" customHeight="1">
      <c r="A190" t="inlineStr">
        <is>
          <t>A 11544-2024</t>
        </is>
      </c>
      <c r="B190" s="1" t="n">
        <v>45372</v>
      </c>
      <c r="C190" s="1" t="n">
        <v>45506</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12271-2024</t>
        </is>
      </c>
      <c r="B191" s="1" t="n">
        <v>45378</v>
      </c>
      <c r="C191" s="1" t="n">
        <v>45506</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13660-2024</t>
        </is>
      </c>
      <c r="B192" s="1" t="n">
        <v>45387</v>
      </c>
      <c r="C192" s="1" t="n">
        <v>45506</v>
      </c>
      <c r="D192" t="inlineStr">
        <is>
          <t>JÄMTLANDS LÄN</t>
        </is>
      </c>
      <c r="E192" t="inlineStr">
        <is>
          <t>RAGUNDA</t>
        </is>
      </c>
      <c r="G192" t="n">
        <v>4.8</v>
      </c>
      <c r="H192" t="n">
        <v>1</v>
      </c>
      <c r="I192" t="n">
        <v>1</v>
      </c>
      <c r="J192" t="n">
        <v>1</v>
      </c>
      <c r="K192" t="n">
        <v>0</v>
      </c>
      <c r="L192" t="n">
        <v>0</v>
      </c>
      <c r="M192" t="n">
        <v>0</v>
      </c>
      <c r="N192" t="n">
        <v>0</v>
      </c>
      <c r="O192" t="n">
        <v>1</v>
      </c>
      <c r="P192" t="n">
        <v>0</v>
      </c>
      <c r="Q192" t="n">
        <v>2</v>
      </c>
      <c r="R192" s="2" t="inlineStr">
        <is>
          <t>Garnlav
Plattlummer</t>
        </is>
      </c>
      <c r="S192">
        <f>HYPERLINK("https://klasma.github.io/Logging_2303/artfynd/A 13660-2024 artfynd.xlsx", "A 13660-2024")</f>
        <v/>
      </c>
      <c r="T192">
        <f>HYPERLINK("https://klasma.github.io/Logging_2303/kartor/A 13660-2024 karta.png", "A 13660-2024")</f>
        <v/>
      </c>
      <c r="V192">
        <f>HYPERLINK("https://klasma.github.io/Logging_2303/klagomål/A 13660-2024 FSC-klagomål.docx", "A 13660-2024")</f>
        <v/>
      </c>
      <c r="W192">
        <f>HYPERLINK("https://klasma.github.io/Logging_2303/klagomålsmail/A 13660-2024 FSC-klagomål mail.docx", "A 13660-2024")</f>
        <v/>
      </c>
      <c r="X192">
        <f>HYPERLINK("https://klasma.github.io/Logging_2303/tillsyn/A 13660-2024 tillsynsbegäran.docx", "A 13660-2024")</f>
        <v/>
      </c>
      <c r="Y192">
        <f>HYPERLINK("https://klasma.github.io/Logging_2303/tillsynsmail/A 13660-2024 tillsynsbegäran mail.docx", "A 13660-2024")</f>
        <v/>
      </c>
    </row>
    <row r="193" ht="15" customHeight="1">
      <c r="A193" t="inlineStr">
        <is>
          <t>A 13943-2024</t>
        </is>
      </c>
      <c r="B193" s="1" t="n">
        <v>45392</v>
      </c>
      <c r="C193" s="1" t="n">
        <v>45506</v>
      </c>
      <c r="D193" t="inlineStr">
        <is>
          <t>JÄMTLANDS LÄN</t>
        </is>
      </c>
      <c r="E193" t="inlineStr">
        <is>
          <t>RAGUNDA</t>
        </is>
      </c>
      <c r="F193" t="inlineStr">
        <is>
          <t>SCA</t>
        </is>
      </c>
      <c r="G193" t="n">
        <v>3.5</v>
      </c>
      <c r="H193" t="n">
        <v>1</v>
      </c>
      <c r="I193" t="n">
        <v>1</v>
      </c>
      <c r="J193" t="n">
        <v>1</v>
      </c>
      <c r="K193" t="n">
        <v>0</v>
      </c>
      <c r="L193" t="n">
        <v>0</v>
      </c>
      <c r="M193" t="n">
        <v>0</v>
      </c>
      <c r="N193" t="n">
        <v>0</v>
      </c>
      <c r="O193" t="n">
        <v>1</v>
      </c>
      <c r="P193" t="n">
        <v>0</v>
      </c>
      <c r="Q193" t="n">
        <v>2</v>
      </c>
      <c r="R193" s="2" t="inlineStr">
        <is>
          <t>Spillkråka
Dropptaggsvamp</t>
        </is>
      </c>
      <c r="S193">
        <f>HYPERLINK("https://klasma.github.io/Logging_2303/artfynd/A 13943-2024 artfynd.xlsx", "A 13943-2024")</f>
        <v/>
      </c>
      <c r="T193">
        <f>HYPERLINK("https://klasma.github.io/Logging_2303/kartor/A 13943-2024 karta.png", "A 13943-2024")</f>
        <v/>
      </c>
      <c r="V193">
        <f>HYPERLINK("https://klasma.github.io/Logging_2303/klagomål/A 13943-2024 FSC-klagomål.docx", "A 13943-2024")</f>
        <v/>
      </c>
      <c r="W193">
        <f>HYPERLINK("https://klasma.github.io/Logging_2303/klagomålsmail/A 13943-2024 FSC-klagomål mail.docx", "A 13943-2024")</f>
        <v/>
      </c>
      <c r="X193">
        <f>HYPERLINK("https://klasma.github.io/Logging_2303/tillsyn/A 13943-2024 tillsynsbegäran.docx", "A 13943-2024")</f>
        <v/>
      </c>
      <c r="Y193">
        <f>HYPERLINK("https://klasma.github.io/Logging_2303/tillsynsmail/A 13943-2024 tillsynsbegäran mail.docx", "A 13943-2024")</f>
        <v/>
      </c>
      <c r="Z193">
        <f>HYPERLINK("https://klasma.github.io/Logging_2303/fåglar/A 13943-2024 prioriterade fågelarter.docx", "A 13943-2024")</f>
        <v/>
      </c>
    </row>
    <row r="194" ht="15" customHeight="1">
      <c r="A194" t="inlineStr">
        <is>
          <t>A 14502-2024</t>
        </is>
      </c>
      <c r="B194" s="1" t="n">
        <v>45394</v>
      </c>
      <c r="C194" s="1" t="n">
        <v>45506</v>
      </c>
      <c r="D194" t="inlineStr">
        <is>
          <t>JÄMTLANDS LÄN</t>
        </is>
      </c>
      <c r="E194" t="inlineStr">
        <is>
          <t>RAGUNDA</t>
        </is>
      </c>
      <c r="G194" t="n">
        <v>11.6</v>
      </c>
      <c r="H194" t="n">
        <v>0</v>
      </c>
      <c r="I194" t="n">
        <v>0</v>
      </c>
      <c r="J194" t="n">
        <v>2</v>
      </c>
      <c r="K194" t="n">
        <v>0</v>
      </c>
      <c r="L194" t="n">
        <v>0</v>
      </c>
      <c r="M194" t="n">
        <v>0</v>
      </c>
      <c r="N194" t="n">
        <v>0</v>
      </c>
      <c r="O194" t="n">
        <v>2</v>
      </c>
      <c r="P194" t="n">
        <v>0</v>
      </c>
      <c r="Q194" t="n">
        <v>2</v>
      </c>
      <c r="R194" s="2" t="inlineStr">
        <is>
          <t>Garnlav
Stjärntagging</t>
        </is>
      </c>
      <c r="S194">
        <f>HYPERLINK("https://klasma.github.io/Logging_2303/artfynd/A 14502-2024 artfynd.xlsx", "A 14502-2024")</f>
        <v/>
      </c>
      <c r="T194">
        <f>HYPERLINK("https://klasma.github.io/Logging_2303/kartor/A 14502-2024 karta.png", "A 14502-2024")</f>
        <v/>
      </c>
      <c r="V194">
        <f>HYPERLINK("https://klasma.github.io/Logging_2303/klagomål/A 14502-2024 FSC-klagomål.docx", "A 14502-2024")</f>
        <v/>
      </c>
      <c r="W194">
        <f>HYPERLINK("https://klasma.github.io/Logging_2303/klagomålsmail/A 14502-2024 FSC-klagomål mail.docx", "A 14502-2024")</f>
        <v/>
      </c>
      <c r="X194">
        <f>HYPERLINK("https://klasma.github.io/Logging_2303/tillsyn/A 14502-2024 tillsynsbegäran.docx", "A 14502-2024")</f>
        <v/>
      </c>
      <c r="Y194">
        <f>HYPERLINK("https://klasma.github.io/Logging_2303/tillsynsmail/A 14502-2024 tillsynsbegäran mail.docx", "A 14502-2024")</f>
        <v/>
      </c>
    </row>
    <row r="195" ht="15" customHeight="1">
      <c r="A195" t="inlineStr">
        <is>
          <t>A 26324-2024</t>
        </is>
      </c>
      <c r="B195" s="1" t="n">
        <v>45469</v>
      </c>
      <c r="C195" s="1" t="n">
        <v>45506</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33241-2019</t>
        </is>
      </c>
      <c r="B196" s="1" t="n">
        <v>43650</v>
      </c>
      <c r="C196" s="1" t="n">
        <v>45506</v>
      </c>
      <c r="D196" t="inlineStr">
        <is>
          <t>JÄMTLANDS LÄN</t>
        </is>
      </c>
      <c r="E196" t="inlineStr">
        <is>
          <t>RAGUNDA</t>
        </is>
      </c>
      <c r="G196" t="n">
        <v>6.3</v>
      </c>
      <c r="H196" t="n">
        <v>0</v>
      </c>
      <c r="I196" t="n">
        <v>0</v>
      </c>
      <c r="J196" t="n">
        <v>1</v>
      </c>
      <c r="K196" t="n">
        <v>0</v>
      </c>
      <c r="L196" t="n">
        <v>0</v>
      </c>
      <c r="M196" t="n">
        <v>0</v>
      </c>
      <c r="N196" t="n">
        <v>0</v>
      </c>
      <c r="O196" t="n">
        <v>1</v>
      </c>
      <c r="P196" t="n">
        <v>0</v>
      </c>
      <c r="Q196" t="n">
        <v>1</v>
      </c>
      <c r="R196" s="2" t="inlineStr">
        <is>
          <t>Garnlav</t>
        </is>
      </c>
      <c r="S196">
        <f>HYPERLINK("https://klasma.github.io/Logging_2303/artfynd/A 33241-2019 artfynd.xlsx", "A 33241-2019")</f>
        <v/>
      </c>
      <c r="T196">
        <f>HYPERLINK("https://klasma.github.io/Logging_2303/kartor/A 33241-2019 karta.png", "A 33241-2019")</f>
        <v/>
      </c>
      <c r="V196">
        <f>HYPERLINK("https://klasma.github.io/Logging_2303/klagomål/A 33241-2019 FSC-klagomål.docx", "A 33241-2019")</f>
        <v/>
      </c>
      <c r="W196">
        <f>HYPERLINK("https://klasma.github.io/Logging_2303/klagomålsmail/A 33241-2019 FSC-klagomål mail.docx", "A 33241-2019")</f>
        <v/>
      </c>
      <c r="X196">
        <f>HYPERLINK("https://klasma.github.io/Logging_2303/tillsyn/A 33241-2019 tillsynsbegäran.docx", "A 33241-2019")</f>
        <v/>
      </c>
      <c r="Y196">
        <f>HYPERLINK("https://klasma.github.io/Logging_2303/tillsynsmail/A 33241-2019 tillsynsbegäran mail.docx", "A 33241-2019")</f>
        <v/>
      </c>
    </row>
    <row r="197" ht="15" customHeight="1">
      <c r="A197" t="inlineStr">
        <is>
          <t>A 61777-2019</t>
        </is>
      </c>
      <c r="B197" s="1" t="n">
        <v>43784</v>
      </c>
      <c r="C197" s="1" t="n">
        <v>45506</v>
      </c>
      <c r="D197" t="inlineStr">
        <is>
          <t>JÄMTLANDS LÄN</t>
        </is>
      </c>
      <c r="E197" t="inlineStr">
        <is>
          <t>RAGUNDA</t>
        </is>
      </c>
      <c r="F197" t="inlineStr">
        <is>
          <t>SCA</t>
        </is>
      </c>
      <c r="G197" t="n">
        <v>6.1</v>
      </c>
      <c r="H197" t="n">
        <v>1</v>
      </c>
      <c r="I197" t="n">
        <v>1</v>
      </c>
      <c r="J197" t="n">
        <v>0</v>
      </c>
      <c r="K197" t="n">
        <v>0</v>
      </c>
      <c r="L197" t="n">
        <v>0</v>
      </c>
      <c r="M197" t="n">
        <v>0</v>
      </c>
      <c r="N197" t="n">
        <v>0</v>
      </c>
      <c r="O197" t="n">
        <v>0</v>
      </c>
      <c r="P197" t="n">
        <v>0</v>
      </c>
      <c r="Q197" t="n">
        <v>1</v>
      </c>
      <c r="R197" s="2" t="inlineStr">
        <is>
          <t>Guckusko</t>
        </is>
      </c>
      <c r="S197">
        <f>HYPERLINK("https://klasma.github.io/Logging_2303/artfynd/A 61777-2019 artfynd.xlsx", "A 61777-2019")</f>
        <v/>
      </c>
      <c r="T197">
        <f>HYPERLINK("https://klasma.github.io/Logging_2303/kartor/A 61777-2019 karta.png", "A 61777-2019")</f>
        <v/>
      </c>
      <c r="V197">
        <f>HYPERLINK("https://klasma.github.io/Logging_2303/klagomål/A 61777-2019 FSC-klagomål.docx", "A 61777-2019")</f>
        <v/>
      </c>
      <c r="W197">
        <f>HYPERLINK("https://klasma.github.io/Logging_2303/klagomålsmail/A 61777-2019 FSC-klagomål mail.docx", "A 61777-2019")</f>
        <v/>
      </c>
      <c r="X197">
        <f>HYPERLINK("https://klasma.github.io/Logging_2303/tillsyn/A 61777-2019 tillsynsbegäran.docx", "A 61777-2019")</f>
        <v/>
      </c>
      <c r="Y197">
        <f>HYPERLINK("https://klasma.github.io/Logging_2303/tillsynsmail/A 61777-2019 tillsynsbegäran mail.docx", "A 61777-2019")</f>
        <v/>
      </c>
    </row>
    <row r="198" ht="15" customHeight="1">
      <c r="A198" t="inlineStr">
        <is>
          <t>A 63221-2019</t>
        </is>
      </c>
      <c r="B198" s="1" t="n">
        <v>43791</v>
      </c>
      <c r="C198" s="1" t="n">
        <v>45506</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Dvärghäxört</t>
        </is>
      </c>
      <c r="S198">
        <f>HYPERLINK("https://klasma.github.io/Logging_2303/artfynd/A 63221-2019 artfynd.xlsx", "A 63221-2019")</f>
        <v/>
      </c>
      <c r="T198">
        <f>HYPERLINK("https://klasma.github.io/Logging_2303/kartor/A 63221-2019 karta.png", "A 63221-2019")</f>
        <v/>
      </c>
      <c r="V198">
        <f>HYPERLINK("https://klasma.github.io/Logging_2303/klagomål/A 63221-2019 FSC-klagomål.docx", "A 63221-2019")</f>
        <v/>
      </c>
      <c r="W198">
        <f>HYPERLINK("https://klasma.github.io/Logging_2303/klagomålsmail/A 63221-2019 FSC-klagomål mail.docx", "A 63221-2019")</f>
        <v/>
      </c>
      <c r="X198">
        <f>HYPERLINK("https://klasma.github.io/Logging_2303/tillsyn/A 63221-2019 tillsynsbegäran.docx", "A 63221-2019")</f>
        <v/>
      </c>
      <c r="Y198">
        <f>HYPERLINK("https://klasma.github.io/Logging_2303/tillsynsmail/A 63221-2019 tillsynsbegäran mail.docx", "A 63221-2019")</f>
        <v/>
      </c>
    </row>
    <row r="199" ht="15" customHeight="1">
      <c r="A199" t="inlineStr">
        <is>
          <t>A 24657-2020</t>
        </is>
      </c>
      <c r="B199" s="1" t="n">
        <v>43977</v>
      </c>
      <c r="C199" s="1" t="n">
        <v>45506</v>
      </c>
      <c r="D199" t="inlineStr">
        <is>
          <t>JÄMTLANDS LÄN</t>
        </is>
      </c>
      <c r="E199" t="inlineStr">
        <is>
          <t>RAGUNDA</t>
        </is>
      </c>
      <c r="F199" t="inlineStr">
        <is>
          <t>SCA</t>
        </is>
      </c>
      <c r="G199" t="n">
        <v>20.5</v>
      </c>
      <c r="H199" t="n">
        <v>0</v>
      </c>
      <c r="I199" t="n">
        <v>0</v>
      </c>
      <c r="J199" t="n">
        <v>0</v>
      </c>
      <c r="K199" t="n">
        <v>1</v>
      </c>
      <c r="L199" t="n">
        <v>0</v>
      </c>
      <c r="M199" t="n">
        <v>0</v>
      </c>
      <c r="N199" t="n">
        <v>0</v>
      </c>
      <c r="O199" t="n">
        <v>1</v>
      </c>
      <c r="P199" t="n">
        <v>1</v>
      </c>
      <c r="Q199" t="n">
        <v>1</v>
      </c>
      <c r="R199" s="2" t="inlineStr">
        <is>
          <t>Gräddporing</t>
        </is>
      </c>
      <c r="S199">
        <f>HYPERLINK("https://klasma.github.io/Logging_2303/artfynd/A 24657-2020 artfynd.xlsx", "A 24657-2020")</f>
        <v/>
      </c>
      <c r="T199">
        <f>HYPERLINK("https://klasma.github.io/Logging_2303/kartor/A 24657-2020 karta.png", "A 24657-2020")</f>
        <v/>
      </c>
      <c r="V199">
        <f>HYPERLINK("https://klasma.github.io/Logging_2303/klagomål/A 24657-2020 FSC-klagomål.docx", "A 24657-2020")</f>
        <v/>
      </c>
      <c r="W199">
        <f>HYPERLINK("https://klasma.github.io/Logging_2303/klagomålsmail/A 24657-2020 FSC-klagomål mail.docx", "A 24657-2020")</f>
        <v/>
      </c>
      <c r="X199">
        <f>HYPERLINK("https://klasma.github.io/Logging_2303/tillsyn/A 24657-2020 tillsynsbegäran.docx", "A 24657-2020")</f>
        <v/>
      </c>
      <c r="Y199">
        <f>HYPERLINK("https://klasma.github.io/Logging_2303/tillsynsmail/A 24657-2020 tillsynsbegäran mail.docx", "A 24657-2020")</f>
        <v/>
      </c>
    </row>
    <row r="200" ht="15" customHeight="1">
      <c r="A200" t="inlineStr">
        <is>
          <t>A 31357-2020</t>
        </is>
      </c>
      <c r="B200" s="1" t="n">
        <v>44012</v>
      </c>
      <c r="C200" s="1" t="n">
        <v>45506</v>
      </c>
      <c r="D200" t="inlineStr">
        <is>
          <t>JÄMTLANDS LÄN</t>
        </is>
      </c>
      <c r="E200" t="inlineStr">
        <is>
          <t>RAGUNDA</t>
        </is>
      </c>
      <c r="F200" t="inlineStr">
        <is>
          <t>SCA</t>
        </is>
      </c>
      <c r="G200" t="n">
        <v>21.4</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31357-2020 artfynd.xlsx", "A 31357-2020")</f>
        <v/>
      </c>
      <c r="T200">
        <f>HYPERLINK("https://klasma.github.io/Logging_2303/kartor/A 31357-2020 karta.png", "A 31357-2020")</f>
        <v/>
      </c>
      <c r="V200">
        <f>HYPERLINK("https://klasma.github.io/Logging_2303/klagomål/A 31357-2020 FSC-klagomål.docx", "A 31357-2020")</f>
        <v/>
      </c>
      <c r="W200">
        <f>HYPERLINK("https://klasma.github.io/Logging_2303/klagomålsmail/A 31357-2020 FSC-klagomål mail.docx", "A 31357-2020")</f>
        <v/>
      </c>
      <c r="X200">
        <f>HYPERLINK("https://klasma.github.io/Logging_2303/tillsyn/A 31357-2020 tillsynsbegäran.docx", "A 31357-2020")</f>
        <v/>
      </c>
      <c r="Y200">
        <f>HYPERLINK("https://klasma.github.io/Logging_2303/tillsynsmail/A 31357-2020 tillsynsbegäran mail.docx", "A 31357-2020")</f>
        <v/>
      </c>
      <c r="Z200">
        <f>HYPERLINK("https://klasma.github.io/Logging_2303/fåglar/A 31357-2020 prioriterade fågelarter.docx", "A 31357-2020")</f>
        <v/>
      </c>
    </row>
    <row r="201" ht="15" customHeight="1">
      <c r="A201" t="inlineStr">
        <is>
          <t>A 36457-2020</t>
        </is>
      </c>
      <c r="B201" s="1" t="n">
        <v>44049</v>
      </c>
      <c r="C201" s="1" t="n">
        <v>45506</v>
      </c>
      <c r="D201" t="inlineStr">
        <is>
          <t>JÄMTLANDS LÄN</t>
        </is>
      </c>
      <c r="E201" t="inlineStr">
        <is>
          <t>RAGUNDA</t>
        </is>
      </c>
      <c r="F201" t="inlineStr">
        <is>
          <t>SCA</t>
        </is>
      </c>
      <c r="G201" t="n">
        <v>2.5</v>
      </c>
      <c r="H201" t="n">
        <v>1</v>
      </c>
      <c r="I201" t="n">
        <v>1</v>
      </c>
      <c r="J201" t="n">
        <v>0</v>
      </c>
      <c r="K201" t="n">
        <v>0</v>
      </c>
      <c r="L201" t="n">
        <v>0</v>
      </c>
      <c r="M201" t="n">
        <v>0</v>
      </c>
      <c r="N201" t="n">
        <v>0</v>
      </c>
      <c r="O201" t="n">
        <v>0</v>
      </c>
      <c r="P201" t="n">
        <v>0</v>
      </c>
      <c r="Q201" t="n">
        <v>1</v>
      </c>
      <c r="R201" s="2" t="inlineStr">
        <is>
          <t>Guckusko</t>
        </is>
      </c>
      <c r="S201">
        <f>HYPERLINK("https://klasma.github.io/Logging_2303/artfynd/A 36457-2020 artfynd.xlsx", "A 36457-2020")</f>
        <v/>
      </c>
      <c r="T201">
        <f>HYPERLINK("https://klasma.github.io/Logging_2303/kartor/A 36457-2020 karta.png", "A 36457-2020")</f>
        <v/>
      </c>
      <c r="V201">
        <f>HYPERLINK("https://klasma.github.io/Logging_2303/klagomål/A 36457-2020 FSC-klagomål.docx", "A 36457-2020")</f>
        <v/>
      </c>
      <c r="W201">
        <f>HYPERLINK("https://klasma.github.io/Logging_2303/klagomålsmail/A 36457-2020 FSC-klagomål mail.docx", "A 36457-2020")</f>
        <v/>
      </c>
      <c r="X201">
        <f>HYPERLINK("https://klasma.github.io/Logging_2303/tillsyn/A 36457-2020 tillsynsbegäran.docx", "A 36457-2020")</f>
        <v/>
      </c>
      <c r="Y201">
        <f>HYPERLINK("https://klasma.github.io/Logging_2303/tillsynsmail/A 36457-2020 tillsynsbegäran mail.docx", "A 36457-2020")</f>
        <v/>
      </c>
    </row>
    <row r="202" ht="15" customHeight="1">
      <c r="A202" t="inlineStr">
        <is>
          <t>A 39060-2020</t>
        </is>
      </c>
      <c r="B202" s="1" t="n">
        <v>44062</v>
      </c>
      <c r="C202" s="1" t="n">
        <v>45506</v>
      </c>
      <c r="D202" t="inlineStr">
        <is>
          <t>JÄMTLANDS LÄN</t>
        </is>
      </c>
      <c r="E202" t="inlineStr">
        <is>
          <t>RAGUNDA</t>
        </is>
      </c>
      <c r="F202" t="inlineStr">
        <is>
          <t>SCA</t>
        </is>
      </c>
      <c r="G202" t="n">
        <v>6.5</v>
      </c>
      <c r="H202" t="n">
        <v>0</v>
      </c>
      <c r="I202" t="n">
        <v>1</v>
      </c>
      <c r="J202" t="n">
        <v>0</v>
      </c>
      <c r="K202" t="n">
        <v>0</v>
      </c>
      <c r="L202" t="n">
        <v>0</v>
      </c>
      <c r="M202" t="n">
        <v>0</v>
      </c>
      <c r="N202" t="n">
        <v>0</v>
      </c>
      <c r="O202" t="n">
        <v>0</v>
      </c>
      <c r="P202" t="n">
        <v>0</v>
      </c>
      <c r="Q202" t="n">
        <v>1</v>
      </c>
      <c r="R202" s="2" t="inlineStr">
        <is>
          <t>Stuplav</t>
        </is>
      </c>
      <c r="S202">
        <f>HYPERLINK("https://klasma.github.io/Logging_2303/artfynd/A 39060-2020 artfynd.xlsx", "A 39060-2020")</f>
        <v/>
      </c>
      <c r="T202">
        <f>HYPERLINK("https://klasma.github.io/Logging_2303/kartor/A 39060-2020 karta.png", "A 39060-2020")</f>
        <v/>
      </c>
      <c r="V202">
        <f>HYPERLINK("https://klasma.github.io/Logging_2303/klagomål/A 39060-2020 FSC-klagomål.docx", "A 39060-2020")</f>
        <v/>
      </c>
      <c r="W202">
        <f>HYPERLINK("https://klasma.github.io/Logging_2303/klagomålsmail/A 39060-2020 FSC-klagomål mail.docx", "A 39060-2020")</f>
        <v/>
      </c>
      <c r="X202">
        <f>HYPERLINK("https://klasma.github.io/Logging_2303/tillsyn/A 39060-2020 tillsynsbegäran.docx", "A 39060-2020")</f>
        <v/>
      </c>
      <c r="Y202">
        <f>HYPERLINK("https://klasma.github.io/Logging_2303/tillsynsmail/A 39060-2020 tillsynsbegäran mail.docx", "A 39060-2020")</f>
        <v/>
      </c>
    </row>
    <row r="203" ht="15" customHeight="1">
      <c r="A203" t="inlineStr">
        <is>
          <t>A 47853-2020</t>
        </is>
      </c>
      <c r="B203" s="1" t="n">
        <v>44098</v>
      </c>
      <c r="C203" s="1" t="n">
        <v>45506</v>
      </c>
      <c r="D203" t="inlineStr">
        <is>
          <t>JÄMTLANDS LÄN</t>
        </is>
      </c>
      <c r="E203" t="inlineStr">
        <is>
          <t>RAGUNDA</t>
        </is>
      </c>
      <c r="F203" t="inlineStr">
        <is>
          <t>SCA</t>
        </is>
      </c>
      <c r="G203" t="n">
        <v>5.3</v>
      </c>
      <c r="H203" t="n">
        <v>0</v>
      </c>
      <c r="I203" t="n">
        <v>0</v>
      </c>
      <c r="J203" t="n">
        <v>1</v>
      </c>
      <c r="K203" t="n">
        <v>0</v>
      </c>
      <c r="L203" t="n">
        <v>0</v>
      </c>
      <c r="M203" t="n">
        <v>0</v>
      </c>
      <c r="N203" t="n">
        <v>0</v>
      </c>
      <c r="O203" t="n">
        <v>1</v>
      </c>
      <c r="P203" t="n">
        <v>0</v>
      </c>
      <c r="Q203" t="n">
        <v>1</v>
      </c>
      <c r="R203" s="2" t="inlineStr">
        <is>
          <t>Lunglav</t>
        </is>
      </c>
      <c r="S203">
        <f>HYPERLINK("https://klasma.github.io/Logging_2303/artfynd/A 47853-2020 artfynd.xlsx", "A 47853-2020")</f>
        <v/>
      </c>
      <c r="T203">
        <f>HYPERLINK("https://klasma.github.io/Logging_2303/kartor/A 47853-2020 karta.png", "A 47853-2020")</f>
        <v/>
      </c>
      <c r="V203">
        <f>HYPERLINK("https://klasma.github.io/Logging_2303/klagomål/A 47853-2020 FSC-klagomål.docx", "A 47853-2020")</f>
        <v/>
      </c>
      <c r="W203">
        <f>HYPERLINK("https://klasma.github.io/Logging_2303/klagomålsmail/A 47853-2020 FSC-klagomål mail.docx", "A 47853-2020")</f>
        <v/>
      </c>
      <c r="X203">
        <f>HYPERLINK("https://klasma.github.io/Logging_2303/tillsyn/A 47853-2020 tillsynsbegäran.docx", "A 47853-2020")</f>
        <v/>
      </c>
      <c r="Y203">
        <f>HYPERLINK("https://klasma.github.io/Logging_2303/tillsynsmail/A 47853-2020 tillsynsbegäran mail.docx", "A 47853-2020")</f>
        <v/>
      </c>
    </row>
    <row r="204" ht="15" customHeight="1">
      <c r="A204" t="inlineStr">
        <is>
          <t>A 52898-2020</t>
        </is>
      </c>
      <c r="B204" s="1" t="n">
        <v>44119</v>
      </c>
      <c r="C204" s="1" t="n">
        <v>45506</v>
      </c>
      <c r="D204" t="inlineStr">
        <is>
          <t>JÄMTLANDS LÄN</t>
        </is>
      </c>
      <c r="E204" t="inlineStr">
        <is>
          <t>RAGUNDA</t>
        </is>
      </c>
      <c r="G204" t="n">
        <v>1.4</v>
      </c>
      <c r="H204" t="n">
        <v>1</v>
      </c>
      <c r="I204" t="n">
        <v>0</v>
      </c>
      <c r="J204" t="n">
        <v>0</v>
      </c>
      <c r="K204" t="n">
        <v>0</v>
      </c>
      <c r="L204" t="n">
        <v>0</v>
      </c>
      <c r="M204" t="n">
        <v>0</v>
      </c>
      <c r="N204" t="n">
        <v>0</v>
      </c>
      <c r="O204" t="n">
        <v>0</v>
      </c>
      <c r="P204" t="n">
        <v>0</v>
      </c>
      <c r="Q204" t="n">
        <v>1</v>
      </c>
      <c r="R204" s="2" t="inlineStr">
        <is>
          <t>Revlummer</t>
        </is>
      </c>
      <c r="S204">
        <f>HYPERLINK("https://klasma.github.io/Logging_2303/artfynd/A 52898-2020 artfynd.xlsx", "A 52898-2020")</f>
        <v/>
      </c>
      <c r="T204">
        <f>HYPERLINK("https://klasma.github.io/Logging_2303/kartor/A 52898-2020 karta.png", "A 52898-2020")</f>
        <v/>
      </c>
      <c r="V204">
        <f>HYPERLINK("https://klasma.github.io/Logging_2303/klagomål/A 52898-2020 FSC-klagomål.docx", "A 52898-2020")</f>
        <v/>
      </c>
      <c r="W204">
        <f>HYPERLINK("https://klasma.github.io/Logging_2303/klagomålsmail/A 52898-2020 FSC-klagomål mail.docx", "A 52898-2020")</f>
        <v/>
      </c>
      <c r="X204">
        <f>HYPERLINK("https://klasma.github.io/Logging_2303/tillsyn/A 52898-2020 tillsynsbegäran.docx", "A 52898-2020")</f>
        <v/>
      </c>
      <c r="Y204">
        <f>HYPERLINK("https://klasma.github.io/Logging_2303/tillsynsmail/A 52898-2020 tillsynsbegäran mail.docx", "A 52898-2020")</f>
        <v/>
      </c>
    </row>
    <row r="205" ht="15" customHeight="1">
      <c r="A205" t="inlineStr">
        <is>
          <t>A 64363-2020</t>
        </is>
      </c>
      <c r="B205" s="1" t="n">
        <v>44166</v>
      </c>
      <c r="C205" s="1" t="n">
        <v>45506</v>
      </c>
      <c r="D205" t="inlineStr">
        <is>
          <t>JÄMTLANDS LÄN</t>
        </is>
      </c>
      <c r="E205" t="inlineStr">
        <is>
          <t>RAGUNDA</t>
        </is>
      </c>
      <c r="G205" t="n">
        <v>4.5</v>
      </c>
      <c r="H205" t="n">
        <v>1</v>
      </c>
      <c r="I205" t="n">
        <v>0</v>
      </c>
      <c r="J205" t="n">
        <v>0</v>
      </c>
      <c r="K205" t="n">
        <v>1</v>
      </c>
      <c r="L205" t="n">
        <v>0</v>
      </c>
      <c r="M205" t="n">
        <v>0</v>
      </c>
      <c r="N205" t="n">
        <v>0</v>
      </c>
      <c r="O205" t="n">
        <v>1</v>
      </c>
      <c r="P205" t="n">
        <v>1</v>
      </c>
      <c r="Q205" t="n">
        <v>1</v>
      </c>
      <c r="R205" s="2" t="inlineStr">
        <is>
          <t>Bombmurkla</t>
        </is>
      </c>
      <c r="S205">
        <f>HYPERLINK("https://klasma.github.io/Logging_2303/artfynd/A 64363-2020 artfynd.xlsx", "A 64363-2020")</f>
        <v/>
      </c>
      <c r="T205">
        <f>HYPERLINK("https://klasma.github.io/Logging_2303/kartor/A 64363-2020 karta.png", "A 64363-2020")</f>
        <v/>
      </c>
      <c r="V205">
        <f>HYPERLINK("https://klasma.github.io/Logging_2303/klagomål/A 64363-2020 FSC-klagomål.docx", "A 64363-2020")</f>
        <v/>
      </c>
      <c r="W205">
        <f>HYPERLINK("https://klasma.github.io/Logging_2303/klagomålsmail/A 64363-2020 FSC-klagomål mail.docx", "A 64363-2020")</f>
        <v/>
      </c>
      <c r="X205">
        <f>HYPERLINK("https://klasma.github.io/Logging_2303/tillsyn/A 64363-2020 tillsynsbegäran.docx", "A 64363-2020")</f>
        <v/>
      </c>
      <c r="Y205">
        <f>HYPERLINK("https://klasma.github.io/Logging_2303/tillsynsmail/A 64363-2020 tillsynsbegäran mail.docx", "A 64363-2020")</f>
        <v/>
      </c>
    </row>
    <row r="206" ht="15" customHeight="1">
      <c r="A206" t="inlineStr">
        <is>
          <t>A 21037-2021</t>
        </is>
      </c>
      <c r="B206" s="1" t="n">
        <v>44319</v>
      </c>
      <c r="C206" s="1" t="n">
        <v>45506</v>
      </c>
      <c r="D206" t="inlineStr">
        <is>
          <t>JÄMTLANDS LÄN</t>
        </is>
      </c>
      <c r="E206" t="inlineStr">
        <is>
          <t>RAGUNDA</t>
        </is>
      </c>
      <c r="F206" t="inlineStr">
        <is>
          <t>Kyrkan</t>
        </is>
      </c>
      <c r="G206" t="n">
        <v>0.8</v>
      </c>
      <c r="H206" t="n">
        <v>0</v>
      </c>
      <c r="I206" t="n">
        <v>0</v>
      </c>
      <c r="J206" t="n">
        <v>1</v>
      </c>
      <c r="K206" t="n">
        <v>0</v>
      </c>
      <c r="L206" t="n">
        <v>0</v>
      </c>
      <c r="M206" t="n">
        <v>0</v>
      </c>
      <c r="N206" t="n">
        <v>0</v>
      </c>
      <c r="O206" t="n">
        <v>1</v>
      </c>
      <c r="P206" t="n">
        <v>0</v>
      </c>
      <c r="Q206" t="n">
        <v>1</v>
      </c>
      <c r="R206" s="2" t="inlineStr">
        <is>
          <t>Olivbrun gytterlav</t>
        </is>
      </c>
      <c r="S206">
        <f>HYPERLINK("https://klasma.github.io/Logging_2303/artfynd/A 21037-2021 artfynd.xlsx", "A 21037-2021")</f>
        <v/>
      </c>
      <c r="T206">
        <f>HYPERLINK("https://klasma.github.io/Logging_2303/kartor/A 21037-2021 karta.png", "A 21037-2021")</f>
        <v/>
      </c>
      <c r="V206">
        <f>HYPERLINK("https://klasma.github.io/Logging_2303/klagomål/A 21037-2021 FSC-klagomål.docx", "A 21037-2021")</f>
        <v/>
      </c>
      <c r="W206">
        <f>HYPERLINK("https://klasma.github.io/Logging_2303/klagomålsmail/A 21037-2021 FSC-klagomål mail.docx", "A 21037-2021")</f>
        <v/>
      </c>
      <c r="X206">
        <f>HYPERLINK("https://klasma.github.io/Logging_2303/tillsyn/A 21037-2021 tillsynsbegäran.docx", "A 21037-2021")</f>
        <v/>
      </c>
      <c r="Y206">
        <f>HYPERLINK("https://klasma.github.io/Logging_2303/tillsynsmail/A 21037-2021 tillsynsbegäran mail.docx", "A 21037-2021")</f>
        <v/>
      </c>
    </row>
    <row r="207" ht="15" customHeight="1">
      <c r="A207" t="inlineStr">
        <is>
          <t>A 31773-2021</t>
        </is>
      </c>
      <c r="B207" s="1" t="n">
        <v>44369</v>
      </c>
      <c r="C207" s="1" t="n">
        <v>45506</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42546-2021</t>
        </is>
      </c>
      <c r="B208" s="1" t="n">
        <v>44428</v>
      </c>
      <c r="C208" s="1" t="n">
        <v>45506</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Dvärgbägarlav</t>
        </is>
      </c>
      <c r="S208">
        <f>HYPERLINK("https://klasma.github.io/Logging_2303/artfynd/A 42546-2021 artfynd.xlsx", "A 42546-2021")</f>
        <v/>
      </c>
      <c r="T208">
        <f>HYPERLINK("https://klasma.github.io/Logging_2303/kartor/A 42546-2021 karta.png", "A 42546-2021")</f>
        <v/>
      </c>
      <c r="V208">
        <f>HYPERLINK("https://klasma.github.io/Logging_2303/klagomål/A 42546-2021 FSC-klagomål.docx", "A 42546-2021")</f>
        <v/>
      </c>
      <c r="W208">
        <f>HYPERLINK("https://klasma.github.io/Logging_2303/klagomålsmail/A 42546-2021 FSC-klagomål mail.docx", "A 42546-2021")</f>
        <v/>
      </c>
      <c r="X208">
        <f>HYPERLINK("https://klasma.github.io/Logging_2303/tillsyn/A 42546-2021 tillsynsbegäran.docx", "A 42546-2021")</f>
        <v/>
      </c>
      <c r="Y208">
        <f>HYPERLINK("https://klasma.github.io/Logging_2303/tillsynsmail/A 42546-2021 tillsynsbegäran mail.docx", "A 42546-2021")</f>
        <v/>
      </c>
    </row>
    <row r="209" ht="15" customHeight="1">
      <c r="A209" t="inlineStr">
        <is>
          <t>A 51916-2021</t>
        </is>
      </c>
      <c r="B209" s="1" t="n">
        <v>44462</v>
      </c>
      <c r="C209" s="1" t="n">
        <v>45506</v>
      </c>
      <c r="D209" t="inlineStr">
        <is>
          <t>JÄMTLANDS LÄN</t>
        </is>
      </c>
      <c r="E209" t="inlineStr">
        <is>
          <t>RAGUNDA</t>
        </is>
      </c>
      <c r="F209" t="inlineStr">
        <is>
          <t>SCA</t>
        </is>
      </c>
      <c r="G209" t="n">
        <v>3</v>
      </c>
      <c r="H209" t="n">
        <v>1</v>
      </c>
      <c r="I209" t="n">
        <v>0</v>
      </c>
      <c r="J209" t="n">
        <v>1</v>
      </c>
      <c r="K209" t="n">
        <v>0</v>
      </c>
      <c r="L209" t="n">
        <v>0</v>
      </c>
      <c r="M209" t="n">
        <v>0</v>
      </c>
      <c r="N209" t="n">
        <v>0</v>
      </c>
      <c r="O209" t="n">
        <v>1</v>
      </c>
      <c r="P209" t="n">
        <v>0</v>
      </c>
      <c r="Q209" t="n">
        <v>1</v>
      </c>
      <c r="R209" s="2" t="inlineStr">
        <is>
          <t>Varglav</t>
        </is>
      </c>
      <c r="S209">
        <f>HYPERLINK("https://klasma.github.io/Logging_2303/artfynd/A 51916-2021 artfynd.xlsx", "A 51916-2021")</f>
        <v/>
      </c>
      <c r="T209">
        <f>HYPERLINK("https://klasma.github.io/Logging_2303/kartor/A 51916-2021 karta.png", "A 51916-2021")</f>
        <v/>
      </c>
      <c r="V209">
        <f>HYPERLINK("https://klasma.github.io/Logging_2303/klagomål/A 51916-2021 FSC-klagomål.docx", "A 51916-2021")</f>
        <v/>
      </c>
      <c r="W209">
        <f>HYPERLINK("https://klasma.github.io/Logging_2303/klagomålsmail/A 51916-2021 FSC-klagomål mail.docx", "A 51916-2021")</f>
        <v/>
      </c>
      <c r="X209">
        <f>HYPERLINK("https://klasma.github.io/Logging_2303/tillsyn/A 51916-2021 tillsynsbegäran.docx", "A 51916-2021")</f>
        <v/>
      </c>
      <c r="Y209">
        <f>HYPERLINK("https://klasma.github.io/Logging_2303/tillsynsmail/A 51916-2021 tillsynsbegäran mail.docx", "A 51916-2021")</f>
        <v/>
      </c>
    </row>
    <row r="210" ht="15" customHeight="1">
      <c r="A210" t="inlineStr">
        <is>
          <t>A 6550-2022</t>
        </is>
      </c>
      <c r="B210" s="1" t="n">
        <v>44601</v>
      </c>
      <c r="C210" s="1" t="n">
        <v>45506</v>
      </c>
      <c r="D210" t="inlineStr">
        <is>
          <t>JÄMTLANDS LÄN</t>
        </is>
      </c>
      <c r="E210" t="inlineStr">
        <is>
          <t>RAGUNDA</t>
        </is>
      </c>
      <c r="G210" t="n">
        <v>2.3</v>
      </c>
      <c r="H210" t="n">
        <v>0</v>
      </c>
      <c r="I210" t="n">
        <v>0</v>
      </c>
      <c r="J210" t="n">
        <v>1</v>
      </c>
      <c r="K210" t="n">
        <v>0</v>
      </c>
      <c r="L210" t="n">
        <v>0</v>
      </c>
      <c r="M210" t="n">
        <v>0</v>
      </c>
      <c r="N210" t="n">
        <v>0</v>
      </c>
      <c r="O210" t="n">
        <v>1</v>
      </c>
      <c r="P210" t="n">
        <v>0</v>
      </c>
      <c r="Q210" t="n">
        <v>1</v>
      </c>
      <c r="R210" s="2" t="inlineStr">
        <is>
          <t>Dvärgbägarlav</t>
        </is>
      </c>
      <c r="S210">
        <f>HYPERLINK("https://klasma.github.io/Logging_2303/artfynd/A 6550-2022 artfynd.xlsx", "A 6550-2022")</f>
        <v/>
      </c>
      <c r="T210">
        <f>HYPERLINK("https://klasma.github.io/Logging_2303/kartor/A 6550-2022 karta.png", "A 6550-2022")</f>
        <v/>
      </c>
      <c r="V210">
        <f>HYPERLINK("https://klasma.github.io/Logging_2303/klagomål/A 6550-2022 FSC-klagomål.docx", "A 6550-2022")</f>
        <v/>
      </c>
      <c r="W210">
        <f>HYPERLINK("https://klasma.github.io/Logging_2303/klagomålsmail/A 6550-2022 FSC-klagomål mail.docx", "A 6550-2022")</f>
        <v/>
      </c>
      <c r="X210">
        <f>HYPERLINK("https://klasma.github.io/Logging_2303/tillsyn/A 6550-2022 tillsynsbegäran.docx", "A 6550-2022")</f>
        <v/>
      </c>
      <c r="Y210">
        <f>HYPERLINK("https://klasma.github.io/Logging_2303/tillsynsmail/A 6550-2022 tillsynsbegäran mail.docx", "A 6550-2022")</f>
        <v/>
      </c>
    </row>
    <row r="211" ht="15" customHeight="1">
      <c r="A211" t="inlineStr">
        <is>
          <t>A 7666-2022</t>
        </is>
      </c>
      <c r="B211" s="1" t="n">
        <v>44607</v>
      </c>
      <c r="C211" s="1" t="n">
        <v>45506</v>
      </c>
      <c r="D211" t="inlineStr">
        <is>
          <t>JÄMTLANDS LÄN</t>
        </is>
      </c>
      <c r="E211" t="inlineStr">
        <is>
          <t>RAGUNDA</t>
        </is>
      </c>
      <c r="F211" t="inlineStr">
        <is>
          <t>SCA</t>
        </is>
      </c>
      <c r="G211" t="n">
        <v>1.4</v>
      </c>
      <c r="H211" t="n">
        <v>0</v>
      </c>
      <c r="I211" t="n">
        <v>0</v>
      </c>
      <c r="J211" t="n">
        <v>1</v>
      </c>
      <c r="K211" t="n">
        <v>0</v>
      </c>
      <c r="L211" t="n">
        <v>0</v>
      </c>
      <c r="M211" t="n">
        <v>0</v>
      </c>
      <c r="N211" t="n">
        <v>0</v>
      </c>
      <c r="O211" t="n">
        <v>1</v>
      </c>
      <c r="P211" t="n">
        <v>0</v>
      </c>
      <c r="Q211" t="n">
        <v>1</v>
      </c>
      <c r="R211" s="2" t="inlineStr">
        <is>
          <t>Garnlav</t>
        </is>
      </c>
      <c r="S211">
        <f>HYPERLINK("https://klasma.github.io/Logging_2303/artfynd/A 7666-2022 artfynd.xlsx", "A 7666-2022")</f>
        <v/>
      </c>
      <c r="T211">
        <f>HYPERLINK("https://klasma.github.io/Logging_2303/kartor/A 7666-2022 karta.png", "A 7666-2022")</f>
        <v/>
      </c>
      <c r="V211">
        <f>HYPERLINK("https://klasma.github.io/Logging_2303/klagomål/A 7666-2022 FSC-klagomål.docx", "A 7666-2022")</f>
        <v/>
      </c>
      <c r="W211">
        <f>HYPERLINK("https://klasma.github.io/Logging_2303/klagomålsmail/A 7666-2022 FSC-klagomål mail.docx", "A 7666-2022")</f>
        <v/>
      </c>
      <c r="X211">
        <f>HYPERLINK("https://klasma.github.io/Logging_2303/tillsyn/A 7666-2022 tillsynsbegäran.docx", "A 7666-2022")</f>
        <v/>
      </c>
      <c r="Y211">
        <f>HYPERLINK("https://klasma.github.io/Logging_2303/tillsynsmail/A 7666-2022 tillsynsbegäran mail.docx", "A 7666-2022")</f>
        <v/>
      </c>
    </row>
    <row r="212" ht="15" customHeight="1">
      <c r="A212" t="inlineStr">
        <is>
          <t>A 15663-2022</t>
        </is>
      </c>
      <c r="B212" s="1" t="n">
        <v>44663</v>
      </c>
      <c r="C212" s="1" t="n">
        <v>45506</v>
      </c>
      <c r="D212" t="inlineStr">
        <is>
          <t>JÄMTLANDS LÄN</t>
        </is>
      </c>
      <c r="E212" t="inlineStr">
        <is>
          <t>RAGUNDA</t>
        </is>
      </c>
      <c r="F212" t="inlineStr">
        <is>
          <t>SCA</t>
        </is>
      </c>
      <c r="G212" t="n">
        <v>1.7</v>
      </c>
      <c r="H212" t="n">
        <v>1</v>
      </c>
      <c r="I212" t="n">
        <v>0</v>
      </c>
      <c r="J212" t="n">
        <v>0</v>
      </c>
      <c r="K212" t="n">
        <v>1</v>
      </c>
      <c r="L212" t="n">
        <v>0</v>
      </c>
      <c r="M212" t="n">
        <v>0</v>
      </c>
      <c r="N212" t="n">
        <v>0</v>
      </c>
      <c r="O212" t="n">
        <v>1</v>
      </c>
      <c r="P212" t="n">
        <v>1</v>
      </c>
      <c r="Q212" t="n">
        <v>1</v>
      </c>
      <c r="R212" s="2" t="inlineStr">
        <is>
          <t>Norna</t>
        </is>
      </c>
      <c r="S212">
        <f>HYPERLINK("https://klasma.github.io/Logging_2303/artfynd/A 15663-2022 artfynd.xlsx", "A 15663-2022")</f>
        <v/>
      </c>
      <c r="T212">
        <f>HYPERLINK("https://klasma.github.io/Logging_2303/kartor/A 15663-2022 karta.png", "A 15663-2022")</f>
        <v/>
      </c>
      <c r="V212">
        <f>HYPERLINK("https://klasma.github.io/Logging_2303/klagomål/A 15663-2022 FSC-klagomål.docx", "A 15663-2022")</f>
        <v/>
      </c>
      <c r="W212">
        <f>HYPERLINK("https://klasma.github.io/Logging_2303/klagomålsmail/A 15663-2022 FSC-klagomål mail.docx", "A 15663-2022")</f>
        <v/>
      </c>
      <c r="X212">
        <f>HYPERLINK("https://klasma.github.io/Logging_2303/tillsyn/A 15663-2022 tillsynsbegäran.docx", "A 15663-2022")</f>
        <v/>
      </c>
      <c r="Y212">
        <f>HYPERLINK("https://klasma.github.io/Logging_2303/tillsynsmail/A 15663-2022 tillsynsbegäran mail.docx", "A 15663-2022")</f>
        <v/>
      </c>
    </row>
    <row r="213" ht="15" customHeight="1">
      <c r="A213" t="inlineStr">
        <is>
          <t>A 17751-2022</t>
        </is>
      </c>
      <c r="B213" s="1" t="n">
        <v>44681</v>
      </c>
      <c r="C213" s="1" t="n">
        <v>45506</v>
      </c>
      <c r="D213" t="inlineStr">
        <is>
          <t>JÄMTLANDS LÄN</t>
        </is>
      </c>
      <c r="E213" t="inlineStr">
        <is>
          <t>RAGUNDA</t>
        </is>
      </c>
      <c r="F213" t="inlineStr">
        <is>
          <t>SCA</t>
        </is>
      </c>
      <c r="G213" t="n">
        <v>1.4</v>
      </c>
      <c r="H213" t="n">
        <v>0</v>
      </c>
      <c r="I213" t="n">
        <v>0</v>
      </c>
      <c r="J213" t="n">
        <v>1</v>
      </c>
      <c r="K213" t="n">
        <v>0</v>
      </c>
      <c r="L213" t="n">
        <v>0</v>
      </c>
      <c r="M213" t="n">
        <v>0</v>
      </c>
      <c r="N213" t="n">
        <v>0</v>
      </c>
      <c r="O213" t="n">
        <v>1</v>
      </c>
      <c r="P213" t="n">
        <v>0</v>
      </c>
      <c r="Q213" t="n">
        <v>1</v>
      </c>
      <c r="R213" s="2" t="inlineStr">
        <is>
          <t>Granticka</t>
        </is>
      </c>
      <c r="S213">
        <f>HYPERLINK("https://klasma.github.io/Logging_2303/artfynd/A 17751-2022 artfynd.xlsx", "A 17751-2022")</f>
        <v/>
      </c>
      <c r="T213">
        <f>HYPERLINK("https://klasma.github.io/Logging_2303/kartor/A 17751-2022 karta.png", "A 17751-2022")</f>
        <v/>
      </c>
      <c r="V213">
        <f>HYPERLINK("https://klasma.github.io/Logging_2303/klagomål/A 17751-2022 FSC-klagomål.docx", "A 17751-2022")</f>
        <v/>
      </c>
      <c r="W213">
        <f>HYPERLINK("https://klasma.github.io/Logging_2303/klagomålsmail/A 17751-2022 FSC-klagomål mail.docx", "A 17751-2022")</f>
        <v/>
      </c>
      <c r="X213">
        <f>HYPERLINK("https://klasma.github.io/Logging_2303/tillsyn/A 17751-2022 tillsynsbegäran.docx", "A 17751-2022")</f>
        <v/>
      </c>
      <c r="Y213">
        <f>HYPERLINK("https://klasma.github.io/Logging_2303/tillsynsmail/A 17751-2022 tillsynsbegäran mail.docx", "A 17751-2022")</f>
        <v/>
      </c>
    </row>
    <row r="214" ht="15" customHeight="1">
      <c r="A214" t="inlineStr">
        <is>
          <t>A 21275-2022</t>
        </is>
      </c>
      <c r="B214" s="1" t="n">
        <v>44705</v>
      </c>
      <c r="C214" s="1" t="n">
        <v>45506</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27273-2022</t>
        </is>
      </c>
      <c r="B215" s="1" t="n">
        <v>44741</v>
      </c>
      <c r="C215" s="1" t="n">
        <v>45506</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Svart trolldruva</t>
        </is>
      </c>
      <c r="S215">
        <f>HYPERLINK("https://klasma.github.io/Logging_2303/artfynd/A 27273-2022 artfynd.xlsx", "A 27273-2022")</f>
        <v/>
      </c>
      <c r="T215">
        <f>HYPERLINK("https://klasma.github.io/Logging_2303/kartor/A 27273-2022 karta.png", "A 27273-2022")</f>
        <v/>
      </c>
      <c r="V215">
        <f>HYPERLINK("https://klasma.github.io/Logging_2303/klagomål/A 27273-2022 FSC-klagomål.docx", "A 27273-2022")</f>
        <v/>
      </c>
      <c r="W215">
        <f>HYPERLINK("https://klasma.github.io/Logging_2303/klagomålsmail/A 27273-2022 FSC-klagomål mail.docx", "A 27273-2022")</f>
        <v/>
      </c>
      <c r="X215">
        <f>HYPERLINK("https://klasma.github.io/Logging_2303/tillsyn/A 27273-2022 tillsynsbegäran.docx", "A 27273-2022")</f>
        <v/>
      </c>
      <c r="Y215">
        <f>HYPERLINK("https://klasma.github.io/Logging_2303/tillsynsmail/A 27273-2022 tillsynsbegäran mail.docx", "A 27273-2022")</f>
        <v/>
      </c>
    </row>
    <row r="216" ht="15" customHeight="1">
      <c r="A216" t="inlineStr">
        <is>
          <t>A 27286-2022</t>
        </is>
      </c>
      <c r="B216" s="1" t="n">
        <v>44741</v>
      </c>
      <c r="C216" s="1" t="n">
        <v>45506</v>
      </c>
      <c r="D216" t="inlineStr">
        <is>
          <t>JÄMTLANDS LÄN</t>
        </is>
      </c>
      <c r="E216" t="inlineStr">
        <is>
          <t>RAGUNDA</t>
        </is>
      </c>
      <c r="F216" t="inlineStr">
        <is>
          <t>SCA</t>
        </is>
      </c>
      <c r="G216" t="n">
        <v>3.1</v>
      </c>
      <c r="H216" t="n">
        <v>0</v>
      </c>
      <c r="I216" t="n">
        <v>0</v>
      </c>
      <c r="J216" t="n">
        <v>1</v>
      </c>
      <c r="K216" t="n">
        <v>0</v>
      </c>
      <c r="L216" t="n">
        <v>0</v>
      </c>
      <c r="M216" t="n">
        <v>0</v>
      </c>
      <c r="N216" t="n">
        <v>0</v>
      </c>
      <c r="O216" t="n">
        <v>1</v>
      </c>
      <c r="P216" t="n">
        <v>0</v>
      </c>
      <c r="Q216" t="n">
        <v>1</v>
      </c>
      <c r="R216" s="2" t="inlineStr">
        <is>
          <t>Harticka</t>
        </is>
      </c>
      <c r="S216">
        <f>HYPERLINK("https://klasma.github.io/Logging_2303/artfynd/A 27286-2022 artfynd.xlsx", "A 27286-2022")</f>
        <v/>
      </c>
      <c r="T216">
        <f>HYPERLINK("https://klasma.github.io/Logging_2303/kartor/A 27286-2022 karta.png", "A 27286-2022")</f>
        <v/>
      </c>
      <c r="V216">
        <f>HYPERLINK("https://klasma.github.io/Logging_2303/klagomål/A 27286-2022 FSC-klagomål.docx", "A 27286-2022")</f>
        <v/>
      </c>
      <c r="W216">
        <f>HYPERLINK("https://klasma.github.io/Logging_2303/klagomålsmail/A 27286-2022 FSC-klagomål mail.docx", "A 27286-2022")</f>
        <v/>
      </c>
      <c r="X216">
        <f>HYPERLINK("https://klasma.github.io/Logging_2303/tillsyn/A 27286-2022 tillsynsbegäran.docx", "A 27286-2022")</f>
        <v/>
      </c>
      <c r="Y216">
        <f>HYPERLINK("https://klasma.github.io/Logging_2303/tillsynsmail/A 27286-2022 tillsynsbegäran mail.docx", "A 27286-2022")</f>
        <v/>
      </c>
    </row>
    <row r="217" ht="15" customHeight="1">
      <c r="A217" t="inlineStr">
        <is>
          <t>A 31477-2022</t>
        </is>
      </c>
      <c r="B217" s="1" t="n">
        <v>44775</v>
      </c>
      <c r="C217" s="1" t="n">
        <v>45506</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HYPERLINK("https://klasma.github.io/Logging_2303/artfynd/A 31477-2022 artfynd.xlsx", "A 31477-2022")</f>
        <v/>
      </c>
      <c r="T217">
        <f>HYPERLINK("https://klasma.github.io/Logging_2303/kartor/A 31477-2022 karta.png", "A 31477-2022")</f>
        <v/>
      </c>
      <c r="V217">
        <f>HYPERLINK("https://klasma.github.io/Logging_2303/klagomål/A 31477-2022 FSC-klagomål.docx", "A 31477-2022")</f>
        <v/>
      </c>
      <c r="W217">
        <f>HYPERLINK("https://klasma.github.io/Logging_2303/klagomålsmail/A 31477-2022 FSC-klagomål mail.docx", "A 31477-2022")</f>
        <v/>
      </c>
      <c r="X217">
        <f>HYPERLINK("https://klasma.github.io/Logging_2303/tillsyn/A 31477-2022 tillsynsbegäran.docx", "A 31477-2022")</f>
        <v/>
      </c>
      <c r="Y217">
        <f>HYPERLINK("https://klasma.github.io/Logging_2303/tillsynsmail/A 31477-2022 tillsynsbegäran mail.docx", "A 31477-2022")</f>
        <v/>
      </c>
    </row>
    <row r="218" ht="15" customHeight="1">
      <c r="A218" t="inlineStr">
        <is>
          <t>A 42307-2022</t>
        </is>
      </c>
      <c r="B218" s="1" t="n">
        <v>44830</v>
      </c>
      <c r="C218" s="1" t="n">
        <v>45506</v>
      </c>
      <c r="D218" t="inlineStr">
        <is>
          <t>JÄMTLANDS LÄN</t>
        </is>
      </c>
      <c r="E218" t="inlineStr">
        <is>
          <t>RAGUNDA</t>
        </is>
      </c>
      <c r="F218" t="inlineStr">
        <is>
          <t>SCA</t>
        </is>
      </c>
      <c r="G218" t="n">
        <v>2.6</v>
      </c>
      <c r="H218" t="n">
        <v>0</v>
      </c>
      <c r="I218" t="n">
        <v>0</v>
      </c>
      <c r="J218" t="n">
        <v>0</v>
      </c>
      <c r="K218" t="n">
        <v>1</v>
      </c>
      <c r="L218" t="n">
        <v>0</v>
      </c>
      <c r="M218" t="n">
        <v>0</v>
      </c>
      <c r="N218" t="n">
        <v>0</v>
      </c>
      <c r="O218" t="n">
        <v>1</v>
      </c>
      <c r="P218" t="n">
        <v>1</v>
      </c>
      <c r="Q218" t="n">
        <v>1</v>
      </c>
      <c r="R218" s="2" t="inlineStr">
        <is>
          <t>Smalskaftslav</t>
        </is>
      </c>
      <c r="S218">
        <f>HYPERLINK("https://klasma.github.io/Logging_2303/artfynd/A 42307-2022 artfynd.xlsx", "A 42307-2022")</f>
        <v/>
      </c>
      <c r="T218">
        <f>HYPERLINK("https://klasma.github.io/Logging_2303/kartor/A 42307-2022 karta.png", "A 42307-2022")</f>
        <v/>
      </c>
      <c r="V218">
        <f>HYPERLINK("https://klasma.github.io/Logging_2303/klagomål/A 42307-2022 FSC-klagomål.docx", "A 42307-2022")</f>
        <v/>
      </c>
      <c r="W218">
        <f>HYPERLINK("https://klasma.github.io/Logging_2303/klagomålsmail/A 42307-2022 FSC-klagomål mail.docx", "A 42307-2022")</f>
        <v/>
      </c>
      <c r="X218">
        <f>HYPERLINK("https://klasma.github.io/Logging_2303/tillsyn/A 42307-2022 tillsynsbegäran.docx", "A 42307-2022")</f>
        <v/>
      </c>
      <c r="Y218">
        <f>HYPERLINK("https://klasma.github.io/Logging_2303/tillsynsmail/A 42307-2022 tillsynsbegäran mail.docx", "A 42307-2022")</f>
        <v/>
      </c>
    </row>
    <row r="219" ht="15" customHeight="1">
      <c r="A219" t="inlineStr">
        <is>
          <t>A 42899-2022</t>
        </is>
      </c>
      <c r="B219" s="1" t="n">
        <v>44832</v>
      </c>
      <c r="C219" s="1" t="n">
        <v>45506</v>
      </c>
      <c r="D219" t="inlineStr">
        <is>
          <t>JÄMTLANDS LÄN</t>
        </is>
      </c>
      <c r="E219" t="inlineStr">
        <is>
          <t>RAGUNDA</t>
        </is>
      </c>
      <c r="F219" t="inlineStr">
        <is>
          <t>SCA</t>
        </is>
      </c>
      <c r="G219" t="n">
        <v>2.3</v>
      </c>
      <c r="H219" t="n">
        <v>0</v>
      </c>
      <c r="I219" t="n">
        <v>0</v>
      </c>
      <c r="J219" t="n">
        <v>1</v>
      </c>
      <c r="K219" t="n">
        <v>0</v>
      </c>
      <c r="L219" t="n">
        <v>0</v>
      </c>
      <c r="M219" t="n">
        <v>0</v>
      </c>
      <c r="N219" t="n">
        <v>0</v>
      </c>
      <c r="O219" t="n">
        <v>1</v>
      </c>
      <c r="P219" t="n">
        <v>0</v>
      </c>
      <c r="Q219" t="n">
        <v>1</v>
      </c>
      <c r="R219" s="2" t="inlineStr">
        <is>
          <t>Ullticka</t>
        </is>
      </c>
      <c r="S219">
        <f>HYPERLINK("https://klasma.github.io/Logging_2303/artfynd/A 42899-2022 artfynd.xlsx", "A 42899-2022")</f>
        <v/>
      </c>
      <c r="T219">
        <f>HYPERLINK("https://klasma.github.io/Logging_2303/kartor/A 42899-2022 karta.png", "A 42899-2022")</f>
        <v/>
      </c>
      <c r="V219">
        <f>HYPERLINK("https://klasma.github.io/Logging_2303/klagomål/A 42899-2022 FSC-klagomål.docx", "A 42899-2022")</f>
        <v/>
      </c>
      <c r="W219">
        <f>HYPERLINK("https://klasma.github.io/Logging_2303/klagomålsmail/A 42899-2022 FSC-klagomål mail.docx", "A 42899-2022")</f>
        <v/>
      </c>
      <c r="X219">
        <f>HYPERLINK("https://klasma.github.io/Logging_2303/tillsyn/A 42899-2022 tillsynsbegäran.docx", "A 42899-2022")</f>
        <v/>
      </c>
      <c r="Y219">
        <f>HYPERLINK("https://klasma.github.io/Logging_2303/tillsynsmail/A 42899-2022 tillsynsbegäran mail.docx", "A 42899-2022")</f>
        <v/>
      </c>
    </row>
    <row r="220" ht="15" customHeight="1">
      <c r="A220" t="inlineStr">
        <is>
          <t>A 48063-2022</t>
        </is>
      </c>
      <c r="B220" s="1" t="n">
        <v>44855</v>
      </c>
      <c r="C220" s="1" t="n">
        <v>45506</v>
      </c>
      <c r="D220" t="inlineStr">
        <is>
          <t>JÄMTLANDS LÄN</t>
        </is>
      </c>
      <c r="E220" t="inlineStr">
        <is>
          <t>RAGUNDA</t>
        </is>
      </c>
      <c r="F220" t="inlineStr">
        <is>
          <t>SCA</t>
        </is>
      </c>
      <c r="G220" t="n">
        <v>3.3</v>
      </c>
      <c r="H220" t="n">
        <v>0</v>
      </c>
      <c r="I220" t="n">
        <v>1</v>
      </c>
      <c r="J220" t="n">
        <v>0</v>
      </c>
      <c r="K220" t="n">
        <v>0</v>
      </c>
      <c r="L220" t="n">
        <v>0</v>
      </c>
      <c r="M220" t="n">
        <v>0</v>
      </c>
      <c r="N220" t="n">
        <v>0</v>
      </c>
      <c r="O220" t="n">
        <v>0</v>
      </c>
      <c r="P220" t="n">
        <v>0</v>
      </c>
      <c r="Q220" t="n">
        <v>1</v>
      </c>
      <c r="R220" s="2" t="inlineStr">
        <is>
          <t>Källmossa</t>
        </is>
      </c>
      <c r="S220">
        <f>HYPERLINK("https://klasma.github.io/Logging_2303/artfynd/A 48063-2022 artfynd.xlsx", "A 48063-2022")</f>
        <v/>
      </c>
      <c r="T220">
        <f>HYPERLINK("https://klasma.github.io/Logging_2303/kartor/A 48063-2022 karta.png", "A 48063-2022")</f>
        <v/>
      </c>
      <c r="V220">
        <f>HYPERLINK("https://klasma.github.io/Logging_2303/klagomål/A 48063-2022 FSC-klagomål.docx", "A 48063-2022")</f>
        <v/>
      </c>
      <c r="W220">
        <f>HYPERLINK("https://klasma.github.io/Logging_2303/klagomålsmail/A 48063-2022 FSC-klagomål mail.docx", "A 48063-2022")</f>
        <v/>
      </c>
      <c r="X220">
        <f>HYPERLINK("https://klasma.github.io/Logging_2303/tillsyn/A 48063-2022 tillsynsbegäran.docx", "A 48063-2022")</f>
        <v/>
      </c>
      <c r="Y220">
        <f>HYPERLINK("https://klasma.github.io/Logging_2303/tillsynsmail/A 48063-2022 tillsynsbegäran mail.docx", "A 48063-2022")</f>
        <v/>
      </c>
    </row>
    <row r="221" ht="15" customHeight="1">
      <c r="A221" t="inlineStr">
        <is>
          <t>A 49091-2022</t>
        </is>
      </c>
      <c r="B221" s="1" t="n">
        <v>44860</v>
      </c>
      <c r="C221" s="1" t="n">
        <v>45506</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11040-2023</t>
        </is>
      </c>
      <c r="B222" s="1" t="n">
        <v>44991</v>
      </c>
      <c r="C222" s="1" t="n">
        <v>45506</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17340-2023</t>
        </is>
      </c>
      <c r="B223" s="1" t="n">
        <v>45033</v>
      </c>
      <c r="C223" s="1" t="n">
        <v>45506</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18985-2023</t>
        </is>
      </c>
      <c r="B224" s="1" t="n">
        <v>45044</v>
      </c>
      <c r="C224" s="1" t="n">
        <v>45506</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27683-2023</t>
        </is>
      </c>
      <c r="B225" s="1" t="n">
        <v>45097</v>
      </c>
      <c r="C225" s="1" t="n">
        <v>45506</v>
      </c>
      <c r="D225" t="inlineStr">
        <is>
          <t>JÄMTLANDS LÄN</t>
        </is>
      </c>
      <c r="E225" t="inlineStr">
        <is>
          <t>RAGUNDA</t>
        </is>
      </c>
      <c r="F225" t="inlineStr">
        <is>
          <t>SCA</t>
        </is>
      </c>
      <c r="G225" t="n">
        <v>7.3</v>
      </c>
      <c r="H225" t="n">
        <v>0</v>
      </c>
      <c r="I225" t="n">
        <v>0</v>
      </c>
      <c r="J225" t="n">
        <v>1</v>
      </c>
      <c r="K225" t="n">
        <v>0</v>
      </c>
      <c r="L225" t="n">
        <v>0</v>
      </c>
      <c r="M225" t="n">
        <v>0</v>
      </c>
      <c r="N225" t="n">
        <v>0</v>
      </c>
      <c r="O225" t="n">
        <v>1</v>
      </c>
      <c r="P225" t="n">
        <v>0</v>
      </c>
      <c r="Q225" t="n">
        <v>1</v>
      </c>
      <c r="R225" s="2" t="inlineStr">
        <is>
          <t>Dvärgbägarlav</t>
        </is>
      </c>
      <c r="S225">
        <f>HYPERLINK("https://klasma.github.io/Logging_2303/artfynd/A 27683-2023 artfynd.xlsx", "A 27683-2023")</f>
        <v/>
      </c>
      <c r="T225">
        <f>HYPERLINK("https://klasma.github.io/Logging_2303/kartor/A 27683-2023 karta.png", "A 27683-2023")</f>
        <v/>
      </c>
      <c r="V225">
        <f>HYPERLINK("https://klasma.github.io/Logging_2303/klagomål/A 27683-2023 FSC-klagomål.docx", "A 27683-2023")</f>
        <v/>
      </c>
      <c r="W225">
        <f>HYPERLINK("https://klasma.github.io/Logging_2303/klagomålsmail/A 27683-2023 FSC-klagomål mail.docx", "A 27683-2023")</f>
        <v/>
      </c>
      <c r="X225">
        <f>HYPERLINK("https://klasma.github.io/Logging_2303/tillsyn/A 27683-2023 tillsynsbegäran.docx", "A 27683-2023")</f>
        <v/>
      </c>
      <c r="Y225">
        <f>HYPERLINK("https://klasma.github.io/Logging_2303/tillsynsmail/A 27683-2023 tillsynsbegäran mail.docx", "A 27683-2023")</f>
        <v/>
      </c>
    </row>
    <row r="226" ht="15" customHeight="1">
      <c r="A226" t="inlineStr">
        <is>
          <t>A 30283-2023</t>
        </is>
      </c>
      <c r="B226" s="1" t="n">
        <v>45111</v>
      </c>
      <c r="C226" s="1" t="n">
        <v>45506</v>
      </c>
      <c r="D226" t="inlineStr">
        <is>
          <t>JÄMTLANDS LÄN</t>
        </is>
      </c>
      <c r="E226" t="inlineStr">
        <is>
          <t>RAGUNDA</t>
        </is>
      </c>
      <c r="G226" t="n">
        <v>7.4</v>
      </c>
      <c r="H226" t="n">
        <v>0</v>
      </c>
      <c r="I226" t="n">
        <v>0</v>
      </c>
      <c r="J226" t="n">
        <v>1</v>
      </c>
      <c r="K226" t="n">
        <v>0</v>
      </c>
      <c r="L226" t="n">
        <v>0</v>
      </c>
      <c r="M226" t="n">
        <v>0</v>
      </c>
      <c r="N226" t="n">
        <v>0</v>
      </c>
      <c r="O226" t="n">
        <v>1</v>
      </c>
      <c r="P226" t="n">
        <v>0</v>
      </c>
      <c r="Q226" t="n">
        <v>1</v>
      </c>
      <c r="R226" s="2" t="inlineStr">
        <is>
          <t>Garnlav</t>
        </is>
      </c>
      <c r="S226">
        <f>HYPERLINK("https://klasma.github.io/Logging_2303/artfynd/A 30283-2023 artfynd.xlsx", "A 30283-2023")</f>
        <v/>
      </c>
      <c r="T226">
        <f>HYPERLINK("https://klasma.github.io/Logging_2303/kartor/A 30283-2023 karta.png", "A 30283-2023")</f>
        <v/>
      </c>
      <c r="V226">
        <f>HYPERLINK("https://klasma.github.io/Logging_2303/klagomål/A 30283-2023 FSC-klagomål.docx", "A 30283-2023")</f>
        <v/>
      </c>
      <c r="W226">
        <f>HYPERLINK("https://klasma.github.io/Logging_2303/klagomålsmail/A 30283-2023 FSC-klagomål mail.docx", "A 30283-2023")</f>
        <v/>
      </c>
      <c r="X226">
        <f>HYPERLINK("https://klasma.github.io/Logging_2303/tillsyn/A 30283-2023 tillsynsbegäran.docx", "A 30283-2023")</f>
        <v/>
      </c>
      <c r="Y226">
        <f>HYPERLINK("https://klasma.github.io/Logging_2303/tillsynsmail/A 30283-2023 tillsynsbegäran mail.docx", "A 30283-2023")</f>
        <v/>
      </c>
    </row>
    <row r="227" ht="15" customHeight="1">
      <c r="A227" t="inlineStr">
        <is>
          <t>A 35750-2023</t>
        </is>
      </c>
      <c r="B227" s="1" t="n">
        <v>45147</v>
      </c>
      <c r="C227" s="1" t="n">
        <v>45506</v>
      </c>
      <c r="D227" t="inlineStr">
        <is>
          <t>JÄMTLANDS LÄN</t>
        </is>
      </c>
      <c r="E227" t="inlineStr">
        <is>
          <t>RAGUNDA</t>
        </is>
      </c>
      <c r="F227" t="inlineStr">
        <is>
          <t>SCA</t>
        </is>
      </c>
      <c r="G227" t="n">
        <v>4.8</v>
      </c>
      <c r="H227" t="n">
        <v>0</v>
      </c>
      <c r="I227" t="n">
        <v>0</v>
      </c>
      <c r="J227" t="n">
        <v>1</v>
      </c>
      <c r="K227" t="n">
        <v>0</v>
      </c>
      <c r="L227" t="n">
        <v>0</v>
      </c>
      <c r="M227" t="n">
        <v>0</v>
      </c>
      <c r="N227" t="n">
        <v>0</v>
      </c>
      <c r="O227" t="n">
        <v>1</v>
      </c>
      <c r="P227" t="n">
        <v>0</v>
      </c>
      <c r="Q227" t="n">
        <v>1</v>
      </c>
      <c r="R227" s="2" t="inlineStr">
        <is>
          <t>Grantaggsvamp</t>
        </is>
      </c>
      <c r="S227">
        <f>HYPERLINK("https://klasma.github.io/Logging_2303/artfynd/A 35750-2023 artfynd.xlsx", "A 35750-2023")</f>
        <v/>
      </c>
      <c r="T227">
        <f>HYPERLINK("https://klasma.github.io/Logging_2303/kartor/A 35750-2023 karta.png", "A 35750-2023")</f>
        <v/>
      </c>
      <c r="V227">
        <f>HYPERLINK("https://klasma.github.io/Logging_2303/klagomål/A 35750-2023 FSC-klagomål.docx", "A 35750-2023")</f>
        <v/>
      </c>
      <c r="W227">
        <f>HYPERLINK("https://klasma.github.io/Logging_2303/klagomålsmail/A 35750-2023 FSC-klagomål mail.docx", "A 35750-2023")</f>
        <v/>
      </c>
      <c r="X227">
        <f>HYPERLINK("https://klasma.github.io/Logging_2303/tillsyn/A 35750-2023 tillsynsbegäran.docx", "A 35750-2023")</f>
        <v/>
      </c>
      <c r="Y227">
        <f>HYPERLINK("https://klasma.github.io/Logging_2303/tillsynsmail/A 35750-2023 tillsynsbegäran mail.docx", "A 35750-2023")</f>
        <v/>
      </c>
    </row>
    <row r="228" ht="15" customHeight="1">
      <c r="A228" t="inlineStr">
        <is>
          <t>A 36224-2023</t>
        </is>
      </c>
      <c r="B228" s="1" t="n">
        <v>45149</v>
      </c>
      <c r="C228" s="1" t="n">
        <v>45506</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36204-2023</t>
        </is>
      </c>
      <c r="B229" s="1" t="n">
        <v>45149</v>
      </c>
      <c r="C229" s="1" t="n">
        <v>45506</v>
      </c>
      <c r="D229" t="inlineStr">
        <is>
          <t>JÄMTLANDS LÄN</t>
        </is>
      </c>
      <c r="E229" t="inlineStr">
        <is>
          <t>RAGUNDA</t>
        </is>
      </c>
      <c r="F229" t="inlineStr">
        <is>
          <t>SCA</t>
        </is>
      </c>
      <c r="G229" t="n">
        <v>5.1</v>
      </c>
      <c r="H229" t="n">
        <v>0</v>
      </c>
      <c r="I229" t="n">
        <v>0</v>
      </c>
      <c r="J229" t="n">
        <v>1</v>
      </c>
      <c r="K229" t="n">
        <v>0</v>
      </c>
      <c r="L229" t="n">
        <v>0</v>
      </c>
      <c r="M229" t="n">
        <v>0</v>
      </c>
      <c r="N229" t="n">
        <v>0</v>
      </c>
      <c r="O229" t="n">
        <v>1</v>
      </c>
      <c r="P229" t="n">
        <v>0</v>
      </c>
      <c r="Q229" t="n">
        <v>1</v>
      </c>
      <c r="R229" s="2" t="inlineStr">
        <is>
          <t>Rosenticka</t>
        </is>
      </c>
      <c r="S229">
        <f>HYPERLINK("https://klasma.github.io/Logging_2303/artfynd/A 36204-2023 artfynd.xlsx", "A 36204-2023")</f>
        <v/>
      </c>
      <c r="T229">
        <f>HYPERLINK("https://klasma.github.io/Logging_2303/kartor/A 36204-2023 karta.png", "A 36204-2023")</f>
        <v/>
      </c>
      <c r="V229">
        <f>HYPERLINK("https://klasma.github.io/Logging_2303/klagomål/A 36204-2023 FSC-klagomål.docx", "A 36204-2023")</f>
        <v/>
      </c>
      <c r="W229">
        <f>HYPERLINK("https://klasma.github.io/Logging_2303/klagomålsmail/A 36204-2023 FSC-klagomål mail.docx", "A 36204-2023")</f>
        <v/>
      </c>
      <c r="X229">
        <f>HYPERLINK("https://klasma.github.io/Logging_2303/tillsyn/A 36204-2023 tillsynsbegäran.docx", "A 36204-2023")</f>
        <v/>
      </c>
      <c r="Y229">
        <f>HYPERLINK("https://klasma.github.io/Logging_2303/tillsynsmail/A 36204-2023 tillsynsbegäran mail.docx", "A 36204-2023")</f>
        <v/>
      </c>
    </row>
    <row r="230" ht="15" customHeight="1">
      <c r="A230" t="inlineStr">
        <is>
          <t>A 36225-2023</t>
        </is>
      </c>
      <c r="B230" s="1" t="n">
        <v>45149</v>
      </c>
      <c r="C230" s="1" t="n">
        <v>45506</v>
      </c>
      <c r="D230" t="inlineStr">
        <is>
          <t>JÄMTLANDS LÄN</t>
        </is>
      </c>
      <c r="E230" t="inlineStr">
        <is>
          <t>RAGUNDA</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HYPERLINK("https://klasma.github.io/Logging_2303/artfynd/A 36225-2023 artfynd.xlsx", "A 36225-2023")</f>
        <v/>
      </c>
      <c r="T230">
        <f>HYPERLINK("https://klasma.github.io/Logging_2303/kartor/A 36225-2023 karta.png", "A 36225-2023")</f>
        <v/>
      </c>
      <c r="V230">
        <f>HYPERLINK("https://klasma.github.io/Logging_2303/klagomål/A 36225-2023 FSC-klagomål.docx", "A 36225-2023")</f>
        <v/>
      </c>
      <c r="W230">
        <f>HYPERLINK("https://klasma.github.io/Logging_2303/klagomålsmail/A 36225-2023 FSC-klagomål mail.docx", "A 36225-2023")</f>
        <v/>
      </c>
      <c r="X230">
        <f>HYPERLINK("https://klasma.github.io/Logging_2303/tillsyn/A 36225-2023 tillsynsbegäran.docx", "A 36225-2023")</f>
        <v/>
      </c>
      <c r="Y230">
        <f>HYPERLINK("https://klasma.github.io/Logging_2303/tillsynsmail/A 36225-2023 tillsynsbegäran mail.docx", "A 36225-2023")</f>
        <v/>
      </c>
    </row>
    <row r="231" ht="15" customHeight="1">
      <c r="A231" t="inlineStr">
        <is>
          <t>A 36758-2023</t>
        </is>
      </c>
      <c r="B231" s="1" t="n">
        <v>45153</v>
      </c>
      <c r="C231" s="1" t="n">
        <v>45506</v>
      </c>
      <c r="D231" t="inlineStr">
        <is>
          <t>JÄMTLANDS LÄN</t>
        </is>
      </c>
      <c r="E231" t="inlineStr">
        <is>
          <t>RAGUNDA</t>
        </is>
      </c>
      <c r="G231" t="n">
        <v>6</v>
      </c>
      <c r="H231" t="n">
        <v>0</v>
      </c>
      <c r="I231" t="n">
        <v>0</v>
      </c>
      <c r="J231" t="n">
        <v>1</v>
      </c>
      <c r="K231" t="n">
        <v>0</v>
      </c>
      <c r="L231" t="n">
        <v>0</v>
      </c>
      <c r="M231" t="n">
        <v>0</v>
      </c>
      <c r="N231" t="n">
        <v>0</v>
      </c>
      <c r="O231" t="n">
        <v>1</v>
      </c>
      <c r="P231" t="n">
        <v>0</v>
      </c>
      <c r="Q231" t="n">
        <v>1</v>
      </c>
      <c r="R231" s="2" t="inlineStr">
        <is>
          <t>Lunglav</t>
        </is>
      </c>
      <c r="S231">
        <f>HYPERLINK("https://klasma.github.io/Logging_2303/artfynd/A 36758-2023 artfynd.xlsx", "A 36758-2023")</f>
        <v/>
      </c>
      <c r="T231">
        <f>HYPERLINK("https://klasma.github.io/Logging_2303/kartor/A 36758-2023 karta.png", "A 36758-2023")</f>
        <v/>
      </c>
      <c r="V231">
        <f>HYPERLINK("https://klasma.github.io/Logging_2303/klagomål/A 36758-2023 FSC-klagomål.docx", "A 36758-2023")</f>
        <v/>
      </c>
      <c r="W231">
        <f>HYPERLINK("https://klasma.github.io/Logging_2303/klagomålsmail/A 36758-2023 FSC-klagomål mail.docx", "A 36758-2023")</f>
        <v/>
      </c>
      <c r="X231">
        <f>HYPERLINK("https://klasma.github.io/Logging_2303/tillsyn/A 36758-2023 tillsynsbegäran.docx", "A 36758-2023")</f>
        <v/>
      </c>
      <c r="Y231">
        <f>HYPERLINK("https://klasma.github.io/Logging_2303/tillsynsmail/A 36758-2023 tillsynsbegäran mail.docx", "A 36758-2023")</f>
        <v/>
      </c>
    </row>
    <row r="232" ht="15" customHeight="1">
      <c r="A232" t="inlineStr">
        <is>
          <t>A 36757-2023</t>
        </is>
      </c>
      <c r="B232" s="1" t="n">
        <v>45153</v>
      </c>
      <c r="C232" s="1" t="n">
        <v>45506</v>
      </c>
      <c r="D232" t="inlineStr">
        <is>
          <t>JÄMTLANDS LÄN</t>
        </is>
      </c>
      <c r="E232" t="inlineStr">
        <is>
          <t>RAGUNDA</t>
        </is>
      </c>
      <c r="G232" t="n">
        <v>0.7</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36757-2023 artfynd.xlsx", "A 36757-2023")</f>
        <v/>
      </c>
      <c r="T232">
        <f>HYPERLINK("https://klasma.github.io/Logging_2303/kartor/A 36757-2023 karta.png", "A 36757-2023")</f>
        <v/>
      </c>
      <c r="V232">
        <f>HYPERLINK("https://klasma.github.io/Logging_2303/klagomål/A 36757-2023 FSC-klagomål.docx", "A 36757-2023")</f>
        <v/>
      </c>
      <c r="W232">
        <f>HYPERLINK("https://klasma.github.io/Logging_2303/klagomålsmail/A 36757-2023 FSC-klagomål mail.docx", "A 36757-2023")</f>
        <v/>
      </c>
      <c r="X232">
        <f>HYPERLINK("https://klasma.github.io/Logging_2303/tillsyn/A 36757-2023 tillsynsbegäran.docx", "A 36757-2023")</f>
        <v/>
      </c>
      <c r="Y232">
        <f>HYPERLINK("https://klasma.github.io/Logging_2303/tillsynsmail/A 36757-2023 tillsynsbegäran mail.docx", "A 36757-2023")</f>
        <v/>
      </c>
      <c r="Z232">
        <f>HYPERLINK("https://klasma.github.io/Logging_2303/fåglar/A 36757-2023 prioriterade fågelarter.docx", "A 36757-2023")</f>
        <v/>
      </c>
    </row>
    <row r="233" ht="15" customHeight="1">
      <c r="A233" t="inlineStr">
        <is>
          <t>A 36854-2023</t>
        </is>
      </c>
      <c r="B233" s="1" t="n">
        <v>45153</v>
      </c>
      <c r="C233" s="1" t="n">
        <v>45506</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45506</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37234-2023</t>
        </is>
      </c>
      <c r="B235" s="1" t="n">
        <v>45155</v>
      </c>
      <c r="C235" s="1" t="n">
        <v>45506</v>
      </c>
      <c r="D235" t="inlineStr">
        <is>
          <t>JÄMTLANDS LÄN</t>
        </is>
      </c>
      <c r="E235" t="inlineStr">
        <is>
          <t>RAGUNDA</t>
        </is>
      </c>
      <c r="F235" t="inlineStr">
        <is>
          <t>SCA</t>
        </is>
      </c>
      <c r="G235" t="n">
        <v>7.5</v>
      </c>
      <c r="H235" t="n">
        <v>1</v>
      </c>
      <c r="I235" t="n">
        <v>0</v>
      </c>
      <c r="J235" t="n">
        <v>0</v>
      </c>
      <c r="K235" t="n">
        <v>1</v>
      </c>
      <c r="L235" t="n">
        <v>0</v>
      </c>
      <c r="M235" t="n">
        <v>0</v>
      </c>
      <c r="N235" t="n">
        <v>0</v>
      </c>
      <c r="O235" t="n">
        <v>1</v>
      </c>
      <c r="P235" t="n">
        <v>1</v>
      </c>
      <c r="Q235" t="n">
        <v>1</v>
      </c>
      <c r="R235" s="2" t="inlineStr">
        <is>
          <t>Knärot</t>
        </is>
      </c>
      <c r="S235">
        <f>HYPERLINK("https://klasma.github.io/Logging_2303/artfynd/A 37234-2023 artfynd.xlsx", "A 37234-2023")</f>
        <v/>
      </c>
      <c r="T235">
        <f>HYPERLINK("https://klasma.github.io/Logging_2303/kartor/A 37234-2023 karta.png", "A 37234-2023")</f>
        <v/>
      </c>
      <c r="U235">
        <f>HYPERLINK("https://klasma.github.io/Logging_2303/knärot/A 37234-2023 karta knärot.png", "A 37234-2023")</f>
        <v/>
      </c>
      <c r="V235">
        <f>HYPERLINK("https://klasma.github.io/Logging_2303/klagomål/A 37234-2023 FSC-klagomål.docx", "A 37234-2023")</f>
        <v/>
      </c>
      <c r="W235">
        <f>HYPERLINK("https://klasma.github.io/Logging_2303/klagomålsmail/A 37234-2023 FSC-klagomål mail.docx", "A 37234-2023")</f>
        <v/>
      </c>
      <c r="X235">
        <f>HYPERLINK("https://klasma.github.io/Logging_2303/tillsyn/A 37234-2023 tillsynsbegäran.docx", "A 37234-2023")</f>
        <v/>
      </c>
      <c r="Y235">
        <f>HYPERLINK("https://klasma.github.io/Logging_2303/tillsynsmail/A 37234-2023 tillsynsbegäran mail.docx", "A 37234-2023")</f>
        <v/>
      </c>
    </row>
    <row r="236" ht="15" customHeight="1">
      <c r="A236" t="inlineStr">
        <is>
          <t>A 43404-2023</t>
        </is>
      </c>
      <c r="B236" s="1" t="n">
        <v>45183</v>
      </c>
      <c r="C236" s="1" t="n">
        <v>45506</v>
      </c>
      <c r="D236" t="inlineStr">
        <is>
          <t>JÄMTLANDS LÄN</t>
        </is>
      </c>
      <c r="E236" t="inlineStr">
        <is>
          <t>RAGUNDA</t>
        </is>
      </c>
      <c r="F236" t="inlineStr">
        <is>
          <t>SCA</t>
        </is>
      </c>
      <c r="G236" t="n">
        <v>0.9</v>
      </c>
      <c r="H236" t="n">
        <v>0</v>
      </c>
      <c r="I236" t="n">
        <v>1</v>
      </c>
      <c r="J236" t="n">
        <v>0</v>
      </c>
      <c r="K236" t="n">
        <v>0</v>
      </c>
      <c r="L236" t="n">
        <v>0</v>
      </c>
      <c r="M236" t="n">
        <v>0</v>
      </c>
      <c r="N236" t="n">
        <v>0</v>
      </c>
      <c r="O236" t="n">
        <v>0</v>
      </c>
      <c r="P236" t="n">
        <v>0</v>
      </c>
      <c r="Q236" t="n">
        <v>1</v>
      </c>
      <c r="R236" s="2" t="inlineStr">
        <is>
          <t>Kryddspindling</t>
        </is>
      </c>
      <c r="S236">
        <f>HYPERLINK("https://klasma.github.io/Logging_2303/artfynd/A 43404-2023 artfynd.xlsx", "A 43404-2023")</f>
        <v/>
      </c>
      <c r="T236">
        <f>HYPERLINK("https://klasma.github.io/Logging_2303/kartor/A 43404-2023 karta.png", "A 43404-2023")</f>
        <v/>
      </c>
      <c r="V236">
        <f>HYPERLINK("https://klasma.github.io/Logging_2303/klagomål/A 43404-2023 FSC-klagomål.docx", "A 43404-2023")</f>
        <v/>
      </c>
      <c r="W236">
        <f>HYPERLINK("https://klasma.github.io/Logging_2303/klagomålsmail/A 43404-2023 FSC-klagomål mail.docx", "A 43404-2023")</f>
        <v/>
      </c>
      <c r="X236">
        <f>HYPERLINK("https://klasma.github.io/Logging_2303/tillsyn/A 43404-2023 tillsynsbegäran.docx", "A 43404-2023")</f>
        <v/>
      </c>
      <c r="Y236">
        <f>HYPERLINK("https://klasma.github.io/Logging_2303/tillsynsmail/A 43404-2023 tillsynsbegäran mail.docx", "A 43404-2023")</f>
        <v/>
      </c>
    </row>
    <row r="237" ht="15" customHeight="1">
      <c r="A237" t="inlineStr">
        <is>
          <t>A 48429-2023</t>
        </is>
      </c>
      <c r="B237" s="1" t="n">
        <v>45205</v>
      </c>
      <c r="C237" s="1" t="n">
        <v>45506</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48429-2023 artfynd.xlsx", "A 48429-2023")</f>
        <v/>
      </c>
      <c r="T237">
        <f>HYPERLINK("https://klasma.github.io/Logging_2303/kartor/A 48429-2023 karta.png", "A 48429-2023")</f>
        <v/>
      </c>
      <c r="V237">
        <f>HYPERLINK("https://klasma.github.io/Logging_2303/klagomål/A 48429-2023 FSC-klagomål.docx", "A 48429-2023")</f>
        <v/>
      </c>
      <c r="W237">
        <f>HYPERLINK("https://klasma.github.io/Logging_2303/klagomålsmail/A 48429-2023 FSC-klagomål mail.docx", "A 48429-2023")</f>
        <v/>
      </c>
      <c r="X237">
        <f>HYPERLINK("https://klasma.github.io/Logging_2303/tillsyn/A 48429-2023 tillsynsbegäran.docx", "A 48429-2023")</f>
        <v/>
      </c>
      <c r="Y237">
        <f>HYPERLINK("https://klasma.github.io/Logging_2303/tillsynsmail/A 48429-2023 tillsynsbegäran mail.docx", "A 48429-2023")</f>
        <v/>
      </c>
    </row>
    <row r="238" ht="15" customHeight="1">
      <c r="A238" t="inlineStr">
        <is>
          <t>A 48477-2023</t>
        </is>
      </c>
      <c r="B238" s="1" t="n">
        <v>45206</v>
      </c>
      <c r="C238" s="1" t="n">
        <v>45506</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50164-2023</t>
        </is>
      </c>
      <c r="B239" s="1" t="n">
        <v>45208</v>
      </c>
      <c r="C239" s="1" t="n">
        <v>45506</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53947-2023</t>
        </is>
      </c>
      <c r="B240" s="1" t="n">
        <v>45225</v>
      </c>
      <c r="C240" s="1" t="n">
        <v>45506</v>
      </c>
      <c r="D240" t="inlineStr">
        <is>
          <t>JÄMTLANDS LÄN</t>
        </is>
      </c>
      <c r="E240" t="inlineStr">
        <is>
          <t>RAGUNDA</t>
        </is>
      </c>
      <c r="G240" t="n">
        <v>4.4</v>
      </c>
      <c r="H240" t="n">
        <v>1</v>
      </c>
      <c r="I240" t="n">
        <v>0</v>
      </c>
      <c r="J240" t="n">
        <v>0</v>
      </c>
      <c r="K240" t="n">
        <v>0</v>
      </c>
      <c r="L240" t="n">
        <v>0</v>
      </c>
      <c r="M240" t="n">
        <v>0</v>
      </c>
      <c r="N240" t="n">
        <v>0</v>
      </c>
      <c r="O240" t="n">
        <v>0</v>
      </c>
      <c r="P240" t="n">
        <v>0</v>
      </c>
      <c r="Q240" t="n">
        <v>1</v>
      </c>
      <c r="R240" s="2" t="inlineStr">
        <is>
          <t>Nattviol</t>
        </is>
      </c>
      <c r="S240">
        <f>HYPERLINK("https://klasma.github.io/Logging_2303/artfynd/A 53947-2023 artfynd.xlsx", "A 53947-2023")</f>
        <v/>
      </c>
      <c r="T240">
        <f>HYPERLINK("https://klasma.github.io/Logging_2303/kartor/A 53947-2023 karta.png", "A 53947-2023")</f>
        <v/>
      </c>
      <c r="V240">
        <f>HYPERLINK("https://klasma.github.io/Logging_2303/klagomål/A 53947-2023 FSC-klagomål.docx", "A 53947-2023")</f>
        <v/>
      </c>
      <c r="W240">
        <f>HYPERLINK("https://klasma.github.io/Logging_2303/klagomålsmail/A 53947-2023 FSC-klagomål mail.docx", "A 53947-2023")</f>
        <v/>
      </c>
      <c r="X240">
        <f>HYPERLINK("https://klasma.github.io/Logging_2303/tillsyn/A 53947-2023 tillsynsbegäran.docx", "A 53947-2023")</f>
        <v/>
      </c>
      <c r="Y240">
        <f>HYPERLINK("https://klasma.github.io/Logging_2303/tillsynsmail/A 53947-2023 tillsynsbegäran mail.docx", "A 53947-2023")</f>
        <v/>
      </c>
    </row>
    <row r="241" ht="15" customHeight="1">
      <c r="A241" t="inlineStr">
        <is>
          <t>A 56283-2023</t>
        </is>
      </c>
      <c r="B241" s="1" t="n">
        <v>45241</v>
      </c>
      <c r="C241" s="1" t="n">
        <v>45506</v>
      </c>
      <c r="D241" t="inlineStr">
        <is>
          <t>JÄMTLANDS LÄN</t>
        </is>
      </c>
      <c r="E241" t="inlineStr">
        <is>
          <t>RAGUNDA</t>
        </is>
      </c>
      <c r="F241" t="inlineStr">
        <is>
          <t>SCA</t>
        </is>
      </c>
      <c r="G241" t="n">
        <v>7.4</v>
      </c>
      <c r="H241" t="n">
        <v>1</v>
      </c>
      <c r="I241" t="n">
        <v>0</v>
      </c>
      <c r="J241" t="n">
        <v>0</v>
      </c>
      <c r="K241" t="n">
        <v>1</v>
      </c>
      <c r="L241" t="n">
        <v>0</v>
      </c>
      <c r="M241" t="n">
        <v>0</v>
      </c>
      <c r="N241" t="n">
        <v>0</v>
      </c>
      <c r="O241" t="n">
        <v>1</v>
      </c>
      <c r="P241" t="n">
        <v>1</v>
      </c>
      <c r="Q241" t="n">
        <v>1</v>
      </c>
      <c r="R241" s="2" t="inlineStr">
        <is>
          <t>Doftticka</t>
        </is>
      </c>
      <c r="S241">
        <f>HYPERLINK("https://klasma.github.io/Logging_2303/artfynd/A 56283-2023 artfynd.xlsx", "A 56283-2023")</f>
        <v/>
      </c>
      <c r="T241">
        <f>HYPERLINK("https://klasma.github.io/Logging_2303/kartor/A 56283-2023 karta.png", "A 56283-2023")</f>
        <v/>
      </c>
      <c r="V241">
        <f>HYPERLINK("https://klasma.github.io/Logging_2303/klagomål/A 56283-2023 FSC-klagomål.docx", "A 56283-2023")</f>
        <v/>
      </c>
      <c r="W241">
        <f>HYPERLINK("https://klasma.github.io/Logging_2303/klagomålsmail/A 56283-2023 FSC-klagomål mail.docx", "A 56283-2023")</f>
        <v/>
      </c>
      <c r="X241">
        <f>HYPERLINK("https://klasma.github.io/Logging_2303/tillsyn/A 56283-2023 tillsynsbegäran.docx", "A 56283-2023")</f>
        <v/>
      </c>
      <c r="Y241">
        <f>HYPERLINK("https://klasma.github.io/Logging_2303/tillsynsmail/A 56283-2023 tillsynsbegäran mail.docx", "A 56283-2023")</f>
        <v/>
      </c>
    </row>
    <row r="242" ht="15" customHeight="1">
      <c r="A242" t="inlineStr">
        <is>
          <t>A 59104-2023</t>
        </is>
      </c>
      <c r="B242" s="1" t="n">
        <v>45253</v>
      </c>
      <c r="C242" s="1" t="n">
        <v>45506</v>
      </c>
      <c r="D242" t="inlineStr">
        <is>
          <t>JÄMTLANDS LÄN</t>
        </is>
      </c>
      <c r="E242" t="inlineStr">
        <is>
          <t>RAGUNDA</t>
        </is>
      </c>
      <c r="F242" t="inlineStr">
        <is>
          <t>SCA</t>
        </is>
      </c>
      <c r="G242" t="n">
        <v>4.2</v>
      </c>
      <c r="H242" t="n">
        <v>0</v>
      </c>
      <c r="I242" t="n">
        <v>0</v>
      </c>
      <c r="J242" t="n">
        <v>1</v>
      </c>
      <c r="K242" t="n">
        <v>0</v>
      </c>
      <c r="L242" t="n">
        <v>0</v>
      </c>
      <c r="M242" t="n">
        <v>0</v>
      </c>
      <c r="N242" t="n">
        <v>0</v>
      </c>
      <c r="O242" t="n">
        <v>1</v>
      </c>
      <c r="P242" t="n">
        <v>0</v>
      </c>
      <c r="Q242" t="n">
        <v>1</v>
      </c>
      <c r="R242" s="2" t="inlineStr">
        <is>
          <t>Ullticka</t>
        </is>
      </c>
      <c r="S242">
        <f>HYPERLINK("https://klasma.github.io/Logging_2303/artfynd/A 59104-2023 artfynd.xlsx", "A 59104-2023")</f>
        <v/>
      </c>
      <c r="T242">
        <f>HYPERLINK("https://klasma.github.io/Logging_2303/kartor/A 59104-2023 karta.png", "A 59104-2023")</f>
        <v/>
      </c>
      <c r="V242">
        <f>HYPERLINK("https://klasma.github.io/Logging_2303/klagomål/A 59104-2023 FSC-klagomål.docx", "A 59104-2023")</f>
        <v/>
      </c>
      <c r="W242">
        <f>HYPERLINK("https://klasma.github.io/Logging_2303/klagomålsmail/A 59104-2023 FSC-klagomål mail.docx", "A 59104-2023")</f>
        <v/>
      </c>
      <c r="X242">
        <f>HYPERLINK("https://klasma.github.io/Logging_2303/tillsyn/A 59104-2023 tillsynsbegäran.docx", "A 59104-2023")</f>
        <v/>
      </c>
      <c r="Y242">
        <f>HYPERLINK("https://klasma.github.io/Logging_2303/tillsynsmail/A 59104-2023 tillsynsbegäran mail.docx", "A 59104-2023")</f>
        <v/>
      </c>
    </row>
    <row r="243" ht="15" customHeight="1">
      <c r="A243" t="inlineStr">
        <is>
          <t>A 61505-2023</t>
        </is>
      </c>
      <c r="B243" s="1" t="n">
        <v>45264</v>
      </c>
      <c r="C243" s="1" t="n">
        <v>45506</v>
      </c>
      <c r="D243" t="inlineStr">
        <is>
          <t>JÄMTLANDS LÄN</t>
        </is>
      </c>
      <c r="E243" t="inlineStr">
        <is>
          <t>RAGUNDA</t>
        </is>
      </c>
      <c r="F243" t="inlineStr">
        <is>
          <t>SCA</t>
        </is>
      </c>
      <c r="G243" t="n">
        <v>38.3</v>
      </c>
      <c r="H243" t="n">
        <v>1</v>
      </c>
      <c r="I243" t="n">
        <v>0</v>
      </c>
      <c r="J243" t="n">
        <v>1</v>
      </c>
      <c r="K243" t="n">
        <v>0</v>
      </c>
      <c r="L243" t="n">
        <v>0</v>
      </c>
      <c r="M243" t="n">
        <v>0</v>
      </c>
      <c r="N243" t="n">
        <v>0</v>
      </c>
      <c r="O243" t="n">
        <v>1</v>
      </c>
      <c r="P243" t="n">
        <v>0</v>
      </c>
      <c r="Q243" t="n">
        <v>1</v>
      </c>
      <c r="R243" s="2" t="inlineStr">
        <is>
          <t>Järpe</t>
        </is>
      </c>
      <c r="S243">
        <f>HYPERLINK("https://klasma.github.io/Logging_2303/artfynd/A 61505-2023 artfynd.xlsx", "A 61505-2023")</f>
        <v/>
      </c>
      <c r="T243">
        <f>HYPERLINK("https://klasma.github.io/Logging_2303/kartor/A 61505-2023 karta.png", "A 61505-2023")</f>
        <v/>
      </c>
      <c r="V243">
        <f>HYPERLINK("https://klasma.github.io/Logging_2303/klagomål/A 61505-2023 FSC-klagomål.docx", "A 61505-2023")</f>
        <v/>
      </c>
      <c r="W243">
        <f>HYPERLINK("https://klasma.github.io/Logging_2303/klagomålsmail/A 61505-2023 FSC-klagomål mail.docx", "A 61505-2023")</f>
        <v/>
      </c>
      <c r="X243">
        <f>HYPERLINK("https://klasma.github.io/Logging_2303/tillsyn/A 61505-2023 tillsynsbegäran.docx", "A 61505-2023")</f>
        <v/>
      </c>
      <c r="Y243">
        <f>HYPERLINK("https://klasma.github.io/Logging_2303/tillsynsmail/A 61505-2023 tillsynsbegäran mail.docx", "A 61505-2023")</f>
        <v/>
      </c>
      <c r="Z243">
        <f>HYPERLINK("https://klasma.github.io/Logging_2303/fåglar/A 61505-2023 prioriterade fågelarter.docx", "A 61505-2023")</f>
        <v/>
      </c>
    </row>
    <row r="244" ht="15" customHeight="1">
      <c r="A244" t="inlineStr">
        <is>
          <t>A 62072-2023</t>
        </is>
      </c>
      <c r="B244" s="1" t="n">
        <v>45266</v>
      </c>
      <c r="C244" s="1" t="n">
        <v>45506</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978-2024</t>
        </is>
      </c>
      <c r="B245" s="1" t="n">
        <v>45301</v>
      </c>
      <c r="C245" s="1" t="n">
        <v>45506</v>
      </c>
      <c r="D245" t="inlineStr">
        <is>
          <t>JÄMTLANDS LÄN</t>
        </is>
      </c>
      <c r="E245" t="inlineStr">
        <is>
          <t>RAGUNDA</t>
        </is>
      </c>
      <c r="G245" t="n">
        <v>3.1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978-2024 artfynd.xlsx", "A 978-2024")</f>
        <v/>
      </c>
      <c r="T245">
        <f>HYPERLINK("https://klasma.github.io/Logging_2303/kartor/A 978-2024 karta.png", "A 978-2024")</f>
        <v/>
      </c>
      <c r="V245">
        <f>HYPERLINK("https://klasma.github.io/Logging_2303/klagomål/A 978-2024 FSC-klagomål.docx", "A 978-2024")</f>
        <v/>
      </c>
      <c r="W245">
        <f>HYPERLINK("https://klasma.github.io/Logging_2303/klagomålsmail/A 978-2024 FSC-klagomål mail.docx", "A 978-2024")</f>
        <v/>
      </c>
      <c r="X245">
        <f>HYPERLINK("https://klasma.github.io/Logging_2303/tillsyn/A 978-2024 tillsynsbegäran.docx", "A 978-2024")</f>
        <v/>
      </c>
      <c r="Y245">
        <f>HYPERLINK("https://klasma.github.io/Logging_2303/tillsynsmail/A 978-2024 tillsynsbegäran mail.docx", "A 978-2024")</f>
        <v/>
      </c>
      <c r="Z245">
        <f>HYPERLINK("https://klasma.github.io/Logging_2303/fåglar/A 978-2024 prioriterade fågelarter.docx", "A 978-2024")</f>
        <v/>
      </c>
    </row>
    <row r="246" ht="15" customHeight="1">
      <c r="A246" t="inlineStr">
        <is>
          <t>A 1057-2024</t>
        </is>
      </c>
      <c r="B246" s="1" t="n">
        <v>45301</v>
      </c>
      <c r="C246" s="1" t="n">
        <v>45506</v>
      </c>
      <c r="D246" t="inlineStr">
        <is>
          <t>JÄMTLANDS LÄN</t>
        </is>
      </c>
      <c r="E246" t="inlineStr">
        <is>
          <t>RAGUNDA</t>
        </is>
      </c>
      <c r="F246" t="inlineStr">
        <is>
          <t>SCA</t>
        </is>
      </c>
      <c r="G246" t="n">
        <v>6.8</v>
      </c>
      <c r="H246" t="n">
        <v>0</v>
      </c>
      <c r="I246" t="n">
        <v>1</v>
      </c>
      <c r="J246" t="n">
        <v>0</v>
      </c>
      <c r="K246" t="n">
        <v>0</v>
      </c>
      <c r="L246" t="n">
        <v>0</v>
      </c>
      <c r="M246" t="n">
        <v>0</v>
      </c>
      <c r="N246" t="n">
        <v>0</v>
      </c>
      <c r="O246" t="n">
        <v>0</v>
      </c>
      <c r="P246" t="n">
        <v>0</v>
      </c>
      <c r="Q246" t="n">
        <v>1</v>
      </c>
      <c r="R246" s="2" t="inlineStr">
        <is>
          <t>Stor aspticka</t>
        </is>
      </c>
      <c r="S246">
        <f>HYPERLINK("https://klasma.github.io/Logging_2303/artfynd/A 1057-2024 artfynd.xlsx", "A 1057-2024")</f>
        <v/>
      </c>
      <c r="T246">
        <f>HYPERLINK("https://klasma.github.io/Logging_2303/kartor/A 1057-2024 karta.png", "A 1057-2024")</f>
        <v/>
      </c>
      <c r="V246">
        <f>HYPERLINK("https://klasma.github.io/Logging_2303/klagomål/A 1057-2024 FSC-klagomål.docx", "A 1057-2024")</f>
        <v/>
      </c>
      <c r="W246">
        <f>HYPERLINK("https://klasma.github.io/Logging_2303/klagomålsmail/A 1057-2024 FSC-klagomål mail.docx", "A 1057-2024")</f>
        <v/>
      </c>
      <c r="X246">
        <f>HYPERLINK("https://klasma.github.io/Logging_2303/tillsyn/A 1057-2024 tillsynsbegäran.docx", "A 1057-2024")</f>
        <v/>
      </c>
      <c r="Y246">
        <f>HYPERLINK("https://klasma.github.io/Logging_2303/tillsynsmail/A 1057-2024 tillsynsbegäran mail.docx", "A 1057-2024")</f>
        <v/>
      </c>
    </row>
    <row r="247" ht="15" customHeight="1">
      <c r="A247" t="inlineStr">
        <is>
          <t>A 2929-2024</t>
        </is>
      </c>
      <c r="B247" s="1" t="n">
        <v>45315</v>
      </c>
      <c r="C247" s="1" t="n">
        <v>45506</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6703-2024</t>
        </is>
      </c>
      <c r="B248" s="1" t="n">
        <v>45341</v>
      </c>
      <c r="C248" s="1" t="n">
        <v>45506</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Vitgrynig nållav</t>
        </is>
      </c>
      <c r="S248">
        <f>HYPERLINK("https://klasma.github.io/Logging_2303/artfynd/A 6703-2024 artfynd.xlsx", "A 6703-2024")</f>
        <v/>
      </c>
      <c r="T248">
        <f>HYPERLINK("https://klasma.github.io/Logging_2303/kartor/A 6703-2024 karta.png", "A 6703-2024")</f>
        <v/>
      </c>
      <c r="V248">
        <f>HYPERLINK("https://klasma.github.io/Logging_2303/klagomål/A 6703-2024 FSC-klagomål.docx", "A 6703-2024")</f>
        <v/>
      </c>
      <c r="W248">
        <f>HYPERLINK("https://klasma.github.io/Logging_2303/klagomålsmail/A 6703-2024 FSC-klagomål mail.docx", "A 6703-2024")</f>
        <v/>
      </c>
      <c r="X248">
        <f>HYPERLINK("https://klasma.github.io/Logging_2303/tillsyn/A 6703-2024 tillsynsbegäran.docx", "A 6703-2024")</f>
        <v/>
      </c>
      <c r="Y248">
        <f>HYPERLINK("https://klasma.github.io/Logging_2303/tillsynsmail/A 6703-2024 tillsynsbegäran mail.docx", "A 6703-2024")</f>
        <v/>
      </c>
    </row>
    <row r="249" ht="15" customHeight="1">
      <c r="A249" t="inlineStr">
        <is>
          <t>A 12584-2024</t>
        </is>
      </c>
      <c r="B249" s="1" t="n">
        <v>45379</v>
      </c>
      <c r="C249" s="1" t="n">
        <v>45506</v>
      </c>
      <c r="D249" t="inlineStr">
        <is>
          <t>JÄMTLANDS LÄN</t>
        </is>
      </c>
      <c r="E249" t="inlineStr">
        <is>
          <t>RAGUNDA</t>
        </is>
      </c>
      <c r="F249" t="inlineStr">
        <is>
          <t>SCA</t>
        </is>
      </c>
      <c r="G249" t="n">
        <v>1.3</v>
      </c>
      <c r="H249" t="n">
        <v>0</v>
      </c>
      <c r="I249" t="n">
        <v>0</v>
      </c>
      <c r="J249" t="n">
        <v>0</v>
      </c>
      <c r="K249" t="n">
        <v>1</v>
      </c>
      <c r="L249" t="n">
        <v>0</v>
      </c>
      <c r="M249" t="n">
        <v>0</v>
      </c>
      <c r="N249" t="n">
        <v>0</v>
      </c>
      <c r="O249" t="n">
        <v>1</v>
      </c>
      <c r="P249" t="n">
        <v>1</v>
      </c>
      <c r="Q249" t="n">
        <v>1</v>
      </c>
      <c r="R249" s="2" t="inlineStr">
        <is>
          <t>Rynkskinn</t>
        </is>
      </c>
      <c r="S249">
        <f>HYPERLINK("https://klasma.github.io/Logging_2303/artfynd/A 12584-2024 artfynd.xlsx", "A 12584-2024")</f>
        <v/>
      </c>
      <c r="T249">
        <f>HYPERLINK("https://klasma.github.io/Logging_2303/kartor/A 12584-2024 karta.png", "A 12584-2024")</f>
        <v/>
      </c>
      <c r="V249">
        <f>HYPERLINK("https://klasma.github.io/Logging_2303/klagomål/A 12584-2024 FSC-klagomål.docx", "A 12584-2024")</f>
        <v/>
      </c>
      <c r="W249">
        <f>HYPERLINK("https://klasma.github.io/Logging_2303/klagomålsmail/A 12584-2024 FSC-klagomål mail.docx", "A 12584-2024")</f>
        <v/>
      </c>
      <c r="X249">
        <f>HYPERLINK("https://klasma.github.io/Logging_2303/tillsyn/A 12584-2024 tillsynsbegäran.docx", "A 12584-2024")</f>
        <v/>
      </c>
      <c r="Y249">
        <f>HYPERLINK("https://klasma.github.io/Logging_2303/tillsynsmail/A 12584-2024 tillsynsbegäran mail.docx", "A 12584-2024")</f>
        <v/>
      </c>
    </row>
    <row r="250" ht="15" customHeight="1">
      <c r="A250" t="inlineStr">
        <is>
          <t>A 18609-2024</t>
        </is>
      </c>
      <c r="B250" s="1" t="n">
        <v>45426</v>
      </c>
      <c r="C250" s="1" t="n">
        <v>45506</v>
      </c>
      <c r="D250" t="inlineStr">
        <is>
          <t>JÄMTLANDS LÄN</t>
        </is>
      </c>
      <c r="E250" t="inlineStr">
        <is>
          <t>RAGUNDA</t>
        </is>
      </c>
      <c r="F250" t="inlineStr">
        <is>
          <t>SCA</t>
        </is>
      </c>
      <c r="G250" t="n">
        <v>1.2</v>
      </c>
      <c r="H250" t="n">
        <v>0</v>
      </c>
      <c r="I250" t="n">
        <v>0</v>
      </c>
      <c r="J250" t="n">
        <v>1</v>
      </c>
      <c r="K250" t="n">
        <v>0</v>
      </c>
      <c r="L250" t="n">
        <v>0</v>
      </c>
      <c r="M250" t="n">
        <v>0</v>
      </c>
      <c r="N250" t="n">
        <v>0</v>
      </c>
      <c r="O250" t="n">
        <v>1</v>
      </c>
      <c r="P250" t="n">
        <v>0</v>
      </c>
      <c r="Q250" t="n">
        <v>1</v>
      </c>
      <c r="R250" s="2" t="inlineStr">
        <is>
          <t>Ullticka</t>
        </is>
      </c>
      <c r="S250">
        <f>HYPERLINK("https://klasma.github.io/Logging_2303/artfynd/A 18609-2024 artfynd.xlsx", "A 18609-2024")</f>
        <v/>
      </c>
      <c r="T250">
        <f>HYPERLINK("https://klasma.github.io/Logging_2303/kartor/A 18609-2024 karta.png", "A 18609-2024")</f>
        <v/>
      </c>
      <c r="V250">
        <f>HYPERLINK("https://klasma.github.io/Logging_2303/klagomål/A 18609-2024 FSC-klagomål.docx", "A 18609-2024")</f>
        <v/>
      </c>
      <c r="W250">
        <f>HYPERLINK("https://klasma.github.io/Logging_2303/klagomålsmail/A 18609-2024 FSC-klagomål mail.docx", "A 18609-2024")</f>
        <v/>
      </c>
      <c r="X250">
        <f>HYPERLINK("https://klasma.github.io/Logging_2303/tillsyn/A 18609-2024 tillsynsbegäran.docx", "A 18609-2024")</f>
        <v/>
      </c>
      <c r="Y250">
        <f>HYPERLINK("https://klasma.github.io/Logging_2303/tillsynsmail/A 18609-2024 tillsynsbegäran mail.docx", "A 18609-2024")</f>
        <v/>
      </c>
    </row>
    <row r="251" ht="15" customHeight="1">
      <c r="A251" t="inlineStr">
        <is>
          <t>A 18774-2024</t>
        </is>
      </c>
      <c r="B251" s="1" t="n">
        <v>45426</v>
      </c>
      <c r="C251" s="1" t="n">
        <v>45506</v>
      </c>
      <c r="D251" t="inlineStr">
        <is>
          <t>JÄMTLANDS LÄN</t>
        </is>
      </c>
      <c r="E251" t="inlineStr">
        <is>
          <t>RAGUNDA</t>
        </is>
      </c>
      <c r="G251" t="n">
        <v>20.2</v>
      </c>
      <c r="H251" t="n">
        <v>0</v>
      </c>
      <c r="I251" t="n">
        <v>1</v>
      </c>
      <c r="J251" t="n">
        <v>0</v>
      </c>
      <c r="K251" t="n">
        <v>0</v>
      </c>
      <c r="L251" t="n">
        <v>0</v>
      </c>
      <c r="M251" t="n">
        <v>0</v>
      </c>
      <c r="N251" t="n">
        <v>0</v>
      </c>
      <c r="O251" t="n">
        <v>0</v>
      </c>
      <c r="P251" t="n">
        <v>0</v>
      </c>
      <c r="Q251" t="n">
        <v>1</v>
      </c>
      <c r="R251" s="2" t="inlineStr">
        <is>
          <t>Svart trolldruva</t>
        </is>
      </c>
      <c r="S251">
        <f>HYPERLINK("https://klasma.github.io/Logging_2303/artfynd/A 18774-2024 artfynd.xlsx", "A 18774-2024")</f>
        <v/>
      </c>
      <c r="T251">
        <f>HYPERLINK("https://klasma.github.io/Logging_2303/kartor/A 18774-2024 karta.png", "A 18774-2024")</f>
        <v/>
      </c>
      <c r="V251">
        <f>HYPERLINK("https://klasma.github.io/Logging_2303/klagomål/A 18774-2024 FSC-klagomål.docx", "A 18774-2024")</f>
        <v/>
      </c>
      <c r="W251">
        <f>HYPERLINK("https://klasma.github.io/Logging_2303/klagomålsmail/A 18774-2024 FSC-klagomål mail.docx", "A 18774-2024")</f>
        <v/>
      </c>
      <c r="X251">
        <f>HYPERLINK("https://klasma.github.io/Logging_2303/tillsyn/A 18774-2024 tillsynsbegäran.docx", "A 18774-2024")</f>
        <v/>
      </c>
      <c r="Y251">
        <f>HYPERLINK("https://klasma.github.io/Logging_2303/tillsynsmail/A 18774-2024 tillsynsbegäran mail.docx", "A 18774-2024")</f>
        <v/>
      </c>
    </row>
    <row r="252" ht="15" customHeight="1">
      <c r="A252" t="inlineStr">
        <is>
          <t>A 20553-2024</t>
        </is>
      </c>
      <c r="B252" s="1" t="n">
        <v>45436</v>
      </c>
      <c r="C252" s="1" t="n">
        <v>45506</v>
      </c>
      <c r="D252" t="inlineStr">
        <is>
          <t>JÄMTLANDS LÄN</t>
        </is>
      </c>
      <c r="E252" t="inlineStr">
        <is>
          <t>RAGUNDA</t>
        </is>
      </c>
      <c r="G252" t="n">
        <v>11.1</v>
      </c>
      <c r="H252" t="n">
        <v>0</v>
      </c>
      <c r="I252" t="n">
        <v>0</v>
      </c>
      <c r="J252" t="n">
        <v>1</v>
      </c>
      <c r="K252" t="n">
        <v>0</v>
      </c>
      <c r="L252" t="n">
        <v>0</v>
      </c>
      <c r="M252" t="n">
        <v>0</v>
      </c>
      <c r="N252" t="n">
        <v>0</v>
      </c>
      <c r="O252" t="n">
        <v>1</v>
      </c>
      <c r="P252" t="n">
        <v>0</v>
      </c>
      <c r="Q252" t="n">
        <v>1</v>
      </c>
      <c r="R252" s="2" t="inlineStr">
        <is>
          <t>Rosenticka</t>
        </is>
      </c>
      <c r="S252">
        <f>HYPERLINK("https://klasma.github.io/Logging_2303/artfynd/A 20553-2024 artfynd.xlsx", "A 20553-2024")</f>
        <v/>
      </c>
      <c r="T252">
        <f>HYPERLINK("https://klasma.github.io/Logging_2303/kartor/A 20553-2024 karta.png", "A 20553-2024")</f>
        <v/>
      </c>
      <c r="U252">
        <f>HYPERLINK("https://klasma.github.io/Logging_2303/knärot/A 20553-2024 karta knärot.png", "A 20553-2024")</f>
        <v/>
      </c>
      <c r="V252">
        <f>HYPERLINK("https://klasma.github.io/Logging_2303/klagomål/A 20553-2024 FSC-klagomål.docx", "A 20553-2024")</f>
        <v/>
      </c>
      <c r="W252">
        <f>HYPERLINK("https://klasma.github.io/Logging_2303/klagomålsmail/A 20553-2024 FSC-klagomål mail.docx", "A 20553-2024")</f>
        <v/>
      </c>
      <c r="X252">
        <f>HYPERLINK("https://klasma.github.io/Logging_2303/tillsyn/A 20553-2024 tillsynsbegäran.docx", "A 20553-2024")</f>
        <v/>
      </c>
      <c r="Y252">
        <f>HYPERLINK("https://klasma.github.io/Logging_2303/tillsynsmail/A 20553-2024 tillsynsbegäran mail.docx", "A 20553-2024")</f>
        <v/>
      </c>
    </row>
    <row r="253" ht="15" customHeight="1">
      <c r="A253" t="inlineStr">
        <is>
          <t>A 23930-2024</t>
        </is>
      </c>
      <c r="B253" s="1" t="n">
        <v>45456</v>
      </c>
      <c r="C253" s="1" t="n">
        <v>45506</v>
      </c>
      <c r="D253" t="inlineStr">
        <is>
          <t>JÄMTLANDS LÄN</t>
        </is>
      </c>
      <c r="E253" t="inlineStr">
        <is>
          <t>RAGUNDA</t>
        </is>
      </c>
      <c r="F253" t="inlineStr">
        <is>
          <t>SCA</t>
        </is>
      </c>
      <c r="G253" t="n">
        <v>4.2</v>
      </c>
      <c r="H253" t="n">
        <v>1</v>
      </c>
      <c r="I253" t="n">
        <v>1</v>
      </c>
      <c r="J253" t="n">
        <v>0</v>
      </c>
      <c r="K253" t="n">
        <v>0</v>
      </c>
      <c r="L253" t="n">
        <v>0</v>
      </c>
      <c r="M253" t="n">
        <v>0</v>
      </c>
      <c r="N253" t="n">
        <v>0</v>
      </c>
      <c r="O253" t="n">
        <v>0</v>
      </c>
      <c r="P253" t="n">
        <v>0</v>
      </c>
      <c r="Q253" t="n">
        <v>1</v>
      </c>
      <c r="R253" s="2" t="inlineStr">
        <is>
          <t>Guckusko</t>
        </is>
      </c>
      <c r="S253">
        <f>HYPERLINK("https://klasma.github.io/Logging_2303/artfynd/A 23930-2024 artfynd.xlsx", "A 23930-2024")</f>
        <v/>
      </c>
      <c r="T253">
        <f>HYPERLINK("https://klasma.github.io/Logging_2303/kartor/A 23930-2024 karta.png", "A 23930-2024")</f>
        <v/>
      </c>
      <c r="V253">
        <f>HYPERLINK("https://klasma.github.io/Logging_2303/klagomål/A 23930-2024 FSC-klagomål.docx", "A 23930-2024")</f>
        <v/>
      </c>
      <c r="W253">
        <f>HYPERLINK("https://klasma.github.io/Logging_2303/klagomålsmail/A 23930-2024 FSC-klagomål mail.docx", "A 23930-2024")</f>
        <v/>
      </c>
      <c r="X253">
        <f>HYPERLINK("https://klasma.github.io/Logging_2303/tillsyn/A 23930-2024 tillsynsbegäran.docx", "A 23930-2024")</f>
        <v/>
      </c>
      <c r="Y253">
        <f>HYPERLINK("https://klasma.github.io/Logging_2303/tillsynsmail/A 23930-2024 tillsynsbegäran mail.docx", "A 23930-2024")</f>
        <v/>
      </c>
    </row>
    <row r="254" ht="15" customHeight="1">
      <c r="A254" t="inlineStr">
        <is>
          <t>A 24443-2024</t>
        </is>
      </c>
      <c r="B254" s="1" t="n">
        <v>45458</v>
      </c>
      <c r="C254" s="1" t="n">
        <v>45506</v>
      </c>
      <c r="D254" t="inlineStr">
        <is>
          <t>JÄMTLANDS LÄN</t>
        </is>
      </c>
      <c r="E254" t="inlineStr">
        <is>
          <t>RAGUNDA</t>
        </is>
      </c>
      <c r="F254" t="inlineStr">
        <is>
          <t>SCA</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HYPERLINK("https://klasma.github.io/Logging_2303/artfynd/A 24443-2024 artfynd.xlsx", "A 24443-2024")</f>
        <v/>
      </c>
      <c r="T254">
        <f>HYPERLINK("https://klasma.github.io/Logging_2303/kartor/A 24443-2024 karta.png", "A 24443-2024")</f>
        <v/>
      </c>
      <c r="U254">
        <f>HYPERLINK("https://klasma.github.io/Logging_2303/knärot/A 24443-2024 karta knärot.png", "A 24443-2024")</f>
        <v/>
      </c>
      <c r="V254">
        <f>HYPERLINK("https://klasma.github.io/Logging_2303/klagomål/A 24443-2024 FSC-klagomål.docx", "A 24443-2024")</f>
        <v/>
      </c>
      <c r="W254">
        <f>HYPERLINK("https://klasma.github.io/Logging_2303/klagomålsmail/A 24443-2024 FSC-klagomål mail.docx", "A 24443-2024")</f>
        <v/>
      </c>
      <c r="X254">
        <f>HYPERLINK("https://klasma.github.io/Logging_2303/tillsyn/A 24443-2024 tillsynsbegäran.docx", "A 24443-2024")</f>
        <v/>
      </c>
      <c r="Y254">
        <f>HYPERLINK("https://klasma.github.io/Logging_2303/tillsynsmail/A 24443-2024 tillsynsbegäran mail.docx", "A 24443-2024")</f>
        <v/>
      </c>
    </row>
    <row r="255" ht="15" customHeight="1">
      <c r="A255" t="inlineStr">
        <is>
          <t>A 26317-2024</t>
        </is>
      </c>
      <c r="B255" s="1" t="n">
        <v>45468</v>
      </c>
      <c r="C255" s="1" t="n">
        <v>45506</v>
      </c>
      <c r="D255" t="inlineStr">
        <is>
          <t>JÄMTLANDS LÄN</t>
        </is>
      </c>
      <c r="E255" t="inlineStr">
        <is>
          <t>RAGUNDA</t>
        </is>
      </c>
      <c r="F255" t="inlineStr">
        <is>
          <t>SCA</t>
        </is>
      </c>
      <c r="G255" t="n">
        <v>3.8</v>
      </c>
      <c r="H255" t="n">
        <v>0</v>
      </c>
      <c r="I255" t="n">
        <v>0</v>
      </c>
      <c r="J255" t="n">
        <v>1</v>
      </c>
      <c r="K255" t="n">
        <v>0</v>
      </c>
      <c r="L255" t="n">
        <v>0</v>
      </c>
      <c r="M255" t="n">
        <v>0</v>
      </c>
      <c r="N255" t="n">
        <v>0</v>
      </c>
      <c r="O255" t="n">
        <v>1</v>
      </c>
      <c r="P255" t="n">
        <v>0</v>
      </c>
      <c r="Q255" t="n">
        <v>1</v>
      </c>
      <c r="R255" s="2" t="inlineStr">
        <is>
          <t>Kortskaftad ärgspik</t>
        </is>
      </c>
      <c r="S255">
        <f>HYPERLINK("https://klasma.github.io/Logging_2303/artfynd/A 26317-2024 artfynd.xlsx", "A 26317-2024")</f>
        <v/>
      </c>
      <c r="T255">
        <f>HYPERLINK("https://klasma.github.io/Logging_2303/kartor/A 26317-2024 karta.png", "A 26317-2024")</f>
        <v/>
      </c>
      <c r="V255">
        <f>HYPERLINK("https://klasma.github.io/Logging_2303/klagomål/A 26317-2024 FSC-klagomål.docx", "A 26317-2024")</f>
        <v/>
      </c>
      <c r="W255">
        <f>HYPERLINK("https://klasma.github.io/Logging_2303/klagomålsmail/A 26317-2024 FSC-klagomål mail.docx", "A 26317-2024")</f>
        <v/>
      </c>
      <c r="X255">
        <f>HYPERLINK("https://klasma.github.io/Logging_2303/tillsyn/A 26317-2024 tillsynsbegäran.docx", "A 26317-2024")</f>
        <v/>
      </c>
      <c r="Y255">
        <f>HYPERLINK("https://klasma.github.io/Logging_2303/tillsynsmail/A 26317-2024 tillsynsbegäran mail.docx", "A 26317-2024")</f>
        <v/>
      </c>
    </row>
    <row r="256" ht="15" customHeight="1">
      <c r="A256" t="inlineStr">
        <is>
          <t>A 26322-2024</t>
        </is>
      </c>
      <c r="B256" s="1" t="n">
        <v>45469</v>
      </c>
      <c r="C256" s="1" t="n">
        <v>45506</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28071-2024</t>
        </is>
      </c>
      <c r="B257" s="1" t="n">
        <v>45476</v>
      </c>
      <c r="C257" s="1" t="n">
        <v>45506</v>
      </c>
      <c r="D257" t="inlineStr">
        <is>
          <t>JÄMTLANDS LÄN</t>
        </is>
      </c>
      <c r="E257" t="inlineStr">
        <is>
          <t>RAGUNDA</t>
        </is>
      </c>
      <c r="G257" t="n">
        <v>14.6</v>
      </c>
      <c r="H257" t="n">
        <v>1</v>
      </c>
      <c r="I257" t="n">
        <v>1</v>
      </c>
      <c r="J257" t="n">
        <v>0</v>
      </c>
      <c r="K257" t="n">
        <v>0</v>
      </c>
      <c r="L257" t="n">
        <v>0</v>
      </c>
      <c r="M257" t="n">
        <v>0</v>
      </c>
      <c r="N257" t="n">
        <v>0</v>
      </c>
      <c r="O257" t="n">
        <v>0</v>
      </c>
      <c r="P257" t="n">
        <v>0</v>
      </c>
      <c r="Q257" t="n">
        <v>1</v>
      </c>
      <c r="R257" s="2" t="inlineStr">
        <is>
          <t>Guckusko</t>
        </is>
      </c>
      <c r="S257">
        <f>HYPERLINK("https://klasma.github.io/Logging_2303/artfynd/A 28071-2024 artfynd.xlsx", "A 28071-2024")</f>
        <v/>
      </c>
      <c r="T257">
        <f>HYPERLINK("https://klasma.github.io/Logging_2303/kartor/A 28071-2024 karta.png", "A 28071-2024")</f>
        <v/>
      </c>
      <c r="V257">
        <f>HYPERLINK("https://klasma.github.io/Logging_2303/klagomål/A 28071-2024 FSC-klagomål.docx", "A 28071-2024")</f>
        <v/>
      </c>
      <c r="W257">
        <f>HYPERLINK("https://klasma.github.io/Logging_2303/klagomålsmail/A 28071-2024 FSC-klagomål mail.docx", "A 28071-2024")</f>
        <v/>
      </c>
      <c r="X257">
        <f>HYPERLINK("https://klasma.github.io/Logging_2303/tillsyn/A 28071-2024 tillsynsbegäran.docx", "A 28071-2024")</f>
        <v/>
      </c>
      <c r="Y257">
        <f>HYPERLINK("https://klasma.github.io/Logging_2303/tillsynsmail/A 28071-2024 tillsynsbegäran mail.docx", "A 28071-2024")</f>
        <v/>
      </c>
    </row>
    <row r="258" ht="15" customHeight="1">
      <c r="A258" t="inlineStr">
        <is>
          <t>A 29245-2024</t>
        </is>
      </c>
      <c r="B258" s="1" t="n">
        <v>45483</v>
      </c>
      <c r="C258" s="1" t="n">
        <v>45506</v>
      </c>
      <c r="D258" t="inlineStr">
        <is>
          <t>JÄMTLANDS LÄN</t>
        </is>
      </c>
      <c r="E258" t="inlineStr">
        <is>
          <t>RAGUNDA</t>
        </is>
      </c>
      <c r="F258" t="inlineStr">
        <is>
          <t>SCA</t>
        </is>
      </c>
      <c r="G258" t="n">
        <v>2.9</v>
      </c>
      <c r="H258" t="n">
        <v>1</v>
      </c>
      <c r="I258" t="n">
        <v>0</v>
      </c>
      <c r="J258" t="n">
        <v>0</v>
      </c>
      <c r="K258" t="n">
        <v>1</v>
      </c>
      <c r="L258" t="n">
        <v>0</v>
      </c>
      <c r="M258" t="n">
        <v>0</v>
      </c>
      <c r="N258" t="n">
        <v>0</v>
      </c>
      <c r="O258" t="n">
        <v>1</v>
      </c>
      <c r="P258" t="n">
        <v>1</v>
      </c>
      <c r="Q258" t="n">
        <v>1</v>
      </c>
      <c r="R258" s="2" t="inlineStr">
        <is>
          <t>Doftticka</t>
        </is>
      </c>
      <c r="S258">
        <f>HYPERLINK("https://klasma.github.io/Logging_2303/artfynd/A 29245-2024 artfynd.xlsx", "A 29245-2024")</f>
        <v/>
      </c>
      <c r="T258">
        <f>HYPERLINK("https://klasma.github.io/Logging_2303/kartor/A 29245-2024 karta.png", "A 29245-2024")</f>
        <v/>
      </c>
      <c r="V258">
        <f>HYPERLINK("https://klasma.github.io/Logging_2303/klagomål/A 29245-2024 FSC-klagomål.docx", "A 29245-2024")</f>
        <v/>
      </c>
      <c r="W258">
        <f>HYPERLINK("https://klasma.github.io/Logging_2303/klagomålsmail/A 29245-2024 FSC-klagomål mail.docx", "A 29245-2024")</f>
        <v/>
      </c>
      <c r="X258">
        <f>HYPERLINK("https://klasma.github.io/Logging_2303/tillsyn/A 29245-2024 tillsynsbegäran.docx", "A 29245-2024")</f>
        <v/>
      </c>
      <c r="Y258">
        <f>HYPERLINK("https://klasma.github.io/Logging_2303/tillsynsmail/A 29245-2024 tillsynsbegäran mail.docx", "A 29245-2024")</f>
        <v/>
      </c>
    </row>
    <row r="259" ht="15" customHeight="1">
      <c r="A259" t="inlineStr">
        <is>
          <t>A 29256-2024</t>
        </is>
      </c>
      <c r="B259" s="1" t="n">
        <v>45483</v>
      </c>
      <c r="C259" s="1" t="n">
        <v>45506</v>
      </c>
      <c r="D259" t="inlineStr">
        <is>
          <t>JÄMTLANDS LÄN</t>
        </is>
      </c>
      <c r="E259" t="inlineStr">
        <is>
          <t>RAGUNDA</t>
        </is>
      </c>
      <c r="F259" t="inlineStr">
        <is>
          <t>SCA</t>
        </is>
      </c>
      <c r="G259" t="n">
        <v>3</v>
      </c>
      <c r="H259" t="n">
        <v>0</v>
      </c>
      <c r="I259" t="n">
        <v>0</v>
      </c>
      <c r="J259" t="n">
        <v>1</v>
      </c>
      <c r="K259" t="n">
        <v>0</v>
      </c>
      <c r="L259" t="n">
        <v>0</v>
      </c>
      <c r="M259" t="n">
        <v>0</v>
      </c>
      <c r="N259" t="n">
        <v>0</v>
      </c>
      <c r="O259" t="n">
        <v>1</v>
      </c>
      <c r="P259" t="n">
        <v>0</v>
      </c>
      <c r="Q259" t="n">
        <v>1</v>
      </c>
      <c r="R259" s="2" t="inlineStr">
        <is>
          <t>Garnlav</t>
        </is>
      </c>
      <c r="S259">
        <f>HYPERLINK("https://klasma.github.io/Logging_2303/artfynd/A 29256-2024 artfynd.xlsx", "A 29256-2024")</f>
        <v/>
      </c>
      <c r="T259">
        <f>HYPERLINK("https://klasma.github.io/Logging_2303/kartor/A 29256-2024 karta.png", "A 29256-2024")</f>
        <v/>
      </c>
      <c r="V259">
        <f>HYPERLINK("https://klasma.github.io/Logging_2303/klagomål/A 29256-2024 FSC-klagomål.docx", "A 29256-2024")</f>
        <v/>
      </c>
      <c r="W259">
        <f>HYPERLINK("https://klasma.github.io/Logging_2303/klagomålsmail/A 29256-2024 FSC-klagomål mail.docx", "A 29256-2024")</f>
        <v/>
      </c>
      <c r="X259">
        <f>HYPERLINK("https://klasma.github.io/Logging_2303/tillsyn/A 29256-2024 tillsynsbegäran.docx", "A 29256-2024")</f>
        <v/>
      </c>
      <c r="Y259">
        <f>HYPERLINK("https://klasma.github.io/Logging_2303/tillsynsmail/A 29256-2024 tillsynsbegäran mail.docx", "A 29256-2024")</f>
        <v/>
      </c>
    </row>
    <row r="260" ht="15" customHeight="1">
      <c r="A260" t="inlineStr">
        <is>
          <t>A 29921-2024</t>
        </is>
      </c>
      <c r="B260" s="1" t="n">
        <v>45488</v>
      </c>
      <c r="C260" s="1" t="n">
        <v>45506</v>
      </c>
      <c r="D260" t="inlineStr">
        <is>
          <t>JÄMTLANDS LÄN</t>
        </is>
      </c>
      <c r="E260" t="inlineStr">
        <is>
          <t>RAGUNDA</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HYPERLINK("https://klasma.github.io/Logging_2303/artfynd/A 29921-2024 artfynd.xlsx", "A 29921-2024")</f>
        <v/>
      </c>
      <c r="T260">
        <f>HYPERLINK("https://klasma.github.io/Logging_2303/kartor/A 29921-2024 karta.png", "A 29921-2024")</f>
        <v/>
      </c>
      <c r="U260">
        <f>HYPERLINK("https://klasma.github.io/Logging_2303/knärot/A 29921-2024 karta knärot.png", "A 29921-2024")</f>
        <v/>
      </c>
      <c r="V260">
        <f>HYPERLINK("https://klasma.github.io/Logging_2303/klagomål/A 29921-2024 FSC-klagomål.docx", "A 29921-2024")</f>
        <v/>
      </c>
      <c r="W260">
        <f>HYPERLINK("https://klasma.github.io/Logging_2303/klagomålsmail/A 29921-2024 FSC-klagomål mail.docx", "A 29921-2024")</f>
        <v/>
      </c>
      <c r="X260">
        <f>HYPERLINK("https://klasma.github.io/Logging_2303/tillsyn/A 29921-2024 tillsynsbegäran.docx", "A 29921-2024")</f>
        <v/>
      </c>
      <c r="Y260">
        <f>HYPERLINK("https://klasma.github.io/Logging_2303/tillsynsmail/A 29921-2024 tillsynsbegäran mail.docx", "A 29921-2024")</f>
        <v/>
      </c>
    </row>
    <row r="261" ht="15" customHeight="1">
      <c r="A261" t="inlineStr">
        <is>
          <t>A 30470-2024</t>
        </is>
      </c>
      <c r="B261" s="1" t="n">
        <v>45492</v>
      </c>
      <c r="C261" s="1" t="n">
        <v>45506</v>
      </c>
      <c r="D261" t="inlineStr">
        <is>
          <t>JÄMTLANDS LÄN</t>
        </is>
      </c>
      <c r="E261" t="inlineStr">
        <is>
          <t>RAGUNDA</t>
        </is>
      </c>
      <c r="F261" t="inlineStr">
        <is>
          <t>SCA</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HYPERLINK("https://klasma.github.io/Logging_2303/artfynd/A 30470-2024 artfynd.xlsx", "A 30470-2024")</f>
        <v/>
      </c>
      <c r="T261">
        <f>HYPERLINK("https://klasma.github.io/Logging_2303/kartor/A 30470-2024 karta.png", "A 30470-2024")</f>
        <v/>
      </c>
      <c r="U261">
        <f>HYPERLINK("https://klasma.github.io/Logging_2303/knärot/A 30470-2024 karta knärot.png", "A 30470-2024")</f>
        <v/>
      </c>
      <c r="V261">
        <f>HYPERLINK("https://klasma.github.io/Logging_2303/klagomål/A 30470-2024 FSC-klagomål.docx", "A 30470-2024")</f>
        <v/>
      </c>
      <c r="W261">
        <f>HYPERLINK("https://klasma.github.io/Logging_2303/klagomålsmail/A 30470-2024 FSC-klagomål mail.docx", "A 30470-2024")</f>
        <v/>
      </c>
      <c r="X261">
        <f>HYPERLINK("https://klasma.github.io/Logging_2303/tillsyn/A 30470-2024 tillsynsbegäran.docx", "A 30470-2024")</f>
        <v/>
      </c>
      <c r="Y261">
        <f>HYPERLINK("https://klasma.github.io/Logging_2303/tillsynsmail/A 30470-2024 tillsynsbegäran mail.docx", "A 30470-2024")</f>
        <v/>
      </c>
    </row>
    <row r="262" ht="15" customHeight="1">
      <c r="A262" t="inlineStr">
        <is>
          <t>A 30485-2024</t>
        </is>
      </c>
      <c r="B262" s="1" t="n">
        <v>45492</v>
      </c>
      <c r="C262" s="1" t="n">
        <v>45506</v>
      </c>
      <c r="D262" t="inlineStr">
        <is>
          <t>JÄMTLANDS LÄN</t>
        </is>
      </c>
      <c r="E262" t="inlineStr">
        <is>
          <t>RAGUNDA</t>
        </is>
      </c>
      <c r="F262" t="inlineStr">
        <is>
          <t>SCA</t>
        </is>
      </c>
      <c r="G262" t="n">
        <v>2</v>
      </c>
      <c r="H262" t="n">
        <v>0</v>
      </c>
      <c r="I262" t="n">
        <v>0</v>
      </c>
      <c r="J262" t="n">
        <v>1</v>
      </c>
      <c r="K262" t="n">
        <v>0</v>
      </c>
      <c r="L262" t="n">
        <v>0</v>
      </c>
      <c r="M262" t="n">
        <v>0</v>
      </c>
      <c r="N262" t="n">
        <v>0</v>
      </c>
      <c r="O262" t="n">
        <v>1</v>
      </c>
      <c r="P262" t="n">
        <v>0</v>
      </c>
      <c r="Q262" t="n">
        <v>1</v>
      </c>
      <c r="R262" s="2" t="inlineStr">
        <is>
          <t>Garnlav</t>
        </is>
      </c>
      <c r="S262">
        <f>HYPERLINK("https://klasma.github.io/Logging_2303/artfynd/A 30485-2024 artfynd.xlsx", "A 30485-2024")</f>
        <v/>
      </c>
      <c r="T262">
        <f>HYPERLINK("https://klasma.github.io/Logging_2303/kartor/A 30485-2024 karta.png", "A 30485-2024")</f>
        <v/>
      </c>
      <c r="V262">
        <f>HYPERLINK("https://klasma.github.io/Logging_2303/klagomål/A 30485-2024 FSC-klagomål.docx", "A 30485-2024")</f>
        <v/>
      </c>
      <c r="W262">
        <f>HYPERLINK("https://klasma.github.io/Logging_2303/klagomålsmail/A 30485-2024 FSC-klagomål mail.docx", "A 30485-2024")</f>
        <v/>
      </c>
      <c r="X262">
        <f>HYPERLINK("https://klasma.github.io/Logging_2303/tillsyn/A 30485-2024 tillsynsbegäran.docx", "A 30485-2024")</f>
        <v/>
      </c>
      <c r="Y262">
        <f>HYPERLINK("https://klasma.github.io/Logging_2303/tillsynsmail/A 30485-2024 tillsynsbegäran mail.docx", "A 30485-2024")</f>
        <v/>
      </c>
    </row>
    <row r="263" ht="15" customHeight="1">
      <c r="A263" t="inlineStr">
        <is>
          <t>A 19077-2019</t>
        </is>
      </c>
      <c r="B263" s="1" t="n">
        <v>43563</v>
      </c>
      <c r="C263" s="1" t="n">
        <v>45506</v>
      </c>
      <c r="D263" t="inlineStr">
        <is>
          <t>JÄMTLANDS LÄN</t>
        </is>
      </c>
      <c r="E263" t="inlineStr">
        <is>
          <t>RAGUNDA</t>
        </is>
      </c>
      <c r="G263" t="n">
        <v>11.5</v>
      </c>
      <c r="H263" t="n">
        <v>0</v>
      </c>
      <c r="I263" t="n">
        <v>0</v>
      </c>
      <c r="J263" t="n">
        <v>0</v>
      </c>
      <c r="K263" t="n">
        <v>0</v>
      </c>
      <c r="L263" t="n">
        <v>0</v>
      </c>
      <c r="M263" t="n">
        <v>0</v>
      </c>
      <c r="N263" t="n">
        <v>0</v>
      </c>
      <c r="O263" t="n">
        <v>0</v>
      </c>
      <c r="P263" t="n">
        <v>0</v>
      </c>
      <c r="Q263" t="n">
        <v>0</v>
      </c>
      <c r="R263" s="2" t="inlineStr"/>
    </row>
    <row r="264" ht="15" customHeight="1">
      <c r="A264" t="inlineStr">
        <is>
          <t>A 19543-2019</t>
        </is>
      </c>
      <c r="B264" s="1" t="n">
        <v>43565</v>
      </c>
      <c r="C264" s="1" t="n">
        <v>45506</v>
      </c>
      <c r="D264" t="inlineStr">
        <is>
          <t>JÄMTLANDS LÄN</t>
        </is>
      </c>
      <c r="E264" t="inlineStr">
        <is>
          <t>RAGUNDA</t>
        </is>
      </c>
      <c r="G264" t="n">
        <v>2.3</v>
      </c>
      <c r="H264" t="n">
        <v>0</v>
      </c>
      <c r="I264" t="n">
        <v>0</v>
      </c>
      <c r="J264" t="n">
        <v>0</v>
      </c>
      <c r="K264" t="n">
        <v>0</v>
      </c>
      <c r="L264" t="n">
        <v>0</v>
      </c>
      <c r="M264" t="n">
        <v>0</v>
      </c>
      <c r="N264" t="n">
        <v>0</v>
      </c>
      <c r="O264" t="n">
        <v>0</v>
      </c>
      <c r="P264" t="n">
        <v>0</v>
      </c>
      <c r="Q264" t="n">
        <v>0</v>
      </c>
      <c r="R264" s="2" t="inlineStr"/>
    </row>
    <row r="265" ht="15" customHeight="1">
      <c r="A265" t="inlineStr">
        <is>
          <t>A 21122-2019</t>
        </is>
      </c>
      <c r="B265" s="1" t="n">
        <v>43578</v>
      </c>
      <c r="C265" s="1" t="n">
        <v>45506</v>
      </c>
      <c r="D265" t="inlineStr">
        <is>
          <t>JÄMTLANDS LÄN</t>
        </is>
      </c>
      <c r="E265" t="inlineStr">
        <is>
          <t>RAGUNDA</t>
        </is>
      </c>
      <c r="F265" t="inlineStr">
        <is>
          <t>SCA</t>
        </is>
      </c>
      <c r="G265" t="n">
        <v>72.09999999999999</v>
      </c>
      <c r="H265" t="n">
        <v>0</v>
      </c>
      <c r="I265" t="n">
        <v>0</v>
      </c>
      <c r="J265" t="n">
        <v>0</v>
      </c>
      <c r="K265" t="n">
        <v>0</v>
      </c>
      <c r="L265" t="n">
        <v>0</v>
      </c>
      <c r="M265" t="n">
        <v>0</v>
      </c>
      <c r="N265" t="n">
        <v>0</v>
      </c>
      <c r="O265" t="n">
        <v>0</v>
      </c>
      <c r="P265" t="n">
        <v>0</v>
      </c>
      <c r="Q265" t="n">
        <v>0</v>
      </c>
      <c r="R265" s="2" t="inlineStr"/>
    </row>
    <row r="266" ht="15" customHeight="1">
      <c r="A266" t="inlineStr">
        <is>
          <t>A 21914-2019</t>
        </is>
      </c>
      <c r="B266" s="1" t="n">
        <v>43584</v>
      </c>
      <c r="C266" s="1" t="n">
        <v>45506</v>
      </c>
      <c r="D266" t="inlineStr">
        <is>
          <t>JÄMTLANDS LÄN</t>
        </is>
      </c>
      <c r="E266" t="inlineStr">
        <is>
          <t>RAGUNDA</t>
        </is>
      </c>
      <c r="G266" t="n">
        <v>3.1</v>
      </c>
      <c r="H266" t="n">
        <v>0</v>
      </c>
      <c r="I266" t="n">
        <v>0</v>
      </c>
      <c r="J266" t="n">
        <v>0</v>
      </c>
      <c r="K266" t="n">
        <v>0</v>
      </c>
      <c r="L266" t="n">
        <v>0</v>
      </c>
      <c r="M266" t="n">
        <v>0</v>
      </c>
      <c r="N266" t="n">
        <v>0</v>
      </c>
      <c r="O266" t="n">
        <v>0</v>
      </c>
      <c r="P266" t="n">
        <v>0</v>
      </c>
      <c r="Q266" t="n">
        <v>0</v>
      </c>
      <c r="R266" s="2" t="inlineStr"/>
    </row>
    <row r="267" ht="15" customHeight="1">
      <c r="A267" t="inlineStr">
        <is>
          <t>A 22799-2019</t>
        </is>
      </c>
      <c r="B267" s="1" t="n">
        <v>43589</v>
      </c>
      <c r="C267" s="1" t="n">
        <v>45506</v>
      </c>
      <c r="D267" t="inlineStr">
        <is>
          <t>JÄMTLANDS LÄN</t>
        </is>
      </c>
      <c r="E267" t="inlineStr">
        <is>
          <t>RAGUNDA</t>
        </is>
      </c>
      <c r="G267" t="n">
        <v>0.5</v>
      </c>
      <c r="H267" t="n">
        <v>0</v>
      </c>
      <c r="I267" t="n">
        <v>0</v>
      </c>
      <c r="J267" t="n">
        <v>0</v>
      </c>
      <c r="K267" t="n">
        <v>0</v>
      </c>
      <c r="L267" t="n">
        <v>0</v>
      </c>
      <c r="M267" t="n">
        <v>0</v>
      </c>
      <c r="N267" t="n">
        <v>0</v>
      </c>
      <c r="O267" t="n">
        <v>0</v>
      </c>
      <c r="P267" t="n">
        <v>0</v>
      </c>
      <c r="Q267" t="n">
        <v>0</v>
      </c>
      <c r="R267" s="2" t="inlineStr"/>
    </row>
    <row r="268" ht="15" customHeight="1">
      <c r="A268" t="inlineStr">
        <is>
          <t>A 23740-2019</t>
        </is>
      </c>
      <c r="B268" s="1" t="n">
        <v>43594</v>
      </c>
      <c r="C268" s="1" t="n">
        <v>45506</v>
      </c>
      <c r="D268" t="inlineStr">
        <is>
          <t>JÄMTLANDS LÄN</t>
        </is>
      </c>
      <c r="E268" t="inlineStr">
        <is>
          <t>RAGUNDA</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23821-2019</t>
        </is>
      </c>
      <c r="B269" s="1" t="n">
        <v>43594</v>
      </c>
      <c r="C269" s="1" t="n">
        <v>45506</v>
      </c>
      <c r="D269" t="inlineStr">
        <is>
          <t>JÄMTLANDS LÄN</t>
        </is>
      </c>
      <c r="E269" t="inlineStr">
        <is>
          <t>RAGUNDA</t>
        </is>
      </c>
      <c r="G269" t="n">
        <v>0.9</v>
      </c>
      <c r="H269" t="n">
        <v>0</v>
      </c>
      <c r="I269" t="n">
        <v>0</v>
      </c>
      <c r="J269" t="n">
        <v>0</v>
      </c>
      <c r="K269" t="n">
        <v>0</v>
      </c>
      <c r="L269" t="n">
        <v>0</v>
      </c>
      <c r="M269" t="n">
        <v>0</v>
      </c>
      <c r="N269" t="n">
        <v>0</v>
      </c>
      <c r="O269" t="n">
        <v>0</v>
      </c>
      <c r="P269" t="n">
        <v>0</v>
      </c>
      <c r="Q269" t="n">
        <v>0</v>
      </c>
      <c r="R269" s="2" t="inlineStr"/>
    </row>
    <row r="270" ht="15" customHeight="1">
      <c r="A270" t="inlineStr">
        <is>
          <t>A 28251-2019</t>
        </is>
      </c>
      <c r="B270" s="1" t="n">
        <v>43622</v>
      </c>
      <c r="C270" s="1" t="n">
        <v>45506</v>
      </c>
      <c r="D270" t="inlineStr">
        <is>
          <t>JÄMTLANDS LÄN</t>
        </is>
      </c>
      <c r="E270" t="inlineStr">
        <is>
          <t>RAGUNDA</t>
        </is>
      </c>
      <c r="F270" t="inlineStr">
        <is>
          <t>SCA</t>
        </is>
      </c>
      <c r="G270" t="n">
        <v>25.7</v>
      </c>
      <c r="H270" t="n">
        <v>0</v>
      </c>
      <c r="I270" t="n">
        <v>0</v>
      </c>
      <c r="J270" t="n">
        <v>0</v>
      </c>
      <c r="K270" t="n">
        <v>0</v>
      </c>
      <c r="L270" t="n">
        <v>0</v>
      </c>
      <c r="M270" t="n">
        <v>0</v>
      </c>
      <c r="N270" t="n">
        <v>0</v>
      </c>
      <c r="O270" t="n">
        <v>0</v>
      </c>
      <c r="P270" t="n">
        <v>0</v>
      </c>
      <c r="Q270" t="n">
        <v>0</v>
      </c>
      <c r="R270" s="2" t="inlineStr"/>
    </row>
    <row r="271" ht="15" customHeight="1">
      <c r="A271" t="inlineStr">
        <is>
          <t>A 30030-2019</t>
        </is>
      </c>
      <c r="B271" s="1" t="n">
        <v>43633</v>
      </c>
      <c r="C271" s="1" t="n">
        <v>45506</v>
      </c>
      <c r="D271" t="inlineStr">
        <is>
          <t>JÄMTLANDS LÄN</t>
        </is>
      </c>
      <c r="E271" t="inlineStr">
        <is>
          <t>RAGUNDA</t>
        </is>
      </c>
      <c r="G271" t="n">
        <v>10.6</v>
      </c>
      <c r="H271" t="n">
        <v>0</v>
      </c>
      <c r="I271" t="n">
        <v>0</v>
      </c>
      <c r="J271" t="n">
        <v>0</v>
      </c>
      <c r="K271" t="n">
        <v>0</v>
      </c>
      <c r="L271" t="n">
        <v>0</v>
      </c>
      <c r="M271" t="n">
        <v>0</v>
      </c>
      <c r="N271" t="n">
        <v>0</v>
      </c>
      <c r="O271" t="n">
        <v>0</v>
      </c>
      <c r="P271" t="n">
        <v>0</v>
      </c>
      <c r="Q271" t="n">
        <v>0</v>
      </c>
      <c r="R271" s="2" t="inlineStr"/>
    </row>
    <row r="272" ht="15" customHeight="1">
      <c r="A272" t="inlineStr">
        <is>
          <t>A 30034-2019</t>
        </is>
      </c>
      <c r="B272" s="1" t="n">
        <v>43633</v>
      </c>
      <c r="C272" s="1" t="n">
        <v>45506</v>
      </c>
      <c r="D272" t="inlineStr">
        <is>
          <t>JÄMTLANDS LÄN</t>
        </is>
      </c>
      <c r="E272" t="inlineStr">
        <is>
          <t>RAGUNDA</t>
        </is>
      </c>
      <c r="G272" t="n">
        <v>5.6</v>
      </c>
      <c r="H272" t="n">
        <v>0</v>
      </c>
      <c r="I272" t="n">
        <v>0</v>
      </c>
      <c r="J272" t="n">
        <v>0</v>
      </c>
      <c r="K272" t="n">
        <v>0</v>
      </c>
      <c r="L272" t="n">
        <v>0</v>
      </c>
      <c r="M272" t="n">
        <v>0</v>
      </c>
      <c r="N272" t="n">
        <v>0</v>
      </c>
      <c r="O272" t="n">
        <v>0</v>
      </c>
      <c r="P272" t="n">
        <v>0</v>
      </c>
      <c r="Q272" t="n">
        <v>0</v>
      </c>
      <c r="R272" s="2" t="inlineStr"/>
    </row>
    <row r="273" ht="15" customHeight="1">
      <c r="A273" t="inlineStr">
        <is>
          <t>A 31299-2019</t>
        </is>
      </c>
      <c r="B273" s="1" t="n">
        <v>43640</v>
      </c>
      <c r="C273" s="1" t="n">
        <v>45506</v>
      </c>
      <c r="D273" t="inlineStr">
        <is>
          <t>JÄMTLANDS LÄN</t>
        </is>
      </c>
      <c r="E273" t="inlineStr">
        <is>
          <t>RAGUNDA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31562-2019</t>
        </is>
      </c>
      <c r="B274" s="1" t="n">
        <v>43641</v>
      </c>
      <c r="C274" s="1" t="n">
        <v>45506</v>
      </c>
      <c r="D274" t="inlineStr">
        <is>
          <t>JÄMTLANDS LÄN</t>
        </is>
      </c>
      <c r="E274" t="inlineStr">
        <is>
          <t>RAGUNDA</t>
        </is>
      </c>
      <c r="F274" t="inlineStr">
        <is>
          <t>SCA</t>
        </is>
      </c>
      <c r="G274" t="n">
        <v>10.1</v>
      </c>
      <c r="H274" t="n">
        <v>0</v>
      </c>
      <c r="I274" t="n">
        <v>0</v>
      </c>
      <c r="J274" t="n">
        <v>0</v>
      </c>
      <c r="K274" t="n">
        <v>0</v>
      </c>
      <c r="L274" t="n">
        <v>0</v>
      </c>
      <c r="M274" t="n">
        <v>0</v>
      </c>
      <c r="N274" t="n">
        <v>0</v>
      </c>
      <c r="O274" t="n">
        <v>0</v>
      </c>
      <c r="P274" t="n">
        <v>0</v>
      </c>
      <c r="Q274" t="n">
        <v>0</v>
      </c>
      <c r="R274" s="2" t="inlineStr"/>
    </row>
    <row r="275" ht="15" customHeight="1">
      <c r="A275" t="inlineStr">
        <is>
          <t>A 31563-2019</t>
        </is>
      </c>
      <c r="B275" s="1" t="n">
        <v>43641</v>
      </c>
      <c r="C275" s="1" t="n">
        <v>45506</v>
      </c>
      <c r="D275" t="inlineStr">
        <is>
          <t>JÄMTLANDS LÄN</t>
        </is>
      </c>
      <c r="E275" t="inlineStr">
        <is>
          <t>RAGUNDA</t>
        </is>
      </c>
      <c r="F275" t="inlineStr">
        <is>
          <t>SCA</t>
        </is>
      </c>
      <c r="G275" t="n">
        <v>4.8</v>
      </c>
      <c r="H275" t="n">
        <v>0</v>
      </c>
      <c r="I275" t="n">
        <v>0</v>
      </c>
      <c r="J275" t="n">
        <v>0</v>
      </c>
      <c r="K275" t="n">
        <v>0</v>
      </c>
      <c r="L275" t="n">
        <v>0</v>
      </c>
      <c r="M275" t="n">
        <v>0</v>
      </c>
      <c r="N275" t="n">
        <v>0</v>
      </c>
      <c r="O275" t="n">
        <v>0</v>
      </c>
      <c r="P275" t="n">
        <v>0</v>
      </c>
      <c r="Q275" t="n">
        <v>0</v>
      </c>
      <c r="R275" s="2" t="inlineStr"/>
    </row>
    <row r="276" ht="15" customHeight="1">
      <c r="A276" t="inlineStr">
        <is>
          <t>A 32211-2019</t>
        </is>
      </c>
      <c r="B276" s="1" t="n">
        <v>43643</v>
      </c>
      <c r="C276" s="1" t="n">
        <v>45506</v>
      </c>
      <c r="D276" t="inlineStr">
        <is>
          <t>JÄMTLANDS LÄN</t>
        </is>
      </c>
      <c r="E276" t="inlineStr">
        <is>
          <t>RAGUNDA</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33341-2019</t>
        </is>
      </c>
      <c r="B277" s="1" t="n">
        <v>43650</v>
      </c>
      <c r="C277" s="1" t="n">
        <v>45506</v>
      </c>
      <c r="D277" t="inlineStr">
        <is>
          <t>JÄMTLANDS LÄN</t>
        </is>
      </c>
      <c r="E277" t="inlineStr">
        <is>
          <t>RAGUNDA</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35466-2019</t>
        </is>
      </c>
      <c r="B278" s="1" t="n">
        <v>43651</v>
      </c>
      <c r="C278" s="1" t="n">
        <v>45506</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34119-2019</t>
        </is>
      </c>
      <c r="B279" s="1" t="n">
        <v>43654</v>
      </c>
      <c r="C279" s="1" t="n">
        <v>45506</v>
      </c>
      <c r="D279" t="inlineStr">
        <is>
          <t>JÄMTLANDS LÄN</t>
        </is>
      </c>
      <c r="E279" t="inlineStr">
        <is>
          <t>RAGUNDA</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34121-2019</t>
        </is>
      </c>
      <c r="B280" s="1" t="n">
        <v>43654</v>
      </c>
      <c r="C280" s="1" t="n">
        <v>45506</v>
      </c>
      <c r="D280" t="inlineStr">
        <is>
          <t>JÄMTLANDS LÄN</t>
        </is>
      </c>
      <c r="E280" t="inlineStr">
        <is>
          <t>RAGUNDA</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34490-2019</t>
        </is>
      </c>
      <c r="B281" s="1" t="n">
        <v>43656</v>
      </c>
      <c r="C281" s="1" t="n">
        <v>45506</v>
      </c>
      <c r="D281" t="inlineStr">
        <is>
          <t>JÄMTLANDS LÄN</t>
        </is>
      </c>
      <c r="E281" t="inlineStr">
        <is>
          <t>RAGUNDA</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36230-2019</t>
        </is>
      </c>
      <c r="B282" s="1" t="n">
        <v>43669</v>
      </c>
      <c r="C282" s="1" t="n">
        <v>45506</v>
      </c>
      <c r="D282" t="inlineStr">
        <is>
          <t>JÄMTLANDS LÄN</t>
        </is>
      </c>
      <c r="E282" t="inlineStr">
        <is>
          <t>RAGUNDA</t>
        </is>
      </c>
      <c r="G282" t="n">
        <v>4.4</v>
      </c>
      <c r="H282" t="n">
        <v>0</v>
      </c>
      <c r="I282" t="n">
        <v>0</v>
      </c>
      <c r="J282" t="n">
        <v>0</v>
      </c>
      <c r="K282" t="n">
        <v>0</v>
      </c>
      <c r="L282" t="n">
        <v>0</v>
      </c>
      <c r="M282" t="n">
        <v>0</v>
      </c>
      <c r="N282" t="n">
        <v>0</v>
      </c>
      <c r="O282" t="n">
        <v>0</v>
      </c>
      <c r="P282" t="n">
        <v>0</v>
      </c>
      <c r="Q282" t="n">
        <v>0</v>
      </c>
      <c r="R282" s="2" t="inlineStr"/>
    </row>
    <row r="283" ht="15" customHeight="1">
      <c r="A283" t="inlineStr">
        <is>
          <t>A 37086-2019</t>
        </is>
      </c>
      <c r="B283" s="1" t="n">
        <v>43676</v>
      </c>
      <c r="C283" s="1" t="n">
        <v>45506</v>
      </c>
      <c r="D283" t="inlineStr">
        <is>
          <t>JÄMTLANDS LÄN</t>
        </is>
      </c>
      <c r="E283" t="inlineStr">
        <is>
          <t>RAGUNDA</t>
        </is>
      </c>
      <c r="G283" t="n">
        <v>2.5</v>
      </c>
      <c r="H283" t="n">
        <v>0</v>
      </c>
      <c r="I283" t="n">
        <v>0</v>
      </c>
      <c r="J283" t="n">
        <v>0</v>
      </c>
      <c r="K283" t="n">
        <v>0</v>
      </c>
      <c r="L283" t="n">
        <v>0</v>
      </c>
      <c r="M283" t="n">
        <v>0</v>
      </c>
      <c r="N283" t="n">
        <v>0</v>
      </c>
      <c r="O283" t="n">
        <v>0</v>
      </c>
      <c r="P283" t="n">
        <v>0</v>
      </c>
      <c r="Q283" t="n">
        <v>0</v>
      </c>
      <c r="R283" s="2" t="inlineStr"/>
    </row>
    <row r="284" ht="15" customHeight="1">
      <c r="A284" t="inlineStr">
        <is>
          <t>A 37441-2019</t>
        </is>
      </c>
      <c r="B284" s="1" t="n">
        <v>43678</v>
      </c>
      <c r="C284" s="1" t="n">
        <v>45506</v>
      </c>
      <c r="D284" t="inlineStr">
        <is>
          <t>JÄMTLANDS LÄN</t>
        </is>
      </c>
      <c r="E284" t="inlineStr">
        <is>
          <t>RAGUNDA</t>
        </is>
      </c>
      <c r="F284" t="inlineStr">
        <is>
          <t>SCA</t>
        </is>
      </c>
      <c r="G284" t="n">
        <v>0.4</v>
      </c>
      <c r="H284" t="n">
        <v>0</v>
      </c>
      <c r="I284" t="n">
        <v>0</v>
      </c>
      <c r="J284" t="n">
        <v>0</v>
      </c>
      <c r="K284" t="n">
        <v>0</v>
      </c>
      <c r="L284" t="n">
        <v>0</v>
      </c>
      <c r="M284" t="n">
        <v>0</v>
      </c>
      <c r="N284" t="n">
        <v>0</v>
      </c>
      <c r="O284" t="n">
        <v>0</v>
      </c>
      <c r="P284" t="n">
        <v>0</v>
      </c>
      <c r="Q284" t="n">
        <v>0</v>
      </c>
      <c r="R284" s="2" t="inlineStr"/>
    </row>
    <row r="285" ht="15" customHeight="1">
      <c r="A285" t="inlineStr">
        <is>
          <t>A 38757-2019</t>
        </is>
      </c>
      <c r="B285" s="1" t="n">
        <v>43686</v>
      </c>
      <c r="C285" s="1" t="n">
        <v>45506</v>
      </c>
      <c r="D285" t="inlineStr">
        <is>
          <t>JÄMTLANDS LÄN</t>
        </is>
      </c>
      <c r="E285" t="inlineStr">
        <is>
          <t>RAGUNDA</t>
        </is>
      </c>
      <c r="G285" t="n">
        <v>10.2</v>
      </c>
      <c r="H285" t="n">
        <v>0</v>
      </c>
      <c r="I285" t="n">
        <v>0</v>
      </c>
      <c r="J285" t="n">
        <v>0</v>
      </c>
      <c r="K285" t="n">
        <v>0</v>
      </c>
      <c r="L285" t="n">
        <v>0</v>
      </c>
      <c r="M285" t="n">
        <v>0</v>
      </c>
      <c r="N285" t="n">
        <v>0</v>
      </c>
      <c r="O285" t="n">
        <v>0</v>
      </c>
      <c r="P285" t="n">
        <v>0</v>
      </c>
      <c r="Q285" t="n">
        <v>0</v>
      </c>
      <c r="R285" s="2" t="inlineStr"/>
    </row>
    <row r="286" ht="15" customHeight="1">
      <c r="A286" t="inlineStr">
        <is>
          <t>A 42786-2019</t>
        </is>
      </c>
      <c r="B286" s="1" t="n">
        <v>43704</v>
      </c>
      <c r="C286" s="1" t="n">
        <v>45506</v>
      </c>
      <c r="D286" t="inlineStr">
        <is>
          <t>JÄMTLANDS LÄN</t>
        </is>
      </c>
      <c r="E286" t="inlineStr">
        <is>
          <t>RAGUNDA</t>
        </is>
      </c>
      <c r="F286" t="inlineStr">
        <is>
          <t>SCA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42788-2019</t>
        </is>
      </c>
      <c r="B287" s="1" t="n">
        <v>43704</v>
      </c>
      <c r="C287" s="1" t="n">
        <v>45506</v>
      </c>
      <c r="D287" t="inlineStr">
        <is>
          <t>JÄMTLANDS LÄN</t>
        </is>
      </c>
      <c r="E287" t="inlineStr">
        <is>
          <t>RAGUNDA</t>
        </is>
      </c>
      <c r="F287" t="inlineStr">
        <is>
          <t>SCA</t>
        </is>
      </c>
      <c r="G287" t="n">
        <v>20.3</v>
      </c>
      <c r="H287" t="n">
        <v>0</v>
      </c>
      <c r="I287" t="n">
        <v>0</v>
      </c>
      <c r="J287" t="n">
        <v>0</v>
      </c>
      <c r="K287" t="n">
        <v>0</v>
      </c>
      <c r="L287" t="n">
        <v>0</v>
      </c>
      <c r="M287" t="n">
        <v>0</v>
      </c>
      <c r="N287" t="n">
        <v>0</v>
      </c>
      <c r="O287" t="n">
        <v>0</v>
      </c>
      <c r="P287" t="n">
        <v>0</v>
      </c>
      <c r="Q287" t="n">
        <v>0</v>
      </c>
      <c r="R287" s="2" t="inlineStr"/>
    </row>
    <row r="288" ht="15" customHeight="1">
      <c r="A288" t="inlineStr">
        <is>
          <t>A 42785-2019</t>
        </is>
      </c>
      <c r="B288" s="1" t="n">
        <v>43704</v>
      </c>
      <c r="C288" s="1" t="n">
        <v>45506</v>
      </c>
      <c r="D288" t="inlineStr">
        <is>
          <t>JÄMTLANDS LÄN</t>
        </is>
      </c>
      <c r="E288" t="inlineStr">
        <is>
          <t>RAGUNDA</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43412-2019</t>
        </is>
      </c>
      <c r="B289" s="1" t="n">
        <v>43706</v>
      </c>
      <c r="C289" s="1" t="n">
        <v>45506</v>
      </c>
      <c r="D289" t="inlineStr">
        <is>
          <t>JÄMTLANDS LÄN</t>
        </is>
      </c>
      <c r="E289" t="inlineStr">
        <is>
          <t>RAGUNDA</t>
        </is>
      </c>
      <c r="G289" t="n">
        <v>1.4</v>
      </c>
      <c r="H289" t="n">
        <v>0</v>
      </c>
      <c r="I289" t="n">
        <v>0</v>
      </c>
      <c r="J289" t="n">
        <v>0</v>
      </c>
      <c r="K289" t="n">
        <v>0</v>
      </c>
      <c r="L289" t="n">
        <v>0</v>
      </c>
      <c r="M289" t="n">
        <v>0</v>
      </c>
      <c r="N289" t="n">
        <v>0</v>
      </c>
      <c r="O289" t="n">
        <v>0</v>
      </c>
      <c r="P289" t="n">
        <v>0</v>
      </c>
      <c r="Q289" t="n">
        <v>0</v>
      </c>
      <c r="R289" s="2" t="inlineStr"/>
    </row>
    <row r="290" ht="15" customHeight="1">
      <c r="A290" t="inlineStr">
        <is>
          <t>A 45075-2019</t>
        </is>
      </c>
      <c r="B290" s="1" t="n">
        <v>43713</v>
      </c>
      <c r="C290" s="1" t="n">
        <v>45506</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45061-2019</t>
        </is>
      </c>
      <c r="B291" s="1" t="n">
        <v>43713</v>
      </c>
      <c r="C291" s="1" t="n">
        <v>45506</v>
      </c>
      <c r="D291" t="inlineStr">
        <is>
          <t>JÄMTLANDS LÄN</t>
        </is>
      </c>
      <c r="E291" t="inlineStr">
        <is>
          <t>RAGUNDA</t>
        </is>
      </c>
      <c r="G291" t="n">
        <v>3.3</v>
      </c>
      <c r="H291" t="n">
        <v>0</v>
      </c>
      <c r="I291" t="n">
        <v>0</v>
      </c>
      <c r="J291" t="n">
        <v>0</v>
      </c>
      <c r="K291" t="n">
        <v>0</v>
      </c>
      <c r="L291" t="n">
        <v>0</v>
      </c>
      <c r="M291" t="n">
        <v>0</v>
      </c>
      <c r="N291" t="n">
        <v>0</v>
      </c>
      <c r="O291" t="n">
        <v>0</v>
      </c>
      <c r="P291" t="n">
        <v>0</v>
      </c>
      <c r="Q291" t="n">
        <v>0</v>
      </c>
      <c r="R291" s="2" t="inlineStr"/>
    </row>
    <row r="292" ht="15" customHeight="1">
      <c r="A292" t="inlineStr">
        <is>
          <t>A 48961-2019</t>
        </is>
      </c>
      <c r="B292" s="1" t="n">
        <v>43728</v>
      </c>
      <c r="C292" s="1" t="n">
        <v>45506</v>
      </c>
      <c r="D292" t="inlineStr">
        <is>
          <t>JÄMTLANDS LÄN</t>
        </is>
      </c>
      <c r="E292" t="inlineStr">
        <is>
          <t>RAGUNDA</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49875-2019</t>
        </is>
      </c>
      <c r="B293" s="1" t="n">
        <v>43733</v>
      </c>
      <c r="C293" s="1" t="n">
        <v>45506</v>
      </c>
      <c r="D293" t="inlineStr">
        <is>
          <t>JÄMTLANDS LÄN</t>
        </is>
      </c>
      <c r="E293" t="inlineStr">
        <is>
          <t>RAGUNDA</t>
        </is>
      </c>
      <c r="G293" t="n">
        <v>1.3</v>
      </c>
      <c r="H293" t="n">
        <v>0</v>
      </c>
      <c r="I293" t="n">
        <v>0</v>
      </c>
      <c r="J293" t="n">
        <v>0</v>
      </c>
      <c r="K293" t="n">
        <v>0</v>
      </c>
      <c r="L293" t="n">
        <v>0</v>
      </c>
      <c r="M293" t="n">
        <v>0</v>
      </c>
      <c r="N293" t="n">
        <v>0</v>
      </c>
      <c r="O293" t="n">
        <v>0</v>
      </c>
      <c r="P293" t="n">
        <v>0</v>
      </c>
      <c r="Q293" t="n">
        <v>0</v>
      </c>
      <c r="R293" s="2" t="inlineStr"/>
    </row>
    <row r="294" ht="15" customHeight="1">
      <c r="A294" t="inlineStr">
        <is>
          <t>A 49945-2019</t>
        </is>
      </c>
      <c r="B294" s="1" t="n">
        <v>43733</v>
      </c>
      <c r="C294" s="1" t="n">
        <v>45506</v>
      </c>
      <c r="D294" t="inlineStr">
        <is>
          <t>JÄMTLANDS LÄN</t>
        </is>
      </c>
      <c r="E294" t="inlineStr">
        <is>
          <t>RAGUNDA</t>
        </is>
      </c>
      <c r="G294" t="n">
        <v>1.5</v>
      </c>
      <c r="H294" t="n">
        <v>0</v>
      </c>
      <c r="I294" t="n">
        <v>0</v>
      </c>
      <c r="J294" t="n">
        <v>0</v>
      </c>
      <c r="K294" t="n">
        <v>0</v>
      </c>
      <c r="L294" t="n">
        <v>0</v>
      </c>
      <c r="M294" t="n">
        <v>0</v>
      </c>
      <c r="N294" t="n">
        <v>0</v>
      </c>
      <c r="O294" t="n">
        <v>0</v>
      </c>
      <c r="P294" t="n">
        <v>0</v>
      </c>
      <c r="Q294" t="n">
        <v>0</v>
      </c>
      <c r="R294" s="2" t="inlineStr"/>
    </row>
    <row r="295" ht="15" customHeight="1">
      <c r="A295" t="inlineStr">
        <is>
          <t>A 52098-2019</t>
        </is>
      </c>
      <c r="B295" s="1" t="n">
        <v>43735</v>
      </c>
      <c r="C295" s="1" t="n">
        <v>45506</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51661-2019</t>
        </is>
      </c>
      <c r="B296" s="1" t="n">
        <v>43740</v>
      </c>
      <c r="C296" s="1" t="n">
        <v>45506</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53849-2019</t>
        </is>
      </c>
      <c r="B297" s="1" t="n">
        <v>43742</v>
      </c>
      <c r="C297" s="1" t="n">
        <v>45506</v>
      </c>
      <c r="D297" t="inlineStr">
        <is>
          <t>JÄMTLANDS LÄN</t>
        </is>
      </c>
      <c r="E297" t="inlineStr">
        <is>
          <t>RAGUNDA</t>
        </is>
      </c>
      <c r="G297" t="n">
        <v>0.3</v>
      </c>
      <c r="H297" t="n">
        <v>0</v>
      </c>
      <c r="I297" t="n">
        <v>0</v>
      </c>
      <c r="J297" t="n">
        <v>0</v>
      </c>
      <c r="K297" t="n">
        <v>0</v>
      </c>
      <c r="L297" t="n">
        <v>0</v>
      </c>
      <c r="M297" t="n">
        <v>0</v>
      </c>
      <c r="N297" t="n">
        <v>0</v>
      </c>
      <c r="O297" t="n">
        <v>0</v>
      </c>
      <c r="P297" t="n">
        <v>0</v>
      </c>
      <c r="Q297" t="n">
        <v>0</v>
      </c>
      <c r="R297" s="2" t="inlineStr"/>
    </row>
    <row r="298" ht="15" customHeight="1">
      <c r="A298" t="inlineStr">
        <is>
          <t>A 52728-2019</t>
        </is>
      </c>
      <c r="B298" s="1" t="n">
        <v>43746</v>
      </c>
      <c r="C298" s="1" t="n">
        <v>45506</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55353-2019</t>
        </is>
      </c>
      <c r="B299" s="1" t="n">
        <v>43756</v>
      </c>
      <c r="C299" s="1" t="n">
        <v>45506</v>
      </c>
      <c r="D299" t="inlineStr">
        <is>
          <t>JÄMTLANDS LÄN</t>
        </is>
      </c>
      <c r="E299" t="inlineStr">
        <is>
          <t>RAGUNDA</t>
        </is>
      </c>
      <c r="G299" t="n">
        <v>2.1</v>
      </c>
      <c r="H299" t="n">
        <v>0</v>
      </c>
      <c r="I299" t="n">
        <v>0</v>
      </c>
      <c r="J299" t="n">
        <v>0</v>
      </c>
      <c r="K299" t="n">
        <v>0</v>
      </c>
      <c r="L299" t="n">
        <v>0</v>
      </c>
      <c r="M299" t="n">
        <v>0</v>
      </c>
      <c r="N299" t="n">
        <v>0</v>
      </c>
      <c r="O299" t="n">
        <v>0</v>
      </c>
      <c r="P299" t="n">
        <v>0</v>
      </c>
      <c r="Q299" t="n">
        <v>0</v>
      </c>
      <c r="R299" s="2" t="inlineStr"/>
    </row>
    <row r="300" ht="15" customHeight="1">
      <c r="A300" t="inlineStr">
        <is>
          <t>A 55875-2019</t>
        </is>
      </c>
      <c r="B300" s="1" t="n">
        <v>43759</v>
      </c>
      <c r="C300" s="1" t="n">
        <v>45506</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55653-2019</t>
        </is>
      </c>
      <c r="B301" s="1" t="n">
        <v>43760</v>
      </c>
      <c r="C301" s="1" t="n">
        <v>45506</v>
      </c>
      <c r="D301" t="inlineStr">
        <is>
          <t>JÄMTLANDS LÄN</t>
        </is>
      </c>
      <c r="E301" t="inlineStr">
        <is>
          <t>RAGUNDA</t>
        </is>
      </c>
      <c r="G301" t="n">
        <v>4.2</v>
      </c>
      <c r="H301" t="n">
        <v>0</v>
      </c>
      <c r="I301" t="n">
        <v>0</v>
      </c>
      <c r="J301" t="n">
        <v>0</v>
      </c>
      <c r="K301" t="n">
        <v>0</v>
      </c>
      <c r="L301" t="n">
        <v>0</v>
      </c>
      <c r="M301" t="n">
        <v>0</v>
      </c>
      <c r="N301" t="n">
        <v>0</v>
      </c>
      <c r="O301" t="n">
        <v>0</v>
      </c>
      <c r="P301" t="n">
        <v>0</v>
      </c>
      <c r="Q301" t="n">
        <v>0</v>
      </c>
      <c r="R301" s="2" t="inlineStr"/>
    </row>
    <row r="302" ht="15" customHeight="1">
      <c r="A302" t="inlineStr">
        <is>
          <t>A 57860-2019</t>
        </is>
      </c>
      <c r="B302" s="1" t="n">
        <v>43768</v>
      </c>
      <c r="C302" s="1" t="n">
        <v>45506</v>
      </c>
      <c r="D302" t="inlineStr">
        <is>
          <t>JÄMTLANDS LÄN</t>
        </is>
      </c>
      <c r="E302" t="inlineStr">
        <is>
          <t>RAGUNDA</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57783-2019</t>
        </is>
      </c>
      <c r="B303" s="1" t="n">
        <v>43768</v>
      </c>
      <c r="C303" s="1" t="n">
        <v>45506</v>
      </c>
      <c r="D303" t="inlineStr">
        <is>
          <t>JÄMTLANDS LÄN</t>
        </is>
      </c>
      <c r="E303" t="inlineStr">
        <is>
          <t>RAGUNDA</t>
        </is>
      </c>
      <c r="G303" t="n">
        <v>2.9</v>
      </c>
      <c r="H303" t="n">
        <v>0</v>
      </c>
      <c r="I303" t="n">
        <v>0</v>
      </c>
      <c r="J303" t="n">
        <v>0</v>
      </c>
      <c r="K303" t="n">
        <v>0</v>
      </c>
      <c r="L303" t="n">
        <v>0</v>
      </c>
      <c r="M303" t="n">
        <v>0</v>
      </c>
      <c r="N303" t="n">
        <v>0</v>
      </c>
      <c r="O303" t="n">
        <v>0</v>
      </c>
      <c r="P303" t="n">
        <v>0</v>
      </c>
      <c r="Q303" t="n">
        <v>0</v>
      </c>
      <c r="R303" s="2" t="inlineStr"/>
    </row>
    <row r="304" ht="15" customHeight="1">
      <c r="A304" t="inlineStr">
        <is>
          <t>A 58348-2019</t>
        </is>
      </c>
      <c r="B304" s="1" t="n">
        <v>43770</v>
      </c>
      <c r="C304" s="1" t="n">
        <v>45506</v>
      </c>
      <c r="D304" t="inlineStr">
        <is>
          <t>JÄMTLANDS LÄN</t>
        </is>
      </c>
      <c r="E304" t="inlineStr">
        <is>
          <t>RAGUNDA</t>
        </is>
      </c>
      <c r="F304" t="inlineStr">
        <is>
          <t>SCA</t>
        </is>
      </c>
      <c r="G304" t="n">
        <v>5.8</v>
      </c>
      <c r="H304" t="n">
        <v>0</v>
      </c>
      <c r="I304" t="n">
        <v>0</v>
      </c>
      <c r="J304" t="n">
        <v>0</v>
      </c>
      <c r="K304" t="n">
        <v>0</v>
      </c>
      <c r="L304" t="n">
        <v>0</v>
      </c>
      <c r="M304" t="n">
        <v>0</v>
      </c>
      <c r="N304" t="n">
        <v>0</v>
      </c>
      <c r="O304" t="n">
        <v>0</v>
      </c>
      <c r="P304" t="n">
        <v>0</v>
      </c>
      <c r="Q304" t="n">
        <v>0</v>
      </c>
      <c r="R304" s="2" t="inlineStr"/>
    </row>
    <row r="305" ht="15" customHeight="1">
      <c r="A305" t="inlineStr">
        <is>
          <t>A 58355-2019</t>
        </is>
      </c>
      <c r="B305" s="1" t="n">
        <v>43770</v>
      </c>
      <c r="C305" s="1" t="n">
        <v>45506</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59484-2019</t>
        </is>
      </c>
      <c r="B306" s="1" t="n">
        <v>43773</v>
      </c>
      <c r="C306" s="1" t="n">
        <v>45506</v>
      </c>
      <c r="D306" t="inlineStr">
        <is>
          <t>JÄMTLANDS LÄN</t>
        </is>
      </c>
      <c r="E306" t="inlineStr">
        <is>
          <t>RAGUNDA</t>
        </is>
      </c>
      <c r="G306" t="n">
        <v>0.5</v>
      </c>
      <c r="H306" t="n">
        <v>0</v>
      </c>
      <c r="I306" t="n">
        <v>0</v>
      </c>
      <c r="J306" t="n">
        <v>0</v>
      </c>
      <c r="K306" t="n">
        <v>0</v>
      </c>
      <c r="L306" t="n">
        <v>0</v>
      </c>
      <c r="M306" t="n">
        <v>0</v>
      </c>
      <c r="N306" t="n">
        <v>0</v>
      </c>
      <c r="O306" t="n">
        <v>0</v>
      </c>
      <c r="P306" t="n">
        <v>0</v>
      </c>
      <c r="Q306" t="n">
        <v>0</v>
      </c>
      <c r="R306" s="2" t="inlineStr"/>
    </row>
    <row r="307" ht="15" customHeight="1">
      <c r="A307" t="inlineStr">
        <is>
          <t>A 58795-2019</t>
        </is>
      </c>
      <c r="B307" s="1" t="n">
        <v>43773</v>
      </c>
      <c r="C307" s="1" t="n">
        <v>45506</v>
      </c>
      <c r="D307" t="inlineStr">
        <is>
          <t>JÄMTLANDS LÄN</t>
        </is>
      </c>
      <c r="E307" t="inlineStr">
        <is>
          <t>RAGUNDA</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59501-2019</t>
        </is>
      </c>
      <c r="B308" s="1" t="n">
        <v>43773</v>
      </c>
      <c r="C308" s="1" t="n">
        <v>45506</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59194-2019</t>
        </is>
      </c>
      <c r="B309" s="1" t="n">
        <v>43775</v>
      </c>
      <c r="C309" s="1" t="n">
        <v>45506</v>
      </c>
      <c r="D309" t="inlineStr">
        <is>
          <t>JÄMTLANDS LÄN</t>
        </is>
      </c>
      <c r="E309" t="inlineStr">
        <is>
          <t>RAGUNDA</t>
        </is>
      </c>
      <c r="G309" t="n">
        <v>2.7</v>
      </c>
      <c r="H309" t="n">
        <v>0</v>
      </c>
      <c r="I309" t="n">
        <v>0</v>
      </c>
      <c r="J309" t="n">
        <v>0</v>
      </c>
      <c r="K309" t="n">
        <v>0</v>
      </c>
      <c r="L309" t="n">
        <v>0</v>
      </c>
      <c r="M309" t="n">
        <v>0</v>
      </c>
      <c r="N309" t="n">
        <v>0</v>
      </c>
      <c r="O309" t="n">
        <v>0</v>
      </c>
      <c r="P309" t="n">
        <v>0</v>
      </c>
      <c r="Q309" t="n">
        <v>0</v>
      </c>
      <c r="R309" s="2" t="inlineStr"/>
    </row>
    <row r="310" ht="15" customHeight="1">
      <c r="A310" t="inlineStr">
        <is>
          <t>A 60119-2019</t>
        </is>
      </c>
      <c r="B310" s="1" t="n">
        <v>43777</v>
      </c>
      <c r="C310" s="1" t="n">
        <v>45506</v>
      </c>
      <c r="D310" t="inlineStr">
        <is>
          <t>JÄMTLANDS LÄN</t>
        </is>
      </c>
      <c r="E310" t="inlineStr">
        <is>
          <t>RAGUNDA</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62340-2019</t>
        </is>
      </c>
      <c r="B311" s="1" t="n">
        <v>43782</v>
      </c>
      <c r="C311" s="1" t="n">
        <v>45506</v>
      </c>
      <c r="D311" t="inlineStr">
        <is>
          <t>JÄMTLANDS LÄN</t>
        </is>
      </c>
      <c r="E311" t="inlineStr">
        <is>
          <t>RAGUNDA</t>
        </is>
      </c>
      <c r="G311" t="n">
        <v>2.5</v>
      </c>
      <c r="H311" t="n">
        <v>0</v>
      </c>
      <c r="I311" t="n">
        <v>0</v>
      </c>
      <c r="J311" t="n">
        <v>0</v>
      </c>
      <c r="K311" t="n">
        <v>0</v>
      </c>
      <c r="L311" t="n">
        <v>0</v>
      </c>
      <c r="M311" t="n">
        <v>0</v>
      </c>
      <c r="N311" t="n">
        <v>0</v>
      </c>
      <c r="O311" t="n">
        <v>0</v>
      </c>
      <c r="P311" t="n">
        <v>0</v>
      </c>
      <c r="Q311" t="n">
        <v>0</v>
      </c>
      <c r="R311" s="2" t="inlineStr"/>
    </row>
    <row r="312" ht="15" customHeight="1">
      <c r="A312" t="inlineStr">
        <is>
          <t>A 61514-2019</t>
        </is>
      </c>
      <c r="B312" s="1" t="n">
        <v>43783</v>
      </c>
      <c r="C312" s="1" t="n">
        <v>45506</v>
      </c>
      <c r="D312" t="inlineStr">
        <is>
          <t>JÄMTLANDS LÄN</t>
        </is>
      </c>
      <c r="E312" t="inlineStr">
        <is>
          <t>RAGUNDA</t>
        </is>
      </c>
      <c r="G312" t="n">
        <v>2.3</v>
      </c>
      <c r="H312" t="n">
        <v>0</v>
      </c>
      <c r="I312" t="n">
        <v>0</v>
      </c>
      <c r="J312" t="n">
        <v>0</v>
      </c>
      <c r="K312" t="n">
        <v>0</v>
      </c>
      <c r="L312" t="n">
        <v>0</v>
      </c>
      <c r="M312" t="n">
        <v>0</v>
      </c>
      <c r="N312" t="n">
        <v>0</v>
      </c>
      <c r="O312" t="n">
        <v>0</v>
      </c>
      <c r="P312" t="n">
        <v>0</v>
      </c>
      <c r="Q312" t="n">
        <v>0</v>
      </c>
      <c r="R312" s="2" t="inlineStr"/>
    </row>
    <row r="313" ht="15" customHeight="1">
      <c r="A313" t="inlineStr">
        <is>
          <t>A 62129-2019</t>
        </is>
      </c>
      <c r="B313" s="1" t="n">
        <v>43787</v>
      </c>
      <c r="C313" s="1" t="n">
        <v>45506</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62484-2019</t>
        </is>
      </c>
      <c r="B314" s="1" t="n">
        <v>43788</v>
      </c>
      <c r="C314" s="1" t="n">
        <v>45506</v>
      </c>
      <c r="D314" t="inlineStr">
        <is>
          <t>JÄMTLANDS LÄN</t>
        </is>
      </c>
      <c r="E314" t="inlineStr">
        <is>
          <t>RAGUNDA</t>
        </is>
      </c>
      <c r="G314" t="n">
        <v>11.9</v>
      </c>
      <c r="H314" t="n">
        <v>0</v>
      </c>
      <c r="I314" t="n">
        <v>0</v>
      </c>
      <c r="J314" t="n">
        <v>0</v>
      </c>
      <c r="K314" t="n">
        <v>0</v>
      </c>
      <c r="L314" t="n">
        <v>0</v>
      </c>
      <c r="M314" t="n">
        <v>0</v>
      </c>
      <c r="N314" t="n">
        <v>0</v>
      </c>
      <c r="O314" t="n">
        <v>0</v>
      </c>
      <c r="P314" t="n">
        <v>0</v>
      </c>
      <c r="Q314" t="n">
        <v>0</v>
      </c>
      <c r="R314" s="2" t="inlineStr"/>
      <c r="U314">
        <f>HYPERLINK("https://klasma.github.io/Logging_2303/knärot/A 62484-2019 karta knärot.png", "A 62484-2019")</f>
        <v/>
      </c>
      <c r="V314">
        <f>HYPERLINK("https://klasma.github.io/Logging_2303/klagomål/A 62484-2019 FSC-klagomål.docx", "A 62484-2019")</f>
        <v/>
      </c>
      <c r="W314">
        <f>HYPERLINK("https://klasma.github.io/Logging_2303/klagomålsmail/A 62484-2019 FSC-klagomål mail.docx", "A 62484-2019")</f>
        <v/>
      </c>
      <c r="X314">
        <f>HYPERLINK("https://klasma.github.io/Logging_2303/tillsyn/A 62484-2019 tillsynsbegäran.docx", "A 62484-2019")</f>
        <v/>
      </c>
      <c r="Y314">
        <f>HYPERLINK("https://klasma.github.io/Logging_2303/tillsynsmail/A 62484-2019 tillsynsbegäran mail.docx", "A 62484-2019")</f>
        <v/>
      </c>
    </row>
    <row r="315" ht="15" customHeight="1">
      <c r="A315" t="inlineStr">
        <is>
          <t>A 64097-2019</t>
        </is>
      </c>
      <c r="B315" s="1" t="n">
        <v>43791</v>
      </c>
      <c r="C315" s="1" t="n">
        <v>45506</v>
      </c>
      <c r="D315" t="inlineStr">
        <is>
          <t>JÄMTLANDS LÄN</t>
        </is>
      </c>
      <c r="E315" t="inlineStr">
        <is>
          <t>RAGUNDA</t>
        </is>
      </c>
      <c r="G315" t="n">
        <v>1.3</v>
      </c>
      <c r="H315" t="n">
        <v>0</v>
      </c>
      <c r="I315" t="n">
        <v>0</v>
      </c>
      <c r="J315" t="n">
        <v>0</v>
      </c>
      <c r="K315" t="n">
        <v>0</v>
      </c>
      <c r="L315" t="n">
        <v>0</v>
      </c>
      <c r="M315" t="n">
        <v>0</v>
      </c>
      <c r="N315" t="n">
        <v>0</v>
      </c>
      <c r="O315" t="n">
        <v>0</v>
      </c>
      <c r="P315" t="n">
        <v>0</v>
      </c>
      <c r="Q315" t="n">
        <v>0</v>
      </c>
      <c r="R315" s="2" t="inlineStr"/>
    </row>
    <row r="316" ht="15" customHeight="1">
      <c r="A316" t="inlineStr">
        <is>
          <t>A 63841-2019</t>
        </is>
      </c>
      <c r="B316" s="1" t="n">
        <v>43795</v>
      </c>
      <c r="C316" s="1" t="n">
        <v>45506</v>
      </c>
      <c r="D316" t="inlineStr">
        <is>
          <t>JÄMTLANDS LÄN</t>
        </is>
      </c>
      <c r="E316" t="inlineStr">
        <is>
          <t>RAGUNDA</t>
        </is>
      </c>
      <c r="F316" t="inlineStr">
        <is>
          <t>SCA</t>
        </is>
      </c>
      <c r="G316" t="n">
        <v>7</v>
      </c>
      <c r="H316" t="n">
        <v>0</v>
      </c>
      <c r="I316" t="n">
        <v>0</v>
      </c>
      <c r="J316" t="n">
        <v>0</v>
      </c>
      <c r="K316" t="n">
        <v>0</v>
      </c>
      <c r="L316" t="n">
        <v>0</v>
      </c>
      <c r="M316" t="n">
        <v>0</v>
      </c>
      <c r="N316" t="n">
        <v>0</v>
      </c>
      <c r="O316" t="n">
        <v>0</v>
      </c>
      <c r="P316" t="n">
        <v>0</v>
      </c>
      <c r="Q316" t="n">
        <v>0</v>
      </c>
      <c r="R316" s="2" t="inlineStr"/>
    </row>
    <row r="317" ht="15" customHeight="1">
      <c r="A317" t="inlineStr">
        <is>
          <t>A 64316-2019</t>
        </is>
      </c>
      <c r="B317" s="1" t="n">
        <v>43797</v>
      </c>
      <c r="C317" s="1" t="n">
        <v>45506</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64432-2019</t>
        </is>
      </c>
      <c r="B318" s="1" t="n">
        <v>43797</v>
      </c>
      <c r="C318" s="1" t="n">
        <v>45506</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66475-2019</t>
        </is>
      </c>
      <c r="B319" s="1" t="n">
        <v>43803</v>
      </c>
      <c r="C319" s="1" t="n">
        <v>45506</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67122-2019</t>
        </is>
      </c>
      <c r="B320" s="1" t="n">
        <v>43805</v>
      </c>
      <c r="C320" s="1" t="n">
        <v>45506</v>
      </c>
      <c r="D320" t="inlineStr">
        <is>
          <t>JÄMTLANDS LÄN</t>
        </is>
      </c>
      <c r="E320" t="inlineStr">
        <is>
          <t>RAGUNDA</t>
        </is>
      </c>
      <c r="G320" t="n">
        <v>0.2</v>
      </c>
      <c r="H320" t="n">
        <v>0</v>
      </c>
      <c r="I320" t="n">
        <v>0</v>
      </c>
      <c r="J320" t="n">
        <v>0</v>
      </c>
      <c r="K320" t="n">
        <v>0</v>
      </c>
      <c r="L320" t="n">
        <v>0</v>
      </c>
      <c r="M320" t="n">
        <v>0</v>
      </c>
      <c r="N320" t="n">
        <v>0</v>
      </c>
      <c r="O320" t="n">
        <v>0</v>
      </c>
      <c r="P320" t="n">
        <v>0</v>
      </c>
      <c r="Q320" t="n">
        <v>0</v>
      </c>
      <c r="R320" s="2" t="inlineStr"/>
    </row>
    <row r="321" ht="15" customHeight="1">
      <c r="A321" t="inlineStr">
        <is>
          <t>A 67285-2019</t>
        </is>
      </c>
      <c r="B321" s="1" t="n">
        <v>43812</v>
      </c>
      <c r="C321" s="1" t="n">
        <v>45506</v>
      </c>
      <c r="D321" t="inlineStr">
        <is>
          <t>JÄMTLANDS LÄN</t>
        </is>
      </c>
      <c r="E321" t="inlineStr">
        <is>
          <t>RAGUNDA</t>
        </is>
      </c>
      <c r="G321" t="n">
        <v>2.5</v>
      </c>
      <c r="H321" t="n">
        <v>0</v>
      </c>
      <c r="I321" t="n">
        <v>0</v>
      </c>
      <c r="J321" t="n">
        <v>0</v>
      </c>
      <c r="K321" t="n">
        <v>0</v>
      </c>
      <c r="L321" t="n">
        <v>0</v>
      </c>
      <c r="M321" t="n">
        <v>0</v>
      </c>
      <c r="N321" t="n">
        <v>0</v>
      </c>
      <c r="O321" t="n">
        <v>0</v>
      </c>
      <c r="P321" t="n">
        <v>0</v>
      </c>
      <c r="Q321" t="n">
        <v>0</v>
      </c>
      <c r="R321" s="2" t="inlineStr"/>
    </row>
    <row r="322" ht="15" customHeight="1">
      <c r="A322" t="inlineStr">
        <is>
          <t>A 68600-2019</t>
        </is>
      </c>
      <c r="B322" s="1" t="n">
        <v>43818</v>
      </c>
      <c r="C322" s="1" t="n">
        <v>45506</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68601-2019</t>
        </is>
      </c>
      <c r="B323" s="1" t="n">
        <v>43818</v>
      </c>
      <c r="C323" s="1" t="n">
        <v>45506</v>
      </c>
      <c r="D323" t="inlineStr">
        <is>
          <t>JÄMTLANDS LÄN</t>
        </is>
      </c>
      <c r="E323" t="inlineStr">
        <is>
          <t>RAGUNDA</t>
        </is>
      </c>
      <c r="G323" t="n">
        <v>1.9</v>
      </c>
      <c r="H323" t="n">
        <v>0</v>
      </c>
      <c r="I323" t="n">
        <v>0</v>
      </c>
      <c r="J323" t="n">
        <v>0</v>
      </c>
      <c r="K323" t="n">
        <v>0</v>
      </c>
      <c r="L323" t="n">
        <v>0</v>
      </c>
      <c r="M323" t="n">
        <v>0</v>
      </c>
      <c r="N323" t="n">
        <v>0</v>
      </c>
      <c r="O323" t="n">
        <v>0</v>
      </c>
      <c r="P323" t="n">
        <v>0</v>
      </c>
      <c r="Q323" t="n">
        <v>0</v>
      </c>
      <c r="R323" s="2" t="inlineStr"/>
    </row>
    <row r="324" ht="15" customHeight="1">
      <c r="A324" t="inlineStr">
        <is>
          <t>A 68840-2019</t>
        </is>
      </c>
      <c r="B324" s="1" t="n">
        <v>43819</v>
      </c>
      <c r="C324" s="1" t="n">
        <v>45506</v>
      </c>
      <c r="D324" t="inlineStr">
        <is>
          <t>JÄMTLANDS LÄN</t>
        </is>
      </c>
      <c r="E324" t="inlineStr">
        <is>
          <t>RAGUNDA</t>
        </is>
      </c>
      <c r="G324" t="n">
        <v>2.2</v>
      </c>
      <c r="H324" t="n">
        <v>0</v>
      </c>
      <c r="I324" t="n">
        <v>0</v>
      </c>
      <c r="J324" t="n">
        <v>0</v>
      </c>
      <c r="K324" t="n">
        <v>0</v>
      </c>
      <c r="L324" t="n">
        <v>0</v>
      </c>
      <c r="M324" t="n">
        <v>0</v>
      </c>
      <c r="N324" t="n">
        <v>0</v>
      </c>
      <c r="O324" t="n">
        <v>0</v>
      </c>
      <c r="P324" t="n">
        <v>0</v>
      </c>
      <c r="Q324" t="n">
        <v>0</v>
      </c>
      <c r="R324" s="2" t="inlineStr"/>
    </row>
    <row r="325" ht="15" customHeight="1">
      <c r="A325" t="inlineStr">
        <is>
          <t>A 1784-2020</t>
        </is>
      </c>
      <c r="B325" s="1" t="n">
        <v>43833</v>
      </c>
      <c r="C325" s="1" t="n">
        <v>45506</v>
      </c>
      <c r="D325" t="inlineStr">
        <is>
          <t>JÄMTLANDS LÄN</t>
        </is>
      </c>
      <c r="E325" t="inlineStr">
        <is>
          <t>RAGUNDA</t>
        </is>
      </c>
      <c r="G325" t="n">
        <v>15.5</v>
      </c>
      <c r="H325" t="n">
        <v>0</v>
      </c>
      <c r="I325" t="n">
        <v>0</v>
      </c>
      <c r="J325" t="n">
        <v>0</v>
      </c>
      <c r="K325" t="n">
        <v>0</v>
      </c>
      <c r="L325" t="n">
        <v>0</v>
      </c>
      <c r="M325" t="n">
        <v>0</v>
      </c>
      <c r="N325" t="n">
        <v>0</v>
      </c>
      <c r="O325" t="n">
        <v>0</v>
      </c>
      <c r="P325" t="n">
        <v>0</v>
      </c>
      <c r="Q325" t="n">
        <v>0</v>
      </c>
      <c r="R325" s="2" t="inlineStr"/>
    </row>
    <row r="326" ht="15" customHeight="1">
      <c r="A326" t="inlineStr">
        <is>
          <t>A 2636-2020</t>
        </is>
      </c>
      <c r="B326" s="1" t="n">
        <v>43847</v>
      </c>
      <c r="C326" s="1" t="n">
        <v>45506</v>
      </c>
      <c r="D326" t="inlineStr">
        <is>
          <t>JÄMTLANDS LÄN</t>
        </is>
      </c>
      <c r="E326" t="inlineStr">
        <is>
          <t>RAGUNDA</t>
        </is>
      </c>
      <c r="G326" t="n">
        <v>2.9</v>
      </c>
      <c r="H326" t="n">
        <v>0</v>
      </c>
      <c r="I326" t="n">
        <v>0</v>
      </c>
      <c r="J326" t="n">
        <v>0</v>
      </c>
      <c r="K326" t="n">
        <v>0</v>
      </c>
      <c r="L326" t="n">
        <v>0</v>
      </c>
      <c r="M326" t="n">
        <v>0</v>
      </c>
      <c r="N326" t="n">
        <v>0</v>
      </c>
      <c r="O326" t="n">
        <v>0</v>
      </c>
      <c r="P326" t="n">
        <v>0</v>
      </c>
      <c r="Q326" t="n">
        <v>0</v>
      </c>
      <c r="R326" s="2" t="inlineStr"/>
    </row>
    <row r="327" ht="15" customHeight="1">
      <c r="A327" t="inlineStr">
        <is>
          <t>A 2791-2020</t>
        </is>
      </c>
      <c r="B327" s="1" t="n">
        <v>43850</v>
      </c>
      <c r="C327" s="1" t="n">
        <v>45506</v>
      </c>
      <c r="D327" t="inlineStr">
        <is>
          <t>JÄMTLANDS LÄN</t>
        </is>
      </c>
      <c r="E327" t="inlineStr">
        <is>
          <t>RAGUNDA</t>
        </is>
      </c>
      <c r="G327" t="n">
        <v>1.1</v>
      </c>
      <c r="H327" t="n">
        <v>0</v>
      </c>
      <c r="I327" t="n">
        <v>0</v>
      </c>
      <c r="J327" t="n">
        <v>0</v>
      </c>
      <c r="K327" t="n">
        <v>0</v>
      </c>
      <c r="L327" t="n">
        <v>0</v>
      </c>
      <c r="M327" t="n">
        <v>0</v>
      </c>
      <c r="N327" t="n">
        <v>0</v>
      </c>
      <c r="O327" t="n">
        <v>0</v>
      </c>
      <c r="P327" t="n">
        <v>0</v>
      </c>
      <c r="Q327" t="n">
        <v>0</v>
      </c>
      <c r="R327" s="2" t="inlineStr"/>
    </row>
    <row r="328" ht="15" customHeight="1">
      <c r="A328" t="inlineStr">
        <is>
          <t>A 6051-2020</t>
        </is>
      </c>
      <c r="B328" s="1" t="n">
        <v>43861</v>
      </c>
      <c r="C328" s="1" t="n">
        <v>45506</v>
      </c>
      <c r="D328" t="inlineStr">
        <is>
          <t>JÄMTLANDS LÄN</t>
        </is>
      </c>
      <c r="E328" t="inlineStr">
        <is>
          <t>RAGUNDA</t>
        </is>
      </c>
      <c r="G328" t="n">
        <v>3.4</v>
      </c>
      <c r="H328" t="n">
        <v>0</v>
      </c>
      <c r="I328" t="n">
        <v>0</v>
      </c>
      <c r="J328" t="n">
        <v>0</v>
      </c>
      <c r="K328" t="n">
        <v>0</v>
      </c>
      <c r="L328" t="n">
        <v>0</v>
      </c>
      <c r="M328" t="n">
        <v>0</v>
      </c>
      <c r="N328" t="n">
        <v>0</v>
      </c>
      <c r="O328" t="n">
        <v>0</v>
      </c>
      <c r="P328" t="n">
        <v>0</v>
      </c>
      <c r="Q328" t="n">
        <v>0</v>
      </c>
      <c r="R328" s="2" t="inlineStr"/>
    </row>
    <row r="329" ht="15" customHeight="1">
      <c r="A329" t="inlineStr">
        <is>
          <t>A 7071-2020</t>
        </is>
      </c>
      <c r="B329" s="1" t="n">
        <v>43868</v>
      </c>
      <c r="C329" s="1" t="n">
        <v>45506</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7720-2020</t>
        </is>
      </c>
      <c r="B330" s="1" t="n">
        <v>43872</v>
      </c>
      <c r="C330" s="1" t="n">
        <v>45506</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8040-2020</t>
        </is>
      </c>
      <c r="B331" s="1" t="n">
        <v>43873</v>
      </c>
      <c r="C331" s="1" t="n">
        <v>45506</v>
      </c>
      <c r="D331" t="inlineStr">
        <is>
          <t>JÄMTLANDS LÄN</t>
        </is>
      </c>
      <c r="E331" t="inlineStr">
        <is>
          <t>RAGUNDA</t>
        </is>
      </c>
      <c r="G331" t="n">
        <v>14</v>
      </c>
      <c r="H331" t="n">
        <v>0</v>
      </c>
      <c r="I331" t="n">
        <v>0</v>
      </c>
      <c r="J331" t="n">
        <v>0</v>
      </c>
      <c r="K331" t="n">
        <v>0</v>
      </c>
      <c r="L331" t="n">
        <v>0</v>
      </c>
      <c r="M331" t="n">
        <v>0</v>
      </c>
      <c r="N331" t="n">
        <v>0</v>
      </c>
      <c r="O331" t="n">
        <v>0</v>
      </c>
      <c r="P331" t="n">
        <v>0</v>
      </c>
      <c r="Q331" t="n">
        <v>0</v>
      </c>
      <c r="R331" s="2" t="inlineStr"/>
    </row>
    <row r="332" ht="15" customHeight="1">
      <c r="A332" t="inlineStr">
        <is>
          <t>A 9527-2020</t>
        </is>
      </c>
      <c r="B332" s="1" t="n">
        <v>43880</v>
      </c>
      <c r="C332" s="1" t="n">
        <v>45506</v>
      </c>
      <c r="D332" t="inlineStr">
        <is>
          <t>JÄMTLANDS LÄN</t>
        </is>
      </c>
      <c r="E332" t="inlineStr">
        <is>
          <t>RAGUNDA</t>
        </is>
      </c>
      <c r="G332" t="n">
        <v>4.7</v>
      </c>
      <c r="H332" t="n">
        <v>0</v>
      </c>
      <c r="I332" t="n">
        <v>0</v>
      </c>
      <c r="J332" t="n">
        <v>0</v>
      </c>
      <c r="K332" t="n">
        <v>0</v>
      </c>
      <c r="L332" t="n">
        <v>0</v>
      </c>
      <c r="M332" t="n">
        <v>0</v>
      </c>
      <c r="N332" t="n">
        <v>0</v>
      </c>
      <c r="O332" t="n">
        <v>0</v>
      </c>
      <c r="P332" t="n">
        <v>0</v>
      </c>
      <c r="Q332" t="n">
        <v>0</v>
      </c>
      <c r="R332" s="2" t="inlineStr"/>
    </row>
    <row r="333" ht="15" customHeight="1">
      <c r="A333" t="inlineStr">
        <is>
          <t>A 9823-2020</t>
        </is>
      </c>
      <c r="B333" s="1" t="n">
        <v>43881</v>
      </c>
      <c r="C333" s="1" t="n">
        <v>45506</v>
      </c>
      <c r="D333" t="inlineStr">
        <is>
          <t>JÄMTLANDS LÄN</t>
        </is>
      </c>
      <c r="E333" t="inlineStr">
        <is>
          <t>RAGUNDA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9962-2020</t>
        </is>
      </c>
      <c r="B334" s="1" t="n">
        <v>43882</v>
      </c>
      <c r="C334" s="1" t="n">
        <v>45506</v>
      </c>
      <c r="D334" t="inlineStr">
        <is>
          <t>JÄMTLANDS LÄN</t>
        </is>
      </c>
      <c r="E334" t="inlineStr">
        <is>
          <t>RAGUNDA</t>
        </is>
      </c>
      <c r="G334" t="n">
        <v>1.2</v>
      </c>
      <c r="H334" t="n">
        <v>0</v>
      </c>
      <c r="I334" t="n">
        <v>0</v>
      </c>
      <c r="J334" t="n">
        <v>0</v>
      </c>
      <c r="K334" t="n">
        <v>0</v>
      </c>
      <c r="L334" t="n">
        <v>0</v>
      </c>
      <c r="M334" t="n">
        <v>0</v>
      </c>
      <c r="N334" t="n">
        <v>0</v>
      </c>
      <c r="O334" t="n">
        <v>0</v>
      </c>
      <c r="P334" t="n">
        <v>0</v>
      </c>
      <c r="Q334" t="n">
        <v>0</v>
      </c>
      <c r="R334" s="2" t="inlineStr"/>
    </row>
    <row r="335" ht="15" customHeight="1">
      <c r="A335" t="inlineStr">
        <is>
          <t>A 10642-2020</t>
        </is>
      </c>
      <c r="B335" s="1" t="n">
        <v>43887</v>
      </c>
      <c r="C335" s="1" t="n">
        <v>45506</v>
      </c>
      <c r="D335" t="inlineStr">
        <is>
          <t>JÄMTLANDS LÄN</t>
        </is>
      </c>
      <c r="E335" t="inlineStr">
        <is>
          <t>RAGUNDA</t>
        </is>
      </c>
      <c r="G335" t="n">
        <v>4.6</v>
      </c>
      <c r="H335" t="n">
        <v>0</v>
      </c>
      <c r="I335" t="n">
        <v>0</v>
      </c>
      <c r="J335" t="n">
        <v>0</v>
      </c>
      <c r="K335" t="n">
        <v>0</v>
      </c>
      <c r="L335" t="n">
        <v>0</v>
      </c>
      <c r="M335" t="n">
        <v>0</v>
      </c>
      <c r="N335" t="n">
        <v>0</v>
      </c>
      <c r="O335" t="n">
        <v>0</v>
      </c>
      <c r="P335" t="n">
        <v>0</v>
      </c>
      <c r="Q335" t="n">
        <v>0</v>
      </c>
      <c r="R335" s="2" t="inlineStr"/>
    </row>
    <row r="336" ht="15" customHeight="1">
      <c r="A336" t="inlineStr">
        <is>
          <t>A 12519-2020</t>
        </is>
      </c>
      <c r="B336" s="1" t="n">
        <v>43896</v>
      </c>
      <c r="C336" s="1" t="n">
        <v>45506</v>
      </c>
      <c r="D336" t="inlineStr">
        <is>
          <t>JÄMTLANDS LÄN</t>
        </is>
      </c>
      <c r="E336" t="inlineStr">
        <is>
          <t>RAGUNDA</t>
        </is>
      </c>
      <c r="F336" t="inlineStr">
        <is>
          <t>SCA</t>
        </is>
      </c>
      <c r="G336" t="n">
        <v>3.1</v>
      </c>
      <c r="H336" t="n">
        <v>0</v>
      </c>
      <c r="I336" t="n">
        <v>0</v>
      </c>
      <c r="J336" t="n">
        <v>0</v>
      </c>
      <c r="K336" t="n">
        <v>0</v>
      </c>
      <c r="L336" t="n">
        <v>0</v>
      </c>
      <c r="M336" t="n">
        <v>0</v>
      </c>
      <c r="N336" t="n">
        <v>0</v>
      </c>
      <c r="O336" t="n">
        <v>0</v>
      </c>
      <c r="P336" t="n">
        <v>0</v>
      </c>
      <c r="Q336" t="n">
        <v>0</v>
      </c>
      <c r="R336" s="2" t="inlineStr"/>
      <c r="U336">
        <f>HYPERLINK("https://klasma.github.io/Logging_2303/knärot/A 12519-2020 karta knärot.png", "A 12519-2020")</f>
        <v/>
      </c>
      <c r="V336">
        <f>HYPERLINK("https://klasma.github.io/Logging_2303/klagomål/A 12519-2020 FSC-klagomål.docx", "A 12519-2020")</f>
        <v/>
      </c>
      <c r="W336">
        <f>HYPERLINK("https://klasma.github.io/Logging_2303/klagomålsmail/A 12519-2020 FSC-klagomål mail.docx", "A 12519-2020")</f>
        <v/>
      </c>
      <c r="X336">
        <f>HYPERLINK("https://klasma.github.io/Logging_2303/tillsyn/A 12519-2020 tillsynsbegäran.docx", "A 12519-2020")</f>
        <v/>
      </c>
      <c r="Y336">
        <f>HYPERLINK("https://klasma.github.io/Logging_2303/tillsynsmail/A 12519-2020 tillsynsbegäran mail.docx", "A 12519-2020")</f>
        <v/>
      </c>
    </row>
    <row r="337" ht="15" customHeight="1">
      <c r="A337" t="inlineStr">
        <is>
          <t>A 13057-2020</t>
        </is>
      </c>
      <c r="B337" s="1" t="n">
        <v>43900</v>
      </c>
      <c r="C337" s="1" t="n">
        <v>45506</v>
      </c>
      <c r="D337" t="inlineStr">
        <is>
          <t>JÄMTLANDS LÄN</t>
        </is>
      </c>
      <c r="E337" t="inlineStr">
        <is>
          <t>RAGUNDA</t>
        </is>
      </c>
      <c r="G337" t="n">
        <v>10.8</v>
      </c>
      <c r="H337" t="n">
        <v>0</v>
      </c>
      <c r="I337" t="n">
        <v>0</v>
      </c>
      <c r="J337" t="n">
        <v>0</v>
      </c>
      <c r="K337" t="n">
        <v>0</v>
      </c>
      <c r="L337" t="n">
        <v>0</v>
      </c>
      <c r="M337" t="n">
        <v>0</v>
      </c>
      <c r="N337" t="n">
        <v>0</v>
      </c>
      <c r="O337" t="n">
        <v>0</v>
      </c>
      <c r="P337" t="n">
        <v>0</v>
      </c>
      <c r="Q337" t="n">
        <v>0</v>
      </c>
      <c r="R337" s="2" t="inlineStr"/>
    </row>
    <row r="338" ht="15" customHeight="1">
      <c r="A338" t="inlineStr">
        <is>
          <t>A 13202-2020</t>
        </is>
      </c>
      <c r="B338" s="1" t="n">
        <v>43901</v>
      </c>
      <c r="C338" s="1" t="n">
        <v>45506</v>
      </c>
      <c r="D338" t="inlineStr">
        <is>
          <t>JÄMTLANDS LÄN</t>
        </is>
      </c>
      <c r="E338" t="inlineStr">
        <is>
          <t>RAGUNDA</t>
        </is>
      </c>
      <c r="G338" t="n">
        <v>6.9</v>
      </c>
      <c r="H338" t="n">
        <v>0</v>
      </c>
      <c r="I338" t="n">
        <v>0</v>
      </c>
      <c r="J338" t="n">
        <v>0</v>
      </c>
      <c r="K338" t="n">
        <v>0</v>
      </c>
      <c r="L338" t="n">
        <v>0</v>
      </c>
      <c r="M338" t="n">
        <v>0</v>
      </c>
      <c r="N338" t="n">
        <v>0</v>
      </c>
      <c r="O338" t="n">
        <v>0</v>
      </c>
      <c r="P338" t="n">
        <v>0</v>
      </c>
      <c r="Q338" t="n">
        <v>0</v>
      </c>
      <c r="R338" s="2" t="inlineStr"/>
    </row>
    <row r="339" ht="15" customHeight="1">
      <c r="A339" t="inlineStr">
        <is>
          <t>A 13563-2020</t>
        </is>
      </c>
      <c r="B339" s="1" t="n">
        <v>43902</v>
      </c>
      <c r="C339" s="1" t="n">
        <v>45506</v>
      </c>
      <c r="D339" t="inlineStr">
        <is>
          <t>JÄMTLANDS LÄN</t>
        </is>
      </c>
      <c r="E339" t="inlineStr">
        <is>
          <t>RAGUNDA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14293-2020</t>
        </is>
      </c>
      <c r="B340" s="1" t="n">
        <v>43907</v>
      </c>
      <c r="C340" s="1" t="n">
        <v>45506</v>
      </c>
      <c r="D340" t="inlineStr">
        <is>
          <t>JÄMTLANDS LÄN</t>
        </is>
      </c>
      <c r="E340" t="inlineStr">
        <is>
          <t>RAGUNDA</t>
        </is>
      </c>
      <c r="G340" t="n">
        <v>2.7</v>
      </c>
      <c r="H340" t="n">
        <v>0</v>
      </c>
      <c r="I340" t="n">
        <v>0</v>
      </c>
      <c r="J340" t="n">
        <v>0</v>
      </c>
      <c r="K340" t="n">
        <v>0</v>
      </c>
      <c r="L340" t="n">
        <v>0</v>
      </c>
      <c r="M340" t="n">
        <v>0</v>
      </c>
      <c r="N340" t="n">
        <v>0</v>
      </c>
      <c r="O340" t="n">
        <v>0</v>
      </c>
      <c r="P340" t="n">
        <v>0</v>
      </c>
      <c r="Q340" t="n">
        <v>0</v>
      </c>
      <c r="R340" s="2" t="inlineStr"/>
    </row>
    <row r="341" ht="15" customHeight="1">
      <c r="A341" t="inlineStr">
        <is>
          <t>A 15117-2020</t>
        </is>
      </c>
      <c r="B341" s="1" t="n">
        <v>43910</v>
      </c>
      <c r="C341" s="1" t="n">
        <v>45506</v>
      </c>
      <c r="D341" t="inlineStr">
        <is>
          <t>JÄMTLANDS LÄN</t>
        </is>
      </c>
      <c r="E341" t="inlineStr">
        <is>
          <t>RAGUNDA</t>
        </is>
      </c>
      <c r="G341" t="n">
        <v>0.6</v>
      </c>
      <c r="H341" t="n">
        <v>0</v>
      </c>
      <c r="I341" t="n">
        <v>0</v>
      </c>
      <c r="J341" t="n">
        <v>0</v>
      </c>
      <c r="K341" t="n">
        <v>0</v>
      </c>
      <c r="L341" t="n">
        <v>0</v>
      </c>
      <c r="M341" t="n">
        <v>0</v>
      </c>
      <c r="N341" t="n">
        <v>0</v>
      </c>
      <c r="O341" t="n">
        <v>0</v>
      </c>
      <c r="P341" t="n">
        <v>0</v>
      </c>
      <c r="Q341" t="n">
        <v>0</v>
      </c>
      <c r="R341" s="2" t="inlineStr"/>
    </row>
    <row r="342" ht="15" customHeight="1">
      <c r="A342" t="inlineStr">
        <is>
          <t>A 15118-2020</t>
        </is>
      </c>
      <c r="B342" s="1" t="n">
        <v>43910</v>
      </c>
      <c r="C342" s="1" t="n">
        <v>45506</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15345-2020</t>
        </is>
      </c>
      <c r="B343" s="1" t="n">
        <v>43913</v>
      </c>
      <c r="C343" s="1" t="n">
        <v>45506</v>
      </c>
      <c r="D343" t="inlineStr">
        <is>
          <t>JÄMTLANDS LÄN</t>
        </is>
      </c>
      <c r="E343" t="inlineStr">
        <is>
          <t>RAGUNDA</t>
        </is>
      </c>
      <c r="G343" t="n">
        <v>1.9</v>
      </c>
      <c r="H343" t="n">
        <v>0</v>
      </c>
      <c r="I343" t="n">
        <v>0</v>
      </c>
      <c r="J343" t="n">
        <v>0</v>
      </c>
      <c r="K343" t="n">
        <v>0</v>
      </c>
      <c r="L343" t="n">
        <v>0</v>
      </c>
      <c r="M343" t="n">
        <v>0</v>
      </c>
      <c r="N343" t="n">
        <v>0</v>
      </c>
      <c r="O343" t="n">
        <v>0</v>
      </c>
      <c r="P343" t="n">
        <v>0</v>
      </c>
      <c r="Q343" t="n">
        <v>0</v>
      </c>
      <c r="R343" s="2" t="inlineStr"/>
    </row>
    <row r="344" ht="15" customHeight="1">
      <c r="A344" t="inlineStr">
        <is>
          <t>A 16044-2020</t>
        </is>
      </c>
      <c r="B344" s="1" t="n">
        <v>43916</v>
      </c>
      <c r="C344" s="1" t="n">
        <v>45506</v>
      </c>
      <c r="D344" t="inlineStr">
        <is>
          <t>JÄMTLANDS LÄN</t>
        </is>
      </c>
      <c r="E344" t="inlineStr">
        <is>
          <t>RAGUNDA</t>
        </is>
      </c>
      <c r="G344" t="n">
        <v>7.6</v>
      </c>
      <c r="H344" t="n">
        <v>0</v>
      </c>
      <c r="I344" t="n">
        <v>0</v>
      </c>
      <c r="J344" t="n">
        <v>0</v>
      </c>
      <c r="K344" t="n">
        <v>0</v>
      </c>
      <c r="L344" t="n">
        <v>0</v>
      </c>
      <c r="M344" t="n">
        <v>0</v>
      </c>
      <c r="N344" t="n">
        <v>0</v>
      </c>
      <c r="O344" t="n">
        <v>0</v>
      </c>
      <c r="P344" t="n">
        <v>0</v>
      </c>
      <c r="Q344" t="n">
        <v>0</v>
      </c>
      <c r="R344" s="2" t="inlineStr"/>
    </row>
    <row r="345" ht="15" customHeight="1">
      <c r="A345" t="inlineStr">
        <is>
          <t>A 17845-2020</t>
        </is>
      </c>
      <c r="B345" s="1" t="n">
        <v>43923</v>
      </c>
      <c r="C345" s="1" t="n">
        <v>45506</v>
      </c>
      <c r="D345" t="inlineStr">
        <is>
          <t>JÄMTLANDS LÄN</t>
        </is>
      </c>
      <c r="E345" t="inlineStr">
        <is>
          <t>RAGUNDA</t>
        </is>
      </c>
      <c r="G345" t="n">
        <v>12.1</v>
      </c>
      <c r="H345" t="n">
        <v>0</v>
      </c>
      <c r="I345" t="n">
        <v>0</v>
      </c>
      <c r="J345" t="n">
        <v>0</v>
      </c>
      <c r="K345" t="n">
        <v>0</v>
      </c>
      <c r="L345" t="n">
        <v>0</v>
      </c>
      <c r="M345" t="n">
        <v>0</v>
      </c>
      <c r="N345" t="n">
        <v>0</v>
      </c>
      <c r="O345" t="n">
        <v>0</v>
      </c>
      <c r="P345" t="n">
        <v>0</v>
      </c>
      <c r="Q345" t="n">
        <v>0</v>
      </c>
      <c r="R345" s="2" t="inlineStr"/>
    </row>
    <row r="346" ht="15" customHeight="1">
      <c r="A346" t="inlineStr">
        <is>
          <t>A 19918-2020</t>
        </is>
      </c>
      <c r="B346" s="1" t="n">
        <v>43943</v>
      </c>
      <c r="C346" s="1" t="n">
        <v>45506</v>
      </c>
      <c r="D346" t="inlineStr">
        <is>
          <t>JÄMTLANDS LÄN</t>
        </is>
      </c>
      <c r="E346" t="inlineStr">
        <is>
          <t>RAGUNDA</t>
        </is>
      </c>
      <c r="G346" t="n">
        <v>6.2</v>
      </c>
      <c r="H346" t="n">
        <v>0</v>
      </c>
      <c r="I346" t="n">
        <v>0</v>
      </c>
      <c r="J346" t="n">
        <v>0</v>
      </c>
      <c r="K346" t="n">
        <v>0</v>
      </c>
      <c r="L346" t="n">
        <v>0</v>
      </c>
      <c r="M346" t="n">
        <v>0</v>
      </c>
      <c r="N346" t="n">
        <v>0</v>
      </c>
      <c r="O346" t="n">
        <v>0</v>
      </c>
      <c r="P346" t="n">
        <v>0</v>
      </c>
      <c r="Q346" t="n">
        <v>0</v>
      </c>
      <c r="R346" s="2" t="inlineStr"/>
    </row>
    <row r="347" ht="15" customHeight="1">
      <c r="A347" t="inlineStr">
        <is>
          <t>A 20616-2020</t>
        </is>
      </c>
      <c r="B347" s="1" t="n">
        <v>43948</v>
      </c>
      <c r="C347" s="1" t="n">
        <v>45506</v>
      </c>
      <c r="D347" t="inlineStr">
        <is>
          <t>JÄMTLANDS LÄN</t>
        </is>
      </c>
      <c r="E347" t="inlineStr">
        <is>
          <t>RAGUNDA</t>
        </is>
      </c>
      <c r="G347" t="n">
        <v>4.1</v>
      </c>
      <c r="H347" t="n">
        <v>0</v>
      </c>
      <c r="I347" t="n">
        <v>0</v>
      </c>
      <c r="J347" t="n">
        <v>0</v>
      </c>
      <c r="K347" t="n">
        <v>0</v>
      </c>
      <c r="L347" t="n">
        <v>0</v>
      </c>
      <c r="M347" t="n">
        <v>0</v>
      </c>
      <c r="N347" t="n">
        <v>0</v>
      </c>
      <c r="O347" t="n">
        <v>0</v>
      </c>
      <c r="P347" t="n">
        <v>0</v>
      </c>
      <c r="Q347" t="n">
        <v>0</v>
      </c>
      <c r="R347" s="2" t="inlineStr"/>
    </row>
    <row r="348" ht="15" customHeight="1">
      <c r="A348" t="inlineStr">
        <is>
          <t>A 20815-2020</t>
        </is>
      </c>
      <c r="B348" s="1" t="n">
        <v>43949</v>
      </c>
      <c r="C348" s="1" t="n">
        <v>45506</v>
      </c>
      <c r="D348" t="inlineStr">
        <is>
          <t>JÄMTLANDS LÄN</t>
        </is>
      </c>
      <c r="E348" t="inlineStr">
        <is>
          <t>RAGUNDA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21172-2020</t>
        </is>
      </c>
      <c r="B349" s="1" t="n">
        <v>43951</v>
      </c>
      <c r="C349" s="1" t="n">
        <v>45506</v>
      </c>
      <c r="D349" t="inlineStr">
        <is>
          <t>JÄMTLANDS LÄN</t>
        </is>
      </c>
      <c r="E349" t="inlineStr">
        <is>
          <t>RAGUNDA</t>
        </is>
      </c>
      <c r="G349" t="n">
        <v>3.6</v>
      </c>
      <c r="H349" t="n">
        <v>0</v>
      </c>
      <c r="I349" t="n">
        <v>0</v>
      </c>
      <c r="J349" t="n">
        <v>0</v>
      </c>
      <c r="K349" t="n">
        <v>0</v>
      </c>
      <c r="L349" t="n">
        <v>0</v>
      </c>
      <c r="M349" t="n">
        <v>0</v>
      </c>
      <c r="N349" t="n">
        <v>0</v>
      </c>
      <c r="O349" t="n">
        <v>0</v>
      </c>
      <c r="P349" t="n">
        <v>0</v>
      </c>
      <c r="Q349" t="n">
        <v>0</v>
      </c>
      <c r="R349" s="2" t="inlineStr"/>
    </row>
    <row r="350" ht="15" customHeight="1">
      <c r="A350" t="inlineStr">
        <is>
          <t>A 21419-2020</t>
        </is>
      </c>
      <c r="B350" s="1" t="n">
        <v>43955</v>
      </c>
      <c r="C350" s="1" t="n">
        <v>45506</v>
      </c>
      <c r="D350" t="inlineStr">
        <is>
          <t>JÄMTLANDS LÄN</t>
        </is>
      </c>
      <c r="E350" t="inlineStr">
        <is>
          <t>RAGUNDA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21418-2020</t>
        </is>
      </c>
      <c r="B351" s="1" t="n">
        <v>43955</v>
      </c>
      <c r="C351" s="1" t="n">
        <v>45506</v>
      </c>
      <c r="D351" t="inlineStr">
        <is>
          <t>JÄMTLANDS LÄN</t>
        </is>
      </c>
      <c r="E351" t="inlineStr">
        <is>
          <t>RAGUNDA</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21420-2020</t>
        </is>
      </c>
      <c r="B352" s="1" t="n">
        <v>43955</v>
      </c>
      <c r="C352" s="1" t="n">
        <v>45506</v>
      </c>
      <c r="D352" t="inlineStr">
        <is>
          <t>JÄMTLANDS LÄN</t>
        </is>
      </c>
      <c r="E352" t="inlineStr">
        <is>
          <t>RAGUNDA</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21416-2020</t>
        </is>
      </c>
      <c r="B353" s="1" t="n">
        <v>43955</v>
      </c>
      <c r="C353" s="1" t="n">
        <v>45506</v>
      </c>
      <c r="D353" t="inlineStr">
        <is>
          <t>JÄMTLANDS LÄN</t>
        </is>
      </c>
      <c r="E353" t="inlineStr">
        <is>
          <t>RAGUNDA</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21593-2020</t>
        </is>
      </c>
      <c r="B354" s="1" t="n">
        <v>43956</v>
      </c>
      <c r="C354" s="1" t="n">
        <v>45506</v>
      </c>
      <c r="D354" t="inlineStr">
        <is>
          <t>JÄMTLANDS LÄN</t>
        </is>
      </c>
      <c r="E354" t="inlineStr">
        <is>
          <t>RAGUNDA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21681-2020</t>
        </is>
      </c>
      <c r="B355" s="1" t="n">
        <v>43957</v>
      </c>
      <c r="C355" s="1" t="n">
        <v>45506</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22108-2020</t>
        </is>
      </c>
      <c r="B356" s="1" t="n">
        <v>43960</v>
      </c>
      <c r="C356" s="1" t="n">
        <v>45506</v>
      </c>
      <c r="D356" t="inlineStr">
        <is>
          <t>JÄMTLANDS LÄN</t>
        </is>
      </c>
      <c r="E356" t="inlineStr">
        <is>
          <t>RAGUNDA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22115-2020</t>
        </is>
      </c>
      <c r="B357" s="1" t="n">
        <v>43960</v>
      </c>
      <c r="C357" s="1" t="n">
        <v>45506</v>
      </c>
      <c r="D357" t="inlineStr">
        <is>
          <t>JÄMTLANDS LÄN</t>
        </is>
      </c>
      <c r="E357" t="inlineStr">
        <is>
          <t>RAGUNDA</t>
        </is>
      </c>
      <c r="F357" t="inlineStr">
        <is>
          <t>SCA</t>
        </is>
      </c>
      <c r="G357" t="n">
        <v>8.6</v>
      </c>
      <c r="H357" t="n">
        <v>0</v>
      </c>
      <c r="I357" t="n">
        <v>0</v>
      </c>
      <c r="J357" t="n">
        <v>0</v>
      </c>
      <c r="K357" t="n">
        <v>0</v>
      </c>
      <c r="L357" t="n">
        <v>0</v>
      </c>
      <c r="M357" t="n">
        <v>0</v>
      </c>
      <c r="N357" t="n">
        <v>0</v>
      </c>
      <c r="O357" t="n">
        <v>0</v>
      </c>
      <c r="P357" t="n">
        <v>0</v>
      </c>
      <c r="Q357" t="n">
        <v>0</v>
      </c>
      <c r="R357" s="2" t="inlineStr"/>
    </row>
    <row r="358" ht="15" customHeight="1">
      <c r="A358" t="inlineStr">
        <is>
          <t>A 22948-2020</t>
        </is>
      </c>
      <c r="B358" s="1" t="n">
        <v>43965</v>
      </c>
      <c r="C358" s="1" t="n">
        <v>45506</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23633-2020</t>
        </is>
      </c>
      <c r="B359" s="1" t="n">
        <v>43969</v>
      </c>
      <c r="C359" s="1" t="n">
        <v>45506</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24033-2020</t>
        </is>
      </c>
      <c r="B360" s="1" t="n">
        <v>43971</v>
      </c>
      <c r="C360" s="1" t="n">
        <v>45506</v>
      </c>
      <c r="D360" t="inlineStr">
        <is>
          <t>JÄMTLANDS LÄN</t>
        </is>
      </c>
      <c r="E360" t="inlineStr">
        <is>
          <t>RAGUNDA</t>
        </is>
      </c>
      <c r="G360" t="n">
        <v>3.9</v>
      </c>
      <c r="H360" t="n">
        <v>0</v>
      </c>
      <c r="I360" t="n">
        <v>0</v>
      </c>
      <c r="J360" t="n">
        <v>0</v>
      </c>
      <c r="K360" t="n">
        <v>0</v>
      </c>
      <c r="L360" t="n">
        <v>0</v>
      </c>
      <c r="M360" t="n">
        <v>0</v>
      </c>
      <c r="N360" t="n">
        <v>0</v>
      </c>
      <c r="O360" t="n">
        <v>0</v>
      </c>
      <c r="P360" t="n">
        <v>0</v>
      </c>
      <c r="Q360" t="n">
        <v>0</v>
      </c>
      <c r="R360" s="2" t="inlineStr"/>
    </row>
    <row r="361" ht="15" customHeight="1">
      <c r="A361" t="inlineStr">
        <is>
          <t>A 24032-2020</t>
        </is>
      </c>
      <c r="B361" s="1" t="n">
        <v>43971</v>
      </c>
      <c r="C361" s="1" t="n">
        <v>45506</v>
      </c>
      <c r="D361" t="inlineStr">
        <is>
          <t>JÄMTLANDS LÄN</t>
        </is>
      </c>
      <c r="E361" t="inlineStr">
        <is>
          <t>RAGUNDA</t>
        </is>
      </c>
      <c r="G361" t="n">
        <v>6.9</v>
      </c>
      <c r="H361" t="n">
        <v>0</v>
      </c>
      <c r="I361" t="n">
        <v>0</v>
      </c>
      <c r="J361" t="n">
        <v>0</v>
      </c>
      <c r="K361" t="n">
        <v>0</v>
      </c>
      <c r="L361" t="n">
        <v>0</v>
      </c>
      <c r="M361" t="n">
        <v>0</v>
      </c>
      <c r="N361" t="n">
        <v>0</v>
      </c>
      <c r="O361" t="n">
        <v>0</v>
      </c>
      <c r="P361" t="n">
        <v>0</v>
      </c>
      <c r="Q361" t="n">
        <v>0</v>
      </c>
      <c r="R361" s="2" t="inlineStr"/>
    </row>
    <row r="362" ht="15" customHeight="1">
      <c r="A362" t="inlineStr">
        <is>
          <t>A 24640-2020</t>
        </is>
      </c>
      <c r="B362" s="1" t="n">
        <v>43977</v>
      </c>
      <c r="C362" s="1" t="n">
        <v>45506</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25115-2020</t>
        </is>
      </c>
      <c r="B363" s="1" t="n">
        <v>43979</v>
      </c>
      <c r="C363" s="1" t="n">
        <v>45506</v>
      </c>
      <c r="D363" t="inlineStr">
        <is>
          <t>JÄMTLANDS LÄN</t>
        </is>
      </c>
      <c r="E363" t="inlineStr">
        <is>
          <t>RAGUNDA</t>
        </is>
      </c>
      <c r="G363" t="n">
        <v>1</v>
      </c>
      <c r="H363" t="n">
        <v>0</v>
      </c>
      <c r="I363" t="n">
        <v>0</v>
      </c>
      <c r="J363" t="n">
        <v>0</v>
      </c>
      <c r="K363" t="n">
        <v>0</v>
      </c>
      <c r="L363" t="n">
        <v>0</v>
      </c>
      <c r="M363" t="n">
        <v>0</v>
      </c>
      <c r="N363" t="n">
        <v>0</v>
      </c>
      <c r="O363" t="n">
        <v>0</v>
      </c>
      <c r="P363" t="n">
        <v>0</v>
      </c>
      <c r="Q363" t="n">
        <v>0</v>
      </c>
      <c r="R363" s="2" t="inlineStr"/>
    </row>
    <row r="364" ht="15" customHeight="1">
      <c r="A364" t="inlineStr">
        <is>
          <t>A 25927-2020</t>
        </is>
      </c>
      <c r="B364" s="1" t="n">
        <v>43984</v>
      </c>
      <c r="C364" s="1" t="n">
        <v>45506</v>
      </c>
      <c r="D364" t="inlineStr">
        <is>
          <t>JÄMTLANDS LÄN</t>
        </is>
      </c>
      <c r="E364" t="inlineStr">
        <is>
          <t>RAGUNDA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25934-2020</t>
        </is>
      </c>
      <c r="B365" s="1" t="n">
        <v>43984</v>
      </c>
      <c r="C365" s="1" t="n">
        <v>45506</v>
      </c>
      <c r="D365" t="inlineStr">
        <is>
          <t>JÄMTLANDS LÄN</t>
        </is>
      </c>
      <c r="E365" t="inlineStr">
        <is>
          <t>RAGUNDA</t>
        </is>
      </c>
      <c r="F365" t="inlineStr">
        <is>
          <t>SCA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26264-2020</t>
        </is>
      </c>
      <c r="B366" s="1" t="n">
        <v>43986</v>
      </c>
      <c r="C366" s="1" t="n">
        <v>45506</v>
      </c>
      <c r="D366" t="inlineStr">
        <is>
          <t>JÄMTLANDS LÄN</t>
        </is>
      </c>
      <c r="E366" t="inlineStr">
        <is>
          <t>RAGUNDA</t>
        </is>
      </c>
      <c r="F366" t="inlineStr">
        <is>
          <t>Kommuner</t>
        </is>
      </c>
      <c r="G366" t="n">
        <v>5.5</v>
      </c>
      <c r="H366" t="n">
        <v>0</v>
      </c>
      <c r="I366" t="n">
        <v>0</v>
      </c>
      <c r="J366" t="n">
        <v>0</v>
      </c>
      <c r="K366" t="n">
        <v>0</v>
      </c>
      <c r="L366" t="n">
        <v>0</v>
      </c>
      <c r="M366" t="n">
        <v>0</v>
      </c>
      <c r="N366" t="n">
        <v>0</v>
      </c>
      <c r="O366" t="n">
        <v>0</v>
      </c>
      <c r="P366" t="n">
        <v>0</v>
      </c>
      <c r="Q366" t="n">
        <v>0</v>
      </c>
      <c r="R366" s="2" t="inlineStr"/>
    </row>
    <row r="367" ht="15" customHeight="1">
      <c r="A367" t="inlineStr">
        <is>
          <t>A 26262-2020</t>
        </is>
      </c>
      <c r="B367" s="1" t="n">
        <v>43986</v>
      </c>
      <c r="C367" s="1" t="n">
        <v>45506</v>
      </c>
      <c r="D367" t="inlineStr">
        <is>
          <t>JÄMTLANDS LÄN</t>
        </is>
      </c>
      <c r="E367" t="inlineStr">
        <is>
          <t>RAGUNDA</t>
        </is>
      </c>
      <c r="F367" t="inlineStr">
        <is>
          <t>Kommuner</t>
        </is>
      </c>
      <c r="G367" t="n">
        <v>3.3</v>
      </c>
      <c r="H367" t="n">
        <v>0</v>
      </c>
      <c r="I367" t="n">
        <v>0</v>
      </c>
      <c r="J367" t="n">
        <v>0</v>
      </c>
      <c r="K367" t="n">
        <v>0</v>
      </c>
      <c r="L367" t="n">
        <v>0</v>
      </c>
      <c r="M367" t="n">
        <v>0</v>
      </c>
      <c r="N367" t="n">
        <v>0</v>
      </c>
      <c r="O367" t="n">
        <v>0</v>
      </c>
      <c r="P367" t="n">
        <v>0</v>
      </c>
      <c r="Q367" t="n">
        <v>0</v>
      </c>
      <c r="R367" s="2" t="inlineStr"/>
    </row>
    <row r="368" ht="15" customHeight="1">
      <c r="A368" t="inlineStr">
        <is>
          <t>A 26966-2020</t>
        </is>
      </c>
      <c r="B368" s="1" t="n">
        <v>43990</v>
      </c>
      <c r="C368" s="1" t="n">
        <v>45506</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27366-2020</t>
        </is>
      </c>
      <c r="B369" s="1" t="n">
        <v>43992</v>
      </c>
      <c r="C369" s="1" t="n">
        <v>45506</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28776-2020</t>
        </is>
      </c>
      <c r="B370" s="1" t="n">
        <v>43999</v>
      </c>
      <c r="C370" s="1" t="n">
        <v>45506</v>
      </c>
      <c r="D370" t="inlineStr">
        <is>
          <t>JÄMTLANDS LÄN</t>
        </is>
      </c>
      <c r="E370" t="inlineStr">
        <is>
          <t>RAGUNDA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29382-2020</t>
        </is>
      </c>
      <c r="B371" s="1" t="n">
        <v>44000</v>
      </c>
      <c r="C371" s="1" t="n">
        <v>45506</v>
      </c>
      <c r="D371" t="inlineStr">
        <is>
          <t>JÄMTLANDS LÄN</t>
        </is>
      </c>
      <c r="E371" t="inlineStr">
        <is>
          <t>RAGUNDA</t>
        </is>
      </c>
      <c r="G371" t="n">
        <v>46.1</v>
      </c>
      <c r="H371" t="n">
        <v>0</v>
      </c>
      <c r="I371" t="n">
        <v>0</v>
      </c>
      <c r="J371" t="n">
        <v>0</v>
      </c>
      <c r="K371" t="n">
        <v>0</v>
      </c>
      <c r="L371" t="n">
        <v>0</v>
      </c>
      <c r="M371" t="n">
        <v>0</v>
      </c>
      <c r="N371" t="n">
        <v>0</v>
      </c>
      <c r="O371" t="n">
        <v>0</v>
      </c>
      <c r="P371" t="n">
        <v>0</v>
      </c>
      <c r="Q371" t="n">
        <v>0</v>
      </c>
      <c r="R371" s="2" t="inlineStr"/>
    </row>
    <row r="372" ht="15" customHeight="1">
      <c r="A372" t="inlineStr">
        <is>
          <t>A 29499-2020</t>
        </is>
      </c>
      <c r="B372" s="1" t="n">
        <v>44004</v>
      </c>
      <c r="C372" s="1" t="n">
        <v>45506</v>
      </c>
      <c r="D372" t="inlineStr">
        <is>
          <t>JÄMTLANDS LÄN</t>
        </is>
      </c>
      <c r="E372" t="inlineStr">
        <is>
          <t>RAGUNDA</t>
        </is>
      </c>
      <c r="F372" t="inlineStr">
        <is>
          <t>SCA</t>
        </is>
      </c>
      <c r="G372" t="n">
        <v>0.3</v>
      </c>
      <c r="H372" t="n">
        <v>0</v>
      </c>
      <c r="I372" t="n">
        <v>0</v>
      </c>
      <c r="J372" t="n">
        <v>0</v>
      </c>
      <c r="K372" t="n">
        <v>0</v>
      </c>
      <c r="L372" t="n">
        <v>0</v>
      </c>
      <c r="M372" t="n">
        <v>0</v>
      </c>
      <c r="N372" t="n">
        <v>0</v>
      </c>
      <c r="O372" t="n">
        <v>0</v>
      </c>
      <c r="P372" t="n">
        <v>0</v>
      </c>
      <c r="Q372" t="n">
        <v>0</v>
      </c>
      <c r="R372" s="2" t="inlineStr"/>
    </row>
    <row r="373" ht="15" customHeight="1">
      <c r="A373" t="inlineStr">
        <is>
          <t>A 30110-2020</t>
        </is>
      </c>
      <c r="B373" s="1" t="n">
        <v>44006</v>
      </c>
      <c r="C373" s="1" t="n">
        <v>45506</v>
      </c>
      <c r="D373" t="inlineStr">
        <is>
          <t>JÄMTLANDS LÄN</t>
        </is>
      </c>
      <c r="E373" t="inlineStr">
        <is>
          <t>RAGUNDA</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31043-2020</t>
        </is>
      </c>
      <c r="B374" s="1" t="n">
        <v>44011</v>
      </c>
      <c r="C374" s="1" t="n">
        <v>45506</v>
      </c>
      <c r="D374" t="inlineStr">
        <is>
          <t>JÄMTLANDS LÄN</t>
        </is>
      </c>
      <c r="E374" t="inlineStr">
        <is>
          <t>RAGUNDA</t>
        </is>
      </c>
      <c r="F374" t="inlineStr">
        <is>
          <t>SCA</t>
        </is>
      </c>
      <c r="G374" t="n">
        <v>6.9</v>
      </c>
      <c r="H374" t="n">
        <v>0</v>
      </c>
      <c r="I374" t="n">
        <v>0</v>
      </c>
      <c r="J374" t="n">
        <v>0</v>
      </c>
      <c r="K374" t="n">
        <v>0</v>
      </c>
      <c r="L374" t="n">
        <v>0</v>
      </c>
      <c r="M374" t="n">
        <v>0</v>
      </c>
      <c r="N374" t="n">
        <v>0</v>
      </c>
      <c r="O374" t="n">
        <v>0</v>
      </c>
      <c r="P374" t="n">
        <v>0</v>
      </c>
      <c r="Q374" t="n">
        <v>0</v>
      </c>
      <c r="R374" s="2" t="inlineStr"/>
    </row>
    <row r="375" ht="15" customHeight="1">
      <c r="A375" t="inlineStr">
        <is>
          <t>A 31649-2020</t>
        </is>
      </c>
      <c r="B375" s="1" t="n">
        <v>44013</v>
      </c>
      <c r="C375" s="1" t="n">
        <v>45506</v>
      </c>
      <c r="D375" t="inlineStr">
        <is>
          <t>JÄMTLANDS LÄN</t>
        </is>
      </c>
      <c r="E375" t="inlineStr">
        <is>
          <t>RAGUNDA</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31651-2020</t>
        </is>
      </c>
      <c r="B376" s="1" t="n">
        <v>44013</v>
      </c>
      <c r="C376" s="1" t="n">
        <v>45506</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31652-2020</t>
        </is>
      </c>
      <c r="B377" s="1" t="n">
        <v>44013</v>
      </c>
      <c r="C377" s="1" t="n">
        <v>45506</v>
      </c>
      <c r="D377" t="inlineStr">
        <is>
          <t>JÄMTLANDS LÄN</t>
        </is>
      </c>
      <c r="E377" t="inlineStr">
        <is>
          <t>RAGUNDA</t>
        </is>
      </c>
      <c r="F377" t="inlineStr">
        <is>
          <t>SCA</t>
        </is>
      </c>
      <c r="G377" t="n">
        <v>22.1</v>
      </c>
      <c r="H377" t="n">
        <v>0</v>
      </c>
      <c r="I377" t="n">
        <v>0</v>
      </c>
      <c r="J377" t="n">
        <v>0</v>
      </c>
      <c r="K377" t="n">
        <v>0</v>
      </c>
      <c r="L377" t="n">
        <v>0</v>
      </c>
      <c r="M377" t="n">
        <v>0</v>
      </c>
      <c r="N377" t="n">
        <v>0</v>
      </c>
      <c r="O377" t="n">
        <v>0</v>
      </c>
      <c r="P377" t="n">
        <v>0</v>
      </c>
      <c r="Q377" t="n">
        <v>0</v>
      </c>
      <c r="R377" s="2" t="inlineStr"/>
    </row>
    <row r="378" ht="15" customHeight="1">
      <c r="A378" t="inlineStr">
        <is>
          <t>A 32780-2020</t>
        </is>
      </c>
      <c r="B378" s="1" t="n">
        <v>44019</v>
      </c>
      <c r="C378" s="1" t="n">
        <v>45506</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33644-2020</t>
        </is>
      </c>
      <c r="B379" s="1" t="n">
        <v>44026</v>
      </c>
      <c r="C379" s="1" t="n">
        <v>45506</v>
      </c>
      <c r="D379" t="inlineStr">
        <is>
          <t>JÄMTLANDS LÄN</t>
        </is>
      </c>
      <c r="E379" t="inlineStr">
        <is>
          <t>RAGUNDA</t>
        </is>
      </c>
      <c r="G379" t="n">
        <v>4.8</v>
      </c>
      <c r="H379" t="n">
        <v>0</v>
      </c>
      <c r="I379" t="n">
        <v>0</v>
      </c>
      <c r="J379" t="n">
        <v>0</v>
      </c>
      <c r="K379" t="n">
        <v>0</v>
      </c>
      <c r="L379" t="n">
        <v>0</v>
      </c>
      <c r="M379" t="n">
        <v>0</v>
      </c>
      <c r="N379" t="n">
        <v>0</v>
      </c>
      <c r="O379" t="n">
        <v>0</v>
      </c>
      <c r="P379" t="n">
        <v>0</v>
      </c>
      <c r="Q379" t="n">
        <v>0</v>
      </c>
      <c r="R379" s="2" t="inlineStr"/>
    </row>
    <row r="380" ht="15" customHeight="1">
      <c r="A380" t="inlineStr">
        <is>
          <t>A 33932-2020</t>
        </is>
      </c>
      <c r="B380" s="1" t="n">
        <v>44027</v>
      </c>
      <c r="C380" s="1" t="n">
        <v>45506</v>
      </c>
      <c r="D380" t="inlineStr">
        <is>
          <t>JÄMTLANDS LÄN</t>
        </is>
      </c>
      <c r="E380" t="inlineStr">
        <is>
          <t>RAGUNDA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34204-2020</t>
        </is>
      </c>
      <c r="B381" s="1" t="n">
        <v>44029</v>
      </c>
      <c r="C381" s="1" t="n">
        <v>45506</v>
      </c>
      <c r="D381" t="inlineStr">
        <is>
          <t>JÄMTLANDS LÄN</t>
        </is>
      </c>
      <c r="E381" t="inlineStr">
        <is>
          <t>RAGUNDA</t>
        </is>
      </c>
      <c r="G381" t="n">
        <v>22.5</v>
      </c>
      <c r="H381" t="n">
        <v>0</v>
      </c>
      <c r="I381" t="n">
        <v>0</v>
      </c>
      <c r="J381" t="n">
        <v>0</v>
      </c>
      <c r="K381" t="n">
        <v>0</v>
      </c>
      <c r="L381" t="n">
        <v>0</v>
      </c>
      <c r="M381" t="n">
        <v>0</v>
      </c>
      <c r="N381" t="n">
        <v>0</v>
      </c>
      <c r="O381" t="n">
        <v>0</v>
      </c>
      <c r="P381" t="n">
        <v>0</v>
      </c>
      <c r="Q381" t="n">
        <v>0</v>
      </c>
      <c r="R381" s="2" t="inlineStr"/>
    </row>
    <row r="382" ht="15" customHeight="1">
      <c r="A382" t="inlineStr">
        <is>
          <t>A 34251-2020</t>
        </is>
      </c>
      <c r="B382" s="1" t="n">
        <v>44029</v>
      </c>
      <c r="C382" s="1" t="n">
        <v>45506</v>
      </c>
      <c r="D382" t="inlineStr">
        <is>
          <t>JÄMTLANDS LÄN</t>
        </is>
      </c>
      <c r="E382" t="inlineStr">
        <is>
          <t>RAGUNDA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35193-2020</t>
        </is>
      </c>
      <c r="B383" s="1" t="n">
        <v>44040</v>
      </c>
      <c r="C383" s="1" t="n">
        <v>45506</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35365-2020</t>
        </is>
      </c>
      <c r="B384" s="1" t="n">
        <v>44041</v>
      </c>
      <c r="C384" s="1" t="n">
        <v>45506</v>
      </c>
      <c r="D384" t="inlineStr">
        <is>
          <t>JÄMTLANDS LÄN</t>
        </is>
      </c>
      <c r="E384" t="inlineStr">
        <is>
          <t>RAGUNDA</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36674-2020</t>
        </is>
      </c>
      <c r="B385" s="1" t="n">
        <v>44051</v>
      </c>
      <c r="C385" s="1" t="n">
        <v>45506</v>
      </c>
      <c r="D385" t="inlineStr">
        <is>
          <t>JÄMTLANDS LÄN</t>
        </is>
      </c>
      <c r="E385" t="inlineStr">
        <is>
          <t>RAGUNDA</t>
        </is>
      </c>
      <c r="G385" t="n">
        <v>0.9</v>
      </c>
      <c r="H385" t="n">
        <v>0</v>
      </c>
      <c r="I385" t="n">
        <v>0</v>
      </c>
      <c r="J385" t="n">
        <v>0</v>
      </c>
      <c r="K385" t="n">
        <v>0</v>
      </c>
      <c r="L385" t="n">
        <v>0</v>
      </c>
      <c r="M385" t="n">
        <v>0</v>
      </c>
      <c r="N385" t="n">
        <v>0</v>
      </c>
      <c r="O385" t="n">
        <v>0</v>
      </c>
      <c r="P385" t="n">
        <v>0</v>
      </c>
      <c r="Q385" t="n">
        <v>0</v>
      </c>
      <c r="R385" s="2" t="inlineStr"/>
    </row>
    <row r="386" ht="15" customHeight="1">
      <c r="A386" t="inlineStr">
        <is>
          <t>A 36676-2020</t>
        </is>
      </c>
      <c r="B386" s="1" t="n">
        <v>44051</v>
      </c>
      <c r="C386" s="1" t="n">
        <v>45506</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37498-2020</t>
        </is>
      </c>
      <c r="B387" s="1" t="n">
        <v>44055</v>
      </c>
      <c r="C387" s="1" t="n">
        <v>45506</v>
      </c>
      <c r="D387" t="inlineStr">
        <is>
          <t>JÄMTLANDS LÄN</t>
        </is>
      </c>
      <c r="E387" t="inlineStr">
        <is>
          <t>RAGUNDA</t>
        </is>
      </c>
      <c r="G387" t="n">
        <v>2.4</v>
      </c>
      <c r="H387" t="n">
        <v>0</v>
      </c>
      <c r="I387" t="n">
        <v>0</v>
      </c>
      <c r="J387" t="n">
        <v>0</v>
      </c>
      <c r="K387" t="n">
        <v>0</v>
      </c>
      <c r="L387" t="n">
        <v>0</v>
      </c>
      <c r="M387" t="n">
        <v>0</v>
      </c>
      <c r="N387" t="n">
        <v>0</v>
      </c>
      <c r="O387" t="n">
        <v>0</v>
      </c>
      <c r="P387" t="n">
        <v>0</v>
      </c>
      <c r="Q387" t="n">
        <v>0</v>
      </c>
      <c r="R387" s="2" t="inlineStr"/>
    </row>
    <row r="388" ht="15" customHeight="1">
      <c r="A388" t="inlineStr">
        <is>
          <t>A 39474-2020</t>
        </is>
      </c>
      <c r="B388" s="1" t="n">
        <v>44056</v>
      </c>
      <c r="C388" s="1" t="n">
        <v>45506</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38106-2020</t>
        </is>
      </c>
      <c r="B389" s="1" t="n">
        <v>44057</v>
      </c>
      <c r="C389" s="1" t="n">
        <v>45506</v>
      </c>
      <c r="D389" t="inlineStr">
        <is>
          <t>JÄMTLANDS LÄN</t>
        </is>
      </c>
      <c r="E389" t="inlineStr">
        <is>
          <t>RAGUNDA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38098-2020</t>
        </is>
      </c>
      <c r="B390" s="1" t="n">
        <v>44057</v>
      </c>
      <c r="C390" s="1" t="n">
        <v>45506</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39040-2020</t>
        </is>
      </c>
      <c r="B391" s="1" t="n">
        <v>44062</v>
      </c>
      <c r="C391" s="1" t="n">
        <v>45506</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39340-2020</t>
        </is>
      </c>
      <c r="B392" s="1" t="n">
        <v>44063</v>
      </c>
      <c r="C392" s="1" t="n">
        <v>45506</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40051-2020</t>
        </is>
      </c>
      <c r="B393" s="1" t="n">
        <v>44067</v>
      </c>
      <c r="C393" s="1" t="n">
        <v>45506</v>
      </c>
      <c r="D393" t="inlineStr">
        <is>
          <t>JÄMTLANDS LÄN</t>
        </is>
      </c>
      <c r="E393" t="inlineStr">
        <is>
          <t>RAGUNDA</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v>
      </c>
      <c r="C394" s="1" t="n">
        <v>45506</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40742-2020</t>
        </is>
      </c>
      <c r="B395" s="1" t="n">
        <v>44069</v>
      </c>
      <c r="C395" s="1" t="n">
        <v>45506</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41346-2020</t>
        </is>
      </c>
      <c r="B396" s="1" t="n">
        <v>44071</v>
      </c>
      <c r="C396" s="1" t="n">
        <v>45506</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41889-2020</t>
        </is>
      </c>
      <c r="B397" s="1" t="n">
        <v>44075</v>
      </c>
      <c r="C397" s="1" t="n">
        <v>45506</v>
      </c>
      <c r="D397" t="inlineStr">
        <is>
          <t>JÄMTLANDS LÄN</t>
        </is>
      </c>
      <c r="E397" t="inlineStr">
        <is>
          <t>RAGUNDA</t>
        </is>
      </c>
      <c r="F397" t="inlineStr">
        <is>
          <t>SCA</t>
        </is>
      </c>
      <c r="G397" t="n">
        <v>11.4</v>
      </c>
      <c r="H397" t="n">
        <v>0</v>
      </c>
      <c r="I397" t="n">
        <v>0</v>
      </c>
      <c r="J397" t="n">
        <v>0</v>
      </c>
      <c r="K397" t="n">
        <v>0</v>
      </c>
      <c r="L397" t="n">
        <v>0</v>
      </c>
      <c r="M397" t="n">
        <v>0</v>
      </c>
      <c r="N397" t="n">
        <v>0</v>
      </c>
      <c r="O397" t="n">
        <v>0</v>
      </c>
      <c r="P397" t="n">
        <v>0</v>
      </c>
      <c r="Q397" t="n">
        <v>0</v>
      </c>
      <c r="R397" s="2" t="inlineStr"/>
    </row>
    <row r="398" ht="15" customHeight="1">
      <c r="A398" t="inlineStr">
        <is>
          <t>A 41875-2020</t>
        </is>
      </c>
      <c r="B398" s="1" t="n">
        <v>44074</v>
      </c>
      <c r="C398" s="1" t="n">
        <v>45506</v>
      </c>
      <c r="D398" t="inlineStr">
        <is>
          <t>JÄMTLANDS LÄN</t>
        </is>
      </c>
      <c r="E398" t="inlineStr">
        <is>
          <t>RAGUNDA</t>
        </is>
      </c>
      <c r="F398" t="inlineStr">
        <is>
          <t>Naturvårdsverket</t>
        </is>
      </c>
      <c r="G398" t="n">
        <v>3.3</v>
      </c>
      <c r="H398" t="n">
        <v>0</v>
      </c>
      <c r="I398" t="n">
        <v>0</v>
      </c>
      <c r="J398" t="n">
        <v>0</v>
      </c>
      <c r="K398" t="n">
        <v>0</v>
      </c>
      <c r="L398" t="n">
        <v>0</v>
      </c>
      <c r="M398" t="n">
        <v>0</v>
      </c>
      <c r="N398" t="n">
        <v>0</v>
      </c>
      <c r="O398" t="n">
        <v>0</v>
      </c>
      <c r="P398" t="n">
        <v>0</v>
      </c>
      <c r="Q398" t="n">
        <v>0</v>
      </c>
      <c r="R398" s="2" t="inlineStr"/>
    </row>
    <row r="399" ht="15" customHeight="1">
      <c r="A399" t="inlineStr">
        <is>
          <t>A 41887-2020</t>
        </is>
      </c>
      <c r="B399" s="1" t="n">
        <v>44074</v>
      </c>
      <c r="C399" s="1" t="n">
        <v>45506</v>
      </c>
      <c r="D399" t="inlineStr">
        <is>
          <t>JÄMTLANDS LÄN</t>
        </is>
      </c>
      <c r="E399" t="inlineStr">
        <is>
          <t>RAGUNDA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41885-2020</t>
        </is>
      </c>
      <c r="B400" s="1" t="n">
        <v>44074</v>
      </c>
      <c r="C400" s="1" t="n">
        <v>45506</v>
      </c>
      <c r="D400" t="inlineStr">
        <is>
          <t>JÄMTLANDS LÄN</t>
        </is>
      </c>
      <c r="E400" t="inlineStr">
        <is>
          <t>RAGUNDA</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42208-2020</t>
        </is>
      </c>
      <c r="B401" s="1" t="n">
        <v>44075</v>
      </c>
      <c r="C401" s="1" t="n">
        <v>45506</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42899-2020</t>
        </is>
      </c>
      <c r="B402" s="1" t="n">
        <v>44078</v>
      </c>
      <c r="C402" s="1" t="n">
        <v>45506</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43828-2020</t>
        </is>
      </c>
      <c r="B403" s="1" t="n">
        <v>44082</v>
      </c>
      <c r="C403" s="1" t="n">
        <v>45506</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44511-2020</t>
        </is>
      </c>
      <c r="B404" s="1" t="n">
        <v>44084</v>
      </c>
      <c r="C404" s="1" t="n">
        <v>45506</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44498-2020</t>
        </is>
      </c>
      <c r="B405" s="1" t="n">
        <v>44084</v>
      </c>
      <c r="C405" s="1" t="n">
        <v>45506</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45272-2020</t>
        </is>
      </c>
      <c r="B406" s="1" t="n">
        <v>44084</v>
      </c>
      <c r="C406" s="1" t="n">
        <v>45506</v>
      </c>
      <c r="D406" t="inlineStr">
        <is>
          <t>JÄMTLANDS LÄN</t>
        </is>
      </c>
      <c r="E406" t="inlineStr">
        <is>
          <t>RAGUNDA</t>
        </is>
      </c>
      <c r="G406" t="n">
        <v>4.7</v>
      </c>
      <c r="H406" t="n">
        <v>0</v>
      </c>
      <c r="I406" t="n">
        <v>0</v>
      </c>
      <c r="J406" t="n">
        <v>0</v>
      </c>
      <c r="K406" t="n">
        <v>0</v>
      </c>
      <c r="L406" t="n">
        <v>0</v>
      </c>
      <c r="M406" t="n">
        <v>0</v>
      </c>
      <c r="N406" t="n">
        <v>0</v>
      </c>
      <c r="O406" t="n">
        <v>0</v>
      </c>
      <c r="P406" t="n">
        <v>0</v>
      </c>
      <c r="Q406" t="n">
        <v>0</v>
      </c>
      <c r="R406" s="2" t="inlineStr"/>
    </row>
    <row r="407" ht="15" customHeight="1">
      <c r="A407" t="inlineStr">
        <is>
          <t>A 46920-2020</t>
        </is>
      </c>
      <c r="B407" s="1" t="n">
        <v>44090</v>
      </c>
      <c r="C407" s="1" t="n">
        <v>45506</v>
      </c>
      <c r="D407" t="inlineStr">
        <is>
          <t>JÄMTLANDS LÄN</t>
        </is>
      </c>
      <c r="E407" t="inlineStr">
        <is>
          <t>RAGUNDA</t>
        </is>
      </c>
      <c r="G407" t="n">
        <v>4</v>
      </c>
      <c r="H407" t="n">
        <v>0</v>
      </c>
      <c r="I407" t="n">
        <v>0</v>
      </c>
      <c r="J407" t="n">
        <v>0</v>
      </c>
      <c r="K407" t="n">
        <v>0</v>
      </c>
      <c r="L407" t="n">
        <v>0</v>
      </c>
      <c r="M407" t="n">
        <v>0</v>
      </c>
      <c r="N407" t="n">
        <v>0</v>
      </c>
      <c r="O407" t="n">
        <v>0</v>
      </c>
      <c r="P407" t="n">
        <v>0</v>
      </c>
      <c r="Q407" t="n">
        <v>0</v>
      </c>
      <c r="R407" s="2" t="inlineStr"/>
    </row>
    <row r="408" ht="15" customHeight="1">
      <c r="A408" t="inlineStr">
        <is>
          <t>A 46496-2020</t>
        </is>
      </c>
      <c r="B408" s="1" t="n">
        <v>44095</v>
      </c>
      <c r="C408" s="1" t="n">
        <v>45506</v>
      </c>
      <c r="D408" t="inlineStr">
        <is>
          <t>JÄMTLANDS LÄN</t>
        </is>
      </c>
      <c r="E408" t="inlineStr">
        <is>
          <t>RAGUNDA</t>
        </is>
      </c>
      <c r="G408" t="n">
        <v>2</v>
      </c>
      <c r="H408" t="n">
        <v>0</v>
      </c>
      <c r="I408" t="n">
        <v>0</v>
      </c>
      <c r="J408" t="n">
        <v>0</v>
      </c>
      <c r="K408" t="n">
        <v>0</v>
      </c>
      <c r="L408" t="n">
        <v>0</v>
      </c>
      <c r="M408" t="n">
        <v>0</v>
      </c>
      <c r="N408" t="n">
        <v>0</v>
      </c>
      <c r="O408" t="n">
        <v>0</v>
      </c>
      <c r="P408" t="n">
        <v>0</v>
      </c>
      <c r="Q408" t="n">
        <v>0</v>
      </c>
      <c r="R408" s="2" t="inlineStr"/>
    </row>
    <row r="409" ht="15" customHeight="1">
      <c r="A409" t="inlineStr">
        <is>
          <t>A 47122-2020</t>
        </is>
      </c>
      <c r="B409" s="1" t="n">
        <v>44096</v>
      </c>
      <c r="C409" s="1" t="n">
        <v>45506</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47131-2020</t>
        </is>
      </c>
      <c r="B410" s="1" t="n">
        <v>44096</v>
      </c>
      <c r="C410" s="1" t="n">
        <v>45506</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47825-2020</t>
        </is>
      </c>
      <c r="B411" s="1" t="n">
        <v>44098</v>
      </c>
      <c r="C411" s="1" t="n">
        <v>45506</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48056-2020</t>
        </is>
      </c>
      <c r="B412" s="1" t="n">
        <v>44099</v>
      </c>
      <c r="C412" s="1" t="n">
        <v>45506</v>
      </c>
      <c r="D412" t="inlineStr">
        <is>
          <t>JÄMTLANDS LÄN</t>
        </is>
      </c>
      <c r="E412" t="inlineStr">
        <is>
          <t>RAGUNDA</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48806-2020</t>
        </is>
      </c>
      <c r="B413" s="1" t="n">
        <v>44103</v>
      </c>
      <c r="C413" s="1" t="n">
        <v>45506</v>
      </c>
      <c r="D413" t="inlineStr">
        <is>
          <t>JÄMTLANDS LÄN</t>
        </is>
      </c>
      <c r="E413" t="inlineStr">
        <is>
          <t>RAGUNDA</t>
        </is>
      </c>
      <c r="F413" t="inlineStr">
        <is>
          <t>Naturvårdsverket</t>
        </is>
      </c>
      <c r="G413" t="n">
        <v>3</v>
      </c>
      <c r="H413" t="n">
        <v>0</v>
      </c>
      <c r="I413" t="n">
        <v>0</v>
      </c>
      <c r="J413" t="n">
        <v>0</v>
      </c>
      <c r="K413" t="n">
        <v>0</v>
      </c>
      <c r="L413" t="n">
        <v>0</v>
      </c>
      <c r="M413" t="n">
        <v>0</v>
      </c>
      <c r="N413" t="n">
        <v>0</v>
      </c>
      <c r="O413" t="n">
        <v>0</v>
      </c>
      <c r="P413" t="n">
        <v>0</v>
      </c>
      <c r="Q413" t="n">
        <v>0</v>
      </c>
      <c r="R413" s="2" t="inlineStr"/>
    </row>
    <row r="414" ht="15" customHeight="1">
      <c r="A414" t="inlineStr">
        <is>
          <t>A 51481-2020</t>
        </is>
      </c>
      <c r="B414" s="1" t="n">
        <v>44106</v>
      </c>
      <c r="C414" s="1" t="n">
        <v>45506</v>
      </c>
      <c r="D414" t="inlineStr">
        <is>
          <t>JÄMTLANDS LÄN</t>
        </is>
      </c>
      <c r="E414" t="inlineStr">
        <is>
          <t>RAGUNDA</t>
        </is>
      </c>
      <c r="G414" t="n">
        <v>4</v>
      </c>
      <c r="H414" t="n">
        <v>0</v>
      </c>
      <c r="I414" t="n">
        <v>0</v>
      </c>
      <c r="J414" t="n">
        <v>0</v>
      </c>
      <c r="K414" t="n">
        <v>0</v>
      </c>
      <c r="L414" t="n">
        <v>0</v>
      </c>
      <c r="M414" t="n">
        <v>0</v>
      </c>
      <c r="N414" t="n">
        <v>0</v>
      </c>
      <c r="O414" t="n">
        <v>0</v>
      </c>
      <c r="P414" t="n">
        <v>0</v>
      </c>
      <c r="Q414" t="n">
        <v>0</v>
      </c>
      <c r="R414" s="2" t="inlineStr"/>
    </row>
    <row r="415" ht="15" customHeight="1">
      <c r="A415" t="inlineStr">
        <is>
          <t>A 50988-2020</t>
        </is>
      </c>
      <c r="B415" s="1" t="n">
        <v>44111</v>
      </c>
      <c r="C415" s="1" t="n">
        <v>45506</v>
      </c>
      <c r="D415" t="inlineStr">
        <is>
          <t>JÄMTLANDS LÄN</t>
        </is>
      </c>
      <c r="E415" t="inlineStr">
        <is>
          <t>RAGUNDA</t>
        </is>
      </c>
      <c r="G415" t="n">
        <v>2.6</v>
      </c>
      <c r="H415" t="n">
        <v>0</v>
      </c>
      <c r="I415" t="n">
        <v>0</v>
      </c>
      <c r="J415" t="n">
        <v>0</v>
      </c>
      <c r="K415" t="n">
        <v>0</v>
      </c>
      <c r="L415" t="n">
        <v>0</v>
      </c>
      <c r="M415" t="n">
        <v>0</v>
      </c>
      <c r="N415" t="n">
        <v>0</v>
      </c>
      <c r="O415" t="n">
        <v>0</v>
      </c>
      <c r="P415" t="n">
        <v>0</v>
      </c>
      <c r="Q415" t="n">
        <v>0</v>
      </c>
      <c r="R415" s="2" t="inlineStr"/>
    </row>
    <row r="416" ht="15" customHeight="1">
      <c r="A416" t="inlineStr">
        <is>
          <t>A 51016-2020</t>
        </is>
      </c>
      <c r="B416" s="1" t="n">
        <v>44111</v>
      </c>
      <c r="C416" s="1" t="n">
        <v>45506</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51004-2020</t>
        </is>
      </c>
      <c r="B417" s="1" t="n">
        <v>44111</v>
      </c>
      <c r="C417" s="1" t="n">
        <v>45506</v>
      </c>
      <c r="D417" t="inlineStr">
        <is>
          <t>JÄMTLANDS LÄN</t>
        </is>
      </c>
      <c r="E417" t="inlineStr">
        <is>
          <t>RAGUNDA</t>
        </is>
      </c>
      <c r="G417" t="n">
        <v>2.8</v>
      </c>
      <c r="H417" t="n">
        <v>0</v>
      </c>
      <c r="I417" t="n">
        <v>0</v>
      </c>
      <c r="J417" t="n">
        <v>0</v>
      </c>
      <c r="K417" t="n">
        <v>0</v>
      </c>
      <c r="L417" t="n">
        <v>0</v>
      </c>
      <c r="M417" t="n">
        <v>0</v>
      </c>
      <c r="N417" t="n">
        <v>0</v>
      </c>
      <c r="O417" t="n">
        <v>0</v>
      </c>
      <c r="P417" t="n">
        <v>0</v>
      </c>
      <c r="Q417" t="n">
        <v>0</v>
      </c>
      <c r="R417" s="2" t="inlineStr"/>
    </row>
    <row r="418" ht="15" customHeight="1">
      <c r="A418" t="inlineStr">
        <is>
          <t>A 51685-2020</t>
        </is>
      </c>
      <c r="B418" s="1" t="n">
        <v>44113</v>
      </c>
      <c r="C418" s="1" t="n">
        <v>45506</v>
      </c>
      <c r="D418" t="inlineStr">
        <is>
          <t>JÄMTLANDS LÄN</t>
        </is>
      </c>
      <c r="E418" t="inlineStr">
        <is>
          <t>RAGUNDA</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53522-2020</t>
        </is>
      </c>
      <c r="B419" s="1" t="n">
        <v>44124</v>
      </c>
      <c r="C419" s="1" t="n">
        <v>45506</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54199-2020</t>
        </is>
      </c>
      <c r="B420" s="1" t="n">
        <v>44126</v>
      </c>
      <c r="C420" s="1" t="n">
        <v>45506</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54580-2020</t>
        </is>
      </c>
      <c r="B421" s="1" t="n">
        <v>44126</v>
      </c>
      <c r="C421" s="1" t="n">
        <v>45506</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55309-2020</t>
        </is>
      </c>
      <c r="B422" s="1" t="n">
        <v>44130</v>
      </c>
      <c r="C422" s="1" t="n">
        <v>45506</v>
      </c>
      <c r="D422" t="inlineStr">
        <is>
          <t>JÄMTLANDS LÄN</t>
        </is>
      </c>
      <c r="E422" t="inlineStr">
        <is>
          <t>RAGUNDA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55926-2020</t>
        </is>
      </c>
      <c r="B423" s="1" t="n">
        <v>44132</v>
      </c>
      <c r="C423" s="1" t="n">
        <v>45506</v>
      </c>
      <c r="D423" t="inlineStr">
        <is>
          <t>JÄMTLANDS LÄN</t>
        </is>
      </c>
      <c r="E423" t="inlineStr">
        <is>
          <t>RAGUNDA</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56339-2020</t>
        </is>
      </c>
      <c r="B424" s="1" t="n">
        <v>44134</v>
      </c>
      <c r="C424" s="1" t="n">
        <v>45506</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56760-2020</t>
        </is>
      </c>
      <c r="B425" s="1" t="n">
        <v>44137</v>
      </c>
      <c r="C425" s="1" t="n">
        <v>45506</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57246-2020</t>
        </is>
      </c>
      <c r="B426" s="1" t="n">
        <v>44138</v>
      </c>
      <c r="C426" s="1" t="n">
        <v>45506</v>
      </c>
      <c r="D426" t="inlineStr">
        <is>
          <t>JÄMTLANDS LÄN</t>
        </is>
      </c>
      <c r="E426" t="inlineStr">
        <is>
          <t>RAGUNDA</t>
        </is>
      </c>
      <c r="G426" t="n">
        <v>3.1</v>
      </c>
      <c r="H426" t="n">
        <v>0</v>
      </c>
      <c r="I426" t="n">
        <v>0</v>
      </c>
      <c r="J426" t="n">
        <v>0</v>
      </c>
      <c r="K426" t="n">
        <v>0</v>
      </c>
      <c r="L426" t="n">
        <v>0</v>
      </c>
      <c r="M426" t="n">
        <v>0</v>
      </c>
      <c r="N426" t="n">
        <v>0</v>
      </c>
      <c r="O426" t="n">
        <v>0</v>
      </c>
      <c r="P426" t="n">
        <v>0</v>
      </c>
      <c r="Q426" t="n">
        <v>0</v>
      </c>
      <c r="R426" s="2" t="inlineStr"/>
    </row>
    <row r="427" ht="15" customHeight="1">
      <c r="A427" t="inlineStr">
        <is>
          <t>A 57731-2020</t>
        </is>
      </c>
      <c r="B427" s="1" t="n">
        <v>44140</v>
      </c>
      <c r="C427" s="1" t="n">
        <v>45506</v>
      </c>
      <c r="D427" t="inlineStr">
        <is>
          <t>JÄMTLANDS LÄN</t>
        </is>
      </c>
      <c r="E427" t="inlineStr">
        <is>
          <t>RAGUNDA</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57717-2020</t>
        </is>
      </c>
      <c r="B428" s="1" t="n">
        <v>44140</v>
      </c>
      <c r="C428" s="1" t="n">
        <v>45506</v>
      </c>
      <c r="D428" t="inlineStr">
        <is>
          <t>JÄMTLANDS LÄN</t>
        </is>
      </c>
      <c r="E428" t="inlineStr">
        <is>
          <t>RAGUNDA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57730-2020</t>
        </is>
      </c>
      <c r="B429" s="1" t="n">
        <v>44140</v>
      </c>
      <c r="C429" s="1" t="n">
        <v>45506</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57713-2020</t>
        </is>
      </c>
      <c r="B430" s="1" t="n">
        <v>44140</v>
      </c>
      <c r="C430" s="1" t="n">
        <v>45506</v>
      </c>
      <c r="D430" t="inlineStr">
        <is>
          <t>JÄMTLANDS LÄN</t>
        </is>
      </c>
      <c r="E430" t="inlineStr">
        <is>
          <t>RAGUNDA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57941-2020</t>
        </is>
      </c>
      <c r="B431" s="1" t="n">
        <v>44141</v>
      </c>
      <c r="C431" s="1" t="n">
        <v>45506</v>
      </c>
      <c r="D431" t="inlineStr">
        <is>
          <t>JÄMTLANDS LÄN</t>
        </is>
      </c>
      <c r="E431" t="inlineStr">
        <is>
          <t>RAGUNDA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60744-2020</t>
        </is>
      </c>
      <c r="B432" s="1" t="n">
        <v>44153</v>
      </c>
      <c r="C432" s="1" t="n">
        <v>45506</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61088-2020</t>
        </is>
      </c>
      <c r="B433" s="1" t="n">
        <v>44153</v>
      </c>
      <c r="C433" s="1" t="n">
        <v>45506</v>
      </c>
      <c r="D433" t="inlineStr">
        <is>
          <t>JÄMTLANDS LÄN</t>
        </is>
      </c>
      <c r="E433" t="inlineStr">
        <is>
          <t>RAGUNDA</t>
        </is>
      </c>
      <c r="G433" t="n">
        <v>1.2</v>
      </c>
      <c r="H433" t="n">
        <v>0</v>
      </c>
      <c r="I433" t="n">
        <v>0</v>
      </c>
      <c r="J433" t="n">
        <v>0</v>
      </c>
      <c r="K433" t="n">
        <v>0</v>
      </c>
      <c r="L433" t="n">
        <v>0</v>
      </c>
      <c r="M433" t="n">
        <v>0</v>
      </c>
      <c r="N433" t="n">
        <v>0</v>
      </c>
      <c r="O433" t="n">
        <v>0</v>
      </c>
      <c r="P433" t="n">
        <v>0</v>
      </c>
      <c r="Q433" t="n">
        <v>0</v>
      </c>
      <c r="R433" s="2" t="inlineStr"/>
    </row>
    <row r="434" ht="15" customHeight="1">
      <c r="A434" t="inlineStr">
        <is>
          <t>A 61395-2020</t>
        </is>
      </c>
      <c r="B434" s="1" t="n">
        <v>44155</v>
      </c>
      <c r="C434" s="1" t="n">
        <v>45506</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61441-2020</t>
        </is>
      </c>
      <c r="B435" s="1" t="n">
        <v>44157</v>
      </c>
      <c r="C435" s="1" t="n">
        <v>45506</v>
      </c>
      <c r="D435" t="inlineStr">
        <is>
          <t>JÄMTLANDS LÄN</t>
        </is>
      </c>
      <c r="E435" t="inlineStr">
        <is>
          <t>RAGUNDA</t>
        </is>
      </c>
      <c r="G435" t="n">
        <v>0.4</v>
      </c>
      <c r="H435" t="n">
        <v>0</v>
      </c>
      <c r="I435" t="n">
        <v>0</v>
      </c>
      <c r="J435" t="n">
        <v>0</v>
      </c>
      <c r="K435" t="n">
        <v>0</v>
      </c>
      <c r="L435" t="n">
        <v>0</v>
      </c>
      <c r="M435" t="n">
        <v>0</v>
      </c>
      <c r="N435" t="n">
        <v>0</v>
      </c>
      <c r="O435" t="n">
        <v>0</v>
      </c>
      <c r="P435" t="n">
        <v>0</v>
      </c>
      <c r="Q435" t="n">
        <v>0</v>
      </c>
      <c r="R435" s="2" t="inlineStr"/>
    </row>
    <row r="436" ht="15" customHeight="1">
      <c r="A436" t="inlineStr">
        <is>
          <t>A 62228-2020</t>
        </is>
      </c>
      <c r="B436" s="1" t="n">
        <v>44159</v>
      </c>
      <c r="C436" s="1" t="n">
        <v>45506</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63606-2020</t>
        </is>
      </c>
      <c r="B437" s="1" t="n">
        <v>44165</v>
      </c>
      <c r="C437" s="1" t="n">
        <v>45506</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63597-2020</t>
        </is>
      </c>
      <c r="B438" s="1" t="n">
        <v>44165</v>
      </c>
      <c r="C438" s="1" t="n">
        <v>45506</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64187-2020</t>
        </is>
      </c>
      <c r="B439" s="1" t="n">
        <v>44167</v>
      </c>
      <c r="C439" s="1" t="n">
        <v>45506</v>
      </c>
      <c r="D439" t="inlineStr">
        <is>
          <t>JÄMTLANDS LÄN</t>
        </is>
      </c>
      <c r="E439" t="inlineStr">
        <is>
          <t>RAGUNDA</t>
        </is>
      </c>
      <c r="F439" t="inlineStr">
        <is>
          <t>SCA</t>
        </is>
      </c>
      <c r="G439" t="n">
        <v>7.8</v>
      </c>
      <c r="H439" t="n">
        <v>0</v>
      </c>
      <c r="I439" t="n">
        <v>0</v>
      </c>
      <c r="J439" t="n">
        <v>0</v>
      </c>
      <c r="K439" t="n">
        <v>0</v>
      </c>
      <c r="L439" t="n">
        <v>0</v>
      </c>
      <c r="M439" t="n">
        <v>0</v>
      </c>
      <c r="N439" t="n">
        <v>0</v>
      </c>
      <c r="O439" t="n">
        <v>0</v>
      </c>
      <c r="P439" t="n">
        <v>0</v>
      </c>
      <c r="Q439" t="n">
        <v>0</v>
      </c>
      <c r="R439" s="2" t="inlineStr"/>
    </row>
    <row r="440" ht="15" customHeight="1">
      <c r="A440" t="inlineStr">
        <is>
          <t>A 64386-2020</t>
        </is>
      </c>
      <c r="B440" s="1" t="n">
        <v>44168</v>
      </c>
      <c r="C440" s="1" t="n">
        <v>45506</v>
      </c>
      <c r="D440" t="inlineStr">
        <is>
          <t>JÄMTLANDS LÄN</t>
        </is>
      </c>
      <c r="E440" t="inlineStr">
        <is>
          <t>RAGUNDA</t>
        </is>
      </c>
      <c r="G440" t="n">
        <v>2.5</v>
      </c>
      <c r="H440" t="n">
        <v>0</v>
      </c>
      <c r="I440" t="n">
        <v>0</v>
      </c>
      <c r="J440" t="n">
        <v>0</v>
      </c>
      <c r="K440" t="n">
        <v>0</v>
      </c>
      <c r="L440" t="n">
        <v>0</v>
      </c>
      <c r="M440" t="n">
        <v>0</v>
      </c>
      <c r="N440" t="n">
        <v>0</v>
      </c>
      <c r="O440" t="n">
        <v>0</v>
      </c>
      <c r="P440" t="n">
        <v>0</v>
      </c>
      <c r="Q440" t="n">
        <v>0</v>
      </c>
      <c r="R440" s="2" t="inlineStr"/>
    </row>
    <row r="441" ht="15" customHeight="1">
      <c r="A441" t="inlineStr">
        <is>
          <t>A 65260-2020</t>
        </is>
      </c>
      <c r="B441" s="1" t="n">
        <v>44172</v>
      </c>
      <c r="C441" s="1" t="n">
        <v>45506</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65341-2020</t>
        </is>
      </c>
      <c r="B442" s="1" t="n">
        <v>44173</v>
      </c>
      <c r="C442" s="1" t="n">
        <v>45506</v>
      </c>
      <c r="D442" t="inlineStr">
        <is>
          <t>JÄMTLANDS LÄN</t>
        </is>
      </c>
      <c r="E442" t="inlineStr">
        <is>
          <t>RAGUNDA</t>
        </is>
      </c>
      <c r="G442" t="n">
        <v>2.6</v>
      </c>
      <c r="H442" t="n">
        <v>0</v>
      </c>
      <c r="I442" t="n">
        <v>0</v>
      </c>
      <c r="J442" t="n">
        <v>0</v>
      </c>
      <c r="K442" t="n">
        <v>0</v>
      </c>
      <c r="L442" t="n">
        <v>0</v>
      </c>
      <c r="M442" t="n">
        <v>0</v>
      </c>
      <c r="N442" t="n">
        <v>0</v>
      </c>
      <c r="O442" t="n">
        <v>0</v>
      </c>
      <c r="P442" t="n">
        <v>0</v>
      </c>
      <c r="Q442" t="n">
        <v>0</v>
      </c>
      <c r="R442" s="2" t="inlineStr"/>
    </row>
    <row r="443" ht="15" customHeight="1">
      <c r="A443" t="inlineStr">
        <is>
          <t>A 65898-2020</t>
        </is>
      </c>
      <c r="B443" s="1" t="n">
        <v>44174</v>
      </c>
      <c r="C443" s="1" t="n">
        <v>45506</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66248-2020</t>
        </is>
      </c>
      <c r="B444" s="1" t="n">
        <v>44175</v>
      </c>
      <c r="C444" s="1" t="n">
        <v>45506</v>
      </c>
      <c r="D444" t="inlineStr">
        <is>
          <t>JÄMTLANDS LÄN</t>
        </is>
      </c>
      <c r="E444" t="inlineStr">
        <is>
          <t>RAGUNDA</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69174-2020</t>
        </is>
      </c>
      <c r="B445" s="1" t="n">
        <v>44188</v>
      </c>
      <c r="C445" s="1" t="n">
        <v>45506</v>
      </c>
      <c r="D445" t="inlineStr">
        <is>
          <t>JÄMTLANDS LÄN</t>
        </is>
      </c>
      <c r="E445" t="inlineStr">
        <is>
          <t>RAGUNDA</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69481-2020</t>
        </is>
      </c>
      <c r="B446" s="1" t="n">
        <v>44194</v>
      </c>
      <c r="C446" s="1" t="n">
        <v>45506</v>
      </c>
      <c r="D446" t="inlineStr">
        <is>
          <t>JÄMTLANDS LÄN</t>
        </is>
      </c>
      <c r="E446" t="inlineStr">
        <is>
          <t>RAGUNDA</t>
        </is>
      </c>
      <c r="G446" t="n">
        <v>1</v>
      </c>
      <c r="H446" t="n">
        <v>0</v>
      </c>
      <c r="I446" t="n">
        <v>0</v>
      </c>
      <c r="J446" t="n">
        <v>0</v>
      </c>
      <c r="K446" t="n">
        <v>0</v>
      </c>
      <c r="L446" t="n">
        <v>0</v>
      </c>
      <c r="M446" t="n">
        <v>0</v>
      </c>
      <c r="N446" t="n">
        <v>0</v>
      </c>
      <c r="O446" t="n">
        <v>0</v>
      </c>
      <c r="P446" t="n">
        <v>0</v>
      </c>
      <c r="Q446" t="n">
        <v>0</v>
      </c>
      <c r="R446" s="2" t="inlineStr"/>
    </row>
    <row r="447" ht="15" customHeight="1">
      <c r="A447" t="inlineStr">
        <is>
          <t>A 69618-2020</t>
        </is>
      </c>
      <c r="B447" s="1" t="n">
        <v>44195</v>
      </c>
      <c r="C447" s="1" t="n">
        <v>45506</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1990-2021</t>
        </is>
      </c>
      <c r="B448" s="1" t="n">
        <v>44210</v>
      </c>
      <c r="C448" s="1" t="n">
        <v>45506</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2469-2021</t>
        </is>
      </c>
      <c r="B449" s="1" t="n">
        <v>44214</v>
      </c>
      <c r="C449" s="1" t="n">
        <v>45506</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3571-2021</t>
        </is>
      </c>
      <c r="B450" s="1" t="n">
        <v>44218</v>
      </c>
      <c r="C450" s="1" t="n">
        <v>45506</v>
      </c>
      <c r="D450" t="inlineStr">
        <is>
          <t>JÄMTLANDS LÄN</t>
        </is>
      </c>
      <c r="E450" t="inlineStr">
        <is>
          <t>RAGUNDA</t>
        </is>
      </c>
      <c r="G450" t="n">
        <v>2.6</v>
      </c>
      <c r="H450" t="n">
        <v>0</v>
      </c>
      <c r="I450" t="n">
        <v>0</v>
      </c>
      <c r="J450" t="n">
        <v>0</v>
      </c>
      <c r="K450" t="n">
        <v>0</v>
      </c>
      <c r="L450" t="n">
        <v>0</v>
      </c>
      <c r="M450" t="n">
        <v>0</v>
      </c>
      <c r="N450" t="n">
        <v>0</v>
      </c>
      <c r="O450" t="n">
        <v>0</v>
      </c>
      <c r="P450" t="n">
        <v>0</v>
      </c>
      <c r="Q450" t="n">
        <v>0</v>
      </c>
      <c r="R450" s="2" t="inlineStr"/>
    </row>
    <row r="451" ht="15" customHeight="1">
      <c r="A451" t="inlineStr">
        <is>
          <t>A 4826-2021</t>
        </is>
      </c>
      <c r="B451" s="1" t="n">
        <v>44225</v>
      </c>
      <c r="C451" s="1" t="n">
        <v>45506</v>
      </c>
      <c r="D451" t="inlineStr">
        <is>
          <t>JÄMTLANDS LÄN</t>
        </is>
      </c>
      <c r="E451" t="inlineStr">
        <is>
          <t>RAGUNDA</t>
        </is>
      </c>
      <c r="G451" t="n">
        <v>2.2</v>
      </c>
      <c r="H451" t="n">
        <v>0</v>
      </c>
      <c r="I451" t="n">
        <v>0</v>
      </c>
      <c r="J451" t="n">
        <v>0</v>
      </c>
      <c r="K451" t="n">
        <v>0</v>
      </c>
      <c r="L451" t="n">
        <v>0</v>
      </c>
      <c r="M451" t="n">
        <v>0</v>
      </c>
      <c r="N451" t="n">
        <v>0</v>
      </c>
      <c r="O451" t="n">
        <v>0</v>
      </c>
      <c r="P451" t="n">
        <v>0</v>
      </c>
      <c r="Q451" t="n">
        <v>0</v>
      </c>
      <c r="R451" s="2" t="inlineStr"/>
    </row>
    <row r="452" ht="15" customHeight="1">
      <c r="A452" t="inlineStr">
        <is>
          <t>A 5130-2021</t>
        </is>
      </c>
      <c r="B452" s="1" t="n">
        <v>44228</v>
      </c>
      <c r="C452" s="1" t="n">
        <v>45506</v>
      </c>
      <c r="D452" t="inlineStr">
        <is>
          <t>JÄMTLANDS LÄN</t>
        </is>
      </c>
      <c r="E452" t="inlineStr">
        <is>
          <t>RAGUNDA</t>
        </is>
      </c>
      <c r="G452" t="n">
        <v>1.6</v>
      </c>
      <c r="H452" t="n">
        <v>0</v>
      </c>
      <c r="I452" t="n">
        <v>0</v>
      </c>
      <c r="J452" t="n">
        <v>0</v>
      </c>
      <c r="K452" t="n">
        <v>0</v>
      </c>
      <c r="L452" t="n">
        <v>0</v>
      </c>
      <c r="M452" t="n">
        <v>0</v>
      </c>
      <c r="N452" t="n">
        <v>0</v>
      </c>
      <c r="O452" t="n">
        <v>0</v>
      </c>
      <c r="P452" t="n">
        <v>0</v>
      </c>
      <c r="Q452" t="n">
        <v>0</v>
      </c>
      <c r="R452" s="2" t="inlineStr"/>
    </row>
    <row r="453" ht="15" customHeight="1">
      <c r="A453" t="inlineStr">
        <is>
          <t>A 5462-2021</t>
        </is>
      </c>
      <c r="B453" s="1" t="n">
        <v>44229</v>
      </c>
      <c r="C453" s="1" t="n">
        <v>45506</v>
      </c>
      <c r="D453" t="inlineStr">
        <is>
          <t>JÄMTLANDS LÄN</t>
        </is>
      </c>
      <c r="E453" t="inlineStr">
        <is>
          <t>RAGUNDA</t>
        </is>
      </c>
      <c r="G453" t="n">
        <v>1.8</v>
      </c>
      <c r="H453" t="n">
        <v>0</v>
      </c>
      <c r="I453" t="n">
        <v>0</v>
      </c>
      <c r="J453" t="n">
        <v>0</v>
      </c>
      <c r="K453" t="n">
        <v>0</v>
      </c>
      <c r="L453" t="n">
        <v>0</v>
      </c>
      <c r="M453" t="n">
        <v>0</v>
      </c>
      <c r="N453" t="n">
        <v>0</v>
      </c>
      <c r="O453" t="n">
        <v>0</v>
      </c>
      <c r="P453" t="n">
        <v>0</v>
      </c>
      <c r="Q453" t="n">
        <v>0</v>
      </c>
      <c r="R453" s="2" t="inlineStr"/>
    </row>
    <row r="454" ht="15" customHeight="1">
      <c r="A454" t="inlineStr">
        <is>
          <t>A 5803-2021</t>
        </is>
      </c>
      <c r="B454" s="1" t="n">
        <v>44230</v>
      </c>
      <c r="C454" s="1" t="n">
        <v>45506</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5967-2021</t>
        </is>
      </c>
      <c r="B455" s="1" t="n">
        <v>44231</v>
      </c>
      <c r="C455" s="1" t="n">
        <v>45506</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5958-2021</t>
        </is>
      </c>
      <c r="B456" s="1" t="n">
        <v>44231</v>
      </c>
      <c r="C456" s="1" t="n">
        <v>45506</v>
      </c>
      <c r="D456" t="inlineStr">
        <is>
          <t>JÄMTLANDS LÄN</t>
        </is>
      </c>
      <c r="E456" t="inlineStr">
        <is>
          <t>RAGUNDA</t>
        </is>
      </c>
      <c r="G456" t="n">
        <v>3.1</v>
      </c>
      <c r="H456" t="n">
        <v>0</v>
      </c>
      <c r="I456" t="n">
        <v>0</v>
      </c>
      <c r="J456" t="n">
        <v>0</v>
      </c>
      <c r="K456" t="n">
        <v>0</v>
      </c>
      <c r="L456" t="n">
        <v>0</v>
      </c>
      <c r="M456" t="n">
        <v>0</v>
      </c>
      <c r="N456" t="n">
        <v>0</v>
      </c>
      <c r="O456" t="n">
        <v>0</v>
      </c>
      <c r="P456" t="n">
        <v>0</v>
      </c>
      <c r="Q456" t="n">
        <v>0</v>
      </c>
      <c r="R456" s="2" t="inlineStr"/>
    </row>
    <row r="457" ht="15" customHeight="1">
      <c r="A457" t="inlineStr">
        <is>
          <t>A 6802-2021</t>
        </is>
      </c>
      <c r="B457" s="1" t="n">
        <v>44236</v>
      </c>
      <c r="C457" s="1" t="n">
        <v>45506</v>
      </c>
      <c r="D457" t="inlineStr">
        <is>
          <t>JÄMTLANDS LÄN</t>
        </is>
      </c>
      <c r="E457" t="inlineStr">
        <is>
          <t>RAGUNDA</t>
        </is>
      </c>
      <c r="G457" t="n">
        <v>11.2</v>
      </c>
      <c r="H457" t="n">
        <v>0</v>
      </c>
      <c r="I457" t="n">
        <v>0</v>
      </c>
      <c r="J457" t="n">
        <v>0</v>
      </c>
      <c r="K457" t="n">
        <v>0</v>
      </c>
      <c r="L457" t="n">
        <v>0</v>
      </c>
      <c r="M457" t="n">
        <v>0</v>
      </c>
      <c r="N457" t="n">
        <v>0</v>
      </c>
      <c r="O457" t="n">
        <v>0</v>
      </c>
      <c r="P457" t="n">
        <v>0</v>
      </c>
      <c r="Q457" t="n">
        <v>0</v>
      </c>
      <c r="R457" s="2" t="inlineStr"/>
    </row>
    <row r="458" ht="15" customHeight="1">
      <c r="A458" t="inlineStr">
        <is>
          <t>A 7575-2021</t>
        </is>
      </c>
      <c r="B458" s="1" t="n">
        <v>44239</v>
      </c>
      <c r="C458" s="1" t="n">
        <v>45506</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7886-2021</t>
        </is>
      </c>
      <c r="B459" s="1" t="n">
        <v>44242</v>
      </c>
      <c r="C459" s="1" t="n">
        <v>45506</v>
      </c>
      <c r="D459" t="inlineStr">
        <is>
          <t>JÄMTLANDS LÄN</t>
        </is>
      </c>
      <c r="E459" t="inlineStr">
        <is>
          <t>RAGUNDA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8033-2021</t>
        </is>
      </c>
      <c r="B460" s="1" t="n">
        <v>44243</v>
      </c>
      <c r="C460" s="1" t="n">
        <v>45506</v>
      </c>
      <c r="D460" t="inlineStr">
        <is>
          <t>JÄMTLANDS LÄN</t>
        </is>
      </c>
      <c r="E460" t="inlineStr">
        <is>
          <t>RAGUNDA</t>
        </is>
      </c>
      <c r="G460" t="n">
        <v>2.4</v>
      </c>
      <c r="H460" t="n">
        <v>0</v>
      </c>
      <c r="I460" t="n">
        <v>0</v>
      </c>
      <c r="J460" t="n">
        <v>0</v>
      </c>
      <c r="K460" t="n">
        <v>0</v>
      </c>
      <c r="L460" t="n">
        <v>0</v>
      </c>
      <c r="M460" t="n">
        <v>0</v>
      </c>
      <c r="N460" t="n">
        <v>0</v>
      </c>
      <c r="O460" t="n">
        <v>0</v>
      </c>
      <c r="P460" t="n">
        <v>0</v>
      </c>
      <c r="Q460" t="n">
        <v>0</v>
      </c>
      <c r="R460" s="2" t="inlineStr"/>
    </row>
    <row r="461" ht="15" customHeight="1">
      <c r="A461" t="inlineStr">
        <is>
          <t>A 8626-2021</t>
        </is>
      </c>
      <c r="B461" s="1" t="n">
        <v>44245</v>
      </c>
      <c r="C461" s="1" t="n">
        <v>45506</v>
      </c>
      <c r="D461" t="inlineStr">
        <is>
          <t>JÄMTLANDS LÄN</t>
        </is>
      </c>
      <c r="E461" t="inlineStr">
        <is>
          <t>RAGUNDA</t>
        </is>
      </c>
      <c r="G461" t="n">
        <v>3.3</v>
      </c>
      <c r="H461" t="n">
        <v>0</v>
      </c>
      <c r="I461" t="n">
        <v>0</v>
      </c>
      <c r="J461" t="n">
        <v>0</v>
      </c>
      <c r="K461" t="n">
        <v>0</v>
      </c>
      <c r="L461" t="n">
        <v>0</v>
      </c>
      <c r="M461" t="n">
        <v>0</v>
      </c>
      <c r="N461" t="n">
        <v>0</v>
      </c>
      <c r="O461" t="n">
        <v>0</v>
      </c>
      <c r="P461" t="n">
        <v>0</v>
      </c>
      <c r="Q461" t="n">
        <v>0</v>
      </c>
      <c r="R461" s="2" t="inlineStr"/>
    </row>
    <row r="462" ht="15" customHeight="1">
      <c r="A462" t="inlineStr">
        <is>
          <t>A 10938-2021</t>
        </is>
      </c>
      <c r="B462" s="1" t="n">
        <v>44259</v>
      </c>
      <c r="C462" s="1" t="n">
        <v>45506</v>
      </c>
      <c r="D462" t="inlineStr">
        <is>
          <t>JÄMTLANDS LÄN</t>
        </is>
      </c>
      <c r="E462" t="inlineStr">
        <is>
          <t>RAGUNDA</t>
        </is>
      </c>
      <c r="G462" t="n">
        <v>10.4</v>
      </c>
      <c r="H462" t="n">
        <v>0</v>
      </c>
      <c r="I462" t="n">
        <v>0</v>
      </c>
      <c r="J462" t="n">
        <v>0</v>
      </c>
      <c r="K462" t="n">
        <v>0</v>
      </c>
      <c r="L462" t="n">
        <v>0</v>
      </c>
      <c r="M462" t="n">
        <v>0</v>
      </c>
      <c r="N462" t="n">
        <v>0</v>
      </c>
      <c r="O462" t="n">
        <v>0</v>
      </c>
      <c r="P462" t="n">
        <v>0</v>
      </c>
      <c r="Q462" t="n">
        <v>0</v>
      </c>
      <c r="R462" s="2" t="inlineStr"/>
    </row>
    <row r="463" ht="15" customHeight="1">
      <c r="A463" t="inlineStr">
        <is>
          <t>A 10937-2021</t>
        </is>
      </c>
      <c r="B463" s="1" t="n">
        <v>44259</v>
      </c>
      <c r="C463" s="1" t="n">
        <v>45506</v>
      </c>
      <c r="D463" t="inlineStr">
        <is>
          <t>JÄMTLANDS LÄN</t>
        </is>
      </c>
      <c r="E463" t="inlineStr">
        <is>
          <t>RAGUNDA</t>
        </is>
      </c>
      <c r="G463" t="n">
        <v>10.8</v>
      </c>
      <c r="H463" t="n">
        <v>0</v>
      </c>
      <c r="I463" t="n">
        <v>0</v>
      </c>
      <c r="J463" t="n">
        <v>0</v>
      </c>
      <c r="K463" t="n">
        <v>0</v>
      </c>
      <c r="L463" t="n">
        <v>0</v>
      </c>
      <c r="M463" t="n">
        <v>0</v>
      </c>
      <c r="N463" t="n">
        <v>0</v>
      </c>
      <c r="O463" t="n">
        <v>0</v>
      </c>
      <c r="P463" t="n">
        <v>0</v>
      </c>
      <c r="Q463" t="n">
        <v>0</v>
      </c>
      <c r="R463" s="2" t="inlineStr"/>
    </row>
    <row r="464" ht="15" customHeight="1">
      <c r="A464" t="inlineStr">
        <is>
          <t>A 13571-2021</t>
        </is>
      </c>
      <c r="B464" s="1" t="n">
        <v>44273</v>
      </c>
      <c r="C464" s="1" t="n">
        <v>45506</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13570-2021</t>
        </is>
      </c>
      <c r="B465" s="1" t="n">
        <v>44273</v>
      </c>
      <c r="C465" s="1" t="n">
        <v>45506</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13569-2021</t>
        </is>
      </c>
      <c r="B466" s="1" t="n">
        <v>44273</v>
      </c>
      <c r="C466" s="1" t="n">
        <v>45506</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14790-2021</t>
        </is>
      </c>
      <c r="B467" s="1" t="n">
        <v>44280</v>
      </c>
      <c r="C467" s="1" t="n">
        <v>45506</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14776-2021</t>
        </is>
      </c>
      <c r="B468" s="1" t="n">
        <v>44280</v>
      </c>
      <c r="C468" s="1" t="n">
        <v>45506</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15102-2021</t>
        </is>
      </c>
      <c r="B469" s="1" t="n">
        <v>44281</v>
      </c>
      <c r="C469" s="1" t="n">
        <v>45506</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15720-2021</t>
        </is>
      </c>
      <c r="B470" s="1" t="n">
        <v>44286</v>
      </c>
      <c r="C470" s="1" t="n">
        <v>45506</v>
      </c>
      <c r="D470" t="inlineStr">
        <is>
          <t>JÄMTLANDS LÄN</t>
        </is>
      </c>
      <c r="E470" t="inlineStr">
        <is>
          <t>RAGUNDA</t>
        </is>
      </c>
      <c r="G470" t="n">
        <v>0.5</v>
      </c>
      <c r="H470" t="n">
        <v>0</v>
      </c>
      <c r="I470" t="n">
        <v>0</v>
      </c>
      <c r="J470" t="n">
        <v>0</v>
      </c>
      <c r="K470" t="n">
        <v>0</v>
      </c>
      <c r="L470" t="n">
        <v>0</v>
      </c>
      <c r="M470" t="n">
        <v>0</v>
      </c>
      <c r="N470" t="n">
        <v>0</v>
      </c>
      <c r="O470" t="n">
        <v>0</v>
      </c>
      <c r="P470" t="n">
        <v>0</v>
      </c>
      <c r="Q470" t="n">
        <v>0</v>
      </c>
      <c r="R470" s="2" t="inlineStr"/>
    </row>
    <row r="471" ht="15" customHeight="1">
      <c r="A471" t="inlineStr">
        <is>
          <t>A 15672-2021</t>
        </is>
      </c>
      <c r="B471" s="1" t="n">
        <v>44286</v>
      </c>
      <c r="C471" s="1" t="n">
        <v>45506</v>
      </c>
      <c r="D471" t="inlineStr">
        <is>
          <t>JÄMTLANDS LÄN</t>
        </is>
      </c>
      <c r="E471" t="inlineStr">
        <is>
          <t>RAGUNDA</t>
        </is>
      </c>
      <c r="G471" t="n">
        <v>1.7</v>
      </c>
      <c r="H471" t="n">
        <v>0</v>
      </c>
      <c r="I471" t="n">
        <v>0</v>
      </c>
      <c r="J471" t="n">
        <v>0</v>
      </c>
      <c r="K471" t="n">
        <v>0</v>
      </c>
      <c r="L471" t="n">
        <v>0</v>
      </c>
      <c r="M471" t="n">
        <v>0</v>
      </c>
      <c r="N471" t="n">
        <v>0</v>
      </c>
      <c r="O471" t="n">
        <v>0</v>
      </c>
      <c r="P471" t="n">
        <v>0</v>
      </c>
      <c r="Q471" t="n">
        <v>0</v>
      </c>
      <c r="R471" s="2" t="inlineStr"/>
    </row>
    <row r="472" ht="15" customHeight="1">
      <c r="A472" t="inlineStr">
        <is>
          <t>A 16002-2021</t>
        </is>
      </c>
      <c r="B472" s="1" t="n">
        <v>44287</v>
      </c>
      <c r="C472" s="1" t="n">
        <v>45506</v>
      </c>
      <c r="D472" t="inlineStr">
        <is>
          <t>JÄMTLANDS LÄN</t>
        </is>
      </c>
      <c r="E472" t="inlineStr">
        <is>
          <t>RAGUNDA</t>
        </is>
      </c>
      <c r="G472" t="n">
        <v>3.6</v>
      </c>
      <c r="H472" t="n">
        <v>0</v>
      </c>
      <c r="I472" t="n">
        <v>0</v>
      </c>
      <c r="J472" t="n">
        <v>0</v>
      </c>
      <c r="K472" t="n">
        <v>0</v>
      </c>
      <c r="L472" t="n">
        <v>0</v>
      </c>
      <c r="M472" t="n">
        <v>0</v>
      </c>
      <c r="N472" t="n">
        <v>0</v>
      </c>
      <c r="O472" t="n">
        <v>0</v>
      </c>
      <c r="P472" t="n">
        <v>0</v>
      </c>
      <c r="Q472" t="n">
        <v>0</v>
      </c>
      <c r="R472" s="2" t="inlineStr"/>
    </row>
    <row r="473" ht="15" customHeight="1">
      <c r="A473" t="inlineStr">
        <is>
          <t>A 16379-2021</t>
        </is>
      </c>
      <c r="B473" s="1" t="n">
        <v>44292</v>
      </c>
      <c r="C473" s="1" t="n">
        <v>45506</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17315-2021</t>
        </is>
      </c>
      <c r="B474" s="1" t="n">
        <v>44298</v>
      </c>
      <c r="C474" s="1" t="n">
        <v>45506</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17598-2021</t>
        </is>
      </c>
      <c r="B475" s="1" t="n">
        <v>44299</v>
      </c>
      <c r="C475" s="1" t="n">
        <v>45506</v>
      </c>
      <c r="D475" t="inlineStr">
        <is>
          <t>JÄMTLANDS LÄN</t>
        </is>
      </c>
      <c r="E475" t="inlineStr">
        <is>
          <t>RAGUNDA</t>
        </is>
      </c>
      <c r="G475" t="n">
        <v>4.6</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44306</v>
      </c>
      <c r="C476" s="1" t="n">
        <v>45506</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19615-2021</t>
        </is>
      </c>
      <c r="B477" s="1" t="n">
        <v>44308</v>
      </c>
      <c r="C477" s="1" t="n">
        <v>45506</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19612-2021</t>
        </is>
      </c>
      <c r="B478" s="1" t="n">
        <v>44308</v>
      </c>
      <c r="C478" s="1" t="n">
        <v>45506</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19600-2021</t>
        </is>
      </c>
      <c r="B479" s="1" t="n">
        <v>44308</v>
      </c>
      <c r="C479" s="1" t="n">
        <v>45506</v>
      </c>
      <c r="D479" t="inlineStr">
        <is>
          <t>JÄMTLANDS LÄN</t>
        </is>
      </c>
      <c r="E479" t="inlineStr">
        <is>
          <t>RAGUNDA</t>
        </is>
      </c>
      <c r="G479" t="n">
        <v>4.3</v>
      </c>
      <c r="H479" t="n">
        <v>0</v>
      </c>
      <c r="I479" t="n">
        <v>0</v>
      </c>
      <c r="J479" t="n">
        <v>0</v>
      </c>
      <c r="K479" t="n">
        <v>0</v>
      </c>
      <c r="L479" t="n">
        <v>0</v>
      </c>
      <c r="M479" t="n">
        <v>0</v>
      </c>
      <c r="N479" t="n">
        <v>0</v>
      </c>
      <c r="O479" t="n">
        <v>0</v>
      </c>
      <c r="P479" t="n">
        <v>0</v>
      </c>
      <c r="Q479" t="n">
        <v>0</v>
      </c>
      <c r="R479" s="2" t="inlineStr"/>
    </row>
    <row r="480" ht="15" customHeight="1">
      <c r="A480" t="inlineStr">
        <is>
          <t>A 19595-2021</t>
        </is>
      </c>
      <c r="B480" s="1" t="n">
        <v>44308</v>
      </c>
      <c r="C480" s="1" t="n">
        <v>45506</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20548-2021</t>
        </is>
      </c>
      <c r="B481" s="1" t="n">
        <v>44315</v>
      </c>
      <c r="C481" s="1" t="n">
        <v>45506</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22655-2021</t>
        </is>
      </c>
      <c r="B482" s="1" t="n">
        <v>44322</v>
      </c>
      <c r="C482" s="1" t="n">
        <v>45506</v>
      </c>
      <c r="D482" t="inlineStr">
        <is>
          <t>JÄMTLANDS LÄN</t>
        </is>
      </c>
      <c r="E482" t="inlineStr">
        <is>
          <t>RAGUNDA</t>
        </is>
      </c>
      <c r="G482" t="n">
        <v>5.8</v>
      </c>
      <c r="H482" t="n">
        <v>0</v>
      </c>
      <c r="I482" t="n">
        <v>0</v>
      </c>
      <c r="J482" t="n">
        <v>0</v>
      </c>
      <c r="K482" t="n">
        <v>0</v>
      </c>
      <c r="L482" t="n">
        <v>0</v>
      </c>
      <c r="M482" t="n">
        <v>0</v>
      </c>
      <c r="N482" t="n">
        <v>0</v>
      </c>
      <c r="O482" t="n">
        <v>0</v>
      </c>
      <c r="P482" t="n">
        <v>0</v>
      </c>
      <c r="Q482" t="n">
        <v>0</v>
      </c>
      <c r="R482" s="2" t="inlineStr"/>
    </row>
    <row r="483" ht="15" customHeight="1">
      <c r="A483" t="inlineStr">
        <is>
          <t>A 22131-2021</t>
        </is>
      </c>
      <c r="B483" s="1" t="n">
        <v>44323</v>
      </c>
      <c r="C483" s="1" t="n">
        <v>45506</v>
      </c>
      <c r="D483" t="inlineStr">
        <is>
          <t>JÄMTLANDS LÄN</t>
        </is>
      </c>
      <c r="E483" t="inlineStr">
        <is>
          <t>RAGUNDA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23169-2021</t>
        </is>
      </c>
      <c r="B484" s="1" t="n">
        <v>44332</v>
      </c>
      <c r="C484" s="1" t="n">
        <v>45506</v>
      </c>
      <c r="D484" t="inlineStr">
        <is>
          <t>JÄMTLANDS LÄN</t>
        </is>
      </c>
      <c r="E484" t="inlineStr">
        <is>
          <t>RAGUNDA</t>
        </is>
      </c>
      <c r="F484" t="inlineStr">
        <is>
          <t>SCA</t>
        </is>
      </c>
      <c r="G484" t="n">
        <v>59.9</v>
      </c>
      <c r="H484" t="n">
        <v>0</v>
      </c>
      <c r="I484" t="n">
        <v>0</v>
      </c>
      <c r="J484" t="n">
        <v>0</v>
      </c>
      <c r="K484" t="n">
        <v>0</v>
      </c>
      <c r="L484" t="n">
        <v>0</v>
      </c>
      <c r="M484" t="n">
        <v>0</v>
      </c>
      <c r="N484" t="n">
        <v>0</v>
      </c>
      <c r="O484" t="n">
        <v>0</v>
      </c>
      <c r="P484" t="n">
        <v>0</v>
      </c>
      <c r="Q484" t="n">
        <v>0</v>
      </c>
      <c r="R484" s="2" t="inlineStr"/>
    </row>
    <row r="485" ht="15" customHeight="1">
      <c r="A485" t="inlineStr">
        <is>
          <t>A 24171-2021</t>
        </is>
      </c>
      <c r="B485" s="1" t="n">
        <v>44336</v>
      </c>
      <c r="C485" s="1" t="n">
        <v>45506</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24280-2021</t>
        </is>
      </c>
      <c r="B486" s="1" t="n">
        <v>44336</v>
      </c>
      <c r="C486" s="1" t="n">
        <v>45506</v>
      </c>
      <c r="D486" t="inlineStr">
        <is>
          <t>JÄMTLANDS LÄN</t>
        </is>
      </c>
      <c r="E486" t="inlineStr">
        <is>
          <t>RAGUNDA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25811-2021</t>
        </is>
      </c>
      <c r="B487" s="1" t="n">
        <v>44344</v>
      </c>
      <c r="C487" s="1" t="n">
        <v>45506</v>
      </c>
      <c r="D487" t="inlineStr">
        <is>
          <t>JÄMTLANDS LÄN</t>
        </is>
      </c>
      <c r="E487" t="inlineStr">
        <is>
          <t>RAGUNDA</t>
        </is>
      </c>
      <c r="F487" t="inlineStr">
        <is>
          <t>SCA</t>
        </is>
      </c>
      <c r="G487" t="n">
        <v>6.5</v>
      </c>
      <c r="H487" t="n">
        <v>0</v>
      </c>
      <c r="I487" t="n">
        <v>0</v>
      </c>
      <c r="J487" t="n">
        <v>0</v>
      </c>
      <c r="K487" t="n">
        <v>0</v>
      </c>
      <c r="L487" t="n">
        <v>0</v>
      </c>
      <c r="M487" t="n">
        <v>0</v>
      </c>
      <c r="N487" t="n">
        <v>0</v>
      </c>
      <c r="O487" t="n">
        <v>0</v>
      </c>
      <c r="P487" t="n">
        <v>0</v>
      </c>
      <c r="Q487" t="n">
        <v>0</v>
      </c>
      <c r="R487" s="2" t="inlineStr"/>
    </row>
    <row r="488" ht="15" customHeight="1">
      <c r="A488" t="inlineStr">
        <is>
          <t>A 26942-2021</t>
        </is>
      </c>
      <c r="B488" s="1" t="n">
        <v>44350</v>
      </c>
      <c r="C488" s="1" t="n">
        <v>45506</v>
      </c>
      <c r="D488" t="inlineStr">
        <is>
          <t>JÄMTLANDS LÄN</t>
        </is>
      </c>
      <c r="E488" t="inlineStr">
        <is>
          <t>RAGUNDA</t>
        </is>
      </c>
      <c r="G488" t="n">
        <v>6.2</v>
      </c>
      <c r="H488" t="n">
        <v>0</v>
      </c>
      <c r="I488" t="n">
        <v>0</v>
      </c>
      <c r="J488" t="n">
        <v>0</v>
      </c>
      <c r="K488" t="n">
        <v>0</v>
      </c>
      <c r="L488" t="n">
        <v>0</v>
      </c>
      <c r="M488" t="n">
        <v>0</v>
      </c>
      <c r="N488" t="n">
        <v>0</v>
      </c>
      <c r="O488" t="n">
        <v>0</v>
      </c>
      <c r="P488" t="n">
        <v>0</v>
      </c>
      <c r="Q488" t="n">
        <v>0</v>
      </c>
      <c r="R488" s="2" t="inlineStr"/>
    </row>
    <row r="489" ht="15" customHeight="1">
      <c r="A489" t="inlineStr">
        <is>
          <t>A 26948-2021</t>
        </is>
      </c>
      <c r="B489" s="1" t="n">
        <v>44350</v>
      </c>
      <c r="C489" s="1" t="n">
        <v>45506</v>
      </c>
      <c r="D489" t="inlineStr">
        <is>
          <t>JÄMTLANDS LÄN</t>
        </is>
      </c>
      <c r="E489" t="inlineStr">
        <is>
          <t>RAGUNDA</t>
        </is>
      </c>
      <c r="G489" t="n">
        <v>2.5</v>
      </c>
      <c r="H489" t="n">
        <v>0</v>
      </c>
      <c r="I489" t="n">
        <v>0</v>
      </c>
      <c r="J489" t="n">
        <v>0</v>
      </c>
      <c r="K489" t="n">
        <v>0</v>
      </c>
      <c r="L489" t="n">
        <v>0</v>
      </c>
      <c r="M489" t="n">
        <v>0</v>
      </c>
      <c r="N489" t="n">
        <v>0</v>
      </c>
      <c r="O489" t="n">
        <v>0</v>
      </c>
      <c r="P489" t="n">
        <v>0</v>
      </c>
      <c r="Q489" t="n">
        <v>0</v>
      </c>
      <c r="R489" s="2" t="inlineStr"/>
    </row>
    <row r="490" ht="15" customHeight="1">
      <c r="A490" t="inlineStr">
        <is>
          <t>A 26945-2021</t>
        </is>
      </c>
      <c r="B490" s="1" t="n">
        <v>44350</v>
      </c>
      <c r="C490" s="1" t="n">
        <v>45506</v>
      </c>
      <c r="D490" t="inlineStr">
        <is>
          <t>JÄMTLANDS LÄN</t>
        </is>
      </c>
      <c r="E490" t="inlineStr">
        <is>
          <t>RAGUNDA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26946-2021</t>
        </is>
      </c>
      <c r="B491" s="1" t="n">
        <v>44349</v>
      </c>
      <c r="C491" s="1" t="n">
        <v>45506</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27399-2021</t>
        </is>
      </c>
      <c r="B492" s="1" t="n">
        <v>44351</v>
      </c>
      <c r="C492" s="1" t="n">
        <v>45506</v>
      </c>
      <c r="D492" t="inlineStr">
        <is>
          <t>JÄMTLANDS LÄN</t>
        </is>
      </c>
      <c r="E492" t="inlineStr">
        <is>
          <t>RAGUNDA</t>
        </is>
      </c>
      <c r="F492" t="inlineStr">
        <is>
          <t>Kommuner</t>
        </is>
      </c>
      <c r="G492" t="n">
        <v>3.1</v>
      </c>
      <c r="H492" t="n">
        <v>0</v>
      </c>
      <c r="I492" t="n">
        <v>0</v>
      </c>
      <c r="J492" t="n">
        <v>0</v>
      </c>
      <c r="K492" t="n">
        <v>0</v>
      </c>
      <c r="L492" t="n">
        <v>0</v>
      </c>
      <c r="M492" t="n">
        <v>0</v>
      </c>
      <c r="N492" t="n">
        <v>0</v>
      </c>
      <c r="O492" t="n">
        <v>0</v>
      </c>
      <c r="P492" t="n">
        <v>0</v>
      </c>
      <c r="Q492" t="n">
        <v>0</v>
      </c>
      <c r="R492" s="2" t="inlineStr"/>
    </row>
    <row r="493" ht="15" customHeight="1">
      <c r="A493" t="inlineStr">
        <is>
          <t>A 27371-2021</t>
        </is>
      </c>
      <c r="B493" s="1" t="n">
        <v>44351</v>
      </c>
      <c r="C493" s="1" t="n">
        <v>45506</v>
      </c>
      <c r="D493" t="inlineStr">
        <is>
          <t>JÄMTLANDS LÄN</t>
        </is>
      </c>
      <c r="E493" t="inlineStr">
        <is>
          <t>RAGUNDA</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28596-2021</t>
        </is>
      </c>
      <c r="B494" s="1" t="n">
        <v>44356</v>
      </c>
      <c r="C494" s="1" t="n">
        <v>45506</v>
      </c>
      <c r="D494" t="inlineStr">
        <is>
          <t>JÄMTLANDS LÄN</t>
        </is>
      </c>
      <c r="E494" t="inlineStr">
        <is>
          <t>RAGUNDA</t>
        </is>
      </c>
      <c r="G494" t="n">
        <v>5.4</v>
      </c>
      <c r="H494" t="n">
        <v>0</v>
      </c>
      <c r="I494" t="n">
        <v>0</v>
      </c>
      <c r="J494" t="n">
        <v>0</v>
      </c>
      <c r="K494" t="n">
        <v>0</v>
      </c>
      <c r="L494" t="n">
        <v>0</v>
      </c>
      <c r="M494" t="n">
        <v>0</v>
      </c>
      <c r="N494" t="n">
        <v>0</v>
      </c>
      <c r="O494" t="n">
        <v>0</v>
      </c>
      <c r="P494" t="n">
        <v>0</v>
      </c>
      <c r="Q494" t="n">
        <v>0</v>
      </c>
      <c r="R494" s="2" t="inlineStr"/>
    </row>
    <row r="495" ht="15" customHeight="1">
      <c r="A495" t="inlineStr">
        <is>
          <t>A 28597-2021</t>
        </is>
      </c>
      <c r="B495" s="1" t="n">
        <v>44357</v>
      </c>
      <c r="C495" s="1" t="n">
        <v>45506</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28887-2021</t>
        </is>
      </c>
      <c r="B496" s="1" t="n">
        <v>44357</v>
      </c>
      <c r="C496" s="1" t="n">
        <v>45506</v>
      </c>
      <c r="D496" t="inlineStr">
        <is>
          <t>JÄMTLANDS LÄN</t>
        </is>
      </c>
      <c r="E496" t="inlineStr">
        <is>
          <t>RAGUNDA</t>
        </is>
      </c>
      <c r="G496" t="n">
        <v>1.8</v>
      </c>
      <c r="H496" t="n">
        <v>0</v>
      </c>
      <c r="I496" t="n">
        <v>0</v>
      </c>
      <c r="J496" t="n">
        <v>0</v>
      </c>
      <c r="K496" t="n">
        <v>0</v>
      </c>
      <c r="L496" t="n">
        <v>0</v>
      </c>
      <c r="M496" t="n">
        <v>0</v>
      </c>
      <c r="N496" t="n">
        <v>0</v>
      </c>
      <c r="O496" t="n">
        <v>0</v>
      </c>
      <c r="P496" t="n">
        <v>0</v>
      </c>
      <c r="Q496" t="n">
        <v>0</v>
      </c>
      <c r="R496" s="2" t="inlineStr"/>
    </row>
    <row r="497" ht="15" customHeight="1">
      <c r="A497" t="inlineStr">
        <is>
          <t>A 29409-2021</t>
        </is>
      </c>
      <c r="B497" s="1" t="n">
        <v>44361</v>
      </c>
      <c r="C497" s="1" t="n">
        <v>45506</v>
      </c>
      <c r="D497" t="inlineStr">
        <is>
          <t>JÄMTLANDS LÄN</t>
        </is>
      </c>
      <c r="E497" t="inlineStr">
        <is>
          <t>RAGUNDA</t>
        </is>
      </c>
      <c r="G497" t="n">
        <v>0.3</v>
      </c>
      <c r="H497" t="n">
        <v>0</v>
      </c>
      <c r="I497" t="n">
        <v>0</v>
      </c>
      <c r="J497" t="n">
        <v>0</v>
      </c>
      <c r="K497" t="n">
        <v>0</v>
      </c>
      <c r="L497" t="n">
        <v>0</v>
      </c>
      <c r="M497" t="n">
        <v>0</v>
      </c>
      <c r="N497" t="n">
        <v>0</v>
      </c>
      <c r="O497" t="n">
        <v>0</v>
      </c>
      <c r="P497" t="n">
        <v>0</v>
      </c>
      <c r="Q497" t="n">
        <v>0</v>
      </c>
      <c r="R497" s="2" t="inlineStr"/>
    </row>
    <row r="498" ht="15" customHeight="1">
      <c r="A498" t="inlineStr">
        <is>
          <t>A 30438-2021</t>
        </is>
      </c>
      <c r="B498" s="1" t="n">
        <v>44362</v>
      </c>
      <c r="C498" s="1" t="n">
        <v>45506</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30459-2021</t>
        </is>
      </c>
      <c r="B499" s="1" t="n">
        <v>44362</v>
      </c>
      <c r="C499" s="1" t="n">
        <v>45506</v>
      </c>
      <c r="D499" t="inlineStr">
        <is>
          <t>JÄMTLANDS LÄN</t>
        </is>
      </c>
      <c r="E499" t="inlineStr">
        <is>
          <t>RAGUNDA</t>
        </is>
      </c>
      <c r="G499" t="n">
        <v>1</v>
      </c>
      <c r="H499" t="n">
        <v>0</v>
      </c>
      <c r="I499" t="n">
        <v>0</v>
      </c>
      <c r="J499" t="n">
        <v>0</v>
      </c>
      <c r="K499" t="n">
        <v>0</v>
      </c>
      <c r="L499" t="n">
        <v>0</v>
      </c>
      <c r="M499" t="n">
        <v>0</v>
      </c>
      <c r="N499" t="n">
        <v>0</v>
      </c>
      <c r="O499" t="n">
        <v>0</v>
      </c>
      <c r="P499" t="n">
        <v>0</v>
      </c>
      <c r="Q499" t="n">
        <v>0</v>
      </c>
      <c r="R499" s="2" t="inlineStr"/>
    </row>
    <row r="500" ht="15" customHeight="1">
      <c r="A500" t="inlineStr">
        <is>
          <t>A 30581-2021</t>
        </is>
      </c>
      <c r="B500" s="1" t="n">
        <v>44365</v>
      </c>
      <c r="C500" s="1" t="n">
        <v>45506</v>
      </c>
      <c r="D500" t="inlineStr">
        <is>
          <t>JÄMTLANDS LÄN</t>
        </is>
      </c>
      <c r="E500" t="inlineStr">
        <is>
          <t>RAGUNDA</t>
        </is>
      </c>
      <c r="G500" t="n">
        <v>4.2</v>
      </c>
      <c r="H500" t="n">
        <v>0</v>
      </c>
      <c r="I500" t="n">
        <v>0</v>
      </c>
      <c r="J500" t="n">
        <v>0</v>
      </c>
      <c r="K500" t="n">
        <v>0</v>
      </c>
      <c r="L500" t="n">
        <v>0</v>
      </c>
      <c r="M500" t="n">
        <v>0</v>
      </c>
      <c r="N500" t="n">
        <v>0</v>
      </c>
      <c r="O500" t="n">
        <v>0</v>
      </c>
      <c r="P500" t="n">
        <v>0</v>
      </c>
      <c r="Q500" t="n">
        <v>0</v>
      </c>
      <c r="R500" s="2" t="inlineStr"/>
    </row>
    <row r="501" ht="15" customHeight="1">
      <c r="A501" t="inlineStr">
        <is>
          <t>A 31158-2021</t>
        </is>
      </c>
      <c r="B501" s="1" t="n">
        <v>44368</v>
      </c>
      <c r="C501" s="1" t="n">
        <v>45506</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31727-2021</t>
        </is>
      </c>
      <c r="B502" s="1" t="n">
        <v>44370</v>
      </c>
      <c r="C502" s="1" t="n">
        <v>45506</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32832-2021</t>
        </is>
      </c>
      <c r="B503" s="1" t="n">
        <v>44375</v>
      </c>
      <c r="C503" s="1" t="n">
        <v>45506</v>
      </c>
      <c r="D503" t="inlineStr">
        <is>
          <t>JÄMTLANDS LÄN</t>
        </is>
      </c>
      <c r="E503" t="inlineStr">
        <is>
          <t>RAGUNDA</t>
        </is>
      </c>
      <c r="G503" t="n">
        <v>3</v>
      </c>
      <c r="H503" t="n">
        <v>0</v>
      </c>
      <c r="I503" t="n">
        <v>0</v>
      </c>
      <c r="J503" t="n">
        <v>0</v>
      </c>
      <c r="K503" t="n">
        <v>0</v>
      </c>
      <c r="L503" t="n">
        <v>0</v>
      </c>
      <c r="M503" t="n">
        <v>0</v>
      </c>
      <c r="N503" t="n">
        <v>0</v>
      </c>
      <c r="O503" t="n">
        <v>0</v>
      </c>
      <c r="P503" t="n">
        <v>0</v>
      </c>
      <c r="Q503" t="n">
        <v>0</v>
      </c>
      <c r="R503" s="2" t="inlineStr"/>
    </row>
    <row r="504" ht="15" customHeight="1">
      <c r="A504" t="inlineStr">
        <is>
          <t>A 34348-2021</t>
        </is>
      </c>
      <c r="B504" s="1" t="n">
        <v>44379</v>
      </c>
      <c r="C504" s="1" t="n">
        <v>45506</v>
      </c>
      <c r="D504" t="inlineStr">
        <is>
          <t>JÄMTLANDS LÄN</t>
        </is>
      </c>
      <c r="E504" t="inlineStr">
        <is>
          <t>RAGUNDA</t>
        </is>
      </c>
      <c r="G504" t="n">
        <v>8.1</v>
      </c>
      <c r="H504" t="n">
        <v>0</v>
      </c>
      <c r="I504" t="n">
        <v>0</v>
      </c>
      <c r="J504" t="n">
        <v>0</v>
      </c>
      <c r="K504" t="n">
        <v>0</v>
      </c>
      <c r="L504" t="n">
        <v>0</v>
      </c>
      <c r="M504" t="n">
        <v>0</v>
      </c>
      <c r="N504" t="n">
        <v>0</v>
      </c>
      <c r="O504" t="n">
        <v>0</v>
      </c>
      <c r="P504" t="n">
        <v>0</v>
      </c>
      <c r="Q504" t="n">
        <v>0</v>
      </c>
      <c r="R504" s="2" t="inlineStr"/>
    </row>
    <row r="505" ht="15" customHeight="1">
      <c r="A505" t="inlineStr">
        <is>
          <t>A 35537-2021</t>
        </is>
      </c>
      <c r="B505" s="1" t="n">
        <v>44384</v>
      </c>
      <c r="C505" s="1" t="n">
        <v>45506</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35386-2021</t>
        </is>
      </c>
      <c r="B506" s="1" t="n">
        <v>44385</v>
      </c>
      <c r="C506" s="1" t="n">
        <v>45506</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35988-2021</t>
        </is>
      </c>
      <c r="B507" s="1" t="n">
        <v>44385</v>
      </c>
      <c r="C507" s="1" t="n">
        <v>45506</v>
      </c>
      <c r="D507" t="inlineStr">
        <is>
          <t>JÄMTLANDS LÄN</t>
        </is>
      </c>
      <c r="E507" t="inlineStr">
        <is>
          <t>RAGUNDA</t>
        </is>
      </c>
      <c r="G507" t="n">
        <v>4.1</v>
      </c>
      <c r="H507" t="n">
        <v>0</v>
      </c>
      <c r="I507" t="n">
        <v>0</v>
      </c>
      <c r="J507" t="n">
        <v>0</v>
      </c>
      <c r="K507" t="n">
        <v>0</v>
      </c>
      <c r="L507" t="n">
        <v>0</v>
      </c>
      <c r="M507" t="n">
        <v>0</v>
      </c>
      <c r="N507" t="n">
        <v>0</v>
      </c>
      <c r="O507" t="n">
        <v>0</v>
      </c>
      <c r="P507" t="n">
        <v>0</v>
      </c>
      <c r="Q507" t="n">
        <v>0</v>
      </c>
      <c r="R507" s="2" t="inlineStr"/>
    </row>
    <row r="508" ht="15" customHeight="1">
      <c r="A508" t="inlineStr">
        <is>
          <t>A 36227-2021</t>
        </is>
      </c>
      <c r="B508" s="1" t="n">
        <v>44390</v>
      </c>
      <c r="C508" s="1" t="n">
        <v>45506</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36228-2021</t>
        </is>
      </c>
      <c r="B509" s="1" t="n">
        <v>44390</v>
      </c>
      <c r="C509" s="1" t="n">
        <v>45506</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36230-2021</t>
        </is>
      </c>
      <c r="B510" s="1" t="n">
        <v>44390</v>
      </c>
      <c r="C510" s="1" t="n">
        <v>45506</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37227-2021</t>
        </is>
      </c>
      <c r="B511" s="1" t="n">
        <v>44396</v>
      </c>
      <c r="C511" s="1" t="n">
        <v>45506</v>
      </c>
      <c r="D511" t="inlineStr">
        <is>
          <t>JÄMTLANDS LÄN</t>
        </is>
      </c>
      <c r="E511" t="inlineStr">
        <is>
          <t>RAGUNDA</t>
        </is>
      </c>
      <c r="G511" t="n">
        <v>10.1</v>
      </c>
      <c r="H511" t="n">
        <v>0</v>
      </c>
      <c r="I511" t="n">
        <v>0</v>
      </c>
      <c r="J511" t="n">
        <v>0</v>
      </c>
      <c r="K511" t="n">
        <v>0</v>
      </c>
      <c r="L511" t="n">
        <v>0</v>
      </c>
      <c r="M511" t="n">
        <v>0</v>
      </c>
      <c r="N511" t="n">
        <v>0</v>
      </c>
      <c r="O511" t="n">
        <v>0</v>
      </c>
      <c r="P511" t="n">
        <v>0</v>
      </c>
      <c r="Q511" t="n">
        <v>0</v>
      </c>
      <c r="R511" s="2" t="inlineStr"/>
    </row>
    <row r="512" ht="15" customHeight="1">
      <c r="A512" t="inlineStr">
        <is>
          <t>A 37806-2021</t>
        </is>
      </c>
      <c r="B512" s="1" t="n">
        <v>44402</v>
      </c>
      <c r="C512" s="1" t="n">
        <v>45506</v>
      </c>
      <c r="D512" t="inlineStr">
        <is>
          <t>JÄMTLANDS LÄN</t>
        </is>
      </c>
      <c r="E512" t="inlineStr">
        <is>
          <t>RAGUNDA</t>
        </is>
      </c>
      <c r="G512" t="n">
        <v>0.3</v>
      </c>
      <c r="H512" t="n">
        <v>0</v>
      </c>
      <c r="I512" t="n">
        <v>0</v>
      </c>
      <c r="J512" t="n">
        <v>0</v>
      </c>
      <c r="K512" t="n">
        <v>0</v>
      </c>
      <c r="L512" t="n">
        <v>0</v>
      </c>
      <c r="M512" t="n">
        <v>0</v>
      </c>
      <c r="N512" t="n">
        <v>0</v>
      </c>
      <c r="O512" t="n">
        <v>0</v>
      </c>
      <c r="P512" t="n">
        <v>0</v>
      </c>
      <c r="Q512" t="n">
        <v>0</v>
      </c>
      <c r="R512" s="2" t="inlineStr"/>
    </row>
    <row r="513" ht="15" customHeight="1">
      <c r="A513" t="inlineStr">
        <is>
          <t>A 38212-2021</t>
        </is>
      </c>
      <c r="B513" s="1" t="n">
        <v>44405</v>
      </c>
      <c r="C513" s="1" t="n">
        <v>45506</v>
      </c>
      <c r="D513" t="inlineStr">
        <is>
          <t>JÄMTLANDS LÄN</t>
        </is>
      </c>
      <c r="E513" t="inlineStr">
        <is>
          <t>RAGUNDA</t>
        </is>
      </c>
      <c r="G513" t="n">
        <v>5.5</v>
      </c>
      <c r="H513" t="n">
        <v>0</v>
      </c>
      <c r="I513" t="n">
        <v>0</v>
      </c>
      <c r="J513" t="n">
        <v>0</v>
      </c>
      <c r="K513" t="n">
        <v>0</v>
      </c>
      <c r="L513" t="n">
        <v>0</v>
      </c>
      <c r="M513" t="n">
        <v>0</v>
      </c>
      <c r="N513" t="n">
        <v>0</v>
      </c>
      <c r="O513" t="n">
        <v>0</v>
      </c>
      <c r="P513" t="n">
        <v>0</v>
      </c>
      <c r="Q513" t="n">
        <v>0</v>
      </c>
      <c r="R513" s="2" t="inlineStr"/>
    </row>
    <row r="514" ht="15" customHeight="1">
      <c r="A514" t="inlineStr">
        <is>
          <t>A 38270-2021</t>
        </is>
      </c>
      <c r="B514" s="1" t="n">
        <v>44406</v>
      </c>
      <c r="C514" s="1" t="n">
        <v>45506</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38269-2021</t>
        </is>
      </c>
      <c r="B515" s="1" t="n">
        <v>44406</v>
      </c>
      <c r="C515" s="1" t="n">
        <v>45506</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38782-2021</t>
        </is>
      </c>
      <c r="B516" s="1" t="n">
        <v>44410</v>
      </c>
      <c r="C516" s="1" t="n">
        <v>45506</v>
      </c>
      <c r="D516" t="inlineStr">
        <is>
          <t>JÄMTLANDS LÄN</t>
        </is>
      </c>
      <c r="E516" t="inlineStr">
        <is>
          <t>RAGUNDA</t>
        </is>
      </c>
      <c r="G516" t="n">
        <v>3.2</v>
      </c>
      <c r="H516" t="n">
        <v>0</v>
      </c>
      <c r="I516" t="n">
        <v>0</v>
      </c>
      <c r="J516" t="n">
        <v>0</v>
      </c>
      <c r="K516" t="n">
        <v>0</v>
      </c>
      <c r="L516" t="n">
        <v>0</v>
      </c>
      <c r="M516" t="n">
        <v>0</v>
      </c>
      <c r="N516" t="n">
        <v>0</v>
      </c>
      <c r="O516" t="n">
        <v>0</v>
      </c>
      <c r="P516" t="n">
        <v>0</v>
      </c>
      <c r="Q516" t="n">
        <v>0</v>
      </c>
      <c r="R516" s="2" t="inlineStr"/>
    </row>
    <row r="517" ht="15" customHeight="1">
      <c r="A517" t="inlineStr">
        <is>
          <t>A 39258-2021</t>
        </is>
      </c>
      <c r="B517" s="1" t="n">
        <v>44413</v>
      </c>
      <c r="C517" s="1" t="n">
        <v>45506</v>
      </c>
      <c r="D517" t="inlineStr">
        <is>
          <t>JÄMTLANDS LÄN</t>
        </is>
      </c>
      <c r="E517" t="inlineStr">
        <is>
          <t>RAGUNDA</t>
        </is>
      </c>
      <c r="G517" t="n">
        <v>4.2</v>
      </c>
      <c r="H517" t="n">
        <v>0</v>
      </c>
      <c r="I517" t="n">
        <v>0</v>
      </c>
      <c r="J517" t="n">
        <v>0</v>
      </c>
      <c r="K517" t="n">
        <v>0</v>
      </c>
      <c r="L517" t="n">
        <v>0</v>
      </c>
      <c r="M517" t="n">
        <v>0</v>
      </c>
      <c r="N517" t="n">
        <v>0</v>
      </c>
      <c r="O517" t="n">
        <v>0</v>
      </c>
      <c r="P517" t="n">
        <v>0</v>
      </c>
      <c r="Q517" t="n">
        <v>0</v>
      </c>
      <c r="R517" s="2" t="inlineStr"/>
    </row>
    <row r="518" ht="15" customHeight="1">
      <c r="A518" t="inlineStr">
        <is>
          <t>A 40213-2021</t>
        </is>
      </c>
      <c r="B518" s="1" t="n">
        <v>44419</v>
      </c>
      <c r="C518" s="1" t="n">
        <v>45506</v>
      </c>
      <c r="D518" t="inlineStr">
        <is>
          <t>JÄMTLANDS LÄN</t>
        </is>
      </c>
      <c r="E518" t="inlineStr">
        <is>
          <t>RAGUNDA</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40770-2021</t>
        </is>
      </c>
      <c r="B519" s="1" t="n">
        <v>44421</v>
      </c>
      <c r="C519" s="1" t="n">
        <v>45506</v>
      </c>
      <c r="D519" t="inlineStr">
        <is>
          <t>JÄMTLANDS LÄN</t>
        </is>
      </c>
      <c r="E519" t="inlineStr">
        <is>
          <t>RAGUNDA</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41062-2021</t>
        </is>
      </c>
      <c r="B520" s="1" t="n">
        <v>44422</v>
      </c>
      <c r="C520" s="1" t="n">
        <v>45506</v>
      </c>
      <c r="D520" t="inlineStr">
        <is>
          <t>JÄMTLANDS LÄN</t>
        </is>
      </c>
      <c r="E520" t="inlineStr">
        <is>
          <t>RAGUNDA</t>
        </is>
      </c>
      <c r="F520" t="inlineStr">
        <is>
          <t>SCA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41262-2021</t>
        </is>
      </c>
      <c r="B521" s="1" t="n">
        <v>44424</v>
      </c>
      <c r="C521" s="1" t="n">
        <v>45506</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41613-2021</t>
        </is>
      </c>
      <c r="B522" s="1" t="n">
        <v>44425</v>
      </c>
      <c r="C522" s="1" t="n">
        <v>45506</v>
      </c>
      <c r="D522" t="inlineStr">
        <is>
          <t>JÄMTLANDS LÄN</t>
        </is>
      </c>
      <c r="E522" t="inlineStr">
        <is>
          <t>RAGUNDA</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41609-2021</t>
        </is>
      </c>
      <c r="B523" s="1" t="n">
        <v>44425</v>
      </c>
      <c r="C523" s="1" t="n">
        <v>45506</v>
      </c>
      <c r="D523" t="inlineStr">
        <is>
          <t>JÄMTLANDS LÄN</t>
        </is>
      </c>
      <c r="E523" t="inlineStr">
        <is>
          <t>RAGUNDA</t>
        </is>
      </c>
      <c r="F523" t="inlineStr">
        <is>
          <t>Kommuner</t>
        </is>
      </c>
      <c r="G523" t="n">
        <v>2.8</v>
      </c>
      <c r="H523" t="n">
        <v>0</v>
      </c>
      <c r="I523" t="n">
        <v>0</v>
      </c>
      <c r="J523" t="n">
        <v>0</v>
      </c>
      <c r="K523" t="n">
        <v>0</v>
      </c>
      <c r="L523" t="n">
        <v>0</v>
      </c>
      <c r="M523" t="n">
        <v>0</v>
      </c>
      <c r="N523" t="n">
        <v>0</v>
      </c>
      <c r="O523" t="n">
        <v>0</v>
      </c>
      <c r="P523" t="n">
        <v>0</v>
      </c>
      <c r="Q523" t="n">
        <v>0</v>
      </c>
      <c r="R523" s="2" t="inlineStr"/>
    </row>
    <row r="524" ht="15" customHeight="1">
      <c r="A524" t="inlineStr">
        <is>
          <t>A 41606-2021</t>
        </is>
      </c>
      <c r="B524" s="1" t="n">
        <v>44425</v>
      </c>
      <c r="C524" s="1" t="n">
        <v>45506</v>
      </c>
      <c r="D524" t="inlineStr">
        <is>
          <t>JÄMTLANDS LÄN</t>
        </is>
      </c>
      <c r="E524" t="inlineStr">
        <is>
          <t>RAGUNDA</t>
        </is>
      </c>
      <c r="F524" t="inlineStr">
        <is>
          <t>Kommuner</t>
        </is>
      </c>
      <c r="G524" t="n">
        <v>3.5</v>
      </c>
      <c r="H524" t="n">
        <v>0</v>
      </c>
      <c r="I524" t="n">
        <v>0</v>
      </c>
      <c r="J524" t="n">
        <v>0</v>
      </c>
      <c r="K524" t="n">
        <v>0</v>
      </c>
      <c r="L524" t="n">
        <v>0</v>
      </c>
      <c r="M524" t="n">
        <v>0</v>
      </c>
      <c r="N524" t="n">
        <v>0</v>
      </c>
      <c r="O524" t="n">
        <v>0</v>
      </c>
      <c r="P524" t="n">
        <v>0</v>
      </c>
      <c r="Q524" t="n">
        <v>0</v>
      </c>
      <c r="R524" s="2" t="inlineStr"/>
    </row>
    <row r="525" ht="15" customHeight="1">
      <c r="A525" t="inlineStr">
        <is>
          <t>A 42260-2021</t>
        </is>
      </c>
      <c r="B525" s="1" t="n">
        <v>44427</v>
      </c>
      <c r="C525" s="1" t="n">
        <v>45506</v>
      </c>
      <c r="D525" t="inlineStr">
        <is>
          <t>JÄMTLANDS LÄN</t>
        </is>
      </c>
      <c r="E525" t="inlineStr">
        <is>
          <t>RAGUNDA</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42537-2021</t>
        </is>
      </c>
      <c r="B526" s="1" t="n">
        <v>44428</v>
      </c>
      <c r="C526" s="1" t="n">
        <v>45506</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43040-2021</t>
        </is>
      </c>
      <c r="B527" s="1" t="n">
        <v>44431</v>
      </c>
      <c r="C527" s="1" t="n">
        <v>45506</v>
      </c>
      <c r="D527" t="inlineStr">
        <is>
          <t>JÄMTLANDS LÄN</t>
        </is>
      </c>
      <c r="E527" t="inlineStr">
        <is>
          <t>RAGUNDA</t>
        </is>
      </c>
      <c r="G527" t="n">
        <v>4.9</v>
      </c>
      <c r="H527" t="n">
        <v>0</v>
      </c>
      <c r="I527" t="n">
        <v>0</v>
      </c>
      <c r="J527" t="n">
        <v>0</v>
      </c>
      <c r="K527" t="n">
        <v>0</v>
      </c>
      <c r="L527" t="n">
        <v>0</v>
      </c>
      <c r="M527" t="n">
        <v>0</v>
      </c>
      <c r="N527" t="n">
        <v>0</v>
      </c>
      <c r="O527" t="n">
        <v>0</v>
      </c>
      <c r="P527" t="n">
        <v>0</v>
      </c>
      <c r="Q527" t="n">
        <v>0</v>
      </c>
      <c r="R527" s="2" t="inlineStr"/>
    </row>
    <row r="528" ht="15" customHeight="1">
      <c r="A528" t="inlineStr">
        <is>
          <t>A 44163-2021</t>
        </is>
      </c>
      <c r="B528" s="1" t="n">
        <v>44434</v>
      </c>
      <c r="C528" s="1" t="n">
        <v>45506</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44241-2021</t>
        </is>
      </c>
      <c r="B529" s="1" t="n">
        <v>44435</v>
      </c>
      <c r="C529" s="1" t="n">
        <v>45506</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44247-2021</t>
        </is>
      </c>
      <c r="B530" s="1" t="n">
        <v>44435</v>
      </c>
      <c r="C530" s="1" t="n">
        <v>45506</v>
      </c>
      <c r="D530" t="inlineStr">
        <is>
          <t>JÄMTLANDS LÄN</t>
        </is>
      </c>
      <c r="E530" t="inlineStr">
        <is>
          <t>RAGUNDA</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46228-2021</t>
        </is>
      </c>
      <c r="B531" s="1" t="n">
        <v>44441</v>
      </c>
      <c r="C531" s="1" t="n">
        <v>45506</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46368-2021</t>
        </is>
      </c>
      <c r="B532" s="1" t="n">
        <v>44443</v>
      </c>
      <c r="C532" s="1" t="n">
        <v>45506</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46401-2021</t>
        </is>
      </c>
      <c r="B533" s="1" t="n">
        <v>44443</v>
      </c>
      <c r="C533" s="1" t="n">
        <v>45506</v>
      </c>
      <c r="D533" t="inlineStr">
        <is>
          <t>JÄMTLANDS LÄN</t>
        </is>
      </c>
      <c r="E533" t="inlineStr">
        <is>
          <t>RAGUNDA</t>
        </is>
      </c>
      <c r="G533" t="n">
        <v>7</v>
      </c>
      <c r="H533" t="n">
        <v>0</v>
      </c>
      <c r="I533" t="n">
        <v>0</v>
      </c>
      <c r="J533" t="n">
        <v>0</v>
      </c>
      <c r="K533" t="n">
        <v>0</v>
      </c>
      <c r="L533" t="n">
        <v>0</v>
      </c>
      <c r="M533" t="n">
        <v>0</v>
      </c>
      <c r="N533" t="n">
        <v>0</v>
      </c>
      <c r="O533" t="n">
        <v>0</v>
      </c>
      <c r="P533" t="n">
        <v>0</v>
      </c>
      <c r="Q533" t="n">
        <v>0</v>
      </c>
      <c r="R533" s="2" t="inlineStr"/>
    </row>
    <row r="534" ht="15" customHeight="1">
      <c r="A534" t="inlineStr">
        <is>
          <t>A 47548-2021</t>
        </is>
      </c>
      <c r="B534" s="1" t="n">
        <v>44448</v>
      </c>
      <c r="C534" s="1" t="n">
        <v>45506</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47546-2021</t>
        </is>
      </c>
      <c r="B535" s="1" t="n">
        <v>44448</v>
      </c>
      <c r="C535" s="1" t="n">
        <v>45506</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47996-2021</t>
        </is>
      </c>
      <c r="B536" s="1" t="n">
        <v>44448</v>
      </c>
      <c r="C536" s="1" t="n">
        <v>45506</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48832-2021</t>
        </is>
      </c>
      <c r="B537" s="1" t="n">
        <v>44452</v>
      </c>
      <c r="C537" s="1" t="n">
        <v>45506</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49202-2021</t>
        </is>
      </c>
      <c r="B538" s="1" t="n">
        <v>44453</v>
      </c>
      <c r="C538" s="1" t="n">
        <v>45506</v>
      </c>
      <c r="D538" t="inlineStr">
        <is>
          <t>JÄMTLANDS LÄN</t>
        </is>
      </c>
      <c r="E538" t="inlineStr">
        <is>
          <t>RAGUNDA</t>
        </is>
      </c>
      <c r="G538" t="n">
        <v>23.4</v>
      </c>
      <c r="H538" t="n">
        <v>0</v>
      </c>
      <c r="I538" t="n">
        <v>0</v>
      </c>
      <c r="J538" t="n">
        <v>0</v>
      </c>
      <c r="K538" t="n">
        <v>0</v>
      </c>
      <c r="L538" t="n">
        <v>0</v>
      </c>
      <c r="M538" t="n">
        <v>0</v>
      </c>
      <c r="N538" t="n">
        <v>0</v>
      </c>
      <c r="O538" t="n">
        <v>0</v>
      </c>
      <c r="P538" t="n">
        <v>0</v>
      </c>
      <c r="Q538" t="n">
        <v>0</v>
      </c>
      <c r="R538" s="2" t="inlineStr"/>
    </row>
    <row r="539" ht="15" customHeight="1">
      <c r="A539" t="inlineStr">
        <is>
          <t>A 50168-2021</t>
        </is>
      </c>
      <c r="B539" s="1" t="n">
        <v>44457</v>
      </c>
      <c r="C539" s="1" t="n">
        <v>45506</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52334-2021</t>
        </is>
      </c>
      <c r="B540" s="1" t="n">
        <v>44464</v>
      </c>
      <c r="C540" s="1" t="n">
        <v>45506</v>
      </c>
      <c r="D540" t="inlineStr">
        <is>
          <t>JÄMTLANDS LÄN</t>
        </is>
      </c>
      <c r="E540" t="inlineStr">
        <is>
          <t>RAGUNDA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52333-2021</t>
        </is>
      </c>
      <c r="B541" s="1" t="n">
        <v>44464</v>
      </c>
      <c r="C541" s="1" t="n">
        <v>45506</v>
      </c>
      <c r="D541" t="inlineStr">
        <is>
          <t>JÄMTLANDS LÄN</t>
        </is>
      </c>
      <c r="E541" t="inlineStr">
        <is>
          <t>RAGUNDA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55701-2021</t>
        </is>
      </c>
      <c r="B542" s="1" t="n">
        <v>44475</v>
      </c>
      <c r="C542" s="1" t="n">
        <v>45506</v>
      </c>
      <c r="D542" t="inlineStr">
        <is>
          <t>JÄMTLANDS LÄN</t>
        </is>
      </c>
      <c r="E542" t="inlineStr">
        <is>
          <t>RAGUNDA</t>
        </is>
      </c>
      <c r="G542" t="n">
        <v>5.6</v>
      </c>
      <c r="H542" t="n">
        <v>0</v>
      </c>
      <c r="I542" t="n">
        <v>0</v>
      </c>
      <c r="J542" t="n">
        <v>0</v>
      </c>
      <c r="K542" t="n">
        <v>0</v>
      </c>
      <c r="L542" t="n">
        <v>0</v>
      </c>
      <c r="M542" t="n">
        <v>0</v>
      </c>
      <c r="N542" t="n">
        <v>0</v>
      </c>
      <c r="O542" t="n">
        <v>0</v>
      </c>
      <c r="P542" t="n">
        <v>0</v>
      </c>
      <c r="Q542" t="n">
        <v>0</v>
      </c>
      <c r="R542" s="2" t="inlineStr"/>
    </row>
    <row r="543" ht="15" customHeight="1">
      <c r="A543" t="inlineStr">
        <is>
          <t>A 55932-2021</t>
        </is>
      </c>
      <c r="B543" s="1" t="n">
        <v>44476</v>
      </c>
      <c r="C543" s="1" t="n">
        <v>45506</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56055-2021</t>
        </is>
      </c>
      <c r="B544" s="1" t="n">
        <v>44477</v>
      </c>
      <c r="C544" s="1" t="n">
        <v>45506</v>
      </c>
      <c r="D544" t="inlineStr">
        <is>
          <t>JÄMTLANDS LÄN</t>
        </is>
      </c>
      <c r="E544" t="inlineStr">
        <is>
          <t>RAGUNDA</t>
        </is>
      </c>
      <c r="G544" t="n">
        <v>3.9</v>
      </c>
      <c r="H544" t="n">
        <v>0</v>
      </c>
      <c r="I544" t="n">
        <v>0</v>
      </c>
      <c r="J544" t="n">
        <v>0</v>
      </c>
      <c r="K544" t="n">
        <v>0</v>
      </c>
      <c r="L544" t="n">
        <v>0</v>
      </c>
      <c r="M544" t="n">
        <v>0</v>
      </c>
      <c r="N544" t="n">
        <v>0</v>
      </c>
      <c r="O544" t="n">
        <v>0</v>
      </c>
      <c r="P544" t="n">
        <v>0</v>
      </c>
      <c r="Q544" t="n">
        <v>0</v>
      </c>
      <c r="R544" s="2" t="inlineStr"/>
    </row>
    <row r="545" ht="15" customHeight="1">
      <c r="A545" t="inlineStr">
        <is>
          <t>A 56594-2021</t>
        </is>
      </c>
      <c r="B545" s="1" t="n">
        <v>44480</v>
      </c>
      <c r="C545" s="1" t="n">
        <v>45506</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57194-2021</t>
        </is>
      </c>
      <c r="B546" s="1" t="n">
        <v>44483</v>
      </c>
      <c r="C546" s="1" t="n">
        <v>45506</v>
      </c>
      <c r="D546" t="inlineStr">
        <is>
          <t>JÄMTLANDS LÄN</t>
        </is>
      </c>
      <c r="E546" t="inlineStr">
        <is>
          <t>RAGUNDA</t>
        </is>
      </c>
      <c r="G546" t="n">
        <v>7.3</v>
      </c>
      <c r="H546" t="n">
        <v>0</v>
      </c>
      <c r="I546" t="n">
        <v>0</v>
      </c>
      <c r="J546" t="n">
        <v>0</v>
      </c>
      <c r="K546" t="n">
        <v>0</v>
      </c>
      <c r="L546" t="n">
        <v>0</v>
      </c>
      <c r="M546" t="n">
        <v>0</v>
      </c>
      <c r="N546" t="n">
        <v>0</v>
      </c>
      <c r="O546" t="n">
        <v>0</v>
      </c>
      <c r="P546" t="n">
        <v>0</v>
      </c>
      <c r="Q546" t="n">
        <v>0</v>
      </c>
      <c r="R546" s="2" t="inlineStr"/>
    </row>
    <row r="547" ht="15" customHeight="1">
      <c r="A547" t="inlineStr">
        <is>
          <t>A 58960-2021</t>
        </is>
      </c>
      <c r="B547" s="1" t="n">
        <v>44490</v>
      </c>
      <c r="C547" s="1" t="n">
        <v>45506</v>
      </c>
      <c r="D547" t="inlineStr">
        <is>
          <t>JÄMTLANDS LÄN</t>
        </is>
      </c>
      <c r="E547" t="inlineStr">
        <is>
          <t>RAGUNDA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58984-2021</t>
        </is>
      </c>
      <c r="B548" s="1" t="n">
        <v>44490</v>
      </c>
      <c r="C548" s="1" t="n">
        <v>45506</v>
      </c>
      <c r="D548" t="inlineStr">
        <is>
          <t>JÄMTLANDS LÄN</t>
        </is>
      </c>
      <c r="E548" t="inlineStr">
        <is>
          <t>RAGUNDA</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59321-2021</t>
        </is>
      </c>
      <c r="B549" s="1" t="n">
        <v>44491</v>
      </c>
      <c r="C549" s="1" t="n">
        <v>45506</v>
      </c>
      <c r="D549" t="inlineStr">
        <is>
          <t>JÄMTLANDS LÄN</t>
        </is>
      </c>
      <c r="E549" t="inlineStr">
        <is>
          <t>RAGUNDA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59996-2021</t>
        </is>
      </c>
      <c r="B550" s="1" t="n">
        <v>44495</v>
      </c>
      <c r="C550" s="1" t="n">
        <v>45506</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60313-2021</t>
        </is>
      </c>
      <c r="B551" s="1" t="n">
        <v>44495</v>
      </c>
      <c r="C551" s="1" t="n">
        <v>45506</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60312-2021</t>
        </is>
      </c>
      <c r="B552" s="1" t="n">
        <v>44496</v>
      </c>
      <c r="C552" s="1" t="n">
        <v>45506</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60957-2021</t>
        </is>
      </c>
      <c r="B553" s="1" t="n">
        <v>44496</v>
      </c>
      <c r="C553" s="1" t="n">
        <v>45506</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61442-2021</t>
        </is>
      </c>
      <c r="B554" s="1" t="n">
        <v>44500</v>
      </c>
      <c r="C554" s="1" t="n">
        <v>45506</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62956-2021</t>
        </is>
      </c>
      <c r="B555" s="1" t="n">
        <v>44504</v>
      </c>
      <c r="C555" s="1" t="n">
        <v>45506</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63169-2021</t>
        </is>
      </c>
      <c r="B556" s="1" t="n">
        <v>44505</v>
      </c>
      <c r="C556" s="1" t="n">
        <v>45506</v>
      </c>
      <c r="D556" t="inlineStr">
        <is>
          <t>JÄMTLANDS LÄN</t>
        </is>
      </c>
      <c r="E556" t="inlineStr">
        <is>
          <t>RAGUNDA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63168-2021</t>
        </is>
      </c>
      <c r="B557" s="1" t="n">
        <v>44505</v>
      </c>
      <c r="C557" s="1" t="n">
        <v>45506</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64511-2021</t>
        </is>
      </c>
      <c r="B558" s="1" t="n">
        <v>44511</v>
      </c>
      <c r="C558" s="1" t="n">
        <v>45506</v>
      </c>
      <c r="D558" t="inlineStr">
        <is>
          <t>JÄMTLANDS LÄN</t>
        </is>
      </c>
      <c r="E558" t="inlineStr">
        <is>
          <t>RAGUNDA</t>
        </is>
      </c>
      <c r="G558" t="n">
        <v>19.4</v>
      </c>
      <c r="H558" t="n">
        <v>0</v>
      </c>
      <c r="I558" t="n">
        <v>0</v>
      </c>
      <c r="J558" t="n">
        <v>0</v>
      </c>
      <c r="K558" t="n">
        <v>0</v>
      </c>
      <c r="L558" t="n">
        <v>0</v>
      </c>
      <c r="M558" t="n">
        <v>0</v>
      </c>
      <c r="N558" t="n">
        <v>0</v>
      </c>
      <c r="O558" t="n">
        <v>0</v>
      </c>
      <c r="P558" t="n">
        <v>0</v>
      </c>
      <c r="Q558" t="n">
        <v>0</v>
      </c>
      <c r="R558" s="2" t="inlineStr"/>
    </row>
    <row r="559" ht="15" customHeight="1">
      <c r="A559" t="inlineStr">
        <is>
          <t>A 64629-2021</t>
        </is>
      </c>
      <c r="B559" s="1" t="n">
        <v>44511</v>
      </c>
      <c r="C559" s="1" t="n">
        <v>45506</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64959-2021</t>
        </is>
      </c>
      <c r="B560" s="1" t="n">
        <v>44512</v>
      </c>
      <c r="C560" s="1" t="n">
        <v>45506</v>
      </c>
      <c r="D560" t="inlineStr">
        <is>
          <t>JÄMTLANDS LÄN</t>
        </is>
      </c>
      <c r="E560" t="inlineStr">
        <is>
          <t>RAGUNDA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65017-2021</t>
        </is>
      </c>
      <c r="B561" s="1" t="n">
        <v>44512</v>
      </c>
      <c r="C561" s="1" t="n">
        <v>45506</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65424-2021</t>
        </is>
      </c>
      <c r="B562" s="1" t="n">
        <v>44515</v>
      </c>
      <c r="C562" s="1" t="n">
        <v>45506</v>
      </c>
      <c r="D562" t="inlineStr">
        <is>
          <t>JÄMTLANDS LÄN</t>
        </is>
      </c>
      <c r="E562" t="inlineStr">
        <is>
          <t>RAGUNDA</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66147-2021</t>
        </is>
      </c>
      <c r="B563" s="1" t="n">
        <v>44517</v>
      </c>
      <c r="C563" s="1" t="n">
        <v>45506</v>
      </c>
      <c r="D563" t="inlineStr">
        <is>
          <t>JÄMTLANDS LÄN</t>
        </is>
      </c>
      <c r="E563" t="inlineStr">
        <is>
          <t>RAGUNDA</t>
        </is>
      </c>
      <c r="G563" t="n">
        <v>1.2</v>
      </c>
      <c r="H563" t="n">
        <v>0</v>
      </c>
      <c r="I563" t="n">
        <v>0</v>
      </c>
      <c r="J563" t="n">
        <v>0</v>
      </c>
      <c r="K563" t="n">
        <v>0</v>
      </c>
      <c r="L563" t="n">
        <v>0</v>
      </c>
      <c r="M563" t="n">
        <v>0</v>
      </c>
      <c r="N563" t="n">
        <v>0</v>
      </c>
      <c r="O563" t="n">
        <v>0</v>
      </c>
      <c r="P563" t="n">
        <v>0</v>
      </c>
      <c r="Q563" t="n">
        <v>0</v>
      </c>
      <c r="R563" s="2" t="inlineStr"/>
    </row>
    <row r="564" ht="15" customHeight="1">
      <c r="A564" t="inlineStr">
        <is>
          <t>A 66059-2021</t>
        </is>
      </c>
      <c r="B564" s="1" t="n">
        <v>44517</v>
      </c>
      <c r="C564" s="1" t="n">
        <v>45506</v>
      </c>
      <c r="D564" t="inlineStr">
        <is>
          <t>JÄMTLANDS LÄN</t>
        </is>
      </c>
      <c r="E564" t="inlineStr">
        <is>
          <t>RAGUNDA</t>
        </is>
      </c>
      <c r="G564" t="n">
        <v>0.6</v>
      </c>
      <c r="H564" t="n">
        <v>0</v>
      </c>
      <c r="I564" t="n">
        <v>0</v>
      </c>
      <c r="J564" t="n">
        <v>0</v>
      </c>
      <c r="K564" t="n">
        <v>0</v>
      </c>
      <c r="L564" t="n">
        <v>0</v>
      </c>
      <c r="M564" t="n">
        <v>0</v>
      </c>
      <c r="N564" t="n">
        <v>0</v>
      </c>
      <c r="O564" t="n">
        <v>0</v>
      </c>
      <c r="P564" t="n">
        <v>0</v>
      </c>
      <c r="Q564" t="n">
        <v>0</v>
      </c>
      <c r="R564" s="2" t="inlineStr"/>
    </row>
    <row r="565" ht="15" customHeight="1">
      <c r="A565" t="inlineStr">
        <is>
          <t>A 66472-2021</t>
        </is>
      </c>
      <c r="B565" s="1" t="n">
        <v>44518</v>
      </c>
      <c r="C565" s="1" t="n">
        <v>45506</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66471-2021</t>
        </is>
      </c>
      <c r="B566" s="1" t="n">
        <v>44518</v>
      </c>
      <c r="C566" s="1" t="n">
        <v>45506</v>
      </c>
      <c r="D566" t="inlineStr">
        <is>
          <t>JÄMTLANDS LÄN</t>
        </is>
      </c>
      <c r="E566" t="inlineStr">
        <is>
          <t>RAGUNDA</t>
        </is>
      </c>
      <c r="G566" t="n">
        <v>13.4</v>
      </c>
      <c r="H566" t="n">
        <v>0</v>
      </c>
      <c r="I566" t="n">
        <v>0</v>
      </c>
      <c r="J566" t="n">
        <v>0</v>
      </c>
      <c r="K566" t="n">
        <v>0</v>
      </c>
      <c r="L566" t="n">
        <v>0</v>
      </c>
      <c r="M566" t="n">
        <v>0</v>
      </c>
      <c r="N566" t="n">
        <v>0</v>
      </c>
      <c r="O566" t="n">
        <v>0</v>
      </c>
      <c r="P566" t="n">
        <v>0</v>
      </c>
      <c r="Q566" t="n">
        <v>0</v>
      </c>
      <c r="R566" s="2" t="inlineStr"/>
    </row>
    <row r="567" ht="15" customHeight="1">
      <c r="A567" t="inlineStr">
        <is>
          <t>A 66489-2021</t>
        </is>
      </c>
      <c r="B567" s="1" t="n">
        <v>44518</v>
      </c>
      <c r="C567" s="1" t="n">
        <v>45506</v>
      </c>
      <c r="D567" t="inlineStr">
        <is>
          <t>JÄMTLANDS LÄN</t>
        </is>
      </c>
      <c r="E567" t="inlineStr">
        <is>
          <t>RAGUNDA</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66707-2021</t>
        </is>
      </c>
      <c r="B568" s="1" t="n">
        <v>44519</v>
      </c>
      <c r="C568" s="1" t="n">
        <v>45506</v>
      </c>
      <c r="D568" t="inlineStr">
        <is>
          <t>JÄMTLANDS LÄN</t>
        </is>
      </c>
      <c r="E568" t="inlineStr">
        <is>
          <t>RAGUNDA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66706-2021</t>
        </is>
      </c>
      <c r="B569" s="1" t="n">
        <v>44519</v>
      </c>
      <c r="C569" s="1" t="n">
        <v>45506</v>
      </c>
      <c r="D569" t="inlineStr">
        <is>
          <t>JÄMTLANDS LÄN</t>
        </is>
      </c>
      <c r="E569" t="inlineStr">
        <is>
          <t>RAGUNDA</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66715-2021</t>
        </is>
      </c>
      <c r="B570" s="1" t="n">
        <v>44519</v>
      </c>
      <c r="C570" s="1" t="n">
        <v>45506</v>
      </c>
      <c r="D570" t="inlineStr">
        <is>
          <t>JÄMTLANDS LÄN</t>
        </is>
      </c>
      <c r="E570" t="inlineStr">
        <is>
          <t>RAGUNDA</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69164-2021</t>
        </is>
      </c>
      <c r="B571" s="1" t="n">
        <v>44530</v>
      </c>
      <c r="C571" s="1" t="n">
        <v>45506</v>
      </c>
      <c r="D571" t="inlineStr">
        <is>
          <t>JÄMTLANDS LÄN</t>
        </is>
      </c>
      <c r="E571" t="inlineStr">
        <is>
          <t>RAGUNDA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69316-2021</t>
        </is>
      </c>
      <c r="B572" s="1" t="n">
        <v>44530</v>
      </c>
      <c r="C572" s="1" t="n">
        <v>45506</v>
      </c>
      <c r="D572" t="inlineStr">
        <is>
          <t>JÄMTLANDS LÄN</t>
        </is>
      </c>
      <c r="E572" t="inlineStr">
        <is>
          <t>RAGUNDA</t>
        </is>
      </c>
      <c r="G572" t="n">
        <v>2.3</v>
      </c>
      <c r="H572" t="n">
        <v>0</v>
      </c>
      <c r="I572" t="n">
        <v>0</v>
      </c>
      <c r="J572" t="n">
        <v>0</v>
      </c>
      <c r="K572" t="n">
        <v>0</v>
      </c>
      <c r="L572" t="n">
        <v>0</v>
      </c>
      <c r="M572" t="n">
        <v>0</v>
      </c>
      <c r="N572" t="n">
        <v>0</v>
      </c>
      <c r="O572" t="n">
        <v>0</v>
      </c>
      <c r="P572" t="n">
        <v>0</v>
      </c>
      <c r="Q572" t="n">
        <v>0</v>
      </c>
      <c r="R572" s="2" t="inlineStr"/>
    </row>
    <row r="573" ht="15" customHeight="1">
      <c r="A573" t="inlineStr">
        <is>
          <t>A 69153-2021</t>
        </is>
      </c>
      <c r="B573" s="1" t="n">
        <v>44530</v>
      </c>
      <c r="C573" s="1" t="n">
        <v>45506</v>
      </c>
      <c r="D573" t="inlineStr">
        <is>
          <t>JÄMTLANDS LÄN</t>
        </is>
      </c>
      <c r="E573" t="inlineStr">
        <is>
          <t>RAGUNDA</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70609-2021</t>
        </is>
      </c>
      <c r="B574" s="1" t="n">
        <v>44537</v>
      </c>
      <c r="C574" s="1" t="n">
        <v>45506</v>
      </c>
      <c r="D574" t="inlineStr">
        <is>
          <t>JÄMTLANDS LÄN</t>
        </is>
      </c>
      <c r="E574" t="inlineStr">
        <is>
          <t>RAGUNDA</t>
        </is>
      </c>
      <c r="G574" t="n">
        <v>4.5</v>
      </c>
      <c r="H574" t="n">
        <v>0</v>
      </c>
      <c r="I574" t="n">
        <v>0</v>
      </c>
      <c r="J574" t="n">
        <v>0</v>
      </c>
      <c r="K574" t="n">
        <v>0</v>
      </c>
      <c r="L574" t="n">
        <v>0</v>
      </c>
      <c r="M574" t="n">
        <v>0</v>
      </c>
      <c r="N574" t="n">
        <v>0</v>
      </c>
      <c r="O574" t="n">
        <v>0</v>
      </c>
      <c r="P574" t="n">
        <v>0</v>
      </c>
      <c r="Q574" t="n">
        <v>0</v>
      </c>
      <c r="R574" s="2" t="inlineStr"/>
    </row>
    <row r="575" ht="15" customHeight="1">
      <c r="A575" t="inlineStr">
        <is>
          <t>A 71209-2021</t>
        </is>
      </c>
      <c r="B575" s="1" t="n">
        <v>44538</v>
      </c>
      <c r="C575" s="1" t="n">
        <v>45506</v>
      </c>
      <c r="D575" t="inlineStr">
        <is>
          <t>JÄMTLANDS LÄN</t>
        </is>
      </c>
      <c r="E575" t="inlineStr">
        <is>
          <t>RAGUNDA</t>
        </is>
      </c>
      <c r="G575" t="n">
        <v>8</v>
      </c>
      <c r="H575" t="n">
        <v>0</v>
      </c>
      <c r="I575" t="n">
        <v>0</v>
      </c>
      <c r="J575" t="n">
        <v>0</v>
      </c>
      <c r="K575" t="n">
        <v>0</v>
      </c>
      <c r="L575" t="n">
        <v>0</v>
      </c>
      <c r="M575" t="n">
        <v>0</v>
      </c>
      <c r="N575" t="n">
        <v>0</v>
      </c>
      <c r="O575" t="n">
        <v>0</v>
      </c>
      <c r="P575" t="n">
        <v>0</v>
      </c>
      <c r="Q575" t="n">
        <v>0</v>
      </c>
      <c r="R575" s="2" t="inlineStr"/>
    </row>
    <row r="576" ht="15" customHeight="1">
      <c r="A576" t="inlineStr">
        <is>
          <t>A 73278-2021</t>
        </is>
      </c>
      <c r="B576" s="1" t="n">
        <v>44550</v>
      </c>
      <c r="C576" s="1" t="n">
        <v>45506</v>
      </c>
      <c r="D576" t="inlineStr">
        <is>
          <t>JÄMTLANDS LÄN</t>
        </is>
      </c>
      <c r="E576" t="inlineStr">
        <is>
          <t>RAGUNDA</t>
        </is>
      </c>
      <c r="G576" t="n">
        <v>4.4</v>
      </c>
      <c r="H576" t="n">
        <v>0</v>
      </c>
      <c r="I576" t="n">
        <v>0</v>
      </c>
      <c r="J576" t="n">
        <v>0</v>
      </c>
      <c r="K576" t="n">
        <v>0</v>
      </c>
      <c r="L576" t="n">
        <v>0</v>
      </c>
      <c r="M576" t="n">
        <v>0</v>
      </c>
      <c r="N576" t="n">
        <v>0</v>
      </c>
      <c r="O576" t="n">
        <v>0</v>
      </c>
      <c r="P576" t="n">
        <v>0</v>
      </c>
      <c r="Q576" t="n">
        <v>0</v>
      </c>
      <c r="R576" s="2" t="inlineStr"/>
    </row>
    <row r="577" ht="15" customHeight="1">
      <c r="A577" t="inlineStr">
        <is>
          <t>A 891-2022</t>
        </is>
      </c>
      <c r="B577" s="1" t="n">
        <v>44571</v>
      </c>
      <c r="C577" s="1" t="n">
        <v>45506</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1540-2022</t>
        </is>
      </c>
      <c r="B578" s="1" t="n">
        <v>44573</v>
      </c>
      <c r="C578" s="1" t="n">
        <v>45506</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1782-2022</t>
        </is>
      </c>
      <c r="B579" s="1" t="n">
        <v>44574</v>
      </c>
      <c r="C579" s="1" t="n">
        <v>45506</v>
      </c>
      <c r="D579" t="inlineStr">
        <is>
          <t>JÄMTLANDS LÄN</t>
        </is>
      </c>
      <c r="E579" t="inlineStr">
        <is>
          <t>RAGUNDA</t>
        </is>
      </c>
      <c r="G579" t="n">
        <v>3.7</v>
      </c>
      <c r="H579" t="n">
        <v>0</v>
      </c>
      <c r="I579" t="n">
        <v>0</v>
      </c>
      <c r="J579" t="n">
        <v>0</v>
      </c>
      <c r="K579" t="n">
        <v>0</v>
      </c>
      <c r="L579" t="n">
        <v>0</v>
      </c>
      <c r="M579" t="n">
        <v>0</v>
      </c>
      <c r="N579" t="n">
        <v>0</v>
      </c>
      <c r="O579" t="n">
        <v>0</v>
      </c>
      <c r="P579" t="n">
        <v>0</v>
      </c>
      <c r="Q579" t="n">
        <v>0</v>
      </c>
      <c r="R579" s="2" t="inlineStr"/>
    </row>
    <row r="580" ht="15" customHeight="1">
      <c r="A580" t="inlineStr">
        <is>
          <t>A 1858-2022</t>
        </is>
      </c>
      <c r="B580" s="1" t="n">
        <v>44574</v>
      </c>
      <c r="C580" s="1" t="n">
        <v>45506</v>
      </c>
      <c r="D580" t="inlineStr">
        <is>
          <t>JÄMTLANDS LÄN</t>
        </is>
      </c>
      <c r="E580" t="inlineStr">
        <is>
          <t>RAGUNDA</t>
        </is>
      </c>
      <c r="G580" t="n">
        <v>5.7</v>
      </c>
      <c r="H580" t="n">
        <v>0</v>
      </c>
      <c r="I580" t="n">
        <v>0</v>
      </c>
      <c r="J580" t="n">
        <v>0</v>
      </c>
      <c r="K580" t="n">
        <v>0</v>
      </c>
      <c r="L580" t="n">
        <v>0</v>
      </c>
      <c r="M580" t="n">
        <v>0</v>
      </c>
      <c r="N580" t="n">
        <v>0</v>
      </c>
      <c r="O580" t="n">
        <v>0</v>
      </c>
      <c r="P580" t="n">
        <v>0</v>
      </c>
      <c r="Q580" t="n">
        <v>0</v>
      </c>
      <c r="R580" s="2" t="inlineStr"/>
    </row>
    <row r="581" ht="15" customHeight="1">
      <c r="A581" t="inlineStr">
        <is>
          <t>A 2336-2022</t>
        </is>
      </c>
      <c r="B581" s="1" t="n">
        <v>44578</v>
      </c>
      <c r="C581" s="1" t="n">
        <v>45506</v>
      </c>
      <c r="D581" t="inlineStr">
        <is>
          <t>JÄMTLANDS LÄN</t>
        </is>
      </c>
      <c r="E581" t="inlineStr">
        <is>
          <t>RAGUNDA</t>
        </is>
      </c>
      <c r="G581" t="n">
        <v>0.5</v>
      </c>
      <c r="H581" t="n">
        <v>0</v>
      </c>
      <c r="I581" t="n">
        <v>0</v>
      </c>
      <c r="J581" t="n">
        <v>0</v>
      </c>
      <c r="K581" t="n">
        <v>0</v>
      </c>
      <c r="L581" t="n">
        <v>0</v>
      </c>
      <c r="M581" t="n">
        <v>0</v>
      </c>
      <c r="N581" t="n">
        <v>0</v>
      </c>
      <c r="O581" t="n">
        <v>0</v>
      </c>
      <c r="P581" t="n">
        <v>0</v>
      </c>
      <c r="Q581" t="n">
        <v>0</v>
      </c>
      <c r="R581" s="2" t="inlineStr"/>
    </row>
    <row r="582" ht="15" customHeight="1">
      <c r="A582" t="inlineStr">
        <is>
          <t>A 2337-2022</t>
        </is>
      </c>
      <c r="B582" s="1" t="n">
        <v>44578</v>
      </c>
      <c r="C582" s="1" t="n">
        <v>45506</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2338-2022</t>
        </is>
      </c>
      <c r="B583" s="1" t="n">
        <v>44578</v>
      </c>
      <c r="C583" s="1" t="n">
        <v>45506</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2494-2022</t>
        </is>
      </c>
      <c r="B584" s="1" t="n">
        <v>44579</v>
      </c>
      <c r="C584" s="1" t="n">
        <v>45506</v>
      </c>
      <c r="D584" t="inlineStr">
        <is>
          <t>JÄMTLANDS LÄN</t>
        </is>
      </c>
      <c r="E584" t="inlineStr">
        <is>
          <t>RAGUNDA</t>
        </is>
      </c>
      <c r="G584" t="n">
        <v>0.6</v>
      </c>
      <c r="H584" t="n">
        <v>0</v>
      </c>
      <c r="I584" t="n">
        <v>0</v>
      </c>
      <c r="J584" t="n">
        <v>0</v>
      </c>
      <c r="K584" t="n">
        <v>0</v>
      </c>
      <c r="L584" t="n">
        <v>0</v>
      </c>
      <c r="M584" t="n">
        <v>0</v>
      </c>
      <c r="N584" t="n">
        <v>0</v>
      </c>
      <c r="O584" t="n">
        <v>0</v>
      </c>
      <c r="P584" t="n">
        <v>0</v>
      </c>
      <c r="Q584" t="n">
        <v>0</v>
      </c>
      <c r="R584" s="2" t="inlineStr"/>
    </row>
    <row r="585" ht="15" customHeight="1">
      <c r="A585" t="inlineStr">
        <is>
          <t>A 3796-2022</t>
        </is>
      </c>
      <c r="B585" s="1" t="n">
        <v>44586</v>
      </c>
      <c r="C585" s="1" t="n">
        <v>45506</v>
      </c>
      <c r="D585" t="inlineStr">
        <is>
          <t>JÄMTLANDS LÄN</t>
        </is>
      </c>
      <c r="E585" t="inlineStr">
        <is>
          <t>RAGUNDA</t>
        </is>
      </c>
      <c r="G585" t="n">
        <v>1.2</v>
      </c>
      <c r="H585" t="n">
        <v>0</v>
      </c>
      <c r="I585" t="n">
        <v>0</v>
      </c>
      <c r="J585" t="n">
        <v>0</v>
      </c>
      <c r="K585" t="n">
        <v>0</v>
      </c>
      <c r="L585" t="n">
        <v>0</v>
      </c>
      <c r="M585" t="n">
        <v>0</v>
      </c>
      <c r="N585" t="n">
        <v>0</v>
      </c>
      <c r="O585" t="n">
        <v>0</v>
      </c>
      <c r="P585" t="n">
        <v>0</v>
      </c>
      <c r="Q585" t="n">
        <v>0</v>
      </c>
      <c r="R585" s="2" t="inlineStr"/>
    </row>
    <row r="586" ht="15" customHeight="1">
      <c r="A586" t="inlineStr">
        <is>
          <t>A 4014-2022</t>
        </is>
      </c>
      <c r="B586" s="1" t="n">
        <v>44587</v>
      </c>
      <c r="C586" s="1" t="n">
        <v>45506</v>
      </c>
      <c r="D586" t="inlineStr">
        <is>
          <t>JÄMTLANDS LÄN</t>
        </is>
      </c>
      <c r="E586" t="inlineStr">
        <is>
          <t>RAGUNDA</t>
        </is>
      </c>
      <c r="G586" t="n">
        <v>3.6</v>
      </c>
      <c r="H586" t="n">
        <v>0</v>
      </c>
      <c r="I586" t="n">
        <v>0</v>
      </c>
      <c r="J586" t="n">
        <v>0</v>
      </c>
      <c r="K586" t="n">
        <v>0</v>
      </c>
      <c r="L586" t="n">
        <v>0</v>
      </c>
      <c r="M586" t="n">
        <v>0</v>
      </c>
      <c r="N586" t="n">
        <v>0</v>
      </c>
      <c r="O586" t="n">
        <v>0</v>
      </c>
      <c r="P586" t="n">
        <v>0</v>
      </c>
      <c r="Q586" t="n">
        <v>0</v>
      </c>
      <c r="R586" s="2" t="inlineStr"/>
    </row>
    <row r="587" ht="15" customHeight="1">
      <c r="A587" t="inlineStr">
        <is>
          <t>A 4015-2022</t>
        </is>
      </c>
      <c r="B587" s="1" t="n">
        <v>44587</v>
      </c>
      <c r="C587" s="1" t="n">
        <v>45506</v>
      </c>
      <c r="D587" t="inlineStr">
        <is>
          <t>JÄMTLANDS LÄN</t>
        </is>
      </c>
      <c r="E587" t="inlineStr">
        <is>
          <t>RAGUNDA</t>
        </is>
      </c>
      <c r="G587" t="n">
        <v>3.9</v>
      </c>
      <c r="H587" t="n">
        <v>0</v>
      </c>
      <c r="I587" t="n">
        <v>0</v>
      </c>
      <c r="J587" t="n">
        <v>0</v>
      </c>
      <c r="K587" t="n">
        <v>0</v>
      </c>
      <c r="L587" t="n">
        <v>0</v>
      </c>
      <c r="M587" t="n">
        <v>0</v>
      </c>
      <c r="N587" t="n">
        <v>0</v>
      </c>
      <c r="O587" t="n">
        <v>0</v>
      </c>
      <c r="P587" t="n">
        <v>0</v>
      </c>
      <c r="Q587" t="n">
        <v>0</v>
      </c>
      <c r="R587" s="2" t="inlineStr"/>
    </row>
    <row r="588" ht="15" customHeight="1">
      <c r="A588" t="inlineStr">
        <is>
          <t>A 4878-2022</t>
        </is>
      </c>
      <c r="B588" s="1" t="n">
        <v>44593</v>
      </c>
      <c r="C588" s="1" t="n">
        <v>45506</v>
      </c>
      <c r="D588" t="inlineStr">
        <is>
          <t>JÄMTLANDS LÄN</t>
        </is>
      </c>
      <c r="E588" t="inlineStr">
        <is>
          <t>RAGUNDA</t>
        </is>
      </c>
      <c r="G588" t="n">
        <v>21.7</v>
      </c>
      <c r="H588" t="n">
        <v>0</v>
      </c>
      <c r="I588" t="n">
        <v>0</v>
      </c>
      <c r="J588" t="n">
        <v>0</v>
      </c>
      <c r="K588" t="n">
        <v>0</v>
      </c>
      <c r="L588" t="n">
        <v>0</v>
      </c>
      <c r="M588" t="n">
        <v>0</v>
      </c>
      <c r="N588" t="n">
        <v>0</v>
      </c>
      <c r="O588" t="n">
        <v>0</v>
      </c>
      <c r="P588" t="n">
        <v>0</v>
      </c>
      <c r="Q588" t="n">
        <v>0</v>
      </c>
      <c r="R588" s="2" t="inlineStr"/>
    </row>
    <row r="589" ht="15" customHeight="1">
      <c r="A589" t="inlineStr">
        <is>
          <t>A 5515-2022</t>
        </is>
      </c>
      <c r="B589" s="1" t="n">
        <v>44595</v>
      </c>
      <c r="C589" s="1" t="n">
        <v>45506</v>
      </c>
      <c r="D589" t="inlineStr">
        <is>
          <t>JÄMTLANDS LÄN</t>
        </is>
      </c>
      <c r="E589" t="inlineStr">
        <is>
          <t>RAGUNDA</t>
        </is>
      </c>
      <c r="G589" t="n">
        <v>1</v>
      </c>
      <c r="H589" t="n">
        <v>0</v>
      </c>
      <c r="I589" t="n">
        <v>0</v>
      </c>
      <c r="J589" t="n">
        <v>0</v>
      </c>
      <c r="K589" t="n">
        <v>0</v>
      </c>
      <c r="L589" t="n">
        <v>0</v>
      </c>
      <c r="M589" t="n">
        <v>0</v>
      </c>
      <c r="N589" t="n">
        <v>0</v>
      </c>
      <c r="O589" t="n">
        <v>0</v>
      </c>
      <c r="P589" t="n">
        <v>0</v>
      </c>
      <c r="Q589" t="n">
        <v>0</v>
      </c>
      <c r="R589" s="2" t="inlineStr"/>
    </row>
    <row r="590" ht="15" customHeight="1">
      <c r="A590" t="inlineStr">
        <is>
          <t>A 5644-2022</t>
        </is>
      </c>
      <c r="B590" s="1" t="n">
        <v>44595</v>
      </c>
      <c r="C590" s="1" t="n">
        <v>45506</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5652-2022</t>
        </is>
      </c>
      <c r="B591" s="1" t="n">
        <v>44595</v>
      </c>
      <c r="C591" s="1" t="n">
        <v>45506</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6177-2022</t>
        </is>
      </c>
      <c r="B592" s="1" t="n">
        <v>44600</v>
      </c>
      <c r="C592" s="1" t="n">
        <v>45506</v>
      </c>
      <c r="D592" t="inlineStr">
        <is>
          <t>JÄMTLANDS LÄN</t>
        </is>
      </c>
      <c r="E592" t="inlineStr">
        <is>
          <t>RAGUNDA</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6492-2022</t>
        </is>
      </c>
      <c r="B593" s="1" t="n">
        <v>44601</v>
      </c>
      <c r="C593" s="1" t="n">
        <v>45506</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6490-2022</t>
        </is>
      </c>
      <c r="B594" s="1" t="n">
        <v>44601</v>
      </c>
      <c r="C594" s="1" t="n">
        <v>45506</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7448-2022</t>
        </is>
      </c>
      <c r="B595" s="1" t="n">
        <v>44606</v>
      </c>
      <c r="C595" s="1" t="n">
        <v>45506</v>
      </c>
      <c r="D595" t="inlineStr">
        <is>
          <t>JÄMTLANDS LÄN</t>
        </is>
      </c>
      <c r="E595" t="inlineStr">
        <is>
          <t>RAGUNDA</t>
        </is>
      </c>
      <c r="G595" t="n">
        <v>2.6</v>
      </c>
      <c r="H595" t="n">
        <v>0</v>
      </c>
      <c r="I595" t="n">
        <v>0</v>
      </c>
      <c r="J595" t="n">
        <v>0</v>
      </c>
      <c r="K595" t="n">
        <v>0</v>
      </c>
      <c r="L595" t="n">
        <v>0</v>
      </c>
      <c r="M595" t="n">
        <v>0</v>
      </c>
      <c r="N595" t="n">
        <v>0</v>
      </c>
      <c r="O595" t="n">
        <v>0</v>
      </c>
      <c r="P595" t="n">
        <v>0</v>
      </c>
      <c r="Q595" t="n">
        <v>0</v>
      </c>
      <c r="R595" s="2" t="inlineStr"/>
    </row>
    <row r="596" ht="15" customHeight="1">
      <c r="A596" t="inlineStr">
        <is>
          <t>A 7668-2022</t>
        </is>
      </c>
      <c r="B596" s="1" t="n">
        <v>44607</v>
      </c>
      <c r="C596" s="1" t="n">
        <v>45506</v>
      </c>
      <c r="D596" t="inlineStr">
        <is>
          <t>JÄMTLANDS LÄN</t>
        </is>
      </c>
      <c r="E596" t="inlineStr">
        <is>
          <t>RAGUNDA</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7695-2022</t>
        </is>
      </c>
      <c r="B597" s="1" t="n">
        <v>44607</v>
      </c>
      <c r="C597" s="1" t="n">
        <v>45506</v>
      </c>
      <c r="D597" t="inlineStr">
        <is>
          <t>JÄMTLANDS LÄN</t>
        </is>
      </c>
      <c r="E597" t="inlineStr">
        <is>
          <t>RAGUNDA</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8231-2022</t>
        </is>
      </c>
      <c r="B598" s="1" t="n">
        <v>44609</v>
      </c>
      <c r="C598" s="1" t="n">
        <v>45506</v>
      </c>
      <c r="D598" t="inlineStr">
        <is>
          <t>JÄMTLANDS LÄN</t>
        </is>
      </c>
      <c r="E598" t="inlineStr">
        <is>
          <t>RAGUNDA</t>
        </is>
      </c>
      <c r="F598" t="inlineStr">
        <is>
          <t>SCA</t>
        </is>
      </c>
      <c r="G598" t="n">
        <v>24.1</v>
      </c>
      <c r="H598" t="n">
        <v>0</v>
      </c>
      <c r="I598" t="n">
        <v>0</v>
      </c>
      <c r="J598" t="n">
        <v>0</v>
      </c>
      <c r="K598" t="n">
        <v>0</v>
      </c>
      <c r="L598" t="n">
        <v>0</v>
      </c>
      <c r="M598" t="n">
        <v>0</v>
      </c>
      <c r="N598" t="n">
        <v>0</v>
      </c>
      <c r="O598" t="n">
        <v>0</v>
      </c>
      <c r="P598" t="n">
        <v>0</v>
      </c>
      <c r="Q598" t="n">
        <v>0</v>
      </c>
      <c r="R598" s="2" t="inlineStr"/>
    </row>
    <row r="599" ht="15" customHeight="1">
      <c r="A599" t="inlineStr">
        <is>
          <t>A 8237-2022</t>
        </is>
      </c>
      <c r="B599" s="1" t="n">
        <v>44609</v>
      </c>
      <c r="C599" s="1" t="n">
        <v>45506</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8795-2022</t>
        </is>
      </c>
      <c r="B600" s="1" t="n">
        <v>44614</v>
      </c>
      <c r="C600" s="1" t="n">
        <v>45506</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8808-2022</t>
        </is>
      </c>
      <c r="B601" s="1" t="n">
        <v>44614</v>
      </c>
      <c r="C601" s="1" t="n">
        <v>45506</v>
      </c>
      <c r="D601" t="inlineStr">
        <is>
          <t>JÄMTLANDS LÄN</t>
        </is>
      </c>
      <c r="E601" t="inlineStr">
        <is>
          <t>RAGUNDA</t>
        </is>
      </c>
      <c r="G601" t="n">
        <v>3.3</v>
      </c>
      <c r="H601" t="n">
        <v>0</v>
      </c>
      <c r="I601" t="n">
        <v>0</v>
      </c>
      <c r="J601" t="n">
        <v>0</v>
      </c>
      <c r="K601" t="n">
        <v>0</v>
      </c>
      <c r="L601" t="n">
        <v>0</v>
      </c>
      <c r="M601" t="n">
        <v>0</v>
      </c>
      <c r="N601" t="n">
        <v>0</v>
      </c>
      <c r="O601" t="n">
        <v>0</v>
      </c>
      <c r="P601" t="n">
        <v>0</v>
      </c>
      <c r="Q601" t="n">
        <v>0</v>
      </c>
      <c r="R601" s="2" t="inlineStr"/>
    </row>
    <row r="602" ht="15" customHeight="1">
      <c r="A602" t="inlineStr">
        <is>
          <t>A 8802-2022</t>
        </is>
      </c>
      <c r="B602" s="1" t="n">
        <v>44614</v>
      </c>
      <c r="C602" s="1" t="n">
        <v>45506</v>
      </c>
      <c r="D602" t="inlineStr">
        <is>
          <t>JÄMTLANDS LÄN</t>
        </is>
      </c>
      <c r="E602" t="inlineStr">
        <is>
          <t>RAGUNDA</t>
        </is>
      </c>
      <c r="G602" t="n">
        <v>2.8</v>
      </c>
      <c r="H602" t="n">
        <v>0</v>
      </c>
      <c r="I602" t="n">
        <v>0</v>
      </c>
      <c r="J602" t="n">
        <v>0</v>
      </c>
      <c r="K602" t="n">
        <v>0</v>
      </c>
      <c r="L602" t="n">
        <v>0</v>
      </c>
      <c r="M602" t="n">
        <v>0</v>
      </c>
      <c r="N602" t="n">
        <v>0</v>
      </c>
      <c r="O602" t="n">
        <v>0</v>
      </c>
      <c r="P602" t="n">
        <v>0</v>
      </c>
      <c r="Q602" t="n">
        <v>0</v>
      </c>
      <c r="R602" s="2" t="inlineStr"/>
    </row>
    <row r="603" ht="15" customHeight="1">
      <c r="A603" t="inlineStr">
        <is>
          <t>A 8811-2022</t>
        </is>
      </c>
      <c r="B603" s="1" t="n">
        <v>44614</v>
      </c>
      <c r="C603" s="1" t="n">
        <v>45506</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8787-2022</t>
        </is>
      </c>
      <c r="B604" s="1" t="n">
        <v>44614</v>
      </c>
      <c r="C604" s="1" t="n">
        <v>45506</v>
      </c>
      <c r="D604" t="inlineStr">
        <is>
          <t>JÄMTLANDS LÄN</t>
        </is>
      </c>
      <c r="E604" t="inlineStr">
        <is>
          <t>RAGUNDA</t>
        </is>
      </c>
      <c r="G604" t="n">
        <v>6.4</v>
      </c>
      <c r="H604" t="n">
        <v>0</v>
      </c>
      <c r="I604" t="n">
        <v>0</v>
      </c>
      <c r="J604" t="n">
        <v>0</v>
      </c>
      <c r="K604" t="n">
        <v>0</v>
      </c>
      <c r="L604" t="n">
        <v>0</v>
      </c>
      <c r="M604" t="n">
        <v>0</v>
      </c>
      <c r="N604" t="n">
        <v>0</v>
      </c>
      <c r="O604" t="n">
        <v>0</v>
      </c>
      <c r="P604" t="n">
        <v>0</v>
      </c>
      <c r="Q604" t="n">
        <v>0</v>
      </c>
      <c r="R604" s="2" t="inlineStr"/>
    </row>
    <row r="605" ht="15" customHeight="1">
      <c r="A605" t="inlineStr">
        <is>
          <t>A 9187-2022</t>
        </is>
      </c>
      <c r="B605" s="1" t="n">
        <v>44615</v>
      </c>
      <c r="C605" s="1" t="n">
        <v>45506</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9199-2022</t>
        </is>
      </c>
      <c r="B606" s="1" t="n">
        <v>44615</v>
      </c>
      <c r="C606" s="1" t="n">
        <v>45506</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9185-2022</t>
        </is>
      </c>
      <c r="B607" s="1" t="n">
        <v>44615</v>
      </c>
      <c r="C607" s="1" t="n">
        <v>45506</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10120-2022</t>
        </is>
      </c>
      <c r="B608" s="1" t="n">
        <v>44621</v>
      </c>
      <c r="C608" s="1" t="n">
        <v>45506</v>
      </c>
      <c r="D608" t="inlineStr">
        <is>
          <t>JÄMTLANDS LÄN</t>
        </is>
      </c>
      <c r="E608" t="inlineStr">
        <is>
          <t>RAGUNDA</t>
        </is>
      </c>
      <c r="G608" t="n">
        <v>0.4</v>
      </c>
      <c r="H608" t="n">
        <v>0</v>
      </c>
      <c r="I608" t="n">
        <v>0</v>
      </c>
      <c r="J608" t="n">
        <v>0</v>
      </c>
      <c r="K608" t="n">
        <v>0</v>
      </c>
      <c r="L608" t="n">
        <v>0</v>
      </c>
      <c r="M608" t="n">
        <v>0</v>
      </c>
      <c r="N608" t="n">
        <v>0</v>
      </c>
      <c r="O608" t="n">
        <v>0</v>
      </c>
      <c r="P608" t="n">
        <v>0</v>
      </c>
      <c r="Q608" t="n">
        <v>0</v>
      </c>
      <c r="R608" s="2" t="inlineStr"/>
    </row>
    <row r="609" ht="15" customHeight="1">
      <c r="A609" t="inlineStr">
        <is>
          <t>A 10905-2022</t>
        </is>
      </c>
      <c r="B609" s="1" t="n">
        <v>44627</v>
      </c>
      <c r="C609" s="1" t="n">
        <v>45506</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10972-2022</t>
        </is>
      </c>
      <c r="B610" s="1" t="n">
        <v>44628</v>
      </c>
      <c r="C610" s="1" t="n">
        <v>45506</v>
      </c>
      <c r="D610" t="inlineStr">
        <is>
          <t>JÄMTLANDS LÄN</t>
        </is>
      </c>
      <c r="E610" t="inlineStr">
        <is>
          <t>RAGUNDA</t>
        </is>
      </c>
      <c r="G610" t="n">
        <v>9.5</v>
      </c>
      <c r="H610" t="n">
        <v>0</v>
      </c>
      <c r="I610" t="n">
        <v>0</v>
      </c>
      <c r="J610" t="n">
        <v>0</v>
      </c>
      <c r="K610" t="n">
        <v>0</v>
      </c>
      <c r="L610" t="n">
        <v>0</v>
      </c>
      <c r="M610" t="n">
        <v>0</v>
      </c>
      <c r="N610" t="n">
        <v>0</v>
      </c>
      <c r="O610" t="n">
        <v>0</v>
      </c>
      <c r="P610" t="n">
        <v>0</v>
      </c>
      <c r="Q610" t="n">
        <v>0</v>
      </c>
      <c r="R610" s="2" t="inlineStr"/>
    </row>
    <row r="611" ht="15" customHeight="1">
      <c r="A611" t="inlineStr">
        <is>
          <t>A 11217-2022</t>
        </is>
      </c>
      <c r="B611" s="1" t="n">
        <v>44629</v>
      </c>
      <c r="C611" s="1" t="n">
        <v>45506</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11288-2022</t>
        </is>
      </c>
      <c r="B612" s="1" t="n">
        <v>44629</v>
      </c>
      <c r="C612" s="1" t="n">
        <v>45506</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11487-2022</t>
        </is>
      </c>
      <c r="B613" s="1" t="n">
        <v>44630</v>
      </c>
      <c r="C613" s="1" t="n">
        <v>45506</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12024-2022</t>
        </is>
      </c>
      <c r="B614" s="1" t="n">
        <v>44635</v>
      </c>
      <c r="C614" s="1" t="n">
        <v>45506</v>
      </c>
      <c r="D614" t="inlineStr">
        <is>
          <t>JÄMTLANDS LÄN</t>
        </is>
      </c>
      <c r="E614" t="inlineStr">
        <is>
          <t>RAGUNDA</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12559-2022</t>
        </is>
      </c>
      <c r="B615" s="1" t="n">
        <v>44638</v>
      </c>
      <c r="C615" s="1" t="n">
        <v>45506</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12773-2022</t>
        </is>
      </c>
      <c r="B616" s="1" t="n">
        <v>44641</v>
      </c>
      <c r="C616" s="1" t="n">
        <v>45506</v>
      </c>
      <c r="D616" t="inlineStr">
        <is>
          <t>JÄMTLANDS LÄN</t>
        </is>
      </c>
      <c r="E616" t="inlineStr">
        <is>
          <t>RAGUNDA</t>
        </is>
      </c>
      <c r="F616" t="inlineStr">
        <is>
          <t>SCA</t>
        </is>
      </c>
      <c r="G616" t="n">
        <v>14.7</v>
      </c>
      <c r="H616" t="n">
        <v>0</v>
      </c>
      <c r="I616" t="n">
        <v>0</v>
      </c>
      <c r="J616" t="n">
        <v>0</v>
      </c>
      <c r="K616" t="n">
        <v>0</v>
      </c>
      <c r="L616" t="n">
        <v>0</v>
      </c>
      <c r="M616" t="n">
        <v>0</v>
      </c>
      <c r="N616" t="n">
        <v>0</v>
      </c>
      <c r="O616" t="n">
        <v>0</v>
      </c>
      <c r="P616" t="n">
        <v>0</v>
      </c>
      <c r="Q616" t="n">
        <v>0</v>
      </c>
      <c r="R616" s="2" t="inlineStr"/>
    </row>
    <row r="617" ht="15" customHeight="1">
      <c r="A617" t="inlineStr">
        <is>
          <t>A 12768-2022</t>
        </is>
      </c>
      <c r="B617" s="1" t="n">
        <v>44641</v>
      </c>
      <c r="C617" s="1" t="n">
        <v>45506</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13302-2022</t>
        </is>
      </c>
      <c r="B618" s="1" t="n">
        <v>44644</v>
      </c>
      <c r="C618" s="1" t="n">
        <v>45506</v>
      </c>
      <c r="D618" t="inlineStr">
        <is>
          <t>JÄMTLANDS LÄN</t>
        </is>
      </c>
      <c r="E618" t="inlineStr">
        <is>
          <t>RAGUNDA</t>
        </is>
      </c>
      <c r="F618" t="inlineStr">
        <is>
          <t>SCA</t>
        </is>
      </c>
      <c r="G618" t="n">
        <v>35.6</v>
      </c>
      <c r="H618" t="n">
        <v>0</v>
      </c>
      <c r="I618" t="n">
        <v>0</v>
      </c>
      <c r="J618" t="n">
        <v>0</v>
      </c>
      <c r="K618" t="n">
        <v>0</v>
      </c>
      <c r="L618" t="n">
        <v>0</v>
      </c>
      <c r="M618" t="n">
        <v>0</v>
      </c>
      <c r="N618" t="n">
        <v>0</v>
      </c>
      <c r="O618" t="n">
        <v>0</v>
      </c>
      <c r="P618" t="n">
        <v>0</v>
      </c>
      <c r="Q618" t="n">
        <v>0</v>
      </c>
      <c r="R618" s="2" t="inlineStr"/>
    </row>
    <row r="619" ht="15" customHeight="1">
      <c r="A619" t="inlineStr">
        <is>
          <t>A 13303-2022</t>
        </is>
      </c>
      <c r="B619" s="1" t="n">
        <v>44644</v>
      </c>
      <c r="C619" s="1" t="n">
        <v>45506</v>
      </c>
      <c r="D619" t="inlineStr">
        <is>
          <t>JÄMTLANDS LÄN</t>
        </is>
      </c>
      <c r="E619" t="inlineStr">
        <is>
          <t>RAGUNDA</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13769-2022</t>
        </is>
      </c>
      <c r="B620" s="1" t="n">
        <v>44649</v>
      </c>
      <c r="C620" s="1" t="n">
        <v>45506</v>
      </c>
      <c r="D620" t="inlineStr">
        <is>
          <t>JÄMTLANDS LÄN</t>
        </is>
      </c>
      <c r="E620" t="inlineStr">
        <is>
          <t>RAGUNDA</t>
        </is>
      </c>
      <c r="F620" t="inlineStr">
        <is>
          <t>Kommuner</t>
        </is>
      </c>
      <c r="G620" t="n">
        <v>2.5</v>
      </c>
      <c r="H620" t="n">
        <v>0</v>
      </c>
      <c r="I620" t="n">
        <v>0</v>
      </c>
      <c r="J620" t="n">
        <v>0</v>
      </c>
      <c r="K620" t="n">
        <v>0</v>
      </c>
      <c r="L620" t="n">
        <v>0</v>
      </c>
      <c r="M620" t="n">
        <v>0</v>
      </c>
      <c r="N620" t="n">
        <v>0</v>
      </c>
      <c r="O620" t="n">
        <v>0</v>
      </c>
      <c r="P620" t="n">
        <v>0</v>
      </c>
      <c r="Q620" t="n">
        <v>0</v>
      </c>
      <c r="R620" s="2" t="inlineStr"/>
    </row>
    <row r="621" ht="15" customHeight="1">
      <c r="A621" t="inlineStr">
        <is>
          <t>A 13767-2022</t>
        </is>
      </c>
      <c r="B621" s="1" t="n">
        <v>44649</v>
      </c>
      <c r="C621" s="1" t="n">
        <v>45506</v>
      </c>
      <c r="D621" t="inlineStr">
        <is>
          <t>JÄMTLANDS LÄN</t>
        </is>
      </c>
      <c r="E621" t="inlineStr">
        <is>
          <t>RAGUNDA</t>
        </is>
      </c>
      <c r="F621" t="inlineStr">
        <is>
          <t>Kommuner</t>
        </is>
      </c>
      <c r="G621" t="n">
        <v>3.1</v>
      </c>
      <c r="H621" t="n">
        <v>0</v>
      </c>
      <c r="I621" t="n">
        <v>0</v>
      </c>
      <c r="J621" t="n">
        <v>0</v>
      </c>
      <c r="K621" t="n">
        <v>0</v>
      </c>
      <c r="L621" t="n">
        <v>0</v>
      </c>
      <c r="M621" t="n">
        <v>0</v>
      </c>
      <c r="N621" t="n">
        <v>0</v>
      </c>
      <c r="O621" t="n">
        <v>0</v>
      </c>
      <c r="P621" t="n">
        <v>0</v>
      </c>
      <c r="Q621" t="n">
        <v>0</v>
      </c>
      <c r="R621" s="2" t="inlineStr"/>
    </row>
    <row r="622" ht="15" customHeight="1">
      <c r="A622" t="inlineStr">
        <is>
          <t>A 13768-2022</t>
        </is>
      </c>
      <c r="B622" s="1" t="n">
        <v>44649</v>
      </c>
      <c r="C622" s="1" t="n">
        <v>45506</v>
      </c>
      <c r="D622" t="inlineStr">
        <is>
          <t>JÄMTLANDS LÄN</t>
        </is>
      </c>
      <c r="E622" t="inlineStr">
        <is>
          <t>RAGUNDA</t>
        </is>
      </c>
      <c r="F622" t="inlineStr">
        <is>
          <t>Kommuner</t>
        </is>
      </c>
      <c r="G622" t="n">
        <v>2.6</v>
      </c>
      <c r="H622" t="n">
        <v>0</v>
      </c>
      <c r="I622" t="n">
        <v>0</v>
      </c>
      <c r="J622" t="n">
        <v>0</v>
      </c>
      <c r="K622" t="n">
        <v>0</v>
      </c>
      <c r="L622" t="n">
        <v>0</v>
      </c>
      <c r="M622" t="n">
        <v>0</v>
      </c>
      <c r="N622" t="n">
        <v>0</v>
      </c>
      <c r="O622" t="n">
        <v>0</v>
      </c>
      <c r="P622" t="n">
        <v>0</v>
      </c>
      <c r="Q622" t="n">
        <v>0</v>
      </c>
      <c r="R622" s="2" t="inlineStr"/>
    </row>
    <row r="623" ht="15" customHeight="1">
      <c r="A623" t="inlineStr">
        <is>
          <t>A 13964-2022</t>
        </is>
      </c>
      <c r="B623" s="1" t="n">
        <v>44650</v>
      </c>
      <c r="C623" s="1" t="n">
        <v>45506</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13911-2022</t>
        </is>
      </c>
      <c r="B624" s="1" t="n">
        <v>44650</v>
      </c>
      <c r="C624" s="1" t="n">
        <v>45506</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14435-2022</t>
        </is>
      </c>
      <c r="B625" s="1" t="n">
        <v>44652</v>
      </c>
      <c r="C625" s="1" t="n">
        <v>45506</v>
      </c>
      <c r="D625" t="inlineStr">
        <is>
          <t>JÄMTLANDS LÄN</t>
        </is>
      </c>
      <c r="E625" t="inlineStr">
        <is>
          <t>RAGUNDA</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14696-2022</t>
        </is>
      </c>
      <c r="B626" s="1" t="n">
        <v>44655</v>
      </c>
      <c r="C626" s="1" t="n">
        <v>45506</v>
      </c>
      <c r="D626" t="inlineStr">
        <is>
          <t>JÄMTLANDS LÄN</t>
        </is>
      </c>
      <c r="E626" t="inlineStr">
        <is>
          <t>RAGUNDA</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14697-2022</t>
        </is>
      </c>
      <c r="B627" s="1" t="n">
        <v>44655</v>
      </c>
      <c r="C627" s="1" t="n">
        <v>45506</v>
      </c>
      <c r="D627" t="inlineStr">
        <is>
          <t>JÄMTLANDS LÄN</t>
        </is>
      </c>
      <c r="E627" t="inlineStr">
        <is>
          <t>RAGUNDA</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14898-2022</t>
        </is>
      </c>
      <c r="B628" s="1" t="n">
        <v>44656</v>
      </c>
      <c r="C628" s="1" t="n">
        <v>45506</v>
      </c>
      <c r="D628" t="inlineStr">
        <is>
          <t>JÄMTLANDS LÄN</t>
        </is>
      </c>
      <c r="E628" t="inlineStr">
        <is>
          <t>RAGUNDA</t>
        </is>
      </c>
      <c r="F628" t="inlineStr">
        <is>
          <t>SCA</t>
        </is>
      </c>
      <c r="G628" t="n">
        <v>7</v>
      </c>
      <c r="H628" t="n">
        <v>0</v>
      </c>
      <c r="I628" t="n">
        <v>0</v>
      </c>
      <c r="J628" t="n">
        <v>0</v>
      </c>
      <c r="K628" t="n">
        <v>0</v>
      </c>
      <c r="L628" t="n">
        <v>0</v>
      </c>
      <c r="M628" t="n">
        <v>0</v>
      </c>
      <c r="N628" t="n">
        <v>0</v>
      </c>
      <c r="O628" t="n">
        <v>0</v>
      </c>
      <c r="P628" t="n">
        <v>0</v>
      </c>
      <c r="Q628" t="n">
        <v>0</v>
      </c>
      <c r="R628" s="2" t="inlineStr"/>
    </row>
    <row r="629" ht="15" customHeight="1">
      <c r="A629" t="inlineStr">
        <is>
          <t>A 14907-2022</t>
        </is>
      </c>
      <c r="B629" s="1" t="n">
        <v>44657</v>
      </c>
      <c r="C629" s="1" t="n">
        <v>45506</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14896-2022</t>
        </is>
      </c>
      <c r="B630" s="1" t="n">
        <v>44656</v>
      </c>
      <c r="C630" s="1" t="n">
        <v>45506</v>
      </c>
      <c r="D630" t="inlineStr">
        <is>
          <t>JÄMTLANDS LÄN</t>
        </is>
      </c>
      <c r="E630" t="inlineStr">
        <is>
          <t>RAGUNDA</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14906-2022</t>
        </is>
      </c>
      <c r="B631" s="1" t="n">
        <v>44657</v>
      </c>
      <c r="C631" s="1" t="n">
        <v>45506</v>
      </c>
      <c r="D631" t="inlineStr">
        <is>
          <t>JÄMTLANDS LÄN</t>
        </is>
      </c>
      <c r="E631" t="inlineStr">
        <is>
          <t>RAGUNDA</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14905-2022</t>
        </is>
      </c>
      <c r="B632" s="1" t="n">
        <v>44657</v>
      </c>
      <c r="C632" s="1" t="n">
        <v>45506</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45506</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15664-2022</t>
        </is>
      </c>
      <c r="B634" s="1" t="n">
        <v>44662</v>
      </c>
      <c r="C634" s="1" t="n">
        <v>45506</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15808-2022</t>
        </is>
      </c>
      <c r="B635" s="1" t="n">
        <v>44663</v>
      </c>
      <c r="C635" s="1" t="n">
        <v>45506</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15969-2022</t>
        </is>
      </c>
      <c r="B636" s="1" t="n">
        <v>44665</v>
      </c>
      <c r="C636" s="1" t="n">
        <v>45506</v>
      </c>
      <c r="D636" t="inlineStr">
        <is>
          <t>JÄMTLANDS LÄN</t>
        </is>
      </c>
      <c r="E636" t="inlineStr">
        <is>
          <t>RAGUNDA</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16246-2022</t>
        </is>
      </c>
      <c r="B637" s="1" t="n">
        <v>44670</v>
      </c>
      <c r="C637" s="1" t="n">
        <v>45506</v>
      </c>
      <c r="D637" t="inlineStr">
        <is>
          <t>JÄMTLANDS LÄN</t>
        </is>
      </c>
      <c r="E637" t="inlineStr">
        <is>
          <t>RAGUNDA</t>
        </is>
      </c>
      <c r="G637" t="n">
        <v>4.1</v>
      </c>
      <c r="H637" t="n">
        <v>0</v>
      </c>
      <c r="I637" t="n">
        <v>0</v>
      </c>
      <c r="J637" t="n">
        <v>0</v>
      </c>
      <c r="K637" t="n">
        <v>0</v>
      </c>
      <c r="L637" t="n">
        <v>0</v>
      </c>
      <c r="M637" t="n">
        <v>0</v>
      </c>
      <c r="N637" t="n">
        <v>0</v>
      </c>
      <c r="O637" t="n">
        <v>0</v>
      </c>
      <c r="P637" t="n">
        <v>0</v>
      </c>
      <c r="Q637" t="n">
        <v>0</v>
      </c>
      <c r="R637" s="2" t="inlineStr"/>
    </row>
    <row r="638" ht="15" customHeight="1">
      <c r="A638" t="inlineStr">
        <is>
          <t>A 16250-2022</t>
        </is>
      </c>
      <c r="B638" s="1" t="n">
        <v>44670</v>
      </c>
      <c r="C638" s="1" t="n">
        <v>45506</v>
      </c>
      <c r="D638" t="inlineStr">
        <is>
          <t>JÄMTLANDS LÄN</t>
        </is>
      </c>
      <c r="E638" t="inlineStr">
        <is>
          <t>RAGUNDA</t>
        </is>
      </c>
      <c r="G638" t="n">
        <v>1</v>
      </c>
      <c r="H638" t="n">
        <v>0</v>
      </c>
      <c r="I638" t="n">
        <v>0</v>
      </c>
      <c r="J638" t="n">
        <v>0</v>
      </c>
      <c r="K638" t="n">
        <v>0</v>
      </c>
      <c r="L638" t="n">
        <v>0</v>
      </c>
      <c r="M638" t="n">
        <v>0</v>
      </c>
      <c r="N638" t="n">
        <v>0</v>
      </c>
      <c r="O638" t="n">
        <v>0</v>
      </c>
      <c r="P638" t="n">
        <v>0</v>
      </c>
      <c r="Q638" t="n">
        <v>0</v>
      </c>
      <c r="R638" s="2" t="inlineStr"/>
    </row>
    <row r="639" ht="15" customHeight="1">
      <c r="A639" t="inlineStr">
        <is>
          <t>A 16361-2022</t>
        </is>
      </c>
      <c r="B639" s="1" t="n">
        <v>44670</v>
      </c>
      <c r="C639" s="1" t="n">
        <v>45506</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16460-2022</t>
        </is>
      </c>
      <c r="B640" s="1" t="n">
        <v>44671</v>
      </c>
      <c r="C640" s="1" t="n">
        <v>45506</v>
      </c>
      <c r="D640" t="inlineStr">
        <is>
          <t>JÄMTLANDS LÄN</t>
        </is>
      </c>
      <c r="E640" t="inlineStr">
        <is>
          <t>RAGUNDA</t>
        </is>
      </c>
      <c r="G640" t="n">
        <v>1.7</v>
      </c>
      <c r="H640" t="n">
        <v>0</v>
      </c>
      <c r="I640" t="n">
        <v>0</v>
      </c>
      <c r="J640" t="n">
        <v>0</v>
      </c>
      <c r="K640" t="n">
        <v>0</v>
      </c>
      <c r="L640" t="n">
        <v>0</v>
      </c>
      <c r="M640" t="n">
        <v>0</v>
      </c>
      <c r="N640" t="n">
        <v>0</v>
      </c>
      <c r="O640" t="n">
        <v>0</v>
      </c>
      <c r="P640" t="n">
        <v>0</v>
      </c>
      <c r="Q640" t="n">
        <v>0</v>
      </c>
      <c r="R640" s="2" t="inlineStr"/>
    </row>
    <row r="641" ht="15" customHeight="1">
      <c r="A641" t="inlineStr">
        <is>
          <t>A 16529-2022</t>
        </is>
      </c>
      <c r="B641" s="1" t="n">
        <v>44671</v>
      </c>
      <c r="C641" s="1" t="n">
        <v>45506</v>
      </c>
      <c r="D641" t="inlineStr">
        <is>
          <t>JÄMTLANDS LÄN</t>
        </is>
      </c>
      <c r="E641" t="inlineStr">
        <is>
          <t>RAGUNDA</t>
        </is>
      </c>
      <c r="G641" t="n">
        <v>1.5</v>
      </c>
      <c r="H641" t="n">
        <v>0</v>
      </c>
      <c r="I641" t="n">
        <v>0</v>
      </c>
      <c r="J641" t="n">
        <v>0</v>
      </c>
      <c r="K641" t="n">
        <v>0</v>
      </c>
      <c r="L641" t="n">
        <v>0</v>
      </c>
      <c r="M641" t="n">
        <v>0</v>
      </c>
      <c r="N641" t="n">
        <v>0</v>
      </c>
      <c r="O641" t="n">
        <v>0</v>
      </c>
      <c r="P641" t="n">
        <v>0</v>
      </c>
      <c r="Q641" t="n">
        <v>0</v>
      </c>
      <c r="R641" s="2" t="inlineStr"/>
    </row>
    <row r="642" ht="15" customHeight="1">
      <c r="A642" t="inlineStr">
        <is>
          <t>A 16676-2022</t>
        </is>
      </c>
      <c r="B642" s="1" t="n">
        <v>44673</v>
      </c>
      <c r="C642" s="1" t="n">
        <v>45506</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17058-2022</t>
        </is>
      </c>
      <c r="B643" s="1" t="n">
        <v>44677</v>
      </c>
      <c r="C643" s="1" t="n">
        <v>45506</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17573-2022</t>
        </is>
      </c>
      <c r="B644" s="1" t="n">
        <v>44679</v>
      </c>
      <c r="C644" s="1" t="n">
        <v>45506</v>
      </c>
      <c r="D644" t="inlineStr">
        <is>
          <t>JÄMTLANDS LÄN</t>
        </is>
      </c>
      <c r="E644" t="inlineStr">
        <is>
          <t>RAGUNDA</t>
        </is>
      </c>
      <c r="G644" t="n">
        <v>6.9</v>
      </c>
      <c r="H644" t="n">
        <v>0</v>
      </c>
      <c r="I644" t="n">
        <v>0</v>
      </c>
      <c r="J644" t="n">
        <v>0</v>
      </c>
      <c r="K644" t="n">
        <v>0</v>
      </c>
      <c r="L644" t="n">
        <v>0</v>
      </c>
      <c r="M644" t="n">
        <v>0</v>
      </c>
      <c r="N644" t="n">
        <v>0</v>
      </c>
      <c r="O644" t="n">
        <v>0</v>
      </c>
      <c r="P644" t="n">
        <v>0</v>
      </c>
      <c r="Q644" t="n">
        <v>0</v>
      </c>
      <c r="R644" s="2" t="inlineStr"/>
    </row>
    <row r="645" ht="15" customHeight="1">
      <c r="A645" t="inlineStr">
        <is>
          <t>A 17730-2022</t>
        </is>
      </c>
      <c r="B645" s="1" t="n">
        <v>44680</v>
      </c>
      <c r="C645" s="1" t="n">
        <v>45506</v>
      </c>
      <c r="D645" t="inlineStr">
        <is>
          <t>JÄMTLANDS LÄN</t>
        </is>
      </c>
      <c r="E645" t="inlineStr">
        <is>
          <t>RAGUNDA</t>
        </is>
      </c>
      <c r="G645" t="n">
        <v>3.4</v>
      </c>
      <c r="H645" t="n">
        <v>0</v>
      </c>
      <c r="I645" t="n">
        <v>0</v>
      </c>
      <c r="J645" t="n">
        <v>0</v>
      </c>
      <c r="K645" t="n">
        <v>0</v>
      </c>
      <c r="L645" t="n">
        <v>0</v>
      </c>
      <c r="M645" t="n">
        <v>0</v>
      </c>
      <c r="N645" t="n">
        <v>0</v>
      </c>
      <c r="O645" t="n">
        <v>0</v>
      </c>
      <c r="P645" t="n">
        <v>0</v>
      </c>
      <c r="Q645" t="n">
        <v>0</v>
      </c>
      <c r="R645" s="2" t="inlineStr"/>
    </row>
    <row r="646" ht="15" customHeight="1">
      <c r="A646" t="inlineStr">
        <is>
          <t>A 17742-2022</t>
        </is>
      </c>
      <c r="B646" s="1" t="n">
        <v>44681</v>
      </c>
      <c r="C646" s="1" t="n">
        <v>45506</v>
      </c>
      <c r="D646" t="inlineStr">
        <is>
          <t>JÄMTLANDS LÄN</t>
        </is>
      </c>
      <c r="E646" t="inlineStr">
        <is>
          <t>RAGUNDA</t>
        </is>
      </c>
      <c r="F646" t="inlineStr">
        <is>
          <t>SCA</t>
        </is>
      </c>
      <c r="G646" t="n">
        <v>7.2</v>
      </c>
      <c r="H646" t="n">
        <v>0</v>
      </c>
      <c r="I646" t="n">
        <v>0</v>
      </c>
      <c r="J646" t="n">
        <v>0</v>
      </c>
      <c r="K646" t="n">
        <v>0</v>
      </c>
      <c r="L646" t="n">
        <v>0</v>
      </c>
      <c r="M646" t="n">
        <v>0</v>
      </c>
      <c r="N646" t="n">
        <v>0</v>
      </c>
      <c r="O646" t="n">
        <v>0</v>
      </c>
      <c r="P646" t="n">
        <v>0</v>
      </c>
      <c r="Q646" t="n">
        <v>0</v>
      </c>
      <c r="R646" s="2" t="inlineStr"/>
    </row>
    <row r="647" ht="15" customHeight="1">
      <c r="A647" t="inlineStr">
        <is>
          <t>A 18008-2022</t>
        </is>
      </c>
      <c r="B647" s="1" t="n">
        <v>44684</v>
      </c>
      <c r="C647" s="1" t="n">
        <v>45506</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18193-2022</t>
        </is>
      </c>
      <c r="B648" s="1" t="n">
        <v>44685</v>
      </c>
      <c r="C648" s="1" t="n">
        <v>45506</v>
      </c>
      <c r="D648" t="inlineStr">
        <is>
          <t>JÄMTLANDS LÄN</t>
        </is>
      </c>
      <c r="E648" t="inlineStr">
        <is>
          <t>RAGUNDA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18290-2022</t>
        </is>
      </c>
      <c r="B649" s="1" t="n">
        <v>44685</v>
      </c>
      <c r="C649" s="1" t="n">
        <v>45506</v>
      </c>
      <c r="D649" t="inlineStr">
        <is>
          <t>JÄMTLANDS LÄN</t>
        </is>
      </c>
      <c r="E649" t="inlineStr">
        <is>
          <t>RAGUNDA</t>
        </is>
      </c>
      <c r="G649" t="n">
        <v>7.7</v>
      </c>
      <c r="H649" t="n">
        <v>0</v>
      </c>
      <c r="I649" t="n">
        <v>0</v>
      </c>
      <c r="J649" t="n">
        <v>0</v>
      </c>
      <c r="K649" t="n">
        <v>0</v>
      </c>
      <c r="L649" t="n">
        <v>0</v>
      </c>
      <c r="M649" t="n">
        <v>0</v>
      </c>
      <c r="N649" t="n">
        <v>0</v>
      </c>
      <c r="O649" t="n">
        <v>0</v>
      </c>
      <c r="P649" t="n">
        <v>0</v>
      </c>
      <c r="Q649" t="n">
        <v>0</v>
      </c>
      <c r="R649" s="2" t="inlineStr"/>
    </row>
    <row r="650" ht="15" customHeight="1">
      <c r="A650" t="inlineStr">
        <is>
          <t>A 18341-2022</t>
        </is>
      </c>
      <c r="B650" s="1" t="n">
        <v>44685</v>
      </c>
      <c r="C650" s="1" t="n">
        <v>45506</v>
      </c>
      <c r="D650" t="inlineStr">
        <is>
          <t>JÄMTLANDS LÄN</t>
        </is>
      </c>
      <c r="E650" t="inlineStr">
        <is>
          <t>RAGUNDA</t>
        </is>
      </c>
      <c r="G650" t="n">
        <v>0.2</v>
      </c>
      <c r="H650" t="n">
        <v>0</v>
      </c>
      <c r="I650" t="n">
        <v>0</v>
      </c>
      <c r="J650" t="n">
        <v>0</v>
      </c>
      <c r="K650" t="n">
        <v>0</v>
      </c>
      <c r="L650" t="n">
        <v>0</v>
      </c>
      <c r="M650" t="n">
        <v>0</v>
      </c>
      <c r="N650" t="n">
        <v>0</v>
      </c>
      <c r="O650" t="n">
        <v>0</v>
      </c>
      <c r="P650" t="n">
        <v>0</v>
      </c>
      <c r="Q650" t="n">
        <v>0</v>
      </c>
      <c r="R650" s="2" t="inlineStr"/>
    </row>
    <row r="651" ht="15" customHeight="1">
      <c r="A651" t="inlineStr">
        <is>
          <t>A 18375-2022</t>
        </is>
      </c>
      <c r="B651" s="1" t="n">
        <v>44685</v>
      </c>
      <c r="C651" s="1" t="n">
        <v>45506</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18548-2022</t>
        </is>
      </c>
      <c r="B652" s="1" t="n">
        <v>44687</v>
      </c>
      <c r="C652" s="1" t="n">
        <v>45506</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18974-2022</t>
        </is>
      </c>
      <c r="B653" s="1" t="n">
        <v>44690</v>
      </c>
      <c r="C653" s="1" t="n">
        <v>45506</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18980-2022</t>
        </is>
      </c>
      <c r="B654" s="1" t="n">
        <v>44690</v>
      </c>
      <c r="C654" s="1" t="n">
        <v>45506</v>
      </c>
      <c r="D654" t="inlineStr">
        <is>
          <t>JÄMTLANDS LÄN</t>
        </is>
      </c>
      <c r="E654" t="inlineStr">
        <is>
          <t>RAGUNDA</t>
        </is>
      </c>
      <c r="G654" t="n">
        <v>3.9</v>
      </c>
      <c r="H654" t="n">
        <v>0</v>
      </c>
      <c r="I654" t="n">
        <v>0</v>
      </c>
      <c r="J654" t="n">
        <v>0</v>
      </c>
      <c r="K654" t="n">
        <v>0</v>
      </c>
      <c r="L654" t="n">
        <v>0</v>
      </c>
      <c r="M654" t="n">
        <v>0</v>
      </c>
      <c r="N654" t="n">
        <v>0</v>
      </c>
      <c r="O654" t="n">
        <v>0</v>
      </c>
      <c r="P654" t="n">
        <v>0</v>
      </c>
      <c r="Q654" t="n">
        <v>0</v>
      </c>
      <c r="R654" s="2" t="inlineStr"/>
    </row>
    <row r="655" ht="15" customHeight="1">
      <c r="A655" t="inlineStr">
        <is>
          <t>A 19005-2022</t>
        </is>
      </c>
      <c r="B655" s="1" t="n">
        <v>44690</v>
      </c>
      <c r="C655" s="1" t="n">
        <v>45506</v>
      </c>
      <c r="D655" t="inlineStr">
        <is>
          <t>JÄMTLANDS LÄN</t>
        </is>
      </c>
      <c r="E655" t="inlineStr">
        <is>
          <t>RAGUNDA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19011-2022</t>
        </is>
      </c>
      <c r="B656" s="1" t="n">
        <v>44690</v>
      </c>
      <c r="C656" s="1" t="n">
        <v>45506</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19010-2022</t>
        </is>
      </c>
      <c r="B657" s="1" t="n">
        <v>44690</v>
      </c>
      <c r="C657" s="1" t="n">
        <v>45506</v>
      </c>
      <c r="D657" t="inlineStr">
        <is>
          <t>JÄMTLANDS LÄN</t>
        </is>
      </c>
      <c r="E657" t="inlineStr">
        <is>
          <t>RAGUNDA</t>
        </is>
      </c>
      <c r="F657" t="inlineStr">
        <is>
          <t>SCA</t>
        </is>
      </c>
      <c r="G657" t="n">
        <v>19.6</v>
      </c>
      <c r="H657" t="n">
        <v>0</v>
      </c>
      <c r="I657" t="n">
        <v>0</v>
      </c>
      <c r="J657" t="n">
        <v>0</v>
      </c>
      <c r="K657" t="n">
        <v>0</v>
      </c>
      <c r="L657" t="n">
        <v>0</v>
      </c>
      <c r="M657" t="n">
        <v>0</v>
      </c>
      <c r="N657" t="n">
        <v>0</v>
      </c>
      <c r="O657" t="n">
        <v>0</v>
      </c>
      <c r="P657" t="n">
        <v>0</v>
      </c>
      <c r="Q657" t="n">
        <v>0</v>
      </c>
      <c r="R657" s="2" t="inlineStr"/>
    </row>
    <row r="658" ht="15" customHeight="1">
      <c r="A658" t="inlineStr">
        <is>
          <t>A 19006-2022</t>
        </is>
      </c>
      <c r="B658" s="1" t="n">
        <v>44690</v>
      </c>
      <c r="C658" s="1" t="n">
        <v>45506</v>
      </c>
      <c r="D658" t="inlineStr">
        <is>
          <t>JÄMTLANDS LÄN</t>
        </is>
      </c>
      <c r="E658" t="inlineStr">
        <is>
          <t>RAGUNDA</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19596-2022</t>
        </is>
      </c>
      <c r="B659" s="1" t="n">
        <v>44694</v>
      </c>
      <c r="C659" s="1" t="n">
        <v>45506</v>
      </c>
      <c r="D659" t="inlineStr">
        <is>
          <t>JÄMTLANDS LÄN</t>
        </is>
      </c>
      <c r="E659" t="inlineStr">
        <is>
          <t>RAGUNDA</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19801-2022</t>
        </is>
      </c>
      <c r="B660" s="1" t="n">
        <v>44695</v>
      </c>
      <c r="C660" s="1" t="n">
        <v>45506</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19850-2022</t>
        </is>
      </c>
      <c r="B661" s="1" t="n">
        <v>44697</v>
      </c>
      <c r="C661" s="1" t="n">
        <v>45506</v>
      </c>
      <c r="D661" t="inlineStr">
        <is>
          <t>JÄMTLANDS LÄN</t>
        </is>
      </c>
      <c r="E661" t="inlineStr">
        <is>
          <t>RAGUNDA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20967-2022</t>
        </is>
      </c>
      <c r="B662" s="1" t="n">
        <v>44702</v>
      </c>
      <c r="C662" s="1" t="n">
        <v>45506</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20961-2022</t>
        </is>
      </c>
      <c r="B663" s="1" t="n">
        <v>44702</v>
      </c>
      <c r="C663" s="1" t="n">
        <v>45506</v>
      </c>
      <c r="D663" t="inlineStr">
        <is>
          <t>JÄMTLANDS LÄN</t>
        </is>
      </c>
      <c r="E663" t="inlineStr">
        <is>
          <t>RAGUNDA</t>
        </is>
      </c>
      <c r="F663" t="inlineStr">
        <is>
          <t>SCA</t>
        </is>
      </c>
      <c r="G663" t="n">
        <v>9.4</v>
      </c>
      <c r="H663" t="n">
        <v>0</v>
      </c>
      <c r="I663" t="n">
        <v>0</v>
      </c>
      <c r="J663" t="n">
        <v>0</v>
      </c>
      <c r="K663" t="n">
        <v>0</v>
      </c>
      <c r="L663" t="n">
        <v>0</v>
      </c>
      <c r="M663" t="n">
        <v>0</v>
      </c>
      <c r="N663" t="n">
        <v>0</v>
      </c>
      <c r="O663" t="n">
        <v>0</v>
      </c>
      <c r="P663" t="n">
        <v>0</v>
      </c>
      <c r="Q663" t="n">
        <v>0</v>
      </c>
      <c r="R663" s="2" t="inlineStr"/>
    </row>
    <row r="664" ht="15" customHeight="1">
      <c r="A664" t="inlineStr">
        <is>
          <t>A 21194-2022</t>
        </is>
      </c>
      <c r="B664" s="1" t="n">
        <v>44705</v>
      </c>
      <c r="C664" s="1" t="n">
        <v>45506</v>
      </c>
      <c r="D664" t="inlineStr">
        <is>
          <t>JÄMTLANDS LÄN</t>
        </is>
      </c>
      <c r="E664" t="inlineStr">
        <is>
          <t>RAGUNDA</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21196-2022</t>
        </is>
      </c>
      <c r="B665" s="1" t="n">
        <v>44705</v>
      </c>
      <c r="C665" s="1" t="n">
        <v>45506</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21195-2022</t>
        </is>
      </c>
      <c r="B666" s="1" t="n">
        <v>44705</v>
      </c>
      <c r="C666" s="1" t="n">
        <v>45506</v>
      </c>
      <c r="D666" t="inlineStr">
        <is>
          <t>JÄMTLANDS LÄN</t>
        </is>
      </c>
      <c r="E666" t="inlineStr">
        <is>
          <t>RAGUNDA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21193-2022</t>
        </is>
      </c>
      <c r="B667" s="1" t="n">
        <v>44705</v>
      </c>
      <c r="C667" s="1" t="n">
        <v>45506</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21984-2022</t>
        </is>
      </c>
      <c r="B668" s="1" t="n">
        <v>44704</v>
      </c>
      <c r="C668" s="1" t="n">
        <v>45506</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21413-2022</t>
        </is>
      </c>
      <c r="B669" s="1" t="n">
        <v>44705</v>
      </c>
      <c r="C669" s="1" t="n">
        <v>45506</v>
      </c>
      <c r="D669" t="inlineStr">
        <is>
          <t>JÄMTLANDS LÄN</t>
        </is>
      </c>
      <c r="E669" t="inlineStr">
        <is>
          <t>RAGUNDA</t>
        </is>
      </c>
      <c r="G669" t="n">
        <v>2.4</v>
      </c>
      <c r="H669" t="n">
        <v>0</v>
      </c>
      <c r="I669" t="n">
        <v>0</v>
      </c>
      <c r="J669" t="n">
        <v>0</v>
      </c>
      <c r="K669" t="n">
        <v>0</v>
      </c>
      <c r="L669" t="n">
        <v>0</v>
      </c>
      <c r="M669" t="n">
        <v>0</v>
      </c>
      <c r="N669" t="n">
        <v>0</v>
      </c>
      <c r="O669" t="n">
        <v>0</v>
      </c>
      <c r="P669" t="n">
        <v>0</v>
      </c>
      <c r="Q669" t="n">
        <v>0</v>
      </c>
      <c r="R669" s="2" t="inlineStr"/>
    </row>
    <row r="670" ht="15" customHeight="1">
      <c r="A670" t="inlineStr">
        <is>
          <t>A 21500-2022</t>
        </is>
      </c>
      <c r="B670" s="1" t="n">
        <v>44706</v>
      </c>
      <c r="C670" s="1" t="n">
        <v>45506</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22329-2022</t>
        </is>
      </c>
      <c r="B671" s="1" t="n">
        <v>44713</v>
      </c>
      <c r="C671" s="1" t="n">
        <v>45506</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22327-2022</t>
        </is>
      </c>
      <c r="B672" s="1" t="n">
        <v>44713</v>
      </c>
      <c r="C672" s="1" t="n">
        <v>45506</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22686-2022</t>
        </is>
      </c>
      <c r="B673" s="1" t="n">
        <v>44714</v>
      </c>
      <c r="C673" s="1" t="n">
        <v>45506</v>
      </c>
      <c r="D673" t="inlineStr">
        <is>
          <t>JÄMTLANDS LÄN</t>
        </is>
      </c>
      <c r="E673" t="inlineStr">
        <is>
          <t>RAGUNDA</t>
        </is>
      </c>
      <c r="G673" t="n">
        <v>2.8</v>
      </c>
      <c r="H673" t="n">
        <v>0</v>
      </c>
      <c r="I673" t="n">
        <v>0</v>
      </c>
      <c r="J673" t="n">
        <v>0</v>
      </c>
      <c r="K673" t="n">
        <v>0</v>
      </c>
      <c r="L673" t="n">
        <v>0</v>
      </c>
      <c r="M673" t="n">
        <v>0</v>
      </c>
      <c r="N673" t="n">
        <v>0</v>
      </c>
      <c r="O673" t="n">
        <v>0</v>
      </c>
      <c r="P673" t="n">
        <v>0</v>
      </c>
      <c r="Q673" t="n">
        <v>0</v>
      </c>
      <c r="R673" s="2" t="inlineStr"/>
    </row>
    <row r="674" ht="15" customHeight="1">
      <c r="A674" t="inlineStr">
        <is>
          <t>A 22772-2022</t>
        </is>
      </c>
      <c r="B674" s="1" t="n">
        <v>44715</v>
      </c>
      <c r="C674" s="1" t="n">
        <v>45506</v>
      </c>
      <c r="D674" t="inlineStr">
        <is>
          <t>JÄMTLANDS LÄN</t>
        </is>
      </c>
      <c r="E674" t="inlineStr">
        <is>
          <t>RAGUNDA</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22695-2022</t>
        </is>
      </c>
      <c r="B675" s="1" t="n">
        <v>44714</v>
      </c>
      <c r="C675" s="1" t="n">
        <v>45506</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22770-2022</t>
        </is>
      </c>
      <c r="B676" s="1" t="n">
        <v>44714</v>
      </c>
      <c r="C676" s="1" t="n">
        <v>45506</v>
      </c>
      <c r="D676" t="inlineStr">
        <is>
          <t>JÄMTLANDS LÄN</t>
        </is>
      </c>
      <c r="E676" t="inlineStr">
        <is>
          <t>RAGUNDA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23668-2022</t>
        </is>
      </c>
      <c r="B677" s="1" t="n">
        <v>44722</v>
      </c>
      <c r="C677" s="1" t="n">
        <v>45506</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24359-2022</t>
        </is>
      </c>
      <c r="B678" s="1" t="n">
        <v>44725</v>
      </c>
      <c r="C678" s="1" t="n">
        <v>45506</v>
      </c>
      <c r="D678" t="inlineStr">
        <is>
          <t>JÄMTLANDS LÄN</t>
        </is>
      </c>
      <c r="E678" t="inlineStr">
        <is>
          <t>RAGUNDA</t>
        </is>
      </c>
      <c r="G678" t="n">
        <v>11.4</v>
      </c>
      <c r="H678" t="n">
        <v>0</v>
      </c>
      <c r="I678" t="n">
        <v>0</v>
      </c>
      <c r="J678" t="n">
        <v>0</v>
      </c>
      <c r="K678" t="n">
        <v>0</v>
      </c>
      <c r="L678" t="n">
        <v>0</v>
      </c>
      <c r="M678" t="n">
        <v>0</v>
      </c>
      <c r="N678" t="n">
        <v>0</v>
      </c>
      <c r="O678" t="n">
        <v>0</v>
      </c>
      <c r="P678" t="n">
        <v>0</v>
      </c>
      <c r="Q678" t="n">
        <v>0</v>
      </c>
      <c r="R678" s="2" t="inlineStr"/>
    </row>
    <row r="679" ht="15" customHeight="1">
      <c r="A679" t="inlineStr">
        <is>
          <t>A 24720-2022</t>
        </is>
      </c>
      <c r="B679" s="1" t="n">
        <v>44728</v>
      </c>
      <c r="C679" s="1" t="n">
        <v>45506</v>
      </c>
      <c r="D679" t="inlineStr">
        <is>
          <t>JÄMTLANDS LÄN</t>
        </is>
      </c>
      <c r="E679" t="inlineStr">
        <is>
          <t>RAGUNDA</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24741-2022</t>
        </is>
      </c>
      <c r="B680" s="1" t="n">
        <v>44727</v>
      </c>
      <c r="C680" s="1" t="n">
        <v>45506</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25028-2022</t>
        </is>
      </c>
      <c r="B681" s="1" t="n">
        <v>44729</v>
      </c>
      <c r="C681" s="1" t="n">
        <v>45506</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25027-2022</t>
        </is>
      </c>
      <c r="B682" s="1" t="n">
        <v>44729</v>
      </c>
      <c r="C682" s="1" t="n">
        <v>45506</v>
      </c>
      <c r="D682" t="inlineStr">
        <is>
          <t>JÄMTLANDS LÄN</t>
        </is>
      </c>
      <c r="E682" t="inlineStr">
        <is>
          <t>RAGUNDA</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25253-2022</t>
        </is>
      </c>
      <c r="B683" s="1" t="n">
        <v>44730</v>
      </c>
      <c r="C683" s="1" t="n">
        <v>45506</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25343-2022</t>
        </is>
      </c>
      <c r="B684" s="1" t="n">
        <v>44732</v>
      </c>
      <c r="C684" s="1" t="n">
        <v>45506</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25342-2022</t>
        </is>
      </c>
      <c r="B685" s="1" t="n">
        <v>44732</v>
      </c>
      <c r="C685" s="1" t="n">
        <v>45506</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25433-2022</t>
        </is>
      </c>
      <c r="B686" s="1" t="n">
        <v>44732</v>
      </c>
      <c r="C686" s="1" t="n">
        <v>45506</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25962-2022</t>
        </is>
      </c>
      <c r="B687" s="1" t="n">
        <v>44734</v>
      </c>
      <c r="C687" s="1" t="n">
        <v>45506</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26122-2022</t>
        </is>
      </c>
      <c r="B688" s="1" t="n">
        <v>44735</v>
      </c>
      <c r="C688" s="1" t="n">
        <v>45506</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26123-2022</t>
        </is>
      </c>
      <c r="B689" s="1" t="n">
        <v>44735</v>
      </c>
      <c r="C689" s="1" t="n">
        <v>45506</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27291-2022</t>
        </is>
      </c>
      <c r="B690" s="1" t="n">
        <v>44742</v>
      </c>
      <c r="C690" s="1" t="n">
        <v>45506</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27302-2022</t>
        </is>
      </c>
      <c r="B691" s="1" t="n">
        <v>44741</v>
      </c>
      <c r="C691" s="1" t="n">
        <v>45506</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27292-2022</t>
        </is>
      </c>
      <c r="B692" s="1" t="n">
        <v>44742</v>
      </c>
      <c r="C692" s="1" t="n">
        <v>45506</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27777-2022</t>
        </is>
      </c>
      <c r="B693" s="1" t="n">
        <v>44743</v>
      </c>
      <c r="C693" s="1" t="n">
        <v>45506</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27939-2022</t>
        </is>
      </c>
      <c r="B694" s="1" t="n">
        <v>44744</v>
      </c>
      <c r="C694" s="1" t="n">
        <v>45506</v>
      </c>
      <c r="D694" t="inlineStr">
        <is>
          <t>JÄMTLANDS LÄN</t>
        </is>
      </c>
      <c r="E694" t="inlineStr">
        <is>
          <t>RAGUNDA</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28081-2022</t>
        </is>
      </c>
      <c r="B695" s="1" t="n">
        <v>44746</v>
      </c>
      <c r="C695" s="1" t="n">
        <v>45506</v>
      </c>
      <c r="D695" t="inlineStr">
        <is>
          <t>JÄMTLANDS LÄN</t>
        </is>
      </c>
      <c r="E695" t="inlineStr">
        <is>
          <t>RAGUNDA</t>
        </is>
      </c>
      <c r="G695" t="n">
        <v>7</v>
      </c>
      <c r="H695" t="n">
        <v>0</v>
      </c>
      <c r="I695" t="n">
        <v>0</v>
      </c>
      <c r="J695" t="n">
        <v>0</v>
      </c>
      <c r="K695" t="n">
        <v>0</v>
      </c>
      <c r="L695" t="n">
        <v>0</v>
      </c>
      <c r="M695" t="n">
        <v>0</v>
      </c>
      <c r="N695" t="n">
        <v>0</v>
      </c>
      <c r="O695" t="n">
        <v>0</v>
      </c>
      <c r="P695" t="n">
        <v>0</v>
      </c>
      <c r="Q695" t="n">
        <v>0</v>
      </c>
      <c r="R695" s="2" t="inlineStr"/>
    </row>
    <row r="696" ht="15" customHeight="1">
      <c r="A696" t="inlineStr">
        <is>
          <t>A 28283-2022</t>
        </is>
      </c>
      <c r="B696" s="1" t="n">
        <v>44746</v>
      </c>
      <c r="C696" s="1" t="n">
        <v>45506</v>
      </c>
      <c r="D696" t="inlineStr">
        <is>
          <t>JÄMTLANDS LÄN</t>
        </is>
      </c>
      <c r="E696" t="inlineStr">
        <is>
          <t>RAGUNDA</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28277-2022</t>
        </is>
      </c>
      <c r="B697" s="1" t="n">
        <v>44747</v>
      </c>
      <c r="C697" s="1" t="n">
        <v>45506</v>
      </c>
      <c r="D697" t="inlineStr">
        <is>
          <t>JÄMTLANDS LÄN</t>
        </is>
      </c>
      <c r="E697" t="inlineStr">
        <is>
          <t>RAGUNDA</t>
        </is>
      </c>
      <c r="G697" t="n">
        <v>4</v>
      </c>
      <c r="H697" t="n">
        <v>0</v>
      </c>
      <c r="I697" t="n">
        <v>0</v>
      </c>
      <c r="J697" t="n">
        <v>0</v>
      </c>
      <c r="K697" t="n">
        <v>0</v>
      </c>
      <c r="L697" t="n">
        <v>0</v>
      </c>
      <c r="M697" t="n">
        <v>0</v>
      </c>
      <c r="N697" t="n">
        <v>0</v>
      </c>
      <c r="O697" t="n">
        <v>0</v>
      </c>
      <c r="P697" t="n">
        <v>0</v>
      </c>
      <c r="Q697" t="n">
        <v>0</v>
      </c>
      <c r="R697" s="2" t="inlineStr"/>
    </row>
    <row r="698" ht="15" customHeight="1">
      <c r="A698" t="inlineStr">
        <is>
          <t>A 28292-2022</t>
        </is>
      </c>
      <c r="B698" s="1" t="n">
        <v>44747</v>
      </c>
      <c r="C698" s="1" t="n">
        <v>45506</v>
      </c>
      <c r="D698" t="inlineStr">
        <is>
          <t>JÄMTLANDS LÄN</t>
        </is>
      </c>
      <c r="E698" t="inlineStr">
        <is>
          <t>RAGUNDA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28737-2022</t>
        </is>
      </c>
      <c r="B699" s="1" t="n">
        <v>44749</v>
      </c>
      <c r="C699" s="1" t="n">
        <v>45506</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29537-2022</t>
        </is>
      </c>
      <c r="B700" s="1" t="n">
        <v>44754</v>
      </c>
      <c r="C700" s="1" t="n">
        <v>45506</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30609-2022</t>
        </is>
      </c>
      <c r="B701" s="1" t="n">
        <v>44761</v>
      </c>
      <c r="C701" s="1" t="n">
        <v>45506</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c r="U701">
        <f>HYPERLINK("https://klasma.github.io/Logging_2303/knärot/A 30609-2022 karta knärot.png", "A 30609-2022")</f>
        <v/>
      </c>
      <c r="V701">
        <f>HYPERLINK("https://klasma.github.io/Logging_2303/klagomål/A 30609-2022 FSC-klagomål.docx", "A 30609-2022")</f>
        <v/>
      </c>
      <c r="W701">
        <f>HYPERLINK("https://klasma.github.io/Logging_2303/klagomålsmail/A 30609-2022 FSC-klagomål mail.docx", "A 30609-2022")</f>
        <v/>
      </c>
      <c r="X701">
        <f>HYPERLINK("https://klasma.github.io/Logging_2303/tillsyn/A 30609-2022 tillsynsbegäran.docx", "A 30609-2022")</f>
        <v/>
      </c>
      <c r="Y701">
        <f>HYPERLINK("https://klasma.github.io/Logging_2303/tillsynsmail/A 30609-2022 tillsynsbegäran mail.docx", "A 30609-2022")</f>
        <v/>
      </c>
    </row>
    <row r="702" ht="15" customHeight="1">
      <c r="A702" t="inlineStr">
        <is>
          <t>A 30931-2022</t>
        </is>
      </c>
      <c r="B702" s="1" t="n">
        <v>44768</v>
      </c>
      <c r="C702" s="1" t="n">
        <v>45506</v>
      </c>
      <c r="D702" t="inlineStr">
        <is>
          <t>JÄMTLANDS LÄN</t>
        </is>
      </c>
      <c r="E702" t="inlineStr">
        <is>
          <t>RAGUNDA</t>
        </is>
      </c>
      <c r="G702" t="n">
        <v>6</v>
      </c>
      <c r="H702" t="n">
        <v>0</v>
      </c>
      <c r="I702" t="n">
        <v>0</v>
      </c>
      <c r="J702" t="n">
        <v>0</v>
      </c>
      <c r="K702" t="n">
        <v>0</v>
      </c>
      <c r="L702" t="n">
        <v>0</v>
      </c>
      <c r="M702" t="n">
        <v>0</v>
      </c>
      <c r="N702" t="n">
        <v>0</v>
      </c>
      <c r="O702" t="n">
        <v>0</v>
      </c>
      <c r="P702" t="n">
        <v>0</v>
      </c>
      <c r="Q702" t="n">
        <v>0</v>
      </c>
      <c r="R702" s="2" t="inlineStr"/>
    </row>
    <row r="703" ht="15" customHeight="1">
      <c r="A703" t="inlineStr">
        <is>
          <t>A 31436-2022</t>
        </is>
      </c>
      <c r="B703" s="1" t="n">
        <v>44774</v>
      </c>
      <c r="C703" s="1" t="n">
        <v>45506</v>
      </c>
      <c r="D703" t="inlineStr">
        <is>
          <t>JÄMTLANDS LÄN</t>
        </is>
      </c>
      <c r="E703" t="inlineStr">
        <is>
          <t>RAGUNDA</t>
        </is>
      </c>
      <c r="G703" t="n">
        <v>2</v>
      </c>
      <c r="H703" t="n">
        <v>0</v>
      </c>
      <c r="I703" t="n">
        <v>0</v>
      </c>
      <c r="J703" t="n">
        <v>0</v>
      </c>
      <c r="K703" t="n">
        <v>0</v>
      </c>
      <c r="L703" t="n">
        <v>0</v>
      </c>
      <c r="M703" t="n">
        <v>0</v>
      </c>
      <c r="N703" t="n">
        <v>0</v>
      </c>
      <c r="O703" t="n">
        <v>0</v>
      </c>
      <c r="P703" t="n">
        <v>0</v>
      </c>
      <c r="Q703" t="n">
        <v>0</v>
      </c>
      <c r="R703" s="2" t="inlineStr"/>
    </row>
    <row r="704" ht="15" customHeight="1">
      <c r="A704" t="inlineStr">
        <is>
          <t>A 31484-2022</t>
        </is>
      </c>
      <c r="B704" s="1" t="n">
        <v>44775</v>
      </c>
      <c r="C704" s="1" t="n">
        <v>45506</v>
      </c>
      <c r="D704" t="inlineStr">
        <is>
          <t>JÄMTLANDS LÄN</t>
        </is>
      </c>
      <c r="E704" t="inlineStr">
        <is>
          <t>RAGUNDA</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31435-2022</t>
        </is>
      </c>
      <c r="B705" s="1" t="n">
        <v>44774</v>
      </c>
      <c r="C705" s="1" t="n">
        <v>45506</v>
      </c>
      <c r="D705" t="inlineStr">
        <is>
          <t>JÄMTLANDS LÄN</t>
        </is>
      </c>
      <c r="E705" t="inlineStr">
        <is>
          <t>RAGUNDA</t>
        </is>
      </c>
      <c r="G705" t="n">
        <v>1.6</v>
      </c>
      <c r="H705" t="n">
        <v>0</v>
      </c>
      <c r="I705" t="n">
        <v>0</v>
      </c>
      <c r="J705" t="n">
        <v>0</v>
      </c>
      <c r="K705" t="n">
        <v>0</v>
      </c>
      <c r="L705" t="n">
        <v>0</v>
      </c>
      <c r="M705" t="n">
        <v>0</v>
      </c>
      <c r="N705" t="n">
        <v>0</v>
      </c>
      <c r="O705" t="n">
        <v>0</v>
      </c>
      <c r="P705" t="n">
        <v>0</v>
      </c>
      <c r="Q705" t="n">
        <v>0</v>
      </c>
      <c r="R705" s="2" t="inlineStr"/>
    </row>
    <row r="706" ht="15" customHeight="1">
      <c r="A706" t="inlineStr">
        <is>
          <t>A 31854-2022</t>
        </is>
      </c>
      <c r="B706" s="1" t="n">
        <v>44776</v>
      </c>
      <c r="C706" s="1" t="n">
        <v>45506</v>
      </c>
      <c r="D706" t="inlineStr">
        <is>
          <t>JÄMTLANDS LÄN</t>
        </is>
      </c>
      <c r="E706" t="inlineStr">
        <is>
          <t>RAGUNDA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31841-2022</t>
        </is>
      </c>
      <c r="B707" s="1" t="n">
        <v>44776</v>
      </c>
      <c r="C707" s="1" t="n">
        <v>45506</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31970-2022</t>
        </is>
      </c>
      <c r="B708" s="1" t="n">
        <v>44777</v>
      </c>
      <c r="C708" s="1" t="n">
        <v>45506</v>
      </c>
      <c r="D708" t="inlineStr">
        <is>
          <t>JÄMTLANDS LÄN</t>
        </is>
      </c>
      <c r="E708" t="inlineStr">
        <is>
          <t>RAGUNDA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31972-2022</t>
        </is>
      </c>
      <c r="B709" s="1" t="n">
        <v>44778</v>
      </c>
      <c r="C709" s="1" t="n">
        <v>45506</v>
      </c>
      <c r="D709" t="inlineStr">
        <is>
          <t>JÄMTLANDS LÄN</t>
        </is>
      </c>
      <c r="E709" t="inlineStr">
        <is>
          <t>RAGUNDA</t>
        </is>
      </c>
      <c r="F709" t="inlineStr">
        <is>
          <t>Naturvårdsverket</t>
        </is>
      </c>
      <c r="G709" t="n">
        <v>0.8</v>
      </c>
      <c r="H709" t="n">
        <v>0</v>
      </c>
      <c r="I709" t="n">
        <v>0</v>
      </c>
      <c r="J709" t="n">
        <v>0</v>
      </c>
      <c r="K709" t="n">
        <v>0</v>
      </c>
      <c r="L709" t="n">
        <v>0</v>
      </c>
      <c r="M709" t="n">
        <v>0</v>
      </c>
      <c r="N709" t="n">
        <v>0</v>
      </c>
      <c r="O709" t="n">
        <v>0</v>
      </c>
      <c r="P709" t="n">
        <v>0</v>
      </c>
      <c r="Q709" t="n">
        <v>0</v>
      </c>
      <c r="R709" s="2" t="inlineStr"/>
    </row>
    <row r="710" ht="15" customHeight="1">
      <c r="A710" t="inlineStr">
        <is>
          <t>A 32135-2022</t>
        </is>
      </c>
      <c r="B710" s="1" t="n">
        <v>44778</v>
      </c>
      <c r="C710" s="1" t="n">
        <v>45506</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32288-2022</t>
        </is>
      </c>
      <c r="B711" s="1" t="n">
        <v>44781</v>
      </c>
      <c r="C711" s="1" t="n">
        <v>45506</v>
      </c>
      <c r="D711" t="inlineStr">
        <is>
          <t>JÄMTLANDS LÄN</t>
        </is>
      </c>
      <c r="E711" t="inlineStr">
        <is>
          <t>RAGUNDA</t>
        </is>
      </c>
      <c r="G711" t="n">
        <v>0.8</v>
      </c>
      <c r="H711" t="n">
        <v>0</v>
      </c>
      <c r="I711" t="n">
        <v>0</v>
      </c>
      <c r="J711" t="n">
        <v>0</v>
      </c>
      <c r="K711" t="n">
        <v>0</v>
      </c>
      <c r="L711" t="n">
        <v>0</v>
      </c>
      <c r="M711" t="n">
        <v>0</v>
      </c>
      <c r="N711" t="n">
        <v>0</v>
      </c>
      <c r="O711" t="n">
        <v>0</v>
      </c>
      <c r="P711" t="n">
        <v>0</v>
      </c>
      <c r="Q711" t="n">
        <v>0</v>
      </c>
      <c r="R711" s="2" t="inlineStr"/>
    </row>
    <row r="712" ht="15" customHeight="1">
      <c r="A712" t="inlineStr">
        <is>
          <t>A 32526-2022</t>
        </is>
      </c>
      <c r="B712" s="1" t="n">
        <v>44782</v>
      </c>
      <c r="C712" s="1" t="n">
        <v>45506</v>
      </c>
      <c r="D712" t="inlineStr">
        <is>
          <t>JÄMTLANDS LÄN</t>
        </is>
      </c>
      <c r="E712" t="inlineStr">
        <is>
          <t>RAGUNDA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32780-2022</t>
        </is>
      </c>
      <c r="B713" s="1" t="n">
        <v>44783</v>
      </c>
      <c r="C713" s="1" t="n">
        <v>45506</v>
      </c>
      <c r="D713" t="inlineStr">
        <is>
          <t>JÄMTLANDS LÄN</t>
        </is>
      </c>
      <c r="E713" t="inlineStr">
        <is>
          <t>RAGUNDA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32979-2022</t>
        </is>
      </c>
      <c r="B714" s="1" t="n">
        <v>44785</v>
      </c>
      <c r="C714" s="1" t="n">
        <v>45506</v>
      </c>
      <c r="D714" t="inlineStr">
        <is>
          <t>JÄMTLANDS LÄN</t>
        </is>
      </c>
      <c r="E714" t="inlineStr">
        <is>
          <t>RAGUNDA</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32986-2022</t>
        </is>
      </c>
      <c r="B715" s="1" t="n">
        <v>44785</v>
      </c>
      <c r="C715" s="1" t="n">
        <v>45506</v>
      </c>
      <c r="D715" t="inlineStr">
        <is>
          <t>JÄMTLANDS LÄN</t>
        </is>
      </c>
      <c r="E715" t="inlineStr">
        <is>
          <t>RAGUNDA</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33218-2022</t>
        </is>
      </c>
      <c r="B716" s="1" t="n">
        <v>44786</v>
      </c>
      <c r="C716" s="1" t="n">
        <v>45506</v>
      </c>
      <c r="D716" t="inlineStr">
        <is>
          <t>JÄMTLANDS LÄN</t>
        </is>
      </c>
      <c r="E716" t="inlineStr">
        <is>
          <t>RAGUNDA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33278-2022</t>
        </is>
      </c>
      <c r="B717" s="1" t="n">
        <v>44788</v>
      </c>
      <c r="C717" s="1" t="n">
        <v>45506</v>
      </c>
      <c r="D717" t="inlineStr">
        <is>
          <t>JÄMTLANDS LÄN</t>
        </is>
      </c>
      <c r="E717" t="inlineStr">
        <is>
          <t>RAGUNDA</t>
        </is>
      </c>
      <c r="G717" t="n">
        <v>3.2</v>
      </c>
      <c r="H717" t="n">
        <v>0</v>
      </c>
      <c r="I717" t="n">
        <v>0</v>
      </c>
      <c r="J717" t="n">
        <v>0</v>
      </c>
      <c r="K717" t="n">
        <v>0</v>
      </c>
      <c r="L717" t="n">
        <v>0</v>
      </c>
      <c r="M717" t="n">
        <v>0</v>
      </c>
      <c r="N717" t="n">
        <v>0</v>
      </c>
      <c r="O717" t="n">
        <v>0</v>
      </c>
      <c r="P717" t="n">
        <v>0</v>
      </c>
      <c r="Q717" t="n">
        <v>0</v>
      </c>
      <c r="R717" s="2" t="inlineStr"/>
    </row>
    <row r="718" ht="15" customHeight="1">
      <c r="A718" t="inlineStr">
        <is>
          <t>A 33279-2022</t>
        </is>
      </c>
      <c r="B718" s="1" t="n">
        <v>44788</v>
      </c>
      <c r="C718" s="1" t="n">
        <v>45506</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35018-2022</t>
        </is>
      </c>
      <c r="B719" s="1" t="n">
        <v>44797</v>
      </c>
      <c r="C719" s="1" t="n">
        <v>45506</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35235-2022</t>
        </is>
      </c>
      <c r="B720" s="1" t="n">
        <v>44797</v>
      </c>
      <c r="C720" s="1" t="n">
        <v>45506</v>
      </c>
      <c r="D720" t="inlineStr">
        <is>
          <t>JÄMTLANDS LÄN</t>
        </is>
      </c>
      <c r="E720" t="inlineStr">
        <is>
          <t>RAGUNDA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35495-2022</t>
        </is>
      </c>
      <c r="B721" s="1" t="n">
        <v>44798</v>
      </c>
      <c r="C721" s="1" t="n">
        <v>45506</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35492-2022</t>
        </is>
      </c>
      <c r="B722" s="1" t="n">
        <v>44799</v>
      </c>
      <c r="C722" s="1" t="n">
        <v>45506</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35757-2022</t>
        </is>
      </c>
      <c r="B723" s="1" t="n">
        <v>44799</v>
      </c>
      <c r="C723" s="1" t="n">
        <v>45506</v>
      </c>
      <c r="D723" t="inlineStr">
        <is>
          <t>JÄMTLANDS LÄN</t>
        </is>
      </c>
      <c r="E723" t="inlineStr">
        <is>
          <t>RAGUNDA</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35749-2022</t>
        </is>
      </c>
      <c r="B724" s="1" t="n">
        <v>44800</v>
      </c>
      <c r="C724" s="1" t="n">
        <v>45506</v>
      </c>
      <c r="D724" t="inlineStr">
        <is>
          <t>JÄMTLANDS LÄN</t>
        </is>
      </c>
      <c r="E724" t="inlineStr">
        <is>
          <t>RAGUNDA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35998-2022</t>
        </is>
      </c>
      <c r="B725" s="1" t="n">
        <v>44802</v>
      </c>
      <c r="C725" s="1" t="n">
        <v>45506</v>
      </c>
      <c r="D725" t="inlineStr">
        <is>
          <t>JÄMTLANDS LÄN</t>
        </is>
      </c>
      <c r="E725" t="inlineStr">
        <is>
          <t>RAGUNDA</t>
        </is>
      </c>
      <c r="G725" t="n">
        <v>25.4</v>
      </c>
      <c r="H725" t="n">
        <v>0</v>
      </c>
      <c r="I725" t="n">
        <v>0</v>
      </c>
      <c r="J725" t="n">
        <v>0</v>
      </c>
      <c r="K725" t="n">
        <v>0</v>
      </c>
      <c r="L725" t="n">
        <v>0</v>
      </c>
      <c r="M725" t="n">
        <v>0</v>
      </c>
      <c r="N725" t="n">
        <v>0</v>
      </c>
      <c r="O725" t="n">
        <v>0</v>
      </c>
      <c r="P725" t="n">
        <v>0</v>
      </c>
      <c r="Q725" t="n">
        <v>0</v>
      </c>
      <c r="R725" s="2" t="inlineStr"/>
    </row>
    <row r="726" ht="15" customHeight="1">
      <c r="A726" t="inlineStr">
        <is>
          <t>A 36084-2022</t>
        </is>
      </c>
      <c r="B726" s="1" t="n">
        <v>44802</v>
      </c>
      <c r="C726" s="1" t="n">
        <v>45506</v>
      </c>
      <c r="D726" t="inlineStr">
        <is>
          <t>JÄMTLANDS LÄN</t>
        </is>
      </c>
      <c r="E726" t="inlineStr">
        <is>
          <t>RAGUNDA</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36106-2022</t>
        </is>
      </c>
      <c r="B727" s="1" t="n">
        <v>44803</v>
      </c>
      <c r="C727" s="1" t="n">
        <v>45506</v>
      </c>
      <c r="D727" t="inlineStr">
        <is>
          <t>JÄMTLANDS LÄN</t>
        </is>
      </c>
      <c r="E727" t="inlineStr">
        <is>
          <t>RAGUNDA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36375-2022</t>
        </is>
      </c>
      <c r="B728" s="1" t="n">
        <v>44804</v>
      </c>
      <c r="C728" s="1" t="n">
        <v>45506</v>
      </c>
      <c r="D728" t="inlineStr">
        <is>
          <t>JÄMTLANDS LÄN</t>
        </is>
      </c>
      <c r="E728" t="inlineStr">
        <is>
          <t>RAGUNDA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36612-2022</t>
        </is>
      </c>
      <c r="B729" s="1" t="n">
        <v>44804</v>
      </c>
      <c r="C729" s="1" t="n">
        <v>45506</v>
      </c>
      <c r="D729" t="inlineStr">
        <is>
          <t>JÄMTLANDS LÄN</t>
        </is>
      </c>
      <c r="E729" t="inlineStr">
        <is>
          <t>RAGUNDA</t>
        </is>
      </c>
      <c r="G729" t="n">
        <v>2.1</v>
      </c>
      <c r="H729" t="n">
        <v>0</v>
      </c>
      <c r="I729" t="n">
        <v>0</v>
      </c>
      <c r="J729" t="n">
        <v>0</v>
      </c>
      <c r="K729" t="n">
        <v>0</v>
      </c>
      <c r="L729" t="n">
        <v>0</v>
      </c>
      <c r="M729" t="n">
        <v>0</v>
      </c>
      <c r="N729" t="n">
        <v>0</v>
      </c>
      <c r="O729" t="n">
        <v>0</v>
      </c>
      <c r="P729" t="n">
        <v>0</v>
      </c>
      <c r="Q729" t="n">
        <v>0</v>
      </c>
      <c r="R729" s="2" t="inlineStr"/>
    </row>
    <row r="730" ht="15" customHeight="1">
      <c r="A730" t="inlineStr">
        <is>
          <t>A 36692-2022</t>
        </is>
      </c>
      <c r="B730" s="1" t="n">
        <v>44804</v>
      </c>
      <c r="C730" s="1" t="n">
        <v>45506</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36696-2022</t>
        </is>
      </c>
      <c r="B731" s="1" t="n">
        <v>44805</v>
      </c>
      <c r="C731" s="1" t="n">
        <v>45506</v>
      </c>
      <c r="D731" t="inlineStr">
        <is>
          <t>JÄMTLANDS LÄN</t>
        </is>
      </c>
      <c r="E731" t="inlineStr">
        <is>
          <t>RAGUNDA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36922-2022</t>
        </is>
      </c>
      <c r="B732" s="1" t="n">
        <v>44806</v>
      </c>
      <c r="C732" s="1" t="n">
        <v>45506</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36941-2022</t>
        </is>
      </c>
      <c r="B733" s="1" t="n">
        <v>44805</v>
      </c>
      <c r="C733" s="1" t="n">
        <v>45506</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37324-2022</t>
        </is>
      </c>
      <c r="B734" s="1" t="n">
        <v>44806</v>
      </c>
      <c r="C734" s="1" t="n">
        <v>45506</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38426-2022</t>
        </is>
      </c>
      <c r="B735" s="1" t="n">
        <v>44812</v>
      </c>
      <c r="C735" s="1" t="n">
        <v>45506</v>
      </c>
      <c r="D735" t="inlineStr">
        <is>
          <t>JÄMTLANDS LÄN</t>
        </is>
      </c>
      <c r="E735" t="inlineStr">
        <is>
          <t>RAGUNDA</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38425-2022</t>
        </is>
      </c>
      <c r="B736" s="1" t="n">
        <v>44813</v>
      </c>
      <c r="C736" s="1" t="n">
        <v>45506</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38683-2022</t>
        </is>
      </c>
      <c r="B737" s="1" t="n">
        <v>44813</v>
      </c>
      <c r="C737" s="1" t="n">
        <v>45506</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38664-2022</t>
        </is>
      </c>
      <c r="B738" s="1" t="n">
        <v>44813</v>
      </c>
      <c r="C738" s="1" t="n">
        <v>45506</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38733-2022</t>
        </is>
      </c>
      <c r="B739" s="1" t="n">
        <v>44815</v>
      </c>
      <c r="C739" s="1" t="n">
        <v>45506</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39003-2022</t>
        </is>
      </c>
      <c r="B740" s="1" t="n">
        <v>44817</v>
      </c>
      <c r="C740" s="1" t="n">
        <v>45506</v>
      </c>
      <c r="D740" t="inlineStr">
        <is>
          <t>JÄMTLANDS LÄN</t>
        </is>
      </c>
      <c r="E740" t="inlineStr">
        <is>
          <t>RAGUNDA</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39011-2022</t>
        </is>
      </c>
      <c r="B741" s="1" t="n">
        <v>44816</v>
      </c>
      <c r="C741" s="1" t="n">
        <v>45506</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39004-2022</t>
        </is>
      </c>
      <c r="B742" s="1" t="n">
        <v>44816</v>
      </c>
      <c r="C742" s="1" t="n">
        <v>45506</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39402-2022</t>
        </is>
      </c>
      <c r="B743" s="1" t="n">
        <v>44818</v>
      </c>
      <c r="C743" s="1" t="n">
        <v>45506</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39408-2022</t>
        </is>
      </c>
      <c r="B744" s="1" t="n">
        <v>44817</v>
      </c>
      <c r="C744" s="1" t="n">
        <v>45506</v>
      </c>
      <c r="D744" t="inlineStr">
        <is>
          <t>JÄMTLANDS LÄN</t>
        </is>
      </c>
      <c r="E744" t="inlineStr">
        <is>
          <t>RAGUNDA</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39693-2022</t>
        </is>
      </c>
      <c r="B745" s="1" t="n">
        <v>44819</v>
      </c>
      <c r="C745" s="1" t="n">
        <v>45506</v>
      </c>
      <c r="D745" t="inlineStr">
        <is>
          <t>JÄMTLANDS LÄN</t>
        </is>
      </c>
      <c r="E745" t="inlineStr">
        <is>
          <t>RAGUNDA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40200-2022</t>
        </is>
      </c>
      <c r="B746" s="1" t="n">
        <v>44818</v>
      </c>
      <c r="C746" s="1" t="n">
        <v>45506</v>
      </c>
      <c r="D746" t="inlineStr">
        <is>
          <t>JÄMTLANDS LÄN</t>
        </is>
      </c>
      <c r="E746" t="inlineStr">
        <is>
          <t>RAGUNDA</t>
        </is>
      </c>
      <c r="G746" t="n">
        <v>1.8</v>
      </c>
      <c r="H746" t="n">
        <v>0</v>
      </c>
      <c r="I746" t="n">
        <v>0</v>
      </c>
      <c r="J746" t="n">
        <v>0</v>
      </c>
      <c r="K746" t="n">
        <v>0</v>
      </c>
      <c r="L746" t="n">
        <v>0</v>
      </c>
      <c r="M746" t="n">
        <v>0</v>
      </c>
      <c r="N746" t="n">
        <v>0</v>
      </c>
      <c r="O746" t="n">
        <v>0</v>
      </c>
      <c r="P746" t="n">
        <v>0</v>
      </c>
      <c r="Q746" t="n">
        <v>0</v>
      </c>
      <c r="R746" s="2" t="inlineStr"/>
    </row>
    <row r="747" ht="15" customHeight="1">
      <c r="A747" t="inlineStr">
        <is>
          <t>A 39698-2022</t>
        </is>
      </c>
      <c r="B747" s="1" t="n">
        <v>44818</v>
      </c>
      <c r="C747" s="1" t="n">
        <v>45506</v>
      </c>
      <c r="D747" t="inlineStr">
        <is>
          <t>JÄMTLANDS LÄN</t>
        </is>
      </c>
      <c r="E747" t="inlineStr">
        <is>
          <t>RAGUNDA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40265-2022</t>
        </is>
      </c>
      <c r="B748" s="1" t="n">
        <v>44821</v>
      </c>
      <c r="C748" s="1" t="n">
        <v>45506</v>
      </c>
      <c r="D748" t="inlineStr">
        <is>
          <t>JÄMTLANDS LÄN</t>
        </is>
      </c>
      <c r="E748" t="inlineStr">
        <is>
          <t>RAGUNDA</t>
        </is>
      </c>
      <c r="G748" t="n">
        <v>3.7</v>
      </c>
      <c r="H748" t="n">
        <v>0</v>
      </c>
      <c r="I748" t="n">
        <v>0</v>
      </c>
      <c r="J748" t="n">
        <v>0</v>
      </c>
      <c r="K748" t="n">
        <v>0</v>
      </c>
      <c r="L748" t="n">
        <v>0</v>
      </c>
      <c r="M748" t="n">
        <v>0</v>
      </c>
      <c r="N748" t="n">
        <v>0</v>
      </c>
      <c r="O748" t="n">
        <v>0</v>
      </c>
      <c r="P748" t="n">
        <v>0</v>
      </c>
      <c r="Q748" t="n">
        <v>0</v>
      </c>
      <c r="R748" s="2" t="inlineStr"/>
    </row>
    <row r="749" ht="15" customHeight="1">
      <c r="A749" t="inlineStr">
        <is>
          <t>A 40269-2022</t>
        </is>
      </c>
      <c r="B749" s="1" t="n">
        <v>44820</v>
      </c>
      <c r="C749" s="1" t="n">
        <v>45506</v>
      </c>
      <c r="D749" t="inlineStr">
        <is>
          <t>JÄMTLANDS LÄN</t>
        </is>
      </c>
      <c r="E749" t="inlineStr">
        <is>
          <t>RAGUNDA</t>
        </is>
      </c>
      <c r="F749" t="inlineStr">
        <is>
          <t>SCA</t>
        </is>
      </c>
      <c r="G749" t="n">
        <v>77.8</v>
      </c>
      <c r="H749" t="n">
        <v>0</v>
      </c>
      <c r="I749" t="n">
        <v>0</v>
      </c>
      <c r="J749" t="n">
        <v>0</v>
      </c>
      <c r="K749" t="n">
        <v>0</v>
      </c>
      <c r="L749" t="n">
        <v>0</v>
      </c>
      <c r="M749" t="n">
        <v>0</v>
      </c>
      <c r="N749" t="n">
        <v>0</v>
      </c>
      <c r="O749" t="n">
        <v>0</v>
      </c>
      <c r="P749" t="n">
        <v>0</v>
      </c>
      <c r="Q749" t="n">
        <v>0</v>
      </c>
      <c r="R749" s="2" t="inlineStr"/>
    </row>
    <row r="750" ht="15" customHeight="1">
      <c r="A750" t="inlineStr">
        <is>
          <t>A 40267-2022</t>
        </is>
      </c>
      <c r="B750" s="1" t="n">
        <v>44820</v>
      </c>
      <c r="C750" s="1" t="n">
        <v>45506</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40266-2022</t>
        </is>
      </c>
      <c r="B751" s="1" t="n">
        <v>44820</v>
      </c>
      <c r="C751" s="1" t="n">
        <v>45506</v>
      </c>
      <c r="D751" t="inlineStr">
        <is>
          <t>JÄMTLANDS LÄN</t>
        </is>
      </c>
      <c r="E751" t="inlineStr">
        <is>
          <t>RAGUNDA</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40951-2022</t>
        </is>
      </c>
      <c r="B752" s="1" t="n">
        <v>44820</v>
      </c>
      <c r="C752" s="1" t="n">
        <v>45506</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40436-2022</t>
        </is>
      </c>
      <c r="B753" s="1" t="n">
        <v>44823</v>
      </c>
      <c r="C753" s="1" t="n">
        <v>45506</v>
      </c>
      <c r="D753" t="inlineStr">
        <is>
          <t>JÄMTLANDS LÄN</t>
        </is>
      </c>
      <c r="E753" t="inlineStr">
        <is>
          <t>RAGUNDA</t>
        </is>
      </c>
      <c r="G753" t="n">
        <v>3</v>
      </c>
      <c r="H753" t="n">
        <v>0</v>
      </c>
      <c r="I753" t="n">
        <v>0</v>
      </c>
      <c r="J753" t="n">
        <v>0</v>
      </c>
      <c r="K753" t="n">
        <v>0</v>
      </c>
      <c r="L753" t="n">
        <v>0</v>
      </c>
      <c r="M753" t="n">
        <v>0</v>
      </c>
      <c r="N753" t="n">
        <v>0</v>
      </c>
      <c r="O753" t="n">
        <v>0</v>
      </c>
      <c r="P753" t="n">
        <v>0</v>
      </c>
      <c r="Q753" t="n">
        <v>0</v>
      </c>
      <c r="R753" s="2" t="inlineStr"/>
    </row>
    <row r="754" ht="15" customHeight="1">
      <c r="A754" t="inlineStr">
        <is>
          <t>A 40612-2022</t>
        </is>
      </c>
      <c r="B754" s="1" t="n">
        <v>44824</v>
      </c>
      <c r="C754" s="1" t="n">
        <v>45506</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40978-2022</t>
        </is>
      </c>
      <c r="B755" s="1" t="n">
        <v>44823</v>
      </c>
      <c r="C755" s="1" t="n">
        <v>45506</v>
      </c>
      <c r="D755" t="inlineStr">
        <is>
          <t>JÄMTLANDS LÄN</t>
        </is>
      </c>
      <c r="E755" t="inlineStr">
        <is>
          <t>RAGUNDA</t>
        </is>
      </c>
      <c r="G755" t="n">
        <v>1.5</v>
      </c>
      <c r="H755" t="n">
        <v>0</v>
      </c>
      <c r="I755" t="n">
        <v>0</v>
      </c>
      <c r="J755" t="n">
        <v>0</v>
      </c>
      <c r="K755" t="n">
        <v>0</v>
      </c>
      <c r="L755" t="n">
        <v>0</v>
      </c>
      <c r="M755" t="n">
        <v>0</v>
      </c>
      <c r="N755" t="n">
        <v>0</v>
      </c>
      <c r="O755" t="n">
        <v>0</v>
      </c>
      <c r="P755" t="n">
        <v>0</v>
      </c>
      <c r="Q755" t="n">
        <v>0</v>
      </c>
      <c r="R755" s="2" t="inlineStr"/>
    </row>
    <row r="756" ht="15" customHeight="1">
      <c r="A756" t="inlineStr">
        <is>
          <t>A 40829-2022</t>
        </is>
      </c>
      <c r="B756" s="1" t="n">
        <v>44825</v>
      </c>
      <c r="C756" s="1" t="n">
        <v>45506</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41180-2022</t>
        </is>
      </c>
      <c r="B757" s="1" t="n">
        <v>44825</v>
      </c>
      <c r="C757" s="1" t="n">
        <v>45506</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41179-2022</t>
        </is>
      </c>
      <c r="B758" s="1" t="n">
        <v>44825</v>
      </c>
      <c r="C758" s="1" t="n">
        <v>45506</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42267-2022</t>
        </is>
      </c>
      <c r="B759" s="1" t="n">
        <v>44830</v>
      </c>
      <c r="C759" s="1" t="n">
        <v>45506</v>
      </c>
      <c r="D759" t="inlineStr">
        <is>
          <t>JÄMTLANDS LÄN</t>
        </is>
      </c>
      <c r="E759" t="inlineStr">
        <is>
          <t>RAGUNDA</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42266-2022</t>
        </is>
      </c>
      <c r="B760" s="1" t="n">
        <v>44831</v>
      </c>
      <c r="C760" s="1" t="n">
        <v>45506</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42652-2022</t>
        </is>
      </c>
      <c r="B761" s="1" t="n">
        <v>44832</v>
      </c>
      <c r="C761" s="1" t="n">
        <v>45506</v>
      </c>
      <c r="D761" t="inlineStr">
        <is>
          <t>JÄMTLANDS LÄN</t>
        </is>
      </c>
      <c r="E761" t="inlineStr">
        <is>
          <t>RAGUNDA</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42644-2022</t>
        </is>
      </c>
      <c r="B762" s="1" t="n">
        <v>44831</v>
      </c>
      <c r="C762" s="1" t="n">
        <v>45506</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42655-2022</t>
        </is>
      </c>
      <c r="B763" s="1" t="n">
        <v>44831</v>
      </c>
      <c r="C763" s="1" t="n">
        <v>45506</v>
      </c>
      <c r="D763" t="inlineStr">
        <is>
          <t>JÄMTLANDS LÄN</t>
        </is>
      </c>
      <c r="E763" t="inlineStr">
        <is>
          <t>RAGUNDA</t>
        </is>
      </c>
      <c r="F763" t="inlineStr">
        <is>
          <t>Naturvårdsverket</t>
        </is>
      </c>
      <c r="G763" t="n">
        <v>2</v>
      </c>
      <c r="H763" t="n">
        <v>0</v>
      </c>
      <c r="I763" t="n">
        <v>0</v>
      </c>
      <c r="J763" t="n">
        <v>0</v>
      </c>
      <c r="K763" t="n">
        <v>0</v>
      </c>
      <c r="L763" t="n">
        <v>0</v>
      </c>
      <c r="M763" t="n">
        <v>0</v>
      </c>
      <c r="N763" t="n">
        <v>0</v>
      </c>
      <c r="O763" t="n">
        <v>0</v>
      </c>
      <c r="P763" t="n">
        <v>0</v>
      </c>
      <c r="Q763" t="n">
        <v>0</v>
      </c>
      <c r="R763" s="2" t="inlineStr"/>
    </row>
    <row r="764" ht="15" customHeight="1">
      <c r="A764" t="inlineStr">
        <is>
          <t>A 42653-2022</t>
        </is>
      </c>
      <c r="B764" s="1" t="n">
        <v>44832</v>
      </c>
      <c r="C764" s="1" t="n">
        <v>45506</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42882-2022</t>
        </is>
      </c>
      <c r="B765" s="1" t="n">
        <v>44833</v>
      </c>
      <c r="C765" s="1" t="n">
        <v>45506</v>
      </c>
      <c r="D765" t="inlineStr">
        <is>
          <t>JÄMTLANDS LÄN</t>
        </is>
      </c>
      <c r="E765" t="inlineStr">
        <is>
          <t>RAGUNDA</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42892-2022</t>
        </is>
      </c>
      <c r="B766" s="1" t="n">
        <v>44832</v>
      </c>
      <c r="C766" s="1" t="n">
        <v>45506</v>
      </c>
      <c r="D766" t="inlineStr">
        <is>
          <t>JÄMTLANDS LÄN</t>
        </is>
      </c>
      <c r="E766" t="inlineStr">
        <is>
          <t>RAGUNDA</t>
        </is>
      </c>
      <c r="F766" t="inlineStr">
        <is>
          <t>SCA</t>
        </is>
      </c>
      <c r="G766" t="n">
        <v>84</v>
      </c>
      <c r="H766" t="n">
        <v>0</v>
      </c>
      <c r="I766" t="n">
        <v>0</v>
      </c>
      <c r="J766" t="n">
        <v>0</v>
      </c>
      <c r="K766" t="n">
        <v>0</v>
      </c>
      <c r="L766" t="n">
        <v>0</v>
      </c>
      <c r="M766" t="n">
        <v>0</v>
      </c>
      <c r="N766" t="n">
        <v>0</v>
      </c>
      <c r="O766" t="n">
        <v>0</v>
      </c>
      <c r="P766" t="n">
        <v>0</v>
      </c>
      <c r="Q766" t="n">
        <v>0</v>
      </c>
      <c r="R766" s="2" t="inlineStr"/>
    </row>
    <row r="767" ht="15" customHeight="1">
      <c r="A767" t="inlineStr">
        <is>
          <t>A 42893-2022</t>
        </is>
      </c>
      <c r="B767" s="1" t="n">
        <v>44832</v>
      </c>
      <c r="C767" s="1" t="n">
        <v>45506</v>
      </c>
      <c r="D767" t="inlineStr">
        <is>
          <t>JÄMTLANDS LÄN</t>
        </is>
      </c>
      <c r="E767" t="inlineStr">
        <is>
          <t>RAGUNDA</t>
        </is>
      </c>
      <c r="F767" t="inlineStr">
        <is>
          <t>SCA</t>
        </is>
      </c>
      <c r="G767" t="n">
        <v>28.4</v>
      </c>
      <c r="H767" t="n">
        <v>0</v>
      </c>
      <c r="I767" t="n">
        <v>0</v>
      </c>
      <c r="J767" t="n">
        <v>0</v>
      </c>
      <c r="K767" t="n">
        <v>0</v>
      </c>
      <c r="L767" t="n">
        <v>0</v>
      </c>
      <c r="M767" t="n">
        <v>0</v>
      </c>
      <c r="N767" t="n">
        <v>0</v>
      </c>
      <c r="O767" t="n">
        <v>0</v>
      </c>
      <c r="P767" t="n">
        <v>0</v>
      </c>
      <c r="Q767" t="n">
        <v>0</v>
      </c>
      <c r="R767" s="2" t="inlineStr"/>
    </row>
    <row r="768" ht="15" customHeight="1">
      <c r="A768" t="inlineStr">
        <is>
          <t>A 42900-2022</t>
        </is>
      </c>
      <c r="B768" s="1" t="n">
        <v>44833</v>
      </c>
      <c r="C768" s="1" t="n">
        <v>45506</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42901-2022</t>
        </is>
      </c>
      <c r="B769" s="1" t="n">
        <v>44832</v>
      </c>
      <c r="C769" s="1" t="n">
        <v>45506</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43147-2022</t>
        </is>
      </c>
      <c r="B770" s="1" t="n">
        <v>44834</v>
      </c>
      <c r="C770" s="1" t="n">
        <v>45506</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43163-2022</t>
        </is>
      </c>
      <c r="B771" s="1" t="n">
        <v>44834</v>
      </c>
      <c r="C771" s="1" t="n">
        <v>45506</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43478-2022</t>
        </is>
      </c>
      <c r="B772" s="1" t="n">
        <v>44837</v>
      </c>
      <c r="C772" s="1" t="n">
        <v>45506</v>
      </c>
      <c r="D772" t="inlineStr">
        <is>
          <t>JÄMTLANDS LÄN</t>
        </is>
      </c>
      <c r="E772" t="inlineStr">
        <is>
          <t>RAGUNDA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43793-2022</t>
        </is>
      </c>
      <c r="B773" s="1" t="n">
        <v>44837</v>
      </c>
      <c r="C773" s="1" t="n">
        <v>45506</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43794-2022</t>
        </is>
      </c>
      <c r="B774" s="1" t="n">
        <v>44837</v>
      </c>
      <c r="C774" s="1" t="n">
        <v>45506</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44050-2022</t>
        </is>
      </c>
      <c r="B775" s="1" t="n">
        <v>44838</v>
      </c>
      <c r="C775" s="1" t="n">
        <v>45506</v>
      </c>
      <c r="D775" t="inlineStr">
        <is>
          <t>JÄMTLANDS LÄN</t>
        </is>
      </c>
      <c r="E775" t="inlineStr">
        <is>
          <t>RAGUNDA</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44536-2022</t>
        </is>
      </c>
      <c r="B776" s="1" t="n">
        <v>44839</v>
      </c>
      <c r="C776" s="1" t="n">
        <v>45506</v>
      </c>
      <c r="D776" t="inlineStr">
        <is>
          <t>JÄMTLANDS LÄN</t>
        </is>
      </c>
      <c r="E776" t="inlineStr">
        <is>
          <t>RAGUNDA</t>
        </is>
      </c>
      <c r="G776" t="n">
        <v>4</v>
      </c>
      <c r="H776" t="n">
        <v>0</v>
      </c>
      <c r="I776" t="n">
        <v>0</v>
      </c>
      <c r="J776" t="n">
        <v>0</v>
      </c>
      <c r="K776" t="n">
        <v>0</v>
      </c>
      <c r="L776" t="n">
        <v>0</v>
      </c>
      <c r="M776" t="n">
        <v>0</v>
      </c>
      <c r="N776" t="n">
        <v>0</v>
      </c>
      <c r="O776" t="n">
        <v>0</v>
      </c>
      <c r="P776" t="n">
        <v>0</v>
      </c>
      <c r="Q776" t="n">
        <v>0</v>
      </c>
      <c r="R776" s="2" t="inlineStr"/>
    </row>
    <row r="777" ht="15" customHeight="1">
      <c r="A777" t="inlineStr">
        <is>
          <t>A 44600-2022</t>
        </is>
      </c>
      <c r="B777" s="1" t="n">
        <v>44839</v>
      </c>
      <c r="C777" s="1" t="n">
        <v>45506</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44767-2022</t>
        </is>
      </c>
      <c r="B778" s="1" t="n">
        <v>44840</v>
      </c>
      <c r="C778" s="1" t="n">
        <v>45506</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44766-2022</t>
        </is>
      </c>
      <c r="B779" s="1" t="n">
        <v>44841</v>
      </c>
      <c r="C779" s="1" t="n">
        <v>45506</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45437-2022</t>
        </is>
      </c>
      <c r="B780" s="1" t="n">
        <v>44844</v>
      </c>
      <c r="C780" s="1" t="n">
        <v>45506</v>
      </c>
      <c r="D780" t="inlineStr">
        <is>
          <t>JÄMTLANDS LÄN</t>
        </is>
      </c>
      <c r="E780" t="inlineStr">
        <is>
          <t>RAGUNDA</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45438-2022</t>
        </is>
      </c>
      <c r="B781" s="1" t="n">
        <v>44845</v>
      </c>
      <c r="C781" s="1" t="n">
        <v>45506</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45708-2022</t>
        </is>
      </c>
      <c r="B782" s="1" t="n">
        <v>44846</v>
      </c>
      <c r="C782" s="1" t="n">
        <v>45506</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45712-2022</t>
        </is>
      </c>
      <c r="B783" s="1" t="n">
        <v>44845</v>
      </c>
      <c r="C783" s="1" t="n">
        <v>45506</v>
      </c>
      <c r="D783" t="inlineStr">
        <is>
          <t>JÄMTLANDS LÄN</t>
        </is>
      </c>
      <c r="E783" t="inlineStr">
        <is>
          <t>RAGUNDA</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45710-2022</t>
        </is>
      </c>
      <c r="B784" s="1" t="n">
        <v>44845</v>
      </c>
      <c r="C784" s="1" t="n">
        <v>45506</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45718-2022</t>
        </is>
      </c>
      <c r="B785" s="1" t="n">
        <v>44845</v>
      </c>
      <c r="C785" s="1" t="n">
        <v>45506</v>
      </c>
      <c r="D785" t="inlineStr">
        <is>
          <t>JÄMTLANDS LÄN</t>
        </is>
      </c>
      <c r="E785" t="inlineStr">
        <is>
          <t>RAGUNDA</t>
        </is>
      </c>
      <c r="F785" t="inlineStr">
        <is>
          <t>SCA</t>
        </is>
      </c>
      <c r="G785" t="n">
        <v>19.3</v>
      </c>
      <c r="H785" t="n">
        <v>0</v>
      </c>
      <c r="I785" t="n">
        <v>0</v>
      </c>
      <c r="J785" t="n">
        <v>0</v>
      </c>
      <c r="K785" t="n">
        <v>0</v>
      </c>
      <c r="L785" t="n">
        <v>0</v>
      </c>
      <c r="M785" t="n">
        <v>0</v>
      </c>
      <c r="N785" t="n">
        <v>0</v>
      </c>
      <c r="O785" t="n">
        <v>0</v>
      </c>
      <c r="P785" t="n">
        <v>0</v>
      </c>
      <c r="Q785" t="n">
        <v>0</v>
      </c>
      <c r="R785" s="2" t="inlineStr"/>
    </row>
    <row r="786" ht="15" customHeight="1">
      <c r="A786" t="inlineStr">
        <is>
          <t>A 45715-2022</t>
        </is>
      </c>
      <c r="B786" s="1" t="n">
        <v>44845</v>
      </c>
      <c r="C786" s="1" t="n">
        <v>45506</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46047-2022</t>
        </is>
      </c>
      <c r="B787" s="1" t="n">
        <v>44847</v>
      </c>
      <c r="C787" s="1" t="n">
        <v>45506</v>
      </c>
      <c r="D787" t="inlineStr">
        <is>
          <t>JÄMTLANDS LÄN</t>
        </is>
      </c>
      <c r="E787" t="inlineStr">
        <is>
          <t>RAGUNDA</t>
        </is>
      </c>
      <c r="F787" t="inlineStr">
        <is>
          <t>SCA</t>
        </is>
      </c>
      <c r="G787" t="n">
        <v>6.7</v>
      </c>
      <c r="H787" t="n">
        <v>0</v>
      </c>
      <c r="I787" t="n">
        <v>0</v>
      </c>
      <c r="J787" t="n">
        <v>0</v>
      </c>
      <c r="K787" t="n">
        <v>0</v>
      </c>
      <c r="L787" t="n">
        <v>0</v>
      </c>
      <c r="M787" t="n">
        <v>0</v>
      </c>
      <c r="N787" t="n">
        <v>0</v>
      </c>
      <c r="O787" t="n">
        <v>0</v>
      </c>
      <c r="P787" t="n">
        <v>0</v>
      </c>
      <c r="Q787" t="n">
        <v>0</v>
      </c>
      <c r="R787" s="2" t="inlineStr"/>
    </row>
    <row r="788" ht="15" customHeight="1">
      <c r="A788" t="inlineStr">
        <is>
          <t>A 46040-2022</t>
        </is>
      </c>
      <c r="B788" s="1" t="n">
        <v>44847</v>
      </c>
      <c r="C788" s="1" t="n">
        <v>45506</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46050-2022</t>
        </is>
      </c>
      <c r="B789" s="1" t="n">
        <v>44846</v>
      </c>
      <c r="C789" s="1" t="n">
        <v>45506</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46049-2022</t>
        </is>
      </c>
      <c r="B790" s="1" t="n">
        <v>44847</v>
      </c>
      <c r="C790" s="1" t="n">
        <v>45506</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46048-2022</t>
        </is>
      </c>
      <c r="B791" s="1" t="n">
        <v>44846</v>
      </c>
      <c r="C791" s="1" t="n">
        <v>45506</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46991-2022</t>
        </is>
      </c>
      <c r="B792" s="1" t="n">
        <v>44852</v>
      </c>
      <c r="C792" s="1" t="n">
        <v>45506</v>
      </c>
      <c r="D792" t="inlineStr">
        <is>
          <t>JÄMTLANDS LÄN</t>
        </is>
      </c>
      <c r="E792" t="inlineStr">
        <is>
          <t>RAGUNDA</t>
        </is>
      </c>
      <c r="F792" t="inlineStr">
        <is>
          <t>SCA</t>
        </is>
      </c>
      <c r="G792" t="n">
        <v>17.3</v>
      </c>
      <c r="H792" t="n">
        <v>0</v>
      </c>
      <c r="I792" t="n">
        <v>0</v>
      </c>
      <c r="J792" t="n">
        <v>0</v>
      </c>
      <c r="K792" t="n">
        <v>0</v>
      </c>
      <c r="L792" t="n">
        <v>0</v>
      </c>
      <c r="M792" t="n">
        <v>0</v>
      </c>
      <c r="N792" t="n">
        <v>0</v>
      </c>
      <c r="O792" t="n">
        <v>0</v>
      </c>
      <c r="P792" t="n">
        <v>0</v>
      </c>
      <c r="Q792" t="n">
        <v>0</v>
      </c>
      <c r="R792" s="2" t="inlineStr"/>
    </row>
    <row r="793" ht="15" customHeight="1">
      <c r="A793" t="inlineStr">
        <is>
          <t>A 46992-2022</t>
        </is>
      </c>
      <c r="B793" s="1" t="n">
        <v>44852</v>
      </c>
      <c r="C793" s="1" t="n">
        <v>45506</v>
      </c>
      <c r="D793" t="inlineStr">
        <is>
          <t>JÄMTLANDS LÄN</t>
        </is>
      </c>
      <c r="E793" t="inlineStr">
        <is>
          <t>RAGUNDA</t>
        </is>
      </c>
      <c r="F793" t="inlineStr">
        <is>
          <t>SCA</t>
        </is>
      </c>
      <c r="G793" t="n">
        <v>26.4</v>
      </c>
      <c r="H793" t="n">
        <v>0</v>
      </c>
      <c r="I793" t="n">
        <v>0</v>
      </c>
      <c r="J793" t="n">
        <v>0</v>
      </c>
      <c r="K793" t="n">
        <v>0</v>
      </c>
      <c r="L793" t="n">
        <v>0</v>
      </c>
      <c r="M793" t="n">
        <v>0</v>
      </c>
      <c r="N793" t="n">
        <v>0</v>
      </c>
      <c r="O793" t="n">
        <v>0</v>
      </c>
      <c r="P793" t="n">
        <v>0</v>
      </c>
      <c r="Q793" t="n">
        <v>0</v>
      </c>
      <c r="R793" s="2" t="inlineStr"/>
    </row>
    <row r="794" ht="15" customHeight="1">
      <c r="A794" t="inlineStr">
        <is>
          <t>A 47262-2022</t>
        </is>
      </c>
      <c r="B794" s="1" t="n">
        <v>44852</v>
      </c>
      <c r="C794" s="1" t="n">
        <v>45506</v>
      </c>
      <c r="D794" t="inlineStr">
        <is>
          <t>JÄMTLANDS LÄN</t>
        </is>
      </c>
      <c r="E794" t="inlineStr">
        <is>
          <t>RAGUNDA</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47267-2022</t>
        </is>
      </c>
      <c r="B795" s="1" t="n">
        <v>44852</v>
      </c>
      <c r="C795" s="1" t="n">
        <v>45506</v>
      </c>
      <c r="D795" t="inlineStr">
        <is>
          <t>JÄMTLANDS LÄN</t>
        </is>
      </c>
      <c r="E795" t="inlineStr">
        <is>
          <t>RAGUNDA</t>
        </is>
      </c>
      <c r="F795" t="inlineStr">
        <is>
          <t>SCA</t>
        </is>
      </c>
      <c r="G795" t="n">
        <v>82.8</v>
      </c>
      <c r="H795" t="n">
        <v>0</v>
      </c>
      <c r="I795" t="n">
        <v>0</v>
      </c>
      <c r="J795" t="n">
        <v>0</v>
      </c>
      <c r="K795" t="n">
        <v>0</v>
      </c>
      <c r="L795" t="n">
        <v>0</v>
      </c>
      <c r="M795" t="n">
        <v>0</v>
      </c>
      <c r="N795" t="n">
        <v>0</v>
      </c>
      <c r="O795" t="n">
        <v>0</v>
      </c>
      <c r="P795" t="n">
        <v>0</v>
      </c>
      <c r="Q795" t="n">
        <v>0</v>
      </c>
      <c r="R795" s="2" t="inlineStr"/>
    </row>
    <row r="796" ht="15" customHeight="1">
      <c r="A796" t="inlineStr">
        <is>
          <t>A 47280-2022</t>
        </is>
      </c>
      <c r="B796" s="1" t="n">
        <v>44852</v>
      </c>
      <c r="C796" s="1" t="n">
        <v>45506</v>
      </c>
      <c r="D796" t="inlineStr">
        <is>
          <t>JÄMTLANDS LÄN</t>
        </is>
      </c>
      <c r="E796" t="inlineStr">
        <is>
          <t>RAGUNDA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47278-2022</t>
        </is>
      </c>
      <c r="B797" s="1" t="n">
        <v>44852</v>
      </c>
      <c r="C797" s="1" t="n">
        <v>45506</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47567-2022</t>
        </is>
      </c>
      <c r="B798" s="1" t="n">
        <v>44853</v>
      </c>
      <c r="C798" s="1" t="n">
        <v>45506</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47568-2022</t>
        </is>
      </c>
      <c r="B799" s="1" t="n">
        <v>44854</v>
      </c>
      <c r="C799" s="1" t="n">
        <v>45506</v>
      </c>
      <c r="D799" t="inlineStr">
        <is>
          <t>JÄMTLANDS LÄN</t>
        </is>
      </c>
      <c r="E799" t="inlineStr">
        <is>
          <t>RAGUNDA</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47801-2022</t>
        </is>
      </c>
      <c r="B800" s="1" t="n">
        <v>44854</v>
      </c>
      <c r="C800" s="1" t="n">
        <v>45506</v>
      </c>
      <c r="D800" t="inlineStr">
        <is>
          <t>JÄMTLANDS LÄN</t>
        </is>
      </c>
      <c r="E800" t="inlineStr">
        <is>
          <t>RAGUNDA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47803-2022</t>
        </is>
      </c>
      <c r="B801" s="1" t="n">
        <v>44855</v>
      </c>
      <c r="C801" s="1" t="n">
        <v>45506</v>
      </c>
      <c r="D801" t="inlineStr">
        <is>
          <t>JÄMTLANDS LÄN</t>
        </is>
      </c>
      <c r="E801" t="inlineStr">
        <is>
          <t>RAGUNDA</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48060-2022</t>
        </is>
      </c>
      <c r="B802" s="1" t="n">
        <v>44856</v>
      </c>
      <c r="C802" s="1" t="n">
        <v>45506</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48055-2022</t>
        </is>
      </c>
      <c r="B803" s="1" t="n">
        <v>44856</v>
      </c>
      <c r="C803" s="1" t="n">
        <v>45506</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48058-2022</t>
        </is>
      </c>
      <c r="B804" s="1" t="n">
        <v>44856</v>
      </c>
      <c r="C804" s="1" t="n">
        <v>45506</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45506</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48076-2022</t>
        </is>
      </c>
      <c r="B806" s="1" t="n">
        <v>44856</v>
      </c>
      <c r="C806" s="1" t="n">
        <v>45506</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48053-2022</t>
        </is>
      </c>
      <c r="B807" s="1" t="n">
        <v>44856</v>
      </c>
      <c r="C807" s="1" t="n">
        <v>45506</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48075-2022</t>
        </is>
      </c>
      <c r="B808" s="1" t="n">
        <v>44855</v>
      </c>
      <c r="C808" s="1" t="n">
        <v>45506</v>
      </c>
      <c r="D808" t="inlineStr">
        <is>
          <t>JÄMTLANDS LÄN</t>
        </is>
      </c>
      <c r="E808" t="inlineStr">
        <is>
          <t>RAGUNDA</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48086-2022</t>
        </is>
      </c>
      <c r="B809" s="1" t="n">
        <v>44856</v>
      </c>
      <c r="C809" s="1" t="n">
        <v>45506</v>
      </c>
      <c r="D809" t="inlineStr">
        <is>
          <t>JÄMTLANDS LÄN</t>
        </is>
      </c>
      <c r="E809" t="inlineStr">
        <is>
          <t>RAGUNDA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48085-2022</t>
        </is>
      </c>
      <c r="B810" s="1" t="n">
        <v>44855</v>
      </c>
      <c r="C810" s="1" t="n">
        <v>45506</v>
      </c>
      <c r="D810" t="inlineStr">
        <is>
          <t>JÄMTLANDS LÄN</t>
        </is>
      </c>
      <c r="E810" t="inlineStr">
        <is>
          <t>RAGUNDA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48536-2022</t>
        </is>
      </c>
      <c r="B811" s="1" t="n">
        <v>44858</v>
      </c>
      <c r="C811" s="1" t="n">
        <v>45506</v>
      </c>
      <c r="D811" t="inlineStr">
        <is>
          <t>JÄMTLANDS LÄN</t>
        </is>
      </c>
      <c r="E811" t="inlineStr">
        <is>
          <t>RAGUNDA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48538-2022</t>
        </is>
      </c>
      <c r="B812" s="1" t="n">
        <v>44858</v>
      </c>
      <c r="C812" s="1" t="n">
        <v>45506</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48522-2022</t>
        </is>
      </c>
      <c r="B813" s="1" t="n">
        <v>44859</v>
      </c>
      <c r="C813" s="1" t="n">
        <v>45506</v>
      </c>
      <c r="D813" t="inlineStr">
        <is>
          <t>JÄMTLANDS LÄN</t>
        </is>
      </c>
      <c r="E813" t="inlineStr">
        <is>
          <t>RAGUNDA</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48534-2022</t>
        </is>
      </c>
      <c r="B814" s="1" t="n">
        <v>44859</v>
      </c>
      <c r="C814" s="1" t="n">
        <v>45506</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48938-2022</t>
        </is>
      </c>
      <c r="B815" s="1" t="n">
        <v>44860</v>
      </c>
      <c r="C815" s="1" t="n">
        <v>45506</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49183-2022</t>
        </is>
      </c>
      <c r="B816" s="1" t="n">
        <v>44860</v>
      </c>
      <c r="C816" s="1" t="n">
        <v>45506</v>
      </c>
      <c r="D816" t="inlineStr">
        <is>
          <t>JÄMTLANDS LÄN</t>
        </is>
      </c>
      <c r="E816" t="inlineStr">
        <is>
          <t>RAGUNDA</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49182-2022</t>
        </is>
      </c>
      <c r="B817" s="1" t="n">
        <v>44861</v>
      </c>
      <c r="C817" s="1" t="n">
        <v>45506</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49197-2022</t>
        </is>
      </c>
      <c r="B818" s="1" t="n">
        <v>44860</v>
      </c>
      <c r="C818" s="1" t="n">
        <v>45506</v>
      </c>
      <c r="D818" t="inlineStr">
        <is>
          <t>JÄMTLANDS LÄN</t>
        </is>
      </c>
      <c r="E818" t="inlineStr">
        <is>
          <t>RAGUNDA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49531-2022</t>
        </is>
      </c>
      <c r="B819" s="1" t="n">
        <v>44861</v>
      </c>
      <c r="C819" s="1" t="n">
        <v>45506</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49530-2022</t>
        </is>
      </c>
      <c r="B820" s="1" t="n">
        <v>44861</v>
      </c>
      <c r="C820" s="1" t="n">
        <v>45506</v>
      </c>
      <c r="D820" t="inlineStr">
        <is>
          <t>JÄMTLANDS LÄN</t>
        </is>
      </c>
      <c r="E820" t="inlineStr">
        <is>
          <t>RAGUNDA</t>
        </is>
      </c>
      <c r="F820" t="inlineStr">
        <is>
          <t>SCA</t>
        </is>
      </c>
      <c r="G820" t="n">
        <v>13.4</v>
      </c>
      <c r="H820" t="n">
        <v>0</v>
      </c>
      <c r="I820" t="n">
        <v>0</v>
      </c>
      <c r="J820" t="n">
        <v>0</v>
      </c>
      <c r="K820" t="n">
        <v>0</v>
      </c>
      <c r="L820" t="n">
        <v>0</v>
      </c>
      <c r="M820" t="n">
        <v>0</v>
      </c>
      <c r="N820" t="n">
        <v>0</v>
      </c>
      <c r="O820" t="n">
        <v>0</v>
      </c>
      <c r="P820" t="n">
        <v>0</v>
      </c>
      <c r="Q820" t="n">
        <v>0</v>
      </c>
      <c r="R820" s="2" t="inlineStr"/>
    </row>
    <row r="821" ht="15" customHeight="1">
      <c r="A821" t="inlineStr">
        <is>
          <t>A 49544-2022</t>
        </is>
      </c>
      <c r="B821" s="1" t="n">
        <v>44862</v>
      </c>
      <c r="C821" s="1" t="n">
        <v>45506</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49543-2022</t>
        </is>
      </c>
      <c r="B822" s="1" t="n">
        <v>44862</v>
      </c>
      <c r="C822" s="1" t="n">
        <v>45506</v>
      </c>
      <c r="D822" t="inlineStr">
        <is>
          <t>JÄMTLANDS LÄN</t>
        </is>
      </c>
      <c r="E822" t="inlineStr">
        <is>
          <t>RAGUNDA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49844-2022</t>
        </is>
      </c>
      <c r="B823" s="1" t="n">
        <v>44863</v>
      </c>
      <c r="C823" s="1" t="n">
        <v>45506</v>
      </c>
      <c r="D823" t="inlineStr">
        <is>
          <t>JÄMTLANDS LÄN</t>
        </is>
      </c>
      <c r="E823" t="inlineStr">
        <is>
          <t>RAGUNDA</t>
        </is>
      </c>
      <c r="G823" t="n">
        <v>3.9</v>
      </c>
      <c r="H823" t="n">
        <v>0</v>
      </c>
      <c r="I823" t="n">
        <v>0</v>
      </c>
      <c r="J823" t="n">
        <v>0</v>
      </c>
      <c r="K823" t="n">
        <v>0</v>
      </c>
      <c r="L823" t="n">
        <v>0</v>
      </c>
      <c r="M823" t="n">
        <v>0</v>
      </c>
      <c r="N823" t="n">
        <v>0</v>
      </c>
      <c r="O823" t="n">
        <v>0</v>
      </c>
      <c r="P823" t="n">
        <v>0</v>
      </c>
      <c r="Q823" t="n">
        <v>0</v>
      </c>
      <c r="R823" s="2" t="inlineStr"/>
    </row>
    <row r="824" ht="15" customHeight="1">
      <c r="A824" t="inlineStr">
        <is>
          <t>A 49904-2022</t>
        </is>
      </c>
      <c r="B824" s="1" t="n">
        <v>44864</v>
      </c>
      <c r="C824" s="1" t="n">
        <v>45506</v>
      </c>
      <c r="D824" t="inlineStr">
        <is>
          <t>JÄMTLANDS LÄN</t>
        </is>
      </c>
      <c r="E824" t="inlineStr">
        <is>
          <t>RAGUNDA</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50089-2022</t>
        </is>
      </c>
      <c r="B825" s="1" t="n">
        <v>44865</v>
      </c>
      <c r="C825" s="1" t="n">
        <v>45506</v>
      </c>
      <c r="D825" t="inlineStr">
        <is>
          <t>JÄMTLANDS LÄN</t>
        </is>
      </c>
      <c r="E825" t="inlineStr">
        <is>
          <t>RAGUNDA</t>
        </is>
      </c>
      <c r="G825" t="n">
        <v>5.7</v>
      </c>
      <c r="H825" t="n">
        <v>0</v>
      </c>
      <c r="I825" t="n">
        <v>0</v>
      </c>
      <c r="J825" t="n">
        <v>0</v>
      </c>
      <c r="K825" t="n">
        <v>0</v>
      </c>
      <c r="L825" t="n">
        <v>0</v>
      </c>
      <c r="M825" t="n">
        <v>0</v>
      </c>
      <c r="N825" t="n">
        <v>0</v>
      </c>
      <c r="O825" t="n">
        <v>0</v>
      </c>
      <c r="P825" t="n">
        <v>0</v>
      </c>
      <c r="Q825" t="n">
        <v>0</v>
      </c>
      <c r="R825" s="2" t="inlineStr"/>
    </row>
    <row r="826" ht="15" customHeight="1">
      <c r="A826" t="inlineStr">
        <is>
          <t>A 50087-2022</t>
        </is>
      </c>
      <c r="B826" s="1" t="n">
        <v>44865</v>
      </c>
      <c r="C826" s="1" t="n">
        <v>45506</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50649-2022</t>
        </is>
      </c>
      <c r="B827" s="1" t="n">
        <v>44866</v>
      </c>
      <c r="C827" s="1" t="n">
        <v>45506</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50682-2022</t>
        </is>
      </c>
      <c r="B828" s="1" t="n">
        <v>44866</v>
      </c>
      <c r="C828" s="1" t="n">
        <v>45506</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51012-2022</t>
        </is>
      </c>
      <c r="B829" s="1" t="n">
        <v>44867</v>
      </c>
      <c r="C829" s="1" t="n">
        <v>45506</v>
      </c>
      <c r="D829" t="inlineStr">
        <is>
          <t>JÄMTLANDS LÄN</t>
        </is>
      </c>
      <c r="E829" t="inlineStr">
        <is>
          <t>RAGUNDA</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51540-2022</t>
        </is>
      </c>
      <c r="B830" s="1" t="n">
        <v>44869</v>
      </c>
      <c r="C830" s="1" t="n">
        <v>45506</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51538-2022</t>
        </is>
      </c>
      <c r="B831" s="1" t="n">
        <v>44869</v>
      </c>
      <c r="C831" s="1" t="n">
        <v>45506</v>
      </c>
      <c r="D831" t="inlineStr">
        <is>
          <t>JÄMTLANDS LÄN</t>
        </is>
      </c>
      <c r="E831" t="inlineStr">
        <is>
          <t>RAGUNDA</t>
        </is>
      </c>
      <c r="G831" t="n">
        <v>6.8</v>
      </c>
      <c r="H831" t="n">
        <v>0</v>
      </c>
      <c r="I831" t="n">
        <v>0</v>
      </c>
      <c r="J831" t="n">
        <v>0</v>
      </c>
      <c r="K831" t="n">
        <v>0</v>
      </c>
      <c r="L831" t="n">
        <v>0</v>
      </c>
      <c r="M831" t="n">
        <v>0</v>
      </c>
      <c r="N831" t="n">
        <v>0</v>
      </c>
      <c r="O831" t="n">
        <v>0</v>
      </c>
      <c r="P831" t="n">
        <v>0</v>
      </c>
      <c r="Q831" t="n">
        <v>0</v>
      </c>
      <c r="R831" s="2" t="inlineStr"/>
    </row>
    <row r="832" ht="15" customHeight="1">
      <c r="A832" t="inlineStr">
        <is>
          <t>A 51537-2022</t>
        </is>
      </c>
      <c r="B832" s="1" t="n">
        <v>44869</v>
      </c>
      <c r="C832" s="1" t="n">
        <v>45506</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52697-2022</t>
        </is>
      </c>
      <c r="B833" s="1" t="n">
        <v>44874</v>
      </c>
      <c r="C833" s="1" t="n">
        <v>45506</v>
      </c>
      <c r="D833" t="inlineStr">
        <is>
          <t>JÄMTLANDS LÄN</t>
        </is>
      </c>
      <c r="E833" t="inlineStr">
        <is>
          <t>RAGUNDA</t>
        </is>
      </c>
      <c r="G833" t="n">
        <v>3.9</v>
      </c>
      <c r="H833" t="n">
        <v>0</v>
      </c>
      <c r="I833" t="n">
        <v>0</v>
      </c>
      <c r="J833" t="n">
        <v>0</v>
      </c>
      <c r="K833" t="n">
        <v>0</v>
      </c>
      <c r="L833" t="n">
        <v>0</v>
      </c>
      <c r="M833" t="n">
        <v>0</v>
      </c>
      <c r="N833" t="n">
        <v>0</v>
      </c>
      <c r="O833" t="n">
        <v>0</v>
      </c>
      <c r="P833" t="n">
        <v>0</v>
      </c>
      <c r="Q833" t="n">
        <v>0</v>
      </c>
      <c r="R833" s="2" t="inlineStr"/>
    </row>
    <row r="834" ht="15" customHeight="1">
      <c r="A834" t="inlineStr">
        <is>
          <t>A 52720-2022</t>
        </is>
      </c>
      <c r="B834" s="1" t="n">
        <v>44874</v>
      </c>
      <c r="C834" s="1" t="n">
        <v>45506</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53287-2022</t>
        </is>
      </c>
      <c r="B835" s="1" t="n">
        <v>44876</v>
      </c>
      <c r="C835" s="1" t="n">
        <v>45506</v>
      </c>
      <c r="D835" t="inlineStr">
        <is>
          <t>JÄMTLANDS LÄN</t>
        </is>
      </c>
      <c r="E835" t="inlineStr">
        <is>
          <t>RAGUNDA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53288-2022</t>
        </is>
      </c>
      <c r="B836" s="1" t="n">
        <v>44876</v>
      </c>
      <c r="C836" s="1" t="n">
        <v>45506</v>
      </c>
      <c r="D836" t="inlineStr">
        <is>
          <t>JÄMTLANDS LÄN</t>
        </is>
      </c>
      <c r="E836" t="inlineStr">
        <is>
          <t>RAGUNDA</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53676-2022</t>
        </is>
      </c>
      <c r="B837" s="1" t="n">
        <v>44879</v>
      </c>
      <c r="C837" s="1" t="n">
        <v>45506</v>
      </c>
      <c r="D837" t="inlineStr">
        <is>
          <t>JÄMTLANDS LÄN</t>
        </is>
      </c>
      <c r="E837" t="inlineStr">
        <is>
          <t>RAGUNDA</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53678-2022</t>
        </is>
      </c>
      <c r="B838" s="1" t="n">
        <v>44879</v>
      </c>
      <c r="C838" s="1" t="n">
        <v>45506</v>
      </c>
      <c r="D838" t="inlineStr">
        <is>
          <t>JÄMTLANDS LÄN</t>
        </is>
      </c>
      <c r="E838" t="inlineStr">
        <is>
          <t>RAGUNDA</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53677-2022</t>
        </is>
      </c>
      <c r="B839" s="1" t="n">
        <v>44879</v>
      </c>
      <c r="C839" s="1" t="n">
        <v>45506</v>
      </c>
      <c r="D839" t="inlineStr">
        <is>
          <t>JÄMTLANDS LÄN</t>
        </is>
      </c>
      <c r="E839" t="inlineStr">
        <is>
          <t>RAGUNDA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53674-2022</t>
        </is>
      </c>
      <c r="B840" s="1" t="n">
        <v>44879</v>
      </c>
      <c r="C840" s="1" t="n">
        <v>45506</v>
      </c>
      <c r="D840" t="inlineStr">
        <is>
          <t>JÄMTLANDS LÄN</t>
        </is>
      </c>
      <c r="E840" t="inlineStr">
        <is>
          <t>RAGUNDA</t>
        </is>
      </c>
      <c r="F840" t="inlineStr">
        <is>
          <t>Sveaskog</t>
        </is>
      </c>
      <c r="G840" t="n">
        <v>4.2</v>
      </c>
      <c r="H840" t="n">
        <v>0</v>
      </c>
      <c r="I840" t="n">
        <v>0</v>
      </c>
      <c r="J840" t="n">
        <v>0</v>
      </c>
      <c r="K840" t="n">
        <v>0</v>
      </c>
      <c r="L840" t="n">
        <v>0</v>
      </c>
      <c r="M840" t="n">
        <v>0</v>
      </c>
      <c r="N840" t="n">
        <v>0</v>
      </c>
      <c r="O840" t="n">
        <v>0</v>
      </c>
      <c r="P840" t="n">
        <v>0</v>
      </c>
      <c r="Q840" t="n">
        <v>0</v>
      </c>
      <c r="R840" s="2" t="inlineStr"/>
    </row>
    <row r="841" ht="15" customHeight="1">
      <c r="A841" t="inlineStr">
        <is>
          <t>A 53935-2022</t>
        </is>
      </c>
      <c r="B841" s="1" t="n">
        <v>44880</v>
      </c>
      <c r="C841" s="1" t="n">
        <v>45506</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53954-2022</t>
        </is>
      </c>
      <c r="B842" s="1" t="n">
        <v>44880</v>
      </c>
      <c r="C842" s="1" t="n">
        <v>45506</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53951-2022</t>
        </is>
      </c>
      <c r="B843" s="1" t="n">
        <v>44880</v>
      </c>
      <c r="C843" s="1" t="n">
        <v>45506</v>
      </c>
      <c r="D843" t="inlineStr">
        <is>
          <t>JÄMTLANDS LÄN</t>
        </is>
      </c>
      <c r="E843" t="inlineStr">
        <is>
          <t>RAGUNDA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53952-2022</t>
        </is>
      </c>
      <c r="B844" s="1" t="n">
        <v>44880</v>
      </c>
      <c r="C844" s="1" t="n">
        <v>45506</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53958-2022</t>
        </is>
      </c>
      <c r="B845" s="1" t="n">
        <v>44880</v>
      </c>
      <c r="C845" s="1" t="n">
        <v>45506</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53937-2022</t>
        </is>
      </c>
      <c r="B846" s="1" t="n">
        <v>44880</v>
      </c>
      <c r="C846" s="1" t="n">
        <v>45506</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53955-2022</t>
        </is>
      </c>
      <c r="B847" s="1" t="n">
        <v>44880</v>
      </c>
      <c r="C847" s="1" t="n">
        <v>45506</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54244-2022</t>
        </is>
      </c>
      <c r="B848" s="1" t="n">
        <v>44881</v>
      </c>
      <c r="C848" s="1" t="n">
        <v>45506</v>
      </c>
      <c r="D848" t="inlineStr">
        <is>
          <t>JÄMTLANDS LÄN</t>
        </is>
      </c>
      <c r="E848" t="inlineStr">
        <is>
          <t>RAGUNDA</t>
        </is>
      </c>
      <c r="G848" t="n">
        <v>2.8</v>
      </c>
      <c r="H848" t="n">
        <v>0</v>
      </c>
      <c r="I848" t="n">
        <v>0</v>
      </c>
      <c r="J848" t="n">
        <v>0</v>
      </c>
      <c r="K848" t="n">
        <v>0</v>
      </c>
      <c r="L848" t="n">
        <v>0</v>
      </c>
      <c r="M848" t="n">
        <v>0</v>
      </c>
      <c r="N848" t="n">
        <v>0</v>
      </c>
      <c r="O848" t="n">
        <v>0</v>
      </c>
      <c r="P848" t="n">
        <v>0</v>
      </c>
      <c r="Q848" t="n">
        <v>0</v>
      </c>
      <c r="R848" s="2" t="inlineStr"/>
    </row>
    <row r="849" ht="15" customHeight="1">
      <c r="A849" t="inlineStr">
        <is>
          <t>A 54570-2022</t>
        </is>
      </c>
      <c r="B849" s="1" t="n">
        <v>44882</v>
      </c>
      <c r="C849" s="1" t="n">
        <v>45506</v>
      </c>
      <c r="D849" t="inlineStr">
        <is>
          <t>JÄMTLANDS LÄN</t>
        </is>
      </c>
      <c r="E849" t="inlineStr">
        <is>
          <t>RAGUNDA</t>
        </is>
      </c>
      <c r="G849" t="n">
        <v>2.3</v>
      </c>
      <c r="H849" t="n">
        <v>0</v>
      </c>
      <c r="I849" t="n">
        <v>0</v>
      </c>
      <c r="J849" t="n">
        <v>0</v>
      </c>
      <c r="K849" t="n">
        <v>0</v>
      </c>
      <c r="L849" t="n">
        <v>0</v>
      </c>
      <c r="M849" t="n">
        <v>0</v>
      </c>
      <c r="N849" t="n">
        <v>0</v>
      </c>
      <c r="O849" t="n">
        <v>0</v>
      </c>
      <c r="P849" t="n">
        <v>0</v>
      </c>
      <c r="Q849" t="n">
        <v>0</v>
      </c>
      <c r="R849" s="2" t="inlineStr"/>
    </row>
    <row r="850" ht="15" customHeight="1">
      <c r="A850" t="inlineStr">
        <is>
          <t>A 54572-2022</t>
        </is>
      </c>
      <c r="B850" s="1" t="n">
        <v>44882</v>
      </c>
      <c r="C850" s="1" t="n">
        <v>45506</v>
      </c>
      <c r="D850" t="inlineStr">
        <is>
          <t>JÄMTLANDS LÄN</t>
        </is>
      </c>
      <c r="E850" t="inlineStr">
        <is>
          <t>RAGUNDA</t>
        </is>
      </c>
      <c r="G850" t="n">
        <v>10.1</v>
      </c>
      <c r="H850" t="n">
        <v>0</v>
      </c>
      <c r="I850" t="n">
        <v>0</v>
      </c>
      <c r="J850" t="n">
        <v>0</v>
      </c>
      <c r="K850" t="n">
        <v>0</v>
      </c>
      <c r="L850" t="n">
        <v>0</v>
      </c>
      <c r="M850" t="n">
        <v>0</v>
      </c>
      <c r="N850" t="n">
        <v>0</v>
      </c>
      <c r="O850" t="n">
        <v>0</v>
      </c>
      <c r="P850" t="n">
        <v>0</v>
      </c>
      <c r="Q850" t="n">
        <v>0</v>
      </c>
      <c r="R850" s="2" t="inlineStr"/>
    </row>
    <row r="851" ht="15" customHeight="1">
      <c r="A851" t="inlineStr">
        <is>
          <t>A 54836-2022</t>
        </is>
      </c>
      <c r="B851" s="1" t="n">
        <v>44883</v>
      </c>
      <c r="C851" s="1" t="n">
        <v>45506</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54835-2022</t>
        </is>
      </c>
      <c r="B852" s="1" t="n">
        <v>44883</v>
      </c>
      <c r="C852" s="1" t="n">
        <v>45506</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54830-2022</t>
        </is>
      </c>
      <c r="B853" s="1" t="n">
        <v>44883</v>
      </c>
      <c r="C853" s="1" t="n">
        <v>45506</v>
      </c>
      <c r="D853" t="inlineStr">
        <is>
          <t>JÄMTLANDS LÄN</t>
        </is>
      </c>
      <c r="E853" t="inlineStr">
        <is>
          <t>RAGUNDA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54837-2022</t>
        </is>
      </c>
      <c r="B854" s="1" t="n">
        <v>44883</v>
      </c>
      <c r="C854" s="1" t="n">
        <v>45506</v>
      </c>
      <c r="D854" t="inlineStr">
        <is>
          <t>JÄMTLANDS LÄN</t>
        </is>
      </c>
      <c r="E854" t="inlineStr">
        <is>
          <t>RAGUNDA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54827-2022</t>
        </is>
      </c>
      <c r="B855" s="1" t="n">
        <v>44883</v>
      </c>
      <c r="C855" s="1" t="n">
        <v>45506</v>
      </c>
      <c r="D855" t="inlineStr">
        <is>
          <t>JÄMTLANDS LÄN</t>
        </is>
      </c>
      <c r="E855" t="inlineStr">
        <is>
          <t>RAGUNDA</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55214-2022</t>
        </is>
      </c>
      <c r="B856" s="1" t="n">
        <v>44886</v>
      </c>
      <c r="C856" s="1" t="n">
        <v>45506</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55904-2022</t>
        </is>
      </c>
      <c r="B857" s="1" t="n">
        <v>44888</v>
      </c>
      <c r="C857" s="1" t="n">
        <v>45506</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56191-2022</t>
        </is>
      </c>
      <c r="B858" s="1" t="n">
        <v>44889</v>
      </c>
      <c r="C858" s="1" t="n">
        <v>45506</v>
      </c>
      <c r="D858" t="inlineStr">
        <is>
          <t>JÄMTLANDS LÄN</t>
        </is>
      </c>
      <c r="E858" t="inlineStr">
        <is>
          <t>RAGUNDA</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56186-2022</t>
        </is>
      </c>
      <c r="B859" s="1" t="n">
        <v>44889</v>
      </c>
      <c r="C859" s="1" t="n">
        <v>45506</v>
      </c>
      <c r="D859" t="inlineStr">
        <is>
          <t>JÄMTLANDS LÄN</t>
        </is>
      </c>
      <c r="E859" t="inlineStr">
        <is>
          <t>RAGUNDA</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56192-2022</t>
        </is>
      </c>
      <c r="B860" s="1" t="n">
        <v>44889</v>
      </c>
      <c r="C860" s="1" t="n">
        <v>45506</v>
      </c>
      <c r="D860" t="inlineStr">
        <is>
          <t>JÄMTLANDS LÄN</t>
        </is>
      </c>
      <c r="E860" t="inlineStr">
        <is>
          <t>RAGUNDA</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56193-2022</t>
        </is>
      </c>
      <c r="B861" s="1" t="n">
        <v>44889</v>
      </c>
      <c r="C861" s="1" t="n">
        <v>45506</v>
      </c>
      <c r="D861" t="inlineStr">
        <is>
          <t>JÄMTLANDS LÄN</t>
        </is>
      </c>
      <c r="E861" t="inlineStr">
        <is>
          <t>RAGUNDA</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57237-2022</t>
        </is>
      </c>
      <c r="B862" s="1" t="n">
        <v>44889</v>
      </c>
      <c r="C862" s="1" t="n">
        <v>45506</v>
      </c>
      <c r="D862" t="inlineStr">
        <is>
          <t>JÄMTLANDS LÄN</t>
        </is>
      </c>
      <c r="E862" t="inlineStr">
        <is>
          <t>RAGUNDA</t>
        </is>
      </c>
      <c r="G862" t="n">
        <v>2.2</v>
      </c>
      <c r="H862" t="n">
        <v>0</v>
      </c>
      <c r="I862" t="n">
        <v>0</v>
      </c>
      <c r="J862" t="n">
        <v>0</v>
      </c>
      <c r="K862" t="n">
        <v>0</v>
      </c>
      <c r="L862" t="n">
        <v>0</v>
      </c>
      <c r="M862" t="n">
        <v>0</v>
      </c>
      <c r="N862" t="n">
        <v>0</v>
      </c>
      <c r="O862" t="n">
        <v>0</v>
      </c>
      <c r="P862" t="n">
        <v>0</v>
      </c>
      <c r="Q862" t="n">
        <v>0</v>
      </c>
      <c r="R862" s="2" t="inlineStr"/>
    </row>
    <row r="863" ht="15" customHeight="1">
      <c r="A863" t="inlineStr">
        <is>
          <t>A 56630-2022</t>
        </is>
      </c>
      <c r="B863" s="1" t="n">
        <v>44893</v>
      </c>
      <c r="C863" s="1" t="n">
        <v>45506</v>
      </c>
      <c r="D863" t="inlineStr">
        <is>
          <t>JÄMTLANDS LÄN</t>
        </is>
      </c>
      <c r="E863" t="inlineStr">
        <is>
          <t>RAGUNDA</t>
        </is>
      </c>
      <c r="G863" t="n">
        <v>1.9</v>
      </c>
      <c r="H863" t="n">
        <v>0</v>
      </c>
      <c r="I863" t="n">
        <v>0</v>
      </c>
      <c r="J863" t="n">
        <v>0</v>
      </c>
      <c r="K863" t="n">
        <v>0</v>
      </c>
      <c r="L863" t="n">
        <v>0</v>
      </c>
      <c r="M863" t="n">
        <v>0</v>
      </c>
      <c r="N863" t="n">
        <v>0</v>
      </c>
      <c r="O863" t="n">
        <v>0</v>
      </c>
      <c r="P863" t="n">
        <v>0</v>
      </c>
      <c r="Q863" t="n">
        <v>0</v>
      </c>
      <c r="R863" s="2" t="inlineStr"/>
    </row>
    <row r="864" ht="15" customHeight="1">
      <c r="A864" t="inlineStr">
        <is>
          <t>A 56984-2022</t>
        </is>
      </c>
      <c r="B864" s="1" t="n">
        <v>44894</v>
      </c>
      <c r="C864" s="1" t="n">
        <v>45506</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58537-2022</t>
        </is>
      </c>
      <c r="B865" s="1" t="n">
        <v>44894</v>
      </c>
      <c r="C865" s="1" t="n">
        <v>45506</v>
      </c>
      <c r="D865" t="inlineStr">
        <is>
          <t>JÄMTLANDS LÄN</t>
        </is>
      </c>
      <c r="E865" t="inlineStr">
        <is>
          <t>RAGUNDA</t>
        </is>
      </c>
      <c r="G865" t="n">
        <v>1.2</v>
      </c>
      <c r="H865" t="n">
        <v>0</v>
      </c>
      <c r="I865" t="n">
        <v>0</v>
      </c>
      <c r="J865" t="n">
        <v>0</v>
      </c>
      <c r="K865" t="n">
        <v>0</v>
      </c>
      <c r="L865" t="n">
        <v>0</v>
      </c>
      <c r="M865" t="n">
        <v>0</v>
      </c>
      <c r="N865" t="n">
        <v>0</v>
      </c>
      <c r="O865" t="n">
        <v>0</v>
      </c>
      <c r="P865" t="n">
        <v>0</v>
      </c>
      <c r="Q865" t="n">
        <v>0</v>
      </c>
      <c r="R865" s="2" t="inlineStr"/>
    </row>
    <row r="866" ht="15" customHeight="1">
      <c r="A866" t="inlineStr">
        <is>
          <t>A 57298-2022</t>
        </is>
      </c>
      <c r="B866" s="1" t="n">
        <v>44895</v>
      </c>
      <c r="C866" s="1" t="n">
        <v>45506</v>
      </c>
      <c r="D866" t="inlineStr">
        <is>
          <t>JÄMTLANDS LÄN</t>
        </is>
      </c>
      <c r="E866" t="inlineStr">
        <is>
          <t>RAGUNDA</t>
        </is>
      </c>
      <c r="F866" t="inlineStr">
        <is>
          <t>SCA</t>
        </is>
      </c>
      <c r="G866" t="n">
        <v>27.4</v>
      </c>
      <c r="H866" t="n">
        <v>0</v>
      </c>
      <c r="I866" t="n">
        <v>0</v>
      </c>
      <c r="J866" t="n">
        <v>0</v>
      </c>
      <c r="K866" t="n">
        <v>0</v>
      </c>
      <c r="L866" t="n">
        <v>0</v>
      </c>
      <c r="M866" t="n">
        <v>0</v>
      </c>
      <c r="N866" t="n">
        <v>0</v>
      </c>
      <c r="O866" t="n">
        <v>0</v>
      </c>
      <c r="P866" t="n">
        <v>0</v>
      </c>
      <c r="Q866" t="n">
        <v>0</v>
      </c>
      <c r="R866" s="2" t="inlineStr"/>
    </row>
    <row r="867" ht="15" customHeight="1">
      <c r="A867" t="inlineStr">
        <is>
          <t>A 59242-2022</t>
        </is>
      </c>
      <c r="B867" s="1" t="n">
        <v>44896</v>
      </c>
      <c r="C867" s="1" t="n">
        <v>45506</v>
      </c>
      <c r="D867" t="inlineStr">
        <is>
          <t>JÄMTLANDS LÄN</t>
        </is>
      </c>
      <c r="E867" t="inlineStr">
        <is>
          <t>RAGUNDA</t>
        </is>
      </c>
      <c r="G867" t="n">
        <v>4</v>
      </c>
      <c r="H867" t="n">
        <v>0</v>
      </c>
      <c r="I867" t="n">
        <v>0</v>
      </c>
      <c r="J867" t="n">
        <v>0</v>
      </c>
      <c r="K867" t="n">
        <v>0</v>
      </c>
      <c r="L867" t="n">
        <v>0</v>
      </c>
      <c r="M867" t="n">
        <v>0</v>
      </c>
      <c r="N867" t="n">
        <v>0</v>
      </c>
      <c r="O867" t="n">
        <v>0</v>
      </c>
      <c r="P867" t="n">
        <v>0</v>
      </c>
      <c r="Q867" t="n">
        <v>0</v>
      </c>
      <c r="R867" s="2" t="inlineStr"/>
    </row>
    <row r="868" ht="15" customHeight="1">
      <c r="A868" t="inlineStr">
        <is>
          <t>A 57599-2022</t>
        </is>
      </c>
      <c r="B868" s="1" t="n">
        <v>44897</v>
      </c>
      <c r="C868" s="1" t="n">
        <v>45506</v>
      </c>
      <c r="D868" t="inlineStr">
        <is>
          <t>JÄMTLANDS LÄN</t>
        </is>
      </c>
      <c r="E868" t="inlineStr">
        <is>
          <t>RAGUNDA</t>
        </is>
      </c>
      <c r="F868" t="inlineStr">
        <is>
          <t>SCA</t>
        </is>
      </c>
      <c r="G868" t="n">
        <v>16.8</v>
      </c>
      <c r="H868" t="n">
        <v>0</v>
      </c>
      <c r="I868" t="n">
        <v>0</v>
      </c>
      <c r="J868" t="n">
        <v>0</v>
      </c>
      <c r="K868" t="n">
        <v>0</v>
      </c>
      <c r="L868" t="n">
        <v>0</v>
      </c>
      <c r="M868" t="n">
        <v>0</v>
      </c>
      <c r="N868" t="n">
        <v>0</v>
      </c>
      <c r="O868" t="n">
        <v>0</v>
      </c>
      <c r="P868" t="n">
        <v>0</v>
      </c>
      <c r="Q868" t="n">
        <v>0</v>
      </c>
      <c r="R868" s="2" t="inlineStr"/>
    </row>
    <row r="869" ht="15" customHeight="1">
      <c r="A869" t="inlineStr">
        <is>
          <t>A 57839-2022</t>
        </is>
      </c>
      <c r="B869" s="1" t="n">
        <v>44897</v>
      </c>
      <c r="C869" s="1" t="n">
        <v>45506</v>
      </c>
      <c r="D869" t="inlineStr">
        <is>
          <t>JÄMTLANDS LÄN</t>
        </is>
      </c>
      <c r="E869" t="inlineStr">
        <is>
          <t>RAGUNDA</t>
        </is>
      </c>
      <c r="F869" t="inlineStr">
        <is>
          <t>SCA</t>
        </is>
      </c>
      <c r="G869" t="n">
        <v>8.5</v>
      </c>
      <c r="H869" t="n">
        <v>0</v>
      </c>
      <c r="I869" t="n">
        <v>0</v>
      </c>
      <c r="J869" t="n">
        <v>0</v>
      </c>
      <c r="K869" t="n">
        <v>0</v>
      </c>
      <c r="L869" t="n">
        <v>0</v>
      </c>
      <c r="M869" t="n">
        <v>0</v>
      </c>
      <c r="N869" t="n">
        <v>0</v>
      </c>
      <c r="O869" t="n">
        <v>0</v>
      </c>
      <c r="P869" t="n">
        <v>0</v>
      </c>
      <c r="Q869" t="n">
        <v>0</v>
      </c>
      <c r="R869" s="2" t="inlineStr"/>
    </row>
    <row r="870" ht="15" customHeight="1">
      <c r="A870" t="inlineStr">
        <is>
          <t>A 58194-2022</t>
        </is>
      </c>
      <c r="B870" s="1" t="n">
        <v>44900</v>
      </c>
      <c r="C870" s="1" t="n">
        <v>45506</v>
      </c>
      <c r="D870" t="inlineStr">
        <is>
          <t>JÄMTLANDS LÄN</t>
        </is>
      </c>
      <c r="E870" t="inlineStr">
        <is>
          <t>RAGUNDA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58193-2022</t>
        </is>
      </c>
      <c r="B871" s="1" t="n">
        <v>44900</v>
      </c>
      <c r="C871" s="1" t="n">
        <v>45506</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58442-2022</t>
        </is>
      </c>
      <c r="B872" s="1" t="n">
        <v>44901</v>
      </c>
      <c r="C872" s="1" t="n">
        <v>45506</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58438-2022</t>
        </is>
      </c>
      <c r="B873" s="1" t="n">
        <v>44901</v>
      </c>
      <c r="C873" s="1" t="n">
        <v>45506</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58443-2022</t>
        </is>
      </c>
      <c r="B874" s="1" t="n">
        <v>44901</v>
      </c>
      <c r="C874" s="1" t="n">
        <v>45506</v>
      </c>
      <c r="D874" t="inlineStr">
        <is>
          <t>JÄMTLANDS LÄN</t>
        </is>
      </c>
      <c r="E874" t="inlineStr">
        <is>
          <t>RAGUNDA</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60225-2022</t>
        </is>
      </c>
      <c r="B875" s="1" t="n">
        <v>44903</v>
      </c>
      <c r="C875" s="1" t="n">
        <v>45506</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59044-2022</t>
        </is>
      </c>
      <c r="B876" s="1" t="n">
        <v>44903</v>
      </c>
      <c r="C876" s="1" t="n">
        <v>45506</v>
      </c>
      <c r="D876" t="inlineStr">
        <is>
          <t>JÄMTLANDS LÄN</t>
        </is>
      </c>
      <c r="E876" t="inlineStr">
        <is>
          <t>RAGUNDA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59368-2022</t>
        </is>
      </c>
      <c r="B877" s="1" t="n">
        <v>44904</v>
      </c>
      <c r="C877" s="1" t="n">
        <v>45506</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59911-2022</t>
        </is>
      </c>
      <c r="B878" s="1" t="n">
        <v>44909</v>
      </c>
      <c r="C878" s="1" t="n">
        <v>45506</v>
      </c>
      <c r="D878" t="inlineStr">
        <is>
          <t>JÄMTLANDS LÄN</t>
        </is>
      </c>
      <c r="E878" t="inlineStr">
        <is>
          <t>RAGUNDA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60177-2022</t>
        </is>
      </c>
      <c r="B879" s="1" t="n">
        <v>44909</v>
      </c>
      <c r="C879" s="1" t="n">
        <v>45506</v>
      </c>
      <c r="D879" t="inlineStr">
        <is>
          <t>JÄMTLANDS LÄN</t>
        </is>
      </c>
      <c r="E879" t="inlineStr">
        <is>
          <t>RAGUNDA</t>
        </is>
      </c>
      <c r="F879" t="inlineStr">
        <is>
          <t>SCA</t>
        </is>
      </c>
      <c r="G879" t="n">
        <v>17.9</v>
      </c>
      <c r="H879" t="n">
        <v>0</v>
      </c>
      <c r="I879" t="n">
        <v>0</v>
      </c>
      <c r="J879" t="n">
        <v>0</v>
      </c>
      <c r="K879" t="n">
        <v>0</v>
      </c>
      <c r="L879" t="n">
        <v>0</v>
      </c>
      <c r="M879" t="n">
        <v>0</v>
      </c>
      <c r="N879" t="n">
        <v>0</v>
      </c>
      <c r="O879" t="n">
        <v>0</v>
      </c>
      <c r="P879" t="n">
        <v>0</v>
      </c>
      <c r="Q879" t="n">
        <v>0</v>
      </c>
      <c r="R879" s="2" t="inlineStr"/>
    </row>
    <row r="880" ht="15" customHeight="1">
      <c r="A880" t="inlineStr">
        <is>
          <t>A 60660-2022</t>
        </is>
      </c>
      <c r="B880" s="1" t="n">
        <v>44911</v>
      </c>
      <c r="C880" s="1" t="n">
        <v>45506</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60659-2022</t>
        </is>
      </c>
      <c r="B881" s="1" t="n">
        <v>44911</v>
      </c>
      <c r="C881" s="1" t="n">
        <v>45506</v>
      </c>
      <c r="D881" t="inlineStr">
        <is>
          <t>JÄMTLANDS LÄN</t>
        </is>
      </c>
      <c r="E881" t="inlineStr">
        <is>
          <t>RAGUNDA</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60673-2022</t>
        </is>
      </c>
      <c r="B882" s="1" t="n">
        <v>44911</v>
      </c>
      <c r="C882" s="1" t="n">
        <v>45506</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60663-2022</t>
        </is>
      </c>
      <c r="B883" s="1" t="n">
        <v>44911</v>
      </c>
      <c r="C883" s="1" t="n">
        <v>45506</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60699-2022</t>
        </is>
      </c>
      <c r="B884" s="1" t="n">
        <v>44911</v>
      </c>
      <c r="C884" s="1" t="n">
        <v>45506</v>
      </c>
      <c r="D884" t="inlineStr">
        <is>
          <t>JÄMTLANDS LÄN</t>
        </is>
      </c>
      <c r="E884" t="inlineStr">
        <is>
          <t>RAGUNDA</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60739-2022</t>
        </is>
      </c>
      <c r="B885" s="1" t="n">
        <v>44913</v>
      </c>
      <c r="C885" s="1" t="n">
        <v>45506</v>
      </c>
      <c r="D885" t="inlineStr">
        <is>
          <t>JÄMTLANDS LÄN</t>
        </is>
      </c>
      <c r="E885" t="inlineStr">
        <is>
          <t>RAGUNDA</t>
        </is>
      </c>
      <c r="F885" t="inlineStr">
        <is>
          <t>Naturvårdsverket</t>
        </is>
      </c>
      <c r="G885" t="n">
        <v>6.6</v>
      </c>
      <c r="H885" t="n">
        <v>0</v>
      </c>
      <c r="I885" t="n">
        <v>0</v>
      </c>
      <c r="J885" t="n">
        <v>0</v>
      </c>
      <c r="K885" t="n">
        <v>0</v>
      </c>
      <c r="L885" t="n">
        <v>0</v>
      </c>
      <c r="M885" t="n">
        <v>0</v>
      </c>
      <c r="N885" t="n">
        <v>0</v>
      </c>
      <c r="O885" t="n">
        <v>0</v>
      </c>
      <c r="P885" t="n">
        <v>0</v>
      </c>
      <c r="Q885" t="n">
        <v>0</v>
      </c>
      <c r="R885" s="2" t="inlineStr"/>
    </row>
    <row r="886" ht="15" customHeight="1">
      <c r="A886" t="inlineStr">
        <is>
          <t>A 62011-2022</t>
        </is>
      </c>
      <c r="B886" s="1" t="n">
        <v>44914</v>
      </c>
      <c r="C886" s="1" t="n">
        <v>45506</v>
      </c>
      <c r="D886" t="inlineStr">
        <is>
          <t>JÄMTLANDS LÄN</t>
        </is>
      </c>
      <c r="E886" t="inlineStr">
        <is>
          <t>RAGUNDA</t>
        </is>
      </c>
      <c r="G886" t="n">
        <v>0.3</v>
      </c>
      <c r="H886" t="n">
        <v>0</v>
      </c>
      <c r="I886" t="n">
        <v>0</v>
      </c>
      <c r="J886" t="n">
        <v>0</v>
      </c>
      <c r="K886" t="n">
        <v>0</v>
      </c>
      <c r="L886" t="n">
        <v>0</v>
      </c>
      <c r="M886" t="n">
        <v>0</v>
      </c>
      <c r="N886" t="n">
        <v>0</v>
      </c>
      <c r="O886" t="n">
        <v>0</v>
      </c>
      <c r="P886" t="n">
        <v>0</v>
      </c>
      <c r="Q886" t="n">
        <v>0</v>
      </c>
      <c r="R886" s="2" t="inlineStr"/>
    </row>
    <row r="887" ht="15" customHeight="1">
      <c r="A887" t="inlineStr">
        <is>
          <t>A 61045-2022</t>
        </is>
      </c>
      <c r="B887" s="1" t="n">
        <v>44914</v>
      </c>
      <c r="C887" s="1" t="n">
        <v>45506</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61080-2022</t>
        </is>
      </c>
      <c r="B888" s="1" t="n">
        <v>44915</v>
      </c>
      <c r="C888" s="1" t="n">
        <v>45506</v>
      </c>
      <c r="D888" t="inlineStr">
        <is>
          <t>JÄMTLANDS LÄN</t>
        </is>
      </c>
      <c r="E888" t="inlineStr">
        <is>
          <t>RAGUNDA</t>
        </is>
      </c>
      <c r="G888" t="n">
        <v>3.4</v>
      </c>
      <c r="H888" t="n">
        <v>0</v>
      </c>
      <c r="I888" t="n">
        <v>0</v>
      </c>
      <c r="J888" t="n">
        <v>0</v>
      </c>
      <c r="K888" t="n">
        <v>0</v>
      </c>
      <c r="L888" t="n">
        <v>0</v>
      </c>
      <c r="M888" t="n">
        <v>0</v>
      </c>
      <c r="N888" t="n">
        <v>0</v>
      </c>
      <c r="O888" t="n">
        <v>0</v>
      </c>
      <c r="P888" t="n">
        <v>0</v>
      </c>
      <c r="Q888" t="n">
        <v>0</v>
      </c>
      <c r="R888" s="2" t="inlineStr"/>
    </row>
    <row r="889" ht="15" customHeight="1">
      <c r="A889" t="inlineStr">
        <is>
          <t>A 61400-2022</t>
        </is>
      </c>
      <c r="B889" s="1" t="n">
        <v>44915</v>
      </c>
      <c r="C889" s="1" t="n">
        <v>45506</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61401-2022</t>
        </is>
      </c>
      <c r="B890" s="1" t="n">
        <v>44915</v>
      </c>
      <c r="C890" s="1" t="n">
        <v>45506</v>
      </c>
      <c r="D890" t="inlineStr">
        <is>
          <t>JÄMTLANDS LÄN</t>
        </is>
      </c>
      <c r="E890" t="inlineStr">
        <is>
          <t>RAGUNDA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62541-2022</t>
        </is>
      </c>
      <c r="B891" s="1" t="n">
        <v>44917</v>
      </c>
      <c r="C891" s="1" t="n">
        <v>45506</v>
      </c>
      <c r="D891" t="inlineStr">
        <is>
          <t>JÄMTLANDS LÄN</t>
        </is>
      </c>
      <c r="E891" t="inlineStr">
        <is>
          <t>RAGUNDA</t>
        </is>
      </c>
      <c r="G891" t="n">
        <v>2.6</v>
      </c>
      <c r="H891" t="n">
        <v>0</v>
      </c>
      <c r="I891" t="n">
        <v>0</v>
      </c>
      <c r="J891" t="n">
        <v>0</v>
      </c>
      <c r="K891" t="n">
        <v>0</v>
      </c>
      <c r="L891" t="n">
        <v>0</v>
      </c>
      <c r="M891" t="n">
        <v>0</v>
      </c>
      <c r="N891" t="n">
        <v>0</v>
      </c>
      <c r="O891" t="n">
        <v>0</v>
      </c>
      <c r="P891" t="n">
        <v>0</v>
      </c>
      <c r="Q891" t="n">
        <v>0</v>
      </c>
      <c r="R891" s="2" t="inlineStr"/>
    </row>
    <row r="892" ht="15" customHeight="1">
      <c r="A892" t="inlineStr">
        <is>
          <t>A 61934-2022</t>
        </is>
      </c>
      <c r="B892" s="1" t="n">
        <v>44917</v>
      </c>
      <c r="C892" s="1" t="n">
        <v>45506</v>
      </c>
      <c r="D892" t="inlineStr">
        <is>
          <t>JÄMTLANDS LÄN</t>
        </is>
      </c>
      <c r="E892" t="inlineStr">
        <is>
          <t>RAGUNDA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45506</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182-2023</t>
        </is>
      </c>
      <c r="B894" s="1" t="n">
        <v>44922</v>
      </c>
      <c r="C894" s="1" t="n">
        <v>45506</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62407-2022</t>
        </is>
      </c>
      <c r="B895" s="1" t="n">
        <v>44923</v>
      </c>
      <c r="C895" s="1" t="n">
        <v>45506</v>
      </c>
      <c r="D895" t="inlineStr">
        <is>
          <t>JÄMTLANDS LÄN</t>
        </is>
      </c>
      <c r="E895" t="inlineStr">
        <is>
          <t>RAGUNDA</t>
        </is>
      </c>
      <c r="F895" t="inlineStr">
        <is>
          <t>SCA</t>
        </is>
      </c>
      <c r="G895" t="n">
        <v>53.6</v>
      </c>
      <c r="H895" t="n">
        <v>0</v>
      </c>
      <c r="I895" t="n">
        <v>0</v>
      </c>
      <c r="J895" t="n">
        <v>0</v>
      </c>
      <c r="K895" t="n">
        <v>0</v>
      </c>
      <c r="L895" t="n">
        <v>0</v>
      </c>
      <c r="M895" t="n">
        <v>0</v>
      </c>
      <c r="N895" t="n">
        <v>0</v>
      </c>
      <c r="O895" t="n">
        <v>0</v>
      </c>
      <c r="P895" t="n">
        <v>0</v>
      </c>
      <c r="Q895" t="n">
        <v>0</v>
      </c>
      <c r="R895" s="2" t="inlineStr"/>
    </row>
    <row r="896" ht="15" customHeight="1">
      <c r="A896" t="inlineStr">
        <is>
          <t>A 17-2023</t>
        </is>
      </c>
      <c r="B896" s="1" t="n">
        <v>44927</v>
      </c>
      <c r="C896" s="1" t="n">
        <v>45506</v>
      </c>
      <c r="D896" t="inlineStr">
        <is>
          <t>JÄMTLANDS LÄN</t>
        </is>
      </c>
      <c r="E896" t="inlineStr">
        <is>
          <t>RAGUNDA</t>
        </is>
      </c>
      <c r="F896" t="inlineStr">
        <is>
          <t>SCA</t>
        </is>
      </c>
      <c r="G896" t="n">
        <v>49.6</v>
      </c>
      <c r="H896" t="n">
        <v>0</v>
      </c>
      <c r="I896" t="n">
        <v>0</v>
      </c>
      <c r="J896" t="n">
        <v>0</v>
      </c>
      <c r="K896" t="n">
        <v>0</v>
      </c>
      <c r="L896" t="n">
        <v>0</v>
      </c>
      <c r="M896" t="n">
        <v>0</v>
      </c>
      <c r="N896" t="n">
        <v>0</v>
      </c>
      <c r="O896" t="n">
        <v>0</v>
      </c>
      <c r="P896" t="n">
        <v>0</v>
      </c>
      <c r="Q896" t="n">
        <v>0</v>
      </c>
      <c r="R896" s="2" t="inlineStr"/>
    </row>
    <row r="897" ht="15" customHeight="1">
      <c r="A897" t="inlineStr">
        <is>
          <t>A 462-2023</t>
        </is>
      </c>
      <c r="B897" s="1" t="n">
        <v>44929</v>
      </c>
      <c r="C897" s="1" t="n">
        <v>45506</v>
      </c>
      <c r="D897" t="inlineStr">
        <is>
          <t>JÄMTLANDS LÄN</t>
        </is>
      </c>
      <c r="E897" t="inlineStr">
        <is>
          <t>RAGUNDA</t>
        </is>
      </c>
      <c r="G897" t="n">
        <v>4.5</v>
      </c>
      <c r="H897" t="n">
        <v>0</v>
      </c>
      <c r="I897" t="n">
        <v>0</v>
      </c>
      <c r="J897" t="n">
        <v>0</v>
      </c>
      <c r="K897" t="n">
        <v>0</v>
      </c>
      <c r="L897" t="n">
        <v>0</v>
      </c>
      <c r="M897" t="n">
        <v>0</v>
      </c>
      <c r="N897" t="n">
        <v>0</v>
      </c>
      <c r="O897" t="n">
        <v>0</v>
      </c>
      <c r="P897" t="n">
        <v>0</v>
      </c>
      <c r="Q897" t="n">
        <v>0</v>
      </c>
      <c r="R897" s="2" t="inlineStr"/>
    </row>
    <row r="898" ht="15" customHeight="1">
      <c r="A898" t="inlineStr">
        <is>
          <t>A 467-2023</t>
        </is>
      </c>
      <c r="B898" s="1" t="n">
        <v>44929</v>
      </c>
      <c r="C898" s="1" t="n">
        <v>45506</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465-2023</t>
        </is>
      </c>
      <c r="B899" s="1" t="n">
        <v>44929</v>
      </c>
      <c r="C899" s="1" t="n">
        <v>45506</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464-2023</t>
        </is>
      </c>
      <c r="B900" s="1" t="n">
        <v>44929</v>
      </c>
      <c r="C900" s="1" t="n">
        <v>45506</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719-2023</t>
        </is>
      </c>
      <c r="B901" s="1" t="n">
        <v>44930</v>
      </c>
      <c r="C901" s="1" t="n">
        <v>45506</v>
      </c>
      <c r="D901" t="inlineStr">
        <is>
          <t>JÄMTLANDS LÄN</t>
        </is>
      </c>
      <c r="E901" t="inlineStr">
        <is>
          <t>RAGUNDA</t>
        </is>
      </c>
      <c r="F901" t="inlineStr">
        <is>
          <t>SCA</t>
        </is>
      </c>
      <c r="G901" t="n">
        <v>10.7</v>
      </c>
      <c r="H901" t="n">
        <v>0</v>
      </c>
      <c r="I901" t="n">
        <v>0</v>
      </c>
      <c r="J901" t="n">
        <v>0</v>
      </c>
      <c r="K901" t="n">
        <v>0</v>
      </c>
      <c r="L901" t="n">
        <v>0</v>
      </c>
      <c r="M901" t="n">
        <v>0</v>
      </c>
      <c r="N901" t="n">
        <v>0</v>
      </c>
      <c r="O901" t="n">
        <v>0</v>
      </c>
      <c r="P901" t="n">
        <v>0</v>
      </c>
      <c r="Q901" t="n">
        <v>0</v>
      </c>
      <c r="R901" s="2" t="inlineStr"/>
    </row>
    <row r="902" ht="15" customHeight="1">
      <c r="A902" t="inlineStr">
        <is>
          <t>A 718-2023</t>
        </is>
      </c>
      <c r="B902" s="1" t="n">
        <v>44930</v>
      </c>
      <c r="C902" s="1" t="n">
        <v>45506</v>
      </c>
      <c r="D902" t="inlineStr">
        <is>
          <t>JÄMTLANDS LÄN</t>
        </is>
      </c>
      <c r="E902" t="inlineStr">
        <is>
          <t>RAGUNDA</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934-2023</t>
        </is>
      </c>
      <c r="B903" s="1" t="n">
        <v>44932</v>
      </c>
      <c r="C903" s="1" t="n">
        <v>45506</v>
      </c>
      <c r="D903" t="inlineStr">
        <is>
          <t>JÄMTLANDS LÄN</t>
        </is>
      </c>
      <c r="E903" t="inlineStr">
        <is>
          <t>RAGUNDA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1876-2023</t>
        </is>
      </c>
      <c r="B904" s="1" t="n">
        <v>44938</v>
      </c>
      <c r="C904" s="1" t="n">
        <v>45506</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1870-2023</t>
        </is>
      </c>
      <c r="B905" s="1" t="n">
        <v>44938</v>
      </c>
      <c r="C905" s="1" t="n">
        <v>45506</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1871-2023</t>
        </is>
      </c>
      <c r="B906" s="1" t="n">
        <v>44938</v>
      </c>
      <c r="C906" s="1" t="n">
        <v>45506</v>
      </c>
      <c r="D906" t="inlineStr">
        <is>
          <t>JÄMTLANDS LÄN</t>
        </is>
      </c>
      <c r="E906" t="inlineStr">
        <is>
          <t>RAGUNDA</t>
        </is>
      </c>
      <c r="F906" t="inlineStr">
        <is>
          <t>SCA</t>
        </is>
      </c>
      <c r="G906" t="n">
        <v>6.2</v>
      </c>
      <c r="H906" t="n">
        <v>0</v>
      </c>
      <c r="I906" t="n">
        <v>0</v>
      </c>
      <c r="J906" t="n">
        <v>0</v>
      </c>
      <c r="K906" t="n">
        <v>0</v>
      </c>
      <c r="L906" t="n">
        <v>0</v>
      </c>
      <c r="M906" t="n">
        <v>0</v>
      </c>
      <c r="N906" t="n">
        <v>0</v>
      </c>
      <c r="O906" t="n">
        <v>0</v>
      </c>
      <c r="P906" t="n">
        <v>0</v>
      </c>
      <c r="Q906" t="n">
        <v>0</v>
      </c>
      <c r="R906" s="2" t="inlineStr"/>
    </row>
    <row r="907" ht="15" customHeight="1">
      <c r="A907" t="inlineStr">
        <is>
          <t>A 1875-2023</t>
        </is>
      </c>
      <c r="B907" s="1" t="n">
        <v>44938</v>
      </c>
      <c r="C907" s="1" t="n">
        <v>45506</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2117-2023</t>
        </is>
      </c>
      <c r="B908" s="1" t="n">
        <v>44939</v>
      </c>
      <c r="C908" s="1" t="n">
        <v>45506</v>
      </c>
      <c r="D908" t="inlineStr">
        <is>
          <t>JÄMTLANDS LÄN</t>
        </is>
      </c>
      <c r="E908" t="inlineStr">
        <is>
          <t>RAGUNDA</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2130-2023</t>
        </is>
      </c>
      <c r="B909" s="1" t="n">
        <v>44939</v>
      </c>
      <c r="C909" s="1" t="n">
        <v>45506</v>
      </c>
      <c r="D909" t="inlineStr">
        <is>
          <t>JÄMTLANDS LÄN</t>
        </is>
      </c>
      <c r="E909" t="inlineStr">
        <is>
          <t>RAGUNDA</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2127-2023</t>
        </is>
      </c>
      <c r="B910" s="1" t="n">
        <v>44939</v>
      </c>
      <c r="C910" s="1" t="n">
        <v>45506</v>
      </c>
      <c r="D910" t="inlineStr">
        <is>
          <t>JÄMTLANDS LÄN</t>
        </is>
      </c>
      <c r="E910" t="inlineStr">
        <is>
          <t>RAGUNDA</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2133-2023</t>
        </is>
      </c>
      <c r="B911" s="1" t="n">
        <v>44939</v>
      </c>
      <c r="C911" s="1" t="n">
        <v>45506</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2401-2023</t>
        </is>
      </c>
      <c r="B912" s="1" t="n">
        <v>44942</v>
      </c>
      <c r="C912" s="1" t="n">
        <v>45506</v>
      </c>
      <c r="D912" t="inlineStr">
        <is>
          <t>JÄMTLANDS LÄN</t>
        </is>
      </c>
      <c r="E912" t="inlineStr">
        <is>
          <t>RAGUNDA</t>
        </is>
      </c>
      <c r="G912" t="n">
        <v>6.3</v>
      </c>
      <c r="H912" t="n">
        <v>0</v>
      </c>
      <c r="I912" t="n">
        <v>0</v>
      </c>
      <c r="J912" t="n">
        <v>0</v>
      </c>
      <c r="K912" t="n">
        <v>0</v>
      </c>
      <c r="L912" t="n">
        <v>0</v>
      </c>
      <c r="M912" t="n">
        <v>0</v>
      </c>
      <c r="N912" t="n">
        <v>0</v>
      </c>
      <c r="O912" t="n">
        <v>0</v>
      </c>
      <c r="P912" t="n">
        <v>0</v>
      </c>
      <c r="Q912" t="n">
        <v>0</v>
      </c>
      <c r="R912" s="2" t="inlineStr"/>
    </row>
    <row r="913" ht="15" customHeight="1">
      <c r="A913" t="inlineStr">
        <is>
          <t>A 2411-2023</t>
        </is>
      </c>
      <c r="B913" s="1" t="n">
        <v>44942</v>
      </c>
      <c r="C913" s="1" t="n">
        <v>45506</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2402-2023</t>
        </is>
      </c>
      <c r="B914" s="1" t="n">
        <v>44942</v>
      </c>
      <c r="C914" s="1" t="n">
        <v>45506</v>
      </c>
      <c r="D914" t="inlineStr">
        <is>
          <t>JÄMTLANDS LÄN</t>
        </is>
      </c>
      <c r="E914" t="inlineStr">
        <is>
          <t>RAGUNDA</t>
        </is>
      </c>
      <c r="G914" t="n">
        <v>7.8</v>
      </c>
      <c r="H914" t="n">
        <v>0</v>
      </c>
      <c r="I914" t="n">
        <v>0</v>
      </c>
      <c r="J914" t="n">
        <v>0</v>
      </c>
      <c r="K914" t="n">
        <v>0</v>
      </c>
      <c r="L914" t="n">
        <v>0</v>
      </c>
      <c r="M914" t="n">
        <v>0</v>
      </c>
      <c r="N914" t="n">
        <v>0</v>
      </c>
      <c r="O914" t="n">
        <v>0</v>
      </c>
      <c r="P914" t="n">
        <v>0</v>
      </c>
      <c r="Q914" t="n">
        <v>0</v>
      </c>
      <c r="R914" s="2" t="inlineStr"/>
    </row>
    <row r="915" ht="15" customHeight="1">
      <c r="A915" t="inlineStr">
        <is>
          <t>A 2414-2023</t>
        </is>
      </c>
      <c r="B915" s="1" t="n">
        <v>44942</v>
      </c>
      <c r="C915" s="1" t="n">
        <v>45506</v>
      </c>
      <c r="D915" t="inlineStr">
        <is>
          <t>JÄMTLANDS LÄN</t>
        </is>
      </c>
      <c r="E915" t="inlineStr">
        <is>
          <t>RAGUNDA</t>
        </is>
      </c>
      <c r="F915" t="inlineStr">
        <is>
          <t>SCA</t>
        </is>
      </c>
      <c r="G915" t="n">
        <v>28.4</v>
      </c>
      <c r="H915" t="n">
        <v>0</v>
      </c>
      <c r="I915" t="n">
        <v>0</v>
      </c>
      <c r="J915" t="n">
        <v>0</v>
      </c>
      <c r="K915" t="n">
        <v>0</v>
      </c>
      <c r="L915" t="n">
        <v>0</v>
      </c>
      <c r="M915" t="n">
        <v>0</v>
      </c>
      <c r="N915" t="n">
        <v>0</v>
      </c>
      <c r="O915" t="n">
        <v>0</v>
      </c>
      <c r="P915" t="n">
        <v>0</v>
      </c>
      <c r="Q915" t="n">
        <v>0</v>
      </c>
      <c r="R915" s="2" t="inlineStr"/>
    </row>
    <row r="916" ht="15" customHeight="1">
      <c r="A916" t="inlineStr">
        <is>
          <t>A 2599-2023</t>
        </is>
      </c>
      <c r="B916" s="1" t="n">
        <v>44943</v>
      </c>
      <c r="C916" s="1" t="n">
        <v>45506</v>
      </c>
      <c r="D916" t="inlineStr">
        <is>
          <t>JÄMTLANDS LÄN</t>
        </is>
      </c>
      <c r="E916" t="inlineStr">
        <is>
          <t>RAGUNDA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2600-2023</t>
        </is>
      </c>
      <c r="B917" s="1" t="n">
        <v>44943</v>
      </c>
      <c r="C917" s="1" t="n">
        <v>45506</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2819-2023</t>
        </is>
      </c>
      <c r="B918" s="1" t="n">
        <v>44944</v>
      </c>
      <c r="C918" s="1" t="n">
        <v>45506</v>
      </c>
      <c r="D918" t="inlineStr">
        <is>
          <t>JÄMTLANDS LÄN</t>
        </is>
      </c>
      <c r="E918" t="inlineStr">
        <is>
          <t>RAGUNDA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3034-2023</t>
        </is>
      </c>
      <c r="B919" s="1" t="n">
        <v>44945</v>
      </c>
      <c r="C919" s="1" t="n">
        <v>45506</v>
      </c>
      <c r="D919" t="inlineStr">
        <is>
          <t>JÄMTLANDS LÄN</t>
        </is>
      </c>
      <c r="E919" t="inlineStr">
        <is>
          <t>RAGUNDA</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3242-2023</t>
        </is>
      </c>
      <c r="B920" s="1" t="n">
        <v>44946</v>
      </c>
      <c r="C920" s="1" t="n">
        <v>45506</v>
      </c>
      <c r="D920" t="inlineStr">
        <is>
          <t>JÄMTLANDS LÄN</t>
        </is>
      </c>
      <c r="E920" t="inlineStr">
        <is>
          <t>RAGUNDA</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3243-2023</t>
        </is>
      </c>
      <c r="B921" s="1" t="n">
        <v>44946</v>
      </c>
      <c r="C921" s="1" t="n">
        <v>45506</v>
      </c>
      <c r="D921" t="inlineStr">
        <is>
          <t>JÄMTLANDS LÄN</t>
        </is>
      </c>
      <c r="E921" t="inlineStr">
        <is>
          <t>RAGUNDA</t>
        </is>
      </c>
      <c r="F921" t="inlineStr">
        <is>
          <t>SCA</t>
        </is>
      </c>
      <c r="G921" t="n">
        <v>11.2</v>
      </c>
      <c r="H921" t="n">
        <v>0</v>
      </c>
      <c r="I921" t="n">
        <v>0</v>
      </c>
      <c r="J921" t="n">
        <v>0</v>
      </c>
      <c r="K921" t="n">
        <v>0</v>
      </c>
      <c r="L921" t="n">
        <v>0</v>
      </c>
      <c r="M921" t="n">
        <v>0</v>
      </c>
      <c r="N921" t="n">
        <v>0</v>
      </c>
      <c r="O921" t="n">
        <v>0</v>
      </c>
      <c r="P921" t="n">
        <v>0</v>
      </c>
      <c r="Q921" t="n">
        <v>0</v>
      </c>
      <c r="R921" s="2" t="inlineStr"/>
    </row>
    <row r="922" ht="15" customHeight="1">
      <c r="A922" t="inlineStr">
        <is>
          <t>A 4348-2023</t>
        </is>
      </c>
      <c r="B922" s="1" t="n">
        <v>44953</v>
      </c>
      <c r="C922" s="1" t="n">
        <v>45506</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4346-2023</t>
        </is>
      </c>
      <c r="B923" s="1" t="n">
        <v>44954</v>
      </c>
      <c r="C923" s="1" t="n">
        <v>45506</v>
      </c>
      <c r="D923" t="inlineStr">
        <is>
          <t>JÄMTLANDS LÄN</t>
        </is>
      </c>
      <c r="E923" t="inlineStr">
        <is>
          <t>RAGUNDA</t>
        </is>
      </c>
      <c r="F923" t="inlineStr">
        <is>
          <t>SCA</t>
        </is>
      </c>
      <c r="G923" t="n">
        <v>14.2</v>
      </c>
      <c r="H923" t="n">
        <v>0</v>
      </c>
      <c r="I923" t="n">
        <v>0</v>
      </c>
      <c r="J923" t="n">
        <v>0</v>
      </c>
      <c r="K923" t="n">
        <v>0</v>
      </c>
      <c r="L923" t="n">
        <v>0</v>
      </c>
      <c r="M923" t="n">
        <v>0</v>
      </c>
      <c r="N923" t="n">
        <v>0</v>
      </c>
      <c r="O923" t="n">
        <v>0</v>
      </c>
      <c r="P923" t="n">
        <v>0</v>
      </c>
      <c r="Q923" t="n">
        <v>0</v>
      </c>
      <c r="R923" s="2" t="inlineStr"/>
    </row>
    <row r="924" ht="15" customHeight="1">
      <c r="A924" t="inlineStr">
        <is>
          <t>A 4350-2023</t>
        </is>
      </c>
      <c r="B924" s="1" t="n">
        <v>44953</v>
      </c>
      <c r="C924" s="1" t="n">
        <v>45506</v>
      </c>
      <c r="D924" t="inlineStr">
        <is>
          <t>JÄMTLANDS LÄN</t>
        </is>
      </c>
      <c r="E924" t="inlineStr">
        <is>
          <t>RAGUNDA</t>
        </is>
      </c>
      <c r="F924" t="inlineStr">
        <is>
          <t>Naturvårdsverket</t>
        </is>
      </c>
      <c r="G924" t="n">
        <v>10.4</v>
      </c>
      <c r="H924" t="n">
        <v>0</v>
      </c>
      <c r="I924" t="n">
        <v>0</v>
      </c>
      <c r="J924" t="n">
        <v>0</v>
      </c>
      <c r="K924" t="n">
        <v>0</v>
      </c>
      <c r="L924" t="n">
        <v>0</v>
      </c>
      <c r="M924" t="n">
        <v>0</v>
      </c>
      <c r="N924" t="n">
        <v>0</v>
      </c>
      <c r="O924" t="n">
        <v>0</v>
      </c>
      <c r="P924" t="n">
        <v>0</v>
      </c>
      <c r="Q924" t="n">
        <v>0</v>
      </c>
      <c r="R924" s="2" t="inlineStr"/>
    </row>
    <row r="925" ht="15" customHeight="1">
      <c r="A925" t="inlineStr">
        <is>
          <t>A 4349-2023</t>
        </is>
      </c>
      <c r="B925" s="1" t="n">
        <v>44954</v>
      </c>
      <c r="C925" s="1" t="n">
        <v>45506</v>
      </c>
      <c r="D925" t="inlineStr">
        <is>
          <t>JÄMTLANDS LÄN</t>
        </is>
      </c>
      <c r="E925" t="inlineStr">
        <is>
          <t>RAGUNDA</t>
        </is>
      </c>
      <c r="F925" t="inlineStr">
        <is>
          <t>SCA</t>
        </is>
      </c>
      <c r="G925" t="n">
        <v>7.5</v>
      </c>
      <c r="H925" t="n">
        <v>0</v>
      </c>
      <c r="I925" t="n">
        <v>0</v>
      </c>
      <c r="J925" t="n">
        <v>0</v>
      </c>
      <c r="K925" t="n">
        <v>0</v>
      </c>
      <c r="L925" t="n">
        <v>0</v>
      </c>
      <c r="M925" t="n">
        <v>0</v>
      </c>
      <c r="N925" t="n">
        <v>0</v>
      </c>
      <c r="O925" t="n">
        <v>0</v>
      </c>
      <c r="P925" t="n">
        <v>0</v>
      </c>
      <c r="Q925" t="n">
        <v>0</v>
      </c>
      <c r="R925" s="2" t="inlineStr"/>
    </row>
    <row r="926" ht="15" customHeight="1">
      <c r="A926" t="inlineStr">
        <is>
          <t>A 4622-2023</t>
        </is>
      </c>
      <c r="B926" s="1" t="n">
        <v>44956</v>
      </c>
      <c r="C926" s="1" t="n">
        <v>45506</v>
      </c>
      <c r="D926" t="inlineStr">
        <is>
          <t>JÄMTLANDS LÄN</t>
        </is>
      </c>
      <c r="E926" t="inlineStr">
        <is>
          <t>RAGUNDA</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4620-2023</t>
        </is>
      </c>
      <c r="B927" s="1" t="n">
        <v>44956</v>
      </c>
      <c r="C927" s="1" t="n">
        <v>45506</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4615-2023</t>
        </is>
      </c>
      <c r="B928" s="1" t="n">
        <v>44956</v>
      </c>
      <c r="C928" s="1" t="n">
        <v>45506</v>
      </c>
      <c r="D928" t="inlineStr">
        <is>
          <t>JÄMTLANDS LÄN</t>
        </is>
      </c>
      <c r="E928" t="inlineStr">
        <is>
          <t>RAGUNDA</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4882-2023</t>
        </is>
      </c>
      <c r="B929" s="1" t="n">
        <v>44957</v>
      </c>
      <c r="C929" s="1" t="n">
        <v>45506</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4874-2023</t>
        </is>
      </c>
      <c r="B930" s="1" t="n">
        <v>44957</v>
      </c>
      <c r="C930" s="1" t="n">
        <v>45506</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4879-2023</t>
        </is>
      </c>
      <c r="B931" s="1" t="n">
        <v>44957</v>
      </c>
      <c r="C931" s="1" t="n">
        <v>45506</v>
      </c>
      <c r="D931" t="inlineStr">
        <is>
          <t>JÄMTLANDS LÄN</t>
        </is>
      </c>
      <c r="E931" t="inlineStr">
        <is>
          <t>RAGUNDA</t>
        </is>
      </c>
      <c r="F931" t="inlineStr">
        <is>
          <t>SCA</t>
        </is>
      </c>
      <c r="G931" t="n">
        <v>17.4</v>
      </c>
      <c r="H931" t="n">
        <v>0</v>
      </c>
      <c r="I931" t="n">
        <v>0</v>
      </c>
      <c r="J931" t="n">
        <v>0</v>
      </c>
      <c r="K931" t="n">
        <v>0</v>
      </c>
      <c r="L931" t="n">
        <v>0</v>
      </c>
      <c r="M931" t="n">
        <v>0</v>
      </c>
      <c r="N931" t="n">
        <v>0</v>
      </c>
      <c r="O931" t="n">
        <v>0</v>
      </c>
      <c r="P931" t="n">
        <v>0</v>
      </c>
      <c r="Q931" t="n">
        <v>0</v>
      </c>
      <c r="R931" s="2" t="inlineStr"/>
    </row>
    <row r="932" ht="15" customHeight="1">
      <c r="A932" t="inlineStr">
        <is>
          <t>A 5163-2023</t>
        </is>
      </c>
      <c r="B932" s="1" t="n">
        <v>44958</v>
      </c>
      <c r="C932" s="1" t="n">
        <v>45506</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5815-2023</t>
        </is>
      </c>
      <c r="B933" s="1" t="n">
        <v>44958</v>
      </c>
      <c r="C933" s="1" t="n">
        <v>45506</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5148-2023</t>
        </is>
      </c>
      <c r="B934" s="1" t="n">
        <v>44958</v>
      </c>
      <c r="C934" s="1" t="n">
        <v>45506</v>
      </c>
      <c r="D934" t="inlineStr">
        <is>
          <t>JÄMTLANDS LÄN</t>
        </is>
      </c>
      <c r="E934" t="inlineStr">
        <is>
          <t>RAGUNDA</t>
        </is>
      </c>
      <c r="G934" t="n">
        <v>2.9</v>
      </c>
      <c r="H934" t="n">
        <v>0</v>
      </c>
      <c r="I934" t="n">
        <v>0</v>
      </c>
      <c r="J934" t="n">
        <v>0</v>
      </c>
      <c r="K934" t="n">
        <v>0</v>
      </c>
      <c r="L934" t="n">
        <v>0</v>
      </c>
      <c r="M934" t="n">
        <v>0</v>
      </c>
      <c r="N934" t="n">
        <v>0</v>
      </c>
      <c r="O934" t="n">
        <v>0</v>
      </c>
      <c r="P934" t="n">
        <v>0</v>
      </c>
      <c r="Q934" t="n">
        <v>0</v>
      </c>
      <c r="R934" s="2" t="inlineStr"/>
    </row>
    <row r="935" ht="15" customHeight="1">
      <c r="A935" t="inlineStr">
        <is>
          <t>A 5164-2023</t>
        </is>
      </c>
      <c r="B935" s="1" t="n">
        <v>44958</v>
      </c>
      <c r="C935" s="1" t="n">
        <v>45506</v>
      </c>
      <c r="D935" t="inlineStr">
        <is>
          <t>JÄMTLANDS LÄN</t>
        </is>
      </c>
      <c r="E935" t="inlineStr">
        <is>
          <t>RAGUNDA</t>
        </is>
      </c>
      <c r="F935" t="inlineStr">
        <is>
          <t>SCA</t>
        </is>
      </c>
      <c r="G935" t="n">
        <v>9.5</v>
      </c>
      <c r="H935" t="n">
        <v>0</v>
      </c>
      <c r="I935" t="n">
        <v>0</v>
      </c>
      <c r="J935" t="n">
        <v>0</v>
      </c>
      <c r="K935" t="n">
        <v>0</v>
      </c>
      <c r="L935" t="n">
        <v>0</v>
      </c>
      <c r="M935" t="n">
        <v>0</v>
      </c>
      <c r="N935" t="n">
        <v>0</v>
      </c>
      <c r="O935" t="n">
        <v>0</v>
      </c>
      <c r="P935" t="n">
        <v>0</v>
      </c>
      <c r="Q935" t="n">
        <v>0</v>
      </c>
      <c r="R935" s="2" t="inlineStr"/>
    </row>
    <row r="936" ht="15" customHeight="1">
      <c r="A936" t="inlineStr">
        <is>
          <t>A 5175-2023</t>
        </is>
      </c>
      <c r="B936" s="1" t="n">
        <v>44958</v>
      </c>
      <c r="C936" s="1" t="n">
        <v>45506</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5439-2023</t>
        </is>
      </c>
      <c r="B937" s="1" t="n">
        <v>44959</v>
      </c>
      <c r="C937" s="1" t="n">
        <v>45506</v>
      </c>
      <c r="D937" t="inlineStr">
        <is>
          <t>JÄMTLANDS LÄN</t>
        </is>
      </c>
      <c r="E937" t="inlineStr">
        <is>
          <t>RAGUNDA</t>
        </is>
      </c>
      <c r="G937" t="n">
        <v>4.3</v>
      </c>
      <c r="H937" t="n">
        <v>0</v>
      </c>
      <c r="I937" t="n">
        <v>0</v>
      </c>
      <c r="J937" t="n">
        <v>0</v>
      </c>
      <c r="K937" t="n">
        <v>0</v>
      </c>
      <c r="L937" t="n">
        <v>0</v>
      </c>
      <c r="M937" t="n">
        <v>0</v>
      </c>
      <c r="N937" t="n">
        <v>0</v>
      </c>
      <c r="O937" t="n">
        <v>0</v>
      </c>
      <c r="P937" t="n">
        <v>0</v>
      </c>
      <c r="Q937" t="n">
        <v>0</v>
      </c>
      <c r="R937" s="2" t="inlineStr"/>
    </row>
    <row r="938" ht="15" customHeight="1">
      <c r="A938" t="inlineStr">
        <is>
          <t>A 5711-2023</t>
        </is>
      </c>
      <c r="B938" s="1" t="n">
        <v>44960</v>
      </c>
      <c r="C938" s="1" t="n">
        <v>45506</v>
      </c>
      <c r="D938" t="inlineStr">
        <is>
          <t>JÄMTLANDS LÄN</t>
        </is>
      </c>
      <c r="E938" t="inlineStr">
        <is>
          <t>RAGUNDA</t>
        </is>
      </c>
      <c r="F938" t="inlineStr">
        <is>
          <t>SCA</t>
        </is>
      </c>
      <c r="G938" t="n">
        <v>15.4</v>
      </c>
      <c r="H938" t="n">
        <v>0</v>
      </c>
      <c r="I938" t="n">
        <v>0</v>
      </c>
      <c r="J938" t="n">
        <v>0</v>
      </c>
      <c r="K938" t="n">
        <v>0</v>
      </c>
      <c r="L938" t="n">
        <v>0</v>
      </c>
      <c r="M938" t="n">
        <v>0</v>
      </c>
      <c r="N938" t="n">
        <v>0</v>
      </c>
      <c r="O938" t="n">
        <v>0</v>
      </c>
      <c r="P938" t="n">
        <v>0</v>
      </c>
      <c r="Q938" t="n">
        <v>0</v>
      </c>
      <c r="R938" s="2" t="inlineStr"/>
    </row>
    <row r="939" ht="15" customHeight="1">
      <c r="A939" t="inlineStr">
        <is>
          <t>A 5958-2023</t>
        </is>
      </c>
      <c r="B939" s="1" t="n">
        <v>44963</v>
      </c>
      <c r="C939" s="1" t="n">
        <v>45506</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6586-2023</t>
        </is>
      </c>
      <c r="B940" s="1" t="n">
        <v>44963</v>
      </c>
      <c r="C940" s="1" t="n">
        <v>45506</v>
      </c>
      <c r="D940" t="inlineStr">
        <is>
          <t>JÄMTLANDS LÄN</t>
        </is>
      </c>
      <c r="E940" t="inlineStr">
        <is>
          <t>RAGUNDA</t>
        </is>
      </c>
      <c r="G940" t="n">
        <v>6.9</v>
      </c>
      <c r="H940" t="n">
        <v>0</v>
      </c>
      <c r="I940" t="n">
        <v>0</v>
      </c>
      <c r="J940" t="n">
        <v>0</v>
      </c>
      <c r="K940" t="n">
        <v>0</v>
      </c>
      <c r="L940" t="n">
        <v>0</v>
      </c>
      <c r="M940" t="n">
        <v>0</v>
      </c>
      <c r="N940" t="n">
        <v>0</v>
      </c>
      <c r="O940" t="n">
        <v>0</v>
      </c>
      <c r="P940" t="n">
        <v>0</v>
      </c>
      <c r="Q940" t="n">
        <v>0</v>
      </c>
      <c r="R940" s="2" t="inlineStr"/>
    </row>
    <row r="941" ht="15" customHeight="1">
      <c r="A941" t="inlineStr">
        <is>
          <t>A 6467-2023</t>
        </is>
      </c>
      <c r="B941" s="1" t="n">
        <v>44965</v>
      </c>
      <c r="C941" s="1" t="n">
        <v>45506</v>
      </c>
      <c r="D941" t="inlineStr">
        <is>
          <t>JÄMTLANDS LÄN</t>
        </is>
      </c>
      <c r="E941" t="inlineStr">
        <is>
          <t>RAGUNDA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6470-2023</t>
        </is>
      </c>
      <c r="B942" s="1" t="n">
        <v>44965</v>
      </c>
      <c r="C942" s="1" t="n">
        <v>45506</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6801-2023</t>
        </is>
      </c>
      <c r="B943" s="1" t="n">
        <v>44966</v>
      </c>
      <c r="C943" s="1" t="n">
        <v>45506</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6802-2023</t>
        </is>
      </c>
      <c r="B944" s="1" t="n">
        <v>44966</v>
      </c>
      <c r="C944" s="1" t="n">
        <v>45506</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6800-2023</t>
        </is>
      </c>
      <c r="B945" s="1" t="n">
        <v>44966</v>
      </c>
      <c r="C945" s="1" t="n">
        <v>45506</v>
      </c>
      <c r="D945" t="inlineStr">
        <is>
          <t>JÄMTLANDS LÄN</t>
        </is>
      </c>
      <c r="E945" t="inlineStr">
        <is>
          <t>RAGUNDA</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7019-2023</t>
        </is>
      </c>
      <c r="B946" s="1" t="n">
        <v>44968</v>
      </c>
      <c r="C946" s="1" t="n">
        <v>45506</v>
      </c>
      <c r="D946" t="inlineStr">
        <is>
          <t>JÄMTLANDS LÄN</t>
        </is>
      </c>
      <c r="E946" t="inlineStr">
        <is>
          <t>RAGUNDA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7021-2023</t>
        </is>
      </c>
      <c r="B947" s="1" t="n">
        <v>44967</v>
      </c>
      <c r="C947" s="1" t="n">
        <v>45506</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7520-2023</t>
        </is>
      </c>
      <c r="B948" s="1" t="n">
        <v>44971</v>
      </c>
      <c r="C948" s="1" t="n">
        <v>45506</v>
      </c>
      <c r="D948" t="inlineStr">
        <is>
          <t>JÄMTLANDS LÄN</t>
        </is>
      </c>
      <c r="E948" t="inlineStr">
        <is>
          <t>RAGUNDA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7521-2023</t>
        </is>
      </c>
      <c r="B949" s="1" t="n">
        <v>44972</v>
      </c>
      <c r="C949" s="1" t="n">
        <v>45506</v>
      </c>
      <c r="D949" t="inlineStr">
        <is>
          <t>JÄMTLANDS LÄN</t>
        </is>
      </c>
      <c r="E949" t="inlineStr">
        <is>
          <t>RAGUNDA</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7722-2023</t>
        </is>
      </c>
      <c r="B950" s="1" t="n">
        <v>44972</v>
      </c>
      <c r="C950" s="1" t="n">
        <v>45506</v>
      </c>
      <c r="D950" t="inlineStr">
        <is>
          <t>JÄMTLANDS LÄN</t>
        </is>
      </c>
      <c r="E950" t="inlineStr">
        <is>
          <t>RAGUNDA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8416-2023</t>
        </is>
      </c>
      <c r="B951" s="1" t="n">
        <v>44977</v>
      </c>
      <c r="C951" s="1" t="n">
        <v>45506</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8403-2023</t>
        </is>
      </c>
      <c r="B952" s="1" t="n">
        <v>44977</v>
      </c>
      <c r="C952" s="1" t="n">
        <v>45506</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8678-2023</t>
        </is>
      </c>
      <c r="B953" s="1" t="n">
        <v>44978</v>
      </c>
      <c r="C953" s="1" t="n">
        <v>45506</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8679-2023</t>
        </is>
      </c>
      <c r="B954" s="1" t="n">
        <v>44978</v>
      </c>
      <c r="C954" s="1" t="n">
        <v>45506</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8877-2023</t>
        </is>
      </c>
      <c r="B955" s="1" t="n">
        <v>44978</v>
      </c>
      <c r="C955" s="1" t="n">
        <v>45506</v>
      </c>
      <c r="D955" t="inlineStr">
        <is>
          <t>JÄMTLANDS LÄN</t>
        </is>
      </c>
      <c r="E955" t="inlineStr">
        <is>
          <t>RAGUNDA</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8878-2023</t>
        </is>
      </c>
      <c r="B956" s="1" t="n">
        <v>44978</v>
      </c>
      <c r="C956" s="1" t="n">
        <v>45506</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8876-2023</t>
        </is>
      </c>
      <c r="B957" s="1" t="n">
        <v>44978</v>
      </c>
      <c r="C957" s="1" t="n">
        <v>45506</v>
      </c>
      <c r="D957" t="inlineStr">
        <is>
          <t>JÄMTLANDS LÄN</t>
        </is>
      </c>
      <c r="E957" t="inlineStr">
        <is>
          <t>RAGUNDA</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9084-2023</t>
        </is>
      </c>
      <c r="B958" s="1" t="n">
        <v>44979</v>
      </c>
      <c r="C958" s="1" t="n">
        <v>45506</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9082-2023</t>
        </is>
      </c>
      <c r="B959" s="1" t="n">
        <v>44979</v>
      </c>
      <c r="C959" s="1" t="n">
        <v>45506</v>
      </c>
      <c r="D959" t="inlineStr">
        <is>
          <t>JÄMTLANDS LÄN</t>
        </is>
      </c>
      <c r="E959" t="inlineStr">
        <is>
          <t>RAGUNDA</t>
        </is>
      </c>
      <c r="G959" t="n">
        <v>1.1</v>
      </c>
      <c r="H959" t="n">
        <v>0</v>
      </c>
      <c r="I959" t="n">
        <v>0</v>
      </c>
      <c r="J959" t="n">
        <v>0</v>
      </c>
      <c r="K959" t="n">
        <v>0</v>
      </c>
      <c r="L959" t="n">
        <v>0</v>
      </c>
      <c r="M959" t="n">
        <v>0</v>
      </c>
      <c r="N959" t="n">
        <v>0</v>
      </c>
      <c r="O959" t="n">
        <v>0</v>
      </c>
      <c r="P959" t="n">
        <v>0</v>
      </c>
      <c r="Q959" t="n">
        <v>0</v>
      </c>
      <c r="R959" s="2" t="inlineStr"/>
    </row>
    <row r="960" ht="15" customHeight="1">
      <c r="A960" t="inlineStr">
        <is>
          <t>A 9100-2023</t>
        </is>
      </c>
      <c r="B960" s="1" t="n">
        <v>44979</v>
      </c>
      <c r="C960" s="1" t="n">
        <v>45506</v>
      </c>
      <c r="D960" t="inlineStr">
        <is>
          <t>JÄMTLANDS LÄN</t>
        </is>
      </c>
      <c r="E960" t="inlineStr">
        <is>
          <t>RAGUNDA</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9094-2023</t>
        </is>
      </c>
      <c r="B961" s="1" t="n">
        <v>44979</v>
      </c>
      <c r="C961" s="1" t="n">
        <v>45506</v>
      </c>
      <c r="D961" t="inlineStr">
        <is>
          <t>JÄMTLANDS LÄN</t>
        </is>
      </c>
      <c r="E961" t="inlineStr">
        <is>
          <t>RAGUNDA</t>
        </is>
      </c>
      <c r="F961" t="inlineStr">
        <is>
          <t>SCA</t>
        </is>
      </c>
      <c r="G961" t="n">
        <v>28.2</v>
      </c>
      <c r="H961" t="n">
        <v>0</v>
      </c>
      <c r="I961" t="n">
        <v>0</v>
      </c>
      <c r="J961" t="n">
        <v>0</v>
      </c>
      <c r="K961" t="n">
        <v>0</v>
      </c>
      <c r="L961" t="n">
        <v>0</v>
      </c>
      <c r="M961" t="n">
        <v>0</v>
      </c>
      <c r="N961" t="n">
        <v>0</v>
      </c>
      <c r="O961" t="n">
        <v>0</v>
      </c>
      <c r="P961" t="n">
        <v>0</v>
      </c>
      <c r="Q961" t="n">
        <v>0</v>
      </c>
      <c r="R961" s="2" t="inlineStr"/>
    </row>
    <row r="962" ht="15" customHeight="1">
      <c r="A962" t="inlineStr">
        <is>
          <t>A 9346-2023</t>
        </is>
      </c>
      <c r="B962" s="1" t="n">
        <v>44980</v>
      </c>
      <c r="C962" s="1" t="n">
        <v>45506</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9360-2023</t>
        </is>
      </c>
      <c r="B963" s="1" t="n">
        <v>44980</v>
      </c>
      <c r="C963" s="1" t="n">
        <v>45506</v>
      </c>
      <c r="D963" t="inlineStr">
        <is>
          <t>JÄMTLANDS LÄN</t>
        </is>
      </c>
      <c r="E963" t="inlineStr">
        <is>
          <t>RAGUNDA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9339-2023</t>
        </is>
      </c>
      <c r="B964" s="1" t="n">
        <v>44980</v>
      </c>
      <c r="C964" s="1" t="n">
        <v>45506</v>
      </c>
      <c r="D964" t="inlineStr">
        <is>
          <t>JÄMTLANDS LÄN</t>
        </is>
      </c>
      <c r="E964" t="inlineStr">
        <is>
          <t>RAGUNDA</t>
        </is>
      </c>
      <c r="G964" t="n">
        <v>3.2</v>
      </c>
      <c r="H964" t="n">
        <v>0</v>
      </c>
      <c r="I964" t="n">
        <v>0</v>
      </c>
      <c r="J964" t="n">
        <v>0</v>
      </c>
      <c r="K964" t="n">
        <v>0</v>
      </c>
      <c r="L964" t="n">
        <v>0</v>
      </c>
      <c r="M964" t="n">
        <v>0</v>
      </c>
      <c r="N964" t="n">
        <v>0</v>
      </c>
      <c r="O964" t="n">
        <v>0</v>
      </c>
      <c r="P964" t="n">
        <v>0</v>
      </c>
      <c r="Q964" t="n">
        <v>0</v>
      </c>
      <c r="R964" s="2" t="inlineStr"/>
    </row>
    <row r="965" ht="15" customHeight="1">
      <c r="A965" t="inlineStr">
        <is>
          <t>A 10706-2023</t>
        </is>
      </c>
      <c r="B965" s="1" t="n">
        <v>44984</v>
      </c>
      <c r="C965" s="1" t="n">
        <v>45506</v>
      </c>
      <c r="D965" t="inlineStr">
        <is>
          <t>JÄMTLANDS LÄN</t>
        </is>
      </c>
      <c r="E965" t="inlineStr">
        <is>
          <t>RAGUNDA</t>
        </is>
      </c>
      <c r="G965" t="n">
        <v>7.7</v>
      </c>
      <c r="H965" t="n">
        <v>0</v>
      </c>
      <c r="I965" t="n">
        <v>0</v>
      </c>
      <c r="J965" t="n">
        <v>0</v>
      </c>
      <c r="K965" t="n">
        <v>0</v>
      </c>
      <c r="L965" t="n">
        <v>0</v>
      </c>
      <c r="M965" t="n">
        <v>0</v>
      </c>
      <c r="N965" t="n">
        <v>0</v>
      </c>
      <c r="O965" t="n">
        <v>0</v>
      </c>
      <c r="P965" t="n">
        <v>0</v>
      </c>
      <c r="Q965" t="n">
        <v>0</v>
      </c>
      <c r="R965" s="2" t="inlineStr"/>
    </row>
    <row r="966" ht="15" customHeight="1">
      <c r="A966" t="inlineStr">
        <is>
          <t>A 10092-2023</t>
        </is>
      </c>
      <c r="B966" s="1" t="n">
        <v>44985</v>
      </c>
      <c r="C966" s="1" t="n">
        <v>45506</v>
      </c>
      <c r="D966" t="inlineStr">
        <is>
          <t>JÄMTLANDS LÄN</t>
        </is>
      </c>
      <c r="E966" t="inlineStr">
        <is>
          <t>RAGUNDA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11093-2023</t>
        </is>
      </c>
      <c r="B967" s="1" t="n">
        <v>44986</v>
      </c>
      <c r="C967" s="1" t="n">
        <v>45506</v>
      </c>
      <c r="D967" t="inlineStr">
        <is>
          <t>JÄMTLANDS LÄN</t>
        </is>
      </c>
      <c r="E967" t="inlineStr">
        <is>
          <t>RAGUNDA</t>
        </is>
      </c>
      <c r="G967" t="n">
        <v>3.6</v>
      </c>
      <c r="H967" t="n">
        <v>0</v>
      </c>
      <c r="I967" t="n">
        <v>0</v>
      </c>
      <c r="J967" t="n">
        <v>0</v>
      </c>
      <c r="K967" t="n">
        <v>0</v>
      </c>
      <c r="L967" t="n">
        <v>0</v>
      </c>
      <c r="M967" t="n">
        <v>0</v>
      </c>
      <c r="N967" t="n">
        <v>0</v>
      </c>
      <c r="O967" t="n">
        <v>0</v>
      </c>
      <c r="P967" t="n">
        <v>0</v>
      </c>
      <c r="Q967" t="n">
        <v>0</v>
      </c>
      <c r="R967" s="2" t="inlineStr"/>
    </row>
    <row r="968" ht="15" customHeight="1">
      <c r="A968" t="inlineStr">
        <is>
          <t>A 10550-2023</t>
        </is>
      </c>
      <c r="B968" s="1" t="n">
        <v>44987</v>
      </c>
      <c r="C968" s="1" t="n">
        <v>45506</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10559-2023</t>
        </is>
      </c>
      <c r="B969" s="1" t="n">
        <v>44987</v>
      </c>
      <c r="C969" s="1" t="n">
        <v>45506</v>
      </c>
      <c r="D969" t="inlineStr">
        <is>
          <t>JÄMTLANDS LÄN</t>
        </is>
      </c>
      <c r="E969" t="inlineStr">
        <is>
          <t>RAGUNDA</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11048-2023</t>
        </is>
      </c>
      <c r="B970" s="1" t="n">
        <v>44991</v>
      </c>
      <c r="C970" s="1" t="n">
        <v>45506</v>
      </c>
      <c r="D970" t="inlineStr">
        <is>
          <t>JÄMTLANDS LÄN</t>
        </is>
      </c>
      <c r="E970" t="inlineStr">
        <is>
          <t>RAGUNDA</t>
        </is>
      </c>
      <c r="F970" t="inlineStr">
        <is>
          <t>SCA</t>
        </is>
      </c>
      <c r="G970" t="n">
        <v>13.5</v>
      </c>
      <c r="H970" t="n">
        <v>0</v>
      </c>
      <c r="I970" t="n">
        <v>0</v>
      </c>
      <c r="J970" t="n">
        <v>0</v>
      </c>
      <c r="K970" t="n">
        <v>0</v>
      </c>
      <c r="L970" t="n">
        <v>0</v>
      </c>
      <c r="M970" t="n">
        <v>0</v>
      </c>
      <c r="N970" t="n">
        <v>0</v>
      </c>
      <c r="O970" t="n">
        <v>0</v>
      </c>
      <c r="P970" t="n">
        <v>0</v>
      </c>
      <c r="Q970" t="n">
        <v>0</v>
      </c>
      <c r="R970" s="2" t="inlineStr"/>
    </row>
    <row r="971" ht="15" customHeight="1">
      <c r="A971" t="inlineStr">
        <is>
          <t>A 11063-2023</t>
        </is>
      </c>
      <c r="B971" s="1" t="n">
        <v>44991</v>
      </c>
      <c r="C971" s="1" t="n">
        <v>45506</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11062-2023</t>
        </is>
      </c>
      <c r="B972" s="1" t="n">
        <v>44991</v>
      </c>
      <c r="C972" s="1" t="n">
        <v>45506</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11603-2023</t>
        </is>
      </c>
      <c r="B973" s="1" t="n">
        <v>44992</v>
      </c>
      <c r="C973" s="1" t="n">
        <v>45506</v>
      </c>
      <c r="D973" t="inlineStr">
        <is>
          <t>JÄMTLANDS LÄN</t>
        </is>
      </c>
      <c r="E973" t="inlineStr">
        <is>
          <t>RAGUNDA</t>
        </is>
      </c>
      <c r="G973" t="n">
        <v>7.1</v>
      </c>
      <c r="H973" t="n">
        <v>0</v>
      </c>
      <c r="I973" t="n">
        <v>0</v>
      </c>
      <c r="J973" t="n">
        <v>0</v>
      </c>
      <c r="K973" t="n">
        <v>0</v>
      </c>
      <c r="L973" t="n">
        <v>0</v>
      </c>
      <c r="M973" t="n">
        <v>0</v>
      </c>
      <c r="N973" t="n">
        <v>0</v>
      </c>
      <c r="O973" t="n">
        <v>0</v>
      </c>
      <c r="P973" t="n">
        <v>0</v>
      </c>
      <c r="Q973" t="n">
        <v>0</v>
      </c>
      <c r="R973" s="2" t="inlineStr"/>
    </row>
    <row r="974" ht="15" customHeight="1">
      <c r="A974" t="inlineStr">
        <is>
          <t>A 11556-2023</t>
        </is>
      </c>
      <c r="B974" s="1" t="n">
        <v>44993</v>
      </c>
      <c r="C974" s="1" t="n">
        <v>45506</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11322-2023</t>
        </is>
      </c>
      <c r="B975" s="1" t="n">
        <v>44993</v>
      </c>
      <c r="C975" s="1" t="n">
        <v>45506</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11558-2023</t>
        </is>
      </c>
      <c r="B976" s="1" t="n">
        <v>44993</v>
      </c>
      <c r="C976" s="1" t="n">
        <v>45506</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11553-2023</t>
        </is>
      </c>
      <c r="B977" s="1" t="n">
        <v>44993</v>
      </c>
      <c r="C977" s="1" t="n">
        <v>45506</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11557-2023</t>
        </is>
      </c>
      <c r="B978" s="1" t="n">
        <v>44993</v>
      </c>
      <c r="C978" s="1" t="n">
        <v>45506</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11562-2023</t>
        </is>
      </c>
      <c r="B979" s="1" t="n">
        <v>44993</v>
      </c>
      <c r="C979" s="1" t="n">
        <v>45506</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11843-2023</t>
        </is>
      </c>
      <c r="B980" s="1" t="n">
        <v>44993</v>
      </c>
      <c r="C980" s="1" t="n">
        <v>45506</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11834-2023</t>
        </is>
      </c>
      <c r="B981" s="1" t="n">
        <v>44994</v>
      </c>
      <c r="C981" s="1" t="n">
        <v>45506</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12055-2023</t>
        </is>
      </c>
      <c r="B982" s="1" t="n">
        <v>44995</v>
      </c>
      <c r="C982" s="1" t="n">
        <v>45506</v>
      </c>
      <c r="D982" t="inlineStr">
        <is>
          <t>JÄMTLANDS LÄN</t>
        </is>
      </c>
      <c r="E982" t="inlineStr">
        <is>
          <t>RAGUNDA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12051-2023</t>
        </is>
      </c>
      <c r="B983" s="1" t="n">
        <v>44995</v>
      </c>
      <c r="C983" s="1" t="n">
        <v>45506</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12040-2023</t>
        </is>
      </c>
      <c r="B984" s="1" t="n">
        <v>44996</v>
      </c>
      <c r="C984" s="1" t="n">
        <v>45506</v>
      </c>
      <c r="D984" t="inlineStr">
        <is>
          <t>JÄMTLANDS LÄN</t>
        </is>
      </c>
      <c r="E984" t="inlineStr">
        <is>
          <t>RAGUNDA</t>
        </is>
      </c>
      <c r="F984" t="inlineStr">
        <is>
          <t>SCA</t>
        </is>
      </c>
      <c r="G984" t="n">
        <v>13.2</v>
      </c>
      <c r="H984" t="n">
        <v>0</v>
      </c>
      <c r="I984" t="n">
        <v>0</v>
      </c>
      <c r="J984" t="n">
        <v>0</v>
      </c>
      <c r="K984" t="n">
        <v>0</v>
      </c>
      <c r="L984" t="n">
        <v>0</v>
      </c>
      <c r="M984" t="n">
        <v>0</v>
      </c>
      <c r="N984" t="n">
        <v>0</v>
      </c>
      <c r="O984" t="n">
        <v>0</v>
      </c>
      <c r="P984" t="n">
        <v>0</v>
      </c>
      <c r="Q984" t="n">
        <v>0</v>
      </c>
      <c r="R984" s="2" t="inlineStr"/>
    </row>
    <row r="985" ht="15" customHeight="1">
      <c r="A985" t="inlineStr">
        <is>
          <t>A 12050-2023</t>
        </is>
      </c>
      <c r="B985" s="1" t="n">
        <v>44996</v>
      </c>
      <c r="C985" s="1" t="n">
        <v>45506</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44996</v>
      </c>
      <c r="C986" s="1" t="n">
        <v>45506</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12523-2023</t>
        </is>
      </c>
      <c r="B987" s="1" t="n">
        <v>45000</v>
      </c>
      <c r="C987" s="1" t="n">
        <v>45506</v>
      </c>
      <c r="D987" t="inlineStr">
        <is>
          <t>JÄMTLANDS LÄN</t>
        </is>
      </c>
      <c r="E987" t="inlineStr">
        <is>
          <t>RAGUNDA</t>
        </is>
      </c>
      <c r="F987" t="inlineStr">
        <is>
          <t>SCA</t>
        </is>
      </c>
      <c r="G987" t="n">
        <v>14.3</v>
      </c>
      <c r="H987" t="n">
        <v>0</v>
      </c>
      <c r="I987" t="n">
        <v>0</v>
      </c>
      <c r="J987" t="n">
        <v>0</v>
      </c>
      <c r="K987" t="n">
        <v>0</v>
      </c>
      <c r="L987" t="n">
        <v>0</v>
      </c>
      <c r="M987" t="n">
        <v>0</v>
      </c>
      <c r="N987" t="n">
        <v>0</v>
      </c>
      <c r="O987" t="n">
        <v>0</v>
      </c>
      <c r="P987" t="n">
        <v>0</v>
      </c>
      <c r="Q987" t="n">
        <v>0</v>
      </c>
      <c r="R987" s="2" t="inlineStr"/>
    </row>
    <row r="988" ht="15" customHeight="1">
      <c r="A988" t="inlineStr">
        <is>
          <t>A 12522-2023</t>
        </is>
      </c>
      <c r="B988" s="1" t="n">
        <v>45000</v>
      </c>
      <c r="C988" s="1" t="n">
        <v>45506</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12521-2023</t>
        </is>
      </c>
      <c r="B989" s="1" t="n">
        <v>45000</v>
      </c>
      <c r="C989" s="1" t="n">
        <v>45506</v>
      </c>
      <c r="D989" t="inlineStr">
        <is>
          <t>JÄMTLANDS LÄN</t>
        </is>
      </c>
      <c r="E989" t="inlineStr">
        <is>
          <t>RAGUNDA</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12783-2023</t>
        </is>
      </c>
      <c r="B990" s="1" t="n">
        <v>45000</v>
      </c>
      <c r="C990" s="1" t="n">
        <v>45506</v>
      </c>
      <c r="D990" t="inlineStr">
        <is>
          <t>JÄMTLANDS LÄN</t>
        </is>
      </c>
      <c r="E990" t="inlineStr">
        <is>
          <t>RAGUNDA</t>
        </is>
      </c>
      <c r="G990" t="n">
        <v>0.9</v>
      </c>
      <c r="H990" t="n">
        <v>0</v>
      </c>
      <c r="I990" t="n">
        <v>0</v>
      </c>
      <c r="J990" t="n">
        <v>0</v>
      </c>
      <c r="K990" t="n">
        <v>0</v>
      </c>
      <c r="L990" t="n">
        <v>0</v>
      </c>
      <c r="M990" t="n">
        <v>0</v>
      </c>
      <c r="N990" t="n">
        <v>0</v>
      </c>
      <c r="O990" t="n">
        <v>0</v>
      </c>
      <c r="P990" t="n">
        <v>0</v>
      </c>
      <c r="Q990" t="n">
        <v>0</v>
      </c>
      <c r="R990" s="2" t="inlineStr"/>
    </row>
    <row r="991" ht="15" customHeight="1">
      <c r="A991" t="inlineStr">
        <is>
          <t>A 12750-2023</t>
        </is>
      </c>
      <c r="B991" s="1" t="n">
        <v>45000</v>
      </c>
      <c r="C991" s="1" t="n">
        <v>45506</v>
      </c>
      <c r="D991" t="inlineStr">
        <is>
          <t>JÄMTLANDS LÄN</t>
        </is>
      </c>
      <c r="E991" t="inlineStr">
        <is>
          <t>RAGUNDA</t>
        </is>
      </c>
      <c r="F991" t="inlineStr">
        <is>
          <t>Naturvårdsverket</t>
        </is>
      </c>
      <c r="G991" t="n">
        <v>5</v>
      </c>
      <c r="H991" t="n">
        <v>0</v>
      </c>
      <c r="I991" t="n">
        <v>0</v>
      </c>
      <c r="J991" t="n">
        <v>0</v>
      </c>
      <c r="K991" t="n">
        <v>0</v>
      </c>
      <c r="L991" t="n">
        <v>0</v>
      </c>
      <c r="M991" t="n">
        <v>0</v>
      </c>
      <c r="N991" t="n">
        <v>0</v>
      </c>
      <c r="O991" t="n">
        <v>0</v>
      </c>
      <c r="P991" t="n">
        <v>0</v>
      </c>
      <c r="Q991" t="n">
        <v>0</v>
      </c>
      <c r="R991" s="2" t="inlineStr"/>
    </row>
    <row r="992" ht="15" customHeight="1">
      <c r="A992" t="inlineStr">
        <is>
          <t>A 12995-2023</t>
        </is>
      </c>
      <c r="B992" s="1" t="n">
        <v>45002</v>
      </c>
      <c r="C992" s="1" t="n">
        <v>45506</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13246-2023</t>
        </is>
      </c>
      <c r="B993" s="1" t="n">
        <v>45002</v>
      </c>
      <c r="C993" s="1" t="n">
        <v>45506</v>
      </c>
      <c r="D993" t="inlineStr">
        <is>
          <t>JÄMTLANDS LÄN</t>
        </is>
      </c>
      <c r="E993" t="inlineStr">
        <is>
          <t>RAGUNDA</t>
        </is>
      </c>
      <c r="G993" t="n">
        <v>2.2</v>
      </c>
      <c r="H993" t="n">
        <v>0</v>
      </c>
      <c r="I993" t="n">
        <v>0</v>
      </c>
      <c r="J993" t="n">
        <v>0</v>
      </c>
      <c r="K993" t="n">
        <v>0</v>
      </c>
      <c r="L993" t="n">
        <v>0</v>
      </c>
      <c r="M993" t="n">
        <v>0</v>
      </c>
      <c r="N993" t="n">
        <v>0</v>
      </c>
      <c r="O993" t="n">
        <v>0</v>
      </c>
      <c r="P993" t="n">
        <v>0</v>
      </c>
      <c r="Q993" t="n">
        <v>0</v>
      </c>
      <c r="R993" s="2" t="inlineStr"/>
    </row>
    <row r="994" ht="15" customHeight="1">
      <c r="A994" t="inlineStr">
        <is>
          <t>A 13700-2023</t>
        </is>
      </c>
      <c r="B994" s="1" t="n">
        <v>45006</v>
      </c>
      <c r="C994" s="1" t="n">
        <v>45506</v>
      </c>
      <c r="D994" t="inlineStr">
        <is>
          <t>JÄMTLANDS LÄN</t>
        </is>
      </c>
      <c r="E994" t="inlineStr">
        <is>
          <t>RAGUNDA</t>
        </is>
      </c>
      <c r="F994" t="inlineStr">
        <is>
          <t>SCA</t>
        </is>
      </c>
      <c r="G994" t="n">
        <v>50.3</v>
      </c>
      <c r="H994" t="n">
        <v>0</v>
      </c>
      <c r="I994" t="n">
        <v>0</v>
      </c>
      <c r="J994" t="n">
        <v>0</v>
      </c>
      <c r="K994" t="n">
        <v>0</v>
      </c>
      <c r="L994" t="n">
        <v>0</v>
      </c>
      <c r="M994" t="n">
        <v>0</v>
      </c>
      <c r="N994" t="n">
        <v>0</v>
      </c>
      <c r="O994" t="n">
        <v>0</v>
      </c>
      <c r="P994" t="n">
        <v>0</v>
      </c>
      <c r="Q994" t="n">
        <v>0</v>
      </c>
      <c r="R994" s="2" t="inlineStr"/>
    </row>
    <row r="995" ht="15" customHeight="1">
      <c r="A995" t="inlineStr">
        <is>
          <t>A 13917-2023</t>
        </is>
      </c>
      <c r="B995" s="1" t="n">
        <v>45007</v>
      </c>
      <c r="C995" s="1" t="n">
        <v>45506</v>
      </c>
      <c r="D995" t="inlineStr">
        <is>
          <t>JÄMTLANDS LÄN</t>
        </is>
      </c>
      <c r="E995" t="inlineStr">
        <is>
          <t>RAGUNDA</t>
        </is>
      </c>
      <c r="G995" t="n">
        <v>1</v>
      </c>
      <c r="H995" t="n">
        <v>0</v>
      </c>
      <c r="I995" t="n">
        <v>0</v>
      </c>
      <c r="J995" t="n">
        <v>0</v>
      </c>
      <c r="K995" t="n">
        <v>0</v>
      </c>
      <c r="L995" t="n">
        <v>0</v>
      </c>
      <c r="M995" t="n">
        <v>0</v>
      </c>
      <c r="N995" t="n">
        <v>0</v>
      </c>
      <c r="O995" t="n">
        <v>0</v>
      </c>
      <c r="P995" t="n">
        <v>0</v>
      </c>
      <c r="Q995" t="n">
        <v>0</v>
      </c>
      <c r="R995" s="2" t="inlineStr"/>
    </row>
    <row r="996" ht="15" customHeight="1">
      <c r="A996" t="inlineStr">
        <is>
          <t>A 13900-2023</t>
        </is>
      </c>
      <c r="B996" s="1" t="n">
        <v>45008</v>
      </c>
      <c r="C996" s="1" t="n">
        <v>45506</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13898-2023</t>
        </is>
      </c>
      <c r="B997" s="1" t="n">
        <v>45008</v>
      </c>
      <c r="C997" s="1" t="n">
        <v>45506</v>
      </c>
      <c r="D997" t="inlineStr">
        <is>
          <t>JÄMTLANDS LÄN</t>
        </is>
      </c>
      <c r="E997" t="inlineStr">
        <is>
          <t>RAGUNDA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14179-2023</t>
        </is>
      </c>
      <c r="B998" s="1" t="n">
        <v>45009</v>
      </c>
      <c r="C998" s="1" t="n">
        <v>45506</v>
      </c>
      <c r="D998" t="inlineStr">
        <is>
          <t>JÄMTLANDS LÄN</t>
        </is>
      </c>
      <c r="E998" t="inlineStr">
        <is>
          <t>RAGUNDA</t>
        </is>
      </c>
      <c r="G998" t="n">
        <v>33.8</v>
      </c>
      <c r="H998" t="n">
        <v>0</v>
      </c>
      <c r="I998" t="n">
        <v>0</v>
      </c>
      <c r="J998" t="n">
        <v>0</v>
      </c>
      <c r="K998" t="n">
        <v>0</v>
      </c>
      <c r="L998" t="n">
        <v>0</v>
      </c>
      <c r="M998" t="n">
        <v>0</v>
      </c>
      <c r="N998" t="n">
        <v>0</v>
      </c>
      <c r="O998" t="n">
        <v>0</v>
      </c>
      <c r="P998" t="n">
        <v>0</v>
      </c>
      <c r="Q998" t="n">
        <v>0</v>
      </c>
      <c r="R998" s="2" t="inlineStr"/>
    </row>
    <row r="999" ht="15" customHeight="1">
      <c r="A999" t="inlineStr">
        <is>
          <t>A 14074-2023</t>
        </is>
      </c>
      <c r="B999" s="1" t="n">
        <v>45009</v>
      </c>
      <c r="C999" s="1" t="n">
        <v>45506</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14212-2023</t>
        </is>
      </c>
      <c r="B1000" s="1" t="n">
        <v>45009</v>
      </c>
      <c r="C1000" s="1" t="n">
        <v>45506</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14076-2023</t>
        </is>
      </c>
      <c r="B1001" s="1" t="n">
        <v>45009</v>
      </c>
      <c r="C1001" s="1" t="n">
        <v>45506</v>
      </c>
      <c r="D1001" t="inlineStr">
        <is>
          <t>JÄMTLANDS LÄN</t>
        </is>
      </c>
      <c r="E1001" t="inlineStr">
        <is>
          <t>RAGUNDA</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14081-2023</t>
        </is>
      </c>
      <c r="B1002" s="1" t="n">
        <v>45009</v>
      </c>
      <c r="C1002" s="1" t="n">
        <v>45506</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14080-2023</t>
        </is>
      </c>
      <c r="B1003" s="1" t="n">
        <v>45009</v>
      </c>
      <c r="C1003" s="1" t="n">
        <v>45506</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14531-2023</t>
        </is>
      </c>
      <c r="B1004" s="1" t="n">
        <v>45013</v>
      </c>
      <c r="C1004" s="1" t="n">
        <v>45506</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14869-2023</t>
        </is>
      </c>
      <c r="B1005" s="1" t="n">
        <v>45015</v>
      </c>
      <c r="C1005" s="1" t="n">
        <v>45506</v>
      </c>
      <c r="D1005" t="inlineStr">
        <is>
          <t>JÄMTLANDS LÄN</t>
        </is>
      </c>
      <c r="E1005" t="inlineStr">
        <is>
          <t>RAGUNDA</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14868-2023</t>
        </is>
      </c>
      <c r="B1006" s="1" t="n">
        <v>45015</v>
      </c>
      <c r="C1006" s="1" t="n">
        <v>45506</v>
      </c>
      <c r="D1006" t="inlineStr">
        <is>
          <t>JÄMTLANDS LÄN</t>
        </is>
      </c>
      <c r="E1006" t="inlineStr">
        <is>
          <t>RAGUNDA</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15078-2023</t>
        </is>
      </c>
      <c r="B1007" s="1" t="n">
        <v>45015</v>
      </c>
      <c r="C1007" s="1" t="n">
        <v>45506</v>
      </c>
      <c r="D1007" t="inlineStr">
        <is>
          <t>JÄMTLANDS LÄN</t>
        </is>
      </c>
      <c r="E1007" t="inlineStr">
        <is>
          <t>RAGUNDA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15077-2023</t>
        </is>
      </c>
      <c r="B1008" s="1" t="n">
        <v>45015</v>
      </c>
      <c r="C1008" s="1" t="n">
        <v>45506</v>
      </c>
      <c r="D1008" t="inlineStr">
        <is>
          <t>JÄMTLANDS LÄN</t>
        </is>
      </c>
      <c r="E1008" t="inlineStr">
        <is>
          <t>RAGUNDA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16364-2023</t>
        </is>
      </c>
      <c r="B1009" s="1" t="n">
        <v>45028</v>
      </c>
      <c r="C1009" s="1" t="n">
        <v>45506</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17248-2023</t>
        </is>
      </c>
      <c r="B1010" s="1" t="n">
        <v>45033</v>
      </c>
      <c r="C1010" s="1" t="n">
        <v>45506</v>
      </c>
      <c r="D1010" t="inlineStr">
        <is>
          <t>JÄMTLANDS LÄN</t>
        </is>
      </c>
      <c r="E1010" t="inlineStr">
        <is>
          <t>RAGUNDA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17207-2023</t>
        </is>
      </c>
      <c r="B1011" s="1" t="n">
        <v>45035</v>
      </c>
      <c r="C1011" s="1" t="n">
        <v>45506</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17206-2023</t>
        </is>
      </c>
      <c r="B1012" s="1" t="n">
        <v>45035</v>
      </c>
      <c r="C1012" s="1" t="n">
        <v>45506</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17559-2023</t>
        </is>
      </c>
      <c r="B1013" s="1" t="n">
        <v>45034</v>
      </c>
      <c r="C1013" s="1" t="n">
        <v>45506</v>
      </c>
      <c r="D1013" t="inlineStr">
        <is>
          <t>JÄMTLANDS LÄN</t>
        </is>
      </c>
      <c r="E1013" t="inlineStr">
        <is>
          <t>RAGUNDA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17864-2023</t>
        </is>
      </c>
      <c r="B1014" s="1" t="n">
        <v>45038</v>
      </c>
      <c r="C1014" s="1" t="n">
        <v>45506</v>
      </c>
      <c r="D1014" t="inlineStr">
        <is>
          <t>JÄMTLANDS LÄN</t>
        </is>
      </c>
      <c r="E1014" t="inlineStr">
        <is>
          <t>RAGUNDA</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17863-2023</t>
        </is>
      </c>
      <c r="B1015" s="1" t="n">
        <v>45038</v>
      </c>
      <c r="C1015" s="1" t="n">
        <v>45506</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18159-2023</t>
        </is>
      </c>
      <c r="B1016" s="1" t="n">
        <v>45041</v>
      </c>
      <c r="C1016" s="1" t="n">
        <v>45506</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18145-2023</t>
        </is>
      </c>
      <c r="B1017" s="1" t="n">
        <v>45041</v>
      </c>
      <c r="C1017" s="1" t="n">
        <v>45506</v>
      </c>
      <c r="D1017" t="inlineStr">
        <is>
          <t>JÄMTLANDS LÄN</t>
        </is>
      </c>
      <c r="E1017" t="inlineStr">
        <is>
          <t>RAGUNDA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18248-2023</t>
        </is>
      </c>
      <c r="B1018" s="1" t="n">
        <v>45040</v>
      </c>
      <c r="C1018" s="1" t="n">
        <v>45506</v>
      </c>
      <c r="D1018" t="inlineStr">
        <is>
          <t>JÄMTLANDS LÄN</t>
        </is>
      </c>
      <c r="E1018" t="inlineStr">
        <is>
          <t>RAGUNDA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18557-2023</t>
        </is>
      </c>
      <c r="B1019" s="1" t="n">
        <v>45043</v>
      </c>
      <c r="C1019" s="1" t="n">
        <v>45506</v>
      </c>
      <c r="D1019" t="inlineStr">
        <is>
          <t>JÄMTLANDS LÄN</t>
        </is>
      </c>
      <c r="E1019" t="inlineStr">
        <is>
          <t>RAGUNDA</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18556-2023</t>
        </is>
      </c>
      <c r="B1020" s="1" t="n">
        <v>45043</v>
      </c>
      <c r="C1020" s="1" t="n">
        <v>45506</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18820-2023</t>
        </is>
      </c>
      <c r="B1021" s="1" t="n">
        <v>45042</v>
      </c>
      <c r="C1021" s="1" t="n">
        <v>45506</v>
      </c>
      <c r="D1021" t="inlineStr">
        <is>
          <t>JÄMTLANDS LÄN</t>
        </is>
      </c>
      <c r="E1021" t="inlineStr">
        <is>
          <t>RAGUNDA</t>
        </is>
      </c>
      <c r="G1021" t="n">
        <v>18.8</v>
      </c>
      <c r="H1021" t="n">
        <v>0</v>
      </c>
      <c r="I1021" t="n">
        <v>0</v>
      </c>
      <c r="J1021" t="n">
        <v>0</v>
      </c>
      <c r="K1021" t="n">
        <v>0</v>
      </c>
      <c r="L1021" t="n">
        <v>0</v>
      </c>
      <c r="M1021" t="n">
        <v>0</v>
      </c>
      <c r="N1021" t="n">
        <v>0</v>
      </c>
      <c r="O1021" t="n">
        <v>0</v>
      </c>
      <c r="P1021" t="n">
        <v>0</v>
      </c>
      <c r="Q1021" t="n">
        <v>0</v>
      </c>
      <c r="R1021" s="2" t="inlineStr"/>
    </row>
    <row r="1022" ht="15" customHeight="1">
      <c r="A1022" t="inlineStr">
        <is>
          <t>A 18984-2023</t>
        </is>
      </c>
      <c r="B1022" s="1" t="n">
        <v>45044</v>
      </c>
      <c r="C1022" s="1" t="n">
        <v>45506</v>
      </c>
      <c r="D1022" t="inlineStr">
        <is>
          <t>JÄMTLANDS LÄN</t>
        </is>
      </c>
      <c r="E1022" t="inlineStr">
        <is>
          <t>RAGUNDA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18995-2023</t>
        </is>
      </c>
      <c r="B1023" s="1" t="n">
        <v>45045</v>
      </c>
      <c r="C1023" s="1" t="n">
        <v>45506</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18996-2023</t>
        </is>
      </c>
      <c r="B1024" s="1" t="n">
        <v>45045</v>
      </c>
      <c r="C1024" s="1" t="n">
        <v>45506</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19242-2023</t>
        </is>
      </c>
      <c r="B1025" s="1" t="n">
        <v>45048</v>
      </c>
      <c r="C1025" s="1" t="n">
        <v>45506</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19246-2023</t>
        </is>
      </c>
      <c r="B1026" s="1" t="n">
        <v>45049</v>
      </c>
      <c r="C1026" s="1" t="n">
        <v>45506</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19438-2023</t>
        </is>
      </c>
      <c r="B1027" s="1" t="n">
        <v>45049</v>
      </c>
      <c r="C1027" s="1" t="n">
        <v>45506</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19613-2023</t>
        </is>
      </c>
      <c r="B1028" s="1" t="n">
        <v>45051</v>
      </c>
      <c r="C1028" s="1" t="n">
        <v>45506</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19612-2023</t>
        </is>
      </c>
      <c r="B1029" s="1" t="n">
        <v>45051</v>
      </c>
      <c r="C1029" s="1" t="n">
        <v>45506</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19620-2023</t>
        </is>
      </c>
      <c r="B1030" s="1" t="n">
        <v>45050</v>
      </c>
      <c r="C1030" s="1" t="n">
        <v>45506</v>
      </c>
      <c r="D1030" t="inlineStr">
        <is>
          <t>JÄMTLANDS LÄN</t>
        </is>
      </c>
      <c r="E1030" t="inlineStr">
        <is>
          <t>RAGUNDA</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19865-2023</t>
        </is>
      </c>
      <c r="B1031" s="1" t="n">
        <v>45054</v>
      </c>
      <c r="C1031" s="1" t="n">
        <v>45506</v>
      </c>
      <c r="D1031" t="inlineStr">
        <is>
          <t>JÄMTLANDS LÄN</t>
        </is>
      </c>
      <c r="E1031" t="inlineStr">
        <is>
          <t>RAGUNDA</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19866-2023</t>
        </is>
      </c>
      <c r="B1032" s="1" t="n">
        <v>45054</v>
      </c>
      <c r="C1032" s="1" t="n">
        <v>45506</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20079-2023</t>
        </is>
      </c>
      <c r="B1033" s="1" t="n">
        <v>45055</v>
      </c>
      <c r="C1033" s="1" t="n">
        <v>45506</v>
      </c>
      <c r="D1033" t="inlineStr">
        <is>
          <t>JÄMTLANDS LÄN</t>
        </is>
      </c>
      <c r="E1033" t="inlineStr">
        <is>
          <t>RAGUNDA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20088-2023</t>
        </is>
      </c>
      <c r="B1034" s="1" t="n">
        <v>45054</v>
      </c>
      <c r="C1034" s="1" t="n">
        <v>45506</v>
      </c>
      <c r="D1034" t="inlineStr">
        <is>
          <t>JÄMTLANDS LÄN</t>
        </is>
      </c>
      <c r="E1034" t="inlineStr">
        <is>
          <t>RAGUNDA</t>
        </is>
      </c>
      <c r="F1034" t="inlineStr">
        <is>
          <t>SCA</t>
        </is>
      </c>
      <c r="G1034" t="n">
        <v>23.4</v>
      </c>
      <c r="H1034" t="n">
        <v>0</v>
      </c>
      <c r="I1034" t="n">
        <v>0</v>
      </c>
      <c r="J1034" t="n">
        <v>0</v>
      </c>
      <c r="K1034" t="n">
        <v>0</v>
      </c>
      <c r="L1034" t="n">
        <v>0</v>
      </c>
      <c r="M1034" t="n">
        <v>0</v>
      </c>
      <c r="N1034" t="n">
        <v>0</v>
      </c>
      <c r="O1034" t="n">
        <v>0</v>
      </c>
      <c r="P1034" t="n">
        <v>0</v>
      </c>
      <c r="Q1034" t="n">
        <v>0</v>
      </c>
      <c r="R1034" s="2" t="inlineStr"/>
    </row>
    <row r="1035" ht="15" customHeight="1">
      <c r="A1035" t="inlineStr">
        <is>
          <t>A 20987-2023</t>
        </is>
      </c>
      <c r="B1035" s="1" t="n">
        <v>45056</v>
      </c>
      <c r="C1035" s="1" t="n">
        <v>45506</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20994-2023</t>
        </is>
      </c>
      <c r="B1036" s="1" t="n">
        <v>45056</v>
      </c>
      <c r="C1036" s="1" t="n">
        <v>45506</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20901-2023</t>
        </is>
      </c>
      <c r="B1037" s="1" t="n">
        <v>45060</v>
      </c>
      <c r="C1037" s="1" t="n">
        <v>45506</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21102-2023</t>
        </is>
      </c>
      <c r="B1038" s="1" t="n">
        <v>45062</v>
      </c>
      <c r="C1038" s="1" t="n">
        <v>45506</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21661-2023</t>
        </is>
      </c>
      <c r="B1039" s="1" t="n">
        <v>45063</v>
      </c>
      <c r="C1039" s="1" t="n">
        <v>45506</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21662-2023</t>
        </is>
      </c>
      <c r="B1040" s="1" t="n">
        <v>45063</v>
      </c>
      <c r="C1040" s="1" t="n">
        <v>45506</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21726-2023</t>
        </is>
      </c>
      <c r="B1041" s="1" t="n">
        <v>45065</v>
      </c>
      <c r="C1041" s="1" t="n">
        <v>45506</v>
      </c>
      <c r="D1041" t="inlineStr">
        <is>
          <t>JÄMTLANDS LÄN</t>
        </is>
      </c>
      <c r="E1041" t="inlineStr">
        <is>
          <t>RAGUNDA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22011-2023</t>
        </is>
      </c>
      <c r="B1042" s="1" t="n">
        <v>45068</v>
      </c>
      <c r="C1042" s="1" t="n">
        <v>45506</v>
      </c>
      <c r="D1042" t="inlineStr">
        <is>
          <t>JÄMTLANDS LÄN</t>
        </is>
      </c>
      <c r="E1042" t="inlineStr">
        <is>
          <t>RAGUNDA</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22569-2023</t>
        </is>
      </c>
      <c r="B1043" s="1" t="n">
        <v>45069</v>
      </c>
      <c r="C1043" s="1" t="n">
        <v>45506</v>
      </c>
      <c r="D1043" t="inlineStr">
        <is>
          <t>JÄMTLANDS LÄN</t>
        </is>
      </c>
      <c r="E1043" t="inlineStr">
        <is>
          <t>RAGUNDA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22479-2023</t>
        </is>
      </c>
      <c r="B1044" s="1" t="n">
        <v>45070</v>
      </c>
      <c r="C1044" s="1" t="n">
        <v>45506</v>
      </c>
      <c r="D1044" t="inlineStr">
        <is>
          <t>JÄMTLANDS LÄN</t>
        </is>
      </c>
      <c r="E1044" t="inlineStr">
        <is>
          <t>RAGUNDA</t>
        </is>
      </c>
      <c r="F1044" t="inlineStr">
        <is>
          <t>SCA</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23074-2023</t>
        </is>
      </c>
      <c r="B1045" s="1" t="n">
        <v>45070</v>
      </c>
      <c r="C1045" s="1" t="n">
        <v>45506</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23140-2023</t>
        </is>
      </c>
      <c r="B1046" s="1" t="n">
        <v>45070</v>
      </c>
      <c r="C1046" s="1" t="n">
        <v>45506</v>
      </c>
      <c r="D1046" t="inlineStr">
        <is>
          <t>JÄMTLANDS LÄN</t>
        </is>
      </c>
      <c r="E1046" t="inlineStr">
        <is>
          <t>RAGUNDA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22731-2023</t>
        </is>
      </c>
      <c r="B1047" s="1" t="n">
        <v>45071</v>
      </c>
      <c r="C1047" s="1" t="n">
        <v>45506</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22981-2023</t>
        </is>
      </c>
      <c r="B1048" s="1" t="n">
        <v>45073</v>
      </c>
      <c r="C1048" s="1" t="n">
        <v>45506</v>
      </c>
      <c r="D1048" t="inlineStr">
        <is>
          <t>JÄMTLANDS LÄN</t>
        </is>
      </c>
      <c r="E1048" t="inlineStr">
        <is>
          <t>RAGUNDA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23299-2023</t>
        </is>
      </c>
      <c r="B1049" s="1" t="n">
        <v>45076</v>
      </c>
      <c r="C1049" s="1" t="n">
        <v>45506</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23304-2023</t>
        </is>
      </c>
      <c r="B1050" s="1" t="n">
        <v>45076</v>
      </c>
      <c r="C1050" s="1" t="n">
        <v>45506</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23305-2023</t>
        </is>
      </c>
      <c r="B1051" s="1" t="n">
        <v>45076</v>
      </c>
      <c r="C1051" s="1" t="n">
        <v>45506</v>
      </c>
      <c r="D1051" t="inlineStr">
        <is>
          <t>JÄMTLANDS LÄN</t>
        </is>
      </c>
      <c r="E1051" t="inlineStr">
        <is>
          <t>RAGUNDA</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23298-2023</t>
        </is>
      </c>
      <c r="B1052" s="1" t="n">
        <v>45076</v>
      </c>
      <c r="C1052" s="1" t="n">
        <v>45506</v>
      </c>
      <c r="D1052" t="inlineStr">
        <is>
          <t>JÄMTLANDS LÄN</t>
        </is>
      </c>
      <c r="E1052" t="inlineStr">
        <is>
          <t>RAGUNDA</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24861-2023</t>
        </is>
      </c>
      <c r="B1053" s="1" t="n">
        <v>45078</v>
      </c>
      <c r="C1053" s="1" t="n">
        <v>45506</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25086-2023</t>
        </is>
      </c>
      <c r="B1054" s="1" t="n">
        <v>45078</v>
      </c>
      <c r="C1054" s="1" t="n">
        <v>45506</v>
      </c>
      <c r="D1054" t="inlineStr">
        <is>
          <t>JÄMTLANDS LÄN</t>
        </is>
      </c>
      <c r="E1054" t="inlineStr">
        <is>
          <t>RAGUNDA</t>
        </is>
      </c>
      <c r="G1054" t="n">
        <v>16.7</v>
      </c>
      <c r="H1054" t="n">
        <v>0</v>
      </c>
      <c r="I1054" t="n">
        <v>0</v>
      </c>
      <c r="J1054" t="n">
        <v>0</v>
      </c>
      <c r="K1054" t="n">
        <v>0</v>
      </c>
      <c r="L1054" t="n">
        <v>0</v>
      </c>
      <c r="M1054" t="n">
        <v>0</v>
      </c>
      <c r="N1054" t="n">
        <v>0</v>
      </c>
      <c r="O1054" t="n">
        <v>0</v>
      </c>
      <c r="P1054" t="n">
        <v>0</v>
      </c>
      <c r="Q1054" t="n">
        <v>0</v>
      </c>
      <c r="R1054" s="2" t="inlineStr"/>
    </row>
    <row r="1055" ht="15" customHeight="1">
      <c r="A1055" t="inlineStr">
        <is>
          <t>A 25416-2023</t>
        </is>
      </c>
      <c r="B1055" s="1" t="n">
        <v>45078</v>
      </c>
      <c r="C1055" s="1" t="n">
        <v>45506</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24300-2023</t>
        </is>
      </c>
      <c r="B1056" s="1" t="n">
        <v>45079</v>
      </c>
      <c r="C1056" s="1" t="n">
        <v>45506</v>
      </c>
      <c r="D1056" t="inlineStr">
        <is>
          <t>JÄMTLANDS LÄN</t>
        </is>
      </c>
      <c r="E1056" t="inlineStr">
        <is>
          <t>RAGUNDA</t>
        </is>
      </c>
      <c r="F1056" t="inlineStr">
        <is>
          <t>SCA</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24821-2023</t>
        </is>
      </c>
      <c r="B1057" s="1" t="n">
        <v>45085</v>
      </c>
      <c r="C1057" s="1" t="n">
        <v>45506</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24822-2023</t>
        </is>
      </c>
      <c r="B1058" s="1" t="n">
        <v>45085</v>
      </c>
      <c r="C1058" s="1" t="n">
        <v>45506</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24820-2023</t>
        </is>
      </c>
      <c r="B1059" s="1" t="n">
        <v>45084</v>
      </c>
      <c r="C1059" s="1" t="n">
        <v>45506</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25892-2023</t>
        </is>
      </c>
      <c r="B1060" s="1" t="n">
        <v>45085</v>
      </c>
      <c r="C1060" s="1" t="n">
        <v>45506</v>
      </c>
      <c r="D1060" t="inlineStr">
        <is>
          <t>JÄMTLANDS LÄN</t>
        </is>
      </c>
      <c r="E1060" t="inlineStr">
        <is>
          <t>RAGUNDA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25332-2023</t>
        </is>
      </c>
      <c r="B1061" s="1" t="n">
        <v>45087</v>
      </c>
      <c r="C1061" s="1" t="n">
        <v>45506</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25304-2023</t>
        </is>
      </c>
      <c r="B1062" s="1" t="n">
        <v>45086</v>
      </c>
      <c r="C1062" s="1" t="n">
        <v>45506</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25430-2023</t>
        </is>
      </c>
      <c r="B1063" s="1" t="n">
        <v>45089</v>
      </c>
      <c r="C1063" s="1" t="n">
        <v>45506</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25669-2023</t>
        </is>
      </c>
      <c r="B1064" s="1" t="n">
        <v>45089</v>
      </c>
      <c r="C1064" s="1" t="n">
        <v>45506</v>
      </c>
      <c r="D1064" t="inlineStr">
        <is>
          <t>JÄMTLANDS LÄN</t>
        </is>
      </c>
      <c r="E1064" t="inlineStr">
        <is>
          <t>RAGUNDA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25694-2023</t>
        </is>
      </c>
      <c r="B1065" s="1" t="n">
        <v>45089</v>
      </c>
      <c r="C1065" s="1" t="n">
        <v>45506</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25666-2023</t>
        </is>
      </c>
      <c r="B1066" s="1" t="n">
        <v>45089</v>
      </c>
      <c r="C1066" s="1" t="n">
        <v>45506</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25670-2023</t>
        </is>
      </c>
      <c r="B1067" s="1" t="n">
        <v>45090</v>
      </c>
      <c r="C1067" s="1" t="n">
        <v>45506</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25708-2023</t>
        </is>
      </c>
      <c r="B1068" s="1" t="n">
        <v>45090</v>
      </c>
      <c r="C1068" s="1" t="n">
        <v>45506</v>
      </c>
      <c r="D1068" t="inlineStr">
        <is>
          <t>JÄMTLANDS LÄN</t>
        </is>
      </c>
      <c r="E1068" t="inlineStr">
        <is>
          <t>RAGUNDA</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26002-2023</t>
        </is>
      </c>
      <c r="B1069" s="1" t="n">
        <v>45091</v>
      </c>
      <c r="C1069" s="1" t="n">
        <v>45506</v>
      </c>
      <c r="D1069" t="inlineStr">
        <is>
          <t>JÄMTLANDS LÄN</t>
        </is>
      </c>
      <c r="E1069" t="inlineStr">
        <is>
          <t>RAGUNDA</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26347-2023</t>
        </is>
      </c>
      <c r="B1070" s="1" t="n">
        <v>45091</v>
      </c>
      <c r="C1070" s="1" t="n">
        <v>45506</v>
      </c>
      <c r="D1070" t="inlineStr">
        <is>
          <t>JÄMTLANDS LÄN</t>
        </is>
      </c>
      <c r="E1070" t="inlineStr">
        <is>
          <t>RAGUNDA</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45506</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26644-2023</t>
        </is>
      </c>
      <c r="B1072" s="1" t="n">
        <v>45093</v>
      </c>
      <c r="C1072" s="1" t="n">
        <v>45506</v>
      </c>
      <c r="D1072" t="inlineStr">
        <is>
          <t>JÄMTLANDS LÄN</t>
        </is>
      </c>
      <c r="E1072" t="inlineStr">
        <is>
          <t>RAGUNDA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26646-2023</t>
        </is>
      </c>
      <c r="B1073" s="1" t="n">
        <v>45092</v>
      </c>
      <c r="C1073" s="1" t="n">
        <v>45506</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27091-2023</t>
        </is>
      </c>
      <c r="B1074" s="1" t="n">
        <v>45092</v>
      </c>
      <c r="C1074" s="1" t="n">
        <v>45506</v>
      </c>
      <c r="D1074" t="inlineStr">
        <is>
          <t>JÄMTLANDS LÄN</t>
        </is>
      </c>
      <c r="E1074" t="inlineStr">
        <is>
          <t>RAGUNDA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27085-2023</t>
        </is>
      </c>
      <c r="B1075" s="1" t="n">
        <v>45092</v>
      </c>
      <c r="C1075" s="1" t="n">
        <v>45506</v>
      </c>
      <c r="D1075" t="inlineStr">
        <is>
          <t>JÄMTLANDS LÄN</t>
        </is>
      </c>
      <c r="E1075" t="inlineStr">
        <is>
          <t>RAGUNDA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26991-2023</t>
        </is>
      </c>
      <c r="B1076" s="1" t="n">
        <v>45094</v>
      </c>
      <c r="C1076" s="1" t="n">
        <v>45506</v>
      </c>
      <c r="D1076" t="inlineStr">
        <is>
          <t>JÄMTLANDS LÄN</t>
        </is>
      </c>
      <c r="E1076" t="inlineStr">
        <is>
          <t>RAGUNDA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26995-2023</t>
        </is>
      </c>
      <c r="B1077" s="1" t="n">
        <v>45093</v>
      </c>
      <c r="C1077" s="1" t="n">
        <v>45506</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26993-2023</t>
        </is>
      </c>
      <c r="B1078" s="1" t="n">
        <v>45093</v>
      </c>
      <c r="C1078" s="1" t="n">
        <v>45506</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26994-2023</t>
        </is>
      </c>
      <c r="B1079" s="1" t="n">
        <v>45094</v>
      </c>
      <c r="C1079" s="1" t="n">
        <v>45506</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26992-2023</t>
        </is>
      </c>
      <c r="B1080" s="1" t="n">
        <v>45094</v>
      </c>
      <c r="C1080" s="1" t="n">
        <v>45506</v>
      </c>
      <c r="D1080" t="inlineStr">
        <is>
          <t>JÄMTLANDS LÄN</t>
        </is>
      </c>
      <c r="E1080" t="inlineStr">
        <is>
          <t>RAGUNDA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27373-2023</t>
        </is>
      </c>
      <c r="B1081" s="1" t="n">
        <v>45097</v>
      </c>
      <c r="C1081" s="1" t="n">
        <v>45506</v>
      </c>
      <c r="D1081" t="inlineStr">
        <is>
          <t>JÄMTLANDS LÄN</t>
        </is>
      </c>
      <c r="E1081" t="inlineStr">
        <is>
          <t>RAGUNDA</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27379-2023</t>
        </is>
      </c>
      <c r="B1082" s="1" t="n">
        <v>45097</v>
      </c>
      <c r="C1082" s="1" t="n">
        <v>45506</v>
      </c>
      <c r="D1082" t="inlineStr">
        <is>
          <t>JÄMTLANDS LÄN</t>
        </is>
      </c>
      <c r="E1082" t="inlineStr">
        <is>
          <t>RAGUNDA</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28685-2023</t>
        </is>
      </c>
      <c r="B1083" s="1" t="n">
        <v>45096</v>
      </c>
      <c r="C1083" s="1" t="n">
        <v>45506</v>
      </c>
      <c r="D1083" t="inlineStr">
        <is>
          <t>JÄMTLANDS LÄN</t>
        </is>
      </c>
      <c r="E1083" t="inlineStr">
        <is>
          <t>RAGUNDA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28806-2023</t>
        </is>
      </c>
      <c r="B1084" s="1" t="n">
        <v>45096</v>
      </c>
      <c r="C1084" s="1" t="n">
        <v>45506</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29775-2023</t>
        </is>
      </c>
      <c r="B1085" s="1" t="n">
        <v>45098</v>
      </c>
      <c r="C1085" s="1" t="n">
        <v>45506</v>
      </c>
      <c r="D1085" t="inlineStr">
        <is>
          <t>JÄMTLANDS LÄN</t>
        </is>
      </c>
      <c r="E1085" t="inlineStr">
        <is>
          <t>RAGUNDA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29766-2023</t>
        </is>
      </c>
      <c r="B1086" s="1" t="n">
        <v>45098</v>
      </c>
      <c r="C1086" s="1" t="n">
        <v>45506</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28352-2023</t>
        </is>
      </c>
      <c r="B1087" s="1" t="n">
        <v>45100</v>
      </c>
      <c r="C1087" s="1" t="n">
        <v>45506</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28351-2023</t>
        </is>
      </c>
      <c r="B1088" s="1" t="n">
        <v>45100</v>
      </c>
      <c r="C1088" s="1" t="n">
        <v>45506</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28742-2023</t>
        </is>
      </c>
      <c r="B1089" s="1" t="n">
        <v>45103</v>
      </c>
      <c r="C1089" s="1" t="n">
        <v>45506</v>
      </c>
      <c r="D1089" t="inlineStr">
        <is>
          <t>JÄMTLANDS LÄN</t>
        </is>
      </c>
      <c r="E1089" t="inlineStr">
        <is>
          <t>RAGUNDA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31135-2023</t>
        </is>
      </c>
      <c r="B1090" s="1" t="n">
        <v>45103</v>
      </c>
      <c r="C1090" s="1" t="n">
        <v>45506</v>
      </c>
      <c r="D1090" t="inlineStr">
        <is>
          <t>JÄMTLANDS LÄN</t>
        </is>
      </c>
      <c r="E1090" t="inlineStr">
        <is>
          <t>RAGUNDA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29053-2023</t>
        </is>
      </c>
      <c r="B1091" s="1" t="n">
        <v>45104</v>
      </c>
      <c r="C1091" s="1" t="n">
        <v>45506</v>
      </c>
      <c r="D1091" t="inlineStr">
        <is>
          <t>JÄMTLANDS LÄN</t>
        </is>
      </c>
      <c r="E1091" t="inlineStr">
        <is>
          <t>RAGUNDA</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29319-2023</t>
        </is>
      </c>
      <c r="B1092" s="1" t="n">
        <v>45105</v>
      </c>
      <c r="C1092" s="1" t="n">
        <v>45506</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29940-2023</t>
        </is>
      </c>
      <c r="B1093" s="1" t="n">
        <v>45107</v>
      </c>
      <c r="C1093" s="1" t="n">
        <v>45506</v>
      </c>
      <c r="D1093" t="inlineStr">
        <is>
          <t>JÄMTLANDS LÄN</t>
        </is>
      </c>
      <c r="E1093" t="inlineStr">
        <is>
          <t>RAGUNDA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29939-2023</t>
        </is>
      </c>
      <c r="B1094" s="1" t="n">
        <v>45107</v>
      </c>
      <c r="C1094" s="1" t="n">
        <v>45506</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30563-2023</t>
        </is>
      </c>
      <c r="B1095" s="1" t="n">
        <v>45112</v>
      </c>
      <c r="C1095" s="1" t="n">
        <v>45506</v>
      </c>
      <c r="D1095" t="inlineStr">
        <is>
          <t>JÄMTLANDS LÄN</t>
        </is>
      </c>
      <c r="E1095" t="inlineStr">
        <is>
          <t>RAGUNDA</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32592-2023</t>
        </is>
      </c>
      <c r="B1096" s="1" t="n">
        <v>45111</v>
      </c>
      <c r="C1096" s="1" t="n">
        <v>45506</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30826-2023</t>
        </is>
      </c>
      <c r="B1097" s="1" t="n">
        <v>45112</v>
      </c>
      <c r="C1097" s="1" t="n">
        <v>45506</v>
      </c>
      <c r="D1097" t="inlineStr">
        <is>
          <t>JÄMTLANDS LÄN</t>
        </is>
      </c>
      <c r="E1097" t="inlineStr">
        <is>
          <t>RAGUNDA</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30825-2023</t>
        </is>
      </c>
      <c r="B1098" s="1" t="n">
        <v>45113</v>
      </c>
      <c r="C1098" s="1" t="n">
        <v>45506</v>
      </c>
      <c r="D1098" t="inlineStr">
        <is>
          <t>JÄMTLANDS LÄN</t>
        </is>
      </c>
      <c r="E1098" t="inlineStr">
        <is>
          <t>RAGUNDA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30823-2023</t>
        </is>
      </c>
      <c r="B1099" s="1" t="n">
        <v>45112</v>
      </c>
      <c r="C1099" s="1" t="n">
        <v>45506</v>
      </c>
      <c r="D1099" t="inlineStr">
        <is>
          <t>JÄMTLANDS LÄN</t>
        </is>
      </c>
      <c r="E1099" t="inlineStr">
        <is>
          <t>RAGUNDA</t>
        </is>
      </c>
      <c r="F1099" t="inlineStr">
        <is>
          <t>SCA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30824-2023</t>
        </is>
      </c>
      <c r="B1100" s="1" t="n">
        <v>45113</v>
      </c>
      <c r="C1100" s="1" t="n">
        <v>45506</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31200-2023</t>
        </is>
      </c>
      <c r="B1101" s="1" t="n">
        <v>45114</v>
      </c>
      <c r="C1101" s="1" t="n">
        <v>45506</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31926-2023</t>
        </is>
      </c>
      <c r="B1102" s="1" t="n">
        <v>45119</v>
      </c>
      <c r="C1102" s="1" t="n">
        <v>45506</v>
      </c>
      <c r="D1102" t="inlineStr">
        <is>
          <t>JÄMTLANDS LÄN</t>
        </is>
      </c>
      <c r="E1102" t="inlineStr">
        <is>
          <t>RAGUNDA</t>
        </is>
      </c>
      <c r="F1102" t="inlineStr">
        <is>
          <t>SCA</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32207-2023</t>
        </is>
      </c>
      <c r="B1103" s="1" t="n">
        <v>45120</v>
      </c>
      <c r="C1103" s="1" t="n">
        <v>45506</v>
      </c>
      <c r="D1103" t="inlineStr">
        <is>
          <t>JÄMTLANDS LÄN</t>
        </is>
      </c>
      <c r="E1103" t="inlineStr">
        <is>
          <t>RAGUNDA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33615-2023</t>
        </is>
      </c>
      <c r="B1104" s="1" t="n">
        <v>45119</v>
      </c>
      <c r="C1104" s="1" t="n">
        <v>45506</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33621-2023</t>
        </is>
      </c>
      <c r="B1105" s="1" t="n">
        <v>45119</v>
      </c>
      <c r="C1105" s="1" t="n">
        <v>45506</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33035-2023</t>
        </is>
      </c>
      <c r="B1106" s="1" t="n">
        <v>45126</v>
      </c>
      <c r="C1106" s="1" t="n">
        <v>45506</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33047-2023</t>
        </is>
      </c>
      <c r="B1107" s="1" t="n">
        <v>45126</v>
      </c>
      <c r="C1107" s="1" t="n">
        <v>45506</v>
      </c>
      <c r="D1107" t="inlineStr">
        <is>
          <t>JÄMTLANDS LÄN</t>
        </is>
      </c>
      <c r="E1107" t="inlineStr">
        <is>
          <t>RAGUNDA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33038-2023</t>
        </is>
      </c>
      <c r="B1108" s="1" t="n">
        <v>45126</v>
      </c>
      <c r="C1108" s="1" t="n">
        <v>45506</v>
      </c>
      <c r="D1108" t="inlineStr">
        <is>
          <t>JÄMTLANDS LÄN</t>
        </is>
      </c>
      <c r="E1108" t="inlineStr">
        <is>
          <t>RAGUNDA</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33046-2023</t>
        </is>
      </c>
      <c r="B1109" s="1" t="n">
        <v>45126</v>
      </c>
      <c r="C1109" s="1" t="n">
        <v>45506</v>
      </c>
      <c r="D1109" t="inlineStr">
        <is>
          <t>JÄMTLANDS LÄN</t>
        </is>
      </c>
      <c r="E1109" t="inlineStr">
        <is>
          <t>RAGUNDA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33432-2023</t>
        </is>
      </c>
      <c r="B1110" s="1" t="n">
        <v>45128</v>
      </c>
      <c r="C1110" s="1" t="n">
        <v>45506</v>
      </c>
      <c r="D1110" t="inlineStr">
        <is>
          <t>JÄMTLANDS LÄN</t>
        </is>
      </c>
      <c r="E1110" t="inlineStr">
        <is>
          <t>RAGUNDA</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33589-2023</t>
        </is>
      </c>
      <c r="B1111" s="1" t="n">
        <v>45132</v>
      </c>
      <c r="C1111" s="1" t="n">
        <v>45506</v>
      </c>
      <c r="D1111" t="inlineStr">
        <is>
          <t>JÄMTLANDS LÄN</t>
        </is>
      </c>
      <c r="E1111" t="inlineStr">
        <is>
          <t>RAGUNDA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33588-2023</t>
        </is>
      </c>
      <c r="B1112" s="1" t="n">
        <v>45131</v>
      </c>
      <c r="C1112" s="1" t="n">
        <v>45506</v>
      </c>
      <c r="D1112" t="inlineStr">
        <is>
          <t>JÄMTLANDS LÄN</t>
        </is>
      </c>
      <c r="E1112" t="inlineStr">
        <is>
          <t>RAGUNDA</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33717-2023</t>
        </is>
      </c>
      <c r="B1113" s="1" t="n">
        <v>45132</v>
      </c>
      <c r="C1113" s="1" t="n">
        <v>45506</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33877-2023</t>
        </is>
      </c>
      <c r="B1114" s="1" t="n">
        <v>45133</v>
      </c>
      <c r="C1114" s="1" t="n">
        <v>45506</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34322-2023</t>
        </is>
      </c>
      <c r="B1115" s="1" t="n">
        <v>45139</v>
      </c>
      <c r="C1115" s="1" t="n">
        <v>45506</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34321-2023</t>
        </is>
      </c>
      <c r="B1116" s="1" t="n">
        <v>45138</v>
      </c>
      <c r="C1116" s="1" t="n">
        <v>45506</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34323-2023</t>
        </is>
      </c>
      <c r="B1117" s="1" t="n">
        <v>45139</v>
      </c>
      <c r="C1117" s="1" t="n">
        <v>45506</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34483-2023</t>
        </is>
      </c>
      <c r="B1118" s="1" t="n">
        <v>45140</v>
      </c>
      <c r="C1118" s="1" t="n">
        <v>45506</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34689-2023</t>
        </is>
      </c>
      <c r="B1119" s="1" t="n">
        <v>45141</v>
      </c>
      <c r="C1119" s="1" t="n">
        <v>45506</v>
      </c>
      <c r="D1119" t="inlineStr">
        <is>
          <t>JÄMTLANDS LÄN</t>
        </is>
      </c>
      <c r="E1119" t="inlineStr">
        <is>
          <t>RAGUNDA</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34691-2023</t>
        </is>
      </c>
      <c r="B1120" s="1" t="n">
        <v>45141</v>
      </c>
      <c r="C1120" s="1" t="n">
        <v>45506</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35009-2023</t>
        </is>
      </c>
      <c r="B1121" s="1" t="n">
        <v>45142</v>
      </c>
      <c r="C1121" s="1" t="n">
        <v>45506</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35272-2023</t>
        </is>
      </c>
      <c r="B1122" s="1" t="n">
        <v>45146</v>
      </c>
      <c r="C1122" s="1" t="n">
        <v>45506</v>
      </c>
      <c r="D1122" t="inlineStr">
        <is>
          <t>JÄMTLANDS LÄN</t>
        </is>
      </c>
      <c r="E1122" t="inlineStr">
        <is>
          <t>RAGUNDA</t>
        </is>
      </c>
      <c r="F1122" t="inlineStr">
        <is>
          <t>SCA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35265-2023</t>
        </is>
      </c>
      <c r="B1123" s="1" t="n">
        <v>45146</v>
      </c>
      <c r="C1123" s="1" t="n">
        <v>45506</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35273-2023</t>
        </is>
      </c>
      <c r="B1124" s="1" t="n">
        <v>45146</v>
      </c>
      <c r="C1124" s="1" t="n">
        <v>45506</v>
      </c>
      <c r="D1124" t="inlineStr">
        <is>
          <t>JÄMTLANDS LÄN</t>
        </is>
      </c>
      <c r="E1124" t="inlineStr">
        <is>
          <t>RAGUNDA</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35274-2023</t>
        </is>
      </c>
      <c r="B1125" s="1" t="n">
        <v>45145</v>
      </c>
      <c r="C1125" s="1" t="n">
        <v>45506</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35565-2023</t>
        </is>
      </c>
      <c r="B1126" s="1" t="n">
        <v>45146</v>
      </c>
      <c r="C1126" s="1" t="n">
        <v>45506</v>
      </c>
      <c r="D1126" t="inlineStr">
        <is>
          <t>JÄMTLANDS LÄN</t>
        </is>
      </c>
      <c r="E1126" t="inlineStr">
        <is>
          <t>RAGUNDA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35912-2023</t>
        </is>
      </c>
      <c r="B1127" s="1" t="n">
        <v>45148</v>
      </c>
      <c r="C1127" s="1" t="n">
        <v>45506</v>
      </c>
      <c r="D1127" t="inlineStr">
        <is>
          <t>JÄMTLANDS LÄN</t>
        </is>
      </c>
      <c r="E1127" t="inlineStr">
        <is>
          <t>RAGUNDA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36046-2023</t>
        </is>
      </c>
      <c r="B1128" s="1" t="n">
        <v>45148</v>
      </c>
      <c r="C1128" s="1" t="n">
        <v>45506</v>
      </c>
      <c r="D1128" t="inlineStr">
        <is>
          <t>JÄMTLANDS LÄN</t>
        </is>
      </c>
      <c r="E1128" t="inlineStr">
        <is>
          <t>RAGUNDA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36206-2023</t>
        </is>
      </c>
      <c r="B1129" s="1" t="n">
        <v>45150</v>
      </c>
      <c r="C1129" s="1" t="n">
        <v>45506</v>
      </c>
      <c r="D1129" t="inlineStr">
        <is>
          <t>JÄMTLANDS LÄN</t>
        </is>
      </c>
      <c r="E1129" t="inlineStr">
        <is>
          <t>RAGUNDA</t>
        </is>
      </c>
      <c r="F1129" t="inlineStr">
        <is>
          <t>SCA</t>
        </is>
      </c>
      <c r="G1129" t="n">
        <v>20.4</v>
      </c>
      <c r="H1129" t="n">
        <v>0</v>
      </c>
      <c r="I1129" t="n">
        <v>0</v>
      </c>
      <c r="J1129" t="n">
        <v>0</v>
      </c>
      <c r="K1129" t="n">
        <v>0</v>
      </c>
      <c r="L1129" t="n">
        <v>0</v>
      </c>
      <c r="M1129" t="n">
        <v>0</v>
      </c>
      <c r="N1129" t="n">
        <v>0</v>
      </c>
      <c r="O1129" t="n">
        <v>0</v>
      </c>
      <c r="P1129" t="n">
        <v>0</v>
      </c>
      <c r="Q1129" t="n">
        <v>0</v>
      </c>
      <c r="R1129" s="2" t="inlineStr"/>
    </row>
    <row r="1130" ht="15" customHeight="1">
      <c r="A1130" t="inlineStr">
        <is>
          <t>A 36227-2023</t>
        </is>
      </c>
      <c r="B1130" s="1" t="n">
        <v>45150</v>
      </c>
      <c r="C1130" s="1" t="n">
        <v>45506</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36212-2023</t>
        </is>
      </c>
      <c r="B1131" s="1" t="n">
        <v>45150</v>
      </c>
      <c r="C1131" s="1" t="n">
        <v>45506</v>
      </c>
      <c r="D1131" t="inlineStr">
        <is>
          <t>JÄMTLANDS LÄN</t>
        </is>
      </c>
      <c r="E1131" t="inlineStr">
        <is>
          <t>RAGUNDA</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36213-2023</t>
        </is>
      </c>
      <c r="B1132" s="1" t="n">
        <v>45150</v>
      </c>
      <c r="C1132" s="1" t="n">
        <v>45506</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36226-2023</t>
        </is>
      </c>
      <c r="B1133" s="1" t="n">
        <v>45150</v>
      </c>
      <c r="C1133" s="1" t="n">
        <v>45506</v>
      </c>
      <c r="D1133" t="inlineStr">
        <is>
          <t>JÄMTLANDS LÄN</t>
        </is>
      </c>
      <c r="E1133" t="inlineStr">
        <is>
          <t>RAGUNDA</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36371-2023</t>
        </is>
      </c>
      <c r="B1134" s="1" t="n">
        <v>45149</v>
      </c>
      <c r="C1134" s="1" t="n">
        <v>45506</v>
      </c>
      <c r="D1134" t="inlineStr">
        <is>
          <t>JÄMTLANDS LÄN</t>
        </is>
      </c>
      <c r="E1134" t="inlineStr">
        <is>
          <t>RAGUNDA</t>
        </is>
      </c>
      <c r="G1134" t="n">
        <v>25.7</v>
      </c>
      <c r="H1134" t="n">
        <v>0</v>
      </c>
      <c r="I1134" t="n">
        <v>0</v>
      </c>
      <c r="J1134" t="n">
        <v>0</v>
      </c>
      <c r="K1134" t="n">
        <v>0</v>
      </c>
      <c r="L1134" t="n">
        <v>0</v>
      </c>
      <c r="M1134" t="n">
        <v>0</v>
      </c>
      <c r="N1134" t="n">
        <v>0</v>
      </c>
      <c r="O1134" t="n">
        <v>0</v>
      </c>
      <c r="P1134" t="n">
        <v>0</v>
      </c>
      <c r="Q1134" t="n">
        <v>0</v>
      </c>
      <c r="R1134" s="2" t="inlineStr"/>
    </row>
    <row r="1135" ht="15" customHeight="1">
      <c r="A1135" t="inlineStr">
        <is>
          <t>A 36506-2023</t>
        </is>
      </c>
      <c r="B1135" s="1" t="n">
        <v>45153</v>
      </c>
      <c r="C1135" s="1" t="n">
        <v>45506</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36755-2023</t>
        </is>
      </c>
      <c r="B1136" s="1" t="n">
        <v>45153</v>
      </c>
      <c r="C1136" s="1" t="n">
        <v>45506</v>
      </c>
      <c r="D1136" t="inlineStr">
        <is>
          <t>JÄMTLANDS LÄN</t>
        </is>
      </c>
      <c r="E1136" t="inlineStr">
        <is>
          <t>RAGUNDA</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36859-2023</t>
        </is>
      </c>
      <c r="B1137" s="1" t="n">
        <v>45153</v>
      </c>
      <c r="C1137" s="1" t="n">
        <v>45506</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36985-2023</t>
        </is>
      </c>
      <c r="B1138" s="1" t="n">
        <v>45155</v>
      </c>
      <c r="C1138" s="1" t="n">
        <v>45506</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36986-2023</t>
        </is>
      </c>
      <c r="B1139" s="1" t="n">
        <v>45155</v>
      </c>
      <c r="C1139" s="1" t="n">
        <v>45506</v>
      </c>
      <c r="D1139" t="inlineStr">
        <is>
          <t>JÄMTLANDS LÄN</t>
        </is>
      </c>
      <c r="E1139" t="inlineStr">
        <is>
          <t>RAGUNDA</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37251-2023</t>
        </is>
      </c>
      <c r="B1140" s="1" t="n">
        <v>45156</v>
      </c>
      <c r="C1140" s="1" t="n">
        <v>45506</v>
      </c>
      <c r="D1140" t="inlineStr">
        <is>
          <t>JÄMTLANDS LÄN</t>
        </is>
      </c>
      <c r="E1140" t="inlineStr">
        <is>
          <t>RAGUNDA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37480-2023</t>
        </is>
      </c>
      <c r="B1141" s="1" t="n">
        <v>45156</v>
      </c>
      <c r="C1141" s="1" t="n">
        <v>45506</v>
      </c>
      <c r="D1141" t="inlineStr">
        <is>
          <t>JÄMTLANDS LÄN</t>
        </is>
      </c>
      <c r="E1141" t="inlineStr">
        <is>
          <t>RAGUNDA</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37479-2023</t>
        </is>
      </c>
      <c r="B1142" s="1" t="n">
        <v>45156</v>
      </c>
      <c r="C1142" s="1" t="n">
        <v>45506</v>
      </c>
      <c r="D1142" t="inlineStr">
        <is>
          <t>JÄMTLANDS LÄN</t>
        </is>
      </c>
      <c r="E1142" t="inlineStr">
        <is>
          <t>RAGUNDA</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37536-2023</t>
        </is>
      </c>
      <c r="B1143" s="1" t="n">
        <v>45159</v>
      </c>
      <c r="C1143" s="1" t="n">
        <v>45506</v>
      </c>
      <c r="D1143" t="inlineStr">
        <is>
          <t>JÄMTLANDS LÄN</t>
        </is>
      </c>
      <c r="E1143" t="inlineStr">
        <is>
          <t>RAGUNDA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37544-2023</t>
        </is>
      </c>
      <c r="B1144" s="1" t="n">
        <v>45159</v>
      </c>
      <c r="C1144" s="1" t="n">
        <v>45506</v>
      </c>
      <c r="D1144" t="inlineStr">
        <is>
          <t>JÄMTLANDS LÄN</t>
        </is>
      </c>
      <c r="E1144" t="inlineStr">
        <is>
          <t>RAGUNDA</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37543-2023</t>
        </is>
      </c>
      <c r="B1145" s="1" t="n">
        <v>45159</v>
      </c>
      <c r="C1145" s="1" t="n">
        <v>45506</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37795-2023</t>
        </is>
      </c>
      <c r="B1146" s="1" t="n">
        <v>45160</v>
      </c>
      <c r="C1146" s="1" t="n">
        <v>45506</v>
      </c>
      <c r="D1146" t="inlineStr">
        <is>
          <t>JÄMTLANDS LÄN</t>
        </is>
      </c>
      <c r="E1146" t="inlineStr">
        <is>
          <t>RAGUNDA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37805-2023</t>
        </is>
      </c>
      <c r="B1147" s="1" t="n">
        <v>45160</v>
      </c>
      <c r="C1147" s="1" t="n">
        <v>45506</v>
      </c>
      <c r="D1147" t="inlineStr">
        <is>
          <t>JÄMTLANDS LÄN</t>
        </is>
      </c>
      <c r="E1147" t="inlineStr">
        <is>
          <t>RAGUNDA</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37804-2023</t>
        </is>
      </c>
      <c r="B1148" s="1" t="n">
        <v>45160</v>
      </c>
      <c r="C1148" s="1" t="n">
        <v>45506</v>
      </c>
      <c r="D1148" t="inlineStr">
        <is>
          <t>JÄMTLANDS LÄN</t>
        </is>
      </c>
      <c r="E1148" t="inlineStr">
        <is>
          <t>RAGUNDA</t>
        </is>
      </c>
      <c r="F1148" t="inlineStr">
        <is>
          <t>SCA</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39070-2023</t>
        </is>
      </c>
      <c r="B1149" s="1" t="n">
        <v>45164</v>
      </c>
      <c r="C1149" s="1" t="n">
        <v>45506</v>
      </c>
      <c r="D1149" t="inlineStr">
        <is>
          <t>JÄMTLANDS LÄN</t>
        </is>
      </c>
      <c r="E1149" t="inlineStr">
        <is>
          <t>RAGUNDA</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39076-2023</t>
        </is>
      </c>
      <c r="B1150" s="1" t="n">
        <v>45163</v>
      </c>
      <c r="C1150" s="1" t="n">
        <v>45506</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39478-2023</t>
        </is>
      </c>
      <c r="B1151" s="1" t="n">
        <v>45166</v>
      </c>
      <c r="C1151" s="1" t="n">
        <v>45506</v>
      </c>
      <c r="D1151" t="inlineStr">
        <is>
          <t>JÄMTLANDS LÄN</t>
        </is>
      </c>
      <c r="E1151" t="inlineStr">
        <is>
          <t>RAGUNDA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39482-2023</t>
        </is>
      </c>
      <c r="B1152" s="1" t="n">
        <v>45167</v>
      </c>
      <c r="C1152" s="1" t="n">
        <v>45506</v>
      </c>
      <c r="D1152" t="inlineStr">
        <is>
          <t>JÄMTLANDS LÄN</t>
        </is>
      </c>
      <c r="E1152" t="inlineStr">
        <is>
          <t>RAGUNDA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39487-2023</t>
        </is>
      </c>
      <c r="B1153" s="1" t="n">
        <v>45167</v>
      </c>
      <c r="C1153" s="1" t="n">
        <v>45506</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45506</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39488-2023</t>
        </is>
      </c>
      <c r="B1155" s="1" t="n">
        <v>45166</v>
      </c>
      <c r="C1155" s="1" t="n">
        <v>45506</v>
      </c>
      <c r="D1155" t="inlineStr">
        <is>
          <t>JÄMTLANDS LÄN</t>
        </is>
      </c>
      <c r="E1155" t="inlineStr">
        <is>
          <t>RAGUNDA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39481-2023</t>
        </is>
      </c>
      <c r="B1156" s="1" t="n">
        <v>45167</v>
      </c>
      <c r="C1156" s="1" t="n">
        <v>45506</v>
      </c>
      <c r="D1156" t="inlineStr">
        <is>
          <t>JÄMTLANDS LÄN</t>
        </is>
      </c>
      <c r="E1156" t="inlineStr">
        <is>
          <t>RAGUNDA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39820-2023</t>
        </is>
      </c>
      <c r="B1157" s="1" t="n">
        <v>45167</v>
      </c>
      <c r="C1157" s="1" t="n">
        <v>45506</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40801-2023</t>
        </is>
      </c>
      <c r="B1158" s="1" t="n">
        <v>45170</v>
      </c>
      <c r="C1158" s="1" t="n">
        <v>45506</v>
      </c>
      <c r="D1158" t="inlineStr">
        <is>
          <t>JÄMTLANDS LÄN</t>
        </is>
      </c>
      <c r="E1158" t="inlineStr">
        <is>
          <t>RAGUNDA</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40800-2023</t>
        </is>
      </c>
      <c r="B1159" s="1" t="n">
        <v>45171</v>
      </c>
      <c r="C1159" s="1" t="n">
        <v>45506</v>
      </c>
      <c r="D1159" t="inlineStr">
        <is>
          <t>JÄMTLANDS LÄN</t>
        </is>
      </c>
      <c r="E1159" t="inlineStr">
        <is>
          <t>RAGUNDA</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41413-2023</t>
        </is>
      </c>
      <c r="B1160" s="1" t="n">
        <v>45175</v>
      </c>
      <c r="C1160" s="1" t="n">
        <v>45506</v>
      </c>
      <c r="D1160" t="inlineStr">
        <is>
          <t>JÄMTLANDS LÄN</t>
        </is>
      </c>
      <c r="E1160" t="inlineStr">
        <is>
          <t>RAGUNDA</t>
        </is>
      </c>
      <c r="F1160" t="inlineStr">
        <is>
          <t>SCA</t>
        </is>
      </c>
      <c r="G1160" t="n">
        <v>40.6</v>
      </c>
      <c r="H1160" t="n">
        <v>0</v>
      </c>
      <c r="I1160" t="n">
        <v>0</v>
      </c>
      <c r="J1160" t="n">
        <v>0</v>
      </c>
      <c r="K1160" t="n">
        <v>0</v>
      </c>
      <c r="L1160" t="n">
        <v>0</v>
      </c>
      <c r="M1160" t="n">
        <v>0</v>
      </c>
      <c r="N1160" t="n">
        <v>0</v>
      </c>
      <c r="O1160" t="n">
        <v>0</v>
      </c>
      <c r="P1160" t="n">
        <v>0</v>
      </c>
      <c r="Q1160" t="n">
        <v>0</v>
      </c>
      <c r="R1160" s="2" t="inlineStr"/>
    </row>
    <row r="1161" ht="15" customHeight="1">
      <c r="A1161" t="inlineStr">
        <is>
          <t>A 41402-2023</t>
        </is>
      </c>
      <c r="B1161" s="1" t="n">
        <v>45175</v>
      </c>
      <c r="C1161" s="1" t="n">
        <v>45506</v>
      </c>
      <c r="D1161" t="inlineStr">
        <is>
          <t>JÄMTLANDS LÄN</t>
        </is>
      </c>
      <c r="E1161" t="inlineStr">
        <is>
          <t>RAGUNDA</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42295-2023</t>
        </is>
      </c>
      <c r="B1162" s="1" t="n">
        <v>45175</v>
      </c>
      <c r="C1162" s="1" t="n">
        <v>45506</v>
      </c>
      <c r="D1162" t="inlineStr">
        <is>
          <t>JÄMTLANDS LÄN</t>
        </is>
      </c>
      <c r="E1162" t="inlineStr">
        <is>
          <t>RAGUNDA</t>
        </is>
      </c>
      <c r="F1162" t="inlineStr">
        <is>
          <t>Kommuner</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41656-2023</t>
        </is>
      </c>
      <c r="B1163" s="1" t="n">
        <v>45175</v>
      </c>
      <c r="C1163" s="1" t="n">
        <v>45506</v>
      </c>
      <c r="D1163" t="inlineStr">
        <is>
          <t>JÄMTLANDS LÄN</t>
        </is>
      </c>
      <c r="E1163" t="inlineStr">
        <is>
          <t>RAGUNDA</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41693-2023</t>
        </is>
      </c>
      <c r="B1164" s="1" t="n">
        <v>45176</v>
      </c>
      <c r="C1164" s="1" t="n">
        <v>45506</v>
      </c>
      <c r="D1164" t="inlineStr">
        <is>
          <t>JÄMTLANDS LÄN</t>
        </is>
      </c>
      <c r="E1164" t="inlineStr">
        <is>
          <t>RAGUNDA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41766-2023</t>
        </is>
      </c>
      <c r="B1165" s="1" t="n">
        <v>45176</v>
      </c>
      <c r="C1165" s="1" t="n">
        <v>45506</v>
      </c>
      <c r="D1165" t="inlineStr">
        <is>
          <t>JÄMTLANDS LÄN</t>
        </is>
      </c>
      <c r="E1165" t="inlineStr">
        <is>
          <t>RAGUNDA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41905-2023</t>
        </is>
      </c>
      <c r="B1166" s="1" t="n">
        <v>45176</v>
      </c>
      <c r="C1166" s="1" t="n">
        <v>45506</v>
      </c>
      <c r="D1166" t="inlineStr">
        <is>
          <t>JÄMTLANDS LÄN</t>
        </is>
      </c>
      <c r="E1166" t="inlineStr">
        <is>
          <t>RAGUNDA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42149-2023</t>
        </is>
      </c>
      <c r="B1167" s="1" t="n">
        <v>45177</v>
      </c>
      <c r="C1167" s="1" t="n">
        <v>45506</v>
      </c>
      <c r="D1167" t="inlineStr">
        <is>
          <t>JÄMTLANDS LÄN</t>
        </is>
      </c>
      <c r="E1167" t="inlineStr">
        <is>
          <t>RAGUNDA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42510-2023</t>
        </is>
      </c>
      <c r="B1168" s="1" t="n">
        <v>45181</v>
      </c>
      <c r="C1168" s="1" t="n">
        <v>45506</v>
      </c>
      <c r="D1168" t="inlineStr">
        <is>
          <t>JÄMTLANDS LÄN</t>
        </is>
      </c>
      <c r="E1168" t="inlineStr">
        <is>
          <t>RAGUNDA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42509-2023</t>
        </is>
      </c>
      <c r="B1169" s="1" t="n">
        <v>45180</v>
      </c>
      <c r="C1169" s="1" t="n">
        <v>45506</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42508-2023</t>
        </is>
      </c>
      <c r="B1170" s="1" t="n">
        <v>45181</v>
      </c>
      <c r="C1170" s="1" t="n">
        <v>45506</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43607-2023</t>
        </is>
      </c>
      <c r="B1171" s="1" t="n">
        <v>45181</v>
      </c>
      <c r="C1171" s="1" t="n">
        <v>45506</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43102-2023</t>
        </is>
      </c>
      <c r="B1172" s="1" t="n">
        <v>45182</v>
      </c>
      <c r="C1172" s="1" t="n">
        <v>45506</v>
      </c>
      <c r="D1172" t="inlineStr">
        <is>
          <t>JÄMTLANDS LÄN</t>
        </is>
      </c>
      <c r="E1172" t="inlineStr">
        <is>
          <t>RAGUNDA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43122-2023</t>
        </is>
      </c>
      <c r="B1173" s="1" t="n">
        <v>45183</v>
      </c>
      <c r="C1173" s="1" t="n">
        <v>45506</v>
      </c>
      <c r="D1173" t="inlineStr">
        <is>
          <t>JÄMTLANDS LÄN</t>
        </is>
      </c>
      <c r="E1173" t="inlineStr">
        <is>
          <t>RAGUNDA</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43132-2023</t>
        </is>
      </c>
      <c r="B1174" s="1" t="n">
        <v>45182</v>
      </c>
      <c r="C1174" s="1" t="n">
        <v>45506</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43926-2023</t>
        </is>
      </c>
      <c r="B1175" s="1" t="n">
        <v>45182</v>
      </c>
      <c r="C1175" s="1" t="n">
        <v>45506</v>
      </c>
      <c r="D1175" t="inlineStr">
        <is>
          <t>JÄMTLANDS LÄN</t>
        </is>
      </c>
      <c r="E1175" t="inlineStr">
        <is>
          <t>RAGUNDA</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43405-2023</t>
        </is>
      </c>
      <c r="B1176" s="1" t="n">
        <v>45184</v>
      </c>
      <c r="C1176" s="1" t="n">
        <v>45506</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43409-2023</t>
        </is>
      </c>
      <c r="B1177" s="1" t="n">
        <v>45184</v>
      </c>
      <c r="C1177" s="1" t="n">
        <v>45506</v>
      </c>
      <c r="D1177" t="inlineStr">
        <is>
          <t>JÄMTLANDS LÄN</t>
        </is>
      </c>
      <c r="E1177" t="inlineStr">
        <is>
          <t>RAGUNDA</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44630-2023</t>
        </is>
      </c>
      <c r="B1178" s="1" t="n">
        <v>45184</v>
      </c>
      <c r="C1178" s="1" t="n">
        <v>45506</v>
      </c>
      <c r="D1178" t="inlineStr">
        <is>
          <t>JÄMTLANDS LÄN</t>
        </is>
      </c>
      <c r="E1178" t="inlineStr">
        <is>
          <t>RAGUNDA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44881-2023</t>
        </is>
      </c>
      <c r="B1179" s="1" t="n">
        <v>45187</v>
      </c>
      <c r="C1179" s="1" t="n">
        <v>45506</v>
      </c>
      <c r="D1179" t="inlineStr">
        <is>
          <t>JÄMTLANDS LÄN</t>
        </is>
      </c>
      <c r="E1179" t="inlineStr">
        <is>
          <t>RAGUNDA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45257-2023</t>
        </is>
      </c>
      <c r="B1180" s="1" t="n">
        <v>45187</v>
      </c>
      <c r="C1180" s="1" t="n">
        <v>45506</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45253-2023</t>
        </is>
      </c>
      <c r="B1181" s="1" t="n">
        <v>45187</v>
      </c>
      <c r="C1181" s="1" t="n">
        <v>45506</v>
      </c>
      <c r="D1181" t="inlineStr">
        <is>
          <t>JÄMTLANDS LÄN</t>
        </is>
      </c>
      <c r="E1181" t="inlineStr">
        <is>
          <t>RAGUNDA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44987-2023</t>
        </is>
      </c>
      <c r="B1182" s="1" t="n">
        <v>45191</v>
      </c>
      <c r="C1182" s="1" t="n">
        <v>45506</v>
      </c>
      <c r="D1182" t="inlineStr">
        <is>
          <t>JÄMTLANDS LÄN</t>
        </is>
      </c>
      <c r="E1182" t="inlineStr">
        <is>
          <t>RAGUNDA</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44999-2023</t>
        </is>
      </c>
      <c r="B1183" s="1" t="n">
        <v>45191</v>
      </c>
      <c r="C1183" s="1" t="n">
        <v>45506</v>
      </c>
      <c r="D1183" t="inlineStr">
        <is>
          <t>JÄMTLANDS LÄN</t>
        </is>
      </c>
      <c r="E1183" t="inlineStr">
        <is>
          <t>RAGUNDA</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44980-2023</t>
        </is>
      </c>
      <c r="B1184" s="1" t="n">
        <v>45190</v>
      </c>
      <c r="C1184" s="1" t="n">
        <v>45506</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44988-2023</t>
        </is>
      </c>
      <c r="B1185" s="1" t="n">
        <v>45190</v>
      </c>
      <c r="C1185" s="1" t="n">
        <v>45506</v>
      </c>
      <c r="D1185" t="inlineStr">
        <is>
          <t>JÄMTLANDS LÄN</t>
        </is>
      </c>
      <c r="E1185" t="inlineStr">
        <is>
          <t>RAGUNDA</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44996-2023</t>
        </is>
      </c>
      <c r="B1186" s="1" t="n">
        <v>45191</v>
      </c>
      <c r="C1186" s="1" t="n">
        <v>45506</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45008-2023</t>
        </is>
      </c>
      <c r="B1187" s="1" t="n">
        <v>45191</v>
      </c>
      <c r="C1187" s="1" t="n">
        <v>45506</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45020-2023</t>
        </is>
      </c>
      <c r="B1188" s="1" t="n">
        <v>45191</v>
      </c>
      <c r="C1188" s="1" t="n">
        <v>45506</v>
      </c>
      <c r="D1188" t="inlineStr">
        <is>
          <t>JÄMTLANDS LÄN</t>
        </is>
      </c>
      <c r="E1188" t="inlineStr">
        <is>
          <t>RAGUNDA</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44997-2023</t>
        </is>
      </c>
      <c r="B1189" s="1" t="n">
        <v>45191</v>
      </c>
      <c r="C1189" s="1" t="n">
        <v>45506</v>
      </c>
      <c r="D1189" t="inlineStr">
        <is>
          <t>JÄMTLANDS LÄN</t>
        </is>
      </c>
      <c r="E1189" t="inlineStr">
        <is>
          <t>RAGUNDA</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45336-2023</t>
        </is>
      </c>
      <c r="B1190" s="1" t="n">
        <v>45192</v>
      </c>
      <c r="C1190" s="1" t="n">
        <v>45506</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45335-2023</t>
        </is>
      </c>
      <c r="B1191" s="1" t="n">
        <v>45191</v>
      </c>
      <c r="C1191" s="1" t="n">
        <v>45506</v>
      </c>
      <c r="D1191" t="inlineStr">
        <is>
          <t>JÄMTLANDS LÄN</t>
        </is>
      </c>
      <c r="E1191" t="inlineStr">
        <is>
          <t>RAGUNDA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45338-2023</t>
        </is>
      </c>
      <c r="B1192" s="1" t="n">
        <v>45192</v>
      </c>
      <c r="C1192" s="1" t="n">
        <v>45506</v>
      </c>
      <c r="D1192" t="inlineStr">
        <is>
          <t>JÄMTLANDS LÄN</t>
        </is>
      </c>
      <c r="E1192" t="inlineStr">
        <is>
          <t>RAGUNDA</t>
        </is>
      </c>
      <c r="F1192" t="inlineStr">
        <is>
          <t>SCA</t>
        </is>
      </c>
      <c r="G1192" t="n">
        <v>23.4</v>
      </c>
      <c r="H1192" t="n">
        <v>0</v>
      </c>
      <c r="I1192" t="n">
        <v>0</v>
      </c>
      <c r="J1192" t="n">
        <v>0</v>
      </c>
      <c r="K1192" t="n">
        <v>0</v>
      </c>
      <c r="L1192" t="n">
        <v>0</v>
      </c>
      <c r="M1192" t="n">
        <v>0</v>
      </c>
      <c r="N1192" t="n">
        <v>0</v>
      </c>
      <c r="O1192" t="n">
        <v>0</v>
      </c>
      <c r="P1192" t="n">
        <v>0</v>
      </c>
      <c r="Q1192" t="n">
        <v>0</v>
      </c>
      <c r="R1192" s="2" t="inlineStr"/>
    </row>
    <row r="1193" ht="15" customHeight="1">
      <c r="A1193" t="inlineStr">
        <is>
          <t>A 45953-2023</t>
        </is>
      </c>
      <c r="B1193" s="1" t="n">
        <v>45196</v>
      </c>
      <c r="C1193" s="1" t="n">
        <v>45506</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45974-2023</t>
        </is>
      </c>
      <c r="B1194" s="1" t="n">
        <v>45196</v>
      </c>
      <c r="C1194" s="1" t="n">
        <v>45506</v>
      </c>
      <c r="D1194" t="inlineStr">
        <is>
          <t>JÄMTLANDS LÄN</t>
        </is>
      </c>
      <c r="E1194" t="inlineStr">
        <is>
          <t>RAGUNDA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45954-2023</t>
        </is>
      </c>
      <c r="B1195" s="1" t="n">
        <v>45196</v>
      </c>
      <c r="C1195" s="1" t="n">
        <v>45506</v>
      </c>
      <c r="D1195" t="inlineStr">
        <is>
          <t>JÄMTLANDS LÄN</t>
        </is>
      </c>
      <c r="E1195" t="inlineStr">
        <is>
          <t>RAGUNDA</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45952-2023</t>
        </is>
      </c>
      <c r="B1196" s="1" t="n">
        <v>45195</v>
      </c>
      <c r="C1196" s="1" t="n">
        <v>45506</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45955-2023</t>
        </is>
      </c>
      <c r="B1197" s="1" t="n">
        <v>45196</v>
      </c>
      <c r="C1197" s="1" t="n">
        <v>45506</v>
      </c>
      <c r="D1197" t="inlineStr">
        <is>
          <t>JÄMTLANDS LÄN</t>
        </is>
      </c>
      <c r="E1197" t="inlineStr">
        <is>
          <t>RAGUNDA</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47319-2023</t>
        </is>
      </c>
      <c r="B1198" s="1" t="n">
        <v>45196</v>
      </c>
      <c r="C1198" s="1" t="n">
        <v>45506</v>
      </c>
      <c r="D1198" t="inlineStr">
        <is>
          <t>JÄMTLANDS LÄN</t>
        </is>
      </c>
      <c r="E1198" t="inlineStr">
        <is>
          <t>RAGUNDA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46536-2023</t>
        </is>
      </c>
      <c r="B1199" s="1" t="n">
        <v>45198</v>
      </c>
      <c r="C1199" s="1" t="n">
        <v>45506</v>
      </c>
      <c r="D1199" t="inlineStr">
        <is>
          <t>JÄMTLANDS LÄN</t>
        </is>
      </c>
      <c r="E1199" t="inlineStr">
        <is>
          <t>RAGUNDA</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46549-2023</t>
        </is>
      </c>
      <c r="B1200" s="1" t="n">
        <v>45198</v>
      </c>
      <c r="C1200" s="1" t="n">
        <v>45506</v>
      </c>
      <c r="D1200" t="inlineStr">
        <is>
          <t>JÄMTLANDS LÄN</t>
        </is>
      </c>
      <c r="E1200" t="inlineStr">
        <is>
          <t>RAGUNDA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46537-2023</t>
        </is>
      </c>
      <c r="B1201" s="1" t="n">
        <v>45197</v>
      </c>
      <c r="C1201" s="1" t="n">
        <v>45506</v>
      </c>
      <c r="D1201" t="inlineStr">
        <is>
          <t>JÄMTLANDS LÄN</t>
        </is>
      </c>
      <c r="E1201" t="inlineStr">
        <is>
          <t>RAGUNDA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46546-2023</t>
        </is>
      </c>
      <c r="B1202" s="1" t="n">
        <v>45198</v>
      </c>
      <c r="C1202" s="1" t="n">
        <v>45506</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47444-2023</t>
        </is>
      </c>
      <c r="B1203" s="1" t="n">
        <v>45197</v>
      </c>
      <c r="C1203" s="1" t="n">
        <v>45506</v>
      </c>
      <c r="D1203" t="inlineStr">
        <is>
          <t>JÄMTLANDS LÄN</t>
        </is>
      </c>
      <c r="E1203" t="inlineStr">
        <is>
          <t>RAGUNDA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46817-2023</t>
        </is>
      </c>
      <c r="B1204" s="1" t="n">
        <v>45199</v>
      </c>
      <c r="C1204" s="1" t="n">
        <v>45506</v>
      </c>
      <c r="D1204" t="inlineStr">
        <is>
          <t>JÄMTLANDS LÄN</t>
        </is>
      </c>
      <c r="E1204" t="inlineStr">
        <is>
          <t>RAGUNDA</t>
        </is>
      </c>
      <c r="F1204" t="inlineStr">
        <is>
          <t>SCA</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46806-2023</t>
        </is>
      </c>
      <c r="B1205" s="1" t="n">
        <v>45199</v>
      </c>
      <c r="C1205" s="1" t="n">
        <v>45506</v>
      </c>
      <c r="D1205" t="inlineStr">
        <is>
          <t>JÄMTLANDS LÄN</t>
        </is>
      </c>
      <c r="E1205" t="inlineStr">
        <is>
          <t>RAGUNDA</t>
        </is>
      </c>
      <c r="F1205" t="inlineStr">
        <is>
          <t>SCA</t>
        </is>
      </c>
      <c r="G1205" t="n">
        <v>39.8</v>
      </c>
      <c r="H1205" t="n">
        <v>0</v>
      </c>
      <c r="I1205" t="n">
        <v>0</v>
      </c>
      <c r="J1205" t="n">
        <v>0</v>
      </c>
      <c r="K1205" t="n">
        <v>0</v>
      </c>
      <c r="L1205" t="n">
        <v>0</v>
      </c>
      <c r="M1205" t="n">
        <v>0</v>
      </c>
      <c r="N1205" t="n">
        <v>0</v>
      </c>
      <c r="O1205" t="n">
        <v>0</v>
      </c>
      <c r="P1205" t="n">
        <v>0</v>
      </c>
      <c r="Q1205" t="n">
        <v>0</v>
      </c>
      <c r="R1205" s="2" t="inlineStr"/>
    </row>
    <row r="1206" ht="15" customHeight="1">
      <c r="A1206" t="inlineStr">
        <is>
          <t>A 47168-2023</t>
        </is>
      </c>
      <c r="B1206" s="1" t="n">
        <v>45201</v>
      </c>
      <c r="C1206" s="1" t="n">
        <v>45506</v>
      </c>
      <c r="D1206" t="inlineStr">
        <is>
          <t>JÄMTLANDS LÄN</t>
        </is>
      </c>
      <c r="E1206" t="inlineStr">
        <is>
          <t>RAGUNDA</t>
        </is>
      </c>
      <c r="F1206" t="inlineStr">
        <is>
          <t>SCA</t>
        </is>
      </c>
      <c r="G1206" t="n">
        <v>15.6</v>
      </c>
      <c r="H1206" t="n">
        <v>0</v>
      </c>
      <c r="I1206" t="n">
        <v>0</v>
      </c>
      <c r="J1206" t="n">
        <v>0</v>
      </c>
      <c r="K1206" t="n">
        <v>0</v>
      </c>
      <c r="L1206" t="n">
        <v>0</v>
      </c>
      <c r="M1206" t="n">
        <v>0</v>
      </c>
      <c r="N1206" t="n">
        <v>0</v>
      </c>
      <c r="O1206" t="n">
        <v>0</v>
      </c>
      <c r="P1206" t="n">
        <v>0</v>
      </c>
      <c r="Q1206" t="n">
        <v>0</v>
      </c>
      <c r="R1206" s="2" t="inlineStr"/>
    </row>
    <row r="1207" ht="15" customHeight="1">
      <c r="A1207" t="inlineStr">
        <is>
          <t>A 47173-2023</t>
        </is>
      </c>
      <c r="B1207" s="1" t="n">
        <v>45202</v>
      </c>
      <c r="C1207" s="1" t="n">
        <v>45506</v>
      </c>
      <c r="D1207" t="inlineStr">
        <is>
          <t>JÄMTLANDS LÄN</t>
        </is>
      </c>
      <c r="E1207" t="inlineStr">
        <is>
          <t>RAGUNDA</t>
        </is>
      </c>
      <c r="F1207" t="inlineStr">
        <is>
          <t>SCA</t>
        </is>
      </c>
      <c r="G1207" t="n">
        <v>21.5</v>
      </c>
      <c r="H1207" t="n">
        <v>0</v>
      </c>
      <c r="I1207" t="n">
        <v>0</v>
      </c>
      <c r="J1207" t="n">
        <v>0</v>
      </c>
      <c r="K1207" t="n">
        <v>0</v>
      </c>
      <c r="L1207" t="n">
        <v>0</v>
      </c>
      <c r="M1207" t="n">
        <v>0</v>
      </c>
      <c r="N1207" t="n">
        <v>0</v>
      </c>
      <c r="O1207" t="n">
        <v>0</v>
      </c>
      <c r="P1207" t="n">
        <v>0</v>
      </c>
      <c r="Q1207" t="n">
        <v>0</v>
      </c>
      <c r="R1207" s="2" t="inlineStr"/>
    </row>
    <row r="1208" ht="15" customHeight="1">
      <c r="A1208" t="inlineStr">
        <is>
          <t>A 48065-2023</t>
        </is>
      </c>
      <c r="B1208" s="1" t="n">
        <v>45205</v>
      </c>
      <c r="C1208" s="1" t="n">
        <v>45506</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48066-2023</t>
        </is>
      </c>
      <c r="B1209" s="1" t="n">
        <v>45205</v>
      </c>
      <c r="C1209" s="1" t="n">
        <v>45506</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48421-2023</t>
        </is>
      </c>
      <c r="B1210" s="1" t="n">
        <v>45205</v>
      </c>
      <c r="C1210" s="1" t="n">
        <v>45506</v>
      </c>
      <c r="D1210" t="inlineStr">
        <is>
          <t>JÄMTLANDS LÄN</t>
        </is>
      </c>
      <c r="E1210" t="inlineStr">
        <is>
          <t>RAGUNDA</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48469-2023</t>
        </is>
      </c>
      <c r="B1211" s="1" t="n">
        <v>45207</v>
      </c>
      <c r="C1211" s="1" t="n">
        <v>45506</v>
      </c>
      <c r="D1211" t="inlineStr">
        <is>
          <t>JÄMTLANDS LÄN</t>
        </is>
      </c>
      <c r="E1211" t="inlineStr">
        <is>
          <t>RAGUNDA</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50160-2023</t>
        </is>
      </c>
      <c r="B1212" s="1" t="n">
        <v>45208</v>
      </c>
      <c r="C1212" s="1" t="n">
        <v>45506</v>
      </c>
      <c r="D1212" t="inlineStr">
        <is>
          <t>JÄMTLANDS LÄN</t>
        </is>
      </c>
      <c r="E1212" t="inlineStr">
        <is>
          <t>RAGUNDA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50157-2023</t>
        </is>
      </c>
      <c r="B1213" s="1" t="n">
        <v>45208</v>
      </c>
      <c r="C1213" s="1" t="n">
        <v>45506</v>
      </c>
      <c r="D1213" t="inlineStr">
        <is>
          <t>JÄMTLANDS LÄN</t>
        </is>
      </c>
      <c r="E1213" t="inlineStr">
        <is>
          <t>RAGUNDA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50658-2023</t>
        </is>
      </c>
      <c r="B1214" s="1" t="n">
        <v>45210</v>
      </c>
      <c r="C1214" s="1" t="n">
        <v>45506</v>
      </c>
      <c r="D1214" t="inlineStr">
        <is>
          <t>JÄMTLANDS LÄN</t>
        </is>
      </c>
      <c r="E1214" t="inlineStr">
        <is>
          <t>RAGUNDA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50650-2023</t>
        </is>
      </c>
      <c r="B1215" s="1" t="n">
        <v>45210</v>
      </c>
      <c r="C1215" s="1" t="n">
        <v>45506</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49650-2023</t>
        </is>
      </c>
      <c r="B1216" s="1" t="n">
        <v>45212</v>
      </c>
      <c r="C1216" s="1" t="n">
        <v>45506</v>
      </c>
      <c r="D1216" t="inlineStr">
        <is>
          <t>JÄMTLANDS LÄN</t>
        </is>
      </c>
      <c r="E1216" t="inlineStr">
        <is>
          <t>RAGUNDA</t>
        </is>
      </c>
      <c r="F1216" t="inlineStr">
        <is>
          <t>SCA</t>
        </is>
      </c>
      <c r="G1216" t="n">
        <v>19.8</v>
      </c>
      <c r="H1216" t="n">
        <v>0</v>
      </c>
      <c r="I1216" t="n">
        <v>0</v>
      </c>
      <c r="J1216" t="n">
        <v>0</v>
      </c>
      <c r="K1216" t="n">
        <v>0</v>
      </c>
      <c r="L1216" t="n">
        <v>0</v>
      </c>
      <c r="M1216" t="n">
        <v>0</v>
      </c>
      <c r="N1216" t="n">
        <v>0</v>
      </c>
      <c r="O1216" t="n">
        <v>0</v>
      </c>
      <c r="P1216" t="n">
        <v>0</v>
      </c>
      <c r="Q1216" t="n">
        <v>0</v>
      </c>
      <c r="R1216" s="2" t="inlineStr"/>
    </row>
    <row r="1217" ht="15" customHeight="1">
      <c r="A1217" t="inlineStr">
        <is>
          <t>A 49648-2023</t>
        </is>
      </c>
      <c r="B1217" s="1" t="n">
        <v>45212</v>
      </c>
      <c r="C1217" s="1" t="n">
        <v>45506</v>
      </c>
      <c r="D1217" t="inlineStr">
        <is>
          <t>JÄMTLANDS LÄN</t>
        </is>
      </c>
      <c r="E1217" t="inlineStr">
        <is>
          <t>RAGUNDA</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49659-2023</t>
        </is>
      </c>
      <c r="B1218" s="1" t="n">
        <v>45212</v>
      </c>
      <c r="C1218" s="1" t="n">
        <v>45506</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50211-2023</t>
        </is>
      </c>
      <c r="B1219" s="1" t="n">
        <v>45216</v>
      </c>
      <c r="C1219" s="1" t="n">
        <v>45506</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51503-2023</t>
        </is>
      </c>
      <c r="B1220" s="1" t="n">
        <v>45215</v>
      </c>
      <c r="C1220" s="1" t="n">
        <v>45506</v>
      </c>
      <c r="D1220" t="inlineStr">
        <is>
          <t>JÄMTLANDS LÄN</t>
        </is>
      </c>
      <c r="E1220" t="inlineStr">
        <is>
          <t>RAGUNDA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51646-2023</t>
        </is>
      </c>
      <c r="B1221" s="1" t="n">
        <v>45215</v>
      </c>
      <c r="C1221" s="1" t="n">
        <v>45506</v>
      </c>
      <c r="D1221" t="inlineStr">
        <is>
          <t>JÄMTLANDS LÄN</t>
        </is>
      </c>
      <c r="E1221" t="inlineStr">
        <is>
          <t>RAGUNDA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50486-2023</t>
        </is>
      </c>
      <c r="B1222" s="1" t="n">
        <v>45217</v>
      </c>
      <c r="C1222" s="1" t="n">
        <v>45506</v>
      </c>
      <c r="D1222" t="inlineStr">
        <is>
          <t>JÄMTLANDS LÄN</t>
        </is>
      </c>
      <c r="E1222" t="inlineStr">
        <is>
          <t>RAGUNDA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50485-2023</t>
        </is>
      </c>
      <c r="B1223" s="1" t="n">
        <v>45217</v>
      </c>
      <c r="C1223" s="1" t="n">
        <v>45506</v>
      </c>
      <c r="D1223" t="inlineStr">
        <is>
          <t>JÄMTLANDS LÄN</t>
        </is>
      </c>
      <c r="E1223" t="inlineStr">
        <is>
          <t>RAGUNDA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50487-2023</t>
        </is>
      </c>
      <c r="B1224" s="1" t="n">
        <v>45217</v>
      </c>
      <c r="C1224" s="1" t="n">
        <v>45506</v>
      </c>
      <c r="D1224" t="inlineStr">
        <is>
          <t>JÄMTLANDS LÄN</t>
        </is>
      </c>
      <c r="E1224" t="inlineStr">
        <is>
          <t>RAGUNDA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50483-2023</t>
        </is>
      </c>
      <c r="B1225" s="1" t="n">
        <v>45217</v>
      </c>
      <c r="C1225" s="1" t="n">
        <v>45506</v>
      </c>
      <c r="D1225" t="inlineStr">
        <is>
          <t>JÄMTLANDS LÄN</t>
        </is>
      </c>
      <c r="E1225" t="inlineStr">
        <is>
          <t>RAGUNDA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50484-2023</t>
        </is>
      </c>
      <c r="B1226" s="1" t="n">
        <v>45217</v>
      </c>
      <c r="C1226" s="1" t="n">
        <v>45506</v>
      </c>
      <c r="D1226" t="inlineStr">
        <is>
          <t>JÄMTLANDS LÄN</t>
        </is>
      </c>
      <c r="E1226" t="inlineStr">
        <is>
          <t>RAGUNDA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50831-2023</t>
        </is>
      </c>
      <c r="B1227" s="1" t="n">
        <v>45217</v>
      </c>
      <c r="C1227" s="1" t="n">
        <v>45506</v>
      </c>
      <c r="D1227" t="inlineStr">
        <is>
          <t>JÄMTLANDS LÄN</t>
        </is>
      </c>
      <c r="E1227" t="inlineStr">
        <is>
          <t>RAGUNDA</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50832-2023</t>
        </is>
      </c>
      <c r="B1228" s="1" t="n">
        <v>45218</v>
      </c>
      <c r="C1228" s="1" t="n">
        <v>45506</v>
      </c>
      <c r="D1228" t="inlineStr">
        <is>
          <t>JÄMTLANDS LÄN</t>
        </is>
      </c>
      <c r="E1228" t="inlineStr">
        <is>
          <t>RAGUNDA</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50848-2023</t>
        </is>
      </c>
      <c r="B1229" s="1" t="n">
        <v>45217</v>
      </c>
      <c r="C1229" s="1" t="n">
        <v>45506</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52195-2023</t>
        </is>
      </c>
      <c r="B1230" s="1" t="n">
        <v>45217</v>
      </c>
      <c r="C1230" s="1" t="n">
        <v>45506</v>
      </c>
      <c r="D1230" t="inlineStr">
        <is>
          <t>JÄMTLANDS LÄN</t>
        </is>
      </c>
      <c r="E1230" t="inlineStr">
        <is>
          <t>RAGUNDA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50847-2023</t>
        </is>
      </c>
      <c r="B1231" s="1" t="n">
        <v>45217</v>
      </c>
      <c r="C1231" s="1" t="n">
        <v>45506</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52550-2023</t>
        </is>
      </c>
      <c r="B1232" s="1" t="n">
        <v>45218</v>
      </c>
      <c r="C1232" s="1" t="n">
        <v>45506</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52544-2023</t>
        </is>
      </c>
      <c r="B1233" s="1" t="n">
        <v>45218</v>
      </c>
      <c r="C1233" s="1" t="n">
        <v>45506</v>
      </c>
      <c r="D1233" t="inlineStr">
        <is>
          <t>JÄMTLANDS LÄN</t>
        </is>
      </c>
      <c r="E1233" t="inlineStr">
        <is>
          <t>RAGUNDA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52631-2023</t>
        </is>
      </c>
      <c r="B1234" s="1" t="n">
        <v>45219</v>
      </c>
      <c r="C1234" s="1" t="n">
        <v>45506</v>
      </c>
      <c r="D1234" t="inlineStr">
        <is>
          <t>JÄMTLANDS LÄN</t>
        </is>
      </c>
      <c r="E1234" t="inlineStr">
        <is>
          <t>RAGUNDA</t>
        </is>
      </c>
      <c r="G1234" t="n">
        <v>9.9</v>
      </c>
      <c r="H1234" t="n">
        <v>0</v>
      </c>
      <c r="I1234" t="n">
        <v>0</v>
      </c>
      <c r="J1234" t="n">
        <v>0</v>
      </c>
      <c r="K1234" t="n">
        <v>0</v>
      </c>
      <c r="L1234" t="n">
        <v>0</v>
      </c>
      <c r="M1234" t="n">
        <v>0</v>
      </c>
      <c r="N1234" t="n">
        <v>0</v>
      </c>
      <c r="O1234" t="n">
        <v>0</v>
      </c>
      <c r="P1234" t="n">
        <v>0</v>
      </c>
      <c r="Q1234" t="n">
        <v>0</v>
      </c>
      <c r="R1234" s="2" t="inlineStr"/>
    </row>
    <row r="1235" ht="15" customHeight="1">
      <c r="A1235" t="inlineStr">
        <is>
          <t>A 52622-2023</t>
        </is>
      </c>
      <c r="B1235" s="1" t="n">
        <v>45219</v>
      </c>
      <c r="C1235" s="1" t="n">
        <v>45506</v>
      </c>
      <c r="D1235" t="inlineStr">
        <is>
          <t>JÄMTLANDS LÄN</t>
        </is>
      </c>
      <c r="E1235" t="inlineStr">
        <is>
          <t>RAGUNDA</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51435-2023</t>
        </is>
      </c>
      <c r="B1236" s="1" t="n">
        <v>45220</v>
      </c>
      <c r="C1236" s="1" t="n">
        <v>45506</v>
      </c>
      <c r="D1236" t="inlineStr">
        <is>
          <t>JÄMTLANDS LÄN</t>
        </is>
      </c>
      <c r="E1236" t="inlineStr">
        <is>
          <t>RAGUNDA</t>
        </is>
      </c>
      <c r="F1236" t="inlineStr">
        <is>
          <t>SCA</t>
        </is>
      </c>
      <c r="G1236" t="n">
        <v>39.6</v>
      </c>
      <c r="H1236" t="n">
        <v>0</v>
      </c>
      <c r="I1236" t="n">
        <v>0</v>
      </c>
      <c r="J1236" t="n">
        <v>0</v>
      </c>
      <c r="K1236" t="n">
        <v>0</v>
      </c>
      <c r="L1236" t="n">
        <v>0</v>
      </c>
      <c r="M1236" t="n">
        <v>0</v>
      </c>
      <c r="N1236" t="n">
        <v>0</v>
      </c>
      <c r="O1236" t="n">
        <v>0</v>
      </c>
      <c r="P1236" t="n">
        <v>0</v>
      </c>
      <c r="Q1236" t="n">
        <v>0</v>
      </c>
      <c r="R1236" s="2" t="inlineStr"/>
    </row>
    <row r="1237" ht="15" customHeight="1">
      <c r="A1237" t="inlineStr">
        <is>
          <t>A 51209-2023</t>
        </is>
      </c>
      <c r="B1237" s="1" t="n">
        <v>45219</v>
      </c>
      <c r="C1237" s="1" t="n">
        <v>45506</v>
      </c>
      <c r="D1237" t="inlineStr">
        <is>
          <t>JÄMTLANDS LÄN</t>
        </is>
      </c>
      <c r="E1237" t="inlineStr">
        <is>
          <t>RAGUNDA</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51807-2023</t>
        </is>
      </c>
      <c r="B1238" s="1" t="n">
        <v>45223</v>
      </c>
      <c r="C1238" s="1" t="n">
        <v>45506</v>
      </c>
      <c r="D1238" t="inlineStr">
        <is>
          <t>JÄMTLANDS LÄN</t>
        </is>
      </c>
      <c r="E1238" t="inlineStr">
        <is>
          <t>RAGUNDA</t>
        </is>
      </c>
      <c r="F1238" t="inlineStr">
        <is>
          <t>SCA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52878-2023</t>
        </is>
      </c>
      <c r="B1239" s="1" t="n">
        <v>45222</v>
      </c>
      <c r="C1239" s="1" t="n">
        <v>45506</v>
      </c>
      <c r="D1239" t="inlineStr">
        <is>
          <t>JÄMTLANDS LÄN</t>
        </is>
      </c>
      <c r="E1239" t="inlineStr">
        <is>
          <t>RAGUNDA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53019-2023</t>
        </is>
      </c>
      <c r="B1240" s="1" t="n">
        <v>45222</v>
      </c>
      <c r="C1240" s="1" t="n">
        <v>45506</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53347-2023</t>
        </is>
      </c>
      <c r="B1241" s="1" t="n">
        <v>45223</v>
      </c>
      <c r="C1241" s="1" t="n">
        <v>45506</v>
      </c>
      <c r="D1241" t="inlineStr">
        <is>
          <t>JÄMTLANDS LÄN</t>
        </is>
      </c>
      <c r="E1241" t="inlineStr">
        <is>
          <t>RAGUNDA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53860-2023</t>
        </is>
      </c>
      <c r="B1242" s="1" t="n">
        <v>45224</v>
      </c>
      <c r="C1242" s="1" t="n">
        <v>45506</v>
      </c>
      <c r="D1242" t="inlineStr">
        <is>
          <t>JÄMTLANDS LÄN</t>
        </is>
      </c>
      <c r="E1242" t="inlineStr">
        <is>
          <t>RAGUNDA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53847-2023</t>
        </is>
      </c>
      <c r="B1243" s="1" t="n">
        <v>45224</v>
      </c>
      <c r="C1243" s="1" t="n">
        <v>45506</v>
      </c>
      <c r="D1243" t="inlineStr">
        <is>
          <t>JÄMTLANDS LÄN</t>
        </is>
      </c>
      <c r="E1243" t="inlineStr">
        <is>
          <t>RAGUNDA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53455-2023</t>
        </is>
      </c>
      <c r="B1244" s="1" t="n">
        <v>45230</v>
      </c>
      <c r="C1244" s="1" t="n">
        <v>45506</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53762-2023</t>
        </is>
      </c>
      <c r="B1245" s="1" t="n">
        <v>45231</v>
      </c>
      <c r="C1245" s="1" t="n">
        <v>45506</v>
      </c>
      <c r="D1245" t="inlineStr">
        <is>
          <t>JÄMTLANDS LÄN</t>
        </is>
      </c>
      <c r="E1245" t="inlineStr">
        <is>
          <t>RAGUNDA</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53766-2023</t>
        </is>
      </c>
      <c r="B1246" s="1" t="n">
        <v>45231</v>
      </c>
      <c r="C1246" s="1" t="n">
        <v>45506</v>
      </c>
      <c r="D1246" t="inlineStr">
        <is>
          <t>JÄMTLANDS LÄN</t>
        </is>
      </c>
      <c r="E1246" t="inlineStr">
        <is>
          <t>RAGUNDA</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53769-2023</t>
        </is>
      </c>
      <c r="B1247" s="1" t="n">
        <v>45230</v>
      </c>
      <c r="C1247" s="1" t="n">
        <v>45506</v>
      </c>
      <c r="D1247" t="inlineStr">
        <is>
          <t>JÄMTLANDS LÄN</t>
        </is>
      </c>
      <c r="E1247" t="inlineStr">
        <is>
          <t>RAGUNDA</t>
        </is>
      </c>
      <c r="F1247" t="inlineStr">
        <is>
          <t>SCA</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55250-2023</t>
        </is>
      </c>
      <c r="B1248" s="1" t="n">
        <v>45231</v>
      </c>
      <c r="C1248" s="1" t="n">
        <v>45506</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54322-2023</t>
        </is>
      </c>
      <c r="B1249" s="1" t="n">
        <v>45232</v>
      </c>
      <c r="C1249" s="1" t="n">
        <v>45506</v>
      </c>
      <c r="D1249" t="inlineStr">
        <is>
          <t>JÄMTLANDS LÄN</t>
        </is>
      </c>
      <c r="E1249" t="inlineStr">
        <is>
          <t>RAGUNDA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54321-2023</t>
        </is>
      </c>
      <c r="B1250" s="1" t="n">
        <v>45232</v>
      </c>
      <c r="C1250" s="1" t="n">
        <v>45506</v>
      </c>
      <c r="D1250" t="inlineStr">
        <is>
          <t>JÄMTLANDS LÄN</t>
        </is>
      </c>
      <c r="E1250" t="inlineStr">
        <is>
          <t>RAGUNDA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54599-2023</t>
        </is>
      </c>
      <c r="B1251" s="1" t="n">
        <v>45233</v>
      </c>
      <c r="C1251" s="1" t="n">
        <v>45506</v>
      </c>
      <c r="D1251" t="inlineStr">
        <is>
          <t>JÄMTLANDS LÄN</t>
        </is>
      </c>
      <c r="E1251" t="inlineStr">
        <is>
          <t>RAGUNDA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56338-2023</t>
        </is>
      </c>
      <c r="B1252" s="1" t="n">
        <v>45236</v>
      </c>
      <c r="C1252" s="1" t="n">
        <v>45506</v>
      </c>
      <c r="D1252" t="inlineStr">
        <is>
          <t>JÄMTLANDS LÄN</t>
        </is>
      </c>
      <c r="E1252" t="inlineStr">
        <is>
          <t>RAGUNDA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56331-2023</t>
        </is>
      </c>
      <c r="B1253" s="1" t="n">
        <v>45236</v>
      </c>
      <c r="C1253" s="1" t="n">
        <v>45506</v>
      </c>
      <c r="D1253" t="inlineStr">
        <is>
          <t>JÄMTLANDS LÄN</t>
        </is>
      </c>
      <c r="E1253" t="inlineStr">
        <is>
          <t>RAGUNDA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56343-2023</t>
        </is>
      </c>
      <c r="B1254" s="1" t="n">
        <v>45236</v>
      </c>
      <c r="C1254" s="1" t="n">
        <v>45506</v>
      </c>
      <c r="D1254" t="inlineStr">
        <is>
          <t>JÄMTLANDS LÄN</t>
        </is>
      </c>
      <c r="E1254" t="inlineStr">
        <is>
          <t>RAGUNDA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56351-2023</t>
        </is>
      </c>
      <c r="B1255" s="1" t="n">
        <v>45236</v>
      </c>
      <c r="C1255" s="1" t="n">
        <v>45506</v>
      </c>
      <c r="D1255" t="inlineStr">
        <is>
          <t>JÄMTLANDS LÄN</t>
        </is>
      </c>
      <c r="E1255" t="inlineStr">
        <is>
          <t>RAGUNDA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55649-2023</t>
        </is>
      </c>
      <c r="B1256" s="1" t="n">
        <v>45238</v>
      </c>
      <c r="C1256" s="1" t="n">
        <v>45506</v>
      </c>
      <c r="D1256" t="inlineStr">
        <is>
          <t>JÄMTLANDS LÄN</t>
        </is>
      </c>
      <c r="E1256" t="inlineStr">
        <is>
          <t>RAGUNDA</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55669-2023</t>
        </is>
      </c>
      <c r="B1257" s="1" t="n">
        <v>45239</v>
      </c>
      <c r="C1257" s="1" t="n">
        <v>45506</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56618-2023</t>
        </is>
      </c>
      <c r="B1258" s="1" t="n">
        <v>45238</v>
      </c>
      <c r="C1258" s="1" t="n">
        <v>45506</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55487-2023</t>
        </is>
      </c>
      <c r="B1259" s="1" t="n">
        <v>45238</v>
      </c>
      <c r="C1259" s="1" t="n">
        <v>45506</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57433-2023</t>
        </is>
      </c>
      <c r="B1260" s="1" t="n">
        <v>45240</v>
      </c>
      <c r="C1260" s="1" t="n">
        <v>45506</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57425-2023</t>
        </is>
      </c>
      <c r="B1261" s="1" t="n">
        <v>45240</v>
      </c>
      <c r="C1261" s="1" t="n">
        <v>45506</v>
      </c>
      <c r="D1261" t="inlineStr">
        <is>
          <t>JÄMTLANDS LÄN</t>
        </is>
      </c>
      <c r="E1261" t="inlineStr">
        <is>
          <t>RAGUNDA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56284-2023</t>
        </is>
      </c>
      <c r="B1262" s="1" t="n">
        <v>45241</v>
      </c>
      <c r="C1262" s="1" t="n">
        <v>45506</v>
      </c>
      <c r="D1262" t="inlineStr">
        <is>
          <t>JÄMTLANDS LÄN</t>
        </is>
      </c>
      <c r="E1262" t="inlineStr">
        <is>
          <t>RAGUNDA</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56287-2023</t>
        </is>
      </c>
      <c r="B1263" s="1" t="n">
        <v>45241</v>
      </c>
      <c r="C1263" s="1" t="n">
        <v>45506</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56286-2023</t>
        </is>
      </c>
      <c r="B1264" s="1" t="n">
        <v>45241</v>
      </c>
      <c r="C1264" s="1" t="n">
        <v>45506</v>
      </c>
      <c r="D1264" t="inlineStr">
        <is>
          <t>JÄMTLANDS LÄN</t>
        </is>
      </c>
      <c r="E1264" t="inlineStr">
        <is>
          <t>RAGUNDA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56658-2023</t>
        </is>
      </c>
      <c r="B1265" s="1" t="n">
        <v>45243</v>
      </c>
      <c r="C1265" s="1" t="n">
        <v>45506</v>
      </c>
      <c r="D1265" t="inlineStr">
        <is>
          <t>JÄMTLANDS LÄN</t>
        </is>
      </c>
      <c r="E1265" t="inlineStr">
        <is>
          <t>RAGUNDA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56702-2023</t>
        </is>
      </c>
      <c r="B1266" s="1" t="n">
        <v>45244</v>
      </c>
      <c r="C1266" s="1" t="n">
        <v>45506</v>
      </c>
      <c r="D1266" t="inlineStr">
        <is>
          <t>JÄMTLANDS LÄN</t>
        </is>
      </c>
      <c r="E1266" t="inlineStr">
        <is>
          <t>RAGUNDA</t>
        </is>
      </c>
      <c r="F1266" t="inlineStr">
        <is>
          <t>SCA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57078-2023</t>
        </is>
      </c>
      <c r="B1267" s="1" t="n">
        <v>45245</v>
      </c>
      <c r="C1267" s="1" t="n">
        <v>45506</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57925-2023</t>
        </is>
      </c>
      <c r="B1268" s="1" t="n">
        <v>45244</v>
      </c>
      <c r="C1268" s="1" t="n">
        <v>45506</v>
      </c>
      <c r="D1268" t="inlineStr">
        <is>
          <t>JÄMTLANDS LÄN</t>
        </is>
      </c>
      <c r="E1268" t="inlineStr">
        <is>
          <t>RAGUNDA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57778-2023</t>
        </is>
      </c>
      <c r="B1269" s="1" t="n">
        <v>45246</v>
      </c>
      <c r="C1269" s="1" t="n">
        <v>45506</v>
      </c>
      <c r="D1269" t="inlineStr">
        <is>
          <t>JÄMTLANDS LÄN</t>
        </is>
      </c>
      <c r="E1269" t="inlineStr">
        <is>
          <t>RAGUNDA</t>
        </is>
      </c>
      <c r="F1269" t="inlineStr">
        <is>
          <t>SCA</t>
        </is>
      </c>
      <c r="G1269" t="n">
        <v>37.8</v>
      </c>
      <c r="H1269" t="n">
        <v>0</v>
      </c>
      <c r="I1269" t="n">
        <v>0</v>
      </c>
      <c r="J1269" t="n">
        <v>0</v>
      </c>
      <c r="K1269" t="n">
        <v>0</v>
      </c>
      <c r="L1269" t="n">
        <v>0</v>
      </c>
      <c r="M1269" t="n">
        <v>0</v>
      </c>
      <c r="N1269" t="n">
        <v>0</v>
      </c>
      <c r="O1269" t="n">
        <v>0</v>
      </c>
      <c r="P1269" t="n">
        <v>0</v>
      </c>
      <c r="Q1269" t="n">
        <v>0</v>
      </c>
      <c r="R1269" s="2" t="inlineStr"/>
    </row>
    <row r="1270" ht="15" customHeight="1">
      <c r="A1270" t="inlineStr">
        <is>
          <t>A 58084-2023</t>
        </is>
      </c>
      <c r="B1270" s="1" t="n">
        <v>45248</v>
      </c>
      <c r="C1270" s="1" t="n">
        <v>45506</v>
      </c>
      <c r="D1270" t="inlineStr">
        <is>
          <t>JÄMTLANDS LÄN</t>
        </is>
      </c>
      <c r="E1270" t="inlineStr">
        <is>
          <t>RAGUNDA</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58992-2023</t>
        </is>
      </c>
      <c r="B1271" s="1" t="n">
        <v>45250</v>
      </c>
      <c r="C1271" s="1" t="n">
        <v>45506</v>
      </c>
      <c r="D1271" t="inlineStr">
        <is>
          <t>JÄMTLANDS LÄN</t>
        </is>
      </c>
      <c r="E1271" t="inlineStr">
        <is>
          <t>RAGUNDA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58863-2023</t>
        </is>
      </c>
      <c r="B1272" s="1" t="n">
        <v>45250</v>
      </c>
      <c r="C1272" s="1" t="n">
        <v>45506</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58921-2023</t>
        </is>
      </c>
      <c r="B1273" s="1" t="n">
        <v>45250</v>
      </c>
      <c r="C1273" s="1" t="n">
        <v>45506</v>
      </c>
      <c r="D1273" t="inlineStr">
        <is>
          <t>JÄMTLANDS LÄN</t>
        </is>
      </c>
      <c r="E1273" t="inlineStr">
        <is>
          <t>RAGUNDA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59136-2023</t>
        </is>
      </c>
      <c r="B1274" s="1" t="n">
        <v>45251</v>
      </c>
      <c r="C1274" s="1" t="n">
        <v>45506</v>
      </c>
      <c r="D1274" t="inlineStr">
        <is>
          <t>JÄMTLANDS LÄN</t>
        </is>
      </c>
      <c r="E1274" t="inlineStr">
        <is>
          <t>RAGUNDA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59286-2023</t>
        </is>
      </c>
      <c r="B1275" s="1" t="n">
        <v>45253</v>
      </c>
      <c r="C1275" s="1" t="n">
        <v>45506</v>
      </c>
      <c r="D1275" t="inlineStr">
        <is>
          <t>JÄMTLANDS LÄN</t>
        </is>
      </c>
      <c r="E1275" t="inlineStr">
        <is>
          <t>RAGUNDA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59557-2023</t>
        </is>
      </c>
      <c r="B1276" s="1" t="n">
        <v>45253</v>
      </c>
      <c r="C1276" s="1" t="n">
        <v>45506</v>
      </c>
      <c r="D1276" t="inlineStr">
        <is>
          <t>JÄMTLANDS LÄN</t>
        </is>
      </c>
      <c r="E1276" t="inlineStr">
        <is>
          <t>RAGUNDA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59658-2023</t>
        </is>
      </c>
      <c r="B1277" s="1" t="n">
        <v>45255</v>
      </c>
      <c r="C1277" s="1" t="n">
        <v>45506</v>
      </c>
      <c r="D1277" t="inlineStr">
        <is>
          <t>JÄMTLANDS LÄN</t>
        </is>
      </c>
      <c r="E1277" t="inlineStr">
        <is>
          <t>RAGUNDA</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59670-2023</t>
        </is>
      </c>
      <c r="B1278" s="1" t="n">
        <v>45255</v>
      </c>
      <c r="C1278" s="1" t="n">
        <v>45506</v>
      </c>
      <c r="D1278" t="inlineStr">
        <is>
          <t>JÄMTLANDS LÄN</t>
        </is>
      </c>
      <c r="E1278" t="inlineStr">
        <is>
          <t>RAGUNDA</t>
        </is>
      </c>
      <c r="F1278" t="inlineStr">
        <is>
          <t>SCA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59669-2023</t>
        </is>
      </c>
      <c r="B1279" s="1" t="n">
        <v>45255</v>
      </c>
      <c r="C1279" s="1" t="n">
        <v>45506</v>
      </c>
      <c r="D1279" t="inlineStr">
        <is>
          <t>JÄMTLANDS LÄN</t>
        </is>
      </c>
      <c r="E1279" t="inlineStr">
        <is>
          <t>RAGUNDA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59996-2023</t>
        </is>
      </c>
      <c r="B1280" s="1" t="n">
        <v>45257</v>
      </c>
      <c r="C1280" s="1" t="n">
        <v>45506</v>
      </c>
      <c r="D1280" t="inlineStr">
        <is>
          <t>JÄMTLANDS LÄN</t>
        </is>
      </c>
      <c r="E1280" t="inlineStr">
        <is>
          <t>RAGUNDA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60185-2023</t>
        </is>
      </c>
      <c r="B1281" s="1" t="n">
        <v>45257</v>
      </c>
      <c r="C1281" s="1" t="n">
        <v>45506</v>
      </c>
      <c r="D1281" t="inlineStr">
        <is>
          <t>JÄMTLANDS LÄN</t>
        </is>
      </c>
      <c r="E1281" t="inlineStr">
        <is>
          <t>RAGUNDA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60012-2023</t>
        </is>
      </c>
      <c r="B1282" s="1" t="n">
        <v>45257</v>
      </c>
      <c r="C1282" s="1" t="n">
        <v>45506</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60222-2023</t>
        </is>
      </c>
      <c r="B1283" s="1" t="n">
        <v>45257</v>
      </c>
      <c r="C1283" s="1" t="n">
        <v>45506</v>
      </c>
      <c r="D1283" t="inlineStr">
        <is>
          <t>JÄMTLANDS LÄN</t>
        </is>
      </c>
      <c r="E1283" t="inlineStr">
        <is>
          <t>RAGUNDA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60235-2023</t>
        </is>
      </c>
      <c r="B1284" s="1" t="n">
        <v>45257</v>
      </c>
      <c r="C1284" s="1" t="n">
        <v>45506</v>
      </c>
      <c r="D1284" t="inlineStr">
        <is>
          <t>JÄMTLANDS LÄN</t>
        </is>
      </c>
      <c r="E1284" t="inlineStr">
        <is>
          <t>RAGUNDA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60228-2023</t>
        </is>
      </c>
      <c r="B1285" s="1" t="n">
        <v>45257</v>
      </c>
      <c r="C1285" s="1" t="n">
        <v>45506</v>
      </c>
      <c r="D1285" t="inlineStr">
        <is>
          <t>JÄMTLANDS LÄN</t>
        </is>
      </c>
      <c r="E1285" t="inlineStr">
        <is>
          <t>RAGUNDA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60199-2023</t>
        </is>
      </c>
      <c r="B1286" s="1" t="n">
        <v>45257</v>
      </c>
      <c r="C1286" s="1" t="n">
        <v>45506</v>
      </c>
      <c r="D1286" t="inlineStr">
        <is>
          <t>JÄMTLANDS LÄN</t>
        </is>
      </c>
      <c r="E1286" t="inlineStr">
        <is>
          <t>RAGUNDA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60195-2023</t>
        </is>
      </c>
      <c r="B1287" s="1" t="n">
        <v>45257</v>
      </c>
      <c r="C1287" s="1" t="n">
        <v>45506</v>
      </c>
      <c r="D1287" t="inlineStr">
        <is>
          <t>JÄMTLANDS LÄN</t>
        </is>
      </c>
      <c r="E1287" t="inlineStr">
        <is>
          <t>RAGUNDA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60330-2023</t>
        </is>
      </c>
      <c r="B1288" s="1" t="n">
        <v>45258</v>
      </c>
      <c r="C1288" s="1" t="n">
        <v>45506</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60456-2023</t>
        </is>
      </c>
      <c r="B1289" s="1" t="n">
        <v>45258</v>
      </c>
      <c r="C1289" s="1" t="n">
        <v>45506</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60413-2023</t>
        </is>
      </c>
      <c r="B1290" s="1" t="n">
        <v>45258</v>
      </c>
      <c r="C1290" s="1" t="n">
        <v>45506</v>
      </c>
      <c r="D1290" t="inlineStr">
        <is>
          <t>JÄMTLANDS LÄN</t>
        </is>
      </c>
      <c r="E1290" t="inlineStr">
        <is>
          <t>RAGUNDA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60450-2023</t>
        </is>
      </c>
      <c r="B1291" s="1" t="n">
        <v>45258</v>
      </c>
      <c r="C1291" s="1" t="n">
        <v>45506</v>
      </c>
      <c r="D1291" t="inlineStr">
        <is>
          <t>JÄMTLANDS LÄN</t>
        </is>
      </c>
      <c r="E1291" t="inlineStr">
        <is>
          <t>RAGUNDA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60443-2023</t>
        </is>
      </c>
      <c r="B1292" s="1" t="n">
        <v>45258</v>
      </c>
      <c r="C1292" s="1" t="n">
        <v>45506</v>
      </c>
      <c r="D1292" t="inlineStr">
        <is>
          <t>JÄMTLANDS LÄN</t>
        </is>
      </c>
      <c r="E1292" t="inlineStr">
        <is>
          <t>RAGUNDA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60629-2023</t>
        </is>
      </c>
      <c r="B1293" s="1" t="n">
        <v>45259</v>
      </c>
      <c r="C1293" s="1" t="n">
        <v>45506</v>
      </c>
      <c r="D1293" t="inlineStr">
        <is>
          <t>JÄMTLANDS LÄN</t>
        </is>
      </c>
      <c r="E1293" t="inlineStr">
        <is>
          <t>RAGUNDA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60643-2023</t>
        </is>
      </c>
      <c r="B1294" s="1" t="n">
        <v>45259</v>
      </c>
      <c r="C1294" s="1" t="n">
        <v>45506</v>
      </c>
      <c r="D1294" t="inlineStr">
        <is>
          <t>JÄMTLANDS LÄN</t>
        </is>
      </c>
      <c r="E1294" t="inlineStr">
        <is>
          <t>RAGUNDA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60836-2023</t>
        </is>
      </c>
      <c r="B1295" s="1" t="n">
        <v>45260</v>
      </c>
      <c r="C1295" s="1" t="n">
        <v>45506</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60860-2023</t>
        </is>
      </c>
      <c r="B1296" s="1" t="n">
        <v>45260</v>
      </c>
      <c r="C1296" s="1" t="n">
        <v>45506</v>
      </c>
      <c r="D1296" t="inlineStr">
        <is>
          <t>JÄMTLANDS LÄN</t>
        </is>
      </c>
      <c r="E1296" t="inlineStr">
        <is>
          <t>RAGUNDA</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60838-2023</t>
        </is>
      </c>
      <c r="B1297" s="1" t="n">
        <v>45260</v>
      </c>
      <c r="C1297" s="1" t="n">
        <v>45506</v>
      </c>
      <c r="D1297" t="inlineStr">
        <is>
          <t>JÄMTLANDS LÄN</t>
        </is>
      </c>
      <c r="E1297" t="inlineStr">
        <is>
          <t>RAGUNDA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61197-2023</t>
        </is>
      </c>
      <c r="B1298" s="1" t="n">
        <v>45260</v>
      </c>
      <c r="C1298" s="1" t="n">
        <v>45506</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61191-2023</t>
        </is>
      </c>
      <c r="B1299" s="1" t="n">
        <v>45260</v>
      </c>
      <c r="C1299" s="1" t="n">
        <v>45506</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62106-2023</t>
        </is>
      </c>
      <c r="B1300" s="1" t="n">
        <v>45266</v>
      </c>
      <c r="C1300" s="1" t="n">
        <v>45506</v>
      </c>
      <c r="D1300" t="inlineStr">
        <is>
          <t>JÄMTLANDS LÄN</t>
        </is>
      </c>
      <c r="E1300" t="inlineStr">
        <is>
          <t>RAGUNDA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62107-2023</t>
        </is>
      </c>
      <c r="B1301" s="1" t="n">
        <v>45266</v>
      </c>
      <c r="C1301" s="1" t="n">
        <v>45506</v>
      </c>
      <c r="D1301" t="inlineStr">
        <is>
          <t>JÄMTLANDS LÄN</t>
        </is>
      </c>
      <c r="E1301" t="inlineStr">
        <is>
          <t>RAGUNDA</t>
        </is>
      </c>
      <c r="F1301" t="inlineStr">
        <is>
          <t>SCA</t>
        </is>
      </c>
      <c r="G1301" t="n">
        <v>38.4</v>
      </c>
      <c r="H1301" t="n">
        <v>0</v>
      </c>
      <c r="I1301" t="n">
        <v>0</v>
      </c>
      <c r="J1301" t="n">
        <v>0</v>
      </c>
      <c r="K1301" t="n">
        <v>0</v>
      </c>
      <c r="L1301" t="n">
        <v>0</v>
      </c>
      <c r="M1301" t="n">
        <v>0</v>
      </c>
      <c r="N1301" t="n">
        <v>0</v>
      </c>
      <c r="O1301" t="n">
        <v>0</v>
      </c>
      <c r="P1301" t="n">
        <v>0</v>
      </c>
      <c r="Q1301" t="n">
        <v>0</v>
      </c>
      <c r="R1301" s="2" t="inlineStr"/>
    </row>
    <row r="1302" ht="15" customHeight="1">
      <c r="A1302" t="inlineStr">
        <is>
          <t>A 62397-2023</t>
        </is>
      </c>
      <c r="B1302" s="1" t="n">
        <v>45266</v>
      </c>
      <c r="C1302" s="1" t="n">
        <v>45506</v>
      </c>
      <c r="D1302" t="inlineStr">
        <is>
          <t>JÄMTLANDS LÄN</t>
        </is>
      </c>
      <c r="E1302" t="inlineStr">
        <is>
          <t>RAGUNDA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62405-2023</t>
        </is>
      </c>
      <c r="B1303" s="1" t="n">
        <v>45266</v>
      </c>
      <c r="C1303" s="1" t="n">
        <v>45506</v>
      </c>
      <c r="D1303" t="inlineStr">
        <is>
          <t>JÄMTLANDS LÄN</t>
        </is>
      </c>
      <c r="E1303" t="inlineStr">
        <is>
          <t>RAGUNDA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62407-2023</t>
        </is>
      </c>
      <c r="B1304" s="1" t="n">
        <v>45266</v>
      </c>
      <c r="C1304" s="1" t="n">
        <v>45506</v>
      </c>
      <c r="D1304" t="inlineStr">
        <is>
          <t>JÄMTLANDS LÄN</t>
        </is>
      </c>
      <c r="E1304" t="inlineStr">
        <is>
          <t>RAGUNDA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62358-2023</t>
        </is>
      </c>
      <c r="B1305" s="1" t="n">
        <v>45267</v>
      </c>
      <c r="C1305" s="1" t="n">
        <v>45506</v>
      </c>
      <c r="D1305" t="inlineStr">
        <is>
          <t>JÄMTLANDS LÄN</t>
        </is>
      </c>
      <c r="E1305" t="inlineStr">
        <is>
          <t>RAGUNDA</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62526-2023</t>
        </is>
      </c>
      <c r="B1306" s="1" t="n">
        <v>45267</v>
      </c>
      <c r="C1306" s="1" t="n">
        <v>45506</v>
      </c>
      <c r="D1306" t="inlineStr">
        <is>
          <t>JÄMTLANDS LÄN</t>
        </is>
      </c>
      <c r="E1306" t="inlineStr">
        <is>
          <t>RAGUNDA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62839-2023</t>
        </is>
      </c>
      <c r="B1307" s="1" t="n">
        <v>45271</v>
      </c>
      <c r="C1307" s="1" t="n">
        <v>45506</v>
      </c>
      <c r="D1307" t="inlineStr">
        <is>
          <t>JÄMTLANDS LÄN</t>
        </is>
      </c>
      <c r="E1307" t="inlineStr">
        <is>
          <t>RAGUNDA</t>
        </is>
      </c>
      <c r="F1307" t="inlineStr">
        <is>
          <t>SCA</t>
        </is>
      </c>
      <c r="G1307" t="n">
        <v>26.7</v>
      </c>
      <c r="H1307" t="n">
        <v>0</v>
      </c>
      <c r="I1307" t="n">
        <v>0</v>
      </c>
      <c r="J1307" t="n">
        <v>0</v>
      </c>
      <c r="K1307" t="n">
        <v>0</v>
      </c>
      <c r="L1307" t="n">
        <v>0</v>
      </c>
      <c r="M1307" t="n">
        <v>0</v>
      </c>
      <c r="N1307" t="n">
        <v>0</v>
      </c>
      <c r="O1307" t="n">
        <v>0</v>
      </c>
      <c r="P1307" t="n">
        <v>0</v>
      </c>
      <c r="Q1307" t="n">
        <v>0</v>
      </c>
      <c r="R1307" s="2" t="inlineStr"/>
    </row>
    <row r="1308" ht="15" customHeight="1">
      <c r="A1308" t="inlineStr">
        <is>
          <t>A 63708-2023</t>
        </is>
      </c>
      <c r="B1308" s="1" t="n">
        <v>45275</v>
      </c>
      <c r="C1308" s="1" t="n">
        <v>45506</v>
      </c>
      <c r="D1308" t="inlineStr">
        <is>
          <t>JÄMTLANDS LÄN</t>
        </is>
      </c>
      <c r="E1308" t="inlineStr">
        <is>
          <t>RAGUNDA</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64017-2023</t>
        </is>
      </c>
      <c r="B1309" s="1" t="n">
        <v>45278</v>
      </c>
      <c r="C1309" s="1" t="n">
        <v>45506</v>
      </c>
      <c r="D1309" t="inlineStr">
        <is>
          <t>JÄMTLANDS LÄN</t>
        </is>
      </c>
      <c r="E1309" t="inlineStr">
        <is>
          <t>RAGUNDA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64039-2023</t>
        </is>
      </c>
      <c r="B1310" s="1" t="n">
        <v>45278</v>
      </c>
      <c r="C1310" s="1" t="n">
        <v>45506</v>
      </c>
      <c r="D1310" t="inlineStr">
        <is>
          <t>JÄMTLANDS LÄN</t>
        </is>
      </c>
      <c r="E1310" t="inlineStr">
        <is>
          <t>RAGUNDA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64265-2023</t>
        </is>
      </c>
      <c r="B1311" s="1" t="n">
        <v>45279</v>
      </c>
      <c r="C1311" s="1" t="n">
        <v>45506</v>
      </c>
      <c r="D1311" t="inlineStr">
        <is>
          <t>JÄMTLANDS LÄN</t>
        </is>
      </c>
      <c r="E1311" t="inlineStr">
        <is>
          <t>RAGUNDA</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64264-2023</t>
        </is>
      </c>
      <c r="B1312" s="1" t="n">
        <v>45279</v>
      </c>
      <c r="C1312" s="1" t="n">
        <v>45506</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64415-2023</t>
        </is>
      </c>
      <c r="B1313" s="1" t="n">
        <v>45280</v>
      </c>
      <c r="C1313" s="1" t="n">
        <v>45506</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64492-2023</t>
        </is>
      </c>
      <c r="B1314" s="1" t="n">
        <v>45280</v>
      </c>
      <c r="C1314" s="1" t="n">
        <v>45506</v>
      </c>
      <c r="D1314" t="inlineStr">
        <is>
          <t>JÄMTLANDS LÄN</t>
        </is>
      </c>
      <c r="E1314" t="inlineStr">
        <is>
          <t>RAGUNDA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65083-2023</t>
        </is>
      </c>
      <c r="B1315" s="1" t="n">
        <v>45287</v>
      </c>
      <c r="C1315" s="1" t="n">
        <v>45506</v>
      </c>
      <c r="D1315" t="inlineStr">
        <is>
          <t>JÄMTLANDS LÄN</t>
        </is>
      </c>
      <c r="E1315" t="inlineStr">
        <is>
          <t>RAGUNDA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65216-2023</t>
        </is>
      </c>
      <c r="B1316" s="1" t="n">
        <v>45289</v>
      </c>
      <c r="C1316" s="1" t="n">
        <v>45506</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65242-2023</t>
        </is>
      </c>
      <c r="B1317" s="1" t="n">
        <v>45289</v>
      </c>
      <c r="C1317" s="1" t="n">
        <v>45506</v>
      </c>
      <c r="D1317" t="inlineStr">
        <is>
          <t>JÄMTLANDS LÄN</t>
        </is>
      </c>
      <c r="E1317" t="inlineStr">
        <is>
          <t>RAGUNDA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1130-2024</t>
        </is>
      </c>
      <c r="B1318" s="1" t="n">
        <v>45302</v>
      </c>
      <c r="C1318" s="1" t="n">
        <v>45506</v>
      </c>
      <c r="D1318" t="inlineStr">
        <is>
          <t>JÄMTLANDS LÄN</t>
        </is>
      </c>
      <c r="E1318" t="inlineStr">
        <is>
          <t>RAGUNDA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1123-2024</t>
        </is>
      </c>
      <c r="B1319" s="1" t="n">
        <v>45302</v>
      </c>
      <c r="C1319" s="1" t="n">
        <v>45506</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1465-2024</t>
        </is>
      </c>
      <c r="B1320" s="1" t="n">
        <v>45304</v>
      </c>
      <c r="C1320" s="1" t="n">
        <v>45506</v>
      </c>
      <c r="D1320" t="inlineStr">
        <is>
          <t>JÄMTLANDS LÄN</t>
        </is>
      </c>
      <c r="E1320" t="inlineStr">
        <is>
          <t>RAGUNDA</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1466-2024</t>
        </is>
      </c>
      <c r="B1321" s="1" t="n">
        <v>45304</v>
      </c>
      <c r="C1321" s="1" t="n">
        <v>45506</v>
      </c>
      <c r="D1321" t="inlineStr">
        <is>
          <t>JÄMTLANDS LÄN</t>
        </is>
      </c>
      <c r="E1321" t="inlineStr">
        <is>
          <t>RAGUNDA</t>
        </is>
      </c>
      <c r="F1321" t="inlineStr">
        <is>
          <t>SCA</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1523-2024</t>
        </is>
      </c>
      <c r="B1322" s="1" t="n">
        <v>45306</v>
      </c>
      <c r="C1322" s="1" t="n">
        <v>45506</v>
      </c>
      <c r="D1322" t="inlineStr">
        <is>
          <t>JÄMTLANDS LÄN</t>
        </is>
      </c>
      <c r="E1322" t="inlineStr">
        <is>
          <t>RAGUNDA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1554-2024</t>
        </is>
      </c>
      <c r="B1323" s="1" t="n">
        <v>45306</v>
      </c>
      <c r="C1323" s="1" t="n">
        <v>45506</v>
      </c>
      <c r="D1323" t="inlineStr">
        <is>
          <t>JÄMTLANDS LÄN</t>
        </is>
      </c>
      <c r="E1323" t="inlineStr">
        <is>
          <t>RAGUNDA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1537-2024</t>
        </is>
      </c>
      <c r="B1324" s="1" t="n">
        <v>45306</v>
      </c>
      <c r="C1324" s="1" t="n">
        <v>45506</v>
      </c>
      <c r="D1324" t="inlineStr">
        <is>
          <t>JÄMTLANDS LÄN</t>
        </is>
      </c>
      <c r="E1324" t="inlineStr">
        <is>
          <t>RAGUNDA</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1884-2024</t>
        </is>
      </c>
      <c r="B1325" s="1" t="n">
        <v>45307</v>
      </c>
      <c r="C1325" s="1" t="n">
        <v>45506</v>
      </c>
      <c r="D1325" t="inlineStr">
        <is>
          <t>JÄMTLANDS LÄN</t>
        </is>
      </c>
      <c r="E1325" t="inlineStr">
        <is>
          <t>RAGUNDA</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1888-2024</t>
        </is>
      </c>
      <c r="B1326" s="1" t="n">
        <v>45308</v>
      </c>
      <c r="C1326" s="1" t="n">
        <v>45506</v>
      </c>
      <c r="D1326" t="inlineStr">
        <is>
          <t>JÄMTLANDS LÄN</t>
        </is>
      </c>
      <c r="E1326" t="inlineStr">
        <is>
          <t>RAGUNDA</t>
        </is>
      </c>
      <c r="F1326" t="inlineStr">
        <is>
          <t>SCA</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1887-2024</t>
        </is>
      </c>
      <c r="B1327" s="1" t="n">
        <v>45308</v>
      </c>
      <c r="C1327" s="1" t="n">
        <v>45506</v>
      </c>
      <c r="D1327" t="inlineStr">
        <is>
          <t>JÄMTLANDS LÄN</t>
        </is>
      </c>
      <c r="E1327" t="inlineStr">
        <is>
          <t>RAGUNDA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1889-2024</t>
        </is>
      </c>
      <c r="B1328" s="1" t="n">
        <v>45308</v>
      </c>
      <c r="C1328" s="1" t="n">
        <v>45506</v>
      </c>
      <c r="D1328" t="inlineStr">
        <is>
          <t>JÄMTLANDS LÄN</t>
        </is>
      </c>
      <c r="E1328" t="inlineStr">
        <is>
          <t>RAGUNDA</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2143-2024</t>
        </is>
      </c>
      <c r="B1329" s="1" t="n">
        <v>45309</v>
      </c>
      <c r="C1329" s="1" t="n">
        <v>45506</v>
      </c>
      <c r="D1329" t="inlineStr">
        <is>
          <t>JÄMTLANDS LÄN</t>
        </is>
      </c>
      <c r="E1329" t="inlineStr">
        <is>
          <t>RAGUNDA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2224-2024</t>
        </is>
      </c>
      <c r="B1330" s="1" t="n">
        <v>45309</v>
      </c>
      <c r="C1330" s="1" t="n">
        <v>45506</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2241-2024</t>
        </is>
      </c>
      <c r="B1331" s="1" t="n">
        <v>45309</v>
      </c>
      <c r="C1331" s="1" t="n">
        <v>45506</v>
      </c>
      <c r="D1331" t="inlineStr">
        <is>
          <t>JÄMTLANDS LÄN</t>
        </is>
      </c>
      <c r="E1331" t="inlineStr">
        <is>
          <t>RAGUNDA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2245-2024</t>
        </is>
      </c>
      <c r="B1332" s="1" t="n">
        <v>45309</v>
      </c>
      <c r="C1332" s="1" t="n">
        <v>45506</v>
      </c>
      <c r="D1332" t="inlineStr">
        <is>
          <t>JÄMTLANDS LÄN</t>
        </is>
      </c>
      <c r="E1332" t="inlineStr">
        <is>
          <t>RAGUNDA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2242-2024</t>
        </is>
      </c>
      <c r="B1333" s="1" t="n">
        <v>45309</v>
      </c>
      <c r="C1333" s="1" t="n">
        <v>45506</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2248-2024</t>
        </is>
      </c>
      <c r="B1334" s="1" t="n">
        <v>45309</v>
      </c>
      <c r="C1334" s="1" t="n">
        <v>45506</v>
      </c>
      <c r="D1334" t="inlineStr">
        <is>
          <t>JÄMTLANDS LÄN</t>
        </is>
      </c>
      <c r="E1334" t="inlineStr">
        <is>
          <t>RAGUNDA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2240-2024</t>
        </is>
      </c>
      <c r="B1335" s="1" t="n">
        <v>45309</v>
      </c>
      <c r="C1335" s="1" t="n">
        <v>45506</v>
      </c>
      <c r="D1335" t="inlineStr">
        <is>
          <t>JÄMTLANDS LÄN</t>
        </is>
      </c>
      <c r="E1335" t="inlineStr">
        <is>
          <t>RAGUNDA</t>
        </is>
      </c>
      <c r="G1335" t="n">
        <v>15.9</v>
      </c>
      <c r="H1335" t="n">
        <v>0</v>
      </c>
      <c r="I1335" t="n">
        <v>0</v>
      </c>
      <c r="J1335" t="n">
        <v>0</v>
      </c>
      <c r="K1335" t="n">
        <v>0</v>
      </c>
      <c r="L1335" t="n">
        <v>0</v>
      </c>
      <c r="M1335" t="n">
        <v>0</v>
      </c>
      <c r="N1335" t="n">
        <v>0</v>
      </c>
      <c r="O1335" t="n">
        <v>0</v>
      </c>
      <c r="P1335" t="n">
        <v>0</v>
      </c>
      <c r="Q1335" t="n">
        <v>0</v>
      </c>
      <c r="R1335" s="2" t="inlineStr"/>
    </row>
    <row r="1336" ht="15" customHeight="1">
      <c r="A1336" t="inlineStr">
        <is>
          <t>A 2244-2024</t>
        </is>
      </c>
      <c r="B1336" s="1" t="n">
        <v>45309</v>
      </c>
      <c r="C1336" s="1" t="n">
        <v>45506</v>
      </c>
      <c r="D1336" t="inlineStr">
        <is>
          <t>JÄMTLANDS LÄN</t>
        </is>
      </c>
      <c r="E1336" t="inlineStr">
        <is>
          <t>RAGUNDA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2243-2024</t>
        </is>
      </c>
      <c r="B1337" s="1" t="n">
        <v>45309</v>
      </c>
      <c r="C1337" s="1" t="n">
        <v>45506</v>
      </c>
      <c r="D1337" t="inlineStr">
        <is>
          <t>JÄMTLANDS LÄN</t>
        </is>
      </c>
      <c r="E1337" t="inlineStr">
        <is>
          <t>RAGUNDA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2424-2024</t>
        </is>
      </c>
      <c r="B1338" s="1" t="n">
        <v>45310</v>
      </c>
      <c r="C1338" s="1" t="n">
        <v>45506</v>
      </c>
      <c r="D1338" t="inlineStr">
        <is>
          <t>JÄMTLANDS LÄN</t>
        </is>
      </c>
      <c r="E1338" t="inlineStr">
        <is>
          <t>RAGUNDA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2629-2024</t>
        </is>
      </c>
      <c r="B1339" s="1" t="n">
        <v>45313</v>
      </c>
      <c r="C1339" s="1" t="n">
        <v>45506</v>
      </c>
      <c r="D1339" t="inlineStr">
        <is>
          <t>JÄMTLANDS LÄN</t>
        </is>
      </c>
      <c r="E1339" t="inlineStr">
        <is>
          <t>RAGUNDA</t>
        </is>
      </c>
      <c r="F1339" t="inlineStr">
        <is>
          <t>SCA</t>
        </is>
      </c>
      <c r="G1339" t="n">
        <v>40.9</v>
      </c>
      <c r="H1339" t="n">
        <v>0</v>
      </c>
      <c r="I1339" t="n">
        <v>0</v>
      </c>
      <c r="J1339" t="n">
        <v>0</v>
      </c>
      <c r="K1339" t="n">
        <v>0</v>
      </c>
      <c r="L1339" t="n">
        <v>0</v>
      </c>
      <c r="M1339" t="n">
        <v>0</v>
      </c>
      <c r="N1339" t="n">
        <v>0</v>
      </c>
      <c r="O1339" t="n">
        <v>0</v>
      </c>
      <c r="P1339" t="n">
        <v>0</v>
      </c>
      <c r="Q1339" t="n">
        <v>0</v>
      </c>
      <c r="R1339" s="2" t="inlineStr"/>
    </row>
    <row r="1340" ht="15" customHeight="1">
      <c r="A1340" t="inlineStr">
        <is>
          <t>A 2630-2024</t>
        </is>
      </c>
      <c r="B1340" s="1" t="n">
        <v>45313</v>
      </c>
      <c r="C1340" s="1" t="n">
        <v>45506</v>
      </c>
      <c r="D1340" t="inlineStr">
        <is>
          <t>JÄMTLANDS LÄN</t>
        </is>
      </c>
      <c r="E1340" t="inlineStr">
        <is>
          <t>RAGUNDA</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2673-2024</t>
        </is>
      </c>
      <c r="B1341" s="1" t="n">
        <v>45314</v>
      </c>
      <c r="C1341" s="1" t="n">
        <v>45506</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2751-2024</t>
        </is>
      </c>
      <c r="B1342" s="1" t="n">
        <v>45314</v>
      </c>
      <c r="C1342" s="1" t="n">
        <v>45506</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2678-2024</t>
        </is>
      </c>
      <c r="B1343" s="1" t="n">
        <v>45314</v>
      </c>
      <c r="C1343" s="1" t="n">
        <v>45506</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2834-2024</t>
        </is>
      </c>
      <c r="B1344" s="1" t="n">
        <v>45314</v>
      </c>
      <c r="C1344" s="1" t="n">
        <v>45506</v>
      </c>
      <c r="D1344" t="inlineStr">
        <is>
          <t>JÄMTLANDS LÄN</t>
        </is>
      </c>
      <c r="E1344" t="inlineStr">
        <is>
          <t>RAGUNDA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2831-2024</t>
        </is>
      </c>
      <c r="B1345" s="1" t="n">
        <v>45314</v>
      </c>
      <c r="C1345" s="1" t="n">
        <v>45506</v>
      </c>
      <c r="D1345" t="inlineStr">
        <is>
          <t>JÄMTLANDS LÄN</t>
        </is>
      </c>
      <c r="E1345" t="inlineStr">
        <is>
          <t>RAGUNDA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3016-2024</t>
        </is>
      </c>
      <c r="B1346" s="1" t="n">
        <v>45315</v>
      </c>
      <c r="C1346" s="1" t="n">
        <v>45506</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3018-2024</t>
        </is>
      </c>
      <c r="B1347" s="1" t="n">
        <v>45315</v>
      </c>
      <c r="C1347" s="1" t="n">
        <v>45506</v>
      </c>
      <c r="D1347" t="inlineStr">
        <is>
          <t>JÄMTLANDS LÄN</t>
        </is>
      </c>
      <c r="E1347" t="inlineStr">
        <is>
          <t>RAGUNDA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3240-2024</t>
        </is>
      </c>
      <c r="B1348" s="1" t="n">
        <v>45316</v>
      </c>
      <c r="C1348" s="1" t="n">
        <v>45506</v>
      </c>
      <c r="D1348" t="inlineStr">
        <is>
          <t>JÄMTLANDS LÄN</t>
        </is>
      </c>
      <c r="E1348" t="inlineStr">
        <is>
          <t>RAGUNDA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3635-2024</t>
        </is>
      </c>
      <c r="B1349" s="1" t="n">
        <v>45320</v>
      </c>
      <c r="C1349" s="1" t="n">
        <v>45506</v>
      </c>
      <c r="D1349" t="inlineStr">
        <is>
          <t>JÄMTLANDS LÄN</t>
        </is>
      </c>
      <c r="E1349" t="inlineStr">
        <is>
          <t>RAGUNDA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3938-2024</t>
        </is>
      </c>
      <c r="B1350" s="1" t="n">
        <v>45322</v>
      </c>
      <c r="C1350" s="1" t="n">
        <v>45506</v>
      </c>
      <c r="D1350" t="inlineStr">
        <is>
          <t>JÄMTLANDS LÄN</t>
        </is>
      </c>
      <c r="E1350" t="inlineStr">
        <is>
          <t>RAGUNDA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3992-2024</t>
        </is>
      </c>
      <c r="B1351" s="1" t="n">
        <v>45322</v>
      </c>
      <c r="C1351" s="1" t="n">
        <v>45506</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4125-2024</t>
        </is>
      </c>
      <c r="B1352" s="1" t="n">
        <v>45323</v>
      </c>
      <c r="C1352" s="1" t="n">
        <v>45506</v>
      </c>
      <c r="D1352" t="inlineStr">
        <is>
          <t>JÄMTLANDS LÄN</t>
        </is>
      </c>
      <c r="E1352" t="inlineStr">
        <is>
          <t>RAGUNDA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4212-2024</t>
        </is>
      </c>
      <c r="B1353" s="1" t="n">
        <v>45324</v>
      </c>
      <c r="C1353" s="1" t="n">
        <v>45506</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4249-2024</t>
        </is>
      </c>
      <c r="B1354" s="1" t="n">
        <v>45324</v>
      </c>
      <c r="C1354" s="1" t="n">
        <v>45506</v>
      </c>
      <c r="D1354" t="inlineStr">
        <is>
          <t>JÄMTLANDS LÄN</t>
        </is>
      </c>
      <c r="E1354" t="inlineStr">
        <is>
          <t>RAGUNDA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4594-2024</t>
        </is>
      </c>
      <c r="B1355" s="1" t="n">
        <v>45327</v>
      </c>
      <c r="C1355" s="1" t="n">
        <v>45506</v>
      </c>
      <c r="D1355" t="inlineStr">
        <is>
          <t>JÄMTLANDS LÄN</t>
        </is>
      </c>
      <c r="E1355" t="inlineStr">
        <is>
          <t>RAGUNDA</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4592-2024</t>
        </is>
      </c>
      <c r="B1356" s="1" t="n">
        <v>45327</v>
      </c>
      <c r="C1356" s="1" t="n">
        <v>45506</v>
      </c>
      <c r="D1356" t="inlineStr">
        <is>
          <t>JÄMTLANDS LÄN</t>
        </is>
      </c>
      <c r="E1356" t="inlineStr">
        <is>
          <t>RAGUNDA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4591-2024</t>
        </is>
      </c>
      <c r="B1357" s="1" t="n">
        <v>45327</v>
      </c>
      <c r="C1357" s="1" t="n">
        <v>45506</v>
      </c>
      <c r="D1357" t="inlineStr">
        <is>
          <t>JÄMTLANDS LÄN</t>
        </is>
      </c>
      <c r="E1357" t="inlineStr">
        <is>
          <t>RAGUNDA</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4820-2024</t>
        </is>
      </c>
      <c r="B1358" s="1" t="n">
        <v>45328</v>
      </c>
      <c r="C1358" s="1" t="n">
        <v>45506</v>
      </c>
      <c r="D1358" t="inlineStr">
        <is>
          <t>JÄMTLANDS LÄN</t>
        </is>
      </c>
      <c r="E1358" t="inlineStr">
        <is>
          <t>RAGUNDA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4822-2024</t>
        </is>
      </c>
      <c r="B1359" s="1" t="n">
        <v>45328</v>
      </c>
      <c r="C1359" s="1" t="n">
        <v>45506</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4811-2024</t>
        </is>
      </c>
      <c r="B1360" s="1" t="n">
        <v>45328</v>
      </c>
      <c r="C1360" s="1" t="n">
        <v>45506</v>
      </c>
      <c r="D1360" t="inlineStr">
        <is>
          <t>JÄMTLANDS LÄN</t>
        </is>
      </c>
      <c r="E1360" t="inlineStr">
        <is>
          <t>RAGUNDA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4936-2024</t>
        </is>
      </c>
      <c r="B1361" s="1" t="n">
        <v>45329</v>
      </c>
      <c r="C1361" s="1" t="n">
        <v>45506</v>
      </c>
      <c r="D1361" t="inlineStr">
        <is>
          <t>JÄMTLANDS LÄN</t>
        </is>
      </c>
      <c r="E1361" t="inlineStr">
        <is>
          <t>RAGUNDA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5067-2024</t>
        </is>
      </c>
      <c r="B1362" s="1" t="n">
        <v>45329</v>
      </c>
      <c r="C1362" s="1" t="n">
        <v>45506</v>
      </c>
      <c r="D1362" t="inlineStr">
        <is>
          <t>JÄMTLANDS LÄN</t>
        </is>
      </c>
      <c r="E1362" t="inlineStr">
        <is>
          <t>RAGUNDA</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5250-2024</t>
        </is>
      </c>
      <c r="B1363" s="1" t="n">
        <v>45330</v>
      </c>
      <c r="C1363" s="1" t="n">
        <v>45506</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5263-2024</t>
        </is>
      </c>
      <c r="B1364" s="1" t="n">
        <v>45331</v>
      </c>
      <c r="C1364" s="1" t="n">
        <v>45506</v>
      </c>
      <c r="D1364" t="inlineStr">
        <is>
          <t>JÄMTLANDS LÄN</t>
        </is>
      </c>
      <c r="E1364" t="inlineStr">
        <is>
          <t>RAGUNDA</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5429-2024</t>
        </is>
      </c>
      <c r="B1365" s="1" t="n">
        <v>45331</v>
      </c>
      <c r="C1365" s="1" t="n">
        <v>45506</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6267-2024</t>
        </is>
      </c>
      <c r="B1366" s="1" t="n">
        <v>45337</v>
      </c>
      <c r="C1366" s="1" t="n">
        <v>45506</v>
      </c>
      <c r="D1366" t="inlineStr">
        <is>
          <t>JÄMTLANDS LÄN</t>
        </is>
      </c>
      <c r="E1366" t="inlineStr">
        <is>
          <t>RAGUNDA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6477-2024</t>
        </is>
      </c>
      <c r="B1367" s="1" t="n">
        <v>45338</v>
      </c>
      <c r="C1367" s="1" t="n">
        <v>45506</v>
      </c>
      <c r="D1367" t="inlineStr">
        <is>
          <t>JÄMTLANDS LÄN</t>
        </is>
      </c>
      <c r="E1367" t="inlineStr">
        <is>
          <t>RAGUNDA</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6687-2024</t>
        </is>
      </c>
      <c r="B1368" s="1" t="n">
        <v>45341</v>
      </c>
      <c r="C1368" s="1" t="n">
        <v>45506</v>
      </c>
      <c r="D1368" t="inlineStr">
        <is>
          <t>JÄMTLANDS LÄN</t>
        </is>
      </c>
      <c r="E1368" t="inlineStr">
        <is>
          <t>RAGUNDA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6694-2024</t>
        </is>
      </c>
      <c r="B1369" s="1" t="n">
        <v>45341</v>
      </c>
      <c r="C1369" s="1" t="n">
        <v>45506</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6688-2024</t>
        </is>
      </c>
      <c r="B1370" s="1" t="n">
        <v>45341</v>
      </c>
      <c r="C1370" s="1" t="n">
        <v>45506</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6736-2024</t>
        </is>
      </c>
      <c r="B1371" s="1" t="n">
        <v>45342</v>
      </c>
      <c r="C1371" s="1" t="n">
        <v>45506</v>
      </c>
      <c r="D1371" t="inlineStr">
        <is>
          <t>JÄMTLANDS LÄN</t>
        </is>
      </c>
      <c r="E1371" t="inlineStr">
        <is>
          <t>RAGUNDA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6902-2024</t>
        </is>
      </c>
      <c r="B1372" s="1" t="n">
        <v>45342</v>
      </c>
      <c r="C1372" s="1" t="n">
        <v>45506</v>
      </c>
      <c r="D1372" t="inlineStr">
        <is>
          <t>JÄMTLANDS LÄN</t>
        </is>
      </c>
      <c r="E1372" t="inlineStr">
        <is>
          <t>RAGUNDA</t>
        </is>
      </c>
      <c r="F1372" t="inlineStr">
        <is>
          <t>SCA</t>
        </is>
      </c>
      <c r="G1372" t="n">
        <v>18.7</v>
      </c>
      <c r="H1372" t="n">
        <v>0</v>
      </c>
      <c r="I1372" t="n">
        <v>0</v>
      </c>
      <c r="J1372" t="n">
        <v>0</v>
      </c>
      <c r="K1372" t="n">
        <v>0</v>
      </c>
      <c r="L1372" t="n">
        <v>0</v>
      </c>
      <c r="M1372" t="n">
        <v>0</v>
      </c>
      <c r="N1372" t="n">
        <v>0</v>
      </c>
      <c r="O1372" t="n">
        <v>0</v>
      </c>
      <c r="P1372" t="n">
        <v>0</v>
      </c>
      <c r="Q1372" t="n">
        <v>0</v>
      </c>
      <c r="R1372" s="2" t="inlineStr"/>
    </row>
    <row r="1373" ht="15" customHeight="1">
      <c r="A1373" t="inlineStr">
        <is>
          <t>A 6905-2024</t>
        </is>
      </c>
      <c r="B1373" s="1" t="n">
        <v>45342</v>
      </c>
      <c r="C1373" s="1" t="n">
        <v>45506</v>
      </c>
      <c r="D1373" t="inlineStr">
        <is>
          <t>JÄMTLANDS LÄN</t>
        </is>
      </c>
      <c r="E1373" t="inlineStr">
        <is>
          <t>RAGUNDA</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6929-2024</t>
        </is>
      </c>
      <c r="B1374" s="1" t="n">
        <v>45343</v>
      </c>
      <c r="C1374" s="1" t="n">
        <v>45506</v>
      </c>
      <c r="D1374" t="inlineStr">
        <is>
          <t>JÄMTLANDS LÄN</t>
        </is>
      </c>
      <c r="E1374" t="inlineStr">
        <is>
          <t>RAGUNDA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7279-2024</t>
        </is>
      </c>
      <c r="B1375" s="1" t="n">
        <v>45344</v>
      </c>
      <c r="C1375" s="1" t="n">
        <v>45506</v>
      </c>
      <c r="D1375" t="inlineStr">
        <is>
          <t>JÄMTLANDS LÄN</t>
        </is>
      </c>
      <c r="E1375" t="inlineStr">
        <is>
          <t>RAGUNDA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7281-2024</t>
        </is>
      </c>
      <c r="B1376" s="1" t="n">
        <v>45344</v>
      </c>
      <c r="C1376" s="1" t="n">
        <v>45506</v>
      </c>
      <c r="D1376" t="inlineStr">
        <is>
          <t>JÄMTLANDS LÄN</t>
        </is>
      </c>
      <c r="E1376" t="inlineStr">
        <is>
          <t>RAGUNDA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7285-2024</t>
        </is>
      </c>
      <c r="B1377" s="1" t="n">
        <v>45344</v>
      </c>
      <c r="C1377" s="1" t="n">
        <v>45506</v>
      </c>
      <c r="D1377" t="inlineStr">
        <is>
          <t>JÄMTLANDS LÄN</t>
        </is>
      </c>
      <c r="E1377" t="inlineStr">
        <is>
          <t>RAGUNDA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7280-2024</t>
        </is>
      </c>
      <c r="B1378" s="1" t="n">
        <v>45344</v>
      </c>
      <c r="C1378" s="1" t="n">
        <v>45506</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7284-2024</t>
        </is>
      </c>
      <c r="B1379" s="1" t="n">
        <v>45344</v>
      </c>
      <c r="C1379" s="1" t="n">
        <v>45506</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7850-2024</t>
        </is>
      </c>
      <c r="B1380" s="1" t="n">
        <v>45350</v>
      </c>
      <c r="C1380" s="1" t="n">
        <v>45506</v>
      </c>
      <c r="D1380" t="inlineStr">
        <is>
          <t>JÄMTLANDS LÄN</t>
        </is>
      </c>
      <c r="E1380" t="inlineStr">
        <is>
          <t>RAGUNDA</t>
        </is>
      </c>
      <c r="F1380" t="inlineStr">
        <is>
          <t>SCA</t>
        </is>
      </c>
      <c r="G1380" t="n">
        <v>27.8</v>
      </c>
      <c r="H1380" t="n">
        <v>0</v>
      </c>
      <c r="I1380" t="n">
        <v>0</v>
      </c>
      <c r="J1380" t="n">
        <v>0</v>
      </c>
      <c r="K1380" t="n">
        <v>0</v>
      </c>
      <c r="L1380" t="n">
        <v>0</v>
      </c>
      <c r="M1380" t="n">
        <v>0</v>
      </c>
      <c r="N1380" t="n">
        <v>0</v>
      </c>
      <c r="O1380" t="n">
        <v>0</v>
      </c>
      <c r="P1380" t="n">
        <v>0</v>
      </c>
      <c r="Q1380" t="n">
        <v>0</v>
      </c>
      <c r="R1380" s="2" t="inlineStr"/>
    </row>
    <row r="1381" ht="15" customHeight="1">
      <c r="A1381" t="inlineStr">
        <is>
          <t>A 7855-2024</t>
        </is>
      </c>
      <c r="B1381" s="1" t="n">
        <v>45350</v>
      </c>
      <c r="C1381" s="1" t="n">
        <v>45506</v>
      </c>
      <c r="D1381" t="inlineStr">
        <is>
          <t>JÄMTLANDS LÄN</t>
        </is>
      </c>
      <c r="E1381" t="inlineStr">
        <is>
          <t>RAGUNDA</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8241-2024</t>
        </is>
      </c>
      <c r="B1382" s="1" t="n">
        <v>45352</v>
      </c>
      <c r="C1382" s="1" t="n">
        <v>45506</v>
      </c>
      <c r="D1382" t="inlineStr">
        <is>
          <t>JÄMTLANDS LÄN</t>
        </is>
      </c>
      <c r="E1382" t="inlineStr">
        <is>
          <t>RAGUNDA</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8243-2024</t>
        </is>
      </c>
      <c r="B1383" s="1" t="n">
        <v>45352</v>
      </c>
      <c r="C1383" s="1" t="n">
        <v>45506</v>
      </c>
      <c r="D1383" t="inlineStr">
        <is>
          <t>JÄMTLANDS LÄN</t>
        </is>
      </c>
      <c r="E1383" t="inlineStr">
        <is>
          <t>RAGUNDA</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8639-2024</t>
        </is>
      </c>
      <c r="B1384" s="1" t="n">
        <v>45356</v>
      </c>
      <c r="C1384" s="1" t="n">
        <v>45506</v>
      </c>
      <c r="D1384" t="inlineStr">
        <is>
          <t>JÄMTLANDS LÄN</t>
        </is>
      </c>
      <c r="E1384" t="inlineStr">
        <is>
          <t>RAGUNDA</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8643-2024</t>
        </is>
      </c>
      <c r="B1385" s="1" t="n">
        <v>45356</v>
      </c>
      <c r="C1385" s="1" t="n">
        <v>45506</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8644-2024</t>
        </is>
      </c>
      <c r="B1386" s="1" t="n">
        <v>45356</v>
      </c>
      <c r="C1386" s="1" t="n">
        <v>45506</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8642-2024</t>
        </is>
      </c>
      <c r="B1387" s="1" t="n">
        <v>45356</v>
      </c>
      <c r="C1387" s="1" t="n">
        <v>45506</v>
      </c>
      <c r="D1387" t="inlineStr">
        <is>
          <t>JÄMTLANDS LÄN</t>
        </is>
      </c>
      <c r="E1387" t="inlineStr">
        <is>
          <t>RAGUNDA</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8654-2024</t>
        </is>
      </c>
      <c r="B1388" s="1" t="n">
        <v>45356</v>
      </c>
      <c r="C1388" s="1" t="n">
        <v>45506</v>
      </c>
      <c r="D1388" t="inlineStr">
        <is>
          <t>JÄMTLANDS LÄN</t>
        </is>
      </c>
      <c r="E1388" t="inlineStr">
        <is>
          <t>RAGUNDA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8886-2024</t>
        </is>
      </c>
      <c r="B1389" s="1" t="n">
        <v>45357</v>
      </c>
      <c r="C1389" s="1" t="n">
        <v>45506</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9326-2024</t>
        </is>
      </c>
      <c r="B1390" s="1" t="n">
        <v>45358</v>
      </c>
      <c r="C1390" s="1" t="n">
        <v>45506</v>
      </c>
      <c r="D1390" t="inlineStr">
        <is>
          <t>JÄMTLANDS LÄN</t>
        </is>
      </c>
      <c r="E1390" t="inlineStr">
        <is>
          <t>RAGUNDA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9325-2024</t>
        </is>
      </c>
      <c r="B1391" s="1" t="n">
        <v>45358</v>
      </c>
      <c r="C1391" s="1" t="n">
        <v>45506</v>
      </c>
      <c r="D1391" t="inlineStr">
        <is>
          <t>JÄMTLANDS LÄN</t>
        </is>
      </c>
      <c r="E1391" t="inlineStr">
        <is>
          <t>RAGUNDA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9560-2024</t>
        </is>
      </c>
      <c r="B1392" s="1" t="n">
        <v>45360</v>
      </c>
      <c r="C1392" s="1" t="n">
        <v>45506</v>
      </c>
      <c r="D1392" t="inlineStr">
        <is>
          <t>JÄMTLANDS LÄN</t>
        </is>
      </c>
      <c r="E1392" t="inlineStr">
        <is>
          <t>RAGUNDA</t>
        </is>
      </c>
      <c r="F1392" t="inlineStr">
        <is>
          <t>SCA</t>
        </is>
      </c>
      <c r="G1392" t="n">
        <v>21.7</v>
      </c>
      <c r="H1392" t="n">
        <v>0</v>
      </c>
      <c r="I1392" t="n">
        <v>0</v>
      </c>
      <c r="J1392" t="n">
        <v>0</v>
      </c>
      <c r="K1392" t="n">
        <v>0</v>
      </c>
      <c r="L1392" t="n">
        <v>0</v>
      </c>
      <c r="M1392" t="n">
        <v>0</v>
      </c>
      <c r="N1392" t="n">
        <v>0</v>
      </c>
      <c r="O1392" t="n">
        <v>0</v>
      </c>
      <c r="P1392" t="n">
        <v>0</v>
      </c>
      <c r="Q1392" t="n">
        <v>0</v>
      </c>
      <c r="R1392" s="2" t="inlineStr"/>
    </row>
    <row r="1393" ht="15" customHeight="1">
      <c r="A1393" t="inlineStr">
        <is>
          <t>A 10196-2024</t>
        </is>
      </c>
      <c r="B1393" s="1" t="n">
        <v>45364</v>
      </c>
      <c r="C1393" s="1" t="n">
        <v>45506</v>
      </c>
      <c r="D1393" t="inlineStr">
        <is>
          <t>JÄMTLANDS LÄN</t>
        </is>
      </c>
      <c r="E1393" t="inlineStr">
        <is>
          <t>RAGUNDA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10197-2024</t>
        </is>
      </c>
      <c r="B1394" s="1" t="n">
        <v>45364</v>
      </c>
      <c r="C1394" s="1" t="n">
        <v>45506</v>
      </c>
      <c r="D1394" t="inlineStr">
        <is>
          <t>JÄMTLANDS LÄN</t>
        </is>
      </c>
      <c r="E1394" t="inlineStr">
        <is>
          <t>RAGUNDA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10205-2024</t>
        </is>
      </c>
      <c r="B1395" s="1" t="n">
        <v>45364</v>
      </c>
      <c r="C1395" s="1" t="n">
        <v>45506</v>
      </c>
      <c r="D1395" t="inlineStr">
        <is>
          <t>JÄMTLANDS LÄN</t>
        </is>
      </c>
      <c r="E1395" t="inlineStr">
        <is>
          <t>RAGUNDA</t>
        </is>
      </c>
      <c r="G1395" t="n">
        <v>25.3</v>
      </c>
      <c r="H1395" t="n">
        <v>0</v>
      </c>
      <c r="I1395" t="n">
        <v>0</v>
      </c>
      <c r="J1395" t="n">
        <v>0</v>
      </c>
      <c r="K1395" t="n">
        <v>0</v>
      </c>
      <c r="L1395" t="n">
        <v>0</v>
      </c>
      <c r="M1395" t="n">
        <v>0</v>
      </c>
      <c r="N1395" t="n">
        <v>0</v>
      </c>
      <c r="O1395" t="n">
        <v>0</v>
      </c>
      <c r="P1395" t="n">
        <v>0</v>
      </c>
      <c r="Q1395" t="n">
        <v>0</v>
      </c>
      <c r="R1395" s="2" t="inlineStr"/>
    </row>
    <row r="1396" ht="15" customHeight="1">
      <c r="A1396" t="inlineStr">
        <is>
          <t>A 10194-2024</t>
        </is>
      </c>
      <c r="B1396" s="1" t="n">
        <v>45364</v>
      </c>
      <c r="C1396" s="1" t="n">
        <v>45506</v>
      </c>
      <c r="D1396" t="inlineStr">
        <is>
          <t>JÄMTLANDS LÄN</t>
        </is>
      </c>
      <c r="E1396" t="inlineStr">
        <is>
          <t>RAGUNDA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10217-2024</t>
        </is>
      </c>
      <c r="B1397" s="1" t="n">
        <v>45364</v>
      </c>
      <c r="C1397" s="1" t="n">
        <v>45506</v>
      </c>
      <c r="D1397" t="inlineStr">
        <is>
          <t>JÄMTLANDS LÄN</t>
        </is>
      </c>
      <c r="E1397" t="inlineStr">
        <is>
          <t>RAGUNDA</t>
        </is>
      </c>
      <c r="F1397" t="inlineStr">
        <is>
          <t>SCA</t>
        </is>
      </c>
      <c r="G1397" t="n">
        <v>4.6</v>
      </c>
      <c r="H1397" t="n">
        <v>0</v>
      </c>
      <c r="I1397" t="n">
        <v>0</v>
      </c>
      <c r="J1397" t="n">
        <v>0</v>
      </c>
      <c r="K1397" t="n">
        <v>0</v>
      </c>
      <c r="L1397" t="n">
        <v>0</v>
      </c>
      <c r="M1397" t="n">
        <v>0</v>
      </c>
      <c r="N1397" t="n">
        <v>0</v>
      </c>
      <c r="O1397" t="n">
        <v>0</v>
      </c>
      <c r="P1397" t="n">
        <v>0</v>
      </c>
      <c r="Q1397" t="n">
        <v>0</v>
      </c>
      <c r="R1397" s="2" t="inlineStr"/>
      <c r="U1397">
        <f>HYPERLINK("https://klasma.github.io/Logging_2303/knärot/A 10217-2024 karta knärot.png", "A 10217-2024")</f>
        <v/>
      </c>
      <c r="V1397">
        <f>HYPERLINK("https://klasma.github.io/Logging_2303/klagomål/A 10217-2024 FSC-klagomål.docx", "A 10217-2024")</f>
        <v/>
      </c>
      <c r="W1397">
        <f>HYPERLINK("https://klasma.github.io/Logging_2303/klagomålsmail/A 10217-2024 FSC-klagomål mail.docx", "A 10217-2024")</f>
        <v/>
      </c>
      <c r="X1397">
        <f>HYPERLINK("https://klasma.github.io/Logging_2303/tillsyn/A 10217-2024 tillsynsbegäran.docx", "A 10217-2024")</f>
        <v/>
      </c>
      <c r="Y1397">
        <f>HYPERLINK("https://klasma.github.io/Logging_2303/tillsynsmail/A 10217-2024 tillsynsbegäran mail.docx", "A 10217-2024")</f>
        <v/>
      </c>
    </row>
    <row r="1398" ht="15" customHeight="1">
      <c r="A1398" t="inlineStr">
        <is>
          <t>A 10644-2024</t>
        </is>
      </c>
      <c r="B1398" s="1" t="n">
        <v>45367</v>
      </c>
      <c r="C1398" s="1" t="n">
        <v>45506</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10639-2024</t>
        </is>
      </c>
      <c r="B1399" s="1" t="n">
        <v>45367</v>
      </c>
      <c r="C1399" s="1" t="n">
        <v>45506</v>
      </c>
      <c r="D1399" t="inlineStr">
        <is>
          <t>JÄMTLANDS LÄN</t>
        </is>
      </c>
      <c r="E1399" t="inlineStr">
        <is>
          <t>RAGUNDA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10610-2024</t>
        </is>
      </c>
      <c r="B1400" s="1" t="n">
        <v>45367</v>
      </c>
      <c r="C1400" s="1" t="n">
        <v>45506</v>
      </c>
      <c r="D1400" t="inlineStr">
        <is>
          <t>JÄMTLANDS LÄN</t>
        </is>
      </c>
      <c r="E1400" t="inlineStr">
        <is>
          <t>RAGUNDA</t>
        </is>
      </c>
      <c r="F1400" t="inlineStr">
        <is>
          <t>SCA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10614-2024</t>
        </is>
      </c>
      <c r="B1401" s="1" t="n">
        <v>45367</v>
      </c>
      <c r="C1401" s="1" t="n">
        <v>45506</v>
      </c>
      <c r="D1401" t="inlineStr">
        <is>
          <t>JÄMTLANDS LÄN</t>
        </is>
      </c>
      <c r="E1401" t="inlineStr">
        <is>
          <t>RAGUNDA</t>
        </is>
      </c>
      <c r="F1401" t="inlineStr">
        <is>
          <t>SCA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10609-2024</t>
        </is>
      </c>
      <c r="B1402" s="1" t="n">
        <v>45367</v>
      </c>
      <c r="C1402" s="1" t="n">
        <v>45506</v>
      </c>
      <c r="D1402" t="inlineStr">
        <is>
          <t>JÄMTLANDS LÄN</t>
        </is>
      </c>
      <c r="E1402" t="inlineStr">
        <is>
          <t>RAGUNDA</t>
        </is>
      </c>
      <c r="F1402" t="inlineStr">
        <is>
          <t>SCA</t>
        </is>
      </c>
      <c r="G1402" t="n">
        <v>20.3</v>
      </c>
      <c r="H1402" t="n">
        <v>0</v>
      </c>
      <c r="I1402" t="n">
        <v>0</v>
      </c>
      <c r="J1402" t="n">
        <v>0</v>
      </c>
      <c r="K1402" t="n">
        <v>0</v>
      </c>
      <c r="L1402" t="n">
        <v>0</v>
      </c>
      <c r="M1402" t="n">
        <v>0</v>
      </c>
      <c r="N1402" t="n">
        <v>0</v>
      </c>
      <c r="O1402" t="n">
        <v>0</v>
      </c>
      <c r="P1402" t="n">
        <v>0</v>
      </c>
      <c r="Q1402" t="n">
        <v>0</v>
      </c>
      <c r="R1402" s="2" t="inlineStr"/>
    </row>
    <row r="1403" ht="15" customHeight="1">
      <c r="A1403" t="inlineStr">
        <is>
          <t>A 10613-2024</t>
        </is>
      </c>
      <c r="B1403" s="1" t="n">
        <v>45367</v>
      </c>
      <c r="C1403" s="1" t="n">
        <v>45506</v>
      </c>
      <c r="D1403" t="inlineStr">
        <is>
          <t>JÄMTLANDS LÄN</t>
        </is>
      </c>
      <c r="E1403" t="inlineStr">
        <is>
          <t>RAGUNDA</t>
        </is>
      </c>
      <c r="F1403" t="inlineStr">
        <is>
          <t>SCA</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10641-2024</t>
        </is>
      </c>
      <c r="B1404" s="1" t="n">
        <v>45367</v>
      </c>
      <c r="C1404" s="1" t="n">
        <v>45506</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10867-2024</t>
        </is>
      </c>
      <c r="B1405" s="1" t="n">
        <v>45370</v>
      </c>
      <c r="C1405" s="1" t="n">
        <v>45506</v>
      </c>
      <c r="D1405" t="inlineStr">
        <is>
          <t>JÄMTLANDS LÄN</t>
        </is>
      </c>
      <c r="E1405" t="inlineStr">
        <is>
          <t>RAGUNDA</t>
        </is>
      </c>
      <c r="F1405" t="inlineStr">
        <is>
          <t>SCA</t>
        </is>
      </c>
      <c r="G1405" t="n">
        <v>20.8</v>
      </c>
      <c r="H1405" t="n">
        <v>0</v>
      </c>
      <c r="I1405" t="n">
        <v>0</v>
      </c>
      <c r="J1405" t="n">
        <v>0</v>
      </c>
      <c r="K1405" t="n">
        <v>0</v>
      </c>
      <c r="L1405" t="n">
        <v>0</v>
      </c>
      <c r="M1405" t="n">
        <v>0</v>
      </c>
      <c r="N1405" t="n">
        <v>0</v>
      </c>
      <c r="O1405" t="n">
        <v>0</v>
      </c>
      <c r="P1405" t="n">
        <v>0</v>
      </c>
      <c r="Q1405" t="n">
        <v>0</v>
      </c>
      <c r="R1405" s="2" t="inlineStr"/>
    </row>
    <row r="1406" ht="15" customHeight="1">
      <c r="A1406" t="inlineStr">
        <is>
          <t>A 10920-2024</t>
        </is>
      </c>
      <c r="B1406" s="1" t="n">
        <v>45370</v>
      </c>
      <c r="C1406" s="1" t="n">
        <v>45506</v>
      </c>
      <c r="D1406" t="inlineStr">
        <is>
          <t>JÄMTLANDS LÄN</t>
        </is>
      </c>
      <c r="E1406" t="inlineStr">
        <is>
          <t>RAGUNDA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11547-2024</t>
        </is>
      </c>
      <c r="B1407" s="1" t="n">
        <v>45372</v>
      </c>
      <c r="C1407" s="1" t="n">
        <v>45506</v>
      </c>
      <c r="D1407" t="inlineStr">
        <is>
          <t>JÄMTLANDS LÄN</t>
        </is>
      </c>
      <c r="E1407" t="inlineStr">
        <is>
          <t>RAGUNDA</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11551-2024</t>
        </is>
      </c>
      <c r="B1408" s="1" t="n">
        <v>45372</v>
      </c>
      <c r="C1408" s="1" t="n">
        <v>45506</v>
      </c>
      <c r="D1408" t="inlineStr">
        <is>
          <t>JÄMTLANDS LÄN</t>
        </is>
      </c>
      <c r="E1408" t="inlineStr">
        <is>
          <t>RAGUNDA</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11550-2024</t>
        </is>
      </c>
      <c r="B1409" s="1" t="n">
        <v>45372</v>
      </c>
      <c r="C1409" s="1" t="n">
        <v>45506</v>
      </c>
      <c r="D1409" t="inlineStr">
        <is>
          <t>JÄMTLANDS LÄN</t>
        </is>
      </c>
      <c r="E1409" t="inlineStr">
        <is>
          <t>RAGUNDA</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11541-2024</t>
        </is>
      </c>
      <c r="B1410" s="1" t="n">
        <v>45372</v>
      </c>
      <c r="C1410" s="1" t="n">
        <v>45506</v>
      </c>
      <c r="D1410" t="inlineStr">
        <is>
          <t>JÄMTLANDS LÄN</t>
        </is>
      </c>
      <c r="E1410" t="inlineStr">
        <is>
          <t>RAGUNDA</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11780-2024</t>
        </is>
      </c>
      <c r="B1411" s="1" t="n">
        <v>45374</v>
      </c>
      <c r="C1411" s="1" t="n">
        <v>45506</v>
      </c>
      <c r="D1411" t="inlineStr">
        <is>
          <t>JÄMTLANDS LÄN</t>
        </is>
      </c>
      <c r="E1411" t="inlineStr">
        <is>
          <t>RAGUNDA</t>
        </is>
      </c>
      <c r="G1411" t="n">
        <v>14.6</v>
      </c>
      <c r="H1411" t="n">
        <v>0</v>
      </c>
      <c r="I1411" t="n">
        <v>0</v>
      </c>
      <c r="J1411" t="n">
        <v>0</v>
      </c>
      <c r="K1411" t="n">
        <v>0</v>
      </c>
      <c r="L1411" t="n">
        <v>0</v>
      </c>
      <c r="M1411" t="n">
        <v>0</v>
      </c>
      <c r="N1411" t="n">
        <v>0</v>
      </c>
      <c r="O1411" t="n">
        <v>0</v>
      </c>
      <c r="P1411" t="n">
        <v>0</v>
      </c>
      <c r="Q1411" t="n">
        <v>0</v>
      </c>
      <c r="R1411" s="2" t="inlineStr"/>
    </row>
    <row r="1412" ht="15" customHeight="1">
      <c r="A1412" t="inlineStr">
        <is>
          <t>A 11986-2024</t>
        </is>
      </c>
      <c r="B1412" s="1" t="n">
        <v>45376</v>
      </c>
      <c r="C1412" s="1" t="n">
        <v>45506</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11990-2024</t>
        </is>
      </c>
      <c r="B1413" s="1" t="n">
        <v>45376</v>
      </c>
      <c r="C1413" s="1" t="n">
        <v>45506</v>
      </c>
      <c r="D1413" t="inlineStr">
        <is>
          <t>JÄMTLANDS LÄN</t>
        </is>
      </c>
      <c r="E1413" t="inlineStr">
        <is>
          <t>RAGUNDA</t>
        </is>
      </c>
      <c r="F1413" t="inlineStr">
        <is>
          <t>SCA</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12201-2024</t>
        </is>
      </c>
      <c r="B1414" s="1" t="n">
        <v>45377</v>
      </c>
      <c r="C1414" s="1" t="n">
        <v>45506</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12362-2024</t>
        </is>
      </c>
      <c r="B1415" s="1" t="n">
        <v>45378</v>
      </c>
      <c r="C1415" s="1" t="n">
        <v>45506</v>
      </c>
      <c r="D1415" t="inlineStr">
        <is>
          <t>JÄMTLANDS LÄN</t>
        </is>
      </c>
      <c r="E1415" t="inlineStr">
        <is>
          <t>RAGUNDA</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12585-2024</t>
        </is>
      </c>
      <c r="B1416" s="1" t="n">
        <v>45379</v>
      </c>
      <c r="C1416" s="1" t="n">
        <v>45506</v>
      </c>
      <c r="D1416" t="inlineStr">
        <is>
          <t>JÄMTLANDS LÄN</t>
        </is>
      </c>
      <c r="E1416" t="inlineStr">
        <is>
          <t>RAGUNDA</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12653-2024</t>
        </is>
      </c>
      <c r="B1417" s="1" t="n">
        <v>45384</v>
      </c>
      <c r="C1417" s="1" t="n">
        <v>45506</v>
      </c>
      <c r="D1417" t="inlineStr">
        <is>
          <t>JÄMTLANDS LÄN</t>
        </is>
      </c>
      <c r="E1417" t="inlineStr">
        <is>
          <t>RAGUNDA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12660-2024</t>
        </is>
      </c>
      <c r="B1418" s="1" t="n">
        <v>45384</v>
      </c>
      <c r="C1418" s="1" t="n">
        <v>45506</v>
      </c>
      <c r="D1418" t="inlineStr">
        <is>
          <t>JÄMTLANDS LÄN</t>
        </is>
      </c>
      <c r="E1418" t="inlineStr">
        <is>
          <t>RAGUNDA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12867-2024</t>
        </is>
      </c>
      <c r="B1419" s="1" t="n">
        <v>45385</v>
      </c>
      <c r="C1419" s="1" t="n">
        <v>45506</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12868-2024</t>
        </is>
      </c>
      <c r="B1420" s="1" t="n">
        <v>45385</v>
      </c>
      <c r="C1420" s="1" t="n">
        <v>45506</v>
      </c>
      <c r="D1420" t="inlineStr">
        <is>
          <t>JÄMTLANDS LÄN</t>
        </is>
      </c>
      <c r="E1420" t="inlineStr">
        <is>
          <t>RAGUNDA</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13299-2024</t>
        </is>
      </c>
      <c r="B1421" s="1" t="n">
        <v>45386</v>
      </c>
      <c r="C1421" s="1" t="n">
        <v>45506</v>
      </c>
      <c r="D1421" t="inlineStr">
        <is>
          <t>JÄMTLANDS LÄN</t>
        </is>
      </c>
      <c r="E1421" t="inlineStr">
        <is>
          <t>RAGUNDA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13335-2024</t>
        </is>
      </c>
      <c r="B1422" s="1" t="n">
        <v>45387</v>
      </c>
      <c r="C1422" s="1" t="n">
        <v>45506</v>
      </c>
      <c r="D1422" t="inlineStr">
        <is>
          <t>JÄMTLANDS LÄN</t>
        </is>
      </c>
      <c r="E1422" t="inlineStr">
        <is>
          <t>RAGUNDA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13336-2024</t>
        </is>
      </c>
      <c r="B1423" s="1" t="n">
        <v>45387</v>
      </c>
      <c r="C1423" s="1" t="n">
        <v>45506</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13322-2024</t>
        </is>
      </c>
      <c r="B1424" s="1" t="n">
        <v>45386</v>
      </c>
      <c r="C1424" s="1" t="n">
        <v>45506</v>
      </c>
      <c r="D1424" t="inlineStr">
        <is>
          <t>JÄMTLANDS LÄN</t>
        </is>
      </c>
      <c r="E1424" t="inlineStr">
        <is>
          <t>RAGUNDA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13334-2024</t>
        </is>
      </c>
      <c r="B1425" s="1" t="n">
        <v>45386</v>
      </c>
      <c r="C1425" s="1" t="n">
        <v>45506</v>
      </c>
      <c r="D1425" t="inlineStr">
        <is>
          <t>JÄMTLANDS LÄN</t>
        </is>
      </c>
      <c r="E1425" t="inlineStr">
        <is>
          <t>RAGUNDA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13547-2024</t>
        </is>
      </c>
      <c r="B1426" s="1" t="n">
        <v>45388</v>
      </c>
      <c r="C1426" s="1" t="n">
        <v>45506</v>
      </c>
      <c r="D1426" t="inlineStr">
        <is>
          <t>JÄMTLANDS LÄN</t>
        </is>
      </c>
      <c r="E1426" t="inlineStr">
        <is>
          <t>RAGUNDA</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13628-2024</t>
        </is>
      </c>
      <c r="B1427" s="1" t="n">
        <v>45387</v>
      </c>
      <c r="C1427" s="1" t="n">
        <v>45506</v>
      </c>
      <c r="D1427" t="inlineStr">
        <is>
          <t>JÄMTLANDS LÄN</t>
        </is>
      </c>
      <c r="E1427" t="inlineStr">
        <is>
          <t>RAGUNDA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13767-2024</t>
        </is>
      </c>
      <c r="B1428" s="1" t="n">
        <v>45390</v>
      </c>
      <c r="C1428" s="1" t="n">
        <v>45506</v>
      </c>
      <c r="D1428" t="inlineStr">
        <is>
          <t>JÄMTLANDS LÄN</t>
        </is>
      </c>
      <c r="E1428" t="inlineStr">
        <is>
          <t>RAGUNDA</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13935-2024</t>
        </is>
      </c>
      <c r="B1429" s="1" t="n">
        <v>45392</v>
      </c>
      <c r="C1429" s="1" t="n">
        <v>45506</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14011-2024</t>
        </is>
      </c>
      <c r="B1430" s="1" t="n">
        <v>45392</v>
      </c>
      <c r="C1430" s="1" t="n">
        <v>45506</v>
      </c>
      <c r="D1430" t="inlineStr">
        <is>
          <t>JÄMTLANDS LÄN</t>
        </is>
      </c>
      <c r="E1430" t="inlineStr">
        <is>
          <t>RAGUNDA</t>
        </is>
      </c>
      <c r="F1430" t="inlineStr">
        <is>
          <t>Kyrkan</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14156-2024</t>
        </is>
      </c>
      <c r="B1431" s="1" t="n">
        <v>45392</v>
      </c>
      <c r="C1431" s="1" t="n">
        <v>45506</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14016-2024</t>
        </is>
      </c>
      <c r="B1432" s="1" t="n">
        <v>45392</v>
      </c>
      <c r="C1432" s="1" t="n">
        <v>45506</v>
      </c>
      <c r="D1432" t="inlineStr">
        <is>
          <t>JÄMTLANDS LÄN</t>
        </is>
      </c>
      <c r="E1432" t="inlineStr">
        <is>
          <t>RAGUNDA</t>
        </is>
      </c>
      <c r="F1432" t="inlineStr">
        <is>
          <t>Kyrkan</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14151-2024</t>
        </is>
      </c>
      <c r="B1433" s="1" t="n">
        <v>45393</v>
      </c>
      <c r="C1433" s="1" t="n">
        <v>45506</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14158-2024</t>
        </is>
      </c>
      <c r="B1434" s="1" t="n">
        <v>45392</v>
      </c>
      <c r="C1434" s="1" t="n">
        <v>45506</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14157-2024</t>
        </is>
      </c>
      <c r="B1435" s="1" t="n">
        <v>45393</v>
      </c>
      <c r="C1435" s="1" t="n">
        <v>45506</v>
      </c>
      <c r="D1435" t="inlineStr">
        <is>
          <t>JÄMTLANDS LÄN</t>
        </is>
      </c>
      <c r="E1435" t="inlineStr">
        <is>
          <t>RAGUNDA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14368-2024</t>
        </is>
      </c>
      <c r="B1436" s="1" t="n">
        <v>45394</v>
      </c>
      <c r="C1436" s="1" t="n">
        <v>45506</v>
      </c>
      <c r="D1436" t="inlineStr">
        <is>
          <t>JÄMTLANDS LÄN</t>
        </is>
      </c>
      <c r="E1436" t="inlineStr">
        <is>
          <t>RAGUNDA</t>
        </is>
      </c>
      <c r="F1436" t="inlineStr">
        <is>
          <t>Naturvårdsverket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14369-2024</t>
        </is>
      </c>
      <c r="B1437" s="1" t="n">
        <v>45394</v>
      </c>
      <c r="C1437" s="1" t="n">
        <v>45506</v>
      </c>
      <c r="D1437" t="inlineStr">
        <is>
          <t>JÄMTLANDS LÄN</t>
        </is>
      </c>
      <c r="E1437" t="inlineStr">
        <is>
          <t>RAGUNDA</t>
        </is>
      </c>
      <c r="F1437" t="inlineStr">
        <is>
          <t>Naturvårdsverket</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14566-2024</t>
        </is>
      </c>
      <c r="B1438" s="1" t="n">
        <v>45395</v>
      </c>
      <c r="C1438" s="1" t="n">
        <v>45506</v>
      </c>
      <c r="D1438" t="inlineStr">
        <is>
          <t>JÄMTLANDS LÄN</t>
        </is>
      </c>
      <c r="E1438" t="inlineStr">
        <is>
          <t>RAGUNDA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14540-2024</t>
        </is>
      </c>
      <c r="B1439" s="1" t="n">
        <v>45394</v>
      </c>
      <c r="C1439" s="1" t="n">
        <v>45506</v>
      </c>
      <c r="D1439" t="inlineStr">
        <is>
          <t>JÄMTLANDS LÄN</t>
        </is>
      </c>
      <c r="E1439" t="inlineStr">
        <is>
          <t>RAGUNDA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14813-2024</t>
        </is>
      </c>
      <c r="B1440" s="1" t="n">
        <v>45398</v>
      </c>
      <c r="C1440" s="1" t="n">
        <v>45506</v>
      </c>
      <c r="D1440" t="inlineStr">
        <is>
          <t>JÄMTLANDS LÄN</t>
        </is>
      </c>
      <c r="E1440" t="inlineStr">
        <is>
          <t>RAGUNDA</t>
        </is>
      </c>
      <c r="F1440" t="inlineStr">
        <is>
          <t>SCA</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15583-2024</t>
        </is>
      </c>
      <c r="B1441" s="1" t="n">
        <v>45401</v>
      </c>
      <c r="C1441" s="1" t="n">
        <v>45506</v>
      </c>
      <c r="D1441" t="inlineStr">
        <is>
          <t>JÄMTLANDS LÄN</t>
        </is>
      </c>
      <c r="E1441" t="inlineStr">
        <is>
          <t>RAGUNDA</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15611-2024</t>
        </is>
      </c>
      <c r="B1442" s="1" t="n">
        <v>45401</v>
      </c>
      <c r="C1442" s="1" t="n">
        <v>45506</v>
      </c>
      <c r="D1442" t="inlineStr">
        <is>
          <t>JÄMTLANDS LÄN</t>
        </is>
      </c>
      <c r="E1442" t="inlineStr">
        <is>
          <t>RAGUNDA</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15581-2024</t>
        </is>
      </c>
      <c r="B1443" s="1" t="n">
        <v>45401</v>
      </c>
      <c r="C1443" s="1" t="n">
        <v>45506</v>
      </c>
      <c r="D1443" t="inlineStr">
        <is>
          <t>JÄMTLANDS LÄN</t>
        </is>
      </c>
      <c r="E1443" t="inlineStr">
        <is>
          <t>RAGUNDA</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15585-2024</t>
        </is>
      </c>
      <c r="B1444" s="1" t="n">
        <v>45401</v>
      </c>
      <c r="C1444" s="1" t="n">
        <v>45506</v>
      </c>
      <c r="D1444" t="inlineStr">
        <is>
          <t>JÄMTLANDS LÄN</t>
        </is>
      </c>
      <c r="E1444" t="inlineStr">
        <is>
          <t>RAGUNDA</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15864-2024</t>
        </is>
      </c>
      <c r="B1445" s="1" t="n">
        <v>45405</v>
      </c>
      <c r="C1445" s="1" t="n">
        <v>45506</v>
      </c>
      <c r="D1445" t="inlineStr">
        <is>
          <t>JÄMTLANDS LÄN</t>
        </is>
      </c>
      <c r="E1445" t="inlineStr">
        <is>
          <t>RAGUNDA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15842-2024</t>
        </is>
      </c>
      <c r="B1446" s="1" t="n">
        <v>45405</v>
      </c>
      <c r="C1446" s="1" t="n">
        <v>45506</v>
      </c>
      <c r="D1446" t="inlineStr">
        <is>
          <t>JÄMTLANDS LÄN</t>
        </is>
      </c>
      <c r="E1446" t="inlineStr">
        <is>
          <t>RAGUNDA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16698-2024</t>
        </is>
      </c>
      <c r="B1447" s="1" t="n">
        <v>45409</v>
      </c>
      <c r="C1447" s="1" t="n">
        <v>45506</v>
      </c>
      <c r="D1447" t="inlineStr">
        <is>
          <t>JÄMTLANDS LÄN</t>
        </is>
      </c>
      <c r="E1447" t="inlineStr">
        <is>
          <t>RAGUNDA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16982-2024</t>
        </is>
      </c>
      <c r="B1448" s="1" t="n">
        <v>45412</v>
      </c>
      <c r="C1448" s="1" t="n">
        <v>45506</v>
      </c>
      <c r="D1448" t="inlineStr">
        <is>
          <t>JÄMTLANDS LÄN</t>
        </is>
      </c>
      <c r="E1448" t="inlineStr">
        <is>
          <t>RAGUNDA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17208-2024</t>
        </is>
      </c>
      <c r="B1449" s="1" t="n">
        <v>45414</v>
      </c>
      <c r="C1449" s="1" t="n">
        <v>45506</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17443-2024</t>
        </is>
      </c>
      <c r="B1450" s="1" t="n">
        <v>45415</v>
      </c>
      <c r="C1450" s="1" t="n">
        <v>45506</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17521-2024</t>
        </is>
      </c>
      <c r="B1451" s="1" t="n">
        <v>45415</v>
      </c>
      <c r="C1451" s="1" t="n">
        <v>45506</v>
      </c>
      <c r="D1451" t="inlineStr">
        <is>
          <t>JÄMTLANDS LÄN</t>
        </is>
      </c>
      <c r="E1451" t="inlineStr">
        <is>
          <t>RAGUNDA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17595-2024</t>
        </is>
      </c>
      <c r="B1452" s="1" t="n">
        <v>45416</v>
      </c>
      <c r="C1452" s="1" t="n">
        <v>45506</v>
      </c>
      <c r="D1452" t="inlineStr">
        <is>
          <t>JÄMTLANDS LÄN</t>
        </is>
      </c>
      <c r="E1452" t="inlineStr">
        <is>
          <t>RAGUNDA</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18225-2024</t>
        </is>
      </c>
      <c r="B1453" s="1" t="n">
        <v>45420</v>
      </c>
      <c r="C1453" s="1" t="n">
        <v>45506</v>
      </c>
      <c r="D1453" t="inlineStr">
        <is>
          <t>JÄMTLANDS LÄN</t>
        </is>
      </c>
      <c r="E1453" t="inlineStr">
        <is>
          <t>RAGUNDA</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18615-2024</t>
        </is>
      </c>
      <c r="B1454" s="1" t="n">
        <v>45426</v>
      </c>
      <c r="C1454" s="1" t="n">
        <v>45506</v>
      </c>
      <c r="D1454" t="inlineStr">
        <is>
          <t>JÄMTLANDS LÄN</t>
        </is>
      </c>
      <c r="E1454" t="inlineStr">
        <is>
          <t>RAGUNDA</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18631-2024</t>
        </is>
      </c>
      <c r="B1455" s="1" t="n">
        <v>45426</v>
      </c>
      <c r="C1455" s="1" t="n">
        <v>45506</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18635-2024</t>
        </is>
      </c>
      <c r="B1456" s="1" t="n">
        <v>45426</v>
      </c>
      <c r="C1456" s="1" t="n">
        <v>45506</v>
      </c>
      <c r="D1456" t="inlineStr">
        <is>
          <t>JÄMTLANDS LÄN</t>
        </is>
      </c>
      <c r="E1456" t="inlineStr">
        <is>
          <t>RAGUNDA</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18612-2024</t>
        </is>
      </c>
      <c r="B1457" s="1" t="n">
        <v>45426</v>
      </c>
      <c r="C1457" s="1" t="n">
        <v>45506</v>
      </c>
      <c r="D1457" t="inlineStr">
        <is>
          <t>JÄMTLANDS LÄN</t>
        </is>
      </c>
      <c r="E1457" t="inlineStr">
        <is>
          <t>RAGUNDA</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18636-2024</t>
        </is>
      </c>
      <c r="B1458" s="1" t="n">
        <v>45426</v>
      </c>
      <c r="C1458" s="1" t="n">
        <v>45506</v>
      </c>
      <c r="D1458" t="inlineStr">
        <is>
          <t>JÄMTLANDS LÄN</t>
        </is>
      </c>
      <c r="E1458" t="inlineStr">
        <is>
          <t>RAGUNDA</t>
        </is>
      </c>
      <c r="F1458" t="inlineStr">
        <is>
          <t>SCA</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18610-2024</t>
        </is>
      </c>
      <c r="B1459" s="1" t="n">
        <v>45426</v>
      </c>
      <c r="C1459" s="1" t="n">
        <v>45506</v>
      </c>
      <c r="D1459" t="inlineStr">
        <is>
          <t>JÄMTLANDS LÄN</t>
        </is>
      </c>
      <c r="E1459" t="inlineStr">
        <is>
          <t>RAGUNDA</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18614-2024</t>
        </is>
      </c>
      <c r="B1460" s="1" t="n">
        <v>45426</v>
      </c>
      <c r="C1460" s="1" t="n">
        <v>45506</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18782-2024</t>
        </is>
      </c>
      <c r="B1461" s="1" t="n">
        <v>45426</v>
      </c>
      <c r="C1461" s="1" t="n">
        <v>45506</v>
      </c>
      <c r="D1461" t="inlineStr">
        <is>
          <t>JÄMTLANDS LÄN</t>
        </is>
      </c>
      <c r="E1461" t="inlineStr">
        <is>
          <t>RAGUNDA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18777-2024</t>
        </is>
      </c>
      <c r="B1462" s="1" t="n">
        <v>45426</v>
      </c>
      <c r="C1462" s="1" t="n">
        <v>45506</v>
      </c>
      <c r="D1462" t="inlineStr">
        <is>
          <t>JÄMTLANDS LÄN</t>
        </is>
      </c>
      <c r="E1462" t="inlineStr">
        <is>
          <t>RAGUNDA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18781-2024</t>
        </is>
      </c>
      <c r="B1463" s="1" t="n">
        <v>45426</v>
      </c>
      <c r="C1463" s="1" t="n">
        <v>45506</v>
      </c>
      <c r="D1463" t="inlineStr">
        <is>
          <t>JÄMTLANDS LÄN</t>
        </is>
      </c>
      <c r="E1463" t="inlineStr">
        <is>
          <t>RAGUNDA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18778-2024</t>
        </is>
      </c>
      <c r="B1464" s="1" t="n">
        <v>45426</v>
      </c>
      <c r="C1464" s="1" t="n">
        <v>45506</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19089-2024</t>
        </is>
      </c>
      <c r="B1465" s="1" t="n">
        <v>45428</v>
      </c>
      <c r="C1465" s="1" t="n">
        <v>45506</v>
      </c>
      <c r="D1465" t="inlineStr">
        <is>
          <t>JÄMTLANDS LÄN</t>
        </is>
      </c>
      <c r="E1465" t="inlineStr">
        <is>
          <t>RAGUNDA</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19329-2024</t>
        </is>
      </c>
      <c r="B1466" s="1" t="n">
        <v>45429</v>
      </c>
      <c r="C1466" s="1" t="n">
        <v>45506</v>
      </c>
      <c r="D1466" t="inlineStr">
        <is>
          <t>JÄMTLANDS LÄN</t>
        </is>
      </c>
      <c r="E1466" t="inlineStr">
        <is>
          <t>RAGUNDA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19335-2024</t>
        </is>
      </c>
      <c r="B1467" s="1" t="n">
        <v>45429</v>
      </c>
      <c r="C1467" s="1" t="n">
        <v>45506</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19419-2024</t>
        </is>
      </c>
      <c r="B1468" s="1" t="n">
        <v>45429</v>
      </c>
      <c r="C1468" s="1" t="n">
        <v>45506</v>
      </c>
      <c r="D1468" t="inlineStr">
        <is>
          <t>JÄMTLANDS LÄN</t>
        </is>
      </c>
      <c r="E1468" t="inlineStr">
        <is>
          <t>RAGUNDA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19486-2024</t>
        </is>
      </c>
      <c r="B1469" s="1" t="n">
        <v>45429</v>
      </c>
      <c r="C1469" s="1" t="n">
        <v>45506</v>
      </c>
      <c r="D1469" t="inlineStr">
        <is>
          <t>JÄMTLANDS LÄN</t>
        </is>
      </c>
      <c r="E1469" t="inlineStr">
        <is>
          <t>RAGUNDA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19850-2024</t>
        </is>
      </c>
      <c r="B1470" s="1" t="n">
        <v>45433</v>
      </c>
      <c r="C1470" s="1" t="n">
        <v>45506</v>
      </c>
      <c r="D1470" t="inlineStr">
        <is>
          <t>JÄMTLANDS LÄN</t>
        </is>
      </c>
      <c r="E1470" t="inlineStr">
        <is>
          <t>RAGUNDA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19897-2024</t>
        </is>
      </c>
      <c r="B1471" s="1" t="n">
        <v>45433</v>
      </c>
      <c r="C1471" s="1" t="n">
        <v>45506</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19997-2024</t>
        </is>
      </c>
      <c r="B1472" s="1" t="n">
        <v>45434</v>
      </c>
      <c r="C1472" s="1" t="n">
        <v>45506</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20426-2024</t>
        </is>
      </c>
      <c r="B1473" s="1" t="n">
        <v>45435</v>
      </c>
      <c r="C1473" s="1" t="n">
        <v>45506</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20363-2024</t>
        </is>
      </c>
      <c r="B1474" s="1" t="n">
        <v>45435</v>
      </c>
      <c r="C1474" s="1" t="n">
        <v>45506</v>
      </c>
      <c r="D1474" t="inlineStr">
        <is>
          <t>JÄMTLANDS LÄN</t>
        </is>
      </c>
      <c r="E1474" t="inlineStr">
        <is>
          <t>RAGUNDA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20770-2024</t>
        </is>
      </c>
      <c r="B1475" s="1" t="n">
        <v>45437</v>
      </c>
      <c r="C1475" s="1" t="n">
        <v>45506</v>
      </c>
      <c r="D1475" t="inlineStr">
        <is>
          <t>JÄMTLANDS LÄN</t>
        </is>
      </c>
      <c r="E1475" t="inlineStr">
        <is>
          <t>RAGUNDA</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20774-2024</t>
        </is>
      </c>
      <c r="B1476" s="1" t="n">
        <v>45437</v>
      </c>
      <c r="C1476" s="1" t="n">
        <v>45506</v>
      </c>
      <c r="D1476" t="inlineStr">
        <is>
          <t>JÄMTLANDS LÄN</t>
        </is>
      </c>
      <c r="E1476" t="inlineStr">
        <is>
          <t>RAGUNDA</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20773-2024</t>
        </is>
      </c>
      <c r="B1477" s="1" t="n">
        <v>45437</v>
      </c>
      <c r="C1477" s="1" t="n">
        <v>45506</v>
      </c>
      <c r="D1477" t="inlineStr">
        <is>
          <t>JÄMTLANDS LÄN</t>
        </is>
      </c>
      <c r="E1477" t="inlineStr">
        <is>
          <t>RAGUNDA</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20772-2024</t>
        </is>
      </c>
      <c r="B1478" s="1" t="n">
        <v>45437</v>
      </c>
      <c r="C1478" s="1" t="n">
        <v>45506</v>
      </c>
      <c r="D1478" t="inlineStr">
        <is>
          <t>JÄMTLANDS LÄN</t>
        </is>
      </c>
      <c r="E1478" t="inlineStr">
        <is>
          <t>RAGUNDA</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21082-2024</t>
        </is>
      </c>
      <c r="B1479" s="1" t="n">
        <v>45440</v>
      </c>
      <c r="C1479" s="1" t="n">
        <v>45506</v>
      </c>
      <c r="D1479" t="inlineStr">
        <is>
          <t>JÄMTLANDS LÄN</t>
        </is>
      </c>
      <c r="E1479" t="inlineStr">
        <is>
          <t>RAGUNDA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21083-2024</t>
        </is>
      </c>
      <c r="B1480" s="1" t="n">
        <v>45440</v>
      </c>
      <c r="C1480" s="1" t="n">
        <v>45506</v>
      </c>
      <c r="D1480" t="inlineStr">
        <is>
          <t>JÄMTLANDS LÄN</t>
        </is>
      </c>
      <c r="E1480" t="inlineStr">
        <is>
          <t>RAGUNDA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21105-2024</t>
        </is>
      </c>
      <c r="B1481" s="1" t="n">
        <v>45440</v>
      </c>
      <c r="C1481" s="1" t="n">
        <v>45506</v>
      </c>
      <c r="D1481" t="inlineStr">
        <is>
          <t>JÄMTLANDS LÄN</t>
        </is>
      </c>
      <c r="E1481" t="inlineStr">
        <is>
          <t>RAGUNDA</t>
        </is>
      </c>
      <c r="F1481" t="inlineStr">
        <is>
          <t>SCA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21401-2024</t>
        </is>
      </c>
      <c r="B1482" s="1" t="n">
        <v>45441</v>
      </c>
      <c r="C1482" s="1" t="n">
        <v>45506</v>
      </c>
      <c r="D1482" t="inlineStr">
        <is>
          <t>JÄMTLANDS LÄN</t>
        </is>
      </c>
      <c r="E1482" t="inlineStr">
        <is>
          <t>RAGUNDA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21524-2024</t>
        </is>
      </c>
      <c r="B1483" s="1" t="n">
        <v>45441</v>
      </c>
      <c r="C1483" s="1" t="n">
        <v>45506</v>
      </c>
      <c r="D1483" t="inlineStr">
        <is>
          <t>JÄMTLANDS LÄN</t>
        </is>
      </c>
      <c r="E1483" t="inlineStr">
        <is>
          <t>RAGUNDA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21853-2024</t>
        </is>
      </c>
      <c r="B1484" s="1" t="n">
        <v>45443</v>
      </c>
      <c r="C1484" s="1" t="n">
        <v>45506</v>
      </c>
      <c r="D1484" t="inlineStr">
        <is>
          <t>JÄMTLANDS LÄN</t>
        </is>
      </c>
      <c r="E1484" t="inlineStr">
        <is>
          <t>RAGUNDA</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22412-2024</t>
        </is>
      </c>
      <c r="B1485" s="1" t="n">
        <v>45446</v>
      </c>
      <c r="C1485" s="1" t="n">
        <v>45506</v>
      </c>
      <c r="D1485" t="inlineStr">
        <is>
          <t>JÄMTLANDS LÄN</t>
        </is>
      </c>
      <c r="E1485" t="inlineStr">
        <is>
          <t>RAGUNDA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22482-2024</t>
        </is>
      </c>
      <c r="B1486" s="1" t="n">
        <v>45447</v>
      </c>
      <c r="C1486" s="1" t="n">
        <v>45506</v>
      </c>
      <c r="D1486" t="inlineStr">
        <is>
          <t>JÄMTLANDS LÄN</t>
        </is>
      </c>
      <c r="E1486" t="inlineStr">
        <is>
          <t>RAGUNDA</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22311-2024</t>
        </is>
      </c>
      <c r="B1487" s="1" t="n">
        <v>45446</v>
      </c>
      <c r="C1487" s="1" t="n">
        <v>45506</v>
      </c>
      <c r="D1487" t="inlineStr">
        <is>
          <t>JÄMTLANDS LÄN</t>
        </is>
      </c>
      <c r="E1487" t="inlineStr">
        <is>
          <t>RAGUNDA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22948-2024</t>
        </is>
      </c>
      <c r="B1488" s="1" t="n">
        <v>45449</v>
      </c>
      <c r="C1488" s="1" t="n">
        <v>45506</v>
      </c>
      <c r="D1488" t="inlineStr">
        <is>
          <t>JÄMTLANDS LÄN</t>
        </is>
      </c>
      <c r="E1488" t="inlineStr">
        <is>
          <t>RAGUNDA</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22941-2024</t>
        </is>
      </c>
      <c r="B1489" s="1" t="n">
        <v>45449</v>
      </c>
      <c r="C1489" s="1" t="n">
        <v>45506</v>
      </c>
      <c r="D1489" t="inlineStr">
        <is>
          <t>JÄMTLANDS LÄN</t>
        </is>
      </c>
      <c r="E1489" t="inlineStr">
        <is>
          <t>RAGUNDA</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22951-2024</t>
        </is>
      </c>
      <c r="B1490" s="1" t="n">
        <v>45449</v>
      </c>
      <c r="C1490" s="1" t="n">
        <v>45506</v>
      </c>
      <c r="D1490" t="inlineStr">
        <is>
          <t>JÄMTLANDS LÄN</t>
        </is>
      </c>
      <c r="E1490" t="inlineStr">
        <is>
          <t>RAGUNDA</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23223-2024</t>
        </is>
      </c>
      <c r="B1491" s="1" t="n">
        <v>45453</v>
      </c>
      <c r="C1491" s="1" t="n">
        <v>45506</v>
      </c>
      <c r="D1491" t="inlineStr">
        <is>
          <t>JÄMTLANDS LÄN</t>
        </is>
      </c>
      <c r="E1491" t="inlineStr">
        <is>
          <t>RAGUNDA</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23287-2024</t>
        </is>
      </c>
      <c r="B1492" s="1" t="n">
        <v>45453</v>
      </c>
      <c r="C1492" s="1" t="n">
        <v>45506</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23303-2024</t>
        </is>
      </c>
      <c r="B1493" s="1" t="n">
        <v>45453</v>
      </c>
      <c r="C1493" s="1" t="n">
        <v>45506</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23312-2024</t>
        </is>
      </c>
      <c r="B1494" s="1" t="n">
        <v>45453</v>
      </c>
      <c r="C1494" s="1" t="n">
        <v>45506</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23528-2024</t>
        </is>
      </c>
      <c r="B1495" s="1" t="n">
        <v>45454</v>
      </c>
      <c r="C1495" s="1" t="n">
        <v>45506</v>
      </c>
      <c r="D1495" t="inlineStr">
        <is>
          <t>JÄMTLANDS LÄN</t>
        </is>
      </c>
      <c r="E1495" t="inlineStr">
        <is>
          <t>RAGUNDA</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23535-2024</t>
        </is>
      </c>
      <c r="B1496" s="1" t="n">
        <v>45454</v>
      </c>
      <c r="C1496" s="1" t="n">
        <v>45506</v>
      </c>
      <c r="D1496" t="inlineStr">
        <is>
          <t>JÄMTLANDS LÄN</t>
        </is>
      </c>
      <c r="E1496" t="inlineStr">
        <is>
          <t>RAGUNDA</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23567-2024</t>
        </is>
      </c>
      <c r="B1497" s="1" t="n">
        <v>45454</v>
      </c>
      <c r="C1497" s="1" t="n">
        <v>45506</v>
      </c>
      <c r="D1497" t="inlineStr">
        <is>
          <t>JÄMTLANDS LÄN</t>
        </is>
      </c>
      <c r="E1497" t="inlineStr">
        <is>
          <t>RAGUNDA</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23727-2024</t>
        </is>
      </c>
      <c r="B1498" s="1" t="n">
        <v>45455</v>
      </c>
      <c r="C1498" s="1" t="n">
        <v>45506</v>
      </c>
      <c r="D1498" t="inlineStr">
        <is>
          <t>JÄMTLANDS LÄN</t>
        </is>
      </c>
      <c r="E1498" t="inlineStr">
        <is>
          <t>RAGUNDA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23734-2024</t>
        </is>
      </c>
      <c r="B1499" s="1" t="n">
        <v>45455</v>
      </c>
      <c r="C1499" s="1" t="n">
        <v>45506</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23726-2024</t>
        </is>
      </c>
      <c r="B1500" s="1" t="n">
        <v>45455</v>
      </c>
      <c r="C1500" s="1" t="n">
        <v>45506</v>
      </c>
      <c r="D1500" t="inlineStr">
        <is>
          <t>JÄMTLANDS LÄN</t>
        </is>
      </c>
      <c r="E1500" t="inlineStr">
        <is>
          <t>RAGUNDA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24207-2024</t>
        </is>
      </c>
      <c r="B1501" s="1" t="n">
        <v>45457</v>
      </c>
      <c r="C1501" s="1" t="n">
        <v>45506</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24197-2024</t>
        </is>
      </c>
      <c r="B1502" s="1" t="n">
        <v>45457</v>
      </c>
      <c r="C1502" s="1" t="n">
        <v>45506</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24196-2024</t>
        </is>
      </c>
      <c r="B1503" s="1" t="n">
        <v>45457</v>
      </c>
      <c r="C1503" s="1" t="n">
        <v>45506</v>
      </c>
      <c r="D1503" t="inlineStr">
        <is>
          <t>JÄMTLANDS LÄN</t>
        </is>
      </c>
      <c r="E1503" t="inlineStr">
        <is>
          <t>RAGUNDA</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24224-2024</t>
        </is>
      </c>
      <c r="B1504" s="1" t="n">
        <v>45457</v>
      </c>
      <c r="C1504" s="1" t="n">
        <v>45506</v>
      </c>
      <c r="D1504" t="inlineStr">
        <is>
          <t>JÄMTLANDS LÄN</t>
        </is>
      </c>
      <c r="E1504" t="inlineStr">
        <is>
          <t>RAGUNDA</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24441-2024</t>
        </is>
      </c>
      <c r="B1505" s="1" t="n">
        <v>45458</v>
      </c>
      <c r="C1505" s="1" t="n">
        <v>45506</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25366-2024</t>
        </is>
      </c>
      <c r="B1506" s="1" t="n">
        <v>45463</v>
      </c>
      <c r="C1506" s="1" t="n">
        <v>45506</v>
      </c>
      <c r="D1506" t="inlineStr">
        <is>
          <t>JÄMTLANDS LÄN</t>
        </is>
      </c>
      <c r="E1506" t="inlineStr">
        <is>
          <t>RAGUNDA</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25193-2024</t>
        </is>
      </c>
      <c r="B1507" s="1" t="n">
        <v>45462</v>
      </c>
      <c r="C1507" s="1" t="n">
        <v>45506</v>
      </c>
      <c r="D1507" t="inlineStr">
        <is>
          <t>JÄMTLANDS LÄN</t>
        </is>
      </c>
      <c r="E1507" t="inlineStr">
        <is>
          <t>RAGUNDA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25353-2024</t>
        </is>
      </c>
      <c r="B1508" s="1" t="n">
        <v>45463</v>
      </c>
      <c r="C1508" s="1" t="n">
        <v>45506</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25683-2024</t>
        </is>
      </c>
      <c r="B1509" s="1" t="n">
        <v>45464</v>
      </c>
      <c r="C1509" s="1" t="n">
        <v>45506</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25684-2024</t>
        </is>
      </c>
      <c r="B1510" s="1" t="n">
        <v>45464</v>
      </c>
      <c r="C1510" s="1" t="n">
        <v>45506</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25720-2024</t>
        </is>
      </c>
      <c r="B1511" s="1" t="n">
        <v>45464</v>
      </c>
      <c r="C1511" s="1" t="n">
        <v>45506</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25685-2024</t>
        </is>
      </c>
      <c r="B1512" s="1" t="n">
        <v>45464</v>
      </c>
      <c r="C1512" s="1" t="n">
        <v>45506</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26026-2024</t>
        </is>
      </c>
      <c r="B1513" s="1" t="n">
        <v>45468</v>
      </c>
      <c r="C1513" s="1" t="n">
        <v>45506</v>
      </c>
      <c r="D1513" t="inlineStr">
        <is>
          <t>JÄMTLANDS LÄN</t>
        </is>
      </c>
      <c r="E1513" t="inlineStr">
        <is>
          <t>RAGUNDA</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26282-2024</t>
        </is>
      </c>
      <c r="B1514" s="1" t="n">
        <v>45468</v>
      </c>
      <c r="C1514" s="1" t="n">
        <v>45506</v>
      </c>
      <c r="D1514" t="inlineStr">
        <is>
          <t>JÄMTLANDS LÄN</t>
        </is>
      </c>
      <c r="E1514" t="inlineStr">
        <is>
          <t>RAGUNDA</t>
        </is>
      </c>
      <c r="F1514" t="inlineStr">
        <is>
          <t>Kommuner</t>
        </is>
      </c>
      <c r="G1514" t="n">
        <v>20</v>
      </c>
      <c r="H1514" t="n">
        <v>0</v>
      </c>
      <c r="I1514" t="n">
        <v>0</v>
      </c>
      <c r="J1514" t="n">
        <v>0</v>
      </c>
      <c r="K1514" t="n">
        <v>0</v>
      </c>
      <c r="L1514" t="n">
        <v>0</v>
      </c>
      <c r="M1514" t="n">
        <v>0</v>
      </c>
      <c r="N1514" t="n">
        <v>0</v>
      </c>
      <c r="O1514" t="n">
        <v>0</v>
      </c>
      <c r="P1514" t="n">
        <v>0</v>
      </c>
      <c r="Q1514" t="n">
        <v>0</v>
      </c>
      <c r="R1514" s="2" t="inlineStr"/>
    </row>
    <row r="1515" ht="15" customHeight="1">
      <c r="A1515" t="inlineStr">
        <is>
          <t>A 26300-2024</t>
        </is>
      </c>
      <c r="B1515" s="1" t="n">
        <v>45469</v>
      </c>
      <c r="C1515" s="1" t="n">
        <v>45506</v>
      </c>
      <c r="D1515" t="inlineStr">
        <is>
          <t>JÄMTLANDS LÄN</t>
        </is>
      </c>
      <c r="E1515" t="inlineStr">
        <is>
          <t>RAGUNDA</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26651-2024</t>
        </is>
      </c>
      <c r="B1516" s="1" t="n">
        <v>45470</v>
      </c>
      <c r="C1516" s="1" t="n">
        <v>45506</v>
      </c>
      <c r="D1516" t="inlineStr">
        <is>
          <t>JÄMTLANDS LÄN</t>
        </is>
      </c>
      <c r="E1516" t="inlineStr">
        <is>
          <t>RAGUNDA</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26645-2024</t>
        </is>
      </c>
      <c r="B1517" s="1" t="n">
        <v>45470</v>
      </c>
      <c r="C1517" s="1" t="n">
        <v>45506</v>
      </c>
      <c r="D1517" t="inlineStr">
        <is>
          <t>JÄMTLANDS LÄN</t>
        </is>
      </c>
      <c r="E1517" t="inlineStr">
        <is>
          <t>RAGUNDA</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26652-2024</t>
        </is>
      </c>
      <c r="B1518" s="1" t="n">
        <v>45470</v>
      </c>
      <c r="C1518" s="1" t="n">
        <v>45506</v>
      </c>
      <c r="D1518" t="inlineStr">
        <is>
          <t>JÄMTLANDS LÄN</t>
        </is>
      </c>
      <c r="E1518" t="inlineStr">
        <is>
          <t>RAGUNDA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26768-2024</t>
        </is>
      </c>
      <c r="B1519" s="1" t="n">
        <v>45470</v>
      </c>
      <c r="C1519" s="1" t="n">
        <v>45506</v>
      </c>
      <c r="D1519" t="inlineStr">
        <is>
          <t>JÄMTLANDS LÄN</t>
        </is>
      </c>
      <c r="E1519" t="inlineStr">
        <is>
          <t>RAGUNDA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27307-2024</t>
        </is>
      </c>
      <c r="B1520" s="1" t="n">
        <v>45472</v>
      </c>
      <c r="C1520" s="1" t="n">
        <v>45506</v>
      </c>
      <c r="D1520" t="inlineStr">
        <is>
          <t>JÄMTLANDS LÄN</t>
        </is>
      </c>
      <c r="E1520" t="inlineStr">
        <is>
          <t>RAGUNDA</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27499-2024</t>
        </is>
      </c>
      <c r="B1521" s="1" t="n">
        <v>45474</v>
      </c>
      <c r="C1521" s="1" t="n">
        <v>45506</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27647-2024</t>
        </is>
      </c>
      <c r="B1522" s="1" t="n">
        <v>45475</v>
      </c>
      <c r="C1522" s="1" t="n">
        <v>45506</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27632-2024</t>
        </is>
      </c>
      <c r="B1523" s="1" t="n">
        <v>45475</v>
      </c>
      <c r="C1523" s="1" t="n">
        <v>45506</v>
      </c>
      <c r="D1523" t="inlineStr">
        <is>
          <t>JÄMTLANDS LÄN</t>
        </is>
      </c>
      <c r="E1523" t="inlineStr">
        <is>
          <t>RAGUNDA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27934-2024</t>
        </is>
      </c>
      <c r="B1524" s="1" t="n">
        <v>45476</v>
      </c>
      <c r="C1524" s="1" t="n">
        <v>45506</v>
      </c>
      <c r="D1524" t="inlineStr">
        <is>
          <t>JÄMTLANDS LÄN</t>
        </is>
      </c>
      <c r="E1524" t="inlineStr">
        <is>
          <t>RAGUNDA</t>
        </is>
      </c>
      <c r="F1524" t="inlineStr">
        <is>
          <t>SCA</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27899-2024</t>
        </is>
      </c>
      <c r="B1525" s="1" t="n">
        <v>45476</v>
      </c>
      <c r="C1525" s="1" t="n">
        <v>45506</v>
      </c>
      <c r="D1525" t="inlineStr">
        <is>
          <t>JÄMTLANDS LÄN</t>
        </is>
      </c>
      <c r="E1525" t="inlineStr">
        <is>
          <t>RAGUNDA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28173-2024</t>
        </is>
      </c>
      <c r="B1526" s="1" t="n">
        <v>45477</v>
      </c>
      <c r="C1526" s="1" t="n">
        <v>45506</v>
      </c>
      <c r="D1526" t="inlineStr">
        <is>
          <t>JÄMTLANDS LÄN</t>
        </is>
      </c>
      <c r="E1526" t="inlineStr">
        <is>
          <t>RAGUNDA</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28500-2024</t>
        </is>
      </c>
      <c r="B1527" s="1" t="n">
        <v>45478</v>
      </c>
      <c r="C1527" s="1" t="n">
        <v>45506</v>
      </c>
      <c r="D1527" t="inlineStr">
        <is>
          <t>JÄMTLANDS LÄN</t>
        </is>
      </c>
      <c r="E1527" t="inlineStr">
        <is>
          <t>RAGUNDA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28292-2024</t>
        </is>
      </c>
      <c r="B1528" s="1" t="n">
        <v>45477</v>
      </c>
      <c r="C1528" s="1" t="n">
        <v>45506</v>
      </c>
      <c r="D1528" t="inlineStr">
        <is>
          <t>JÄMTLANDS LÄN</t>
        </is>
      </c>
      <c r="E1528" t="inlineStr">
        <is>
          <t>RAGUNDA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28639-2024</t>
        </is>
      </c>
      <c r="B1529" s="1" t="n">
        <v>45478</v>
      </c>
      <c r="C1529" s="1" t="n">
        <v>45506</v>
      </c>
      <c r="D1529" t="inlineStr">
        <is>
          <t>JÄMTLANDS LÄN</t>
        </is>
      </c>
      <c r="E1529" t="inlineStr">
        <is>
          <t>RAGUNDA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28636-2024</t>
        </is>
      </c>
      <c r="B1530" s="1" t="n">
        <v>45478</v>
      </c>
      <c r="C1530" s="1" t="n">
        <v>45506</v>
      </c>
      <c r="D1530" t="inlineStr">
        <is>
          <t>JÄMTLANDS LÄN</t>
        </is>
      </c>
      <c r="E1530" t="inlineStr">
        <is>
          <t>RAGUNDA</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28641-2024</t>
        </is>
      </c>
      <c r="B1531" s="1" t="n">
        <v>45478</v>
      </c>
      <c r="C1531" s="1" t="n">
        <v>45506</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28829-2024</t>
        </is>
      </c>
      <c r="B1532" s="1" t="n">
        <v>45478</v>
      </c>
      <c r="C1532" s="1" t="n">
        <v>45506</v>
      </c>
      <c r="D1532" t="inlineStr">
        <is>
          <t>JÄMTLANDS LÄN</t>
        </is>
      </c>
      <c r="E1532" t="inlineStr">
        <is>
          <t>RAGUNDA</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29257-2024</t>
        </is>
      </c>
      <c r="B1533" s="1" t="n">
        <v>45483</v>
      </c>
      <c r="C1533" s="1" t="n">
        <v>45506</v>
      </c>
      <c r="D1533" t="inlineStr">
        <is>
          <t>JÄMTLANDS LÄN</t>
        </is>
      </c>
      <c r="E1533" t="inlineStr">
        <is>
          <t>RAGUNDA</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29261-2024</t>
        </is>
      </c>
      <c r="B1534" s="1" t="n">
        <v>45483</v>
      </c>
      <c r="C1534" s="1" t="n">
        <v>45506</v>
      </c>
      <c r="D1534" t="inlineStr">
        <is>
          <t>JÄMTLANDS LÄN</t>
        </is>
      </c>
      <c r="E1534" t="inlineStr">
        <is>
          <t>RAGUNDA</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29265-2024</t>
        </is>
      </c>
      <c r="B1535" s="1" t="n">
        <v>45483</v>
      </c>
      <c r="C1535" s="1" t="n">
        <v>45506</v>
      </c>
      <c r="D1535" t="inlineStr">
        <is>
          <t>JÄMTLANDS LÄN</t>
        </is>
      </c>
      <c r="E1535" t="inlineStr">
        <is>
          <t>RAGUNDA</t>
        </is>
      </c>
      <c r="F1535" t="inlineStr">
        <is>
          <t>SCA</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29263-2024</t>
        </is>
      </c>
      <c r="B1536" s="1" t="n">
        <v>45483</v>
      </c>
      <c r="C1536" s="1" t="n">
        <v>45506</v>
      </c>
      <c r="D1536" t="inlineStr">
        <is>
          <t>JÄMTLANDS LÄN</t>
        </is>
      </c>
      <c r="E1536" t="inlineStr">
        <is>
          <t>RAGUNDA</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29311-2024</t>
        </is>
      </c>
      <c r="B1537" s="1" t="n">
        <v>45483</v>
      </c>
      <c r="C1537" s="1" t="n">
        <v>45506</v>
      </c>
      <c r="D1537" t="inlineStr">
        <is>
          <t>JÄMTLANDS LÄN</t>
        </is>
      </c>
      <c r="E1537" t="inlineStr">
        <is>
          <t>RAGUNDA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29920-2024</t>
        </is>
      </c>
      <c r="B1538" s="1" t="n">
        <v>45488</v>
      </c>
      <c r="C1538" s="1" t="n">
        <v>45506</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30053-2024</t>
        </is>
      </c>
      <c r="B1539" s="1" t="n">
        <v>45489</v>
      </c>
      <c r="C1539" s="1" t="n">
        <v>45506</v>
      </c>
      <c r="D1539" t="inlineStr">
        <is>
          <t>JÄMTLANDS LÄN</t>
        </is>
      </c>
      <c r="E1539" t="inlineStr">
        <is>
          <t>RAGUNDA</t>
        </is>
      </c>
      <c r="F1539" t="inlineStr">
        <is>
          <t>SCA</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30472-2024</t>
        </is>
      </c>
      <c r="B1540" s="1" t="n">
        <v>45492</v>
      </c>
      <c r="C1540" s="1" t="n">
        <v>45506</v>
      </c>
      <c r="D1540" t="inlineStr">
        <is>
          <t>JÄMTLANDS LÄN</t>
        </is>
      </c>
      <c r="E1540" t="inlineStr">
        <is>
          <t>RAGUNDA</t>
        </is>
      </c>
      <c r="F1540" t="inlineStr">
        <is>
          <t>SCA</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30484-2024</t>
        </is>
      </c>
      <c r="B1541" s="1" t="n">
        <v>45492</v>
      </c>
      <c r="C1541" s="1" t="n">
        <v>45506</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30465-2024</t>
        </is>
      </c>
      <c r="B1542" s="1" t="n">
        <v>45492</v>
      </c>
      <c r="C1542" s="1" t="n">
        <v>45506</v>
      </c>
      <c r="D1542" t="inlineStr">
        <is>
          <t>JÄMTLANDS LÄN</t>
        </is>
      </c>
      <c r="E1542" t="inlineStr">
        <is>
          <t>RAGUNDA</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30637-2024</t>
        </is>
      </c>
      <c r="B1543" s="1" t="n">
        <v>45495</v>
      </c>
      <c r="C1543" s="1" t="n">
        <v>45506</v>
      </c>
      <c r="D1543" t="inlineStr">
        <is>
          <t>JÄMTLANDS LÄN</t>
        </is>
      </c>
      <c r="E1543" t="inlineStr">
        <is>
          <t>RAGUNDA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30642-2024</t>
        </is>
      </c>
      <c r="B1544" s="1" t="n">
        <v>45495</v>
      </c>
      <c r="C1544" s="1" t="n">
        <v>45506</v>
      </c>
      <c r="D1544" t="inlineStr">
        <is>
          <t>JÄMTLANDS LÄN</t>
        </is>
      </c>
      <c r="E1544" t="inlineStr">
        <is>
          <t>RAGUNDA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30771-2024</t>
        </is>
      </c>
      <c r="B1545" s="1" t="n">
        <v>45497</v>
      </c>
      <c r="C1545" s="1" t="n">
        <v>45506</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31111-2024</t>
        </is>
      </c>
      <c r="B1546" s="1" t="n">
        <v>45502</v>
      </c>
      <c r="C1546" s="1" t="n">
        <v>45506</v>
      </c>
      <c r="D1546" t="inlineStr">
        <is>
          <t>JÄMTLANDS LÄN</t>
        </is>
      </c>
      <c r="E1546" t="inlineStr">
        <is>
          <t>RAGUNDA</t>
        </is>
      </c>
      <c r="G1546" t="n">
        <v>17.8</v>
      </c>
      <c r="H1546" t="n">
        <v>0</v>
      </c>
      <c r="I1546" t="n">
        <v>0</v>
      </c>
      <c r="J1546" t="n">
        <v>0</v>
      </c>
      <c r="K1546" t="n">
        <v>0</v>
      </c>
      <c r="L1546" t="n">
        <v>0</v>
      </c>
      <c r="M1546" t="n">
        <v>0</v>
      </c>
      <c r="N1546" t="n">
        <v>0</v>
      </c>
      <c r="O1546" t="n">
        <v>0</v>
      </c>
      <c r="P1546" t="n">
        <v>0</v>
      </c>
      <c r="Q1546" t="n">
        <v>0</v>
      </c>
      <c r="R1546" s="2" t="inlineStr"/>
    </row>
    <row r="1547">
      <c r="A1547" t="inlineStr">
        <is>
          <t>A 31506-2024</t>
        </is>
      </c>
      <c r="B1547" s="1" t="n">
        <v>45506</v>
      </c>
      <c r="C1547" s="1" t="n">
        <v>45506</v>
      </c>
      <c r="D1547" t="inlineStr">
        <is>
          <t>JÄMTLANDS LÄN</t>
        </is>
      </c>
      <c r="E1547" t="inlineStr">
        <is>
          <t>RAGUNDA</t>
        </is>
      </c>
      <c r="F1547" t="inlineStr">
        <is>
          <t>SCA</t>
        </is>
      </c>
      <c r="G1547" t="n">
        <v>2.2</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2024-08-02T13:37:05Z</dcterms:created>
  <dcterms:modified xmlns:dcterms="http://purl.org/dc/terms/" xmlns:xsi="http://www.w3.org/2001/XMLSchema-instance" xsi:type="dcterms:W3CDTF">2024-08-02T13:37:06Z</dcterms:modified>
</cp:coreProperties>
</file>