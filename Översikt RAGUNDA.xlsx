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46072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46072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46072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46072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46072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46072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46072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46072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46072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46072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38683-2022</t>
        </is>
      </c>
      <c r="B12" s="1" t="n">
        <v>44813</v>
      </c>
      <c r="C12" s="1" t="n">
        <v>46072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3</v>
      </c>
      <c r="I12" t="n">
        <v>0</v>
      </c>
      <c r="J12" t="n">
        <v>12</v>
      </c>
      <c r="K12" t="n">
        <v>2</v>
      </c>
      <c r="L12" t="n">
        <v>0</v>
      </c>
      <c r="M12" t="n">
        <v>0</v>
      </c>
      <c r="N12" t="n">
        <v>0</v>
      </c>
      <c r="O12" t="n">
        <v>14</v>
      </c>
      <c r="P12" t="n">
        <v>2</v>
      </c>
      <c r="Q12" t="n">
        <v>14</v>
      </c>
      <c r="R12" s="2" t="inlineStr">
        <is>
          <t>Knärot
Rynkskinn
Gammelgransskål
Garnlav
Kolflarnlav
Lunglav
Nordtagging
Talltita
Tretåig hackspett
Ullticka
Vedflamlav
Vedskivlav
Vedtrappmossa
Vitgrynig nållav</t>
        </is>
      </c>
      <c r="S12">
        <f>HYPERLINK("https://klasma.github.io/Logging_2303/artfynd/A 38683-2022 artfynd.xlsx", "A 38683-2022")</f>
        <v/>
      </c>
      <c r="T12">
        <f>HYPERLINK("https://klasma.github.io/Logging_2303/kartor/A 38683-2022 karta.png", "A 38683-2022")</f>
        <v/>
      </c>
      <c r="U12">
        <f>HYPERLINK("https://klasma.github.io/Logging_2303/knärot/A 38683-2022 karta knärot.png", "A 38683-2022")</f>
        <v/>
      </c>
      <c r="V12">
        <f>HYPERLINK("https://klasma.github.io/Logging_2303/klagomål/A 38683-2022 FSC-klagomål.docx", "A 38683-2022")</f>
        <v/>
      </c>
      <c r="W12">
        <f>HYPERLINK("https://klasma.github.io/Logging_2303/klagomålsmail/A 38683-2022 FSC-klagomål mail.docx", "A 38683-2022")</f>
        <v/>
      </c>
      <c r="X12">
        <f>HYPERLINK("https://klasma.github.io/Logging_2303/tillsyn/A 38683-2022 tillsynsbegäran.docx", "A 38683-2022")</f>
        <v/>
      </c>
      <c r="Y12">
        <f>HYPERLINK("https://klasma.github.io/Logging_2303/tillsynsmail/A 38683-2022 tillsynsbegäran mail.docx", "A 38683-2022")</f>
        <v/>
      </c>
      <c r="Z12">
        <f>HYPERLINK("https://klasma.github.io/Logging_2303/fåglar/A 38683-2022 prioriterade fågelarter.docx", "A 38683-2022")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46072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46072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46072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46072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46072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46072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46072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46072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46072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46072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46072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46072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46072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46072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46072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46072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46072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46072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46072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25016-2025</t>
        </is>
      </c>
      <c r="B32" s="1" t="n">
        <v>45799.63574074074</v>
      </c>
      <c r="C32" s="1" t="n">
        <v>46072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17.9</v>
      </c>
      <c r="H32" t="n">
        <v>2</v>
      </c>
      <c r="I32" t="n">
        <v>3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9</v>
      </c>
      <c r="R32" s="2" t="inlineStr">
        <is>
          <t>Garnlav
Granticka
Lunglav
Spillkråka
Tretåig hackspett
Ullticka
Bårdlav
Stuplav
Vedticka</t>
        </is>
      </c>
      <c r="S32">
        <f>HYPERLINK("https://klasma.github.io/Logging_2303/artfynd/A 25016-2025 artfynd.xlsx", "A 25016-2025")</f>
        <v/>
      </c>
      <c r="T32">
        <f>HYPERLINK("https://klasma.github.io/Logging_2303/kartor/A 25016-2025 karta.png", "A 25016-2025")</f>
        <v/>
      </c>
      <c r="V32">
        <f>HYPERLINK("https://klasma.github.io/Logging_2303/klagomål/A 25016-2025 FSC-klagomål.docx", "A 25016-2025")</f>
        <v/>
      </c>
      <c r="W32">
        <f>HYPERLINK("https://klasma.github.io/Logging_2303/klagomålsmail/A 25016-2025 FSC-klagomål mail.docx", "A 25016-2025")</f>
        <v/>
      </c>
      <c r="X32">
        <f>HYPERLINK("https://klasma.github.io/Logging_2303/tillsyn/A 25016-2025 tillsynsbegäran.docx", "A 25016-2025")</f>
        <v/>
      </c>
      <c r="Y32">
        <f>HYPERLINK("https://klasma.github.io/Logging_2303/tillsynsmail/A 25016-2025 tillsynsbegäran mail.docx", "A 25016-2025")</f>
        <v/>
      </c>
      <c r="Z32">
        <f>HYPERLINK("https://klasma.github.io/Logging_2303/fåglar/A 25016-2025 prioriterade fågelarter.docx", "A 25016-2025")</f>
        <v/>
      </c>
    </row>
    <row r="33" ht="15" customHeight="1">
      <c r="A33" t="inlineStr">
        <is>
          <t>A 24735-2025</t>
        </is>
      </c>
      <c r="B33" s="1" t="n">
        <v>45799.34461805555</v>
      </c>
      <c r="C33" s="1" t="n">
        <v>46072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7.1</v>
      </c>
      <c r="H33" t="n">
        <v>1</v>
      </c>
      <c r="I33" t="n">
        <v>4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9</v>
      </c>
      <c r="R33" s="2" t="inlineStr">
        <is>
          <t>Garnlav
Lunglav
Mörk kolflarnlav
Tretåig hackspett
Ullticka
Bollvitmossa
Norrlandslav
Skinnlav
Stuplav</t>
        </is>
      </c>
      <c r="S33">
        <f>HYPERLINK("https://klasma.github.io/Logging_2303/artfynd/A 24735-2025 artfynd.xlsx", "A 24735-2025")</f>
        <v/>
      </c>
      <c r="T33">
        <f>HYPERLINK("https://klasma.github.io/Logging_2303/kartor/A 24735-2025 karta.png", "A 24735-2025")</f>
        <v/>
      </c>
      <c r="V33">
        <f>HYPERLINK("https://klasma.github.io/Logging_2303/klagomål/A 24735-2025 FSC-klagomål.docx", "A 24735-2025")</f>
        <v/>
      </c>
      <c r="W33">
        <f>HYPERLINK("https://klasma.github.io/Logging_2303/klagomålsmail/A 24735-2025 FSC-klagomål mail.docx", "A 24735-2025")</f>
        <v/>
      </c>
      <c r="X33">
        <f>HYPERLINK("https://klasma.github.io/Logging_2303/tillsyn/A 24735-2025 tillsynsbegäran.docx", "A 24735-2025")</f>
        <v/>
      </c>
      <c r="Y33">
        <f>HYPERLINK("https://klasma.github.io/Logging_2303/tillsynsmail/A 24735-2025 tillsynsbegäran mail.docx", "A 24735-2025")</f>
        <v/>
      </c>
      <c r="Z33">
        <f>HYPERLINK("https://klasma.github.io/Logging_2303/fåglar/A 24735-2025 prioriterade fågelarter.docx", "A 24735-2025")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46072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46072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30876-2025</t>
        </is>
      </c>
      <c r="B36" s="1" t="n">
        <v>45832.34461805555</v>
      </c>
      <c r="C36" s="1" t="n">
        <v>46072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5.5</v>
      </c>
      <c r="H36" t="n">
        <v>6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9</v>
      </c>
      <c r="R36" s="2" t="inlineStr">
        <is>
          <t>Knärot
Järpe
Lunglav
Spillkråka
Tallticka
Tretåig hackspett
Kamjordstjärna
Tjäder
Nattviol</t>
        </is>
      </c>
      <c r="S36">
        <f>HYPERLINK("https://klasma.github.io/Logging_2303/artfynd/A 30876-2025 artfynd.xlsx", "A 30876-2025")</f>
        <v/>
      </c>
      <c r="T36">
        <f>HYPERLINK("https://klasma.github.io/Logging_2303/kartor/A 30876-2025 karta.png", "A 30876-2025")</f>
        <v/>
      </c>
      <c r="U36">
        <f>HYPERLINK("https://klasma.github.io/Logging_2303/knärot/A 30876-2025 karta knärot.png", "A 30876-2025")</f>
        <v/>
      </c>
      <c r="V36">
        <f>HYPERLINK("https://klasma.github.io/Logging_2303/klagomål/A 30876-2025 FSC-klagomål.docx", "A 30876-2025")</f>
        <v/>
      </c>
      <c r="W36">
        <f>HYPERLINK("https://klasma.github.io/Logging_2303/klagomålsmail/A 30876-2025 FSC-klagomål mail.docx", "A 30876-2025")</f>
        <v/>
      </c>
      <c r="X36">
        <f>HYPERLINK("https://klasma.github.io/Logging_2303/tillsyn/A 30876-2025 tillsynsbegäran.docx", "A 30876-2025")</f>
        <v/>
      </c>
      <c r="Y36">
        <f>HYPERLINK("https://klasma.github.io/Logging_2303/tillsynsmail/A 30876-2025 tillsynsbegäran mail.docx", "A 30876-2025")</f>
        <v/>
      </c>
      <c r="Z36">
        <f>HYPERLINK("https://klasma.github.io/Logging_2303/fåglar/A 30876-2025 prioriterade fågelarter.docx", "A 30876-2025")</f>
        <v/>
      </c>
    </row>
    <row r="37" ht="15" customHeight="1">
      <c r="A37" t="inlineStr">
        <is>
          <t>A 58876-2025</t>
        </is>
      </c>
      <c r="B37" s="1" t="n">
        <v>45987.46929398148</v>
      </c>
      <c r="C37" s="1" t="n">
        <v>46072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6.3</v>
      </c>
      <c r="H37" t="n">
        <v>2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9</v>
      </c>
      <c r="R37" s="2" t="inlineStr">
        <is>
          <t>Knärot
Gammelgransskål
Garnlav
Granticka
Lunglav
Rosenticka
Ullticka
Vitgrynig nållav
Fläcknycklar</t>
        </is>
      </c>
      <c r="S37">
        <f>HYPERLINK("https://klasma.github.io/Logging_2303/artfynd/A 58876-2025 artfynd.xlsx", "A 58876-2025")</f>
        <v/>
      </c>
      <c r="T37">
        <f>HYPERLINK("https://klasma.github.io/Logging_2303/kartor/A 58876-2025 karta.png", "A 58876-2025")</f>
        <v/>
      </c>
      <c r="U37">
        <f>HYPERLINK("https://klasma.github.io/Logging_2303/knärot/A 58876-2025 karta knärot.png", "A 58876-2025")</f>
        <v/>
      </c>
      <c r="V37">
        <f>HYPERLINK("https://klasma.github.io/Logging_2303/klagomål/A 58876-2025 FSC-klagomål.docx", "A 58876-2025")</f>
        <v/>
      </c>
      <c r="W37">
        <f>HYPERLINK("https://klasma.github.io/Logging_2303/klagomålsmail/A 58876-2025 FSC-klagomål mail.docx", "A 58876-2025")</f>
        <v/>
      </c>
      <c r="X37">
        <f>HYPERLINK("https://klasma.github.io/Logging_2303/tillsyn/A 58876-2025 tillsynsbegäran.docx", "A 58876-2025")</f>
        <v/>
      </c>
      <c r="Y37">
        <f>HYPERLINK("https://klasma.github.io/Logging_2303/tillsynsmail/A 58876-2025 tillsynsbegäran mail.docx", "A 58876-2025")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46072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46072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62948-2021</t>
        </is>
      </c>
      <c r="B40" s="1" t="n">
        <v>44504</v>
      </c>
      <c r="C40" s="1" t="n">
        <v>46072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2</v>
      </c>
      <c r="I40" t="n">
        <v>5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9</v>
      </c>
      <c r="R40" s="2" t="inlineStr">
        <is>
          <t>Brunpudrad nållav
Garnlav
Ullticka
Vitgrynig nållav
Dropptaggsvamp
Grönkulla
Guckusko
Gulnål
Tibast</t>
        </is>
      </c>
      <c r="S40">
        <f>HYPERLINK("https://klasma.github.io/Logging_2303/artfynd/A 62948-2021 artfynd.xlsx", "A 62948-2021")</f>
        <v/>
      </c>
      <c r="T40">
        <f>HYPERLINK("https://klasma.github.io/Logging_2303/kartor/A 62948-2021 karta.png", "A 62948-2021")</f>
        <v/>
      </c>
      <c r="U40">
        <f>HYPERLINK("https://klasma.github.io/Logging_2303/knärot/A 62948-2021 karta knärot.png", "A 62948-2021")</f>
        <v/>
      </c>
      <c r="V40">
        <f>HYPERLINK("https://klasma.github.io/Logging_2303/klagomål/A 62948-2021 FSC-klagomål.docx", "A 62948-2021")</f>
        <v/>
      </c>
      <c r="W40">
        <f>HYPERLINK("https://klasma.github.io/Logging_2303/klagomålsmail/A 62948-2021 FSC-klagomål mail.docx", "A 62948-2021")</f>
        <v/>
      </c>
      <c r="X40">
        <f>HYPERLINK("https://klasma.github.io/Logging_2303/tillsyn/A 62948-2021 tillsynsbegäran.docx", "A 62948-2021")</f>
        <v/>
      </c>
      <c r="Y40">
        <f>HYPERLINK("https://klasma.github.io/Logging_2303/tillsynsmail/A 62948-2021 tillsynsbegäran mail.docx", "A 62948-2021")</f>
        <v/>
      </c>
    </row>
    <row r="41" ht="15" customHeight="1">
      <c r="A41" t="inlineStr">
        <is>
          <t>A 12372-2024</t>
        </is>
      </c>
      <c r="B41" s="1" t="n">
        <v>45378</v>
      </c>
      <c r="C41" s="1" t="n">
        <v>46072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11.4</v>
      </c>
      <c r="H41" t="n">
        <v>3</v>
      </c>
      <c r="I41" t="n">
        <v>3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9</v>
      </c>
      <c r="R41" s="2" t="inlineStr">
        <is>
          <t>Knärot
Garnlav
Kolflarnlav
Lunglav
Tretåig hackspett
Vedskivlav
Bollvitmossa
Korallrot
Spädstarr</t>
        </is>
      </c>
      <c r="S41">
        <f>HYPERLINK("https://klasma.github.io/Logging_2303/artfynd/A 12372-2024 artfynd.xlsx", "A 12372-2024")</f>
        <v/>
      </c>
      <c r="T41">
        <f>HYPERLINK("https://klasma.github.io/Logging_2303/kartor/A 12372-2024 karta.png", "A 12372-2024")</f>
        <v/>
      </c>
      <c r="U41">
        <f>HYPERLINK("https://klasma.github.io/Logging_2303/knärot/A 12372-2024 karta knärot.png", "A 12372-2024")</f>
        <v/>
      </c>
      <c r="V41">
        <f>HYPERLINK("https://klasma.github.io/Logging_2303/klagomål/A 12372-2024 FSC-klagomål.docx", "A 12372-2024")</f>
        <v/>
      </c>
      <c r="W41">
        <f>HYPERLINK("https://klasma.github.io/Logging_2303/klagomålsmail/A 12372-2024 FSC-klagomål mail.docx", "A 12372-2024")</f>
        <v/>
      </c>
      <c r="X41">
        <f>HYPERLINK("https://klasma.github.io/Logging_2303/tillsyn/A 12372-2024 tillsynsbegäran.docx", "A 12372-2024")</f>
        <v/>
      </c>
      <c r="Y41">
        <f>HYPERLINK("https://klasma.github.io/Logging_2303/tillsynsmail/A 12372-2024 tillsynsbegäran mail.docx", "A 12372-2024")</f>
        <v/>
      </c>
      <c r="Z41">
        <f>HYPERLINK("https://klasma.github.io/Logging_2303/fåglar/A 12372-2024 prioriterade fågelarter.docx", "A 12372-2024")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46072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46072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46072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30335-2025</t>
        </is>
      </c>
      <c r="B45" s="1" t="n">
        <v>45827.5110300926</v>
      </c>
      <c r="C45" s="1" t="n">
        <v>46072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7.7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30335-2025 artfynd.xlsx", "A 30335-2025")</f>
        <v/>
      </c>
      <c r="T45">
        <f>HYPERLINK("https://klasma.github.io/Logging_2303/kartor/A 30335-2025 karta.png", "A 30335-2025")</f>
        <v/>
      </c>
      <c r="U45">
        <f>HYPERLINK("https://klasma.github.io/Logging_2303/knärot/A 30335-2025 karta knärot.png", "A 30335-2025")</f>
        <v/>
      </c>
      <c r="V45">
        <f>HYPERLINK("https://klasma.github.io/Logging_2303/klagomål/A 30335-2025 FSC-klagomål.docx", "A 30335-2025")</f>
        <v/>
      </c>
      <c r="W45">
        <f>HYPERLINK("https://klasma.github.io/Logging_2303/klagomålsmail/A 30335-2025 FSC-klagomål mail.docx", "A 30335-2025")</f>
        <v/>
      </c>
      <c r="X45">
        <f>HYPERLINK("https://klasma.github.io/Logging_2303/tillsyn/A 30335-2025 tillsynsbegäran.docx", "A 30335-2025")</f>
        <v/>
      </c>
      <c r="Y45">
        <f>HYPERLINK("https://klasma.github.io/Logging_2303/tillsynsmail/A 30335-2025 tillsynsbegäran mail.docx", "A 30335-2025")</f>
        <v/>
      </c>
    </row>
    <row r="46" ht="15" customHeight="1">
      <c r="A46" t="inlineStr">
        <is>
          <t>A 51037-2025</t>
        </is>
      </c>
      <c r="B46" s="1" t="n">
        <v>45947.40729166667</v>
      </c>
      <c r="C46" s="1" t="n">
        <v>46072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3.8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51037-2025 artfynd.xlsx", "A 51037-2025")</f>
        <v/>
      </c>
      <c r="T46">
        <f>HYPERLINK("https://klasma.github.io/Logging_2303/kartor/A 51037-2025 karta.png", "A 51037-2025")</f>
        <v/>
      </c>
      <c r="U46">
        <f>HYPERLINK("https://klasma.github.io/Logging_2303/knärot/A 51037-2025 karta knärot.png", "A 51037-2025")</f>
        <v/>
      </c>
      <c r="V46">
        <f>HYPERLINK("https://klasma.github.io/Logging_2303/klagomål/A 51037-2025 FSC-klagomål.docx", "A 51037-2025")</f>
        <v/>
      </c>
      <c r="W46">
        <f>HYPERLINK("https://klasma.github.io/Logging_2303/klagomålsmail/A 51037-2025 FSC-klagomål mail.docx", "A 51037-2025")</f>
        <v/>
      </c>
      <c r="X46">
        <f>HYPERLINK("https://klasma.github.io/Logging_2303/tillsyn/A 51037-2025 tillsynsbegäran.docx", "A 51037-2025")</f>
        <v/>
      </c>
      <c r="Y46">
        <f>HYPERLINK("https://klasma.github.io/Logging_2303/tillsynsmail/A 51037-2025 tillsynsbegäran mail.docx", "A 51037-2025")</f>
        <v/>
      </c>
    </row>
    <row r="47" ht="15" customHeight="1">
      <c r="A47" t="inlineStr">
        <is>
          <t>A 60129-2025</t>
        </is>
      </c>
      <c r="B47" s="1" t="n">
        <v>45994.34461805555</v>
      </c>
      <c r="C47" s="1" t="n">
        <v>46072</v>
      </c>
      <c r="D47" t="inlineStr">
        <is>
          <t>JÄMTLANDS LÄN</t>
        </is>
      </c>
      <c r="E47" t="inlineStr">
        <is>
          <t>RAGUNDA</t>
        </is>
      </c>
      <c r="G47" t="n">
        <v>5.9</v>
      </c>
      <c r="H47" t="n">
        <v>2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8</v>
      </c>
      <c r="R47" s="2" t="inlineStr">
        <is>
          <t>Garnlav
Lunglav
Spillkråka
Luddlav
Skinnlav
Stor aspticka
Stuplav
Revlummer</t>
        </is>
      </c>
      <c r="S47">
        <f>HYPERLINK("https://klasma.github.io/Logging_2303/artfynd/A 60129-2025 artfynd.xlsx", "A 60129-2025")</f>
        <v/>
      </c>
      <c r="T47">
        <f>HYPERLINK("https://klasma.github.io/Logging_2303/kartor/A 60129-2025 karta.png", "A 60129-2025")</f>
        <v/>
      </c>
      <c r="V47">
        <f>HYPERLINK("https://klasma.github.io/Logging_2303/klagomål/A 60129-2025 FSC-klagomål.docx", "A 60129-2025")</f>
        <v/>
      </c>
      <c r="W47">
        <f>HYPERLINK("https://klasma.github.io/Logging_2303/klagomålsmail/A 60129-2025 FSC-klagomål mail.docx", "A 60129-2025")</f>
        <v/>
      </c>
      <c r="X47">
        <f>HYPERLINK("https://klasma.github.io/Logging_2303/tillsyn/A 60129-2025 tillsynsbegäran.docx", "A 60129-2025")</f>
        <v/>
      </c>
      <c r="Y47">
        <f>HYPERLINK("https://klasma.github.io/Logging_2303/tillsynsmail/A 60129-2025 tillsynsbegäran mail.docx", "A 60129-2025")</f>
        <v/>
      </c>
      <c r="Z47">
        <f>HYPERLINK("https://klasma.github.io/Logging_2303/fåglar/A 60129-2025 prioriterade fågelarter.docx", "A 60129-2025")</f>
        <v/>
      </c>
    </row>
    <row r="48" ht="15" customHeight="1">
      <c r="A48" t="inlineStr">
        <is>
          <t>A 62738-2025</t>
        </is>
      </c>
      <c r="B48" s="1" t="n">
        <v>46008.57341435185</v>
      </c>
      <c r="C48" s="1" t="n">
        <v>46072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2.2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Ullticka
Vedflamlav
Vedtrappmossa
Dropptaggsvamp
Gullgröppa
Gulnål</t>
        </is>
      </c>
      <c r="S48">
        <f>HYPERLINK("https://klasma.github.io/Logging_2303/artfynd/A 62738-2025 artfynd.xlsx", "A 62738-2025")</f>
        <v/>
      </c>
      <c r="T48">
        <f>HYPERLINK("https://klasma.github.io/Logging_2303/kartor/A 62738-2025 karta.png", "A 62738-2025")</f>
        <v/>
      </c>
      <c r="U48">
        <f>HYPERLINK("https://klasma.github.io/Logging_2303/knärot/A 62738-2025 karta knärot.png", "A 62738-2025")</f>
        <v/>
      </c>
      <c r="V48">
        <f>HYPERLINK("https://klasma.github.io/Logging_2303/klagomål/A 62738-2025 FSC-klagomål.docx", "A 62738-2025")</f>
        <v/>
      </c>
      <c r="W48">
        <f>HYPERLINK("https://klasma.github.io/Logging_2303/klagomålsmail/A 62738-2025 FSC-klagomål mail.docx", "A 62738-2025")</f>
        <v/>
      </c>
      <c r="X48">
        <f>HYPERLINK("https://klasma.github.io/Logging_2303/tillsyn/A 62738-2025 tillsynsbegäran.docx", "A 62738-2025")</f>
        <v/>
      </c>
      <c r="Y48">
        <f>HYPERLINK("https://klasma.github.io/Logging_2303/tillsynsmail/A 62738-2025 tillsynsbegäran mail.docx", "A 62738-2025")</f>
        <v/>
      </c>
    </row>
    <row r="49" ht="15" customHeight="1">
      <c r="A49" t="inlineStr">
        <is>
          <t>A 32475-2023</t>
        </is>
      </c>
      <c r="B49" s="1" t="n">
        <v>45120</v>
      </c>
      <c r="C49" s="1" t="n">
        <v>46072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2.4</v>
      </c>
      <c r="H49" t="n">
        <v>1</v>
      </c>
      <c r="I49" t="n">
        <v>3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8</v>
      </c>
      <c r="R49" s="2" t="inlineStr">
        <is>
          <t>Blanksvart spiklav
Garnlav
Lunglav
Motaggsvamp
Tretåig hackspett
Dropptaggsvamp
Luddlav
Skarp dropptaggsvamp</t>
        </is>
      </c>
      <c r="S49">
        <f>HYPERLINK("https://klasma.github.io/Logging_2303/artfynd/A 32475-2023 artfynd.xlsx", "A 32475-2023")</f>
        <v/>
      </c>
      <c r="T49">
        <f>HYPERLINK("https://klasma.github.io/Logging_2303/kartor/A 32475-2023 karta.png", "A 32475-2023")</f>
        <v/>
      </c>
      <c r="V49">
        <f>HYPERLINK("https://klasma.github.io/Logging_2303/klagomål/A 32475-2023 FSC-klagomål.docx", "A 32475-2023")</f>
        <v/>
      </c>
      <c r="W49">
        <f>HYPERLINK("https://klasma.github.io/Logging_2303/klagomålsmail/A 32475-2023 FSC-klagomål mail.docx", "A 32475-2023")</f>
        <v/>
      </c>
      <c r="X49">
        <f>HYPERLINK("https://klasma.github.io/Logging_2303/tillsyn/A 32475-2023 tillsynsbegäran.docx", "A 32475-2023")</f>
        <v/>
      </c>
      <c r="Y49">
        <f>HYPERLINK("https://klasma.github.io/Logging_2303/tillsynsmail/A 32475-2023 tillsynsbegäran mail.docx", "A 32475-2023")</f>
        <v/>
      </c>
      <c r="Z49">
        <f>HYPERLINK("https://klasma.github.io/Logging_2303/fåglar/A 32475-2023 prioriterade fågelarter.docx", "A 32475-2023")</f>
        <v/>
      </c>
    </row>
    <row r="50" ht="15" customHeight="1">
      <c r="A50" t="inlineStr">
        <is>
          <t>A 15665-2022</t>
        </is>
      </c>
      <c r="B50" s="1" t="n">
        <v>44662</v>
      </c>
      <c r="C50" s="1" t="n">
        <v>46072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4.8</v>
      </c>
      <c r="H50" t="n">
        <v>3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Garnlav
Granticka
Spillkråka
Tretåig hackspett
Ullticka
Vedticka
Revlummer</t>
        </is>
      </c>
      <c r="S50">
        <f>HYPERLINK("https://klasma.github.io/Logging_2303/artfynd/A 15665-2022 artfynd.xlsx", "A 15665-2022")</f>
        <v/>
      </c>
      <c r="T50">
        <f>HYPERLINK("https://klasma.github.io/Logging_2303/kartor/A 15665-2022 karta.png", "A 15665-2022")</f>
        <v/>
      </c>
      <c r="V50">
        <f>HYPERLINK("https://klasma.github.io/Logging_2303/klagomål/A 15665-2022 FSC-klagomål.docx", "A 15665-2022")</f>
        <v/>
      </c>
      <c r="W50">
        <f>HYPERLINK("https://klasma.github.io/Logging_2303/klagomålsmail/A 15665-2022 FSC-klagomål mail.docx", "A 15665-2022")</f>
        <v/>
      </c>
      <c r="X50">
        <f>HYPERLINK("https://klasma.github.io/Logging_2303/tillsyn/A 15665-2022 tillsynsbegäran.docx", "A 15665-2022")</f>
        <v/>
      </c>
      <c r="Y50">
        <f>HYPERLINK("https://klasma.github.io/Logging_2303/tillsynsmail/A 15665-2022 tillsynsbegäran mail.docx", "A 15665-2022")</f>
        <v/>
      </c>
      <c r="Z50">
        <f>HYPERLINK("https://klasma.github.io/Logging_2303/fåglar/A 15665-2022 prioriterade fågelarter.docx", "A 15665-2022")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46072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20397-2024</t>
        </is>
      </c>
      <c r="B52" s="1" t="n">
        <v>45435.54734953704</v>
      </c>
      <c r="C52" s="1" t="n">
        <v>46072</v>
      </c>
      <c r="D52" t="inlineStr">
        <is>
          <t>JÄMTLANDS LÄN</t>
        </is>
      </c>
      <c r="E52" t="inlineStr">
        <is>
          <t>RAGUNDA</t>
        </is>
      </c>
      <c r="G52" t="n">
        <v>18.5</v>
      </c>
      <c r="H52" t="n">
        <v>1</v>
      </c>
      <c r="I52" t="n">
        <v>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Lateritticka
Lunglav
Tallticka
Dropptaggsvamp
Finbräken
Guckusko
Svart trolldruva</t>
        </is>
      </c>
      <c r="S52">
        <f>HYPERLINK("https://klasma.github.io/Logging_2303/artfynd/A 20397-2024 artfynd.xlsx", "A 20397-2024")</f>
        <v/>
      </c>
      <c r="T52">
        <f>HYPERLINK("https://klasma.github.io/Logging_2303/kartor/A 20397-2024 karta.png", "A 20397-2024")</f>
        <v/>
      </c>
      <c r="V52">
        <f>HYPERLINK("https://klasma.github.io/Logging_2303/klagomål/A 20397-2024 FSC-klagomål.docx", "A 20397-2024")</f>
        <v/>
      </c>
      <c r="W52">
        <f>HYPERLINK("https://klasma.github.io/Logging_2303/klagomålsmail/A 20397-2024 FSC-klagomål mail.docx", "A 20397-2024")</f>
        <v/>
      </c>
      <c r="X52">
        <f>HYPERLINK("https://klasma.github.io/Logging_2303/tillsyn/A 20397-2024 tillsynsbegäran.docx", "A 20397-2024")</f>
        <v/>
      </c>
      <c r="Y52">
        <f>HYPERLINK("https://klasma.github.io/Logging_2303/tillsynsmail/A 20397-2024 tillsynsbegäran mail.docx", "A 20397-2024")</f>
        <v/>
      </c>
    </row>
    <row r="53" ht="15" customHeight="1">
      <c r="A53" t="inlineStr">
        <is>
          <t>A 11829-2023</t>
        </is>
      </c>
      <c r="B53" s="1" t="n">
        <v>44994</v>
      </c>
      <c r="C53" s="1" t="n">
        <v>46072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1.8</v>
      </c>
      <c r="H53" t="n">
        <v>0</v>
      </c>
      <c r="I53" t="n">
        <v>1</v>
      </c>
      <c r="J53" t="n">
        <v>6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t="n">
        <v>0</v>
      </c>
      <c r="Q53" t="n">
        <v>7</v>
      </c>
      <c r="R53" s="2" t="inlineStr">
        <is>
          <t>Garnlav
Kolflarnlav
Lunglav
Ullticka
Vedflamlav
Vedtrappmossa
Vedticka</t>
        </is>
      </c>
      <c r="S53">
        <f>HYPERLINK("https://klasma.github.io/Logging_2303/artfynd/A 11829-2023 artfynd.xlsx", "A 11829-2023")</f>
        <v/>
      </c>
      <c r="T53">
        <f>HYPERLINK("https://klasma.github.io/Logging_2303/kartor/A 11829-2023 karta.png", "A 11829-2023")</f>
        <v/>
      </c>
      <c r="U53">
        <f>HYPERLINK("https://klasma.github.io/Logging_2303/knärot/A 11829-2023 karta knärot.png", "A 11829-2023")</f>
        <v/>
      </c>
      <c r="V53">
        <f>HYPERLINK("https://klasma.github.io/Logging_2303/klagomål/A 11829-2023 FSC-klagomål.docx", "A 11829-2023")</f>
        <v/>
      </c>
      <c r="W53">
        <f>HYPERLINK("https://klasma.github.io/Logging_2303/klagomålsmail/A 11829-2023 FSC-klagomål mail.docx", "A 11829-2023")</f>
        <v/>
      </c>
      <c r="X53">
        <f>HYPERLINK("https://klasma.github.io/Logging_2303/tillsyn/A 11829-2023 tillsynsbegäran.docx", "A 11829-2023")</f>
        <v/>
      </c>
      <c r="Y53">
        <f>HYPERLINK("https://klasma.github.io/Logging_2303/tillsynsmail/A 11829-2023 tillsynsbegäran mail.docx", "A 11829-2023")</f>
        <v/>
      </c>
    </row>
    <row r="54" ht="15" customHeight="1">
      <c r="A54" t="inlineStr">
        <is>
          <t>A 26750-2025</t>
        </is>
      </c>
      <c r="B54" s="1" t="n">
        <v>45810.55061342593</v>
      </c>
      <c r="C54" s="1" t="n">
        <v>46072</v>
      </c>
      <c r="D54" t="inlineStr">
        <is>
          <t>JÄMTLANDS LÄN</t>
        </is>
      </c>
      <c r="E54" t="inlineStr">
        <is>
          <t>RAGUNDA</t>
        </is>
      </c>
      <c r="G54" t="n">
        <v>18</v>
      </c>
      <c r="H54" t="n">
        <v>0</v>
      </c>
      <c r="I54" t="n">
        <v>3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7</v>
      </c>
      <c r="R54" s="2" t="inlineStr">
        <is>
          <t>Blå taggsvamp
Orange taggsvamp
Skrovlig taggsvamp
Svartvit taggsvamp
Dropptaggsvamp
Rödfläckig zontaggsvamp
Skarp dropptaggsvamp</t>
        </is>
      </c>
      <c r="S54">
        <f>HYPERLINK("https://klasma.github.io/Logging_2303/artfynd/A 26750-2025 artfynd.xlsx", "A 26750-2025")</f>
        <v/>
      </c>
      <c r="T54">
        <f>HYPERLINK("https://klasma.github.io/Logging_2303/kartor/A 26750-2025 karta.png", "A 26750-2025")</f>
        <v/>
      </c>
      <c r="V54">
        <f>HYPERLINK("https://klasma.github.io/Logging_2303/klagomål/A 26750-2025 FSC-klagomål.docx", "A 26750-2025")</f>
        <v/>
      </c>
      <c r="W54">
        <f>HYPERLINK("https://klasma.github.io/Logging_2303/klagomålsmail/A 26750-2025 FSC-klagomål mail.docx", "A 26750-2025")</f>
        <v/>
      </c>
      <c r="X54">
        <f>HYPERLINK("https://klasma.github.io/Logging_2303/tillsyn/A 26750-2025 tillsynsbegäran.docx", "A 26750-2025")</f>
        <v/>
      </c>
      <c r="Y54">
        <f>HYPERLINK("https://klasma.github.io/Logging_2303/tillsynsmail/A 26750-2025 tillsynsbegäran mail.docx", "A 26750-2025")</f>
        <v/>
      </c>
    </row>
    <row r="55" ht="15" customHeight="1">
      <c r="A55" t="inlineStr">
        <is>
          <t>A 33806-2023</t>
        </is>
      </c>
      <c r="B55" s="1" t="n">
        <v>45121</v>
      </c>
      <c r="C55" s="1" t="n">
        <v>46072</v>
      </c>
      <c r="D55" t="inlineStr">
        <is>
          <t>JÄMTLANDS LÄN</t>
        </is>
      </c>
      <c r="E55" t="inlineStr">
        <is>
          <t>RAGUNDA</t>
        </is>
      </c>
      <c r="G55" t="n">
        <v>12</v>
      </c>
      <c r="H55" t="n">
        <v>2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Granticka
Koralltaggsvamp
Lunglav
Persiljespindling
Äggvaxskivling
Blåsippa</t>
        </is>
      </c>
      <c r="S55">
        <f>HYPERLINK("https://klasma.github.io/Logging_2303/artfynd/A 33806-2023 artfynd.xlsx", "A 33806-2023")</f>
        <v/>
      </c>
      <c r="T55">
        <f>HYPERLINK("https://klasma.github.io/Logging_2303/kartor/A 33806-2023 karta.png", "A 33806-2023")</f>
        <v/>
      </c>
      <c r="U55">
        <f>HYPERLINK("https://klasma.github.io/Logging_2303/knärot/A 33806-2023 karta knärot.png", "A 33806-2023")</f>
        <v/>
      </c>
      <c r="V55">
        <f>HYPERLINK("https://klasma.github.io/Logging_2303/klagomål/A 33806-2023 FSC-klagomål.docx", "A 33806-2023")</f>
        <v/>
      </c>
      <c r="W55">
        <f>HYPERLINK("https://klasma.github.io/Logging_2303/klagomålsmail/A 33806-2023 FSC-klagomål mail.docx", "A 33806-2023")</f>
        <v/>
      </c>
      <c r="X55">
        <f>HYPERLINK("https://klasma.github.io/Logging_2303/tillsyn/A 33806-2023 tillsynsbegäran.docx", "A 33806-2023")</f>
        <v/>
      </c>
      <c r="Y55">
        <f>HYPERLINK("https://klasma.github.io/Logging_2303/tillsynsmail/A 33806-2023 tillsynsbegäran mail.docx", "A 33806-2023")</f>
        <v/>
      </c>
    </row>
    <row r="56" ht="15" customHeight="1">
      <c r="A56" t="inlineStr">
        <is>
          <t>A 19399-2025</t>
        </is>
      </c>
      <c r="B56" s="1" t="n">
        <v>45769.67740740741</v>
      </c>
      <c r="C56" s="1" t="n">
        <v>46072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3.8</v>
      </c>
      <c r="H56" t="n">
        <v>2</v>
      </c>
      <c r="I56" t="n">
        <v>2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7</v>
      </c>
      <c r="R56" s="2" t="inlineStr">
        <is>
          <t>Lunglav
Skrovellav
Tretåig hackspett
Ullticka
Skinnlav
Stuplav
Nattviol</t>
        </is>
      </c>
      <c r="S56">
        <f>HYPERLINK("https://klasma.github.io/Logging_2303/artfynd/A 19399-2025 artfynd.xlsx", "A 19399-2025")</f>
        <v/>
      </c>
      <c r="T56">
        <f>HYPERLINK("https://klasma.github.io/Logging_2303/kartor/A 19399-2025 karta.png", "A 19399-2025")</f>
        <v/>
      </c>
      <c r="V56">
        <f>HYPERLINK("https://klasma.github.io/Logging_2303/klagomål/A 19399-2025 FSC-klagomål.docx", "A 19399-2025")</f>
        <v/>
      </c>
      <c r="W56">
        <f>HYPERLINK("https://klasma.github.io/Logging_2303/klagomålsmail/A 19399-2025 FSC-klagomål mail.docx", "A 19399-2025")</f>
        <v/>
      </c>
      <c r="X56">
        <f>HYPERLINK("https://klasma.github.io/Logging_2303/tillsyn/A 19399-2025 tillsynsbegäran.docx", "A 19399-2025")</f>
        <v/>
      </c>
      <c r="Y56">
        <f>HYPERLINK("https://klasma.github.io/Logging_2303/tillsynsmail/A 19399-2025 tillsynsbegäran mail.docx", "A 19399-2025")</f>
        <v/>
      </c>
      <c r="Z56">
        <f>HYPERLINK("https://klasma.github.io/Logging_2303/fåglar/A 19399-2025 prioriterade fågelarter.docx", "A 19399-2025")</f>
        <v/>
      </c>
    </row>
    <row r="57" ht="15" customHeight="1">
      <c r="A57" t="inlineStr">
        <is>
          <t>A 41929-2023</t>
        </is>
      </c>
      <c r="B57" s="1" t="n">
        <v>45176</v>
      </c>
      <c r="C57" s="1" t="n">
        <v>46072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41929-2023 artfynd.xlsx", "A 41929-2023")</f>
        <v/>
      </c>
      <c r="T57">
        <f>HYPERLINK("https://klasma.github.io/Logging_2303/kartor/A 41929-2023 karta.png", "A 41929-2023")</f>
        <v/>
      </c>
      <c r="U57">
        <f>HYPERLINK("https://klasma.github.io/Logging_2303/knärot/A 41929-2023 karta knärot.png", "A 41929-2023")</f>
        <v/>
      </c>
      <c r="V57">
        <f>HYPERLINK("https://klasma.github.io/Logging_2303/klagomål/A 41929-2023 FSC-klagomål.docx", "A 41929-2023")</f>
        <v/>
      </c>
      <c r="W57">
        <f>HYPERLINK("https://klasma.github.io/Logging_2303/klagomålsmail/A 41929-2023 FSC-klagomål mail.docx", "A 41929-2023")</f>
        <v/>
      </c>
      <c r="X57">
        <f>HYPERLINK("https://klasma.github.io/Logging_2303/tillsyn/A 41929-2023 tillsynsbegäran.docx", "A 41929-2023")</f>
        <v/>
      </c>
      <c r="Y57">
        <f>HYPERLINK("https://klasma.github.io/Logging_2303/tillsynsmail/A 41929-2023 tillsynsbegäran mail.docx", "A 41929-2023")</f>
        <v/>
      </c>
    </row>
    <row r="58" ht="15" customHeight="1">
      <c r="A58" t="inlineStr">
        <is>
          <t>A 37237-2023</t>
        </is>
      </c>
      <c r="B58" s="1" t="n">
        <v>45155</v>
      </c>
      <c r="C58" s="1" t="n">
        <v>46072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37237-2023 artfynd.xlsx", "A 37237-2023")</f>
        <v/>
      </c>
      <c r="T58">
        <f>HYPERLINK("https://klasma.github.io/Logging_2303/kartor/A 37237-2023 karta.png", "A 37237-2023")</f>
        <v/>
      </c>
      <c r="U58">
        <f>HYPERLINK("https://klasma.github.io/Logging_2303/knärot/A 37237-2023 karta knärot.png", "A 37237-2023")</f>
        <v/>
      </c>
      <c r="V58">
        <f>HYPERLINK("https://klasma.github.io/Logging_2303/klagomål/A 37237-2023 FSC-klagomål.docx", "A 37237-2023")</f>
        <v/>
      </c>
      <c r="W58">
        <f>HYPERLINK("https://klasma.github.io/Logging_2303/klagomålsmail/A 37237-2023 FSC-klagomål mail.docx", "A 37237-2023")</f>
        <v/>
      </c>
      <c r="X58">
        <f>HYPERLINK("https://klasma.github.io/Logging_2303/tillsyn/A 37237-2023 tillsynsbegäran.docx", "A 37237-2023")</f>
        <v/>
      </c>
      <c r="Y58">
        <f>HYPERLINK("https://klasma.github.io/Logging_2303/tillsynsmail/A 37237-2023 tillsynsbegäran mail.docx", "A 37237-2023")</f>
        <v/>
      </c>
    </row>
    <row r="59" ht="15" customHeight="1">
      <c r="A59" t="inlineStr">
        <is>
          <t>A 27913-2024</t>
        </is>
      </c>
      <c r="B59" s="1" t="n">
        <v>45475.94796296296</v>
      </c>
      <c r="C59" s="1" t="n">
        <v>46072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11.1</v>
      </c>
      <c r="H59" t="n">
        <v>2</v>
      </c>
      <c r="I59" t="n">
        <v>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Kolflarnlav
Lunglav
Bårdlav
Kransrams
Lappranunkel
Skinnlav</t>
        </is>
      </c>
      <c r="S59">
        <f>HYPERLINK("https://klasma.github.io/Logging_2303/artfynd/A 27913-2024 artfynd.xlsx", "A 27913-2024")</f>
        <v/>
      </c>
      <c r="T59">
        <f>HYPERLINK("https://klasma.github.io/Logging_2303/kartor/A 27913-2024 karta.png", "A 27913-2024")</f>
        <v/>
      </c>
      <c r="U59">
        <f>HYPERLINK("https://klasma.github.io/Logging_2303/knärot/A 27913-2024 karta knärot.png", "A 27913-2024")</f>
        <v/>
      </c>
      <c r="V59">
        <f>HYPERLINK("https://klasma.github.io/Logging_2303/klagomål/A 27913-2024 FSC-klagomål.docx", "A 27913-2024")</f>
        <v/>
      </c>
      <c r="W59">
        <f>HYPERLINK("https://klasma.github.io/Logging_2303/klagomålsmail/A 27913-2024 FSC-klagomål mail.docx", "A 27913-2024")</f>
        <v/>
      </c>
      <c r="X59">
        <f>HYPERLINK("https://klasma.github.io/Logging_2303/tillsyn/A 27913-2024 tillsynsbegäran.docx", "A 27913-2024")</f>
        <v/>
      </c>
      <c r="Y59">
        <f>HYPERLINK("https://klasma.github.io/Logging_2303/tillsynsmail/A 27913-2024 tillsynsbegäran mail.docx", "A 27913-2024")</f>
        <v/>
      </c>
    </row>
    <row r="60" ht="15" customHeight="1">
      <c r="A60" t="inlineStr">
        <is>
          <t>A 24169-2021</t>
        </is>
      </c>
      <c r="B60" s="1" t="n">
        <v>44336</v>
      </c>
      <c r="C60" s="1" t="n">
        <v>46072</v>
      </c>
      <c r="D60" t="inlineStr">
        <is>
          <t>JÄMTLANDS LÄN</t>
        </is>
      </c>
      <c r="E60" t="inlineStr">
        <is>
          <t>RAGUNDA</t>
        </is>
      </c>
      <c r="G60" t="n">
        <v>9.199999999999999</v>
      </c>
      <c r="H60" t="n">
        <v>3</v>
      </c>
      <c r="I60" t="n">
        <v>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7</v>
      </c>
      <c r="R60" s="2" t="inlineStr">
        <is>
          <t>Lunglav
Tretåig hackspett
Grönkulla
Guckusko
Luddlav
Stuplav
Ögonpyrola</t>
        </is>
      </c>
      <c r="S60">
        <f>HYPERLINK("https://klasma.github.io/Logging_2303/artfynd/A 24169-2021 artfynd.xlsx", "A 24169-2021")</f>
        <v/>
      </c>
      <c r="T60">
        <f>HYPERLINK("https://klasma.github.io/Logging_2303/kartor/A 24169-2021 karta.png", "A 24169-2021")</f>
        <v/>
      </c>
      <c r="V60">
        <f>HYPERLINK("https://klasma.github.io/Logging_2303/klagomål/A 24169-2021 FSC-klagomål.docx", "A 24169-2021")</f>
        <v/>
      </c>
      <c r="W60">
        <f>HYPERLINK("https://klasma.github.io/Logging_2303/klagomålsmail/A 24169-2021 FSC-klagomål mail.docx", "A 24169-2021")</f>
        <v/>
      </c>
      <c r="X60">
        <f>HYPERLINK("https://klasma.github.io/Logging_2303/tillsyn/A 24169-2021 tillsynsbegäran.docx", "A 24169-2021")</f>
        <v/>
      </c>
      <c r="Y60">
        <f>HYPERLINK("https://klasma.github.io/Logging_2303/tillsynsmail/A 24169-2021 tillsynsbegäran mail.docx", "A 24169-2021")</f>
        <v/>
      </c>
      <c r="Z60">
        <f>HYPERLINK("https://klasma.github.io/Logging_2303/fåglar/A 24169-2021 prioriterade fågelarter.docx", "A 24169-2021")</f>
        <v/>
      </c>
    </row>
    <row r="61" ht="15" customHeight="1">
      <c r="A61" t="inlineStr">
        <is>
          <t>A 61386-2022</t>
        </is>
      </c>
      <c r="B61" s="1" t="n">
        <v>44915</v>
      </c>
      <c r="C61" s="1" t="n">
        <v>46072</v>
      </c>
      <c r="D61" t="inlineStr">
        <is>
          <t>JÄMTLANDS LÄN</t>
        </is>
      </c>
      <c r="E61" t="inlineStr">
        <is>
          <t>RAGUNDA</t>
        </is>
      </c>
      <c r="F61" t="inlineStr">
        <is>
          <t>Övriga Aktiebolag</t>
        </is>
      </c>
      <c r="G61" t="n">
        <v>19.7</v>
      </c>
      <c r="H61" t="n">
        <v>1</v>
      </c>
      <c r="I61" t="n">
        <v>2</v>
      </c>
      <c r="J61" t="n">
        <v>3</v>
      </c>
      <c r="K61" t="n">
        <v>2</v>
      </c>
      <c r="L61" t="n">
        <v>0</v>
      </c>
      <c r="M61" t="n">
        <v>0</v>
      </c>
      <c r="N61" t="n">
        <v>0</v>
      </c>
      <c r="O61" t="n">
        <v>5</v>
      </c>
      <c r="P61" t="n">
        <v>2</v>
      </c>
      <c r="Q61" t="n">
        <v>7</v>
      </c>
      <c r="R61" s="2" t="inlineStr">
        <is>
          <t>Knärot
Rynkskinn
Lunglav
Rosenticka
Ullticka
Svart trolldruva
Vanlig flatbagge</t>
        </is>
      </c>
      <c r="S61">
        <f>HYPERLINK("https://klasma.github.io/Logging_2303/artfynd/A 61386-2022 artfynd.xlsx", "A 61386-2022")</f>
        <v/>
      </c>
      <c r="T61">
        <f>HYPERLINK("https://klasma.github.io/Logging_2303/kartor/A 61386-2022 karta.png", "A 61386-2022")</f>
        <v/>
      </c>
      <c r="U61">
        <f>HYPERLINK("https://klasma.github.io/Logging_2303/knärot/A 61386-2022 karta knärot.png", "A 61386-2022")</f>
        <v/>
      </c>
      <c r="V61">
        <f>HYPERLINK("https://klasma.github.io/Logging_2303/klagomål/A 61386-2022 FSC-klagomål.docx", "A 61386-2022")</f>
        <v/>
      </c>
      <c r="W61">
        <f>HYPERLINK("https://klasma.github.io/Logging_2303/klagomålsmail/A 61386-2022 FSC-klagomål mail.docx", "A 61386-2022")</f>
        <v/>
      </c>
      <c r="X61">
        <f>HYPERLINK("https://klasma.github.io/Logging_2303/tillsyn/A 61386-2022 tillsynsbegäran.docx", "A 61386-2022")</f>
        <v/>
      </c>
      <c r="Y61">
        <f>HYPERLINK("https://klasma.github.io/Logging_2303/tillsynsmail/A 61386-2022 tillsynsbegäran mail.docx", "A 61386-2022")</f>
        <v/>
      </c>
    </row>
    <row r="62" ht="15" customHeight="1">
      <c r="A62" t="inlineStr">
        <is>
          <t>A 15977-2024</t>
        </is>
      </c>
      <c r="B62" s="1" t="n">
        <v>45405.57392361111</v>
      </c>
      <c r="C62" s="1" t="n">
        <v>46072</v>
      </c>
      <c r="D62" t="inlineStr">
        <is>
          <t>JÄMTLANDS LÄN</t>
        </is>
      </c>
      <c r="E62" t="inlineStr">
        <is>
          <t>RAGUNDA</t>
        </is>
      </c>
      <c r="F62" t="inlineStr">
        <is>
          <t>Kommuner</t>
        </is>
      </c>
      <c r="G62" t="n">
        <v>12.1</v>
      </c>
      <c r="H62" t="n">
        <v>0</v>
      </c>
      <c r="I62" t="n">
        <v>1</v>
      </c>
      <c r="J62" t="n">
        <v>6</v>
      </c>
      <c r="K62" t="n">
        <v>0</v>
      </c>
      <c r="L62" t="n">
        <v>0</v>
      </c>
      <c r="M62" t="n">
        <v>0</v>
      </c>
      <c r="N62" t="n">
        <v>0</v>
      </c>
      <c r="O62" t="n">
        <v>6</v>
      </c>
      <c r="P62" t="n">
        <v>0</v>
      </c>
      <c r="Q62" t="n">
        <v>7</v>
      </c>
      <c r="R62" s="2" t="inlineStr">
        <is>
          <t>Blanksvart spiklav
Dvärgbägarlav
Garnlav
Mörk kolflarnlav
Ullticka
Vedflamlav
Dropptaggsvamp</t>
        </is>
      </c>
      <c r="S62">
        <f>HYPERLINK("https://klasma.github.io/Logging_2303/artfynd/A 15977-2024 artfynd.xlsx", "A 15977-2024")</f>
        <v/>
      </c>
      <c r="T62">
        <f>HYPERLINK("https://klasma.github.io/Logging_2303/kartor/A 15977-2024 karta.png", "A 15977-2024")</f>
        <v/>
      </c>
      <c r="V62">
        <f>HYPERLINK("https://klasma.github.io/Logging_2303/klagomål/A 15977-2024 FSC-klagomål.docx", "A 15977-2024")</f>
        <v/>
      </c>
      <c r="W62">
        <f>HYPERLINK("https://klasma.github.io/Logging_2303/klagomålsmail/A 15977-2024 FSC-klagomål mail.docx", "A 15977-2024")</f>
        <v/>
      </c>
      <c r="X62">
        <f>HYPERLINK("https://klasma.github.io/Logging_2303/tillsyn/A 15977-2024 tillsynsbegäran.docx", "A 15977-2024")</f>
        <v/>
      </c>
      <c r="Y62">
        <f>HYPERLINK("https://klasma.github.io/Logging_2303/tillsynsmail/A 15977-2024 tillsynsbegäran mail.docx", "A 15977-2024")</f>
        <v/>
      </c>
    </row>
    <row r="63" ht="15" customHeight="1">
      <c r="A63" t="inlineStr">
        <is>
          <t>A 933-2023</t>
        </is>
      </c>
      <c r="B63" s="1" t="n">
        <v>44932</v>
      </c>
      <c r="C63" s="1" t="n">
        <v>46072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2</v>
      </c>
      <c r="H63" t="n">
        <v>3</v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Trolldruvemätare
Stor aspticka
Svart trolldruva
Tvåblad
Nattviol
Gullviva</t>
        </is>
      </c>
      <c r="S63">
        <f>HYPERLINK("https://klasma.github.io/Logging_2303/artfynd/A 933-2023 artfynd.xlsx", "A 933-2023")</f>
        <v/>
      </c>
      <c r="T63">
        <f>HYPERLINK("https://klasma.github.io/Logging_2303/kartor/A 933-2023 karta.png", "A 933-2023")</f>
        <v/>
      </c>
      <c r="V63">
        <f>HYPERLINK("https://klasma.github.io/Logging_2303/klagomål/A 933-2023 FSC-klagomål.docx", "A 933-2023")</f>
        <v/>
      </c>
      <c r="W63">
        <f>HYPERLINK("https://klasma.github.io/Logging_2303/klagomålsmail/A 933-2023 FSC-klagomål mail.docx", "A 933-2023")</f>
        <v/>
      </c>
      <c r="X63">
        <f>HYPERLINK("https://klasma.github.io/Logging_2303/tillsyn/A 933-2023 tillsynsbegäran.docx", "A 933-2023")</f>
        <v/>
      </c>
      <c r="Y63">
        <f>HYPERLINK("https://klasma.github.io/Logging_2303/tillsynsmail/A 933-2023 tillsynsbegäran mail.docx", "A 933-2023")</f>
        <v/>
      </c>
    </row>
    <row r="64" ht="15" customHeight="1">
      <c r="A64" t="inlineStr">
        <is>
          <t>A 39973-2025</t>
        </is>
      </c>
      <c r="B64" s="1" t="n">
        <v>45893.38584490741</v>
      </c>
      <c r="C64" s="1" t="n">
        <v>46072</v>
      </c>
      <c r="D64" t="inlineStr">
        <is>
          <t>JÄMTLANDS LÄN</t>
        </is>
      </c>
      <c r="E64" t="inlineStr">
        <is>
          <t>RAGUNDA</t>
        </is>
      </c>
      <c r="F64" t="inlineStr">
        <is>
          <t>Naturvårdsverket</t>
        </is>
      </c>
      <c r="G64" t="n">
        <v>8</v>
      </c>
      <c r="H64" t="n">
        <v>0</v>
      </c>
      <c r="I64" t="n">
        <v>1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6</v>
      </c>
      <c r="R64" s="2" t="inlineStr">
        <is>
          <t>Granticka
Lunglav
Mörk kolflarnlav
Tallticka
Vedskivlav
Skinnlav</t>
        </is>
      </c>
      <c r="S64">
        <f>HYPERLINK("https://klasma.github.io/Logging_2303/artfynd/A 39973-2025 artfynd.xlsx", "A 39973-2025")</f>
        <v/>
      </c>
      <c r="T64">
        <f>HYPERLINK("https://klasma.github.io/Logging_2303/kartor/A 39973-2025 karta.png", "A 39973-2025")</f>
        <v/>
      </c>
      <c r="V64">
        <f>HYPERLINK("https://klasma.github.io/Logging_2303/klagomål/A 39973-2025 FSC-klagomål.docx", "A 39973-2025")</f>
        <v/>
      </c>
      <c r="W64">
        <f>HYPERLINK("https://klasma.github.io/Logging_2303/klagomålsmail/A 39973-2025 FSC-klagomål mail.docx", "A 39973-2025")</f>
        <v/>
      </c>
      <c r="X64">
        <f>HYPERLINK("https://klasma.github.io/Logging_2303/tillsyn/A 39973-2025 tillsynsbegäran.docx", "A 39973-2025")</f>
        <v/>
      </c>
      <c r="Y64">
        <f>HYPERLINK("https://klasma.github.io/Logging_2303/tillsynsmail/A 39973-2025 tillsynsbegäran mail.docx", "A 39973-2025")</f>
        <v/>
      </c>
    </row>
    <row r="65" ht="15" customHeight="1">
      <c r="A65" t="inlineStr">
        <is>
          <t>A 19402-2025</t>
        </is>
      </c>
      <c r="B65" s="1" t="n">
        <v>45769.67778935185</v>
      </c>
      <c r="C65" s="1" t="n">
        <v>46072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3.1</v>
      </c>
      <c r="H65" t="n">
        <v>2</v>
      </c>
      <c r="I65" t="n">
        <v>3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6</v>
      </c>
      <c r="R65" s="2" t="inlineStr">
        <is>
          <t>Garnlav
Lunglav
Tretåig hackspett
Bårdlav
Spindelblomster
Stuplav</t>
        </is>
      </c>
      <c r="S65">
        <f>HYPERLINK("https://klasma.github.io/Logging_2303/artfynd/A 19402-2025 artfynd.xlsx", "A 19402-2025")</f>
        <v/>
      </c>
      <c r="T65">
        <f>HYPERLINK("https://klasma.github.io/Logging_2303/kartor/A 19402-2025 karta.png", "A 19402-2025")</f>
        <v/>
      </c>
      <c r="V65">
        <f>HYPERLINK("https://klasma.github.io/Logging_2303/klagomål/A 19402-2025 FSC-klagomål.docx", "A 19402-2025")</f>
        <v/>
      </c>
      <c r="W65">
        <f>HYPERLINK("https://klasma.github.io/Logging_2303/klagomålsmail/A 19402-2025 FSC-klagomål mail.docx", "A 19402-2025")</f>
        <v/>
      </c>
      <c r="X65">
        <f>HYPERLINK("https://klasma.github.io/Logging_2303/tillsyn/A 19402-2025 tillsynsbegäran.docx", "A 19402-2025")</f>
        <v/>
      </c>
      <c r="Y65">
        <f>HYPERLINK("https://klasma.github.io/Logging_2303/tillsynsmail/A 19402-2025 tillsynsbegäran mail.docx", "A 19402-2025")</f>
        <v/>
      </c>
      <c r="Z65">
        <f>HYPERLINK("https://klasma.github.io/Logging_2303/fåglar/A 19402-2025 prioriterade fågelarter.docx", "A 19402-2025")</f>
        <v/>
      </c>
    </row>
    <row r="66" ht="15" customHeight="1">
      <c r="A66" t="inlineStr">
        <is>
          <t>A 30884-2025</t>
        </is>
      </c>
      <c r="B66" s="1" t="n">
        <v>45832.34564814815</v>
      </c>
      <c r="C66" s="1" t="n">
        <v>46072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5.7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Garnlav
Granticka
Rosenticka
Stjärntagging
Ullticka
Rödgul trumpetsvamp</t>
        </is>
      </c>
      <c r="S66">
        <f>HYPERLINK("https://klasma.github.io/Logging_2303/artfynd/A 30884-2025 artfynd.xlsx", "A 30884-2025")</f>
        <v/>
      </c>
      <c r="T66">
        <f>HYPERLINK("https://klasma.github.io/Logging_2303/kartor/A 30884-2025 karta.png", "A 30884-2025")</f>
        <v/>
      </c>
      <c r="V66">
        <f>HYPERLINK("https://klasma.github.io/Logging_2303/klagomål/A 30884-2025 FSC-klagomål.docx", "A 30884-2025")</f>
        <v/>
      </c>
      <c r="W66">
        <f>HYPERLINK("https://klasma.github.io/Logging_2303/klagomålsmail/A 30884-2025 FSC-klagomål mail.docx", "A 30884-2025")</f>
        <v/>
      </c>
      <c r="X66">
        <f>HYPERLINK("https://klasma.github.io/Logging_2303/tillsyn/A 30884-2025 tillsynsbegäran.docx", "A 30884-2025")</f>
        <v/>
      </c>
      <c r="Y66">
        <f>HYPERLINK("https://klasma.github.io/Logging_2303/tillsynsmail/A 30884-2025 tillsynsbegäran mail.docx", "A 30884-2025")</f>
        <v/>
      </c>
    </row>
    <row r="67" ht="15" customHeight="1">
      <c r="A67" t="inlineStr">
        <is>
          <t>A 49291-2025</t>
        </is>
      </c>
      <c r="B67" s="1" t="n">
        <v>45938.53188657408</v>
      </c>
      <c r="C67" s="1" t="n">
        <v>46072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4.2</v>
      </c>
      <c r="H67" t="n">
        <v>1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Kolflarnlav
Lunglav
Korallblylav
Skinnlav
Vårärt
Blåsippa</t>
        </is>
      </c>
      <c r="S67">
        <f>HYPERLINK("https://klasma.github.io/Logging_2303/artfynd/A 49291-2025 artfynd.xlsx", "A 49291-2025")</f>
        <v/>
      </c>
      <c r="T67">
        <f>HYPERLINK("https://klasma.github.io/Logging_2303/kartor/A 49291-2025 karta.png", "A 49291-2025")</f>
        <v/>
      </c>
      <c r="V67">
        <f>HYPERLINK("https://klasma.github.io/Logging_2303/klagomål/A 49291-2025 FSC-klagomål.docx", "A 49291-2025")</f>
        <v/>
      </c>
      <c r="W67">
        <f>HYPERLINK("https://klasma.github.io/Logging_2303/klagomålsmail/A 49291-2025 FSC-klagomål mail.docx", "A 49291-2025")</f>
        <v/>
      </c>
      <c r="X67">
        <f>HYPERLINK("https://klasma.github.io/Logging_2303/tillsyn/A 49291-2025 tillsynsbegäran.docx", "A 49291-2025")</f>
        <v/>
      </c>
      <c r="Y67">
        <f>HYPERLINK("https://klasma.github.io/Logging_2303/tillsynsmail/A 49291-2025 tillsynsbegäran mail.docx", "A 49291-2025")</f>
        <v/>
      </c>
    </row>
    <row r="68" ht="15" customHeight="1">
      <c r="A68" t="inlineStr">
        <is>
          <t>A 53021-2022</t>
        </is>
      </c>
      <c r="B68" s="1" t="n">
        <v>44875</v>
      </c>
      <c r="C68" s="1" t="n">
        <v>46072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6.1</v>
      </c>
      <c r="H68" t="n">
        <v>0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Gammelgransskål
Garnlav
Granticka
Vitgrynig nållav
Bollvitmossa
Ögonpyrola</t>
        </is>
      </c>
      <c r="S68">
        <f>HYPERLINK("https://klasma.github.io/Logging_2303/artfynd/A 53021-2022 artfynd.xlsx", "A 53021-2022")</f>
        <v/>
      </c>
      <c r="T68">
        <f>HYPERLINK("https://klasma.github.io/Logging_2303/kartor/A 53021-2022 karta.png", "A 53021-2022")</f>
        <v/>
      </c>
      <c r="V68">
        <f>HYPERLINK("https://klasma.github.io/Logging_2303/klagomål/A 53021-2022 FSC-klagomål.docx", "A 53021-2022")</f>
        <v/>
      </c>
      <c r="W68">
        <f>HYPERLINK("https://klasma.github.io/Logging_2303/klagomålsmail/A 53021-2022 FSC-klagomål mail.docx", "A 53021-2022")</f>
        <v/>
      </c>
      <c r="X68">
        <f>HYPERLINK("https://klasma.github.io/Logging_2303/tillsyn/A 53021-2022 tillsynsbegäran.docx", "A 53021-2022")</f>
        <v/>
      </c>
      <c r="Y68">
        <f>HYPERLINK("https://klasma.github.io/Logging_2303/tillsynsmail/A 53021-2022 tillsynsbegäran mail.docx", "A 53021-2022")</f>
        <v/>
      </c>
    </row>
    <row r="69" ht="15" customHeight="1">
      <c r="A69" t="inlineStr">
        <is>
          <t>A 36276-2025</t>
        </is>
      </c>
      <c r="B69" s="1" t="n">
        <v>45867.63619212963</v>
      </c>
      <c r="C69" s="1" t="n">
        <v>46072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3.2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Garnlav
Lunglav
Ullticka
Grovticka
Stuplav</t>
        </is>
      </c>
      <c r="S69">
        <f>HYPERLINK("https://klasma.github.io/Logging_2303/artfynd/A 36276-2025 artfynd.xlsx", "A 36276-2025")</f>
        <v/>
      </c>
      <c r="T69">
        <f>HYPERLINK("https://klasma.github.io/Logging_2303/kartor/A 36276-2025 karta.png", "A 36276-2025")</f>
        <v/>
      </c>
      <c r="U69">
        <f>HYPERLINK("https://klasma.github.io/Logging_2303/knärot/A 36276-2025 karta knärot.png", "A 36276-2025")</f>
        <v/>
      </c>
      <c r="V69">
        <f>HYPERLINK("https://klasma.github.io/Logging_2303/klagomål/A 36276-2025 FSC-klagomål.docx", "A 36276-2025")</f>
        <v/>
      </c>
      <c r="W69">
        <f>HYPERLINK("https://klasma.github.io/Logging_2303/klagomålsmail/A 36276-2025 FSC-klagomål mail.docx", "A 36276-2025")</f>
        <v/>
      </c>
      <c r="X69">
        <f>HYPERLINK("https://klasma.github.io/Logging_2303/tillsyn/A 36276-2025 tillsynsbegäran.docx", "A 36276-2025")</f>
        <v/>
      </c>
      <c r="Y69">
        <f>HYPERLINK("https://klasma.github.io/Logging_2303/tillsynsmail/A 36276-2025 tillsynsbegäran mail.docx", "A 36276-2025")</f>
        <v/>
      </c>
    </row>
    <row r="70" ht="15" customHeight="1">
      <c r="A70" t="inlineStr">
        <is>
          <t>A 2193-2026</t>
        </is>
      </c>
      <c r="B70" s="1" t="n">
        <v>46036.46946759259</v>
      </c>
      <c r="C70" s="1" t="n">
        <v>46072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2.4</v>
      </c>
      <c r="H70" t="n">
        <v>1</v>
      </c>
      <c r="I70" t="n">
        <v>1</v>
      </c>
      <c r="J70" t="n">
        <v>4</v>
      </c>
      <c r="K70" t="n">
        <v>1</v>
      </c>
      <c r="L70" t="n">
        <v>0</v>
      </c>
      <c r="M70" t="n">
        <v>0</v>
      </c>
      <c r="N70" t="n">
        <v>0</v>
      </c>
      <c r="O70" t="n">
        <v>5</v>
      </c>
      <c r="P70" t="n">
        <v>1</v>
      </c>
      <c r="Q70" t="n">
        <v>6</v>
      </c>
      <c r="R70" s="2" t="inlineStr">
        <is>
          <t>Knärot
Garnlav
Lunglav
Rosenticka
Ullticka
Luddlav</t>
        </is>
      </c>
      <c r="S70">
        <f>HYPERLINK("https://klasma.github.io/Logging_2303/artfynd/A 2193-2026 artfynd.xlsx", "A 2193-2026")</f>
        <v/>
      </c>
      <c r="T70">
        <f>HYPERLINK("https://klasma.github.io/Logging_2303/kartor/A 2193-2026 karta.png", "A 2193-2026")</f>
        <v/>
      </c>
      <c r="U70">
        <f>HYPERLINK("https://klasma.github.io/Logging_2303/knärot/A 2193-2026 karta knärot.png", "A 2193-2026")</f>
        <v/>
      </c>
      <c r="V70">
        <f>HYPERLINK("https://klasma.github.io/Logging_2303/klagomål/A 2193-2026 FSC-klagomål.docx", "A 2193-2026")</f>
        <v/>
      </c>
      <c r="W70">
        <f>HYPERLINK("https://klasma.github.io/Logging_2303/klagomålsmail/A 2193-2026 FSC-klagomål mail.docx", "A 2193-2026")</f>
        <v/>
      </c>
      <c r="X70">
        <f>HYPERLINK("https://klasma.github.io/Logging_2303/tillsyn/A 2193-2026 tillsynsbegäran.docx", "A 2193-2026")</f>
        <v/>
      </c>
      <c r="Y70">
        <f>HYPERLINK("https://klasma.github.io/Logging_2303/tillsynsmail/A 2193-2026 tillsynsbegäran mail.docx", "A 2193-2026")</f>
        <v/>
      </c>
    </row>
    <row r="71" ht="15" customHeight="1">
      <c r="A71" t="inlineStr">
        <is>
          <t>A 55646-2023</t>
        </is>
      </c>
      <c r="B71" s="1" t="n">
        <v>45238</v>
      </c>
      <c r="C71" s="1" t="n">
        <v>46072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3.9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Gammelgransskål
Garnlav
Lunglav
Skrovellav
Småflikig brosklav
Korallblylav</t>
        </is>
      </c>
      <c r="S71">
        <f>HYPERLINK("https://klasma.github.io/Logging_2303/artfynd/A 55646-2023 artfynd.xlsx", "A 55646-2023")</f>
        <v/>
      </c>
      <c r="T71">
        <f>HYPERLINK("https://klasma.github.io/Logging_2303/kartor/A 55646-2023 karta.png", "A 55646-2023")</f>
        <v/>
      </c>
      <c r="V71">
        <f>HYPERLINK("https://klasma.github.io/Logging_2303/klagomål/A 55646-2023 FSC-klagomål.docx", "A 55646-2023")</f>
        <v/>
      </c>
      <c r="W71">
        <f>HYPERLINK("https://klasma.github.io/Logging_2303/klagomålsmail/A 55646-2023 FSC-klagomål mail.docx", "A 55646-2023")</f>
        <v/>
      </c>
      <c r="X71">
        <f>HYPERLINK("https://klasma.github.io/Logging_2303/tillsyn/A 55646-2023 tillsynsbegäran.docx", "A 55646-2023")</f>
        <v/>
      </c>
      <c r="Y71">
        <f>HYPERLINK("https://klasma.github.io/Logging_2303/tillsynsmail/A 55646-2023 tillsynsbegäran mail.docx", "A 55646-2023")</f>
        <v/>
      </c>
    </row>
    <row r="72" ht="15" customHeight="1">
      <c r="A72" t="inlineStr">
        <is>
          <t>A 47115-2025</t>
        </is>
      </c>
      <c r="B72" s="1" t="n">
        <v>45929</v>
      </c>
      <c r="C72" s="1" t="n">
        <v>46072</v>
      </c>
      <c r="D72" t="inlineStr">
        <is>
          <t>JÄMTLANDS LÄN</t>
        </is>
      </c>
      <c r="E72" t="inlineStr">
        <is>
          <t>RAGUNDA</t>
        </is>
      </c>
      <c r="G72" t="n">
        <v>6.4</v>
      </c>
      <c r="H72" t="n">
        <v>4</v>
      </c>
      <c r="I72" t="n">
        <v>0</v>
      </c>
      <c r="J72" t="n">
        <v>3</v>
      </c>
      <c r="K72" t="n">
        <v>2</v>
      </c>
      <c r="L72" t="n">
        <v>0</v>
      </c>
      <c r="M72" t="n">
        <v>0</v>
      </c>
      <c r="N72" t="n">
        <v>0</v>
      </c>
      <c r="O72" t="n">
        <v>5</v>
      </c>
      <c r="P72" t="n">
        <v>2</v>
      </c>
      <c r="Q72" t="n">
        <v>6</v>
      </c>
      <c r="R72" s="2" t="inlineStr">
        <is>
          <t>Doftticka
Knärot
Garnlav
Lunglav
Tretåig hackspett
Lavskrika</t>
        </is>
      </c>
      <c r="S72">
        <f>HYPERLINK("https://klasma.github.io/Logging_2303/artfynd/A 47115-2025 artfynd.xlsx", "A 47115-2025")</f>
        <v/>
      </c>
      <c r="T72">
        <f>HYPERLINK("https://klasma.github.io/Logging_2303/kartor/A 47115-2025 karta.png", "A 47115-2025")</f>
        <v/>
      </c>
      <c r="U72">
        <f>HYPERLINK("https://klasma.github.io/Logging_2303/knärot/A 47115-2025 karta knärot.png", "A 47115-2025")</f>
        <v/>
      </c>
      <c r="V72">
        <f>HYPERLINK("https://klasma.github.io/Logging_2303/klagomål/A 47115-2025 FSC-klagomål.docx", "A 47115-2025")</f>
        <v/>
      </c>
      <c r="W72">
        <f>HYPERLINK("https://klasma.github.io/Logging_2303/klagomålsmail/A 47115-2025 FSC-klagomål mail.docx", "A 47115-2025")</f>
        <v/>
      </c>
      <c r="X72">
        <f>HYPERLINK("https://klasma.github.io/Logging_2303/tillsyn/A 47115-2025 tillsynsbegäran.docx", "A 47115-2025")</f>
        <v/>
      </c>
      <c r="Y72">
        <f>HYPERLINK("https://klasma.github.io/Logging_2303/tillsynsmail/A 47115-2025 tillsynsbegäran mail.docx", "A 47115-2025")</f>
        <v/>
      </c>
      <c r="Z72">
        <f>HYPERLINK("https://klasma.github.io/Logging_2303/fåglar/A 47115-2025 prioriterade fågelarter.docx", "A 47115-2025")</f>
        <v/>
      </c>
    </row>
    <row r="73" ht="15" customHeight="1">
      <c r="A73" t="inlineStr">
        <is>
          <t>A 30637-2024</t>
        </is>
      </c>
      <c r="B73" s="1" t="n">
        <v>45495</v>
      </c>
      <c r="C73" s="1" t="n">
        <v>46072</v>
      </c>
      <c r="D73" t="inlineStr">
        <is>
          <t>JÄMTLANDS LÄN</t>
        </is>
      </c>
      <c r="E73" t="inlineStr">
        <is>
          <t>RAGUNDA</t>
        </is>
      </c>
      <c r="G73" t="n">
        <v>4.1</v>
      </c>
      <c r="H73" t="n">
        <v>5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Lunglav
Spillkråka
Talltita
Tretåig hackspett
Vanlig groda</t>
        </is>
      </c>
      <c r="S73">
        <f>HYPERLINK("https://klasma.github.io/Logging_2303/artfynd/A 30637-2024 artfynd.xlsx", "A 30637-2024")</f>
        <v/>
      </c>
      <c r="T73">
        <f>HYPERLINK("https://klasma.github.io/Logging_2303/kartor/A 30637-2024 karta.png", "A 30637-2024")</f>
        <v/>
      </c>
      <c r="U73">
        <f>HYPERLINK("https://klasma.github.io/Logging_2303/knärot/A 30637-2024 karta knärot.png", "A 30637-2024")</f>
        <v/>
      </c>
      <c r="V73">
        <f>HYPERLINK("https://klasma.github.io/Logging_2303/klagomål/A 30637-2024 FSC-klagomål.docx", "A 30637-2024")</f>
        <v/>
      </c>
      <c r="W73">
        <f>HYPERLINK("https://klasma.github.io/Logging_2303/klagomålsmail/A 30637-2024 FSC-klagomål mail.docx", "A 30637-2024")</f>
        <v/>
      </c>
      <c r="X73">
        <f>HYPERLINK("https://klasma.github.io/Logging_2303/tillsyn/A 30637-2024 tillsynsbegäran.docx", "A 30637-2024")</f>
        <v/>
      </c>
      <c r="Y73">
        <f>HYPERLINK("https://klasma.github.io/Logging_2303/tillsynsmail/A 30637-2024 tillsynsbegäran mail.docx", "A 30637-2024")</f>
        <v/>
      </c>
      <c r="Z73">
        <f>HYPERLINK("https://klasma.github.io/Logging_2303/fåglar/A 30637-2024 prioriterade fågelarter.docx", "A 30637-2024")</f>
        <v/>
      </c>
    </row>
    <row r="74" ht="15" customHeight="1">
      <c r="A74" t="inlineStr">
        <is>
          <t>A 34317-2025</t>
        </is>
      </c>
      <c r="B74" s="1" t="n">
        <v>45846</v>
      </c>
      <c r="C74" s="1" t="n">
        <v>46072</v>
      </c>
      <c r="D74" t="inlineStr">
        <is>
          <t>JÄMTLANDS LÄN</t>
        </is>
      </c>
      <c r="E74" t="inlineStr">
        <is>
          <t>RAGUNDA</t>
        </is>
      </c>
      <c r="G74" t="n">
        <v>8.300000000000001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Lunglav
Nordtagging
Talltita
Skinnlav</t>
        </is>
      </c>
      <c r="S74">
        <f>HYPERLINK("https://klasma.github.io/Logging_2303/artfynd/A 34317-2025 artfynd.xlsx", "A 34317-2025")</f>
        <v/>
      </c>
      <c r="T74">
        <f>HYPERLINK("https://klasma.github.io/Logging_2303/kartor/A 34317-2025 karta.png", "A 34317-2025")</f>
        <v/>
      </c>
      <c r="U74">
        <f>HYPERLINK("https://klasma.github.io/Logging_2303/knärot/A 34317-2025 karta knärot.png", "A 34317-2025")</f>
        <v/>
      </c>
      <c r="V74">
        <f>HYPERLINK("https://klasma.github.io/Logging_2303/klagomål/A 34317-2025 FSC-klagomål.docx", "A 34317-2025")</f>
        <v/>
      </c>
      <c r="W74">
        <f>HYPERLINK("https://klasma.github.io/Logging_2303/klagomålsmail/A 34317-2025 FSC-klagomål mail.docx", "A 34317-2025")</f>
        <v/>
      </c>
      <c r="X74">
        <f>HYPERLINK("https://klasma.github.io/Logging_2303/tillsyn/A 34317-2025 tillsynsbegäran.docx", "A 34317-2025")</f>
        <v/>
      </c>
      <c r="Y74">
        <f>HYPERLINK("https://klasma.github.io/Logging_2303/tillsynsmail/A 34317-2025 tillsynsbegäran mail.docx", "A 34317-2025")</f>
        <v/>
      </c>
      <c r="Z74">
        <f>HYPERLINK("https://klasma.github.io/Logging_2303/fåglar/A 34317-2025 prioriterade fågelarter.docx", "A 34317-2025")</f>
        <v/>
      </c>
    </row>
    <row r="75" ht="15" customHeight="1">
      <c r="A75" t="inlineStr">
        <is>
          <t>A 11828-2023</t>
        </is>
      </c>
      <c r="B75" s="1" t="n">
        <v>44994</v>
      </c>
      <c r="C75" s="1" t="n">
        <v>46072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2.7</v>
      </c>
      <c r="H75" t="n">
        <v>0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Dvärgbägarlav
Garnlav
Kolflarnlav
Mörk kolflarnlav
Vedskivlav
Vedtrappmossa</t>
        </is>
      </c>
      <c r="S75">
        <f>HYPERLINK("https://klasma.github.io/Logging_2303/artfynd/A 11828-2023 artfynd.xlsx", "A 11828-2023")</f>
        <v/>
      </c>
      <c r="T75">
        <f>HYPERLINK("https://klasma.github.io/Logging_2303/kartor/A 11828-2023 karta.png", "A 11828-2023")</f>
        <v/>
      </c>
      <c r="V75">
        <f>HYPERLINK("https://klasma.github.io/Logging_2303/klagomål/A 11828-2023 FSC-klagomål.docx", "A 11828-2023")</f>
        <v/>
      </c>
      <c r="W75">
        <f>HYPERLINK("https://klasma.github.io/Logging_2303/klagomålsmail/A 11828-2023 FSC-klagomål mail.docx", "A 11828-2023")</f>
        <v/>
      </c>
      <c r="X75">
        <f>HYPERLINK("https://klasma.github.io/Logging_2303/tillsyn/A 11828-2023 tillsynsbegäran.docx", "A 11828-2023")</f>
        <v/>
      </c>
      <c r="Y75">
        <f>HYPERLINK("https://klasma.github.io/Logging_2303/tillsynsmail/A 11828-2023 tillsynsbegäran mail.docx", "A 11828-2023")</f>
        <v/>
      </c>
    </row>
    <row r="76" ht="15" customHeight="1">
      <c r="A76" t="inlineStr">
        <is>
          <t>A 9197-2026</t>
        </is>
      </c>
      <c r="B76" s="1" t="n">
        <v>46070.40322916667</v>
      </c>
      <c r="C76" s="1" t="n">
        <v>46072</v>
      </c>
      <c r="D76" t="inlineStr">
        <is>
          <t>JÄMTLANDS LÄN</t>
        </is>
      </c>
      <c r="E76" t="inlineStr">
        <is>
          <t>RAGUNDA</t>
        </is>
      </c>
      <c r="G76" t="n">
        <v>3.3</v>
      </c>
      <c r="H76" t="n">
        <v>5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6</v>
      </c>
      <c r="R76" s="2" t="inlineStr">
        <is>
          <t>Granticka
Järpe
Spillkråka
Talltita
Grönsiska
Kungsfågel</t>
        </is>
      </c>
      <c r="S76">
        <f>HYPERLINK("https://klasma.github.io/Logging_2303/artfynd/A 9197-2026 artfynd.xlsx", "A 9197-2026")</f>
        <v/>
      </c>
      <c r="T76">
        <f>HYPERLINK("https://klasma.github.io/Logging_2303/kartor/A 9197-2026 karta.png", "A 9197-2026")</f>
        <v/>
      </c>
      <c r="V76">
        <f>HYPERLINK("https://klasma.github.io/Logging_2303/klagomål/A 9197-2026 FSC-klagomål.docx", "A 9197-2026")</f>
        <v/>
      </c>
      <c r="W76">
        <f>HYPERLINK("https://klasma.github.io/Logging_2303/klagomålsmail/A 9197-2026 FSC-klagomål mail.docx", "A 9197-2026")</f>
        <v/>
      </c>
      <c r="X76">
        <f>HYPERLINK("https://klasma.github.io/Logging_2303/tillsyn/A 9197-2026 tillsynsbegäran.docx", "A 9197-2026")</f>
        <v/>
      </c>
      <c r="Y76">
        <f>HYPERLINK("https://klasma.github.io/Logging_2303/tillsynsmail/A 9197-2026 tillsynsbegäran mail.docx", "A 9197-2026")</f>
        <v/>
      </c>
      <c r="Z76">
        <f>HYPERLINK("https://klasma.github.io/Logging_2303/fåglar/A 9197-2026 prioriterade fågelarter.docx", "A 9197-2026")</f>
        <v/>
      </c>
    </row>
    <row r="77" ht="15" customHeight="1">
      <c r="A77" t="inlineStr">
        <is>
          <t>A 24431-2024</t>
        </is>
      </c>
      <c r="B77" s="1" t="n">
        <v>45457</v>
      </c>
      <c r="C77" s="1" t="n">
        <v>46072</v>
      </c>
      <c r="D77" t="inlineStr">
        <is>
          <t>JÄMTLANDS LÄN</t>
        </is>
      </c>
      <c r="E77" t="inlineStr">
        <is>
          <t>RAGUNDA</t>
        </is>
      </c>
      <c r="F77" t="inlineStr">
        <is>
          <t>SCA</t>
        </is>
      </c>
      <c r="G77" t="n">
        <v>3.6</v>
      </c>
      <c r="H77" t="n">
        <v>1</v>
      </c>
      <c r="I77" t="n">
        <v>0</v>
      </c>
      <c r="J77" t="n">
        <v>6</v>
      </c>
      <c r="K77" t="n">
        <v>0</v>
      </c>
      <c r="L77" t="n">
        <v>0</v>
      </c>
      <c r="M77" t="n">
        <v>0</v>
      </c>
      <c r="N77" t="n">
        <v>0</v>
      </c>
      <c r="O77" t="n">
        <v>6</v>
      </c>
      <c r="P77" t="n">
        <v>0</v>
      </c>
      <c r="Q77" t="n">
        <v>6</v>
      </c>
      <c r="R77" s="2" t="inlineStr">
        <is>
          <t>Doftskinn
Gammelgransskål
Rosenticka
Tretåig hackspett
Ullticka
Vitgrynig nållav</t>
        </is>
      </c>
      <c r="S77">
        <f>HYPERLINK("https://klasma.github.io/Logging_2303/artfynd/A 24431-2024 artfynd.xlsx", "A 24431-2024")</f>
        <v/>
      </c>
      <c r="T77">
        <f>HYPERLINK("https://klasma.github.io/Logging_2303/kartor/A 24431-2024 karta.png", "A 24431-2024")</f>
        <v/>
      </c>
      <c r="V77">
        <f>HYPERLINK("https://klasma.github.io/Logging_2303/klagomål/A 24431-2024 FSC-klagomål.docx", "A 24431-2024")</f>
        <v/>
      </c>
      <c r="W77">
        <f>HYPERLINK("https://klasma.github.io/Logging_2303/klagomålsmail/A 24431-2024 FSC-klagomål mail.docx", "A 24431-2024")</f>
        <v/>
      </c>
      <c r="X77">
        <f>HYPERLINK("https://klasma.github.io/Logging_2303/tillsyn/A 24431-2024 tillsynsbegäran.docx", "A 24431-2024")</f>
        <v/>
      </c>
      <c r="Y77">
        <f>HYPERLINK("https://klasma.github.io/Logging_2303/tillsynsmail/A 24431-2024 tillsynsbegäran mail.docx", "A 24431-2024")</f>
        <v/>
      </c>
      <c r="Z77">
        <f>HYPERLINK("https://klasma.github.io/Logging_2303/fåglar/A 24431-2024 prioriterade fågelarter.docx", "A 24431-2024")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46072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46072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46072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46072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46072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46072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39974-2025</t>
        </is>
      </c>
      <c r="B84" s="1" t="n">
        <v>45893.38599537037</v>
      </c>
      <c r="C84" s="1" t="n">
        <v>46072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2.5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Lunglav
Skrovellav
Dropptaggsvamp
Luddlav</t>
        </is>
      </c>
      <c r="S84">
        <f>HYPERLINK("https://klasma.github.io/Logging_2303/artfynd/A 39974-2025 artfynd.xlsx", "A 39974-2025")</f>
        <v/>
      </c>
      <c r="T84">
        <f>HYPERLINK("https://klasma.github.io/Logging_2303/kartor/A 39974-2025 karta.png", "A 39974-2025")</f>
        <v/>
      </c>
      <c r="V84">
        <f>HYPERLINK("https://klasma.github.io/Logging_2303/klagomål/A 39974-2025 FSC-klagomål.docx", "A 39974-2025")</f>
        <v/>
      </c>
      <c r="W84">
        <f>HYPERLINK("https://klasma.github.io/Logging_2303/klagomålsmail/A 39974-2025 FSC-klagomål mail.docx", "A 39974-2025")</f>
        <v/>
      </c>
      <c r="X84">
        <f>HYPERLINK("https://klasma.github.io/Logging_2303/tillsyn/A 39974-2025 tillsynsbegäran.docx", "A 39974-2025")</f>
        <v/>
      </c>
      <c r="Y84">
        <f>HYPERLINK("https://klasma.github.io/Logging_2303/tillsynsmail/A 39974-2025 tillsynsbegäran mail.docx", "A 39974-2025")</f>
        <v/>
      </c>
    </row>
    <row r="85" ht="15" customHeight="1">
      <c r="A85" t="inlineStr">
        <is>
          <t>A 39365-2024</t>
        </is>
      </c>
      <c r="B85" s="1" t="n">
        <v>45551.46912037037</v>
      </c>
      <c r="C85" s="1" t="n">
        <v>46072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7.3</v>
      </c>
      <c r="H85" t="n">
        <v>0</v>
      </c>
      <c r="I85" t="n">
        <v>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Lunglav
Ullticka
Korallblylav
Stor aspticka
Vedticka</t>
        </is>
      </c>
      <c r="S85">
        <f>HYPERLINK("https://klasma.github.io/Logging_2303/artfynd/A 39365-2024 artfynd.xlsx", "A 39365-2024")</f>
        <v/>
      </c>
      <c r="T85">
        <f>HYPERLINK("https://klasma.github.io/Logging_2303/kartor/A 39365-2024 karta.png", "A 39365-2024")</f>
        <v/>
      </c>
      <c r="U85">
        <f>HYPERLINK("https://klasma.github.io/Logging_2303/knärot/A 39365-2024 karta knärot.png", "A 39365-2024")</f>
        <v/>
      </c>
      <c r="V85">
        <f>HYPERLINK("https://klasma.github.io/Logging_2303/klagomål/A 39365-2024 FSC-klagomål.docx", "A 39365-2024")</f>
        <v/>
      </c>
      <c r="W85">
        <f>HYPERLINK("https://klasma.github.io/Logging_2303/klagomålsmail/A 39365-2024 FSC-klagomål mail.docx", "A 39365-2024")</f>
        <v/>
      </c>
      <c r="X85">
        <f>HYPERLINK("https://klasma.github.io/Logging_2303/tillsyn/A 39365-2024 tillsynsbegäran.docx", "A 39365-2024")</f>
        <v/>
      </c>
      <c r="Y85">
        <f>HYPERLINK("https://klasma.github.io/Logging_2303/tillsynsmail/A 39365-2024 tillsynsbegäran mail.docx", "A 39365-2024")</f>
        <v/>
      </c>
    </row>
    <row r="86" ht="15" customHeight="1">
      <c r="A86" t="inlineStr">
        <is>
          <t>A 15244-2025</t>
        </is>
      </c>
      <c r="B86" s="1" t="n">
        <v>45744.61550925926</v>
      </c>
      <c r="C86" s="1" t="n">
        <v>46072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2.6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Rosenticka
Ullticka
Stuplav
Vedticka</t>
        </is>
      </c>
      <c r="S86">
        <f>HYPERLINK("https://klasma.github.io/Logging_2303/artfynd/A 15244-2025 artfynd.xlsx", "A 15244-2025")</f>
        <v/>
      </c>
      <c r="T86">
        <f>HYPERLINK("https://klasma.github.io/Logging_2303/kartor/A 15244-2025 karta.png", "A 15244-2025")</f>
        <v/>
      </c>
      <c r="V86">
        <f>HYPERLINK("https://klasma.github.io/Logging_2303/klagomål/A 15244-2025 FSC-klagomål.docx", "A 15244-2025")</f>
        <v/>
      </c>
      <c r="W86">
        <f>HYPERLINK("https://klasma.github.io/Logging_2303/klagomålsmail/A 15244-2025 FSC-klagomål mail.docx", "A 15244-2025")</f>
        <v/>
      </c>
      <c r="X86">
        <f>HYPERLINK("https://klasma.github.io/Logging_2303/tillsyn/A 15244-2025 tillsynsbegäran.docx", "A 15244-2025")</f>
        <v/>
      </c>
      <c r="Y86">
        <f>HYPERLINK("https://klasma.github.io/Logging_2303/tillsynsmail/A 15244-2025 tillsynsbegäran mail.docx", "A 15244-2025")</f>
        <v/>
      </c>
    </row>
    <row r="87" ht="15" customHeight="1">
      <c r="A87" t="inlineStr">
        <is>
          <t>A 27313-2024</t>
        </is>
      </c>
      <c r="B87" s="1" t="n">
        <v>45471.94623842592</v>
      </c>
      <c r="C87" s="1" t="n">
        <v>46072</v>
      </c>
      <c r="D87" t="inlineStr">
        <is>
          <t>JÄMTLANDS LÄN</t>
        </is>
      </c>
      <c r="E87" t="inlineStr">
        <is>
          <t>RAGUNDA</t>
        </is>
      </c>
      <c r="G87" t="n">
        <v>2.1</v>
      </c>
      <c r="H87" t="n">
        <v>2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Knärot
Gammelgransskål
Garnlav
Lunglav
Nattviol</t>
        </is>
      </c>
      <c r="S87">
        <f>HYPERLINK("https://klasma.github.io/Logging_2303/artfynd/A 27313-2024 artfynd.xlsx", "A 27313-2024")</f>
        <v/>
      </c>
      <c r="T87">
        <f>HYPERLINK("https://klasma.github.io/Logging_2303/kartor/A 27313-2024 karta.png", "A 27313-2024")</f>
        <v/>
      </c>
      <c r="U87">
        <f>HYPERLINK("https://klasma.github.io/Logging_2303/knärot/A 27313-2024 karta knärot.png", "A 27313-2024")</f>
        <v/>
      </c>
      <c r="V87">
        <f>HYPERLINK("https://klasma.github.io/Logging_2303/klagomål/A 27313-2024 FSC-klagomål.docx", "A 27313-2024")</f>
        <v/>
      </c>
      <c r="W87">
        <f>HYPERLINK("https://klasma.github.io/Logging_2303/klagomålsmail/A 27313-2024 FSC-klagomål mail.docx", "A 27313-2024")</f>
        <v/>
      </c>
      <c r="X87">
        <f>HYPERLINK("https://klasma.github.io/Logging_2303/tillsyn/A 27313-2024 tillsynsbegäran.docx", "A 27313-2024")</f>
        <v/>
      </c>
      <c r="Y87">
        <f>HYPERLINK("https://klasma.github.io/Logging_2303/tillsynsmail/A 27313-2024 tillsynsbegäran mail.docx", "A 27313-2024")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46072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46072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46072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46072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57073-2023</t>
        </is>
      </c>
      <c r="B92" s="1" t="n">
        <v>45244</v>
      </c>
      <c r="C92" s="1" t="n">
        <v>46072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4.1</v>
      </c>
      <c r="H92" t="n">
        <v>1</v>
      </c>
      <c r="I92" t="n">
        <v>0</v>
      </c>
      <c r="J92" t="n">
        <v>4</v>
      </c>
      <c r="K92" t="n">
        <v>1</v>
      </c>
      <c r="L92" t="n">
        <v>0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Aspgelélav
Granticka
Lunglav
Tretåig hackspett
Ullticka</t>
        </is>
      </c>
      <c r="S92">
        <f>HYPERLINK("https://klasma.github.io/Logging_2303/artfynd/A 57073-2023 artfynd.xlsx", "A 57073-2023")</f>
        <v/>
      </c>
      <c r="T92">
        <f>HYPERLINK("https://klasma.github.io/Logging_2303/kartor/A 57073-2023 karta.png", "A 57073-2023")</f>
        <v/>
      </c>
      <c r="V92">
        <f>HYPERLINK("https://klasma.github.io/Logging_2303/klagomål/A 57073-2023 FSC-klagomål.docx", "A 57073-2023")</f>
        <v/>
      </c>
      <c r="W92">
        <f>HYPERLINK("https://klasma.github.io/Logging_2303/klagomålsmail/A 57073-2023 FSC-klagomål mail.docx", "A 57073-2023")</f>
        <v/>
      </c>
      <c r="X92">
        <f>HYPERLINK("https://klasma.github.io/Logging_2303/tillsyn/A 57073-2023 tillsynsbegäran.docx", "A 57073-2023")</f>
        <v/>
      </c>
      <c r="Y92">
        <f>HYPERLINK("https://klasma.github.io/Logging_2303/tillsynsmail/A 57073-2023 tillsynsbegäran mail.docx", "A 57073-2023")</f>
        <v/>
      </c>
      <c r="Z92">
        <f>HYPERLINK("https://klasma.github.io/Logging_2303/fåglar/A 57073-2023 prioriterade fågelarter.docx", "A 57073-2023")</f>
        <v/>
      </c>
    </row>
    <row r="93" ht="15" customHeight="1">
      <c r="A93" t="inlineStr">
        <is>
          <t>A 38169-2024</t>
        </is>
      </c>
      <c r="B93" s="1" t="n">
        <v>45545.45748842593</v>
      </c>
      <c r="C93" s="1" t="n">
        <v>46072</v>
      </c>
      <c r="D93" t="inlineStr">
        <is>
          <t>JÄMTLANDS LÄN</t>
        </is>
      </c>
      <c r="E93" t="inlineStr">
        <is>
          <t>RAGUNDA</t>
        </is>
      </c>
      <c r="G93" t="n">
        <v>7.5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Garnlav
Lunglav
Skrovellav
Talltita
Tretåig hackspett</t>
        </is>
      </c>
      <c r="S93">
        <f>HYPERLINK("https://klasma.github.io/Logging_2303/artfynd/A 38169-2024 artfynd.xlsx", "A 38169-2024")</f>
        <v/>
      </c>
      <c r="T93">
        <f>HYPERLINK("https://klasma.github.io/Logging_2303/kartor/A 38169-2024 karta.png", "A 38169-2024")</f>
        <v/>
      </c>
      <c r="V93">
        <f>HYPERLINK("https://klasma.github.io/Logging_2303/klagomål/A 38169-2024 FSC-klagomål.docx", "A 38169-2024")</f>
        <v/>
      </c>
      <c r="W93">
        <f>HYPERLINK("https://klasma.github.io/Logging_2303/klagomålsmail/A 38169-2024 FSC-klagomål mail.docx", "A 38169-2024")</f>
        <v/>
      </c>
      <c r="X93">
        <f>HYPERLINK("https://klasma.github.io/Logging_2303/tillsyn/A 38169-2024 tillsynsbegäran.docx", "A 38169-2024")</f>
        <v/>
      </c>
      <c r="Y93">
        <f>HYPERLINK("https://klasma.github.io/Logging_2303/tillsynsmail/A 38169-2024 tillsynsbegäran mail.docx", "A 38169-2024")</f>
        <v/>
      </c>
      <c r="Z93">
        <f>HYPERLINK("https://klasma.github.io/Logging_2303/fåglar/A 38169-2024 prioriterade fågelarter.docx", "A 38169-2024")</f>
        <v/>
      </c>
    </row>
    <row r="94" ht="15" customHeight="1">
      <c r="A94" t="inlineStr">
        <is>
          <t>A 12024-2022</t>
        </is>
      </c>
      <c r="B94" s="1" t="n">
        <v>44635</v>
      </c>
      <c r="C94" s="1" t="n">
        <v>46072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4.9</v>
      </c>
      <c r="H94" t="n">
        <v>1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Rynkskinn
Garnlav
Tretåig hackspett
Vitgrynig nållav
Dropptaggsvamp</t>
        </is>
      </c>
      <c r="S94">
        <f>HYPERLINK("https://klasma.github.io/Logging_2303/artfynd/A 12024-2022 artfynd.xlsx", "A 12024-2022")</f>
        <v/>
      </c>
      <c r="T94">
        <f>HYPERLINK("https://klasma.github.io/Logging_2303/kartor/A 12024-2022 karta.png", "A 12024-2022")</f>
        <v/>
      </c>
      <c r="V94">
        <f>HYPERLINK("https://klasma.github.io/Logging_2303/klagomål/A 12024-2022 FSC-klagomål.docx", "A 12024-2022")</f>
        <v/>
      </c>
      <c r="W94">
        <f>HYPERLINK("https://klasma.github.io/Logging_2303/klagomålsmail/A 12024-2022 FSC-klagomål mail.docx", "A 12024-2022")</f>
        <v/>
      </c>
      <c r="X94">
        <f>HYPERLINK("https://klasma.github.io/Logging_2303/tillsyn/A 12024-2022 tillsynsbegäran.docx", "A 12024-2022")</f>
        <v/>
      </c>
      <c r="Y94">
        <f>HYPERLINK("https://klasma.github.io/Logging_2303/tillsynsmail/A 12024-2022 tillsynsbegäran mail.docx", "A 12024-2022")</f>
        <v/>
      </c>
      <c r="Z94">
        <f>HYPERLINK("https://klasma.github.io/Logging_2303/fåglar/A 12024-2022 prioriterade fågelarter.docx", "A 12024-2022")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46072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46072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46072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46072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19851-2022</t>
        </is>
      </c>
      <c r="B99" s="1" t="n">
        <v>44696</v>
      </c>
      <c r="C99" s="1" t="n">
        <v>46072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Talltita
Ullticka
Revlummer</t>
        </is>
      </c>
      <c r="S99">
        <f>HYPERLINK("https://klasma.github.io/Logging_2303/artfynd/A 19851-2022 artfynd.xlsx", "A 19851-2022")</f>
        <v/>
      </c>
      <c r="T99">
        <f>HYPERLINK("https://klasma.github.io/Logging_2303/kartor/A 19851-2022 karta.png", "A 19851-2022")</f>
        <v/>
      </c>
      <c r="V99">
        <f>HYPERLINK("https://klasma.github.io/Logging_2303/klagomål/A 19851-2022 FSC-klagomål.docx", "A 19851-2022")</f>
        <v/>
      </c>
      <c r="W99">
        <f>HYPERLINK("https://klasma.github.io/Logging_2303/klagomålsmail/A 19851-2022 FSC-klagomål mail.docx", "A 19851-2022")</f>
        <v/>
      </c>
      <c r="X99">
        <f>HYPERLINK("https://klasma.github.io/Logging_2303/tillsyn/A 19851-2022 tillsynsbegäran.docx", "A 19851-2022")</f>
        <v/>
      </c>
      <c r="Y99">
        <f>HYPERLINK("https://klasma.github.io/Logging_2303/tillsynsmail/A 19851-2022 tillsynsbegäran mail.docx", "A 19851-2022")</f>
        <v/>
      </c>
      <c r="Z99">
        <f>HYPERLINK("https://klasma.github.io/Logging_2303/fåglar/A 19851-2022 prioriterade fågelarter.docx", "A 19851-2022")</f>
        <v/>
      </c>
    </row>
    <row r="100" ht="15" customHeight="1">
      <c r="A100" t="inlineStr">
        <is>
          <t>A 15667-2022</t>
        </is>
      </c>
      <c r="B100" s="1" t="n">
        <v>44662</v>
      </c>
      <c r="C100" s="1" t="n">
        <v>46072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2.9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Lunglav
Källmossa
Ögonpyrola</t>
        </is>
      </c>
      <c r="S100">
        <f>HYPERLINK("https://klasma.github.io/Logging_2303/artfynd/A 15667-2022 artfynd.xlsx", "A 15667-2022")</f>
        <v/>
      </c>
      <c r="T100">
        <f>HYPERLINK("https://klasma.github.io/Logging_2303/kartor/A 15667-2022 karta.png", "A 15667-2022")</f>
        <v/>
      </c>
      <c r="V100">
        <f>HYPERLINK("https://klasma.github.io/Logging_2303/klagomål/A 15667-2022 FSC-klagomål.docx", "A 15667-2022")</f>
        <v/>
      </c>
      <c r="W100">
        <f>HYPERLINK("https://klasma.github.io/Logging_2303/klagomålsmail/A 15667-2022 FSC-klagomål mail.docx", "A 15667-2022")</f>
        <v/>
      </c>
      <c r="X100">
        <f>HYPERLINK("https://klasma.github.io/Logging_2303/tillsyn/A 15667-2022 tillsynsbegäran.docx", "A 15667-2022")</f>
        <v/>
      </c>
      <c r="Y100">
        <f>HYPERLINK("https://klasma.github.io/Logging_2303/tillsynsmail/A 15667-2022 tillsynsbegäran mail.docx", "A 15667-2022")</f>
        <v/>
      </c>
    </row>
    <row r="101" ht="15" customHeight="1">
      <c r="A101" t="inlineStr">
        <is>
          <t>A 60670-2022</t>
        </is>
      </c>
      <c r="B101" s="1" t="n">
        <v>44911</v>
      </c>
      <c r="C101" s="1" t="n">
        <v>46072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5.1</v>
      </c>
      <c r="H101" t="n">
        <v>0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4</v>
      </c>
      <c r="R101" s="2" t="inlineStr">
        <is>
          <t>Doftskinn
Gammelgransskål
Lunglav
Ullticka</t>
        </is>
      </c>
      <c r="S101">
        <f>HYPERLINK("https://klasma.github.io/Logging_2303/artfynd/A 60670-2022 artfynd.xlsx", "A 60670-2022")</f>
        <v/>
      </c>
      <c r="T101">
        <f>HYPERLINK("https://klasma.github.io/Logging_2303/kartor/A 60670-2022 karta.png", "A 60670-2022")</f>
        <v/>
      </c>
      <c r="V101">
        <f>HYPERLINK("https://klasma.github.io/Logging_2303/klagomål/A 60670-2022 FSC-klagomål.docx", "A 60670-2022")</f>
        <v/>
      </c>
      <c r="W101">
        <f>HYPERLINK("https://klasma.github.io/Logging_2303/klagomålsmail/A 60670-2022 FSC-klagomål mail.docx", "A 60670-2022")</f>
        <v/>
      </c>
      <c r="X101">
        <f>HYPERLINK("https://klasma.github.io/Logging_2303/tillsyn/A 60670-2022 tillsynsbegäran.docx", "A 60670-2022")</f>
        <v/>
      </c>
      <c r="Y101">
        <f>HYPERLINK("https://klasma.github.io/Logging_2303/tillsynsmail/A 60670-2022 tillsynsbegäran mail.docx", "A 60670-2022")</f>
        <v/>
      </c>
    </row>
    <row r="102" ht="15" customHeight="1">
      <c r="A102" t="inlineStr">
        <is>
          <t>A 12640-2024</t>
        </is>
      </c>
      <c r="B102" s="1" t="n">
        <v>45384</v>
      </c>
      <c r="C102" s="1" t="n">
        <v>46072</v>
      </c>
      <c r="D102" t="inlineStr">
        <is>
          <t>JÄMTLANDS LÄN</t>
        </is>
      </c>
      <c r="E102" t="inlineStr">
        <is>
          <t>RAGUNDA</t>
        </is>
      </c>
      <c r="G102" t="n">
        <v>3.3</v>
      </c>
      <c r="H102" t="n">
        <v>0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Spadskinn
Vedskivlav
Dropptaggsvamp
Skarp dropptaggsvamp</t>
        </is>
      </c>
      <c r="S102">
        <f>HYPERLINK("https://klasma.github.io/Logging_2303/artfynd/A 12640-2024 artfynd.xlsx", "A 12640-2024")</f>
        <v/>
      </c>
      <c r="T102">
        <f>HYPERLINK("https://klasma.github.io/Logging_2303/kartor/A 12640-2024 karta.png", "A 12640-2024")</f>
        <v/>
      </c>
      <c r="V102">
        <f>HYPERLINK("https://klasma.github.io/Logging_2303/klagomål/A 12640-2024 FSC-klagomål.docx", "A 12640-2024")</f>
        <v/>
      </c>
      <c r="W102">
        <f>HYPERLINK("https://klasma.github.io/Logging_2303/klagomålsmail/A 12640-2024 FSC-klagomål mail.docx", "A 12640-2024")</f>
        <v/>
      </c>
      <c r="X102">
        <f>HYPERLINK("https://klasma.github.io/Logging_2303/tillsyn/A 12640-2024 tillsynsbegäran.docx", "A 12640-2024")</f>
        <v/>
      </c>
      <c r="Y102">
        <f>HYPERLINK("https://klasma.github.io/Logging_2303/tillsynsmail/A 12640-2024 tillsynsbegäran mail.docx", "A 12640-2024")</f>
        <v/>
      </c>
    </row>
    <row r="103" ht="15" customHeight="1">
      <c r="A103" t="inlineStr">
        <is>
          <t>A 12268-2024</t>
        </is>
      </c>
      <c r="B103" s="1" t="n">
        <v>45378</v>
      </c>
      <c r="C103" s="1" t="n">
        <v>46072</v>
      </c>
      <c r="D103" t="inlineStr">
        <is>
          <t>JÄMTLANDS LÄN</t>
        </is>
      </c>
      <c r="E103" t="inlineStr">
        <is>
          <t>RAGUNDA</t>
        </is>
      </c>
      <c r="F103" t="inlineStr">
        <is>
          <t>Kommuner</t>
        </is>
      </c>
      <c r="G103" t="n">
        <v>15.7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Granticka
Mörk kolflarnlav
Vedskivlav
Vitgrynig nållav</t>
        </is>
      </c>
      <c r="S103">
        <f>HYPERLINK("https://klasma.github.io/Logging_2303/artfynd/A 12268-2024 artfynd.xlsx", "A 12268-2024")</f>
        <v/>
      </c>
      <c r="T103">
        <f>HYPERLINK("https://klasma.github.io/Logging_2303/kartor/A 12268-2024 karta.png", "A 12268-2024")</f>
        <v/>
      </c>
      <c r="V103">
        <f>HYPERLINK("https://klasma.github.io/Logging_2303/klagomål/A 12268-2024 FSC-klagomål.docx", "A 12268-2024")</f>
        <v/>
      </c>
      <c r="W103">
        <f>HYPERLINK("https://klasma.github.io/Logging_2303/klagomålsmail/A 12268-2024 FSC-klagomål mail.docx", "A 12268-2024")</f>
        <v/>
      </c>
      <c r="X103">
        <f>HYPERLINK("https://klasma.github.io/Logging_2303/tillsyn/A 12268-2024 tillsynsbegäran.docx", "A 12268-2024")</f>
        <v/>
      </c>
      <c r="Y103">
        <f>HYPERLINK("https://klasma.github.io/Logging_2303/tillsynsmail/A 12268-2024 tillsynsbegäran mail.docx", "A 12268-2024")</f>
        <v/>
      </c>
    </row>
    <row r="104" ht="15" customHeight="1">
      <c r="A104" t="inlineStr">
        <is>
          <t>A 32903-2024</t>
        </is>
      </c>
      <c r="B104" s="1" t="n">
        <v>45516.94723379629</v>
      </c>
      <c r="C104" s="1" t="n">
        <v>46072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4.7</v>
      </c>
      <c r="H104" t="n">
        <v>0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Lappticka
Lunglav
Bollvitmossa
Luddlav</t>
        </is>
      </c>
      <c r="S104">
        <f>HYPERLINK("https://klasma.github.io/Logging_2303/artfynd/A 32903-2024 artfynd.xlsx", "A 32903-2024")</f>
        <v/>
      </c>
      <c r="T104">
        <f>HYPERLINK("https://klasma.github.io/Logging_2303/kartor/A 32903-2024 karta.png", "A 32903-2024")</f>
        <v/>
      </c>
      <c r="V104">
        <f>HYPERLINK("https://klasma.github.io/Logging_2303/klagomål/A 32903-2024 FSC-klagomål.docx", "A 32903-2024")</f>
        <v/>
      </c>
      <c r="W104">
        <f>HYPERLINK("https://klasma.github.io/Logging_2303/klagomålsmail/A 32903-2024 FSC-klagomål mail.docx", "A 32903-2024")</f>
        <v/>
      </c>
      <c r="X104">
        <f>HYPERLINK("https://klasma.github.io/Logging_2303/tillsyn/A 32903-2024 tillsynsbegäran.docx", "A 32903-2024")</f>
        <v/>
      </c>
      <c r="Y104">
        <f>HYPERLINK("https://klasma.github.io/Logging_2303/tillsynsmail/A 32903-2024 tillsynsbegäran mail.docx", "A 32903-2024")</f>
        <v/>
      </c>
    </row>
    <row r="105" ht="15" customHeight="1">
      <c r="A105" t="inlineStr">
        <is>
          <t>A 23682-2021</t>
        </is>
      </c>
      <c r="B105" s="1" t="n">
        <v>44334</v>
      </c>
      <c r="C105" s="1" t="n">
        <v>46072</v>
      </c>
      <c r="D105" t="inlineStr">
        <is>
          <t>JÄMTLANDS LÄN</t>
        </is>
      </c>
      <c r="E105" t="inlineStr">
        <is>
          <t>RAGUNDA</t>
        </is>
      </c>
      <c r="G105" t="n">
        <v>9.199999999999999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Garnlav
Lunglav
Rosenticka</t>
        </is>
      </c>
      <c r="S105">
        <f>HYPERLINK("https://klasma.github.io/Logging_2303/artfynd/A 23682-2021 artfynd.xlsx", "A 23682-2021")</f>
        <v/>
      </c>
      <c r="T105">
        <f>HYPERLINK("https://klasma.github.io/Logging_2303/kartor/A 23682-2021 karta.png", "A 23682-2021")</f>
        <v/>
      </c>
      <c r="U105">
        <f>HYPERLINK("https://klasma.github.io/Logging_2303/knärot/A 23682-2021 karta knärot.png", "A 23682-2021")</f>
        <v/>
      </c>
      <c r="V105">
        <f>HYPERLINK("https://klasma.github.io/Logging_2303/klagomål/A 23682-2021 FSC-klagomål.docx", "A 23682-2021")</f>
        <v/>
      </c>
      <c r="W105">
        <f>HYPERLINK("https://klasma.github.io/Logging_2303/klagomålsmail/A 23682-2021 FSC-klagomål mail.docx", "A 23682-2021")</f>
        <v/>
      </c>
      <c r="X105">
        <f>HYPERLINK("https://klasma.github.io/Logging_2303/tillsyn/A 23682-2021 tillsynsbegäran.docx", "A 23682-2021")</f>
        <v/>
      </c>
      <c r="Y105">
        <f>HYPERLINK("https://klasma.github.io/Logging_2303/tillsynsmail/A 23682-2021 tillsynsbegäran mail.docx", "A 23682-2021")</f>
        <v/>
      </c>
    </row>
    <row r="106" ht="15" customHeight="1">
      <c r="A106" t="inlineStr">
        <is>
          <t>A 23676-2021</t>
        </is>
      </c>
      <c r="B106" s="1" t="n">
        <v>44334.62565972222</v>
      </c>
      <c r="C106" s="1" t="n">
        <v>46072</v>
      </c>
      <c r="D106" t="inlineStr">
        <is>
          <t>JÄMTLANDS LÄN</t>
        </is>
      </c>
      <c r="E106" t="inlineStr">
        <is>
          <t>RAGUNDA</t>
        </is>
      </c>
      <c r="G106" t="n">
        <v>8.5</v>
      </c>
      <c r="H106" t="n">
        <v>1</v>
      </c>
      <c r="I106" t="n">
        <v>1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Lunglav
Rosenticka
Tretåig hackspett
Strutbräken</t>
        </is>
      </c>
      <c r="S106">
        <f>HYPERLINK("https://klasma.github.io/Logging_2303/artfynd/A 23676-2021 artfynd.xlsx", "A 23676-2021")</f>
        <v/>
      </c>
      <c r="T106">
        <f>HYPERLINK("https://klasma.github.io/Logging_2303/kartor/A 23676-2021 karta.png", "A 23676-2021")</f>
        <v/>
      </c>
      <c r="V106">
        <f>HYPERLINK("https://klasma.github.io/Logging_2303/klagomål/A 23676-2021 FSC-klagomål.docx", "A 23676-2021")</f>
        <v/>
      </c>
      <c r="W106">
        <f>HYPERLINK("https://klasma.github.io/Logging_2303/klagomålsmail/A 23676-2021 FSC-klagomål mail.docx", "A 23676-2021")</f>
        <v/>
      </c>
      <c r="X106">
        <f>HYPERLINK("https://klasma.github.io/Logging_2303/tillsyn/A 23676-2021 tillsynsbegäran.docx", "A 23676-2021")</f>
        <v/>
      </c>
      <c r="Y106">
        <f>HYPERLINK("https://klasma.github.io/Logging_2303/tillsynsmail/A 23676-2021 tillsynsbegäran mail.docx", "A 23676-2021")</f>
        <v/>
      </c>
      <c r="Z106">
        <f>HYPERLINK("https://klasma.github.io/Logging_2303/fåglar/A 23676-2021 prioriterade fågelarter.docx", "A 23676-2021")</f>
        <v/>
      </c>
    </row>
    <row r="107" ht="15" customHeight="1">
      <c r="A107" t="inlineStr">
        <is>
          <t>A 40653-2025</t>
        </is>
      </c>
      <c r="B107" s="1" t="n">
        <v>45896.63618055556</v>
      </c>
      <c r="C107" s="1" t="n">
        <v>46072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3.9</v>
      </c>
      <c r="H107" t="n">
        <v>0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Blå taggsvamp
Garnlav
Mörk kolflarnlav
Dropptaggsvamp</t>
        </is>
      </c>
      <c r="S107">
        <f>HYPERLINK("https://klasma.github.io/Logging_2303/artfynd/A 40653-2025 artfynd.xlsx", "A 40653-2025")</f>
        <v/>
      </c>
      <c r="T107">
        <f>HYPERLINK("https://klasma.github.io/Logging_2303/kartor/A 40653-2025 karta.png", "A 40653-2025")</f>
        <v/>
      </c>
      <c r="V107">
        <f>HYPERLINK("https://klasma.github.io/Logging_2303/klagomål/A 40653-2025 FSC-klagomål.docx", "A 40653-2025")</f>
        <v/>
      </c>
      <c r="W107">
        <f>HYPERLINK("https://klasma.github.io/Logging_2303/klagomålsmail/A 40653-2025 FSC-klagomål mail.docx", "A 40653-2025")</f>
        <v/>
      </c>
      <c r="X107">
        <f>HYPERLINK("https://klasma.github.io/Logging_2303/tillsyn/A 40653-2025 tillsynsbegäran.docx", "A 40653-2025")</f>
        <v/>
      </c>
      <c r="Y107">
        <f>HYPERLINK("https://klasma.github.io/Logging_2303/tillsynsmail/A 40653-2025 tillsynsbegäran mail.docx", "A 40653-2025")</f>
        <v/>
      </c>
    </row>
    <row r="108" ht="15" customHeight="1">
      <c r="A108" t="inlineStr">
        <is>
          <t>A 26082-2025</t>
        </is>
      </c>
      <c r="B108" s="1" t="n">
        <v>45805.34415509259</v>
      </c>
      <c r="C108" s="1" t="n">
        <v>46072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5</v>
      </c>
      <c r="H108" t="n">
        <v>1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Gammelgransskål
Lunglav
Vitgrynig nållav</t>
        </is>
      </c>
      <c r="S108">
        <f>HYPERLINK("https://klasma.github.io/Logging_2303/artfynd/A 26082-2025 artfynd.xlsx", "A 26082-2025")</f>
        <v/>
      </c>
      <c r="T108">
        <f>HYPERLINK("https://klasma.github.io/Logging_2303/kartor/A 26082-2025 karta.png", "A 26082-2025")</f>
        <v/>
      </c>
      <c r="U108">
        <f>HYPERLINK("https://klasma.github.io/Logging_2303/knärot/A 26082-2025 karta knärot.png", "A 26082-2025")</f>
        <v/>
      </c>
      <c r="V108">
        <f>HYPERLINK("https://klasma.github.io/Logging_2303/klagomål/A 26082-2025 FSC-klagomål.docx", "A 26082-2025")</f>
        <v/>
      </c>
      <c r="W108">
        <f>HYPERLINK("https://klasma.github.io/Logging_2303/klagomålsmail/A 26082-2025 FSC-klagomål mail.docx", "A 26082-2025")</f>
        <v/>
      </c>
      <c r="X108">
        <f>HYPERLINK("https://klasma.github.io/Logging_2303/tillsyn/A 26082-2025 tillsynsbegäran.docx", "A 26082-2025")</f>
        <v/>
      </c>
      <c r="Y108">
        <f>HYPERLINK("https://klasma.github.io/Logging_2303/tillsynsmail/A 26082-2025 tillsynsbegäran mail.docx", "A 26082-2025")</f>
        <v/>
      </c>
    </row>
    <row r="109" ht="15" customHeight="1">
      <c r="A109" t="inlineStr">
        <is>
          <t>A 43960-2023</t>
        </is>
      </c>
      <c r="B109" s="1" t="n">
        <v>45187</v>
      </c>
      <c r="C109" s="1" t="n">
        <v>46072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5.5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Granticka
Vedflikmossa
Vedtrappmossa
Vedticka</t>
        </is>
      </c>
      <c r="S109">
        <f>HYPERLINK("https://klasma.github.io/Logging_2303/artfynd/A 43960-2023 artfynd.xlsx", "A 43960-2023")</f>
        <v/>
      </c>
      <c r="T109">
        <f>HYPERLINK("https://klasma.github.io/Logging_2303/kartor/A 43960-2023 karta.png", "A 43960-2023")</f>
        <v/>
      </c>
      <c r="V109">
        <f>HYPERLINK("https://klasma.github.io/Logging_2303/klagomål/A 43960-2023 FSC-klagomål.docx", "A 43960-2023")</f>
        <v/>
      </c>
      <c r="W109">
        <f>HYPERLINK("https://klasma.github.io/Logging_2303/klagomålsmail/A 43960-2023 FSC-klagomål mail.docx", "A 43960-2023")</f>
        <v/>
      </c>
      <c r="X109">
        <f>HYPERLINK("https://klasma.github.io/Logging_2303/tillsyn/A 43960-2023 tillsynsbegäran.docx", "A 43960-2023")</f>
        <v/>
      </c>
      <c r="Y109">
        <f>HYPERLINK("https://klasma.github.io/Logging_2303/tillsynsmail/A 43960-2023 tillsynsbegäran mail.docx", "A 43960-2023")</f>
        <v/>
      </c>
    </row>
    <row r="110" ht="15" customHeight="1">
      <c r="A110" t="inlineStr">
        <is>
          <t>A 30483-2024</t>
        </is>
      </c>
      <c r="B110" s="1" t="n">
        <v>45491</v>
      </c>
      <c r="C110" s="1" t="n">
        <v>46072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Dvärgbägarlav
Järpe
Kolflarnlav
Vedskivlav</t>
        </is>
      </c>
      <c r="S110">
        <f>HYPERLINK("https://klasma.github.io/Logging_2303/artfynd/A 30483-2024 artfynd.xlsx", "A 30483-2024")</f>
        <v/>
      </c>
      <c r="T110">
        <f>HYPERLINK("https://klasma.github.io/Logging_2303/kartor/A 30483-2024 karta.png", "A 30483-2024")</f>
        <v/>
      </c>
      <c r="V110">
        <f>HYPERLINK("https://klasma.github.io/Logging_2303/klagomål/A 30483-2024 FSC-klagomål.docx", "A 30483-2024")</f>
        <v/>
      </c>
      <c r="W110">
        <f>HYPERLINK("https://klasma.github.io/Logging_2303/klagomålsmail/A 30483-2024 FSC-klagomål mail.docx", "A 30483-2024")</f>
        <v/>
      </c>
      <c r="X110">
        <f>HYPERLINK("https://klasma.github.io/Logging_2303/tillsyn/A 30483-2024 tillsynsbegäran.docx", "A 30483-2024")</f>
        <v/>
      </c>
      <c r="Y110">
        <f>HYPERLINK("https://klasma.github.io/Logging_2303/tillsynsmail/A 30483-2024 tillsynsbegäran mail.docx", "A 30483-2024")</f>
        <v/>
      </c>
      <c r="Z110">
        <f>HYPERLINK("https://klasma.github.io/Logging_2303/fåglar/A 30483-2024 prioriterade fågelarter.docx", "A 30483-2024")</f>
        <v/>
      </c>
    </row>
    <row r="111" ht="15" customHeight="1">
      <c r="A111" t="inlineStr">
        <is>
          <t>A 23931-2024</t>
        </is>
      </c>
      <c r="B111" s="1" t="n">
        <v>45455.96195601852</v>
      </c>
      <c r="C111" s="1" t="n">
        <v>46072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4</v>
      </c>
      <c r="H111" t="n">
        <v>1</v>
      </c>
      <c r="I111" t="n">
        <v>0</v>
      </c>
      <c r="J111" t="n">
        <v>3</v>
      </c>
      <c r="K111" t="n">
        <v>1</v>
      </c>
      <c r="L111" t="n">
        <v>0</v>
      </c>
      <c r="M111" t="n">
        <v>0</v>
      </c>
      <c r="N111" t="n">
        <v>0</v>
      </c>
      <c r="O111" t="n">
        <v>4</v>
      </c>
      <c r="P111" t="n">
        <v>1</v>
      </c>
      <c r="Q111" t="n">
        <v>4</v>
      </c>
      <c r="R111" s="2" t="inlineStr">
        <is>
          <t>Knärot
Garnlav
Lunglav
Ullticka</t>
        </is>
      </c>
      <c r="S111">
        <f>HYPERLINK("https://klasma.github.io/Logging_2303/artfynd/A 23931-2024 artfynd.xlsx", "A 23931-2024")</f>
        <v/>
      </c>
      <c r="T111">
        <f>HYPERLINK("https://klasma.github.io/Logging_2303/kartor/A 23931-2024 karta.png", "A 23931-2024")</f>
        <v/>
      </c>
      <c r="U111">
        <f>HYPERLINK("https://klasma.github.io/Logging_2303/knärot/A 23931-2024 karta knärot.png", "A 23931-2024")</f>
        <v/>
      </c>
      <c r="V111">
        <f>HYPERLINK("https://klasma.github.io/Logging_2303/klagomål/A 23931-2024 FSC-klagomål.docx", "A 23931-2024")</f>
        <v/>
      </c>
      <c r="W111">
        <f>HYPERLINK("https://klasma.github.io/Logging_2303/klagomålsmail/A 23931-2024 FSC-klagomål mail.docx", "A 23931-2024")</f>
        <v/>
      </c>
      <c r="X111">
        <f>HYPERLINK("https://klasma.github.io/Logging_2303/tillsyn/A 23931-2024 tillsynsbegäran.docx", "A 23931-2024")</f>
        <v/>
      </c>
      <c r="Y111">
        <f>HYPERLINK("https://klasma.github.io/Logging_2303/tillsynsmail/A 23931-2024 tillsynsbegäran mail.docx", "A 23931-2024")</f>
        <v/>
      </c>
    </row>
    <row r="112" ht="15" customHeight="1">
      <c r="A112" t="inlineStr">
        <is>
          <t>A 32067-2024</t>
        </is>
      </c>
      <c r="B112" s="1" t="n">
        <v>45510</v>
      </c>
      <c r="C112" s="1" t="n">
        <v>46072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4.1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Vedflikmossa
Vedtrappmossa
Stor aspticka
Vedticka</t>
        </is>
      </c>
      <c r="S112">
        <f>HYPERLINK("https://klasma.github.io/Logging_2303/artfynd/A 32067-2024 artfynd.xlsx", "A 32067-2024")</f>
        <v/>
      </c>
      <c r="T112">
        <f>HYPERLINK("https://klasma.github.io/Logging_2303/kartor/A 32067-2024 karta.png", "A 32067-2024")</f>
        <v/>
      </c>
      <c r="U112">
        <f>HYPERLINK("https://klasma.github.io/Logging_2303/knärot/A 32067-2024 karta knärot.png", "A 32067-2024")</f>
        <v/>
      </c>
      <c r="V112">
        <f>HYPERLINK("https://klasma.github.io/Logging_2303/klagomål/A 32067-2024 FSC-klagomål.docx", "A 32067-2024")</f>
        <v/>
      </c>
      <c r="W112">
        <f>HYPERLINK("https://klasma.github.io/Logging_2303/klagomålsmail/A 32067-2024 FSC-klagomål mail.docx", "A 32067-2024")</f>
        <v/>
      </c>
      <c r="X112">
        <f>HYPERLINK("https://klasma.github.io/Logging_2303/tillsyn/A 32067-2024 tillsynsbegäran.docx", "A 32067-2024")</f>
        <v/>
      </c>
      <c r="Y112">
        <f>HYPERLINK("https://klasma.github.io/Logging_2303/tillsynsmail/A 32067-2024 tillsynsbegäran mail.docx", "A 32067-2024")</f>
        <v/>
      </c>
    </row>
    <row r="113" ht="15" customHeight="1">
      <c r="A113" t="inlineStr">
        <is>
          <t>A 30465-2024</t>
        </is>
      </c>
      <c r="B113" s="1" t="n">
        <v>45491</v>
      </c>
      <c r="C113" s="1" t="n">
        <v>46072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3.7</v>
      </c>
      <c r="H113" t="n">
        <v>1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Granticka
Tretåig hackspett
Ullticka
Violmussling</t>
        </is>
      </c>
      <c r="S113">
        <f>HYPERLINK("https://klasma.github.io/Logging_2303/artfynd/A 30465-2024 artfynd.xlsx", "A 30465-2024")</f>
        <v/>
      </c>
      <c r="T113">
        <f>HYPERLINK("https://klasma.github.io/Logging_2303/kartor/A 30465-2024 karta.png", "A 30465-2024")</f>
        <v/>
      </c>
      <c r="V113">
        <f>HYPERLINK("https://klasma.github.io/Logging_2303/klagomål/A 30465-2024 FSC-klagomål.docx", "A 30465-2024")</f>
        <v/>
      </c>
      <c r="W113">
        <f>HYPERLINK("https://klasma.github.io/Logging_2303/klagomålsmail/A 30465-2024 FSC-klagomål mail.docx", "A 30465-2024")</f>
        <v/>
      </c>
      <c r="X113">
        <f>HYPERLINK("https://klasma.github.io/Logging_2303/tillsyn/A 30465-2024 tillsynsbegäran.docx", "A 30465-2024")</f>
        <v/>
      </c>
      <c r="Y113">
        <f>HYPERLINK("https://klasma.github.io/Logging_2303/tillsynsmail/A 30465-2024 tillsynsbegäran mail.docx", "A 30465-2024")</f>
        <v/>
      </c>
      <c r="Z113">
        <f>HYPERLINK("https://klasma.github.io/Logging_2303/fåglar/A 30465-2024 prioriterade fågelarter.docx", "A 30465-2024")</f>
        <v/>
      </c>
    </row>
    <row r="114" ht="15" customHeight="1">
      <c r="A114" t="inlineStr">
        <is>
          <t>A 52168-2025</t>
        </is>
      </c>
      <c r="B114" s="1" t="n">
        <v>45953.365625</v>
      </c>
      <c r="C114" s="1" t="n">
        <v>46072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19.5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Vitgrynig nållav
Källmossa</t>
        </is>
      </c>
      <c r="S114">
        <f>HYPERLINK("https://klasma.github.io/Logging_2303/artfynd/A 52168-2025 artfynd.xlsx", "A 52168-2025")</f>
        <v/>
      </c>
      <c r="T114">
        <f>HYPERLINK("https://klasma.github.io/Logging_2303/kartor/A 52168-2025 karta.png", "A 52168-2025")</f>
        <v/>
      </c>
      <c r="V114">
        <f>HYPERLINK("https://klasma.github.io/Logging_2303/klagomål/A 52168-2025 FSC-klagomål.docx", "A 52168-2025")</f>
        <v/>
      </c>
      <c r="W114">
        <f>HYPERLINK("https://klasma.github.io/Logging_2303/klagomålsmail/A 52168-2025 FSC-klagomål mail.docx", "A 52168-2025")</f>
        <v/>
      </c>
      <c r="X114">
        <f>HYPERLINK("https://klasma.github.io/Logging_2303/tillsyn/A 52168-2025 tillsynsbegäran.docx", "A 52168-2025")</f>
        <v/>
      </c>
      <c r="Y114">
        <f>HYPERLINK("https://klasma.github.io/Logging_2303/tillsynsmail/A 52168-2025 tillsynsbegäran mail.docx", "A 52168-2025")</f>
        <v/>
      </c>
    </row>
    <row r="115" ht="15" customHeight="1">
      <c r="A115" t="inlineStr">
        <is>
          <t>A 15836-2024</t>
        </is>
      </c>
      <c r="B115" s="1" t="n">
        <v>45404</v>
      </c>
      <c r="C115" s="1" t="n">
        <v>46072</v>
      </c>
      <c r="D115" t="inlineStr">
        <is>
          <t>JÄMTLANDS LÄN</t>
        </is>
      </c>
      <c r="E115" t="inlineStr">
        <is>
          <t>RAGUNDA</t>
        </is>
      </c>
      <c r="F115" t="inlineStr">
        <is>
          <t>Kommuner</t>
        </is>
      </c>
      <c r="G115" t="n">
        <v>3.1</v>
      </c>
      <c r="H115" t="n">
        <v>0</v>
      </c>
      <c r="I115" t="n">
        <v>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Trolldruvemätare
Lunglav
Stor aspticka
Svart trolldruva</t>
        </is>
      </c>
      <c r="S115">
        <f>HYPERLINK("https://klasma.github.io/Logging_2303/artfynd/A 15836-2024 artfynd.xlsx", "A 15836-2024")</f>
        <v/>
      </c>
      <c r="T115">
        <f>HYPERLINK("https://klasma.github.io/Logging_2303/kartor/A 15836-2024 karta.png", "A 15836-2024")</f>
        <v/>
      </c>
      <c r="V115">
        <f>HYPERLINK("https://klasma.github.io/Logging_2303/klagomål/A 15836-2024 FSC-klagomål.docx", "A 15836-2024")</f>
        <v/>
      </c>
      <c r="W115">
        <f>HYPERLINK("https://klasma.github.io/Logging_2303/klagomålsmail/A 15836-2024 FSC-klagomål mail.docx", "A 15836-2024")</f>
        <v/>
      </c>
      <c r="X115">
        <f>HYPERLINK("https://klasma.github.io/Logging_2303/tillsyn/A 15836-2024 tillsynsbegäran.docx", "A 15836-2024")</f>
        <v/>
      </c>
      <c r="Y115">
        <f>HYPERLINK("https://klasma.github.io/Logging_2303/tillsynsmail/A 15836-2024 tillsynsbegäran mail.docx", "A 15836-2024")</f>
        <v/>
      </c>
    </row>
    <row r="116" ht="15" customHeight="1">
      <c r="A116" t="inlineStr">
        <is>
          <t>A 3809-2026</t>
        </is>
      </c>
      <c r="B116" s="1" t="n">
        <v>46043.58364583334</v>
      </c>
      <c r="C116" s="1" t="n">
        <v>46072</v>
      </c>
      <c r="D116" t="inlineStr">
        <is>
          <t>JÄMTLANDS LÄN</t>
        </is>
      </c>
      <c r="E116" t="inlineStr">
        <is>
          <t>RAGUNDA</t>
        </is>
      </c>
      <c r="G116" t="n">
        <v>28.6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Vitgrynig nållav</t>
        </is>
      </c>
      <c r="S116">
        <f>HYPERLINK("https://klasma.github.io/Logging_2303/artfynd/A 3809-2026 artfynd.xlsx", "A 3809-2026")</f>
        <v/>
      </c>
      <c r="T116">
        <f>HYPERLINK("https://klasma.github.io/Logging_2303/kartor/A 3809-2026 karta.png", "A 3809-2026")</f>
        <v/>
      </c>
      <c r="U116">
        <f>HYPERLINK("https://klasma.github.io/Logging_2303/knärot/A 3809-2026 karta knärot.png", "A 3809-2026")</f>
        <v/>
      </c>
      <c r="V116">
        <f>HYPERLINK("https://klasma.github.io/Logging_2303/klagomål/A 3809-2026 FSC-klagomål.docx", "A 3809-2026")</f>
        <v/>
      </c>
      <c r="W116">
        <f>HYPERLINK("https://klasma.github.io/Logging_2303/klagomålsmail/A 3809-2026 FSC-klagomål mail.docx", "A 3809-2026")</f>
        <v/>
      </c>
      <c r="X116">
        <f>HYPERLINK("https://klasma.github.io/Logging_2303/tillsyn/A 3809-2026 tillsynsbegäran.docx", "A 3809-2026")</f>
        <v/>
      </c>
      <c r="Y116">
        <f>HYPERLINK("https://klasma.github.io/Logging_2303/tillsynsmail/A 3809-2026 tillsynsbegäran mail.docx", "A 3809-2026")</f>
        <v/>
      </c>
    </row>
    <row r="117" ht="15" customHeight="1">
      <c r="A117" t="inlineStr">
        <is>
          <t>A 50342-2025</t>
        </is>
      </c>
      <c r="B117" s="1" t="n">
        <v>45944.53186342592</v>
      </c>
      <c r="C117" s="1" t="n">
        <v>46072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20.7</v>
      </c>
      <c r="H117" t="n">
        <v>1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Garnlav
Granticka
Tretåig hackspett
Trådticka</t>
        </is>
      </c>
      <c r="S117">
        <f>HYPERLINK("https://klasma.github.io/Logging_2303/artfynd/A 50342-2025 artfynd.xlsx", "A 50342-2025")</f>
        <v/>
      </c>
      <c r="T117">
        <f>HYPERLINK("https://klasma.github.io/Logging_2303/kartor/A 50342-2025 karta.png", "A 50342-2025")</f>
        <v/>
      </c>
      <c r="V117">
        <f>HYPERLINK("https://klasma.github.io/Logging_2303/klagomål/A 50342-2025 FSC-klagomål.docx", "A 50342-2025")</f>
        <v/>
      </c>
      <c r="W117">
        <f>HYPERLINK("https://klasma.github.io/Logging_2303/klagomålsmail/A 50342-2025 FSC-klagomål mail.docx", "A 50342-2025")</f>
        <v/>
      </c>
      <c r="X117">
        <f>HYPERLINK("https://klasma.github.io/Logging_2303/tillsyn/A 50342-2025 tillsynsbegäran.docx", "A 50342-2025")</f>
        <v/>
      </c>
      <c r="Y117">
        <f>HYPERLINK("https://klasma.github.io/Logging_2303/tillsynsmail/A 50342-2025 tillsynsbegäran mail.docx", "A 50342-2025")</f>
        <v/>
      </c>
      <c r="Z117">
        <f>HYPERLINK("https://klasma.github.io/Logging_2303/fåglar/A 50342-2025 prioriterade fågelarter.docx", "A 50342-2025")</f>
        <v/>
      </c>
    </row>
    <row r="118" ht="15" customHeight="1">
      <c r="A118" t="inlineStr">
        <is>
          <t>A 52644-2024</t>
        </is>
      </c>
      <c r="B118" s="1" t="n">
        <v>45610.34415509259</v>
      </c>
      <c r="C118" s="1" t="n">
        <v>46072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6.6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Doftticka
Gammelgransskål
Lunglav
Guckusko</t>
        </is>
      </c>
      <c r="S118">
        <f>HYPERLINK("https://klasma.github.io/Logging_2303/artfynd/A 52644-2024 artfynd.xlsx", "A 52644-2024")</f>
        <v/>
      </c>
      <c r="T118">
        <f>HYPERLINK("https://klasma.github.io/Logging_2303/kartor/A 52644-2024 karta.png", "A 52644-2024")</f>
        <v/>
      </c>
      <c r="V118">
        <f>HYPERLINK("https://klasma.github.io/Logging_2303/klagomål/A 52644-2024 FSC-klagomål.docx", "A 52644-2024")</f>
        <v/>
      </c>
      <c r="W118">
        <f>HYPERLINK("https://klasma.github.io/Logging_2303/klagomålsmail/A 52644-2024 FSC-klagomål mail.docx", "A 52644-2024")</f>
        <v/>
      </c>
      <c r="X118">
        <f>HYPERLINK("https://klasma.github.io/Logging_2303/tillsyn/A 52644-2024 tillsynsbegäran.docx", "A 52644-2024")</f>
        <v/>
      </c>
      <c r="Y118">
        <f>HYPERLINK("https://klasma.github.io/Logging_2303/tillsynsmail/A 52644-2024 tillsynsbegäran mail.docx", "A 52644-2024")</f>
        <v/>
      </c>
    </row>
    <row r="119" ht="15" customHeight="1">
      <c r="A119" t="inlineStr">
        <is>
          <t>A 19401-2025</t>
        </is>
      </c>
      <c r="B119" s="1" t="n">
        <v>45769.67767361111</v>
      </c>
      <c r="C119" s="1" t="n">
        <v>46072</v>
      </c>
      <c r="D119" t="inlineStr">
        <is>
          <t>JÄMTLANDS LÄN</t>
        </is>
      </c>
      <c r="E119" t="inlineStr">
        <is>
          <t>RAGUNDA</t>
        </is>
      </c>
      <c r="F119" t="inlineStr">
        <is>
          <t>SCA</t>
        </is>
      </c>
      <c r="G119" t="n">
        <v>4.3</v>
      </c>
      <c r="H119" t="n">
        <v>1</v>
      </c>
      <c r="I119" t="n">
        <v>0</v>
      </c>
      <c r="J119" t="n">
        <v>2</v>
      </c>
      <c r="K119" t="n">
        <v>2</v>
      </c>
      <c r="L119" t="n">
        <v>0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Knärot
Rynkskinn
Rosenticka
Vitgrynig nållav</t>
        </is>
      </c>
      <c r="S119">
        <f>HYPERLINK("https://klasma.github.io/Logging_2303/artfynd/A 19401-2025 artfynd.xlsx", "A 19401-2025")</f>
        <v/>
      </c>
      <c r="T119">
        <f>HYPERLINK("https://klasma.github.io/Logging_2303/kartor/A 19401-2025 karta.png", "A 19401-2025")</f>
        <v/>
      </c>
      <c r="U119">
        <f>HYPERLINK("https://klasma.github.io/Logging_2303/knärot/A 19401-2025 karta knärot.png", "A 19401-2025")</f>
        <v/>
      </c>
      <c r="V119">
        <f>HYPERLINK("https://klasma.github.io/Logging_2303/klagomål/A 19401-2025 FSC-klagomål.docx", "A 19401-2025")</f>
        <v/>
      </c>
      <c r="W119">
        <f>HYPERLINK("https://klasma.github.io/Logging_2303/klagomålsmail/A 19401-2025 FSC-klagomål mail.docx", "A 19401-2025")</f>
        <v/>
      </c>
      <c r="X119">
        <f>HYPERLINK("https://klasma.github.io/Logging_2303/tillsyn/A 19401-2025 tillsynsbegäran.docx", "A 19401-2025")</f>
        <v/>
      </c>
      <c r="Y119">
        <f>HYPERLINK("https://klasma.github.io/Logging_2303/tillsynsmail/A 19401-2025 tillsynsbegäran mail.docx", "A 19401-2025")</f>
        <v/>
      </c>
    </row>
    <row r="120" ht="15" customHeight="1">
      <c r="A120" t="inlineStr">
        <is>
          <t>A 17092-2022</t>
        </is>
      </c>
      <c r="B120" s="1" t="n">
        <v>44677</v>
      </c>
      <c r="C120" s="1" t="n">
        <v>46072</v>
      </c>
      <c r="D120" t="inlineStr">
        <is>
          <t>JÄMTLANDS LÄN</t>
        </is>
      </c>
      <c r="E120" t="inlineStr">
        <is>
          <t>RAGUNDA</t>
        </is>
      </c>
      <c r="G120" t="n">
        <v>21.2</v>
      </c>
      <c r="H120" t="n">
        <v>1</v>
      </c>
      <c r="I120" t="n">
        <v>0</v>
      </c>
      <c r="J120" t="n">
        <v>3</v>
      </c>
      <c r="K120" t="n">
        <v>1</v>
      </c>
      <c r="L120" t="n">
        <v>0</v>
      </c>
      <c r="M120" t="n">
        <v>0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Knärot
Garnlav
Lunglav
Ullticka</t>
        </is>
      </c>
      <c r="S120">
        <f>HYPERLINK("https://klasma.github.io/Logging_2303/artfynd/A 17092-2022 artfynd.xlsx", "A 17092-2022")</f>
        <v/>
      </c>
      <c r="T120">
        <f>HYPERLINK("https://klasma.github.io/Logging_2303/kartor/A 17092-2022 karta.png", "A 17092-2022")</f>
        <v/>
      </c>
      <c r="U120">
        <f>HYPERLINK("https://klasma.github.io/Logging_2303/knärot/A 17092-2022 karta knärot.png", "A 17092-2022")</f>
        <v/>
      </c>
      <c r="V120">
        <f>HYPERLINK("https://klasma.github.io/Logging_2303/klagomål/A 17092-2022 FSC-klagomål.docx", "A 17092-2022")</f>
        <v/>
      </c>
      <c r="W120">
        <f>HYPERLINK("https://klasma.github.io/Logging_2303/klagomålsmail/A 17092-2022 FSC-klagomål mail.docx", "A 17092-2022")</f>
        <v/>
      </c>
      <c r="X120">
        <f>HYPERLINK("https://klasma.github.io/Logging_2303/tillsyn/A 17092-2022 tillsynsbegäran.docx", "A 17092-2022")</f>
        <v/>
      </c>
      <c r="Y120">
        <f>HYPERLINK("https://klasma.github.io/Logging_2303/tillsynsmail/A 17092-2022 tillsynsbegäran mail.docx", "A 17092-2022")</f>
        <v/>
      </c>
    </row>
    <row r="121" ht="15" customHeight="1">
      <c r="A121" t="inlineStr">
        <is>
          <t>A 21372-2025</t>
        </is>
      </c>
      <c r="B121" s="1" t="n">
        <v>45782.44871527778</v>
      </c>
      <c r="C121" s="1" t="n">
        <v>46072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2.7</v>
      </c>
      <c r="H121" t="n">
        <v>1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Garnlav
Lunglav
Stuplav
Tjäder</t>
        </is>
      </c>
      <c r="S121">
        <f>HYPERLINK("https://klasma.github.io/Logging_2303/artfynd/A 21372-2025 artfynd.xlsx", "A 21372-2025")</f>
        <v/>
      </c>
      <c r="T121">
        <f>HYPERLINK("https://klasma.github.io/Logging_2303/kartor/A 21372-2025 karta.png", "A 21372-2025")</f>
        <v/>
      </c>
      <c r="V121">
        <f>HYPERLINK("https://klasma.github.io/Logging_2303/klagomål/A 21372-2025 FSC-klagomål.docx", "A 21372-2025")</f>
        <v/>
      </c>
      <c r="W121">
        <f>HYPERLINK("https://klasma.github.io/Logging_2303/klagomålsmail/A 21372-2025 FSC-klagomål mail.docx", "A 21372-2025")</f>
        <v/>
      </c>
      <c r="X121">
        <f>HYPERLINK("https://klasma.github.io/Logging_2303/tillsyn/A 21372-2025 tillsynsbegäran.docx", "A 21372-2025")</f>
        <v/>
      </c>
      <c r="Y121">
        <f>HYPERLINK("https://klasma.github.io/Logging_2303/tillsynsmail/A 21372-2025 tillsynsbegäran mail.docx", "A 21372-2025")</f>
        <v/>
      </c>
      <c r="Z121">
        <f>HYPERLINK("https://klasma.github.io/Logging_2303/fåglar/A 21372-2025 prioriterade fågelarter.docx", "A 21372-2025")</f>
        <v/>
      </c>
    </row>
    <row r="122" ht="15" customHeight="1">
      <c r="A122" t="inlineStr">
        <is>
          <t>A 48052-2022</t>
        </is>
      </c>
      <c r="B122" s="1" t="n">
        <v>44855</v>
      </c>
      <c r="C122" s="1" t="n">
        <v>46072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8.6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Lunglav
Ullticka
Stuplav</t>
        </is>
      </c>
      <c r="S122">
        <f>HYPERLINK("https://klasma.github.io/Logging_2303/artfynd/A 48052-2022 artfynd.xlsx", "A 48052-2022")</f>
        <v/>
      </c>
      <c r="T122">
        <f>HYPERLINK("https://klasma.github.io/Logging_2303/kartor/A 48052-2022 karta.png", "A 48052-2022")</f>
        <v/>
      </c>
      <c r="V122">
        <f>HYPERLINK("https://klasma.github.io/Logging_2303/klagomål/A 48052-2022 FSC-klagomål.docx", "A 48052-2022")</f>
        <v/>
      </c>
      <c r="W122">
        <f>HYPERLINK("https://klasma.github.io/Logging_2303/klagomålsmail/A 48052-2022 FSC-klagomål mail.docx", "A 48052-2022")</f>
        <v/>
      </c>
      <c r="X122">
        <f>HYPERLINK("https://klasma.github.io/Logging_2303/tillsyn/A 48052-2022 tillsynsbegäran.docx", "A 48052-2022")</f>
        <v/>
      </c>
      <c r="Y122">
        <f>HYPERLINK("https://klasma.github.io/Logging_2303/tillsynsmail/A 48052-2022 tillsynsbegäran mail.docx", "A 48052-2022")</f>
        <v/>
      </c>
    </row>
    <row r="123" ht="15" customHeight="1">
      <c r="A123" t="inlineStr">
        <is>
          <t>A 31727-2021</t>
        </is>
      </c>
      <c r="B123" s="1" t="n">
        <v>44369.92025462963</v>
      </c>
      <c r="C123" s="1" t="n">
        <v>46072</v>
      </c>
      <c r="D123" t="inlineStr">
        <is>
          <t>JÄMTLANDS LÄN</t>
        </is>
      </c>
      <c r="E123" t="inlineStr">
        <is>
          <t>RAGUNDA</t>
        </is>
      </c>
      <c r="G123" t="n">
        <v>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Luddlav</t>
        </is>
      </c>
      <c r="S123">
        <f>HYPERLINK("https://klasma.github.io/Logging_2303/artfynd/A 31727-2021 artfynd.xlsx", "A 31727-2021")</f>
        <v/>
      </c>
      <c r="T123">
        <f>HYPERLINK("https://klasma.github.io/Logging_2303/kartor/A 31727-2021 karta.png", "A 31727-2021")</f>
        <v/>
      </c>
      <c r="V123">
        <f>HYPERLINK("https://klasma.github.io/Logging_2303/klagomål/A 31727-2021 FSC-klagomål.docx", "A 31727-2021")</f>
        <v/>
      </c>
      <c r="W123">
        <f>HYPERLINK("https://klasma.github.io/Logging_2303/klagomålsmail/A 31727-2021 FSC-klagomål mail.docx", "A 31727-2021")</f>
        <v/>
      </c>
      <c r="X123">
        <f>HYPERLINK("https://klasma.github.io/Logging_2303/tillsyn/A 31727-2021 tillsynsbegäran.docx", "A 31727-2021")</f>
        <v/>
      </c>
      <c r="Y123">
        <f>HYPERLINK("https://klasma.github.io/Logging_2303/tillsynsmail/A 31727-2021 tillsynsbegäran mail.docx", "A 31727-2021")</f>
        <v/>
      </c>
    </row>
    <row r="124" ht="15" customHeight="1">
      <c r="A124" t="inlineStr">
        <is>
          <t>A 58368-2024</t>
        </is>
      </c>
      <c r="B124" s="1" t="n">
        <v>45632.69822916666</v>
      </c>
      <c r="C124" s="1" t="n">
        <v>46072</v>
      </c>
      <c r="D124" t="inlineStr">
        <is>
          <t>JÄMTLANDS LÄN</t>
        </is>
      </c>
      <c r="E124" t="inlineStr">
        <is>
          <t>RAGUNDA</t>
        </is>
      </c>
      <c r="F124" t="inlineStr">
        <is>
          <t>SCA</t>
        </is>
      </c>
      <c r="G124" t="n">
        <v>4.1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Järpe
Lunglav
Tretåig hackspett</t>
        </is>
      </c>
      <c r="S124">
        <f>HYPERLINK("https://klasma.github.io/Logging_2303/artfynd/A 58368-2024 artfynd.xlsx", "A 58368-2024")</f>
        <v/>
      </c>
      <c r="T124">
        <f>HYPERLINK("https://klasma.github.io/Logging_2303/kartor/A 58368-2024 karta.png", "A 58368-2024")</f>
        <v/>
      </c>
      <c r="V124">
        <f>HYPERLINK("https://klasma.github.io/Logging_2303/klagomål/A 58368-2024 FSC-klagomål.docx", "A 58368-2024")</f>
        <v/>
      </c>
      <c r="W124">
        <f>HYPERLINK("https://klasma.github.io/Logging_2303/klagomålsmail/A 58368-2024 FSC-klagomål mail.docx", "A 58368-2024")</f>
        <v/>
      </c>
      <c r="X124">
        <f>HYPERLINK("https://klasma.github.io/Logging_2303/tillsyn/A 58368-2024 tillsynsbegäran.docx", "A 58368-2024")</f>
        <v/>
      </c>
      <c r="Y124">
        <f>HYPERLINK("https://klasma.github.io/Logging_2303/tillsynsmail/A 58368-2024 tillsynsbegäran mail.docx", "A 58368-2024")</f>
        <v/>
      </c>
      <c r="Z124">
        <f>HYPERLINK("https://klasma.github.io/Logging_2303/fåglar/A 58368-2024 prioriterade fågelarter.docx", "A 58368-2024")</f>
        <v/>
      </c>
    </row>
    <row r="125" ht="15" customHeight="1">
      <c r="A125" t="inlineStr">
        <is>
          <t>A 18616-2024</t>
        </is>
      </c>
      <c r="B125" s="1" t="n">
        <v>45425.96285879629</v>
      </c>
      <c r="C125" s="1" t="n">
        <v>46072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3.4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Orange taggsvamp
Ullticka</t>
        </is>
      </c>
      <c r="S125">
        <f>HYPERLINK("https://klasma.github.io/Logging_2303/artfynd/A 18616-2024 artfynd.xlsx", "A 18616-2024")</f>
        <v/>
      </c>
      <c r="T125">
        <f>HYPERLINK("https://klasma.github.io/Logging_2303/kartor/A 18616-2024 karta.png", "A 18616-2024")</f>
        <v/>
      </c>
      <c r="V125">
        <f>HYPERLINK("https://klasma.github.io/Logging_2303/klagomål/A 18616-2024 FSC-klagomål.docx", "A 18616-2024")</f>
        <v/>
      </c>
      <c r="W125">
        <f>HYPERLINK("https://klasma.github.io/Logging_2303/klagomålsmail/A 18616-2024 FSC-klagomål mail.docx", "A 18616-2024")</f>
        <v/>
      </c>
      <c r="X125">
        <f>HYPERLINK("https://klasma.github.io/Logging_2303/tillsyn/A 18616-2024 tillsynsbegäran.docx", "A 18616-2024")</f>
        <v/>
      </c>
      <c r="Y125">
        <f>HYPERLINK("https://klasma.github.io/Logging_2303/tillsynsmail/A 18616-2024 tillsynsbegäran mail.docx", "A 18616-2024")</f>
        <v/>
      </c>
    </row>
    <row r="126" ht="15" customHeight="1">
      <c r="A126" t="inlineStr">
        <is>
          <t>A 52345-2024</t>
        </is>
      </c>
      <c r="B126" s="1" t="n">
        <v>45609.34412037037</v>
      </c>
      <c r="C126" s="1" t="n">
        <v>46072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10.3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Doftskinn
Koralltaggsvamp
Blåsippa</t>
        </is>
      </c>
      <c r="S126">
        <f>HYPERLINK("https://klasma.github.io/Logging_2303/artfynd/A 52345-2024 artfynd.xlsx", "A 52345-2024")</f>
        <v/>
      </c>
      <c r="T126">
        <f>HYPERLINK("https://klasma.github.io/Logging_2303/kartor/A 52345-2024 karta.png", "A 52345-2024")</f>
        <v/>
      </c>
      <c r="V126">
        <f>HYPERLINK("https://klasma.github.io/Logging_2303/klagomål/A 52345-2024 FSC-klagomål.docx", "A 52345-2024")</f>
        <v/>
      </c>
      <c r="W126">
        <f>HYPERLINK("https://klasma.github.io/Logging_2303/klagomålsmail/A 52345-2024 FSC-klagomål mail.docx", "A 52345-2024")</f>
        <v/>
      </c>
      <c r="X126">
        <f>HYPERLINK("https://klasma.github.io/Logging_2303/tillsyn/A 52345-2024 tillsynsbegäran.docx", "A 52345-2024")</f>
        <v/>
      </c>
      <c r="Y126">
        <f>HYPERLINK("https://klasma.github.io/Logging_2303/tillsynsmail/A 52345-2024 tillsynsbegäran mail.docx", "A 52345-2024")</f>
        <v/>
      </c>
    </row>
    <row r="127" ht="15" customHeight="1">
      <c r="A127" t="inlineStr">
        <is>
          <t>A 53022-2022</t>
        </is>
      </c>
      <c r="B127" s="1" t="n">
        <v>44875</v>
      </c>
      <c r="C127" s="1" t="n">
        <v>46072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2.7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Lunglav
Dropptaggsvamp</t>
        </is>
      </c>
      <c r="S127">
        <f>HYPERLINK("https://klasma.github.io/Logging_2303/artfynd/A 53022-2022 artfynd.xlsx", "A 53022-2022")</f>
        <v/>
      </c>
      <c r="T127">
        <f>HYPERLINK("https://klasma.github.io/Logging_2303/kartor/A 53022-2022 karta.png", "A 53022-2022")</f>
        <v/>
      </c>
      <c r="V127">
        <f>HYPERLINK("https://klasma.github.io/Logging_2303/klagomål/A 53022-2022 FSC-klagomål.docx", "A 53022-2022")</f>
        <v/>
      </c>
      <c r="W127">
        <f>HYPERLINK("https://klasma.github.io/Logging_2303/klagomålsmail/A 53022-2022 FSC-klagomål mail.docx", "A 53022-2022")</f>
        <v/>
      </c>
      <c r="X127">
        <f>HYPERLINK("https://klasma.github.io/Logging_2303/tillsyn/A 53022-2022 tillsynsbegäran.docx", "A 53022-2022")</f>
        <v/>
      </c>
      <c r="Y127">
        <f>HYPERLINK("https://klasma.github.io/Logging_2303/tillsynsmail/A 53022-2022 tillsynsbegäran mail.docx", "A 53022-2022")</f>
        <v/>
      </c>
    </row>
    <row r="128" ht="15" customHeight="1">
      <c r="A128" t="inlineStr">
        <is>
          <t>A 25769-2025</t>
        </is>
      </c>
      <c r="B128" s="1" t="n">
        <v>45804.34474537037</v>
      </c>
      <c r="C128" s="1" t="n">
        <v>46072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5.3</v>
      </c>
      <c r="H128" t="n">
        <v>2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Rödvingetrast
Tretåig hackspett</t>
        </is>
      </c>
      <c r="S128">
        <f>HYPERLINK("https://klasma.github.io/Logging_2303/artfynd/A 25769-2025 artfynd.xlsx", "A 25769-2025")</f>
        <v/>
      </c>
      <c r="T128">
        <f>HYPERLINK("https://klasma.github.io/Logging_2303/kartor/A 25769-2025 karta.png", "A 25769-2025")</f>
        <v/>
      </c>
      <c r="V128">
        <f>HYPERLINK("https://klasma.github.io/Logging_2303/klagomål/A 25769-2025 FSC-klagomål.docx", "A 25769-2025")</f>
        <v/>
      </c>
      <c r="W128">
        <f>HYPERLINK("https://klasma.github.io/Logging_2303/klagomålsmail/A 25769-2025 FSC-klagomål mail.docx", "A 25769-2025")</f>
        <v/>
      </c>
      <c r="X128">
        <f>HYPERLINK("https://klasma.github.io/Logging_2303/tillsyn/A 25769-2025 tillsynsbegäran.docx", "A 25769-2025")</f>
        <v/>
      </c>
      <c r="Y128">
        <f>HYPERLINK("https://klasma.github.io/Logging_2303/tillsynsmail/A 25769-2025 tillsynsbegäran mail.docx", "A 25769-2025")</f>
        <v/>
      </c>
      <c r="Z128">
        <f>HYPERLINK("https://klasma.github.io/Logging_2303/fåglar/A 25769-2025 prioriterade fågelarter.docx", "A 25769-2025")</f>
        <v/>
      </c>
    </row>
    <row r="129" ht="15" customHeight="1">
      <c r="A129" t="inlineStr">
        <is>
          <t>A 57667-2025</t>
        </is>
      </c>
      <c r="B129" s="1" t="n">
        <v>45981.42767361111</v>
      </c>
      <c r="C129" s="1" t="n">
        <v>46072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Korallblylav
Luddlav</t>
        </is>
      </c>
      <c r="S129">
        <f>HYPERLINK("https://klasma.github.io/Logging_2303/artfynd/A 57667-2025 artfynd.xlsx", "A 57667-2025")</f>
        <v/>
      </c>
      <c r="T129">
        <f>HYPERLINK("https://klasma.github.io/Logging_2303/kartor/A 57667-2025 karta.png", "A 57667-2025")</f>
        <v/>
      </c>
      <c r="V129">
        <f>HYPERLINK("https://klasma.github.io/Logging_2303/klagomål/A 57667-2025 FSC-klagomål.docx", "A 57667-2025")</f>
        <v/>
      </c>
      <c r="W129">
        <f>HYPERLINK("https://klasma.github.io/Logging_2303/klagomålsmail/A 57667-2025 FSC-klagomål mail.docx", "A 57667-2025")</f>
        <v/>
      </c>
      <c r="X129">
        <f>HYPERLINK("https://klasma.github.io/Logging_2303/tillsyn/A 57667-2025 tillsynsbegäran.docx", "A 57667-2025")</f>
        <v/>
      </c>
      <c r="Y129">
        <f>HYPERLINK("https://klasma.github.io/Logging_2303/tillsynsmail/A 57667-2025 tillsynsbegäran mail.docx", "A 57667-2025")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46072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22571-2025</t>
        </is>
      </c>
      <c r="B131" s="1" t="n">
        <v>45789.36503472222</v>
      </c>
      <c r="C131" s="1" t="n">
        <v>46072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18.2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Garnlav
Tretåig hackspett
Nattviol</t>
        </is>
      </c>
      <c r="S131">
        <f>HYPERLINK("https://klasma.github.io/Logging_2303/artfynd/A 22571-2025 artfynd.xlsx", "A 22571-2025")</f>
        <v/>
      </c>
      <c r="T131">
        <f>HYPERLINK("https://klasma.github.io/Logging_2303/kartor/A 22571-2025 karta.png", "A 22571-2025")</f>
        <v/>
      </c>
      <c r="V131">
        <f>HYPERLINK("https://klasma.github.io/Logging_2303/klagomål/A 22571-2025 FSC-klagomål.docx", "A 22571-2025")</f>
        <v/>
      </c>
      <c r="W131">
        <f>HYPERLINK("https://klasma.github.io/Logging_2303/klagomålsmail/A 22571-2025 FSC-klagomål mail.docx", "A 22571-2025")</f>
        <v/>
      </c>
      <c r="X131">
        <f>HYPERLINK("https://klasma.github.io/Logging_2303/tillsyn/A 22571-2025 tillsynsbegäran.docx", "A 22571-2025")</f>
        <v/>
      </c>
      <c r="Y131">
        <f>HYPERLINK("https://klasma.github.io/Logging_2303/tillsynsmail/A 22571-2025 tillsynsbegäran mail.docx", "A 22571-2025")</f>
        <v/>
      </c>
      <c r="Z131">
        <f>HYPERLINK("https://klasma.github.io/Logging_2303/fåglar/A 22571-2025 prioriterade fågelarter.docx", "A 22571-2025")</f>
        <v/>
      </c>
    </row>
    <row r="132" ht="15" customHeight="1">
      <c r="A132" t="inlineStr">
        <is>
          <t>A 34585-2025</t>
        </is>
      </c>
      <c r="B132" s="1" t="n">
        <v>45847.61498842593</v>
      </c>
      <c r="C132" s="1" t="n">
        <v>46072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Underviol
Blåsippa
Revlummer</t>
        </is>
      </c>
      <c r="S132">
        <f>HYPERLINK("https://klasma.github.io/Logging_2303/artfynd/A 34585-2025 artfynd.xlsx", "A 34585-2025")</f>
        <v/>
      </c>
      <c r="T132">
        <f>HYPERLINK("https://klasma.github.io/Logging_2303/kartor/A 34585-2025 karta.png", "A 34585-2025")</f>
        <v/>
      </c>
      <c r="V132">
        <f>HYPERLINK("https://klasma.github.io/Logging_2303/klagomål/A 34585-2025 FSC-klagomål.docx", "A 34585-2025")</f>
        <v/>
      </c>
      <c r="W132">
        <f>HYPERLINK("https://klasma.github.io/Logging_2303/klagomålsmail/A 34585-2025 FSC-klagomål mail.docx", "A 34585-2025")</f>
        <v/>
      </c>
      <c r="X132">
        <f>HYPERLINK("https://klasma.github.io/Logging_2303/tillsyn/A 34585-2025 tillsynsbegäran.docx", "A 34585-2025")</f>
        <v/>
      </c>
      <c r="Y132">
        <f>HYPERLINK("https://klasma.github.io/Logging_2303/tillsynsmail/A 34585-2025 tillsynsbegäran mail.docx", "A 34585-2025")</f>
        <v/>
      </c>
    </row>
    <row r="133" ht="15" customHeight="1">
      <c r="A133" t="inlineStr">
        <is>
          <t>A 32416-2025</t>
        </is>
      </c>
      <c r="B133" s="1" t="n">
        <v>45838</v>
      </c>
      <c r="C133" s="1" t="n">
        <v>46072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1.1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Underviol
Blåsippa
Revlummer</t>
        </is>
      </c>
      <c r="S133">
        <f>HYPERLINK("https://klasma.github.io/Logging_2303/artfynd/A 32416-2025 artfynd.xlsx", "A 32416-2025")</f>
        <v/>
      </c>
      <c r="T133">
        <f>HYPERLINK("https://klasma.github.io/Logging_2303/kartor/A 32416-2025 karta.png", "A 32416-2025")</f>
        <v/>
      </c>
      <c r="V133">
        <f>HYPERLINK("https://klasma.github.io/Logging_2303/klagomål/A 32416-2025 FSC-klagomål.docx", "A 32416-2025")</f>
        <v/>
      </c>
      <c r="W133">
        <f>HYPERLINK("https://klasma.github.io/Logging_2303/klagomålsmail/A 32416-2025 FSC-klagomål mail.docx", "A 32416-2025")</f>
        <v/>
      </c>
      <c r="X133">
        <f>HYPERLINK("https://klasma.github.io/Logging_2303/tillsyn/A 32416-2025 tillsynsbegäran.docx", "A 32416-2025")</f>
        <v/>
      </c>
      <c r="Y133">
        <f>HYPERLINK("https://klasma.github.io/Logging_2303/tillsynsmail/A 32416-2025 tillsynsbegäran mail.docx", "A 32416-2025")</f>
        <v/>
      </c>
    </row>
    <row r="134" ht="15" customHeight="1">
      <c r="A134" t="inlineStr">
        <is>
          <t>A 28178-2023</t>
        </is>
      </c>
      <c r="B134" s="1" t="n">
        <v>45093</v>
      </c>
      <c r="C134" s="1" t="n">
        <v>46072</v>
      </c>
      <c r="D134" t="inlineStr">
        <is>
          <t>JÄMTLANDS LÄN</t>
        </is>
      </c>
      <c r="E134" t="inlineStr">
        <is>
          <t>RAGUNDA</t>
        </is>
      </c>
      <c r="G134" t="n">
        <v>5.6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Gultoppig fingersvamp
Violettgrå tagellav</t>
        </is>
      </c>
      <c r="S134">
        <f>HYPERLINK("https://klasma.github.io/Logging_2303/artfynd/A 28178-2023 artfynd.xlsx", "A 28178-2023")</f>
        <v/>
      </c>
      <c r="T134">
        <f>HYPERLINK("https://klasma.github.io/Logging_2303/kartor/A 28178-2023 karta.png", "A 28178-2023")</f>
        <v/>
      </c>
      <c r="V134">
        <f>HYPERLINK("https://klasma.github.io/Logging_2303/klagomål/A 28178-2023 FSC-klagomål.docx", "A 28178-2023")</f>
        <v/>
      </c>
      <c r="W134">
        <f>HYPERLINK("https://klasma.github.io/Logging_2303/klagomålsmail/A 28178-2023 FSC-klagomål mail.docx", "A 28178-2023")</f>
        <v/>
      </c>
      <c r="X134">
        <f>HYPERLINK("https://klasma.github.io/Logging_2303/tillsyn/A 28178-2023 tillsynsbegäran.docx", "A 28178-2023")</f>
        <v/>
      </c>
      <c r="Y134">
        <f>HYPERLINK("https://klasma.github.io/Logging_2303/tillsynsmail/A 28178-2023 tillsynsbegäran mail.docx", "A 28178-2023")</f>
        <v/>
      </c>
    </row>
    <row r="135" ht="15" customHeight="1">
      <c r="A135" t="inlineStr">
        <is>
          <t>A 49047-2023</t>
        </is>
      </c>
      <c r="B135" s="1" t="n">
        <v>45209</v>
      </c>
      <c r="C135" s="1" t="n">
        <v>46072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6.9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Lunglav
Rosenticka
Skrovellav</t>
        </is>
      </c>
      <c r="S135">
        <f>HYPERLINK("https://klasma.github.io/Logging_2303/artfynd/A 49047-2023 artfynd.xlsx", "A 49047-2023")</f>
        <v/>
      </c>
      <c r="T135">
        <f>HYPERLINK("https://klasma.github.io/Logging_2303/kartor/A 49047-2023 karta.png", "A 49047-2023")</f>
        <v/>
      </c>
      <c r="V135">
        <f>HYPERLINK("https://klasma.github.io/Logging_2303/klagomål/A 49047-2023 FSC-klagomål.docx", "A 49047-2023")</f>
        <v/>
      </c>
      <c r="W135">
        <f>HYPERLINK("https://klasma.github.io/Logging_2303/klagomålsmail/A 49047-2023 FSC-klagomål mail.docx", "A 49047-2023")</f>
        <v/>
      </c>
      <c r="X135">
        <f>HYPERLINK("https://klasma.github.io/Logging_2303/tillsyn/A 49047-2023 tillsynsbegäran.docx", "A 49047-2023")</f>
        <v/>
      </c>
      <c r="Y135">
        <f>HYPERLINK("https://klasma.github.io/Logging_2303/tillsynsmail/A 49047-2023 tillsynsbegäran mail.docx", "A 49047-2023")</f>
        <v/>
      </c>
    </row>
    <row r="136" ht="15" customHeight="1">
      <c r="A136" t="inlineStr">
        <is>
          <t>A 59179-2025</t>
        </is>
      </c>
      <c r="B136" s="1" t="n">
        <v>45988.57350694444</v>
      </c>
      <c r="C136" s="1" t="n">
        <v>46072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Kolflarnlav
Lunglav</t>
        </is>
      </c>
      <c r="S136">
        <f>HYPERLINK("https://klasma.github.io/Logging_2303/artfynd/A 59179-2025 artfynd.xlsx", "A 59179-2025")</f>
        <v/>
      </c>
      <c r="T136">
        <f>HYPERLINK("https://klasma.github.io/Logging_2303/kartor/A 59179-2025 karta.png", "A 59179-2025")</f>
        <v/>
      </c>
      <c r="V136">
        <f>HYPERLINK("https://klasma.github.io/Logging_2303/klagomål/A 59179-2025 FSC-klagomål.docx", "A 59179-2025")</f>
        <v/>
      </c>
      <c r="W136">
        <f>HYPERLINK("https://klasma.github.io/Logging_2303/klagomålsmail/A 59179-2025 FSC-klagomål mail.docx", "A 59179-2025")</f>
        <v/>
      </c>
      <c r="X136">
        <f>HYPERLINK("https://klasma.github.io/Logging_2303/tillsyn/A 59179-2025 tillsynsbegäran.docx", "A 59179-2025")</f>
        <v/>
      </c>
      <c r="Y136">
        <f>HYPERLINK("https://klasma.github.io/Logging_2303/tillsynsmail/A 59179-2025 tillsynsbegäran mail.docx", "A 59179-2025")</f>
        <v/>
      </c>
    </row>
    <row r="137" ht="15" customHeight="1">
      <c r="A137" t="inlineStr">
        <is>
          <t>A 14814-2024</t>
        </is>
      </c>
      <c r="B137" s="1" t="n">
        <v>45397.95748842593</v>
      </c>
      <c r="C137" s="1" t="n">
        <v>46072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10.5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Rosenticka
Svart trolldruva
Tibast</t>
        </is>
      </c>
      <c r="S137">
        <f>HYPERLINK("https://klasma.github.io/Logging_2303/artfynd/A 14814-2024 artfynd.xlsx", "A 14814-2024")</f>
        <v/>
      </c>
      <c r="T137">
        <f>HYPERLINK("https://klasma.github.io/Logging_2303/kartor/A 14814-2024 karta.png", "A 14814-2024")</f>
        <v/>
      </c>
      <c r="V137">
        <f>HYPERLINK("https://klasma.github.io/Logging_2303/klagomål/A 14814-2024 FSC-klagomål.docx", "A 14814-2024")</f>
        <v/>
      </c>
      <c r="W137">
        <f>HYPERLINK("https://klasma.github.io/Logging_2303/klagomålsmail/A 14814-2024 FSC-klagomål mail.docx", "A 14814-2024")</f>
        <v/>
      </c>
      <c r="X137">
        <f>HYPERLINK("https://klasma.github.io/Logging_2303/tillsyn/A 14814-2024 tillsynsbegäran.docx", "A 14814-2024")</f>
        <v/>
      </c>
      <c r="Y137">
        <f>HYPERLINK("https://klasma.github.io/Logging_2303/tillsynsmail/A 14814-2024 tillsynsbegäran mail.docx", "A 14814-2024")</f>
        <v/>
      </c>
    </row>
    <row r="138" ht="15" customHeight="1">
      <c r="A138" t="inlineStr">
        <is>
          <t>A 33278-2022</t>
        </is>
      </c>
      <c r="B138" s="1" t="n">
        <v>44788</v>
      </c>
      <c r="C138" s="1" t="n">
        <v>46072</v>
      </c>
      <c r="D138" t="inlineStr">
        <is>
          <t>JÄMTLANDS LÄN</t>
        </is>
      </c>
      <c r="E138" t="inlineStr">
        <is>
          <t>RAGUNDA</t>
        </is>
      </c>
      <c r="G138" t="n">
        <v>3.2</v>
      </c>
      <c r="H138" t="n">
        <v>2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Tretåig hackspett
Ullticka</t>
        </is>
      </c>
      <c r="S138">
        <f>HYPERLINK("https://klasma.github.io/Logging_2303/artfynd/A 33278-2022 artfynd.xlsx", "A 33278-2022")</f>
        <v/>
      </c>
      <c r="T138">
        <f>HYPERLINK("https://klasma.github.io/Logging_2303/kartor/A 33278-2022 karta.png", "A 33278-2022")</f>
        <v/>
      </c>
      <c r="U138">
        <f>HYPERLINK("https://klasma.github.io/Logging_2303/knärot/A 33278-2022 karta knärot.png", "A 33278-2022")</f>
        <v/>
      </c>
      <c r="V138">
        <f>HYPERLINK("https://klasma.github.io/Logging_2303/klagomål/A 33278-2022 FSC-klagomål.docx", "A 33278-2022")</f>
        <v/>
      </c>
      <c r="W138">
        <f>HYPERLINK("https://klasma.github.io/Logging_2303/klagomålsmail/A 33278-2022 FSC-klagomål mail.docx", "A 33278-2022")</f>
        <v/>
      </c>
      <c r="X138">
        <f>HYPERLINK("https://klasma.github.io/Logging_2303/tillsyn/A 33278-2022 tillsynsbegäran.docx", "A 33278-2022")</f>
        <v/>
      </c>
      <c r="Y138">
        <f>HYPERLINK("https://klasma.github.io/Logging_2303/tillsynsmail/A 33278-2022 tillsynsbegäran mail.docx", "A 33278-2022")</f>
        <v/>
      </c>
      <c r="Z138">
        <f>HYPERLINK("https://klasma.github.io/Logging_2303/fåglar/A 33278-2022 prioriterade fågelarter.docx", "A 33278-2022")</f>
        <v/>
      </c>
    </row>
    <row r="139" ht="15" customHeight="1">
      <c r="A139" t="inlineStr">
        <is>
          <t>A 7519-2023</t>
        </is>
      </c>
      <c r="B139" s="1" t="n">
        <v>44971</v>
      </c>
      <c r="C139" s="1" t="n">
        <v>46072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3.2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Granticka
Lunglav
Stor aspticka</t>
        </is>
      </c>
      <c r="S139">
        <f>HYPERLINK("https://klasma.github.io/Logging_2303/artfynd/A 7519-2023 artfynd.xlsx", "A 7519-2023")</f>
        <v/>
      </c>
      <c r="T139">
        <f>HYPERLINK("https://klasma.github.io/Logging_2303/kartor/A 7519-2023 karta.png", "A 7519-2023")</f>
        <v/>
      </c>
      <c r="V139">
        <f>HYPERLINK("https://klasma.github.io/Logging_2303/klagomål/A 7519-2023 FSC-klagomål.docx", "A 7519-2023")</f>
        <v/>
      </c>
      <c r="W139">
        <f>HYPERLINK("https://klasma.github.io/Logging_2303/klagomålsmail/A 7519-2023 FSC-klagomål mail.docx", "A 7519-2023")</f>
        <v/>
      </c>
      <c r="X139">
        <f>HYPERLINK("https://klasma.github.io/Logging_2303/tillsyn/A 7519-2023 tillsynsbegäran.docx", "A 7519-2023")</f>
        <v/>
      </c>
      <c r="Y139">
        <f>HYPERLINK("https://klasma.github.io/Logging_2303/tillsynsmail/A 7519-2023 tillsynsbegäran mail.docx", "A 7519-2023")</f>
        <v/>
      </c>
    </row>
    <row r="140" ht="15" customHeight="1">
      <c r="A140" t="inlineStr">
        <is>
          <t>A 61954-2025</t>
        </is>
      </c>
      <c r="B140" s="1" t="n">
        <v>46003.57381944444</v>
      </c>
      <c r="C140" s="1" t="n">
        <v>46072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6.5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Trådticka</t>
        </is>
      </c>
      <c r="S140">
        <f>HYPERLINK("https://klasma.github.io/Logging_2303/artfynd/A 61954-2025 artfynd.xlsx", "A 61954-2025")</f>
        <v/>
      </c>
      <c r="T140">
        <f>HYPERLINK("https://klasma.github.io/Logging_2303/kartor/A 61954-2025 karta.png", "A 61954-2025")</f>
        <v/>
      </c>
      <c r="V140">
        <f>HYPERLINK("https://klasma.github.io/Logging_2303/klagomål/A 61954-2025 FSC-klagomål.docx", "A 61954-2025")</f>
        <v/>
      </c>
      <c r="W140">
        <f>HYPERLINK("https://klasma.github.io/Logging_2303/klagomålsmail/A 61954-2025 FSC-klagomål mail.docx", "A 61954-2025")</f>
        <v/>
      </c>
      <c r="X140">
        <f>HYPERLINK("https://klasma.github.io/Logging_2303/tillsyn/A 61954-2025 tillsynsbegäran.docx", "A 61954-2025")</f>
        <v/>
      </c>
      <c r="Y140">
        <f>HYPERLINK("https://klasma.github.io/Logging_2303/tillsynsmail/A 61954-2025 tillsynsbegäran mail.docx", "A 61954-2025")</f>
        <v/>
      </c>
    </row>
    <row r="141" ht="15" customHeight="1">
      <c r="A141" t="inlineStr">
        <is>
          <t>A 12737-2025</t>
        </is>
      </c>
      <c r="B141" s="1" t="n">
        <v>45733</v>
      </c>
      <c r="C141" s="1" t="n">
        <v>46072</v>
      </c>
      <c r="D141" t="inlineStr">
        <is>
          <t>JÄMTLANDS LÄN</t>
        </is>
      </c>
      <c r="E141" t="inlineStr">
        <is>
          <t>RAGUNDA</t>
        </is>
      </c>
      <c r="G141" t="n">
        <v>16.1</v>
      </c>
      <c r="H141" t="n">
        <v>2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Plattlummer
Skarp dropptaggsvamp</t>
        </is>
      </c>
      <c r="S141">
        <f>HYPERLINK("https://klasma.github.io/Logging_2303/artfynd/A 12737-2025 artfynd.xlsx", "A 12737-2025")</f>
        <v/>
      </c>
      <c r="T141">
        <f>HYPERLINK("https://klasma.github.io/Logging_2303/kartor/A 12737-2025 karta.png", "A 12737-2025")</f>
        <v/>
      </c>
      <c r="U141">
        <f>HYPERLINK("https://klasma.github.io/Logging_2303/knärot/A 12737-2025 karta knärot.png", "A 12737-2025")</f>
        <v/>
      </c>
      <c r="V141">
        <f>HYPERLINK("https://klasma.github.io/Logging_2303/klagomål/A 12737-2025 FSC-klagomål.docx", "A 12737-2025")</f>
        <v/>
      </c>
      <c r="W141">
        <f>HYPERLINK("https://klasma.github.io/Logging_2303/klagomålsmail/A 12737-2025 FSC-klagomål mail.docx", "A 12737-2025")</f>
        <v/>
      </c>
      <c r="X141">
        <f>HYPERLINK("https://klasma.github.io/Logging_2303/tillsyn/A 12737-2025 tillsynsbegäran.docx", "A 12737-2025")</f>
        <v/>
      </c>
      <c r="Y141">
        <f>HYPERLINK("https://klasma.github.io/Logging_2303/tillsynsmail/A 12737-2025 tillsynsbegäran mail.docx", "A 12737-2025")</f>
        <v/>
      </c>
    </row>
    <row r="142" ht="15" customHeight="1">
      <c r="A142" t="inlineStr">
        <is>
          <t>A 5731-2026</t>
        </is>
      </c>
      <c r="B142" s="1" t="n">
        <v>46051.57355324074</v>
      </c>
      <c r="C142" s="1" t="n">
        <v>46072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2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Lavskrika</t>
        </is>
      </c>
      <c r="S142">
        <f>HYPERLINK("https://klasma.github.io/Logging_2303/artfynd/A 5731-2026 artfynd.xlsx", "A 5731-2026")</f>
        <v/>
      </c>
      <c r="T142">
        <f>HYPERLINK("https://klasma.github.io/Logging_2303/kartor/A 5731-2026 karta.png", "A 5731-2026")</f>
        <v/>
      </c>
      <c r="V142">
        <f>HYPERLINK("https://klasma.github.io/Logging_2303/klagomål/A 5731-2026 FSC-klagomål.docx", "A 5731-2026")</f>
        <v/>
      </c>
      <c r="W142">
        <f>HYPERLINK("https://klasma.github.io/Logging_2303/klagomålsmail/A 5731-2026 FSC-klagomål mail.docx", "A 5731-2026")</f>
        <v/>
      </c>
      <c r="X142">
        <f>HYPERLINK("https://klasma.github.io/Logging_2303/tillsyn/A 5731-2026 tillsynsbegäran.docx", "A 5731-2026")</f>
        <v/>
      </c>
      <c r="Y142">
        <f>HYPERLINK("https://klasma.github.io/Logging_2303/tillsynsmail/A 5731-2026 tillsynsbegäran mail.docx", "A 5731-2026")</f>
        <v/>
      </c>
      <c r="Z142">
        <f>HYPERLINK("https://klasma.github.io/Logging_2303/fåglar/A 5731-2026 prioriterade fågelarter.docx", "A 5731-2026")</f>
        <v/>
      </c>
    </row>
    <row r="143" ht="15" customHeight="1">
      <c r="A143" t="inlineStr">
        <is>
          <t>A 30470-2024</t>
        </is>
      </c>
      <c r="B143" s="1" t="n">
        <v>45491</v>
      </c>
      <c r="C143" s="1" t="n">
        <v>46072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1.4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HYPERLINK("https://klasma.github.io/Logging_2303/artfynd/A 30470-2024 artfynd.xlsx", "A 30470-2024")</f>
        <v/>
      </c>
      <c r="T143">
        <f>HYPERLINK("https://klasma.github.io/Logging_2303/kartor/A 30470-2024 karta.png", "A 30470-2024")</f>
        <v/>
      </c>
      <c r="U143">
        <f>HYPERLINK("https://klasma.github.io/Logging_2303/knärot/A 30470-2024 karta knärot.png", "A 30470-2024")</f>
        <v/>
      </c>
      <c r="V143">
        <f>HYPERLINK("https://klasma.github.io/Logging_2303/klagomål/A 30470-2024 FSC-klagomål.docx", "A 30470-2024")</f>
        <v/>
      </c>
      <c r="W143">
        <f>HYPERLINK("https://klasma.github.io/Logging_2303/klagomålsmail/A 30470-2024 FSC-klagomål mail.docx", "A 30470-2024")</f>
        <v/>
      </c>
      <c r="X143">
        <f>HYPERLINK("https://klasma.github.io/Logging_2303/tillsyn/A 30470-2024 tillsynsbegäran.docx", "A 30470-2024")</f>
        <v/>
      </c>
      <c r="Y143">
        <f>HYPERLINK("https://klasma.github.io/Logging_2303/tillsynsmail/A 30470-2024 tillsynsbegäran mail.docx", "A 30470-2024")</f>
        <v/>
      </c>
      <c r="Z143">
        <f>HYPERLINK("https://klasma.github.io/Logging_2303/fåglar/A 30470-2024 prioriterade fågelarter.docx", "A 30470-2024")</f>
        <v/>
      </c>
    </row>
    <row r="144" ht="15" customHeight="1">
      <c r="A144" t="inlineStr">
        <is>
          <t>A 5048-2025</t>
        </is>
      </c>
      <c r="B144" s="1" t="n">
        <v>45691.44769675926</v>
      </c>
      <c r="C144" s="1" t="n">
        <v>46072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1.8</v>
      </c>
      <c r="H144" t="n">
        <v>3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Guckusko
Tvåblad
Fläcknycklar</t>
        </is>
      </c>
      <c r="S144">
        <f>HYPERLINK("https://klasma.github.io/Logging_2303/artfynd/A 5048-2025 artfynd.xlsx", "A 5048-2025")</f>
        <v/>
      </c>
      <c r="T144">
        <f>HYPERLINK("https://klasma.github.io/Logging_2303/kartor/A 5048-2025 karta.png", "A 5048-2025")</f>
        <v/>
      </c>
      <c r="V144">
        <f>HYPERLINK("https://klasma.github.io/Logging_2303/klagomål/A 5048-2025 FSC-klagomål.docx", "A 5048-2025")</f>
        <v/>
      </c>
      <c r="W144">
        <f>HYPERLINK("https://klasma.github.io/Logging_2303/klagomålsmail/A 5048-2025 FSC-klagomål mail.docx", "A 5048-2025")</f>
        <v/>
      </c>
      <c r="X144">
        <f>HYPERLINK("https://klasma.github.io/Logging_2303/tillsyn/A 5048-2025 tillsynsbegäran.docx", "A 5048-2025")</f>
        <v/>
      </c>
      <c r="Y144">
        <f>HYPERLINK("https://klasma.github.io/Logging_2303/tillsynsmail/A 5048-2025 tillsynsbegäran mail.docx", "A 5048-2025")</f>
        <v/>
      </c>
    </row>
    <row r="145" ht="15" customHeight="1">
      <c r="A145" t="inlineStr">
        <is>
          <t>A 57941-2024</t>
        </is>
      </c>
      <c r="B145" s="1" t="n">
        <v>45631</v>
      </c>
      <c r="C145" s="1" t="n">
        <v>46072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4.2</v>
      </c>
      <c r="H145" t="n">
        <v>1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Garnlav
Lunglav
Tretåig hackspett</t>
        </is>
      </c>
      <c r="S145">
        <f>HYPERLINK("https://klasma.github.io/Logging_2303/artfynd/A 57941-2024 artfynd.xlsx", "A 57941-2024")</f>
        <v/>
      </c>
      <c r="T145">
        <f>HYPERLINK("https://klasma.github.io/Logging_2303/kartor/A 57941-2024 karta.png", "A 57941-2024")</f>
        <v/>
      </c>
      <c r="V145">
        <f>HYPERLINK("https://klasma.github.io/Logging_2303/klagomål/A 57941-2024 FSC-klagomål.docx", "A 57941-2024")</f>
        <v/>
      </c>
      <c r="W145">
        <f>HYPERLINK("https://klasma.github.io/Logging_2303/klagomålsmail/A 57941-2024 FSC-klagomål mail.docx", "A 57941-2024")</f>
        <v/>
      </c>
      <c r="X145">
        <f>HYPERLINK("https://klasma.github.io/Logging_2303/tillsyn/A 57941-2024 tillsynsbegäran.docx", "A 57941-2024")</f>
        <v/>
      </c>
      <c r="Y145">
        <f>HYPERLINK("https://klasma.github.io/Logging_2303/tillsynsmail/A 57941-2024 tillsynsbegäran mail.docx", "A 57941-2024")</f>
        <v/>
      </c>
      <c r="Z145">
        <f>HYPERLINK("https://klasma.github.io/Logging_2303/fåglar/A 57941-2024 prioriterade fågelarter.docx", "A 57941-2024")</f>
        <v/>
      </c>
    </row>
    <row r="146" ht="15" customHeight="1">
      <c r="A146" t="inlineStr">
        <is>
          <t>A 61790-2023</t>
        </is>
      </c>
      <c r="B146" s="1" t="n">
        <v>45265</v>
      </c>
      <c r="C146" s="1" t="n">
        <v>46072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6.1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Gammelgransskål
Lunglav
Skrovellav</t>
        </is>
      </c>
      <c r="S146">
        <f>HYPERLINK("https://klasma.github.io/Logging_2303/artfynd/A 61790-2023 artfynd.xlsx", "A 61790-2023")</f>
        <v/>
      </c>
      <c r="T146">
        <f>HYPERLINK("https://klasma.github.io/Logging_2303/kartor/A 61790-2023 karta.png", "A 61790-2023")</f>
        <v/>
      </c>
      <c r="V146">
        <f>HYPERLINK("https://klasma.github.io/Logging_2303/klagomål/A 61790-2023 FSC-klagomål.docx", "A 61790-2023")</f>
        <v/>
      </c>
      <c r="W146">
        <f>HYPERLINK("https://klasma.github.io/Logging_2303/klagomålsmail/A 61790-2023 FSC-klagomål mail.docx", "A 61790-2023")</f>
        <v/>
      </c>
      <c r="X146">
        <f>HYPERLINK("https://klasma.github.io/Logging_2303/tillsyn/A 61790-2023 tillsynsbegäran.docx", "A 61790-2023")</f>
        <v/>
      </c>
      <c r="Y146">
        <f>HYPERLINK("https://klasma.github.io/Logging_2303/tillsynsmail/A 61790-2023 tillsynsbegäran mail.docx", "A 61790-2023")</f>
        <v/>
      </c>
    </row>
    <row r="147" ht="15" customHeight="1">
      <c r="A147" t="inlineStr">
        <is>
          <t>A 48054-2022</t>
        </is>
      </c>
      <c r="B147" s="1" t="n">
        <v>44855</v>
      </c>
      <c r="C147" s="1" t="n">
        <v>46072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1.5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Lunglav
Blåsippa</t>
        </is>
      </c>
      <c r="S147">
        <f>HYPERLINK("https://klasma.github.io/Logging_2303/artfynd/A 48054-2022 artfynd.xlsx", "A 48054-2022")</f>
        <v/>
      </c>
      <c r="T147">
        <f>HYPERLINK("https://klasma.github.io/Logging_2303/kartor/A 48054-2022 karta.png", "A 48054-2022")</f>
        <v/>
      </c>
      <c r="U147">
        <f>HYPERLINK("https://klasma.github.io/Logging_2303/knärot/A 48054-2022 karta knärot.png", "A 48054-2022")</f>
        <v/>
      </c>
      <c r="V147">
        <f>HYPERLINK("https://klasma.github.io/Logging_2303/klagomål/A 48054-2022 FSC-klagomål.docx", "A 48054-2022")</f>
        <v/>
      </c>
      <c r="W147">
        <f>HYPERLINK("https://klasma.github.io/Logging_2303/klagomålsmail/A 48054-2022 FSC-klagomål mail.docx", "A 48054-2022")</f>
        <v/>
      </c>
      <c r="X147">
        <f>HYPERLINK("https://klasma.github.io/Logging_2303/tillsyn/A 48054-2022 tillsynsbegäran.docx", "A 48054-2022")</f>
        <v/>
      </c>
      <c r="Y147">
        <f>HYPERLINK("https://klasma.github.io/Logging_2303/tillsynsmail/A 48054-2022 tillsynsbegäran mail.docx", "A 48054-2022")</f>
        <v/>
      </c>
    </row>
    <row r="148" ht="15" customHeight="1">
      <c r="A148" t="inlineStr">
        <is>
          <t>A 20776-2024</t>
        </is>
      </c>
      <c r="B148" s="1" t="n">
        <v>45436.94686342592</v>
      </c>
      <c r="C148" s="1" t="n">
        <v>46072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5.2</v>
      </c>
      <c r="H148" t="n">
        <v>0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Liten hornflikmossa
Garnlav
Vedtrappmossa</t>
        </is>
      </c>
      <c r="S148">
        <f>HYPERLINK("https://klasma.github.io/Logging_2303/artfynd/A 20776-2024 artfynd.xlsx", "A 20776-2024")</f>
        <v/>
      </c>
      <c r="T148">
        <f>HYPERLINK("https://klasma.github.io/Logging_2303/kartor/A 20776-2024 karta.png", "A 20776-2024")</f>
        <v/>
      </c>
      <c r="V148">
        <f>HYPERLINK("https://klasma.github.io/Logging_2303/klagomål/A 20776-2024 FSC-klagomål.docx", "A 20776-2024")</f>
        <v/>
      </c>
      <c r="W148">
        <f>HYPERLINK("https://klasma.github.io/Logging_2303/klagomålsmail/A 20776-2024 FSC-klagomål mail.docx", "A 20776-2024")</f>
        <v/>
      </c>
      <c r="X148">
        <f>HYPERLINK("https://klasma.github.io/Logging_2303/tillsyn/A 20776-2024 tillsynsbegäran.docx", "A 20776-2024")</f>
        <v/>
      </c>
      <c r="Y148">
        <f>HYPERLINK("https://klasma.github.io/Logging_2303/tillsynsmail/A 20776-2024 tillsynsbegäran mail.docx", "A 20776-2024")</f>
        <v/>
      </c>
    </row>
    <row r="149" ht="15" customHeight="1">
      <c r="A149" t="inlineStr">
        <is>
          <t>A 36504-2023</t>
        </is>
      </c>
      <c r="B149" s="1" t="n">
        <v>45152</v>
      </c>
      <c r="C149" s="1" t="n">
        <v>46072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Gammelgransskål
Garnlav
Granticka</t>
        </is>
      </c>
      <c r="S149">
        <f>HYPERLINK("https://klasma.github.io/Logging_2303/artfynd/A 36504-2023 artfynd.xlsx", "A 36504-2023")</f>
        <v/>
      </c>
      <c r="T149">
        <f>HYPERLINK("https://klasma.github.io/Logging_2303/kartor/A 36504-2023 karta.png", "A 36504-2023")</f>
        <v/>
      </c>
      <c r="V149">
        <f>HYPERLINK("https://klasma.github.io/Logging_2303/klagomål/A 36504-2023 FSC-klagomål.docx", "A 36504-2023")</f>
        <v/>
      </c>
      <c r="W149">
        <f>HYPERLINK("https://klasma.github.io/Logging_2303/klagomålsmail/A 36504-2023 FSC-klagomål mail.docx", "A 36504-2023")</f>
        <v/>
      </c>
      <c r="X149">
        <f>HYPERLINK("https://klasma.github.io/Logging_2303/tillsyn/A 36504-2023 tillsynsbegäran.docx", "A 36504-2023")</f>
        <v/>
      </c>
      <c r="Y149">
        <f>HYPERLINK("https://klasma.github.io/Logging_2303/tillsynsmail/A 36504-2023 tillsynsbegäran mail.docx", "A 36504-2023")</f>
        <v/>
      </c>
    </row>
    <row r="150" ht="15" customHeight="1">
      <c r="A150" t="inlineStr">
        <is>
          <t>A 16305-2025</t>
        </is>
      </c>
      <c r="B150" s="1" t="n">
        <v>45751.34650462963</v>
      </c>
      <c r="C150" s="1" t="n">
        <v>46072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2.5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Lunglav
Bollvitmossa
Källmossa</t>
        </is>
      </c>
      <c r="S150">
        <f>HYPERLINK("https://klasma.github.io/Logging_2303/artfynd/A 16305-2025 artfynd.xlsx", "A 16305-2025")</f>
        <v/>
      </c>
      <c r="T150">
        <f>HYPERLINK("https://klasma.github.io/Logging_2303/kartor/A 16305-2025 karta.png", "A 16305-2025")</f>
        <v/>
      </c>
      <c r="V150">
        <f>HYPERLINK("https://klasma.github.io/Logging_2303/klagomål/A 16305-2025 FSC-klagomål.docx", "A 16305-2025")</f>
        <v/>
      </c>
      <c r="W150">
        <f>HYPERLINK("https://klasma.github.io/Logging_2303/klagomålsmail/A 16305-2025 FSC-klagomål mail.docx", "A 16305-2025")</f>
        <v/>
      </c>
      <c r="X150">
        <f>HYPERLINK("https://klasma.github.io/Logging_2303/tillsyn/A 16305-2025 tillsynsbegäran.docx", "A 16305-2025")</f>
        <v/>
      </c>
      <c r="Y150">
        <f>HYPERLINK("https://klasma.github.io/Logging_2303/tillsynsmail/A 16305-2025 tillsynsbegäran mail.docx", "A 16305-2025")</f>
        <v/>
      </c>
    </row>
    <row r="151" ht="15" customHeight="1">
      <c r="A151" t="inlineStr">
        <is>
          <t>A 22730-2023</t>
        </is>
      </c>
      <c r="B151" s="1" t="n">
        <v>45071</v>
      </c>
      <c r="C151" s="1" t="n">
        <v>46072</v>
      </c>
      <c r="D151" t="inlineStr">
        <is>
          <t>JÄMTLANDS LÄN</t>
        </is>
      </c>
      <c r="E151" t="inlineStr">
        <is>
          <t>RAGUNDA</t>
        </is>
      </c>
      <c r="G151" t="n">
        <v>3.6</v>
      </c>
      <c r="H151" t="n">
        <v>0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Vitgrynig nållav</t>
        </is>
      </c>
      <c r="S151">
        <f>HYPERLINK("https://klasma.github.io/Logging_2303/artfynd/A 22730-2023 artfynd.xlsx", "A 22730-2023")</f>
        <v/>
      </c>
      <c r="T151">
        <f>HYPERLINK("https://klasma.github.io/Logging_2303/kartor/A 22730-2023 karta.png", "A 22730-2023")</f>
        <v/>
      </c>
      <c r="V151">
        <f>HYPERLINK("https://klasma.github.io/Logging_2303/klagomål/A 22730-2023 FSC-klagomål.docx", "A 22730-2023")</f>
        <v/>
      </c>
      <c r="W151">
        <f>HYPERLINK("https://klasma.github.io/Logging_2303/klagomålsmail/A 22730-2023 FSC-klagomål mail.docx", "A 22730-2023")</f>
        <v/>
      </c>
      <c r="X151">
        <f>HYPERLINK("https://klasma.github.io/Logging_2303/tillsyn/A 22730-2023 tillsynsbegäran.docx", "A 22730-2023")</f>
        <v/>
      </c>
      <c r="Y151">
        <f>HYPERLINK("https://klasma.github.io/Logging_2303/tillsynsmail/A 22730-2023 tillsynsbegäran mail.docx", "A 22730-2023")</f>
        <v/>
      </c>
    </row>
    <row r="152" ht="15" customHeight="1">
      <c r="A152" t="inlineStr">
        <is>
          <t>A 33432-2023</t>
        </is>
      </c>
      <c r="B152" s="1" t="n">
        <v>45128</v>
      </c>
      <c r="C152" s="1" t="n">
        <v>46072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10</v>
      </c>
      <c r="H152" t="n">
        <v>1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Tretåig hackspett</t>
        </is>
      </c>
      <c r="S152">
        <f>HYPERLINK("https://klasma.github.io/Logging_2303/artfynd/A 33432-2023 artfynd.xlsx", "A 33432-2023")</f>
        <v/>
      </c>
      <c r="T152">
        <f>HYPERLINK("https://klasma.github.io/Logging_2303/kartor/A 33432-2023 karta.png", "A 33432-2023")</f>
        <v/>
      </c>
      <c r="V152">
        <f>HYPERLINK("https://klasma.github.io/Logging_2303/klagomål/A 33432-2023 FSC-klagomål.docx", "A 33432-2023")</f>
        <v/>
      </c>
      <c r="W152">
        <f>HYPERLINK("https://klasma.github.io/Logging_2303/klagomålsmail/A 33432-2023 FSC-klagomål mail.docx", "A 33432-2023")</f>
        <v/>
      </c>
      <c r="X152">
        <f>HYPERLINK("https://klasma.github.io/Logging_2303/tillsyn/A 33432-2023 tillsynsbegäran.docx", "A 33432-2023")</f>
        <v/>
      </c>
      <c r="Y152">
        <f>HYPERLINK("https://klasma.github.io/Logging_2303/tillsynsmail/A 33432-2023 tillsynsbegäran mail.docx", "A 33432-2023")</f>
        <v/>
      </c>
      <c r="Z152">
        <f>HYPERLINK("https://klasma.github.io/Logging_2303/fåglar/A 33432-2023 prioriterade fågelarter.docx", "A 33432-2023")</f>
        <v/>
      </c>
    </row>
    <row r="153" ht="15" customHeight="1">
      <c r="A153" t="inlineStr">
        <is>
          <t>A 21248-2025</t>
        </is>
      </c>
      <c r="B153" s="1" t="n">
        <v>45779.57392361111</v>
      </c>
      <c r="C153" s="1" t="n">
        <v>46072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2.9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Garnlav
Tretåig hackspett
Vedticka</t>
        </is>
      </c>
      <c r="S153">
        <f>HYPERLINK("https://klasma.github.io/Logging_2303/artfynd/A 21248-2025 artfynd.xlsx", "A 21248-2025")</f>
        <v/>
      </c>
      <c r="T153">
        <f>HYPERLINK("https://klasma.github.io/Logging_2303/kartor/A 21248-2025 karta.png", "A 21248-2025")</f>
        <v/>
      </c>
      <c r="V153">
        <f>HYPERLINK("https://klasma.github.io/Logging_2303/klagomål/A 21248-2025 FSC-klagomål.docx", "A 21248-2025")</f>
        <v/>
      </c>
      <c r="W153">
        <f>HYPERLINK("https://klasma.github.io/Logging_2303/klagomålsmail/A 21248-2025 FSC-klagomål mail.docx", "A 21248-2025")</f>
        <v/>
      </c>
      <c r="X153">
        <f>HYPERLINK("https://klasma.github.io/Logging_2303/tillsyn/A 21248-2025 tillsynsbegäran.docx", "A 21248-2025")</f>
        <v/>
      </c>
      <c r="Y153">
        <f>HYPERLINK("https://klasma.github.io/Logging_2303/tillsynsmail/A 21248-2025 tillsynsbegäran mail.docx", "A 21248-2025")</f>
        <v/>
      </c>
      <c r="Z153">
        <f>HYPERLINK("https://klasma.github.io/Logging_2303/fåglar/A 21248-2025 prioriterade fågelarter.docx", "A 21248-2025")</f>
        <v/>
      </c>
    </row>
    <row r="154" ht="15" customHeight="1">
      <c r="A154" t="inlineStr">
        <is>
          <t>A 17043-2022</t>
        </is>
      </c>
      <c r="B154" s="1" t="n">
        <v>44676</v>
      </c>
      <c r="C154" s="1" t="n">
        <v>46072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3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Skinnlav
Vedticka</t>
        </is>
      </c>
      <c r="S154">
        <f>HYPERLINK("https://klasma.github.io/Logging_2303/artfynd/A 17043-2022 artfynd.xlsx", "A 17043-2022")</f>
        <v/>
      </c>
      <c r="T154">
        <f>HYPERLINK("https://klasma.github.io/Logging_2303/kartor/A 17043-2022 karta.png", "A 17043-2022")</f>
        <v/>
      </c>
      <c r="V154">
        <f>HYPERLINK("https://klasma.github.io/Logging_2303/klagomål/A 17043-2022 FSC-klagomål.docx", "A 17043-2022")</f>
        <v/>
      </c>
      <c r="W154">
        <f>HYPERLINK("https://klasma.github.io/Logging_2303/klagomålsmail/A 17043-2022 FSC-klagomål mail.docx", "A 17043-2022")</f>
        <v/>
      </c>
      <c r="X154">
        <f>HYPERLINK("https://klasma.github.io/Logging_2303/tillsyn/A 17043-2022 tillsynsbegäran.docx", "A 17043-2022")</f>
        <v/>
      </c>
      <c r="Y154">
        <f>HYPERLINK("https://klasma.github.io/Logging_2303/tillsynsmail/A 17043-2022 tillsynsbegäran mail.docx", "A 17043-2022")</f>
        <v/>
      </c>
    </row>
    <row r="155" ht="15" customHeight="1">
      <c r="A155" t="inlineStr">
        <is>
          <t>A 48059-2022</t>
        </is>
      </c>
      <c r="B155" s="1" t="n">
        <v>44855</v>
      </c>
      <c r="C155" s="1" t="n">
        <v>46072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HYPERLINK("https://klasma.github.io/Logging_2303/artfynd/A 48059-2022 artfynd.xlsx", "A 48059-2022")</f>
        <v/>
      </c>
      <c r="T155">
        <f>HYPERLINK("https://klasma.github.io/Logging_2303/kartor/A 48059-2022 karta.png", "A 48059-2022")</f>
        <v/>
      </c>
      <c r="V155">
        <f>HYPERLINK("https://klasma.github.io/Logging_2303/klagomål/A 48059-2022 FSC-klagomål.docx", "A 48059-2022")</f>
        <v/>
      </c>
      <c r="W155">
        <f>HYPERLINK("https://klasma.github.io/Logging_2303/klagomålsmail/A 48059-2022 FSC-klagomål mail.docx", "A 48059-2022")</f>
        <v/>
      </c>
      <c r="X155">
        <f>HYPERLINK("https://klasma.github.io/Logging_2303/tillsyn/A 48059-2022 tillsynsbegäran.docx", "A 48059-2022")</f>
        <v/>
      </c>
      <c r="Y155">
        <f>HYPERLINK("https://klasma.github.io/Logging_2303/tillsynsmail/A 48059-2022 tillsynsbegäran mail.docx", "A 48059-2022")</f>
        <v/>
      </c>
    </row>
    <row r="156" ht="15" customHeight="1">
      <c r="A156" t="inlineStr">
        <is>
          <t>A 19384-2025</t>
        </is>
      </c>
      <c r="B156" s="1" t="n">
        <v>45769.65692129629</v>
      </c>
      <c r="C156" s="1" t="n">
        <v>46072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HYPERLINK("https://klasma.github.io/Logging_2303/artfynd/A 19384-2025 artfynd.xlsx", "A 19384-2025")</f>
        <v/>
      </c>
      <c r="T156">
        <f>HYPERLINK("https://klasma.github.io/Logging_2303/kartor/A 19384-2025 karta.png", "A 19384-2025")</f>
        <v/>
      </c>
      <c r="V156">
        <f>HYPERLINK("https://klasma.github.io/Logging_2303/klagomål/A 19384-2025 FSC-klagomål.docx", "A 19384-2025")</f>
        <v/>
      </c>
      <c r="W156">
        <f>HYPERLINK("https://klasma.github.io/Logging_2303/klagomålsmail/A 19384-2025 FSC-klagomål mail.docx", "A 19384-2025")</f>
        <v/>
      </c>
      <c r="X156">
        <f>HYPERLINK("https://klasma.github.io/Logging_2303/tillsyn/A 19384-2025 tillsynsbegäran.docx", "A 19384-2025")</f>
        <v/>
      </c>
      <c r="Y156">
        <f>HYPERLINK("https://klasma.github.io/Logging_2303/tillsynsmail/A 19384-2025 tillsynsbegäran mail.docx", "A 19384-2025")</f>
        <v/>
      </c>
      <c r="Z156">
        <f>HYPERLINK("https://klasma.github.io/Logging_2303/fåglar/A 19384-2025 prioriterade fågelarter.docx", "A 19384-2025")</f>
        <v/>
      </c>
    </row>
    <row r="157" ht="15" customHeight="1">
      <c r="A157" t="inlineStr">
        <is>
          <t>A 25155-2025</t>
        </is>
      </c>
      <c r="B157" s="1" t="n">
        <v>45800.42782407408</v>
      </c>
      <c r="C157" s="1" t="n">
        <v>46072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1.7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Leptoporus mollis
Fläcknycklar</t>
        </is>
      </c>
      <c r="S157">
        <f>HYPERLINK("https://klasma.github.io/Logging_2303/artfynd/A 25155-2025 artfynd.xlsx", "A 25155-2025")</f>
        <v/>
      </c>
      <c r="T157">
        <f>HYPERLINK("https://klasma.github.io/Logging_2303/kartor/A 25155-2025 karta.png", "A 25155-2025")</f>
        <v/>
      </c>
      <c r="V157">
        <f>HYPERLINK("https://klasma.github.io/Logging_2303/klagomål/A 25155-2025 FSC-klagomål.docx", "A 25155-2025")</f>
        <v/>
      </c>
      <c r="W157">
        <f>HYPERLINK("https://klasma.github.io/Logging_2303/klagomålsmail/A 25155-2025 FSC-klagomål mail.docx", "A 25155-2025")</f>
        <v/>
      </c>
      <c r="X157">
        <f>HYPERLINK("https://klasma.github.io/Logging_2303/tillsyn/A 25155-2025 tillsynsbegäran.docx", "A 25155-2025")</f>
        <v/>
      </c>
      <c r="Y157">
        <f>HYPERLINK("https://klasma.github.io/Logging_2303/tillsynsmail/A 25155-2025 tillsynsbegäran mail.docx", "A 25155-2025")</f>
        <v/>
      </c>
    </row>
    <row r="158" ht="15" customHeight="1">
      <c r="A158" t="inlineStr">
        <is>
          <t>A 32736-2023</t>
        </is>
      </c>
      <c r="B158" s="1" t="n">
        <v>45121</v>
      </c>
      <c r="C158" s="1" t="n">
        <v>46072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2.5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Vedtrappmossa
Stor aspticka</t>
        </is>
      </c>
      <c r="S158">
        <f>HYPERLINK("https://klasma.github.io/Logging_2303/artfynd/A 32736-2023 artfynd.xlsx", "A 32736-2023")</f>
        <v/>
      </c>
      <c r="T158">
        <f>HYPERLINK("https://klasma.github.io/Logging_2303/kartor/A 32736-2023 karta.png", "A 32736-2023")</f>
        <v/>
      </c>
      <c r="V158">
        <f>HYPERLINK("https://klasma.github.io/Logging_2303/klagomål/A 32736-2023 FSC-klagomål.docx", "A 32736-2023")</f>
        <v/>
      </c>
      <c r="W158">
        <f>HYPERLINK("https://klasma.github.io/Logging_2303/klagomålsmail/A 32736-2023 FSC-klagomål mail.docx", "A 32736-2023")</f>
        <v/>
      </c>
      <c r="X158">
        <f>HYPERLINK("https://klasma.github.io/Logging_2303/tillsyn/A 32736-2023 tillsynsbegäran.docx", "A 32736-2023")</f>
        <v/>
      </c>
      <c r="Y158">
        <f>HYPERLINK("https://klasma.github.io/Logging_2303/tillsynsmail/A 32736-2023 tillsynsbegäran mail.docx", "A 32736-2023")</f>
        <v/>
      </c>
    </row>
    <row r="159" ht="15" customHeight="1">
      <c r="A159" t="inlineStr">
        <is>
          <t>A 55647-2023</t>
        </is>
      </c>
      <c r="B159" s="1" t="n">
        <v>45238</v>
      </c>
      <c r="C159" s="1" t="n">
        <v>46072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3.7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Granticka
Trådticka</t>
        </is>
      </c>
      <c r="S159">
        <f>HYPERLINK("https://klasma.github.io/Logging_2303/artfynd/A 55647-2023 artfynd.xlsx", "A 55647-2023")</f>
        <v/>
      </c>
      <c r="T159">
        <f>HYPERLINK("https://klasma.github.io/Logging_2303/kartor/A 55647-2023 karta.png", "A 55647-2023")</f>
        <v/>
      </c>
      <c r="V159">
        <f>HYPERLINK("https://klasma.github.io/Logging_2303/klagomål/A 55647-2023 FSC-klagomål.docx", "A 55647-2023")</f>
        <v/>
      </c>
      <c r="W159">
        <f>HYPERLINK("https://klasma.github.io/Logging_2303/klagomålsmail/A 55647-2023 FSC-klagomål mail.docx", "A 55647-2023")</f>
        <v/>
      </c>
      <c r="X159">
        <f>HYPERLINK("https://klasma.github.io/Logging_2303/tillsyn/A 55647-2023 tillsynsbegäran.docx", "A 55647-2023")</f>
        <v/>
      </c>
      <c r="Y159">
        <f>HYPERLINK("https://klasma.github.io/Logging_2303/tillsynsmail/A 55647-2023 tillsynsbegäran mail.docx", "A 55647-2023")</f>
        <v/>
      </c>
    </row>
    <row r="160" ht="15" customHeight="1">
      <c r="A160" t="inlineStr">
        <is>
          <t>A 48427-2023</t>
        </is>
      </c>
      <c r="B160" s="1" t="n">
        <v>45205</v>
      </c>
      <c r="C160" s="1" t="n">
        <v>46072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10.1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Luddlav</t>
        </is>
      </c>
      <c r="S160">
        <f>HYPERLINK("https://klasma.github.io/Logging_2303/artfynd/A 48427-2023 artfynd.xlsx", "A 48427-2023")</f>
        <v/>
      </c>
      <c r="T160">
        <f>HYPERLINK("https://klasma.github.io/Logging_2303/kartor/A 48427-2023 karta.png", "A 48427-2023")</f>
        <v/>
      </c>
      <c r="V160">
        <f>HYPERLINK("https://klasma.github.io/Logging_2303/klagomål/A 48427-2023 FSC-klagomål.docx", "A 48427-2023")</f>
        <v/>
      </c>
      <c r="W160">
        <f>HYPERLINK("https://klasma.github.io/Logging_2303/klagomålsmail/A 48427-2023 FSC-klagomål mail.docx", "A 48427-2023")</f>
        <v/>
      </c>
      <c r="X160">
        <f>HYPERLINK("https://klasma.github.io/Logging_2303/tillsyn/A 48427-2023 tillsynsbegäran.docx", "A 48427-2023")</f>
        <v/>
      </c>
      <c r="Y160">
        <f>HYPERLINK("https://klasma.github.io/Logging_2303/tillsynsmail/A 48427-2023 tillsynsbegäran mail.docx", "A 48427-2023")</f>
        <v/>
      </c>
    </row>
    <row r="161" ht="15" customHeight="1">
      <c r="A161" t="inlineStr">
        <is>
          <t>A 47267-2022</t>
        </is>
      </c>
      <c r="B161" s="1" t="n">
        <v>44852</v>
      </c>
      <c r="C161" s="1" t="n">
        <v>46072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82.8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Dvärgbägarlav
Garnlav</t>
        </is>
      </c>
      <c r="S161">
        <f>HYPERLINK("https://klasma.github.io/Logging_2303/artfynd/A 47267-2022 artfynd.xlsx", "A 47267-2022")</f>
        <v/>
      </c>
      <c r="T161">
        <f>HYPERLINK("https://klasma.github.io/Logging_2303/kartor/A 47267-2022 karta.png", "A 47267-2022")</f>
        <v/>
      </c>
      <c r="V161">
        <f>HYPERLINK("https://klasma.github.io/Logging_2303/klagomål/A 47267-2022 FSC-klagomål.docx", "A 47267-2022")</f>
        <v/>
      </c>
      <c r="W161">
        <f>HYPERLINK("https://klasma.github.io/Logging_2303/klagomålsmail/A 47267-2022 FSC-klagomål mail.docx", "A 47267-2022")</f>
        <v/>
      </c>
      <c r="X161">
        <f>HYPERLINK("https://klasma.github.io/Logging_2303/tillsyn/A 47267-2022 tillsynsbegäran.docx", "A 47267-2022")</f>
        <v/>
      </c>
      <c r="Y161">
        <f>HYPERLINK("https://klasma.github.io/Logging_2303/tillsynsmail/A 47267-2022 tillsynsbegäran mail.docx", "A 47267-2022")</f>
        <v/>
      </c>
    </row>
    <row r="162" ht="15" customHeight="1">
      <c r="A162" t="inlineStr">
        <is>
          <t>A 45021-2023</t>
        </is>
      </c>
      <c r="B162" s="1" t="n">
        <v>45190</v>
      </c>
      <c r="C162" s="1" t="n">
        <v>46072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Fläcknycklar</t>
        </is>
      </c>
      <c r="S162">
        <f>HYPERLINK("https://klasma.github.io/Logging_2303/artfynd/A 45021-2023 artfynd.xlsx", "A 45021-2023")</f>
        <v/>
      </c>
      <c r="T162">
        <f>HYPERLINK("https://klasma.github.io/Logging_2303/kartor/A 45021-2023 karta.png", "A 45021-2023")</f>
        <v/>
      </c>
      <c r="V162">
        <f>HYPERLINK("https://klasma.github.io/Logging_2303/klagomål/A 45021-2023 FSC-klagomål.docx", "A 45021-2023")</f>
        <v/>
      </c>
      <c r="W162">
        <f>HYPERLINK("https://klasma.github.io/Logging_2303/klagomålsmail/A 45021-2023 FSC-klagomål mail.docx", "A 45021-2023")</f>
        <v/>
      </c>
      <c r="X162">
        <f>HYPERLINK("https://klasma.github.io/Logging_2303/tillsyn/A 45021-2023 tillsynsbegäran.docx", "A 45021-2023")</f>
        <v/>
      </c>
      <c r="Y162">
        <f>HYPERLINK("https://klasma.github.io/Logging_2303/tillsynsmail/A 45021-2023 tillsynsbegäran mail.docx", "A 45021-2023")</f>
        <v/>
      </c>
    </row>
    <row r="163" ht="15" customHeight="1">
      <c r="A163" t="inlineStr">
        <is>
          <t>A 47850-2025</t>
        </is>
      </c>
      <c r="B163" s="1" t="n">
        <v>45932.38626157407</v>
      </c>
      <c r="C163" s="1" t="n">
        <v>46072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2.4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Kolflarnlav
Blåsippa</t>
        </is>
      </c>
      <c r="S163">
        <f>HYPERLINK("https://klasma.github.io/Logging_2303/artfynd/A 47850-2025 artfynd.xlsx", "A 47850-2025")</f>
        <v/>
      </c>
      <c r="T163">
        <f>HYPERLINK("https://klasma.github.io/Logging_2303/kartor/A 47850-2025 karta.png", "A 47850-2025")</f>
        <v/>
      </c>
      <c r="V163">
        <f>HYPERLINK("https://klasma.github.io/Logging_2303/klagomål/A 47850-2025 FSC-klagomål.docx", "A 47850-2025")</f>
        <v/>
      </c>
      <c r="W163">
        <f>HYPERLINK("https://klasma.github.io/Logging_2303/klagomålsmail/A 47850-2025 FSC-klagomål mail.docx", "A 47850-2025")</f>
        <v/>
      </c>
      <c r="X163">
        <f>HYPERLINK("https://klasma.github.io/Logging_2303/tillsyn/A 47850-2025 tillsynsbegäran.docx", "A 47850-2025")</f>
        <v/>
      </c>
      <c r="Y163">
        <f>HYPERLINK("https://klasma.github.io/Logging_2303/tillsynsmail/A 47850-2025 tillsynsbegäran mail.docx", "A 47850-2025")</f>
        <v/>
      </c>
    </row>
    <row r="164" ht="15" customHeight="1">
      <c r="A164" t="inlineStr">
        <is>
          <t>A 31960-2025</t>
        </is>
      </c>
      <c r="B164" s="1" t="n">
        <v>45835.344375</v>
      </c>
      <c r="C164" s="1" t="n">
        <v>46072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Garnlav</t>
        </is>
      </c>
      <c r="S164">
        <f>HYPERLINK("https://klasma.github.io/Logging_2303/artfynd/A 31960-2025 artfynd.xlsx", "A 31960-2025")</f>
        <v/>
      </c>
      <c r="T164">
        <f>HYPERLINK("https://klasma.github.io/Logging_2303/kartor/A 31960-2025 karta.png", "A 31960-2025")</f>
        <v/>
      </c>
      <c r="V164">
        <f>HYPERLINK("https://klasma.github.io/Logging_2303/klagomål/A 31960-2025 FSC-klagomål.docx", "A 31960-2025")</f>
        <v/>
      </c>
      <c r="W164">
        <f>HYPERLINK("https://klasma.github.io/Logging_2303/klagomålsmail/A 31960-2025 FSC-klagomål mail.docx", "A 31960-2025")</f>
        <v/>
      </c>
      <c r="X164">
        <f>HYPERLINK("https://klasma.github.io/Logging_2303/tillsyn/A 31960-2025 tillsynsbegäran.docx", "A 31960-2025")</f>
        <v/>
      </c>
      <c r="Y164">
        <f>HYPERLINK("https://klasma.github.io/Logging_2303/tillsynsmail/A 31960-2025 tillsynsbegäran mail.docx", "A 31960-2025")</f>
        <v/>
      </c>
    </row>
    <row r="165" ht="15" customHeight="1">
      <c r="A165" t="inlineStr">
        <is>
          <t>A 35131-2025</t>
        </is>
      </c>
      <c r="B165" s="1" t="n">
        <v>45852.63597222222</v>
      </c>
      <c r="C165" s="1" t="n">
        <v>46072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Ögonpyrola
Nattviol</t>
        </is>
      </c>
      <c r="S165">
        <f>HYPERLINK("https://klasma.github.io/Logging_2303/artfynd/A 35131-2025 artfynd.xlsx", "A 35131-2025")</f>
        <v/>
      </c>
      <c r="T165">
        <f>HYPERLINK("https://klasma.github.io/Logging_2303/kartor/A 35131-2025 karta.png", "A 35131-2025")</f>
        <v/>
      </c>
      <c r="V165">
        <f>HYPERLINK("https://klasma.github.io/Logging_2303/klagomål/A 35131-2025 FSC-klagomål.docx", "A 35131-2025")</f>
        <v/>
      </c>
      <c r="W165">
        <f>HYPERLINK("https://klasma.github.io/Logging_2303/klagomålsmail/A 35131-2025 FSC-klagomål mail.docx", "A 35131-2025")</f>
        <v/>
      </c>
      <c r="X165">
        <f>HYPERLINK("https://klasma.github.io/Logging_2303/tillsyn/A 35131-2025 tillsynsbegäran.docx", "A 35131-2025")</f>
        <v/>
      </c>
      <c r="Y165">
        <f>HYPERLINK("https://klasma.github.io/Logging_2303/tillsynsmail/A 35131-2025 tillsynsbegäran mail.docx", "A 35131-2025")</f>
        <v/>
      </c>
    </row>
    <row r="166" ht="15" customHeight="1">
      <c r="A166" t="inlineStr">
        <is>
          <t>A 30053-2024</t>
        </is>
      </c>
      <c r="B166" s="1" t="n">
        <v>45488.94747685185</v>
      </c>
      <c r="C166" s="1" t="n">
        <v>46072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9.6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Korallblylav</t>
        </is>
      </c>
      <c r="S166">
        <f>HYPERLINK("https://klasma.github.io/Logging_2303/artfynd/A 30053-2024 artfynd.xlsx", "A 30053-2024")</f>
        <v/>
      </c>
      <c r="T166">
        <f>HYPERLINK("https://klasma.github.io/Logging_2303/kartor/A 30053-2024 karta.png", "A 30053-2024")</f>
        <v/>
      </c>
      <c r="V166">
        <f>HYPERLINK("https://klasma.github.io/Logging_2303/klagomål/A 30053-2024 FSC-klagomål.docx", "A 30053-2024")</f>
        <v/>
      </c>
      <c r="W166">
        <f>HYPERLINK("https://klasma.github.io/Logging_2303/klagomålsmail/A 30053-2024 FSC-klagomål mail.docx", "A 30053-2024")</f>
        <v/>
      </c>
      <c r="X166">
        <f>HYPERLINK("https://klasma.github.io/Logging_2303/tillsyn/A 30053-2024 tillsynsbegäran.docx", "A 30053-2024")</f>
        <v/>
      </c>
      <c r="Y166">
        <f>HYPERLINK("https://klasma.github.io/Logging_2303/tillsynsmail/A 30053-2024 tillsynsbegäran mail.docx", "A 30053-2024")</f>
        <v/>
      </c>
    </row>
    <row r="167" ht="15" customHeight="1">
      <c r="A167" t="inlineStr">
        <is>
          <t>A 50089-2022</t>
        </is>
      </c>
      <c r="B167" s="1" t="n">
        <v>44865</v>
      </c>
      <c r="C167" s="1" t="n">
        <v>46072</v>
      </c>
      <c r="D167" t="inlineStr">
        <is>
          <t>JÄMTLANDS LÄN</t>
        </is>
      </c>
      <c r="E167" t="inlineStr">
        <is>
          <t>RAGUNDA</t>
        </is>
      </c>
      <c r="G167" t="n">
        <v>5.7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Björktrast
Drillsnäppa</t>
        </is>
      </c>
      <c r="S167">
        <f>HYPERLINK("https://klasma.github.io/Logging_2303/artfynd/A 50089-2022 artfynd.xlsx", "A 50089-2022")</f>
        <v/>
      </c>
      <c r="T167">
        <f>HYPERLINK("https://klasma.github.io/Logging_2303/kartor/A 50089-2022 karta.png", "A 50089-2022")</f>
        <v/>
      </c>
      <c r="V167">
        <f>HYPERLINK("https://klasma.github.io/Logging_2303/klagomål/A 50089-2022 FSC-klagomål.docx", "A 50089-2022")</f>
        <v/>
      </c>
      <c r="W167">
        <f>HYPERLINK("https://klasma.github.io/Logging_2303/klagomålsmail/A 50089-2022 FSC-klagomål mail.docx", "A 50089-2022")</f>
        <v/>
      </c>
      <c r="X167">
        <f>HYPERLINK("https://klasma.github.io/Logging_2303/tillsyn/A 50089-2022 tillsynsbegäran.docx", "A 50089-2022")</f>
        <v/>
      </c>
      <c r="Y167">
        <f>HYPERLINK("https://klasma.github.io/Logging_2303/tillsynsmail/A 50089-2022 tillsynsbegäran mail.docx", "A 50089-2022")</f>
        <v/>
      </c>
      <c r="Z167">
        <f>HYPERLINK("https://klasma.github.io/Logging_2303/fåglar/A 50089-2022 prioriterade fågelarter.docx", "A 50089-2022")</f>
        <v/>
      </c>
    </row>
    <row r="168" ht="15" customHeight="1">
      <c r="A168" t="inlineStr">
        <is>
          <t>A 11086-2025</t>
        </is>
      </c>
      <c r="B168" s="1" t="n">
        <v>45723.57329861111</v>
      </c>
      <c r="C168" s="1" t="n">
        <v>46072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10.8</v>
      </c>
      <c r="H168" t="n">
        <v>0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Gräddporing
Dvärgbägarlav</t>
        </is>
      </c>
      <c r="S168">
        <f>HYPERLINK("https://klasma.github.io/Logging_2303/artfynd/A 11086-2025 artfynd.xlsx", "A 11086-2025")</f>
        <v/>
      </c>
      <c r="T168">
        <f>HYPERLINK("https://klasma.github.io/Logging_2303/kartor/A 11086-2025 karta.png", "A 11086-2025")</f>
        <v/>
      </c>
      <c r="V168">
        <f>HYPERLINK("https://klasma.github.io/Logging_2303/klagomål/A 11086-2025 FSC-klagomål.docx", "A 11086-2025")</f>
        <v/>
      </c>
      <c r="W168">
        <f>HYPERLINK("https://klasma.github.io/Logging_2303/klagomålsmail/A 11086-2025 FSC-klagomål mail.docx", "A 11086-2025")</f>
        <v/>
      </c>
      <c r="X168">
        <f>HYPERLINK("https://klasma.github.io/Logging_2303/tillsyn/A 11086-2025 tillsynsbegäran.docx", "A 11086-2025")</f>
        <v/>
      </c>
      <c r="Y168">
        <f>HYPERLINK("https://klasma.github.io/Logging_2303/tillsynsmail/A 11086-2025 tillsynsbegäran mail.docx", "A 11086-2025")</f>
        <v/>
      </c>
    </row>
    <row r="169" ht="15" customHeight="1">
      <c r="A169" t="inlineStr">
        <is>
          <t>A 40826-2023</t>
        </is>
      </c>
      <c r="B169" s="1" t="n">
        <v>45171</v>
      </c>
      <c r="C169" s="1" t="n">
        <v>46072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Stuplav</t>
        </is>
      </c>
      <c r="S169">
        <f>HYPERLINK("https://klasma.github.io/Logging_2303/artfynd/A 40826-2023 artfynd.xlsx", "A 40826-2023")</f>
        <v/>
      </c>
      <c r="T169">
        <f>HYPERLINK("https://klasma.github.io/Logging_2303/kartor/A 40826-2023 karta.png", "A 40826-2023")</f>
        <v/>
      </c>
      <c r="V169">
        <f>HYPERLINK("https://klasma.github.io/Logging_2303/klagomål/A 40826-2023 FSC-klagomål.docx", "A 40826-2023")</f>
        <v/>
      </c>
      <c r="W169">
        <f>HYPERLINK("https://klasma.github.io/Logging_2303/klagomålsmail/A 40826-2023 FSC-klagomål mail.docx", "A 40826-2023")</f>
        <v/>
      </c>
      <c r="X169">
        <f>HYPERLINK("https://klasma.github.io/Logging_2303/tillsyn/A 40826-2023 tillsynsbegäran.docx", "A 40826-2023")</f>
        <v/>
      </c>
      <c r="Y169">
        <f>HYPERLINK("https://klasma.github.io/Logging_2303/tillsynsmail/A 40826-2023 tillsynsbegäran mail.docx", "A 40826-2023")</f>
        <v/>
      </c>
    </row>
    <row r="170" ht="15" customHeight="1">
      <c r="A170" t="inlineStr">
        <is>
          <t>A 41490-2022</t>
        </is>
      </c>
      <c r="B170" s="1" t="n">
        <v>44826.94976851852</v>
      </c>
      <c r="C170" s="1" t="n">
        <v>46072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2.7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Skinnlav</t>
        </is>
      </c>
      <c r="S170">
        <f>HYPERLINK("https://klasma.github.io/Logging_2303/artfynd/A 41490-2022 artfynd.xlsx", "A 41490-2022")</f>
        <v/>
      </c>
      <c r="T170">
        <f>HYPERLINK("https://klasma.github.io/Logging_2303/kartor/A 41490-2022 karta.png", "A 41490-2022")</f>
        <v/>
      </c>
      <c r="V170">
        <f>HYPERLINK("https://klasma.github.io/Logging_2303/klagomål/A 41490-2022 FSC-klagomål.docx", "A 41490-2022")</f>
        <v/>
      </c>
      <c r="W170">
        <f>HYPERLINK("https://klasma.github.io/Logging_2303/klagomålsmail/A 41490-2022 FSC-klagomål mail.docx", "A 41490-2022")</f>
        <v/>
      </c>
      <c r="X170">
        <f>HYPERLINK("https://klasma.github.io/Logging_2303/tillsyn/A 41490-2022 tillsynsbegäran.docx", "A 41490-2022")</f>
        <v/>
      </c>
      <c r="Y170">
        <f>HYPERLINK("https://klasma.github.io/Logging_2303/tillsynsmail/A 41490-2022 tillsynsbegäran mail.docx", "A 41490-2022")</f>
        <v/>
      </c>
    </row>
    <row r="171" ht="15" customHeight="1">
      <c r="A171" t="inlineStr">
        <is>
          <t>A 14502-2024</t>
        </is>
      </c>
      <c r="B171" s="1" t="n">
        <v>45394</v>
      </c>
      <c r="C171" s="1" t="n">
        <v>46072</v>
      </c>
      <c r="D171" t="inlineStr">
        <is>
          <t>JÄMTLANDS LÄN</t>
        </is>
      </c>
      <c r="E171" t="inlineStr">
        <is>
          <t>RAGUNDA</t>
        </is>
      </c>
      <c r="G171" t="n">
        <v>11.6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Garnlav
Stjärntagging</t>
        </is>
      </c>
      <c r="S171">
        <f>HYPERLINK("https://klasma.github.io/Logging_2303/artfynd/A 14502-2024 artfynd.xlsx", "A 14502-2024")</f>
        <v/>
      </c>
      <c r="T171">
        <f>HYPERLINK("https://klasma.github.io/Logging_2303/kartor/A 14502-2024 karta.png", "A 14502-2024")</f>
        <v/>
      </c>
      <c r="V171">
        <f>HYPERLINK("https://klasma.github.io/Logging_2303/klagomål/A 14502-2024 FSC-klagomål.docx", "A 14502-2024")</f>
        <v/>
      </c>
      <c r="W171">
        <f>HYPERLINK("https://klasma.github.io/Logging_2303/klagomålsmail/A 14502-2024 FSC-klagomål mail.docx", "A 14502-2024")</f>
        <v/>
      </c>
      <c r="X171">
        <f>HYPERLINK("https://klasma.github.io/Logging_2303/tillsyn/A 14502-2024 tillsynsbegäran.docx", "A 14502-2024")</f>
        <v/>
      </c>
      <c r="Y171">
        <f>HYPERLINK("https://klasma.github.io/Logging_2303/tillsynsmail/A 14502-2024 tillsynsbegäran mail.docx", "A 14502-2024")</f>
        <v/>
      </c>
    </row>
    <row r="172" ht="15" customHeight="1">
      <c r="A172" t="inlineStr">
        <is>
          <t>A 62636-2025</t>
        </is>
      </c>
      <c r="B172" s="1" t="n">
        <v>46008.3653587963</v>
      </c>
      <c r="C172" s="1" t="n">
        <v>46072</v>
      </c>
      <c r="D172" t="inlineStr">
        <is>
          <t>JÄMTLANDS LÄN</t>
        </is>
      </c>
      <c r="E172" t="inlineStr">
        <is>
          <t>RAGUNDA</t>
        </is>
      </c>
      <c r="G172" t="n">
        <v>3.1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Talltita</t>
        </is>
      </c>
      <c r="S172">
        <f>HYPERLINK("https://klasma.github.io/Logging_2303/artfynd/A 62636-2025 artfynd.xlsx", "A 62636-2025")</f>
        <v/>
      </c>
      <c r="T172">
        <f>HYPERLINK("https://klasma.github.io/Logging_2303/kartor/A 62636-2025 karta.png", "A 62636-2025")</f>
        <v/>
      </c>
      <c r="V172">
        <f>HYPERLINK("https://klasma.github.io/Logging_2303/klagomål/A 62636-2025 FSC-klagomål.docx", "A 62636-2025")</f>
        <v/>
      </c>
      <c r="W172">
        <f>HYPERLINK("https://klasma.github.io/Logging_2303/klagomålsmail/A 62636-2025 FSC-klagomål mail.docx", "A 62636-2025")</f>
        <v/>
      </c>
      <c r="X172">
        <f>HYPERLINK("https://klasma.github.io/Logging_2303/tillsyn/A 62636-2025 tillsynsbegäran.docx", "A 62636-2025")</f>
        <v/>
      </c>
      <c r="Y172">
        <f>HYPERLINK("https://klasma.github.io/Logging_2303/tillsynsmail/A 62636-2025 tillsynsbegäran mail.docx", "A 62636-2025")</f>
        <v/>
      </c>
      <c r="Z172">
        <f>HYPERLINK("https://klasma.github.io/Logging_2303/fåglar/A 62636-2025 prioriterade fågelarter.docx", "A 62636-2025")</f>
        <v/>
      </c>
    </row>
    <row r="173" ht="15" customHeight="1">
      <c r="A173" t="inlineStr">
        <is>
          <t>A 46771-2024</t>
        </is>
      </c>
      <c r="B173" s="1" t="n">
        <v>45583.49642361111</v>
      </c>
      <c r="C173" s="1" t="n">
        <v>46072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Doftskinn
Gammelgransskål</t>
        </is>
      </c>
      <c r="S173">
        <f>HYPERLINK("https://klasma.github.io/Logging_2303/artfynd/A 46771-2024 artfynd.xlsx", "A 46771-2024")</f>
        <v/>
      </c>
      <c r="T173">
        <f>HYPERLINK("https://klasma.github.io/Logging_2303/kartor/A 46771-2024 karta.png", "A 46771-2024")</f>
        <v/>
      </c>
      <c r="V173">
        <f>HYPERLINK("https://klasma.github.io/Logging_2303/klagomål/A 46771-2024 FSC-klagomål.docx", "A 46771-2024")</f>
        <v/>
      </c>
      <c r="W173">
        <f>HYPERLINK("https://klasma.github.io/Logging_2303/klagomålsmail/A 46771-2024 FSC-klagomål mail.docx", "A 46771-2024")</f>
        <v/>
      </c>
      <c r="X173">
        <f>HYPERLINK("https://klasma.github.io/Logging_2303/tillsyn/A 46771-2024 tillsynsbegäran.docx", "A 46771-2024")</f>
        <v/>
      </c>
      <c r="Y173">
        <f>HYPERLINK("https://klasma.github.io/Logging_2303/tillsynsmail/A 46771-2024 tillsynsbegäran mail.docx", "A 46771-2024")</f>
        <v/>
      </c>
    </row>
    <row r="174" ht="15" customHeight="1">
      <c r="A174" t="inlineStr">
        <is>
          <t>A 44409-2023</t>
        </is>
      </c>
      <c r="B174" s="1" t="n">
        <v>45188</v>
      </c>
      <c r="C174" s="1" t="n">
        <v>46072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2.5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Norrlandslav</t>
        </is>
      </c>
      <c r="S174">
        <f>HYPERLINK("https://klasma.github.io/Logging_2303/artfynd/A 44409-2023 artfynd.xlsx", "A 44409-2023")</f>
        <v/>
      </c>
      <c r="T174">
        <f>HYPERLINK("https://klasma.github.io/Logging_2303/kartor/A 44409-2023 karta.png", "A 44409-2023")</f>
        <v/>
      </c>
      <c r="V174">
        <f>HYPERLINK("https://klasma.github.io/Logging_2303/klagomål/A 44409-2023 FSC-klagomål.docx", "A 44409-2023")</f>
        <v/>
      </c>
      <c r="W174">
        <f>HYPERLINK("https://klasma.github.io/Logging_2303/klagomålsmail/A 44409-2023 FSC-klagomål mail.docx", "A 44409-2023")</f>
        <v/>
      </c>
      <c r="X174">
        <f>HYPERLINK("https://klasma.github.io/Logging_2303/tillsyn/A 44409-2023 tillsynsbegäran.docx", "A 44409-2023")</f>
        <v/>
      </c>
      <c r="Y174">
        <f>HYPERLINK("https://klasma.github.io/Logging_2303/tillsynsmail/A 44409-2023 tillsynsbegäran mail.docx", "A 44409-2023")</f>
        <v/>
      </c>
    </row>
    <row r="175" ht="15" customHeight="1">
      <c r="A175" t="inlineStr">
        <is>
          <t>A 56634-2025</t>
        </is>
      </c>
      <c r="B175" s="1" t="n">
        <v>45975.61619212963</v>
      </c>
      <c r="C175" s="1" t="n">
        <v>46072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86.59999999999999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Skuggblåslav</t>
        </is>
      </c>
      <c r="S175">
        <f>HYPERLINK("https://klasma.github.io/Logging_2303/artfynd/A 56634-2025 artfynd.xlsx", "A 56634-2025")</f>
        <v/>
      </c>
      <c r="T175">
        <f>HYPERLINK("https://klasma.github.io/Logging_2303/kartor/A 56634-2025 karta.png", "A 56634-2025")</f>
        <v/>
      </c>
      <c r="V175">
        <f>HYPERLINK("https://klasma.github.io/Logging_2303/klagomål/A 56634-2025 FSC-klagomål.docx", "A 56634-2025")</f>
        <v/>
      </c>
      <c r="W175">
        <f>HYPERLINK("https://klasma.github.io/Logging_2303/klagomålsmail/A 56634-2025 FSC-klagomål mail.docx", "A 56634-2025")</f>
        <v/>
      </c>
      <c r="X175">
        <f>HYPERLINK("https://klasma.github.io/Logging_2303/tillsyn/A 56634-2025 tillsynsbegäran.docx", "A 56634-2025")</f>
        <v/>
      </c>
      <c r="Y175">
        <f>HYPERLINK("https://klasma.github.io/Logging_2303/tillsynsmail/A 56634-2025 tillsynsbegäran mail.docx", "A 56634-2025")</f>
        <v/>
      </c>
    </row>
    <row r="176" ht="15" customHeight="1">
      <c r="A176" t="inlineStr">
        <is>
          <t>A 12271-2024</t>
        </is>
      </c>
      <c r="B176" s="1" t="n">
        <v>45378</v>
      </c>
      <c r="C176" s="1" t="n">
        <v>46072</v>
      </c>
      <c r="D176" t="inlineStr">
        <is>
          <t>JÄMTLANDS LÄN</t>
        </is>
      </c>
      <c r="E176" t="inlineStr">
        <is>
          <t>RAGUNDA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HYPERLINK("https://klasma.github.io/Logging_2303/artfynd/A 12271-2024 artfynd.xlsx", "A 12271-2024")</f>
        <v/>
      </c>
      <c r="T176">
        <f>HYPERLINK("https://klasma.github.io/Logging_2303/kartor/A 12271-2024 karta.png", "A 12271-2024")</f>
        <v/>
      </c>
      <c r="V176">
        <f>HYPERLINK("https://klasma.github.io/Logging_2303/klagomål/A 12271-2024 FSC-klagomål.docx", "A 12271-2024")</f>
        <v/>
      </c>
      <c r="W176">
        <f>HYPERLINK("https://klasma.github.io/Logging_2303/klagomålsmail/A 12271-2024 FSC-klagomål mail.docx", "A 12271-2024")</f>
        <v/>
      </c>
      <c r="X176">
        <f>HYPERLINK("https://klasma.github.io/Logging_2303/tillsyn/A 12271-2024 tillsynsbegäran.docx", "A 12271-2024")</f>
        <v/>
      </c>
      <c r="Y176">
        <f>HYPERLINK("https://klasma.github.io/Logging_2303/tillsynsmail/A 12271-2024 tillsynsbegäran mail.docx", "A 12271-2024")</f>
        <v/>
      </c>
    </row>
    <row r="177" ht="15" customHeight="1">
      <c r="A177" t="inlineStr">
        <is>
          <t>A 34715-2024</t>
        </is>
      </c>
      <c r="B177" s="1" t="n">
        <v>45526.56393518519</v>
      </c>
      <c r="C177" s="1" t="n">
        <v>46072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Vedticka</t>
        </is>
      </c>
      <c r="S177">
        <f>HYPERLINK("https://klasma.github.io/Logging_2303/artfynd/A 34715-2024 artfynd.xlsx", "A 34715-2024")</f>
        <v/>
      </c>
      <c r="T177">
        <f>HYPERLINK("https://klasma.github.io/Logging_2303/kartor/A 34715-2024 karta.png", "A 34715-2024")</f>
        <v/>
      </c>
      <c r="V177">
        <f>HYPERLINK("https://klasma.github.io/Logging_2303/klagomål/A 34715-2024 FSC-klagomål.docx", "A 34715-2024")</f>
        <v/>
      </c>
      <c r="W177">
        <f>HYPERLINK("https://klasma.github.io/Logging_2303/klagomålsmail/A 34715-2024 FSC-klagomål mail.docx", "A 34715-2024")</f>
        <v/>
      </c>
      <c r="X177">
        <f>HYPERLINK("https://klasma.github.io/Logging_2303/tillsyn/A 34715-2024 tillsynsbegäran.docx", "A 34715-2024")</f>
        <v/>
      </c>
      <c r="Y177">
        <f>HYPERLINK("https://klasma.github.io/Logging_2303/tillsynsmail/A 34715-2024 tillsynsbegäran mail.docx", "A 34715-2024")</f>
        <v/>
      </c>
    </row>
    <row r="178" ht="15" customHeight="1">
      <c r="A178" t="inlineStr">
        <is>
          <t>A 10866-2025</t>
        </is>
      </c>
      <c r="B178" s="1" t="n">
        <v>45722.61543981481</v>
      </c>
      <c r="C178" s="1" t="n">
        <v>46072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15.9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10866-2025 artfynd.xlsx", "A 10866-2025")</f>
        <v/>
      </c>
      <c r="T178">
        <f>HYPERLINK("https://klasma.github.io/Logging_2303/kartor/A 10866-2025 karta.png", "A 10866-2025")</f>
        <v/>
      </c>
      <c r="V178">
        <f>HYPERLINK("https://klasma.github.io/Logging_2303/klagomål/A 10866-2025 FSC-klagomål.docx", "A 10866-2025")</f>
        <v/>
      </c>
      <c r="W178">
        <f>HYPERLINK("https://klasma.github.io/Logging_2303/klagomålsmail/A 10866-2025 FSC-klagomål mail.docx", "A 10866-2025")</f>
        <v/>
      </c>
      <c r="X178">
        <f>HYPERLINK("https://klasma.github.io/Logging_2303/tillsyn/A 10866-2025 tillsynsbegäran.docx", "A 10866-2025")</f>
        <v/>
      </c>
      <c r="Y178">
        <f>HYPERLINK("https://klasma.github.io/Logging_2303/tillsynsmail/A 10866-2025 tillsynsbegäran mail.docx", "A 10866-2025")</f>
        <v/>
      </c>
    </row>
    <row r="179" ht="15" customHeight="1">
      <c r="A179" t="inlineStr">
        <is>
          <t>A 10884-2025</t>
        </is>
      </c>
      <c r="B179" s="1" t="n">
        <v>45722.65670138889</v>
      </c>
      <c r="C179" s="1" t="n">
        <v>46072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5.4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Vitgrynig nållav
Dropptaggsvamp</t>
        </is>
      </c>
      <c r="S179">
        <f>HYPERLINK("https://klasma.github.io/Logging_2303/artfynd/A 10884-2025 artfynd.xlsx", "A 10884-2025")</f>
        <v/>
      </c>
      <c r="T179">
        <f>HYPERLINK("https://klasma.github.io/Logging_2303/kartor/A 10884-2025 karta.png", "A 10884-2025")</f>
        <v/>
      </c>
      <c r="V179">
        <f>HYPERLINK("https://klasma.github.io/Logging_2303/klagomål/A 10884-2025 FSC-klagomål.docx", "A 10884-2025")</f>
        <v/>
      </c>
      <c r="W179">
        <f>HYPERLINK("https://klasma.github.io/Logging_2303/klagomålsmail/A 10884-2025 FSC-klagomål mail.docx", "A 10884-2025")</f>
        <v/>
      </c>
      <c r="X179">
        <f>HYPERLINK("https://klasma.github.io/Logging_2303/tillsyn/A 10884-2025 tillsynsbegäran.docx", "A 10884-2025")</f>
        <v/>
      </c>
      <c r="Y179">
        <f>HYPERLINK("https://klasma.github.io/Logging_2303/tillsynsmail/A 10884-2025 tillsynsbegäran mail.docx", "A 10884-2025")</f>
        <v/>
      </c>
    </row>
    <row r="180" ht="15" customHeight="1">
      <c r="A180" t="inlineStr">
        <is>
          <t>A 57940-2024</t>
        </is>
      </c>
      <c r="B180" s="1" t="n">
        <v>45631</v>
      </c>
      <c r="C180" s="1" t="n">
        <v>46072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1.9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Tretåig hackspett</t>
        </is>
      </c>
      <c r="S180">
        <f>HYPERLINK("https://klasma.github.io/Logging_2303/artfynd/A 57940-2024 artfynd.xlsx", "A 57940-2024")</f>
        <v/>
      </c>
      <c r="T180">
        <f>HYPERLINK("https://klasma.github.io/Logging_2303/kartor/A 57940-2024 karta.png", "A 57940-2024")</f>
        <v/>
      </c>
      <c r="V180">
        <f>HYPERLINK("https://klasma.github.io/Logging_2303/klagomål/A 57940-2024 FSC-klagomål.docx", "A 57940-2024")</f>
        <v/>
      </c>
      <c r="W180">
        <f>HYPERLINK("https://klasma.github.io/Logging_2303/klagomålsmail/A 57940-2024 FSC-klagomål mail.docx", "A 57940-2024")</f>
        <v/>
      </c>
      <c r="X180">
        <f>HYPERLINK("https://klasma.github.io/Logging_2303/tillsyn/A 57940-2024 tillsynsbegäran.docx", "A 57940-2024")</f>
        <v/>
      </c>
      <c r="Y180">
        <f>HYPERLINK("https://klasma.github.io/Logging_2303/tillsynsmail/A 57940-2024 tillsynsbegäran mail.docx", "A 57940-2024")</f>
        <v/>
      </c>
      <c r="Z180">
        <f>HYPERLINK("https://klasma.github.io/Logging_2303/fåglar/A 57940-2024 prioriterade fågelarter.docx", "A 57940-2024")</f>
        <v/>
      </c>
    </row>
    <row r="181" ht="15" customHeight="1">
      <c r="A181" t="inlineStr">
        <is>
          <t>A 3838-2024</t>
        </is>
      </c>
      <c r="B181" s="1" t="n">
        <v>45321</v>
      </c>
      <c r="C181" s="1" t="n">
        <v>46072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2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Guckusko</t>
        </is>
      </c>
      <c r="S181">
        <f>HYPERLINK("https://klasma.github.io/Logging_2303/artfynd/A 3838-2024 artfynd.xlsx", "A 3838-2024")</f>
        <v/>
      </c>
      <c r="T181">
        <f>HYPERLINK("https://klasma.github.io/Logging_2303/kartor/A 3838-2024 karta.png", "A 3838-2024")</f>
        <v/>
      </c>
      <c r="V181">
        <f>HYPERLINK("https://klasma.github.io/Logging_2303/klagomål/A 3838-2024 FSC-klagomål.docx", "A 3838-2024")</f>
        <v/>
      </c>
      <c r="W181">
        <f>HYPERLINK("https://klasma.github.io/Logging_2303/klagomålsmail/A 3838-2024 FSC-klagomål mail.docx", "A 3838-2024")</f>
        <v/>
      </c>
      <c r="X181">
        <f>HYPERLINK("https://klasma.github.io/Logging_2303/tillsyn/A 3838-2024 tillsynsbegäran.docx", "A 3838-2024")</f>
        <v/>
      </c>
      <c r="Y181">
        <f>HYPERLINK("https://klasma.github.io/Logging_2303/tillsynsmail/A 3838-2024 tillsynsbegäran mail.docx", "A 3838-2024")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46072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56285-2023</t>
        </is>
      </c>
      <c r="B183" s="1" t="n">
        <v>45241</v>
      </c>
      <c r="C183" s="1" t="n">
        <v>46072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Lunglav
Skrovellav</t>
        </is>
      </c>
      <c r="S183">
        <f>HYPERLINK("https://klasma.github.io/Logging_2303/artfynd/A 56285-2023 artfynd.xlsx", "A 56285-2023")</f>
        <v/>
      </c>
      <c r="T183">
        <f>HYPERLINK("https://klasma.github.io/Logging_2303/kartor/A 56285-2023 karta.png", "A 56285-2023")</f>
        <v/>
      </c>
      <c r="V183">
        <f>HYPERLINK("https://klasma.github.io/Logging_2303/klagomål/A 56285-2023 FSC-klagomål.docx", "A 56285-2023")</f>
        <v/>
      </c>
      <c r="W183">
        <f>HYPERLINK("https://klasma.github.io/Logging_2303/klagomålsmail/A 56285-2023 FSC-klagomål mail.docx", "A 56285-2023")</f>
        <v/>
      </c>
      <c r="X183">
        <f>HYPERLINK("https://klasma.github.io/Logging_2303/tillsyn/A 56285-2023 tillsynsbegäran.docx", "A 56285-2023")</f>
        <v/>
      </c>
      <c r="Y183">
        <f>HYPERLINK("https://klasma.github.io/Logging_2303/tillsynsmail/A 56285-2023 tillsynsbegäran mail.docx", "A 56285-2023")</f>
        <v/>
      </c>
    </row>
    <row r="184" ht="15" customHeight="1">
      <c r="A184" t="inlineStr">
        <is>
          <t>A 39495-2024</t>
        </is>
      </c>
      <c r="B184" s="1" t="n">
        <v>45551.65726851852</v>
      </c>
      <c r="C184" s="1" t="n">
        <v>46072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6.6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Ullticka</t>
        </is>
      </c>
      <c r="S184">
        <f>HYPERLINK("https://klasma.github.io/Logging_2303/artfynd/A 39495-2024 artfynd.xlsx", "A 39495-2024")</f>
        <v/>
      </c>
      <c r="T184">
        <f>HYPERLINK("https://klasma.github.io/Logging_2303/kartor/A 39495-2024 karta.png", "A 39495-2024")</f>
        <v/>
      </c>
      <c r="V184">
        <f>HYPERLINK("https://klasma.github.io/Logging_2303/klagomål/A 39495-2024 FSC-klagomål.docx", "A 39495-2024")</f>
        <v/>
      </c>
      <c r="W184">
        <f>HYPERLINK("https://klasma.github.io/Logging_2303/klagomålsmail/A 39495-2024 FSC-klagomål mail.docx", "A 39495-2024")</f>
        <v/>
      </c>
      <c r="X184">
        <f>HYPERLINK("https://klasma.github.io/Logging_2303/tillsyn/A 39495-2024 tillsynsbegäran.docx", "A 39495-2024")</f>
        <v/>
      </c>
      <c r="Y184">
        <f>HYPERLINK("https://klasma.github.io/Logging_2303/tillsynsmail/A 39495-2024 tillsynsbegäran mail.docx", "A 39495-2024")</f>
        <v/>
      </c>
    </row>
    <row r="185" ht="15" customHeight="1">
      <c r="A185" t="inlineStr">
        <is>
          <t>A 19728-2025</t>
        </is>
      </c>
      <c r="B185" s="1" t="n">
        <v>45771.36548611111</v>
      </c>
      <c r="C185" s="1" t="n">
        <v>46072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6.2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Stjärntagging
Tretåig hackspett</t>
        </is>
      </c>
      <c r="S185">
        <f>HYPERLINK("https://klasma.github.io/Logging_2303/artfynd/A 19728-2025 artfynd.xlsx", "A 19728-2025")</f>
        <v/>
      </c>
      <c r="T185">
        <f>HYPERLINK("https://klasma.github.io/Logging_2303/kartor/A 19728-2025 karta.png", "A 19728-2025")</f>
        <v/>
      </c>
      <c r="V185">
        <f>HYPERLINK("https://klasma.github.io/Logging_2303/klagomål/A 19728-2025 FSC-klagomål.docx", "A 19728-2025")</f>
        <v/>
      </c>
      <c r="W185">
        <f>HYPERLINK("https://klasma.github.io/Logging_2303/klagomålsmail/A 19728-2025 FSC-klagomål mail.docx", "A 19728-2025")</f>
        <v/>
      </c>
      <c r="X185">
        <f>HYPERLINK("https://klasma.github.io/Logging_2303/tillsyn/A 19728-2025 tillsynsbegäran.docx", "A 19728-2025")</f>
        <v/>
      </c>
      <c r="Y185">
        <f>HYPERLINK("https://klasma.github.io/Logging_2303/tillsynsmail/A 19728-2025 tillsynsbegäran mail.docx", "A 19728-2025")</f>
        <v/>
      </c>
      <c r="Z185">
        <f>HYPERLINK("https://klasma.github.io/Logging_2303/fåglar/A 19728-2025 prioriterade fågelarter.docx", "A 19728-2025")</f>
        <v/>
      </c>
    </row>
    <row r="186" ht="15" customHeight="1">
      <c r="A186" t="inlineStr">
        <is>
          <t>A 45035-2023</t>
        </is>
      </c>
      <c r="B186" s="1" t="n">
        <v>45191</v>
      </c>
      <c r="C186" s="1" t="n">
        <v>46072</v>
      </c>
      <c r="D186" t="inlineStr">
        <is>
          <t>JÄMTLANDS LÄN</t>
        </is>
      </c>
      <c r="E186" t="inlineStr">
        <is>
          <t>RAGUNDA</t>
        </is>
      </c>
      <c r="G186" t="n">
        <v>2.9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Korallblylav</t>
        </is>
      </c>
      <c r="S186">
        <f>HYPERLINK("https://klasma.github.io/Logging_2303/artfynd/A 45035-2023 artfynd.xlsx", "A 45035-2023")</f>
        <v/>
      </c>
      <c r="T186">
        <f>HYPERLINK("https://klasma.github.io/Logging_2303/kartor/A 45035-2023 karta.png", "A 45035-2023")</f>
        <v/>
      </c>
      <c r="V186">
        <f>HYPERLINK("https://klasma.github.io/Logging_2303/klagomål/A 45035-2023 FSC-klagomål.docx", "A 45035-2023")</f>
        <v/>
      </c>
      <c r="W186">
        <f>HYPERLINK("https://klasma.github.io/Logging_2303/klagomålsmail/A 45035-2023 FSC-klagomål mail.docx", "A 45035-2023")</f>
        <v/>
      </c>
      <c r="X186">
        <f>HYPERLINK("https://klasma.github.io/Logging_2303/tillsyn/A 45035-2023 tillsynsbegäran.docx", "A 45035-2023")</f>
        <v/>
      </c>
      <c r="Y186">
        <f>HYPERLINK("https://klasma.github.io/Logging_2303/tillsynsmail/A 45035-2023 tillsynsbegäran mail.docx", "A 45035-2023")</f>
        <v/>
      </c>
    </row>
    <row r="187" ht="15" customHeight="1">
      <c r="A187" t="inlineStr">
        <is>
          <t>A 11544-2024</t>
        </is>
      </c>
      <c r="B187" s="1" t="n">
        <v>45372.95680555556</v>
      </c>
      <c r="C187" s="1" t="n">
        <v>46072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15.5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Granticka
Mörk kolflarnlav</t>
        </is>
      </c>
      <c r="S187">
        <f>HYPERLINK("https://klasma.github.io/Logging_2303/artfynd/A 11544-2024 artfynd.xlsx", "A 11544-2024")</f>
        <v/>
      </c>
      <c r="T187">
        <f>HYPERLINK("https://klasma.github.io/Logging_2303/kartor/A 11544-2024 karta.png", "A 11544-2024")</f>
        <v/>
      </c>
      <c r="V187">
        <f>HYPERLINK("https://klasma.github.io/Logging_2303/klagomål/A 11544-2024 FSC-klagomål.docx", "A 11544-2024")</f>
        <v/>
      </c>
      <c r="W187">
        <f>HYPERLINK("https://klasma.github.io/Logging_2303/klagomålsmail/A 11544-2024 FSC-klagomål mail.docx", "A 11544-2024")</f>
        <v/>
      </c>
      <c r="X187">
        <f>HYPERLINK("https://klasma.github.io/Logging_2303/tillsyn/A 11544-2024 tillsynsbegäran.docx", "A 11544-2024")</f>
        <v/>
      </c>
      <c r="Y187">
        <f>HYPERLINK("https://klasma.github.io/Logging_2303/tillsynsmail/A 11544-2024 tillsynsbegäran mail.docx", "A 11544-2024")</f>
        <v/>
      </c>
    </row>
    <row r="188" ht="15" customHeight="1">
      <c r="A188" t="inlineStr">
        <is>
          <t>A 11843-2023</t>
        </is>
      </c>
      <c r="B188" s="1" t="n">
        <v>44993</v>
      </c>
      <c r="C188" s="1" t="n">
        <v>46072</v>
      </c>
      <c r="D188" t="inlineStr">
        <is>
          <t>JÄMTLANDS LÄN</t>
        </is>
      </c>
      <c r="E188" t="inlineStr">
        <is>
          <t>RAGUNDA</t>
        </is>
      </c>
      <c r="G188" t="n">
        <v>6.4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Revlummer</t>
        </is>
      </c>
      <c r="S188">
        <f>HYPERLINK("https://klasma.github.io/Logging_2303/artfynd/A 11843-2023 artfynd.xlsx", "A 11843-2023")</f>
        <v/>
      </c>
      <c r="T188">
        <f>HYPERLINK("https://klasma.github.io/Logging_2303/kartor/A 11843-2023 karta.png", "A 11843-2023")</f>
        <v/>
      </c>
      <c r="V188">
        <f>HYPERLINK("https://klasma.github.io/Logging_2303/klagomål/A 11843-2023 FSC-klagomål.docx", "A 11843-2023")</f>
        <v/>
      </c>
      <c r="W188">
        <f>HYPERLINK("https://klasma.github.io/Logging_2303/klagomålsmail/A 11843-2023 FSC-klagomål mail.docx", "A 11843-2023")</f>
        <v/>
      </c>
      <c r="X188">
        <f>HYPERLINK("https://klasma.github.io/Logging_2303/tillsyn/A 11843-2023 tillsynsbegäran.docx", "A 11843-2023")</f>
        <v/>
      </c>
      <c r="Y188">
        <f>HYPERLINK("https://klasma.github.io/Logging_2303/tillsynsmail/A 11843-2023 tillsynsbegäran mail.docx", "A 11843-2023")</f>
        <v/>
      </c>
      <c r="Z188">
        <f>HYPERLINK("https://klasma.github.io/Logging_2303/fåglar/A 11843-2023 prioriterade fågelarter.docx", "A 11843-2023")</f>
        <v/>
      </c>
    </row>
    <row r="189" ht="15" customHeight="1">
      <c r="A189" t="inlineStr">
        <is>
          <t>A 17733-2022</t>
        </is>
      </c>
      <c r="B189" s="1" t="n">
        <v>44680</v>
      </c>
      <c r="C189" s="1" t="n">
        <v>46072</v>
      </c>
      <c r="D189" t="inlineStr">
        <is>
          <t>JÄMTLANDS LÄN</t>
        </is>
      </c>
      <c r="E189" t="inlineStr">
        <is>
          <t>RAGUNDA</t>
        </is>
      </c>
      <c r="G189" t="n">
        <v>2.2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Lunglav
Skrovellav</t>
        </is>
      </c>
      <c r="S189">
        <f>HYPERLINK("https://klasma.github.io/Logging_2303/artfynd/A 17733-2022 artfynd.xlsx", "A 17733-2022")</f>
        <v/>
      </c>
      <c r="T189">
        <f>HYPERLINK("https://klasma.github.io/Logging_2303/kartor/A 17733-2022 karta.png", "A 17733-2022")</f>
        <v/>
      </c>
      <c r="V189">
        <f>HYPERLINK("https://klasma.github.io/Logging_2303/klagomål/A 17733-2022 FSC-klagomål.docx", "A 17733-2022")</f>
        <v/>
      </c>
      <c r="W189">
        <f>HYPERLINK("https://klasma.github.io/Logging_2303/klagomålsmail/A 17733-2022 FSC-klagomål mail.docx", "A 17733-2022")</f>
        <v/>
      </c>
      <c r="X189">
        <f>HYPERLINK("https://klasma.github.io/Logging_2303/tillsyn/A 17733-2022 tillsynsbegäran.docx", "A 17733-2022")</f>
        <v/>
      </c>
      <c r="Y189">
        <f>HYPERLINK("https://klasma.github.io/Logging_2303/tillsynsmail/A 17733-2022 tillsynsbegäran mail.docx", "A 17733-2022")</f>
        <v/>
      </c>
    </row>
    <row r="190" ht="15" customHeight="1">
      <c r="A190" t="inlineStr">
        <is>
          <t>A 26482-2023</t>
        </is>
      </c>
      <c r="B190" s="1" t="n">
        <v>45089</v>
      </c>
      <c r="C190" s="1" t="n">
        <v>46072</v>
      </c>
      <c r="D190" t="inlineStr">
        <is>
          <t>JÄMTLANDS LÄN</t>
        </is>
      </c>
      <c r="E190" t="inlineStr">
        <is>
          <t>RAGUNDA</t>
        </is>
      </c>
      <c r="G190" t="n">
        <v>2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HYPERLINK("https://klasma.github.io/Logging_2303/artfynd/A 26482-2023 artfynd.xlsx", "A 26482-2023")</f>
        <v/>
      </c>
      <c r="T190">
        <f>HYPERLINK("https://klasma.github.io/Logging_2303/kartor/A 26482-2023 karta.png", "A 26482-2023")</f>
        <v/>
      </c>
      <c r="V190">
        <f>HYPERLINK("https://klasma.github.io/Logging_2303/klagomål/A 26482-2023 FSC-klagomål.docx", "A 26482-2023")</f>
        <v/>
      </c>
      <c r="W190">
        <f>HYPERLINK("https://klasma.github.io/Logging_2303/klagomålsmail/A 26482-2023 FSC-klagomål mail.docx", "A 26482-2023")</f>
        <v/>
      </c>
      <c r="X190">
        <f>HYPERLINK("https://klasma.github.io/Logging_2303/tillsyn/A 26482-2023 tillsynsbegäran.docx", "A 26482-2023")</f>
        <v/>
      </c>
      <c r="Y190">
        <f>HYPERLINK("https://klasma.github.io/Logging_2303/tillsynsmail/A 26482-2023 tillsynsbegäran mail.docx", "A 26482-2023")</f>
        <v/>
      </c>
      <c r="Z190">
        <f>HYPERLINK("https://klasma.github.io/Logging_2303/fåglar/A 26482-2023 prioriterade fågelarter.docx", "A 26482-2023")</f>
        <v/>
      </c>
    </row>
    <row r="191" ht="15" customHeight="1">
      <c r="A191" t="inlineStr">
        <is>
          <t>A 48084-2022</t>
        </is>
      </c>
      <c r="B191" s="1" t="n">
        <v>44855</v>
      </c>
      <c r="C191" s="1" t="n">
        <v>46072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4.7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Rosenticka
Tretåig hackspett</t>
        </is>
      </c>
      <c r="S191">
        <f>HYPERLINK("https://klasma.github.io/Logging_2303/artfynd/A 48084-2022 artfynd.xlsx", "A 48084-2022")</f>
        <v/>
      </c>
      <c r="T191">
        <f>HYPERLINK("https://klasma.github.io/Logging_2303/kartor/A 48084-2022 karta.png", "A 48084-2022")</f>
        <v/>
      </c>
      <c r="V191">
        <f>HYPERLINK("https://klasma.github.io/Logging_2303/klagomål/A 48084-2022 FSC-klagomål.docx", "A 48084-2022")</f>
        <v/>
      </c>
      <c r="W191">
        <f>HYPERLINK("https://klasma.github.io/Logging_2303/klagomålsmail/A 48084-2022 FSC-klagomål mail.docx", "A 48084-2022")</f>
        <v/>
      </c>
      <c r="X191">
        <f>HYPERLINK("https://klasma.github.io/Logging_2303/tillsyn/A 48084-2022 tillsynsbegäran.docx", "A 48084-2022")</f>
        <v/>
      </c>
      <c r="Y191">
        <f>HYPERLINK("https://klasma.github.io/Logging_2303/tillsynsmail/A 48084-2022 tillsynsbegäran mail.docx", "A 48084-2022")</f>
        <v/>
      </c>
      <c r="Z191">
        <f>HYPERLINK("https://klasma.github.io/Logging_2303/fåglar/A 48084-2022 prioriterade fågelarter.docx", "A 48084-2022")</f>
        <v/>
      </c>
    </row>
    <row r="192" ht="15" customHeight="1">
      <c r="A192" t="inlineStr">
        <is>
          <t>A 26324-2024</t>
        </is>
      </c>
      <c r="B192" s="1" t="n">
        <v>45468.97495370371</v>
      </c>
      <c r="C192" s="1" t="n">
        <v>46072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Vedtrappmossa</t>
        </is>
      </c>
      <c r="S192">
        <f>HYPERLINK("https://klasma.github.io/Logging_2303/artfynd/A 26324-2024 artfynd.xlsx", "A 26324-2024")</f>
        <v/>
      </c>
      <c r="T192">
        <f>HYPERLINK("https://klasma.github.io/Logging_2303/kartor/A 26324-2024 karta.png", "A 26324-2024")</f>
        <v/>
      </c>
      <c r="U192">
        <f>HYPERLINK("https://klasma.github.io/Logging_2303/knärot/A 26324-2024 karta knärot.png", "A 26324-2024")</f>
        <v/>
      </c>
      <c r="V192">
        <f>HYPERLINK("https://klasma.github.io/Logging_2303/klagomål/A 26324-2024 FSC-klagomål.docx", "A 26324-2024")</f>
        <v/>
      </c>
      <c r="W192">
        <f>HYPERLINK("https://klasma.github.io/Logging_2303/klagomålsmail/A 26324-2024 FSC-klagomål mail.docx", "A 26324-2024")</f>
        <v/>
      </c>
      <c r="X192">
        <f>HYPERLINK("https://klasma.github.io/Logging_2303/tillsyn/A 26324-2024 tillsynsbegäran.docx", "A 26324-2024")</f>
        <v/>
      </c>
      <c r="Y192">
        <f>HYPERLINK("https://klasma.github.io/Logging_2303/tillsynsmail/A 26324-2024 tillsynsbegäran mail.docx", "A 26324-2024")</f>
        <v/>
      </c>
    </row>
    <row r="193" ht="15" customHeight="1">
      <c r="A193" t="inlineStr">
        <is>
          <t>A 21245-2025</t>
        </is>
      </c>
      <c r="B193" s="1" t="n">
        <v>45779.57350694444</v>
      </c>
      <c r="C193" s="1" t="n">
        <v>46072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Tjäder</t>
        </is>
      </c>
      <c r="S193">
        <f>HYPERLINK("https://klasma.github.io/Logging_2303/artfynd/A 21245-2025 artfynd.xlsx", "A 21245-2025")</f>
        <v/>
      </c>
      <c r="T193">
        <f>HYPERLINK("https://klasma.github.io/Logging_2303/kartor/A 21245-2025 karta.png", "A 21245-2025")</f>
        <v/>
      </c>
      <c r="V193">
        <f>HYPERLINK("https://klasma.github.io/Logging_2303/klagomål/A 21245-2025 FSC-klagomål.docx", "A 21245-2025")</f>
        <v/>
      </c>
      <c r="W193">
        <f>HYPERLINK("https://klasma.github.io/Logging_2303/klagomålsmail/A 21245-2025 FSC-klagomål mail.docx", "A 21245-2025")</f>
        <v/>
      </c>
      <c r="X193">
        <f>HYPERLINK("https://klasma.github.io/Logging_2303/tillsyn/A 21245-2025 tillsynsbegäran.docx", "A 21245-2025")</f>
        <v/>
      </c>
      <c r="Y193">
        <f>HYPERLINK("https://klasma.github.io/Logging_2303/tillsynsmail/A 21245-2025 tillsynsbegäran mail.docx", "A 21245-2025")</f>
        <v/>
      </c>
      <c r="Z193">
        <f>HYPERLINK("https://klasma.github.io/Logging_2303/fåglar/A 21245-2025 prioriterade fågelarter.docx", "A 21245-2025")</f>
        <v/>
      </c>
    </row>
    <row r="194" ht="15" customHeight="1">
      <c r="A194" t="inlineStr">
        <is>
          <t>A 51916-2021</t>
        </is>
      </c>
      <c r="B194" s="1" t="n">
        <v>44462</v>
      </c>
      <c r="C194" s="1" t="n">
        <v>46072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Varglav</t>
        </is>
      </c>
      <c r="S194">
        <f>HYPERLINK("https://klasma.github.io/Logging_2303/artfynd/A 51916-2021 artfynd.xlsx", "A 51916-2021")</f>
        <v/>
      </c>
      <c r="T194">
        <f>HYPERLINK("https://klasma.github.io/Logging_2303/kartor/A 51916-2021 karta.png", "A 51916-2021")</f>
        <v/>
      </c>
      <c r="V194">
        <f>HYPERLINK("https://klasma.github.io/Logging_2303/klagomål/A 51916-2021 FSC-klagomål.docx", "A 51916-2021")</f>
        <v/>
      </c>
      <c r="W194">
        <f>HYPERLINK("https://klasma.github.io/Logging_2303/klagomålsmail/A 51916-2021 FSC-klagomål mail.docx", "A 51916-2021")</f>
        <v/>
      </c>
      <c r="X194">
        <f>HYPERLINK("https://klasma.github.io/Logging_2303/tillsyn/A 51916-2021 tillsynsbegäran.docx", "A 51916-2021")</f>
        <v/>
      </c>
      <c r="Y194">
        <f>HYPERLINK("https://klasma.github.io/Logging_2303/tillsynsmail/A 51916-2021 tillsynsbegäran mail.docx", "A 51916-2021")</f>
        <v/>
      </c>
    </row>
    <row r="195" ht="15" customHeight="1">
      <c r="A195" t="inlineStr">
        <is>
          <t>A 21275-2022</t>
        </is>
      </c>
      <c r="B195" s="1" t="n">
        <v>44705</v>
      </c>
      <c r="C195" s="1" t="n">
        <v>46072</v>
      </c>
      <c r="D195" t="inlineStr">
        <is>
          <t>JÄMTLANDS LÄN</t>
        </is>
      </c>
      <c r="E195" t="inlineStr">
        <is>
          <t>RAGUNDA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Kransrams</t>
        </is>
      </c>
      <c r="S195">
        <f>HYPERLINK("https://klasma.github.io/Logging_2303/artfynd/A 21275-2022 artfynd.xlsx", "A 21275-2022")</f>
        <v/>
      </c>
      <c r="T195">
        <f>HYPERLINK("https://klasma.github.io/Logging_2303/kartor/A 21275-2022 karta.png", "A 21275-2022")</f>
        <v/>
      </c>
      <c r="V195">
        <f>HYPERLINK("https://klasma.github.io/Logging_2303/klagomål/A 21275-2022 FSC-klagomål.docx", "A 21275-2022")</f>
        <v/>
      </c>
      <c r="W195">
        <f>HYPERLINK("https://klasma.github.io/Logging_2303/klagomålsmail/A 21275-2022 FSC-klagomål mail.docx", "A 21275-2022")</f>
        <v/>
      </c>
      <c r="X195">
        <f>HYPERLINK("https://klasma.github.io/Logging_2303/tillsyn/A 21275-2022 tillsynsbegäran.docx", "A 21275-2022")</f>
        <v/>
      </c>
      <c r="Y195">
        <f>HYPERLINK("https://klasma.github.io/Logging_2303/tillsynsmail/A 21275-2022 tillsynsbegäran mail.docx", "A 21275-2022")</f>
        <v/>
      </c>
    </row>
    <row r="196" ht="15" customHeight="1">
      <c r="A196" t="inlineStr">
        <is>
          <t>A 27273-2022</t>
        </is>
      </c>
      <c r="B196" s="1" t="n">
        <v>44741</v>
      </c>
      <c r="C196" s="1" t="n">
        <v>46072</v>
      </c>
      <c r="D196" t="inlineStr">
        <is>
          <t>JÄMTLANDS LÄN</t>
        </is>
      </c>
      <c r="E196" t="inlineStr">
        <is>
          <t>RAGUNDA</t>
        </is>
      </c>
      <c r="G196" t="n">
        <v>1.2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Svart trolldruva</t>
        </is>
      </c>
      <c r="S196">
        <f>HYPERLINK("https://klasma.github.io/Logging_2303/artfynd/A 27273-2022 artfynd.xlsx", "A 27273-2022")</f>
        <v/>
      </c>
      <c r="T196">
        <f>HYPERLINK("https://klasma.github.io/Logging_2303/kartor/A 27273-2022 karta.png", "A 27273-2022")</f>
        <v/>
      </c>
      <c r="V196">
        <f>HYPERLINK("https://klasma.github.io/Logging_2303/klagomål/A 27273-2022 FSC-klagomål.docx", "A 27273-2022")</f>
        <v/>
      </c>
      <c r="W196">
        <f>HYPERLINK("https://klasma.github.io/Logging_2303/klagomålsmail/A 27273-2022 FSC-klagomål mail.docx", "A 27273-2022")</f>
        <v/>
      </c>
      <c r="X196">
        <f>HYPERLINK("https://klasma.github.io/Logging_2303/tillsyn/A 27273-2022 tillsynsbegäran.docx", "A 27273-2022")</f>
        <v/>
      </c>
      <c r="Y196">
        <f>HYPERLINK("https://klasma.github.io/Logging_2303/tillsynsmail/A 27273-2022 tillsynsbegäran mail.docx", "A 27273-2022")</f>
        <v/>
      </c>
    </row>
    <row r="197" ht="15" customHeight="1">
      <c r="A197" t="inlineStr">
        <is>
          <t>A 31477-2022</t>
        </is>
      </c>
      <c r="B197" s="1" t="n">
        <v>44774.94347222222</v>
      </c>
      <c r="C197" s="1" t="n">
        <v>46072</v>
      </c>
      <c r="D197" t="inlineStr">
        <is>
          <t>JÄMTLANDS LÄN</t>
        </is>
      </c>
      <c r="E197" t="inlineStr">
        <is>
          <t>RAGUNDA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HYPERLINK("https://klasma.github.io/Logging_2303/artfynd/A 31477-2022 artfynd.xlsx", "A 31477-2022")</f>
        <v/>
      </c>
      <c r="T197">
        <f>HYPERLINK("https://klasma.github.io/Logging_2303/kartor/A 31477-2022 karta.png", "A 31477-2022")</f>
        <v/>
      </c>
      <c r="V197">
        <f>HYPERLINK("https://klasma.github.io/Logging_2303/klagomål/A 31477-2022 FSC-klagomål.docx", "A 31477-2022")</f>
        <v/>
      </c>
      <c r="W197">
        <f>HYPERLINK("https://klasma.github.io/Logging_2303/klagomålsmail/A 31477-2022 FSC-klagomål mail.docx", "A 31477-2022")</f>
        <v/>
      </c>
      <c r="X197">
        <f>HYPERLINK("https://klasma.github.io/Logging_2303/tillsyn/A 31477-2022 tillsynsbegäran.docx", "A 31477-2022")</f>
        <v/>
      </c>
      <c r="Y197">
        <f>HYPERLINK("https://klasma.github.io/Logging_2303/tillsynsmail/A 31477-2022 tillsynsbegäran mail.docx", "A 31477-2022")</f>
        <v/>
      </c>
    </row>
    <row r="198" ht="15" customHeight="1">
      <c r="A198" t="inlineStr">
        <is>
          <t>A 27286-2022</t>
        </is>
      </c>
      <c r="B198" s="1" t="n">
        <v>44741</v>
      </c>
      <c r="C198" s="1" t="n">
        <v>46072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Harticka</t>
        </is>
      </c>
      <c r="S198">
        <f>HYPERLINK("https://klasma.github.io/Logging_2303/artfynd/A 27286-2022 artfynd.xlsx", "A 27286-2022")</f>
        <v/>
      </c>
      <c r="T198">
        <f>HYPERLINK("https://klasma.github.io/Logging_2303/kartor/A 27286-2022 karta.png", "A 27286-2022")</f>
        <v/>
      </c>
      <c r="V198">
        <f>HYPERLINK("https://klasma.github.io/Logging_2303/klagomål/A 27286-2022 FSC-klagomål.docx", "A 27286-2022")</f>
        <v/>
      </c>
      <c r="W198">
        <f>HYPERLINK("https://klasma.github.io/Logging_2303/klagomålsmail/A 27286-2022 FSC-klagomål mail.docx", "A 27286-2022")</f>
        <v/>
      </c>
      <c r="X198">
        <f>HYPERLINK("https://klasma.github.io/Logging_2303/tillsyn/A 27286-2022 tillsynsbegäran.docx", "A 27286-2022")</f>
        <v/>
      </c>
      <c r="Y198">
        <f>HYPERLINK("https://klasma.github.io/Logging_2303/tillsynsmail/A 27286-2022 tillsynsbegäran mail.docx", "A 27286-2022")</f>
        <v/>
      </c>
    </row>
    <row r="199" ht="15" customHeight="1">
      <c r="A199" t="inlineStr">
        <is>
          <t>A 42899-2022</t>
        </is>
      </c>
      <c r="B199" s="1" t="n">
        <v>44832</v>
      </c>
      <c r="C199" s="1" t="n">
        <v>46072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Ullticka</t>
        </is>
      </c>
      <c r="S199">
        <f>HYPERLINK("https://klasma.github.io/Logging_2303/artfynd/A 42899-2022 artfynd.xlsx", "A 42899-2022")</f>
        <v/>
      </c>
      <c r="T199">
        <f>HYPERLINK("https://klasma.github.io/Logging_2303/kartor/A 42899-2022 karta.png", "A 42899-2022")</f>
        <v/>
      </c>
      <c r="V199">
        <f>HYPERLINK("https://klasma.github.io/Logging_2303/klagomål/A 42899-2022 FSC-klagomål.docx", "A 42899-2022")</f>
        <v/>
      </c>
      <c r="W199">
        <f>HYPERLINK("https://klasma.github.io/Logging_2303/klagomålsmail/A 42899-2022 FSC-klagomål mail.docx", "A 42899-2022")</f>
        <v/>
      </c>
      <c r="X199">
        <f>HYPERLINK("https://klasma.github.io/Logging_2303/tillsyn/A 42899-2022 tillsynsbegäran.docx", "A 42899-2022")</f>
        <v/>
      </c>
      <c r="Y199">
        <f>HYPERLINK("https://klasma.github.io/Logging_2303/tillsynsmail/A 42899-2022 tillsynsbegäran mail.docx", "A 42899-2022")</f>
        <v/>
      </c>
    </row>
    <row r="200" ht="15" customHeight="1">
      <c r="A200" t="inlineStr">
        <is>
          <t>A 6703-2024</t>
        </is>
      </c>
      <c r="B200" s="1" t="n">
        <v>45341</v>
      </c>
      <c r="C200" s="1" t="n">
        <v>46072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Vitgrynig nållav</t>
        </is>
      </c>
      <c r="S200">
        <f>HYPERLINK("https://klasma.github.io/Logging_2303/artfynd/A 6703-2024 artfynd.xlsx", "A 6703-2024")</f>
        <v/>
      </c>
      <c r="T200">
        <f>HYPERLINK("https://klasma.github.io/Logging_2303/kartor/A 6703-2024 karta.png", "A 6703-2024")</f>
        <v/>
      </c>
      <c r="V200">
        <f>HYPERLINK("https://klasma.github.io/Logging_2303/klagomål/A 6703-2024 FSC-klagomål.docx", "A 6703-2024")</f>
        <v/>
      </c>
      <c r="W200">
        <f>HYPERLINK("https://klasma.github.io/Logging_2303/klagomålsmail/A 6703-2024 FSC-klagomål mail.docx", "A 6703-2024")</f>
        <v/>
      </c>
      <c r="X200">
        <f>HYPERLINK("https://klasma.github.io/Logging_2303/tillsyn/A 6703-2024 tillsynsbegäran.docx", "A 6703-2024")</f>
        <v/>
      </c>
      <c r="Y200">
        <f>HYPERLINK("https://klasma.github.io/Logging_2303/tillsynsmail/A 6703-2024 tillsynsbegäran mail.docx", "A 6703-2024")</f>
        <v/>
      </c>
    </row>
    <row r="201" ht="15" customHeight="1">
      <c r="A201" t="inlineStr">
        <is>
          <t>A 20575-2025</t>
        </is>
      </c>
      <c r="B201" s="1" t="n">
        <v>45775.67769675926</v>
      </c>
      <c r="C201" s="1" t="n">
        <v>46072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8.1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Skogsfru</t>
        </is>
      </c>
      <c r="S201">
        <f>HYPERLINK("https://klasma.github.io/Logging_2303/artfynd/A 20575-2025 artfynd.xlsx", "A 20575-2025")</f>
        <v/>
      </c>
      <c r="T201">
        <f>HYPERLINK("https://klasma.github.io/Logging_2303/kartor/A 20575-2025 karta.png", "A 20575-2025")</f>
        <v/>
      </c>
      <c r="V201">
        <f>HYPERLINK("https://klasma.github.io/Logging_2303/klagomål/A 20575-2025 FSC-klagomål.docx", "A 20575-2025")</f>
        <v/>
      </c>
      <c r="W201">
        <f>HYPERLINK("https://klasma.github.io/Logging_2303/klagomålsmail/A 20575-2025 FSC-klagomål mail.docx", "A 20575-2025")</f>
        <v/>
      </c>
      <c r="X201">
        <f>HYPERLINK("https://klasma.github.io/Logging_2303/tillsyn/A 20575-2025 tillsynsbegäran.docx", "A 20575-2025")</f>
        <v/>
      </c>
      <c r="Y201">
        <f>HYPERLINK("https://klasma.github.io/Logging_2303/tillsynsmail/A 20575-2025 tillsynsbegäran mail.docx", "A 20575-2025")</f>
        <v/>
      </c>
    </row>
    <row r="202" ht="15" customHeight="1">
      <c r="A202" t="inlineStr">
        <is>
          <t>A 16316-2025</t>
        </is>
      </c>
      <c r="B202" s="1" t="n">
        <v>45751.34795138889</v>
      </c>
      <c r="C202" s="1" t="n">
        <v>46072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Dactylorhiza incarnata subsp. incarnata</t>
        </is>
      </c>
      <c r="S202">
        <f>HYPERLINK("https://klasma.github.io/Logging_2303/artfynd/A 16316-2025 artfynd.xlsx", "A 16316-2025")</f>
        <v/>
      </c>
      <c r="T202">
        <f>HYPERLINK("https://klasma.github.io/Logging_2303/kartor/A 16316-2025 karta.png", "A 16316-2025")</f>
        <v/>
      </c>
      <c r="V202">
        <f>HYPERLINK("https://klasma.github.io/Logging_2303/klagomål/A 16316-2025 FSC-klagomål.docx", "A 16316-2025")</f>
        <v/>
      </c>
      <c r="W202">
        <f>HYPERLINK("https://klasma.github.io/Logging_2303/klagomålsmail/A 16316-2025 FSC-klagomål mail.docx", "A 16316-2025")</f>
        <v/>
      </c>
      <c r="X202">
        <f>HYPERLINK("https://klasma.github.io/Logging_2303/tillsyn/A 16316-2025 tillsynsbegäran.docx", "A 16316-2025")</f>
        <v/>
      </c>
      <c r="Y202">
        <f>HYPERLINK("https://klasma.github.io/Logging_2303/tillsynsmail/A 16316-2025 tillsynsbegäran mail.docx", "A 16316-2025")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46072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25694-2023</t>
        </is>
      </c>
      <c r="B204" s="1" t="n">
        <v>45089</v>
      </c>
      <c r="C204" s="1" t="n">
        <v>46072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25694-2023 artfynd.xlsx", "A 25694-2023")</f>
        <v/>
      </c>
      <c r="T204">
        <f>HYPERLINK("https://klasma.github.io/Logging_2303/kartor/A 25694-2023 karta.png", "A 25694-2023")</f>
        <v/>
      </c>
      <c r="V204">
        <f>HYPERLINK("https://klasma.github.io/Logging_2303/klagomål/A 25694-2023 FSC-klagomål.docx", "A 25694-2023")</f>
        <v/>
      </c>
      <c r="W204">
        <f>HYPERLINK("https://klasma.github.io/Logging_2303/klagomålsmail/A 25694-2023 FSC-klagomål mail.docx", "A 25694-2023")</f>
        <v/>
      </c>
      <c r="X204">
        <f>HYPERLINK("https://klasma.github.io/Logging_2303/tillsyn/A 25694-2023 tillsynsbegäran.docx", "A 25694-2023")</f>
        <v/>
      </c>
      <c r="Y204">
        <f>HYPERLINK("https://klasma.github.io/Logging_2303/tillsynsmail/A 25694-2023 tillsynsbegäran mail.docx", "A 25694-2023")</f>
        <v/>
      </c>
    </row>
    <row r="205" ht="15" customHeight="1">
      <c r="A205" t="inlineStr">
        <is>
          <t>A 11040-2023</t>
        </is>
      </c>
      <c r="B205" s="1" t="n">
        <v>44991</v>
      </c>
      <c r="C205" s="1" t="n">
        <v>46072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10.2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HYPERLINK("https://klasma.github.io/Logging_2303/artfynd/A 11040-2023 artfynd.xlsx", "A 11040-2023")</f>
        <v/>
      </c>
      <c r="T205">
        <f>HYPERLINK("https://klasma.github.io/Logging_2303/kartor/A 11040-2023 karta.png", "A 11040-2023")</f>
        <v/>
      </c>
      <c r="V205">
        <f>HYPERLINK("https://klasma.github.io/Logging_2303/klagomål/A 11040-2023 FSC-klagomål.docx", "A 11040-2023")</f>
        <v/>
      </c>
      <c r="W205">
        <f>HYPERLINK("https://klasma.github.io/Logging_2303/klagomålsmail/A 11040-2023 FSC-klagomål mail.docx", "A 11040-2023")</f>
        <v/>
      </c>
      <c r="X205">
        <f>HYPERLINK("https://klasma.github.io/Logging_2303/tillsyn/A 11040-2023 tillsynsbegäran.docx", "A 11040-2023")</f>
        <v/>
      </c>
      <c r="Y205">
        <f>HYPERLINK("https://klasma.github.io/Logging_2303/tillsynsmail/A 11040-2023 tillsynsbegäran mail.docx", "A 11040-2023")</f>
        <v/>
      </c>
    </row>
    <row r="206" ht="15" customHeight="1">
      <c r="A206" t="inlineStr">
        <is>
          <t>A 55756-2025</t>
        </is>
      </c>
      <c r="B206" s="1" t="n">
        <v>45972.59438657408</v>
      </c>
      <c r="C206" s="1" t="n">
        <v>46072</v>
      </c>
      <c r="D206" t="inlineStr">
        <is>
          <t>JÄMTLANDS LÄN</t>
        </is>
      </c>
      <c r="E206" t="inlineStr">
        <is>
          <t>RAGUNDA</t>
        </is>
      </c>
      <c r="G206" t="n">
        <v>1.6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HYPERLINK("https://klasma.github.io/Logging_2303/artfynd/A 55756-2025 artfynd.xlsx", "A 55756-2025")</f>
        <v/>
      </c>
      <c r="T206">
        <f>HYPERLINK("https://klasma.github.io/Logging_2303/kartor/A 55756-2025 karta.png", "A 55756-2025")</f>
        <v/>
      </c>
      <c r="V206">
        <f>HYPERLINK("https://klasma.github.io/Logging_2303/klagomål/A 55756-2025 FSC-klagomål.docx", "A 55756-2025")</f>
        <v/>
      </c>
      <c r="W206">
        <f>HYPERLINK("https://klasma.github.io/Logging_2303/klagomålsmail/A 55756-2025 FSC-klagomål mail.docx", "A 55756-2025")</f>
        <v/>
      </c>
      <c r="X206">
        <f>HYPERLINK("https://klasma.github.io/Logging_2303/tillsyn/A 55756-2025 tillsynsbegäran.docx", "A 55756-2025")</f>
        <v/>
      </c>
      <c r="Y206">
        <f>HYPERLINK("https://klasma.github.io/Logging_2303/tillsynsmail/A 55756-2025 tillsynsbegäran mail.docx", "A 55756-2025")</f>
        <v/>
      </c>
    </row>
    <row r="207" ht="15" customHeight="1">
      <c r="A207" t="inlineStr">
        <is>
          <t>A 44066-2024</t>
        </is>
      </c>
      <c r="B207" s="1" t="n">
        <v>45572.60363425926</v>
      </c>
      <c r="C207" s="1" t="n">
        <v>46072</v>
      </c>
      <c r="D207" t="inlineStr">
        <is>
          <t>JÄMTLANDS LÄN</t>
        </is>
      </c>
      <c r="E207" t="inlineStr">
        <is>
          <t>RAGUNDA</t>
        </is>
      </c>
      <c r="G207" t="n">
        <v>6.4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HYPERLINK("https://klasma.github.io/Logging_2303/artfynd/A 44066-2024 artfynd.xlsx", "A 44066-2024")</f>
        <v/>
      </c>
      <c r="T207">
        <f>HYPERLINK("https://klasma.github.io/Logging_2303/kartor/A 44066-2024 karta.png", "A 44066-2024")</f>
        <v/>
      </c>
      <c r="V207">
        <f>HYPERLINK("https://klasma.github.io/Logging_2303/klagomål/A 44066-2024 FSC-klagomål.docx", "A 44066-2024")</f>
        <v/>
      </c>
      <c r="W207">
        <f>HYPERLINK("https://klasma.github.io/Logging_2303/klagomålsmail/A 44066-2024 FSC-klagomål mail.docx", "A 44066-2024")</f>
        <v/>
      </c>
      <c r="X207">
        <f>HYPERLINK("https://klasma.github.io/Logging_2303/tillsyn/A 44066-2024 tillsynsbegäran.docx", "A 44066-2024")</f>
        <v/>
      </c>
      <c r="Y207">
        <f>HYPERLINK("https://klasma.github.io/Logging_2303/tillsynsmail/A 44066-2024 tillsynsbegäran mail.docx", "A 44066-2024")</f>
        <v/>
      </c>
      <c r="Z207">
        <f>HYPERLINK("https://klasma.github.io/Logging_2303/fåglar/A 44066-2024 prioriterade fågelarter.docx", "A 44066-2024")</f>
        <v/>
      </c>
    </row>
    <row r="208" ht="15" customHeight="1">
      <c r="A208" t="inlineStr">
        <is>
          <t>A 36975-2023</t>
        </is>
      </c>
      <c r="B208" s="1" t="n">
        <v>45154</v>
      </c>
      <c r="C208" s="1" t="n">
        <v>46072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Gräddporing</t>
        </is>
      </c>
      <c r="S208">
        <f>HYPERLINK("https://klasma.github.io/Logging_2303/artfynd/A 36975-2023 artfynd.xlsx", "A 36975-2023")</f>
        <v/>
      </c>
      <c r="T208">
        <f>HYPERLINK("https://klasma.github.io/Logging_2303/kartor/A 36975-2023 karta.png", "A 36975-2023")</f>
        <v/>
      </c>
      <c r="V208">
        <f>HYPERLINK("https://klasma.github.io/Logging_2303/klagomål/A 36975-2023 FSC-klagomål.docx", "A 36975-2023")</f>
        <v/>
      </c>
      <c r="W208">
        <f>HYPERLINK("https://klasma.github.io/Logging_2303/klagomålsmail/A 36975-2023 FSC-klagomål mail.docx", "A 36975-2023")</f>
        <v/>
      </c>
      <c r="X208">
        <f>HYPERLINK("https://klasma.github.io/Logging_2303/tillsyn/A 36975-2023 tillsynsbegäran.docx", "A 36975-2023")</f>
        <v/>
      </c>
      <c r="Y208">
        <f>HYPERLINK("https://klasma.github.io/Logging_2303/tillsynsmail/A 36975-2023 tillsynsbegäran mail.docx", "A 36975-2023")</f>
        <v/>
      </c>
    </row>
    <row r="209" ht="15" customHeight="1">
      <c r="A209" t="inlineStr">
        <is>
          <t>A 50233-2024</t>
        </is>
      </c>
      <c r="B209" s="1" t="n">
        <v>45600.55265046296</v>
      </c>
      <c r="C209" s="1" t="n">
        <v>46072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HYPERLINK("https://klasma.github.io/Logging_2303/artfynd/A 50233-2024 artfynd.xlsx", "A 50233-2024")</f>
        <v/>
      </c>
      <c r="T209">
        <f>HYPERLINK("https://klasma.github.io/Logging_2303/kartor/A 50233-2024 karta.png", "A 50233-2024")</f>
        <v/>
      </c>
      <c r="V209">
        <f>HYPERLINK("https://klasma.github.io/Logging_2303/klagomål/A 50233-2024 FSC-klagomål.docx", "A 50233-2024")</f>
        <v/>
      </c>
      <c r="W209">
        <f>HYPERLINK("https://klasma.github.io/Logging_2303/klagomålsmail/A 50233-2024 FSC-klagomål mail.docx", "A 50233-2024")</f>
        <v/>
      </c>
      <c r="X209">
        <f>HYPERLINK("https://klasma.github.io/Logging_2303/tillsyn/A 50233-2024 tillsynsbegäran.docx", "A 50233-2024")</f>
        <v/>
      </c>
      <c r="Y209">
        <f>HYPERLINK("https://klasma.github.io/Logging_2303/tillsynsmail/A 50233-2024 tillsynsbegäran mail.docx", "A 50233-2024")</f>
        <v/>
      </c>
    </row>
    <row r="210" ht="15" customHeight="1">
      <c r="A210" t="inlineStr">
        <is>
          <t>A 56599-2025</t>
        </is>
      </c>
      <c r="B210" s="1" t="n">
        <v>45975.5734837963</v>
      </c>
      <c r="C210" s="1" t="n">
        <v>46072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HYPERLINK("https://klasma.github.io/Logging_2303/artfynd/A 56599-2025 artfynd.xlsx", "A 56599-2025")</f>
        <v/>
      </c>
      <c r="T210">
        <f>HYPERLINK("https://klasma.github.io/Logging_2303/kartor/A 56599-2025 karta.png", "A 56599-2025")</f>
        <v/>
      </c>
      <c r="V210">
        <f>HYPERLINK("https://klasma.github.io/Logging_2303/klagomål/A 56599-2025 FSC-klagomål.docx", "A 56599-2025")</f>
        <v/>
      </c>
      <c r="W210">
        <f>HYPERLINK("https://klasma.github.io/Logging_2303/klagomålsmail/A 56599-2025 FSC-klagomål mail.docx", "A 56599-2025")</f>
        <v/>
      </c>
      <c r="X210">
        <f>HYPERLINK("https://klasma.github.io/Logging_2303/tillsyn/A 56599-2025 tillsynsbegäran.docx", "A 56599-2025")</f>
        <v/>
      </c>
      <c r="Y210">
        <f>HYPERLINK("https://klasma.github.io/Logging_2303/tillsynsmail/A 56599-2025 tillsynsbegäran mail.docx", "A 56599-2025")</f>
        <v/>
      </c>
    </row>
    <row r="211" ht="15" customHeight="1">
      <c r="A211" t="inlineStr">
        <is>
          <t>A 57253-2025</t>
        </is>
      </c>
      <c r="B211" s="1" t="n">
        <v>45979.64381944444</v>
      </c>
      <c r="C211" s="1" t="n">
        <v>46072</v>
      </c>
      <c r="D211" t="inlineStr">
        <is>
          <t>JÄMTLANDS LÄN</t>
        </is>
      </c>
      <c r="E211" t="inlineStr">
        <is>
          <t>RAGUNDA</t>
        </is>
      </c>
      <c r="G211" t="n">
        <v>1.2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Skinnlav</t>
        </is>
      </c>
      <c r="S211">
        <f>HYPERLINK("https://klasma.github.io/Logging_2303/artfynd/A 57253-2025 artfynd.xlsx", "A 57253-2025")</f>
        <v/>
      </c>
      <c r="T211">
        <f>HYPERLINK("https://klasma.github.io/Logging_2303/kartor/A 57253-2025 karta.png", "A 57253-2025")</f>
        <v/>
      </c>
      <c r="V211">
        <f>HYPERLINK("https://klasma.github.io/Logging_2303/klagomål/A 57253-2025 FSC-klagomål.docx", "A 57253-2025")</f>
        <v/>
      </c>
      <c r="W211">
        <f>HYPERLINK("https://klasma.github.io/Logging_2303/klagomålsmail/A 57253-2025 FSC-klagomål mail.docx", "A 57253-2025")</f>
        <v/>
      </c>
      <c r="X211">
        <f>HYPERLINK("https://klasma.github.io/Logging_2303/tillsyn/A 57253-2025 tillsynsbegäran.docx", "A 57253-2025")</f>
        <v/>
      </c>
      <c r="Y211">
        <f>HYPERLINK("https://klasma.github.io/Logging_2303/tillsynsmail/A 57253-2025 tillsynsbegäran mail.docx", "A 57253-2025")</f>
        <v/>
      </c>
    </row>
    <row r="212" ht="15" customHeight="1">
      <c r="A212" t="inlineStr">
        <is>
          <t>A 40841-2025</t>
        </is>
      </c>
      <c r="B212" s="1" t="n">
        <v>45897.531875</v>
      </c>
      <c r="C212" s="1" t="n">
        <v>46072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HYPERLINK("https://klasma.github.io/Logging_2303/artfynd/A 40841-2025 artfynd.xlsx", "A 40841-2025")</f>
        <v/>
      </c>
      <c r="T212">
        <f>HYPERLINK("https://klasma.github.io/Logging_2303/kartor/A 40841-2025 karta.png", "A 40841-2025")</f>
        <v/>
      </c>
      <c r="V212">
        <f>HYPERLINK("https://klasma.github.io/Logging_2303/klagomål/A 40841-2025 FSC-klagomål.docx", "A 40841-2025")</f>
        <v/>
      </c>
      <c r="W212">
        <f>HYPERLINK("https://klasma.github.io/Logging_2303/klagomålsmail/A 40841-2025 FSC-klagomål mail.docx", "A 40841-2025")</f>
        <v/>
      </c>
      <c r="X212">
        <f>HYPERLINK("https://klasma.github.io/Logging_2303/tillsyn/A 40841-2025 tillsynsbegäran.docx", "A 40841-2025")</f>
        <v/>
      </c>
      <c r="Y212">
        <f>HYPERLINK("https://klasma.github.io/Logging_2303/tillsynsmail/A 40841-2025 tillsynsbegäran mail.docx", "A 40841-2025")</f>
        <v/>
      </c>
    </row>
    <row r="213" ht="15" customHeight="1">
      <c r="A213" t="inlineStr">
        <is>
          <t>A 36224-2023</t>
        </is>
      </c>
      <c r="B213" s="1" t="n">
        <v>45149</v>
      </c>
      <c r="C213" s="1" t="n">
        <v>46072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8.1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HYPERLINK("https://klasma.github.io/Logging_2303/artfynd/A 36224-2023 artfynd.xlsx", "A 36224-2023")</f>
        <v/>
      </c>
      <c r="T213">
        <f>HYPERLINK("https://klasma.github.io/Logging_2303/kartor/A 36224-2023 karta.png", "A 36224-2023")</f>
        <v/>
      </c>
      <c r="V213">
        <f>HYPERLINK("https://klasma.github.io/Logging_2303/klagomål/A 36224-2023 FSC-klagomål.docx", "A 36224-2023")</f>
        <v/>
      </c>
      <c r="W213">
        <f>HYPERLINK("https://klasma.github.io/Logging_2303/klagomålsmail/A 36224-2023 FSC-klagomål mail.docx", "A 36224-2023")</f>
        <v/>
      </c>
      <c r="X213">
        <f>HYPERLINK("https://klasma.github.io/Logging_2303/tillsyn/A 36224-2023 tillsynsbegäran.docx", "A 36224-2023")</f>
        <v/>
      </c>
      <c r="Y213">
        <f>HYPERLINK("https://klasma.github.io/Logging_2303/tillsynsmail/A 36224-2023 tillsynsbegäran mail.docx", "A 36224-2023")</f>
        <v/>
      </c>
    </row>
    <row r="214" ht="15" customHeight="1">
      <c r="A214" t="inlineStr">
        <is>
          <t>A 57479-2025</t>
        </is>
      </c>
      <c r="B214" s="1" t="n">
        <v>45980.5737037037</v>
      </c>
      <c r="C214" s="1" t="n">
        <v>46072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HYPERLINK("https://klasma.github.io/Logging_2303/artfynd/A 57479-2025 artfynd.xlsx", "A 57479-2025")</f>
        <v/>
      </c>
      <c r="T214">
        <f>HYPERLINK("https://klasma.github.io/Logging_2303/kartor/A 57479-2025 karta.png", "A 57479-2025")</f>
        <v/>
      </c>
      <c r="V214">
        <f>HYPERLINK("https://klasma.github.io/Logging_2303/klagomål/A 57479-2025 FSC-klagomål.docx", "A 57479-2025")</f>
        <v/>
      </c>
      <c r="W214">
        <f>HYPERLINK("https://klasma.github.io/Logging_2303/klagomålsmail/A 57479-2025 FSC-klagomål mail.docx", "A 57479-2025")</f>
        <v/>
      </c>
      <c r="X214">
        <f>HYPERLINK("https://klasma.github.io/Logging_2303/tillsyn/A 57479-2025 tillsynsbegäran.docx", "A 57479-2025")</f>
        <v/>
      </c>
      <c r="Y214">
        <f>HYPERLINK("https://klasma.github.io/Logging_2303/tillsynsmail/A 57479-2025 tillsynsbegäran mail.docx", "A 57479-2025")</f>
        <v/>
      </c>
    </row>
    <row r="215" ht="15" customHeight="1">
      <c r="A215" t="inlineStr">
        <is>
          <t>A 43404-2023</t>
        </is>
      </c>
      <c r="B215" s="1" t="n">
        <v>45183</v>
      </c>
      <c r="C215" s="1" t="n">
        <v>46072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Kryddspindling</t>
        </is>
      </c>
      <c r="S215">
        <f>HYPERLINK("https://klasma.github.io/Logging_2303/artfynd/A 43404-2023 artfynd.xlsx", "A 43404-2023")</f>
        <v/>
      </c>
      <c r="T215">
        <f>HYPERLINK("https://klasma.github.io/Logging_2303/kartor/A 43404-2023 karta.png", "A 43404-2023")</f>
        <v/>
      </c>
      <c r="V215">
        <f>HYPERLINK("https://klasma.github.io/Logging_2303/klagomål/A 43404-2023 FSC-klagomål.docx", "A 43404-2023")</f>
        <v/>
      </c>
      <c r="W215">
        <f>HYPERLINK("https://klasma.github.io/Logging_2303/klagomålsmail/A 43404-2023 FSC-klagomål mail.docx", "A 43404-2023")</f>
        <v/>
      </c>
      <c r="X215">
        <f>HYPERLINK("https://klasma.github.io/Logging_2303/tillsyn/A 43404-2023 tillsynsbegäran.docx", "A 43404-2023")</f>
        <v/>
      </c>
      <c r="Y215">
        <f>HYPERLINK("https://klasma.github.io/Logging_2303/tillsynsmail/A 43404-2023 tillsynsbegäran mail.docx", "A 43404-2023")</f>
        <v/>
      </c>
    </row>
    <row r="216" ht="15" customHeight="1">
      <c r="A216" t="inlineStr">
        <is>
          <t>A 27573-2025</t>
        </is>
      </c>
      <c r="B216" s="1" t="n">
        <v>45813.49061342593</v>
      </c>
      <c r="C216" s="1" t="n">
        <v>46072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14.9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Skinnlav</t>
        </is>
      </c>
      <c r="S216">
        <f>HYPERLINK("https://klasma.github.io/Logging_2303/artfynd/A 27573-2025 artfynd.xlsx", "A 27573-2025")</f>
        <v/>
      </c>
      <c r="T216">
        <f>HYPERLINK("https://klasma.github.io/Logging_2303/kartor/A 27573-2025 karta.png", "A 27573-2025")</f>
        <v/>
      </c>
      <c r="U216">
        <f>HYPERLINK("https://klasma.github.io/Logging_2303/knärot/A 27573-2025 karta knärot.png", "A 27573-2025")</f>
        <v/>
      </c>
      <c r="V216">
        <f>HYPERLINK("https://klasma.github.io/Logging_2303/klagomål/A 27573-2025 FSC-klagomål.docx", "A 27573-2025")</f>
        <v/>
      </c>
      <c r="W216">
        <f>HYPERLINK("https://klasma.github.io/Logging_2303/klagomålsmail/A 27573-2025 FSC-klagomål mail.docx", "A 27573-2025")</f>
        <v/>
      </c>
      <c r="X216">
        <f>HYPERLINK("https://klasma.github.io/Logging_2303/tillsyn/A 27573-2025 tillsynsbegäran.docx", "A 27573-2025")</f>
        <v/>
      </c>
      <c r="Y216">
        <f>HYPERLINK("https://klasma.github.io/Logging_2303/tillsynsmail/A 27573-2025 tillsynsbegäran mail.docx", "A 27573-2025")</f>
        <v/>
      </c>
    </row>
    <row r="217" ht="15" customHeight="1">
      <c r="A217" t="inlineStr">
        <is>
          <t>A 57478-2025</t>
        </is>
      </c>
      <c r="B217" s="1" t="n">
        <v>45980.57349537037</v>
      </c>
      <c r="C217" s="1" t="n">
        <v>46072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HYPERLINK("https://klasma.github.io/Logging_2303/artfynd/A 57478-2025 artfynd.xlsx", "A 57478-2025")</f>
        <v/>
      </c>
      <c r="T217">
        <f>HYPERLINK("https://klasma.github.io/Logging_2303/kartor/A 57478-2025 karta.png", "A 57478-2025")</f>
        <v/>
      </c>
      <c r="V217">
        <f>HYPERLINK("https://klasma.github.io/Logging_2303/klagomål/A 57478-2025 FSC-klagomål.docx", "A 57478-2025")</f>
        <v/>
      </c>
      <c r="W217">
        <f>HYPERLINK("https://klasma.github.io/Logging_2303/klagomålsmail/A 57478-2025 FSC-klagomål mail.docx", "A 57478-2025")</f>
        <v/>
      </c>
      <c r="X217">
        <f>HYPERLINK("https://klasma.github.io/Logging_2303/tillsyn/A 57478-2025 tillsynsbegäran.docx", "A 57478-2025")</f>
        <v/>
      </c>
      <c r="Y217">
        <f>HYPERLINK("https://klasma.github.io/Logging_2303/tillsynsmail/A 57478-2025 tillsynsbegäran mail.docx", "A 57478-2025")</f>
        <v/>
      </c>
    </row>
    <row r="218" ht="15" customHeight="1">
      <c r="A218" t="inlineStr">
        <is>
          <t>A 43526-2025</t>
        </is>
      </c>
      <c r="B218" s="1" t="n">
        <v>45911</v>
      </c>
      <c r="C218" s="1" t="n">
        <v>46072</v>
      </c>
      <c r="D218" t="inlineStr">
        <is>
          <t>JÄMTLANDS LÄN</t>
        </is>
      </c>
      <c r="E218" t="inlineStr">
        <is>
          <t>RAGUNDA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HYPERLINK("https://klasma.github.io/Logging_2303/artfynd/A 43526-2025 artfynd.xlsx", "A 43526-2025")</f>
        <v/>
      </c>
      <c r="T218">
        <f>HYPERLINK("https://klasma.github.io/Logging_2303/kartor/A 43526-2025 karta.png", "A 43526-2025")</f>
        <v/>
      </c>
      <c r="V218">
        <f>HYPERLINK("https://klasma.github.io/Logging_2303/klagomål/A 43526-2025 FSC-klagomål.docx", "A 43526-2025")</f>
        <v/>
      </c>
      <c r="W218">
        <f>HYPERLINK("https://klasma.github.io/Logging_2303/klagomålsmail/A 43526-2025 FSC-klagomål mail.docx", "A 43526-2025")</f>
        <v/>
      </c>
      <c r="X218">
        <f>HYPERLINK("https://klasma.github.io/Logging_2303/tillsyn/A 43526-2025 tillsynsbegäran.docx", "A 43526-2025")</f>
        <v/>
      </c>
      <c r="Y218">
        <f>HYPERLINK("https://klasma.github.io/Logging_2303/tillsynsmail/A 43526-2025 tillsynsbegäran mail.docx", "A 43526-2025")</f>
        <v/>
      </c>
    </row>
    <row r="219" ht="15" customHeight="1">
      <c r="A219" t="inlineStr">
        <is>
          <t>A 24443-2024</t>
        </is>
      </c>
      <c r="B219" s="1" t="n">
        <v>45457.9640625</v>
      </c>
      <c r="C219" s="1" t="n">
        <v>46072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HYPERLINK("https://klasma.github.io/Logging_2303/artfynd/A 24443-2024 artfynd.xlsx", "A 24443-2024")</f>
        <v/>
      </c>
      <c r="T219">
        <f>HYPERLINK("https://klasma.github.io/Logging_2303/kartor/A 24443-2024 karta.png", "A 24443-2024")</f>
        <v/>
      </c>
      <c r="U219">
        <f>HYPERLINK("https://klasma.github.io/Logging_2303/knärot/A 24443-2024 karta knärot.png", "A 24443-2024")</f>
        <v/>
      </c>
      <c r="V219">
        <f>HYPERLINK("https://klasma.github.io/Logging_2303/klagomål/A 24443-2024 FSC-klagomål.docx", "A 24443-2024")</f>
        <v/>
      </c>
      <c r="W219">
        <f>HYPERLINK("https://klasma.github.io/Logging_2303/klagomålsmail/A 24443-2024 FSC-klagomål mail.docx", "A 24443-2024")</f>
        <v/>
      </c>
      <c r="X219">
        <f>HYPERLINK("https://klasma.github.io/Logging_2303/tillsyn/A 24443-2024 tillsynsbegäran.docx", "A 24443-2024")</f>
        <v/>
      </c>
      <c r="Y219">
        <f>HYPERLINK("https://klasma.github.io/Logging_2303/tillsynsmail/A 24443-2024 tillsynsbegäran mail.docx", "A 24443-2024")</f>
        <v/>
      </c>
    </row>
    <row r="220" ht="15" customHeight="1">
      <c r="A220" t="inlineStr">
        <is>
          <t>A 23930-2024</t>
        </is>
      </c>
      <c r="B220" s="1" t="n">
        <v>45455.96184027778</v>
      </c>
      <c r="C220" s="1" t="n">
        <v>46072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4.2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Guckusko</t>
        </is>
      </c>
      <c r="S220">
        <f>HYPERLINK("https://klasma.github.io/Logging_2303/artfynd/A 23930-2024 artfynd.xlsx", "A 23930-2024")</f>
        <v/>
      </c>
      <c r="T220">
        <f>HYPERLINK("https://klasma.github.io/Logging_2303/kartor/A 23930-2024 karta.png", "A 23930-2024")</f>
        <v/>
      </c>
      <c r="V220">
        <f>HYPERLINK("https://klasma.github.io/Logging_2303/klagomål/A 23930-2024 FSC-klagomål.docx", "A 23930-2024")</f>
        <v/>
      </c>
      <c r="W220">
        <f>HYPERLINK("https://klasma.github.io/Logging_2303/klagomålsmail/A 23930-2024 FSC-klagomål mail.docx", "A 23930-2024")</f>
        <v/>
      </c>
      <c r="X220">
        <f>HYPERLINK("https://klasma.github.io/Logging_2303/tillsyn/A 23930-2024 tillsynsbegäran.docx", "A 23930-2024")</f>
        <v/>
      </c>
      <c r="Y220">
        <f>HYPERLINK("https://klasma.github.io/Logging_2303/tillsynsmail/A 23930-2024 tillsynsbegäran mail.docx", "A 23930-2024")</f>
        <v/>
      </c>
    </row>
    <row r="221" ht="15" customHeight="1">
      <c r="A221" t="inlineStr">
        <is>
          <t>A 30390-2025</t>
        </is>
      </c>
      <c r="B221" s="1" t="n">
        <v>45827.57371527778</v>
      </c>
      <c r="C221" s="1" t="n">
        <v>46072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11.2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HYPERLINK("https://klasma.github.io/Logging_2303/artfynd/A 30390-2025 artfynd.xlsx", "A 30390-2025")</f>
        <v/>
      </c>
      <c r="T221">
        <f>HYPERLINK("https://klasma.github.io/Logging_2303/kartor/A 30390-2025 karta.png", "A 30390-2025")</f>
        <v/>
      </c>
      <c r="U221">
        <f>HYPERLINK("https://klasma.github.io/Logging_2303/knärot/A 30390-2025 karta knärot.png", "A 30390-2025")</f>
        <v/>
      </c>
      <c r="V221">
        <f>HYPERLINK("https://klasma.github.io/Logging_2303/klagomål/A 30390-2025 FSC-klagomål.docx", "A 30390-2025")</f>
        <v/>
      </c>
      <c r="W221">
        <f>HYPERLINK("https://klasma.github.io/Logging_2303/klagomålsmail/A 30390-2025 FSC-klagomål mail.docx", "A 30390-2025")</f>
        <v/>
      </c>
      <c r="X221">
        <f>HYPERLINK("https://klasma.github.io/Logging_2303/tillsyn/A 30390-2025 tillsynsbegäran.docx", "A 30390-2025")</f>
        <v/>
      </c>
      <c r="Y221">
        <f>HYPERLINK("https://klasma.github.io/Logging_2303/tillsynsmail/A 30390-2025 tillsynsbegäran mail.docx", "A 30390-2025")</f>
        <v/>
      </c>
    </row>
    <row r="222" ht="15" customHeight="1">
      <c r="A222" t="inlineStr">
        <is>
          <t>A 22054-2025</t>
        </is>
      </c>
      <c r="B222" s="1" t="n">
        <v>45785.36525462963</v>
      </c>
      <c r="C222" s="1" t="n">
        <v>46072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HYPERLINK("https://klasma.github.io/Logging_2303/artfynd/A 22054-2025 artfynd.xlsx", "A 22054-2025")</f>
        <v/>
      </c>
      <c r="T222">
        <f>HYPERLINK("https://klasma.github.io/Logging_2303/kartor/A 22054-2025 karta.png", "A 22054-2025")</f>
        <v/>
      </c>
      <c r="V222">
        <f>HYPERLINK("https://klasma.github.io/Logging_2303/klagomål/A 22054-2025 FSC-klagomål.docx", "A 22054-2025")</f>
        <v/>
      </c>
      <c r="W222">
        <f>HYPERLINK("https://klasma.github.io/Logging_2303/klagomålsmail/A 22054-2025 FSC-klagomål mail.docx", "A 22054-2025")</f>
        <v/>
      </c>
      <c r="X222">
        <f>HYPERLINK("https://klasma.github.io/Logging_2303/tillsyn/A 22054-2025 tillsynsbegäran.docx", "A 22054-2025")</f>
        <v/>
      </c>
      <c r="Y222">
        <f>HYPERLINK("https://klasma.github.io/Logging_2303/tillsynsmail/A 22054-2025 tillsynsbegäran mail.docx", "A 22054-2025")</f>
        <v/>
      </c>
      <c r="Z222">
        <f>HYPERLINK("https://klasma.github.io/Logging_2303/fåglar/A 22054-2025 prioriterade fågelarter.docx", "A 22054-2025")</f>
        <v/>
      </c>
    </row>
    <row r="223" ht="15" customHeight="1">
      <c r="A223" t="inlineStr">
        <is>
          <t>A 58990-2025</t>
        </is>
      </c>
      <c r="B223" s="1" t="n">
        <v>45987</v>
      </c>
      <c r="C223" s="1" t="n">
        <v>46072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HYPERLINK("https://klasma.github.io/Logging_2303/artfynd/A 58990-2025 artfynd.xlsx", "A 58990-2025")</f>
        <v/>
      </c>
      <c r="T223">
        <f>HYPERLINK("https://klasma.github.io/Logging_2303/kartor/A 58990-2025 karta.png", "A 58990-2025")</f>
        <v/>
      </c>
      <c r="V223">
        <f>HYPERLINK("https://klasma.github.io/Logging_2303/klagomål/A 58990-2025 FSC-klagomål.docx", "A 58990-2025")</f>
        <v/>
      </c>
      <c r="W223">
        <f>HYPERLINK("https://klasma.github.io/Logging_2303/klagomålsmail/A 58990-2025 FSC-klagomål mail.docx", "A 58990-2025")</f>
        <v/>
      </c>
      <c r="X223">
        <f>HYPERLINK("https://klasma.github.io/Logging_2303/tillsyn/A 58990-2025 tillsynsbegäran.docx", "A 58990-2025")</f>
        <v/>
      </c>
      <c r="Y223">
        <f>HYPERLINK("https://klasma.github.io/Logging_2303/tillsynsmail/A 58990-2025 tillsynsbegäran mail.docx", "A 58990-2025")</f>
        <v/>
      </c>
      <c r="Z223">
        <f>HYPERLINK("https://klasma.github.io/Logging_2303/fåglar/A 58990-2025 prioriterade fågelarter.docx", "A 58990-2025")</f>
        <v/>
      </c>
    </row>
    <row r="224" ht="15" customHeight="1">
      <c r="A224" t="inlineStr">
        <is>
          <t>A 32445-2025</t>
        </is>
      </c>
      <c r="B224" s="1" t="n">
        <v>45838.38627314815</v>
      </c>
      <c r="C224" s="1" t="n">
        <v>46072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HYPERLINK("https://klasma.github.io/Logging_2303/artfynd/A 32445-2025 artfynd.xlsx", "A 32445-2025")</f>
        <v/>
      </c>
      <c r="T224">
        <f>HYPERLINK("https://klasma.github.io/Logging_2303/kartor/A 32445-2025 karta.png", "A 32445-2025")</f>
        <v/>
      </c>
      <c r="V224">
        <f>HYPERLINK("https://klasma.github.io/Logging_2303/klagomål/A 32445-2025 FSC-klagomål.docx", "A 32445-2025")</f>
        <v/>
      </c>
      <c r="W224">
        <f>HYPERLINK("https://klasma.github.io/Logging_2303/klagomålsmail/A 32445-2025 FSC-klagomål mail.docx", "A 32445-2025")</f>
        <v/>
      </c>
      <c r="X224">
        <f>HYPERLINK("https://klasma.github.io/Logging_2303/tillsyn/A 32445-2025 tillsynsbegäran.docx", "A 32445-2025")</f>
        <v/>
      </c>
      <c r="Y224">
        <f>HYPERLINK("https://klasma.github.io/Logging_2303/tillsynsmail/A 32445-2025 tillsynsbegäran mail.docx", "A 32445-2025")</f>
        <v/>
      </c>
      <c r="Z224">
        <f>HYPERLINK("https://klasma.github.io/Logging_2303/fåglar/A 32445-2025 prioriterade fågelarter.docx", "A 32445-2025")</f>
        <v/>
      </c>
    </row>
    <row r="225" ht="15" customHeight="1">
      <c r="A225" t="inlineStr">
        <is>
          <t>A 978-2024</t>
        </is>
      </c>
      <c r="B225" s="1" t="n">
        <v>45301</v>
      </c>
      <c r="C225" s="1" t="n">
        <v>46072</v>
      </c>
      <c r="D225" t="inlineStr">
        <is>
          <t>JÄMTLANDS LÄN</t>
        </is>
      </c>
      <c r="E225" t="inlineStr">
        <is>
          <t>RAGUNDA</t>
        </is>
      </c>
      <c r="G225" t="n">
        <v>3.1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HYPERLINK("https://klasma.github.io/Logging_2303/artfynd/A 978-2024 artfynd.xlsx", "A 978-2024")</f>
        <v/>
      </c>
      <c r="T225">
        <f>HYPERLINK("https://klasma.github.io/Logging_2303/kartor/A 978-2024 karta.png", "A 978-2024")</f>
        <v/>
      </c>
      <c r="V225">
        <f>HYPERLINK("https://klasma.github.io/Logging_2303/klagomål/A 978-2024 FSC-klagomål.docx", "A 978-2024")</f>
        <v/>
      </c>
      <c r="W225">
        <f>HYPERLINK("https://klasma.github.io/Logging_2303/klagomålsmail/A 978-2024 FSC-klagomål mail.docx", "A 978-2024")</f>
        <v/>
      </c>
      <c r="X225">
        <f>HYPERLINK("https://klasma.github.io/Logging_2303/tillsyn/A 978-2024 tillsynsbegäran.docx", "A 978-2024")</f>
        <v/>
      </c>
      <c r="Y225">
        <f>HYPERLINK("https://klasma.github.io/Logging_2303/tillsynsmail/A 978-2024 tillsynsbegäran mail.docx", "A 978-2024")</f>
        <v/>
      </c>
      <c r="Z225">
        <f>HYPERLINK("https://klasma.github.io/Logging_2303/fåglar/A 978-2024 prioriterade fågelarter.docx", "A 978-2024")</f>
        <v/>
      </c>
    </row>
    <row r="226" ht="15" customHeight="1">
      <c r="A226" t="inlineStr">
        <is>
          <t>A 1057-2024</t>
        </is>
      </c>
      <c r="B226" s="1" t="n">
        <v>45301</v>
      </c>
      <c r="C226" s="1" t="n">
        <v>46072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6.8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Stor aspticka</t>
        </is>
      </c>
      <c r="S226">
        <f>HYPERLINK("https://klasma.github.io/Logging_2303/artfynd/A 1057-2024 artfynd.xlsx", "A 1057-2024")</f>
        <v/>
      </c>
      <c r="T226">
        <f>HYPERLINK("https://klasma.github.io/Logging_2303/kartor/A 1057-2024 karta.png", "A 1057-2024")</f>
        <v/>
      </c>
      <c r="V226">
        <f>HYPERLINK("https://klasma.github.io/Logging_2303/klagomål/A 1057-2024 FSC-klagomål.docx", "A 1057-2024")</f>
        <v/>
      </c>
      <c r="W226">
        <f>HYPERLINK("https://klasma.github.io/Logging_2303/klagomålsmail/A 1057-2024 FSC-klagomål mail.docx", "A 1057-2024")</f>
        <v/>
      </c>
      <c r="X226">
        <f>HYPERLINK("https://klasma.github.io/Logging_2303/tillsyn/A 1057-2024 tillsynsbegäran.docx", "A 1057-2024")</f>
        <v/>
      </c>
      <c r="Y226">
        <f>HYPERLINK("https://klasma.github.io/Logging_2303/tillsynsmail/A 1057-2024 tillsynsbegäran mail.docx", "A 1057-2024")</f>
        <v/>
      </c>
    </row>
    <row r="227" ht="15" customHeight="1">
      <c r="A227" t="inlineStr">
        <is>
          <t>A 49053-2025</t>
        </is>
      </c>
      <c r="B227" s="1" t="n">
        <v>45937.64009259259</v>
      </c>
      <c r="C227" s="1" t="n">
        <v>46072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Guckusko</t>
        </is>
      </c>
      <c r="S227">
        <f>HYPERLINK("https://klasma.github.io/Logging_2303/artfynd/A 49053-2025 artfynd.xlsx", "A 49053-2025")</f>
        <v/>
      </c>
      <c r="T227">
        <f>HYPERLINK("https://klasma.github.io/Logging_2303/kartor/A 49053-2025 karta.png", "A 49053-2025")</f>
        <v/>
      </c>
      <c r="V227">
        <f>HYPERLINK("https://klasma.github.io/Logging_2303/klagomål/A 49053-2025 FSC-klagomål.docx", "A 49053-2025")</f>
        <v/>
      </c>
      <c r="W227">
        <f>HYPERLINK("https://klasma.github.io/Logging_2303/klagomålsmail/A 49053-2025 FSC-klagomål mail.docx", "A 49053-2025")</f>
        <v/>
      </c>
      <c r="X227">
        <f>HYPERLINK("https://klasma.github.io/Logging_2303/tillsyn/A 49053-2025 tillsynsbegäran.docx", "A 49053-2025")</f>
        <v/>
      </c>
      <c r="Y227">
        <f>HYPERLINK("https://klasma.github.io/Logging_2303/tillsynsmail/A 49053-2025 tillsynsbegäran mail.docx", "A 49053-2025")</f>
        <v/>
      </c>
    </row>
    <row r="228" ht="15" customHeight="1">
      <c r="A228" t="inlineStr">
        <is>
          <t>A 34474-2025</t>
        </is>
      </c>
      <c r="B228" s="1" t="n">
        <v>45847.36528935185</v>
      </c>
      <c r="C228" s="1" t="n">
        <v>46072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9.699999999999999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HYPERLINK("https://klasma.github.io/Logging_2303/artfynd/A 34474-2025 artfynd.xlsx", "A 34474-2025")</f>
        <v/>
      </c>
      <c r="T228">
        <f>HYPERLINK("https://klasma.github.io/Logging_2303/kartor/A 34474-2025 karta.png", "A 34474-2025")</f>
        <v/>
      </c>
      <c r="V228">
        <f>HYPERLINK("https://klasma.github.io/Logging_2303/klagomål/A 34474-2025 FSC-klagomål.docx", "A 34474-2025")</f>
        <v/>
      </c>
      <c r="W228">
        <f>HYPERLINK("https://klasma.github.io/Logging_2303/klagomålsmail/A 34474-2025 FSC-klagomål mail.docx", "A 34474-2025")</f>
        <v/>
      </c>
      <c r="X228">
        <f>HYPERLINK("https://klasma.github.io/Logging_2303/tillsyn/A 34474-2025 tillsynsbegäran.docx", "A 34474-2025")</f>
        <v/>
      </c>
      <c r="Y228">
        <f>HYPERLINK("https://klasma.github.io/Logging_2303/tillsynsmail/A 34474-2025 tillsynsbegäran mail.docx", "A 34474-2025")</f>
        <v/>
      </c>
      <c r="Z228">
        <f>HYPERLINK("https://klasma.github.io/Logging_2303/fåglar/A 34474-2025 prioriterade fågelarter.docx", "A 34474-2025")</f>
        <v/>
      </c>
    </row>
    <row r="229" ht="15" customHeight="1">
      <c r="A229" t="inlineStr">
        <is>
          <t>A 31773-2021</t>
        </is>
      </c>
      <c r="B229" s="1" t="n">
        <v>44369</v>
      </c>
      <c r="C229" s="1" t="n">
        <v>46072</v>
      </c>
      <c r="D229" t="inlineStr">
        <is>
          <t>JÄMTLANDS LÄN</t>
        </is>
      </c>
      <c r="E229" t="inlineStr">
        <is>
          <t>RAGUNDA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Strandsandjägare</t>
        </is>
      </c>
      <c r="S229">
        <f>HYPERLINK("https://klasma.github.io/Logging_2303/artfynd/A 31773-2021 artfynd.xlsx", "A 31773-2021")</f>
        <v/>
      </c>
      <c r="T229">
        <f>HYPERLINK("https://klasma.github.io/Logging_2303/kartor/A 31773-2021 karta.png", "A 31773-2021")</f>
        <v/>
      </c>
      <c r="V229">
        <f>HYPERLINK("https://klasma.github.io/Logging_2303/klagomål/A 31773-2021 FSC-klagomål.docx", "A 31773-2021")</f>
        <v/>
      </c>
      <c r="W229">
        <f>HYPERLINK("https://klasma.github.io/Logging_2303/klagomålsmail/A 31773-2021 FSC-klagomål mail.docx", "A 31773-2021")</f>
        <v/>
      </c>
      <c r="X229">
        <f>HYPERLINK("https://klasma.github.io/Logging_2303/tillsyn/A 31773-2021 tillsynsbegäran.docx", "A 31773-2021")</f>
        <v/>
      </c>
      <c r="Y229">
        <f>HYPERLINK("https://klasma.github.io/Logging_2303/tillsynsmail/A 31773-2021 tillsynsbegäran mail.docx", "A 31773-2021")</f>
        <v/>
      </c>
    </row>
    <row r="230" ht="15" customHeight="1">
      <c r="A230" t="inlineStr">
        <is>
          <t>A 51912-2025</t>
        </is>
      </c>
      <c r="B230" s="1" t="n">
        <v>45952.46939814815</v>
      </c>
      <c r="C230" s="1" t="n">
        <v>46072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24.2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Norna</t>
        </is>
      </c>
      <c r="S230">
        <f>HYPERLINK("https://klasma.github.io/Logging_2303/artfynd/A 51912-2025 artfynd.xlsx", "A 51912-2025")</f>
        <v/>
      </c>
      <c r="T230">
        <f>HYPERLINK("https://klasma.github.io/Logging_2303/kartor/A 51912-2025 karta.png", "A 51912-2025")</f>
        <v/>
      </c>
      <c r="V230">
        <f>HYPERLINK("https://klasma.github.io/Logging_2303/klagomål/A 51912-2025 FSC-klagomål.docx", "A 51912-2025")</f>
        <v/>
      </c>
      <c r="W230">
        <f>HYPERLINK("https://klasma.github.io/Logging_2303/klagomålsmail/A 51912-2025 FSC-klagomål mail.docx", "A 51912-2025")</f>
        <v/>
      </c>
      <c r="X230">
        <f>HYPERLINK("https://klasma.github.io/Logging_2303/tillsyn/A 51912-2025 tillsynsbegäran.docx", "A 51912-2025")</f>
        <v/>
      </c>
      <c r="Y230">
        <f>HYPERLINK("https://klasma.github.io/Logging_2303/tillsynsmail/A 51912-2025 tillsynsbegäran mail.docx", "A 51912-2025")</f>
        <v/>
      </c>
    </row>
    <row r="231" ht="15" customHeight="1">
      <c r="A231" t="inlineStr">
        <is>
          <t>A 29921-2024</t>
        </is>
      </c>
      <c r="B231" s="1" t="n">
        <v>45487.92863425926</v>
      </c>
      <c r="C231" s="1" t="n">
        <v>46072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HYPERLINK("https://klasma.github.io/Logging_2303/artfynd/A 29921-2024 artfynd.xlsx", "A 29921-2024")</f>
        <v/>
      </c>
      <c r="T231">
        <f>HYPERLINK("https://klasma.github.io/Logging_2303/kartor/A 29921-2024 karta.png", "A 29921-2024")</f>
        <v/>
      </c>
      <c r="U231">
        <f>HYPERLINK("https://klasma.github.io/Logging_2303/knärot/A 29921-2024 karta knärot.png", "A 29921-2024")</f>
        <v/>
      </c>
      <c r="V231">
        <f>HYPERLINK("https://klasma.github.io/Logging_2303/klagomål/A 29921-2024 FSC-klagomål.docx", "A 29921-2024")</f>
        <v/>
      </c>
      <c r="W231">
        <f>HYPERLINK("https://klasma.github.io/Logging_2303/klagomålsmail/A 29921-2024 FSC-klagomål mail.docx", "A 29921-2024")</f>
        <v/>
      </c>
      <c r="X231">
        <f>HYPERLINK("https://klasma.github.io/Logging_2303/tillsyn/A 29921-2024 tillsynsbegäran.docx", "A 29921-2024")</f>
        <v/>
      </c>
      <c r="Y231">
        <f>HYPERLINK("https://klasma.github.io/Logging_2303/tillsynsmail/A 29921-2024 tillsynsbegäran mail.docx", "A 29921-2024")</f>
        <v/>
      </c>
    </row>
    <row r="232" ht="15" customHeight="1">
      <c r="A232" t="inlineStr">
        <is>
          <t>A 26317-2024</t>
        </is>
      </c>
      <c r="B232" s="1" t="n">
        <v>45468</v>
      </c>
      <c r="C232" s="1" t="n">
        <v>46072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3.8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Kortskaftad ärgspik</t>
        </is>
      </c>
      <c r="S232">
        <f>HYPERLINK("https://klasma.github.io/Logging_2303/artfynd/A 26317-2024 artfynd.xlsx", "A 26317-2024")</f>
        <v/>
      </c>
      <c r="T232">
        <f>HYPERLINK("https://klasma.github.io/Logging_2303/kartor/A 26317-2024 karta.png", "A 26317-2024")</f>
        <v/>
      </c>
      <c r="V232">
        <f>HYPERLINK("https://klasma.github.io/Logging_2303/klagomål/A 26317-2024 FSC-klagomål.docx", "A 26317-2024")</f>
        <v/>
      </c>
      <c r="W232">
        <f>HYPERLINK("https://klasma.github.io/Logging_2303/klagomålsmail/A 26317-2024 FSC-klagomål mail.docx", "A 26317-2024")</f>
        <v/>
      </c>
      <c r="X232">
        <f>HYPERLINK("https://klasma.github.io/Logging_2303/tillsyn/A 26317-2024 tillsynsbegäran.docx", "A 26317-2024")</f>
        <v/>
      </c>
      <c r="Y232">
        <f>HYPERLINK("https://klasma.github.io/Logging_2303/tillsynsmail/A 26317-2024 tillsynsbegäran mail.docx", "A 26317-2024")</f>
        <v/>
      </c>
    </row>
    <row r="233" ht="15" customHeight="1">
      <c r="A233" t="inlineStr">
        <is>
          <t>A 49091-2022</t>
        </is>
      </c>
      <c r="B233" s="1" t="n">
        <v>44860</v>
      </c>
      <c r="C233" s="1" t="n">
        <v>46072</v>
      </c>
      <c r="D233" t="inlineStr">
        <is>
          <t>JÄMTLANDS LÄN</t>
        </is>
      </c>
      <c r="E233" t="inlineStr">
        <is>
          <t>RAGUNDA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Doftticka</t>
        </is>
      </c>
      <c r="S233">
        <f>HYPERLINK("https://klasma.github.io/Logging_2303/artfynd/A 49091-2022 artfynd.xlsx", "A 49091-2022")</f>
        <v/>
      </c>
      <c r="T233">
        <f>HYPERLINK("https://klasma.github.io/Logging_2303/kartor/A 49091-2022 karta.png", "A 49091-2022")</f>
        <v/>
      </c>
      <c r="V233">
        <f>HYPERLINK("https://klasma.github.io/Logging_2303/klagomål/A 49091-2022 FSC-klagomål.docx", "A 49091-2022")</f>
        <v/>
      </c>
      <c r="W233">
        <f>HYPERLINK("https://klasma.github.io/Logging_2303/klagomålsmail/A 49091-2022 FSC-klagomål mail.docx", "A 49091-2022")</f>
        <v/>
      </c>
      <c r="X233">
        <f>HYPERLINK("https://klasma.github.io/Logging_2303/tillsyn/A 49091-2022 tillsynsbegäran.docx", "A 49091-2022")</f>
        <v/>
      </c>
      <c r="Y233">
        <f>HYPERLINK("https://klasma.github.io/Logging_2303/tillsynsmail/A 49091-2022 tillsynsbegäran mail.docx", "A 49091-2022")</f>
        <v/>
      </c>
    </row>
    <row r="234" ht="15" customHeight="1">
      <c r="A234" t="inlineStr">
        <is>
          <t>A 50164-2023</t>
        </is>
      </c>
      <c r="B234" s="1" t="n">
        <v>45208</v>
      </c>
      <c r="C234" s="1" t="n">
        <v>46072</v>
      </c>
      <c r="D234" t="inlineStr">
        <is>
          <t>JÄMTLANDS LÄN</t>
        </is>
      </c>
      <c r="E234" t="inlineStr">
        <is>
          <t>RAGUNDA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Mindre barkplattbagge</t>
        </is>
      </c>
      <c r="S234">
        <f>HYPERLINK("https://klasma.github.io/Logging_2303/artfynd/A 50164-2023 artfynd.xlsx", "A 50164-2023")</f>
        <v/>
      </c>
      <c r="T234">
        <f>HYPERLINK("https://klasma.github.io/Logging_2303/kartor/A 50164-2023 karta.png", "A 50164-2023")</f>
        <v/>
      </c>
      <c r="V234">
        <f>HYPERLINK("https://klasma.github.io/Logging_2303/klagomål/A 50164-2023 FSC-klagomål.docx", "A 50164-2023")</f>
        <v/>
      </c>
      <c r="W234">
        <f>HYPERLINK("https://klasma.github.io/Logging_2303/klagomålsmail/A 50164-2023 FSC-klagomål mail.docx", "A 50164-2023")</f>
        <v/>
      </c>
      <c r="X234">
        <f>HYPERLINK("https://klasma.github.io/Logging_2303/tillsyn/A 50164-2023 tillsynsbegäran.docx", "A 50164-2023")</f>
        <v/>
      </c>
      <c r="Y234">
        <f>HYPERLINK("https://klasma.github.io/Logging_2303/tillsynsmail/A 50164-2023 tillsynsbegäran mail.docx", "A 50164-2023")</f>
        <v/>
      </c>
    </row>
    <row r="235" ht="15" customHeight="1">
      <c r="A235" t="inlineStr">
        <is>
          <t>A 30485-2024</t>
        </is>
      </c>
      <c r="B235" s="1" t="n">
        <v>45491.95008101852</v>
      </c>
      <c r="C235" s="1" t="n">
        <v>46072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HYPERLINK("https://klasma.github.io/Logging_2303/artfynd/A 30485-2024 artfynd.xlsx", "A 30485-2024")</f>
        <v/>
      </c>
      <c r="T235">
        <f>HYPERLINK("https://klasma.github.io/Logging_2303/kartor/A 30485-2024 karta.png", "A 30485-2024")</f>
        <v/>
      </c>
      <c r="V235">
        <f>HYPERLINK("https://klasma.github.io/Logging_2303/klagomål/A 30485-2024 FSC-klagomål.docx", "A 30485-2024")</f>
        <v/>
      </c>
      <c r="W235">
        <f>HYPERLINK("https://klasma.github.io/Logging_2303/klagomålsmail/A 30485-2024 FSC-klagomål mail.docx", "A 30485-2024")</f>
        <v/>
      </c>
      <c r="X235">
        <f>HYPERLINK("https://klasma.github.io/Logging_2303/tillsyn/A 30485-2024 tillsynsbegäran.docx", "A 30485-2024")</f>
        <v/>
      </c>
      <c r="Y235">
        <f>HYPERLINK("https://klasma.github.io/Logging_2303/tillsynsmail/A 30485-2024 tillsynsbegäran mail.docx", "A 30485-2024")</f>
        <v/>
      </c>
    </row>
    <row r="236" ht="15" customHeight="1">
      <c r="A236" t="inlineStr">
        <is>
          <t>A 2097-2026</t>
        </is>
      </c>
      <c r="B236" s="1" t="n">
        <v>46036.36556712963</v>
      </c>
      <c r="C236" s="1" t="n">
        <v>46072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Trolldruvemätare</t>
        </is>
      </c>
      <c r="S236">
        <f>HYPERLINK("https://klasma.github.io/Logging_2303/artfynd/A 2097-2026 artfynd.xlsx", "A 2097-2026")</f>
        <v/>
      </c>
      <c r="T236">
        <f>HYPERLINK("https://klasma.github.io/Logging_2303/kartor/A 2097-2026 karta.png", "A 2097-2026")</f>
        <v/>
      </c>
      <c r="V236">
        <f>HYPERLINK("https://klasma.github.io/Logging_2303/klagomål/A 2097-2026 FSC-klagomål.docx", "A 2097-2026")</f>
        <v/>
      </c>
      <c r="W236">
        <f>HYPERLINK("https://klasma.github.io/Logging_2303/klagomålsmail/A 2097-2026 FSC-klagomål mail.docx", "A 2097-2026")</f>
        <v/>
      </c>
      <c r="X236">
        <f>HYPERLINK("https://klasma.github.io/Logging_2303/tillsyn/A 2097-2026 tillsynsbegäran.docx", "A 2097-2026")</f>
        <v/>
      </c>
      <c r="Y236">
        <f>HYPERLINK("https://klasma.github.io/Logging_2303/tillsynsmail/A 2097-2026 tillsynsbegäran mail.docx", "A 2097-2026")</f>
        <v/>
      </c>
    </row>
    <row r="237" ht="15" customHeight="1">
      <c r="A237" t="inlineStr">
        <is>
          <t>A 48429-2023</t>
        </is>
      </c>
      <c r="B237" s="1" t="n">
        <v>45205</v>
      </c>
      <c r="C237" s="1" t="n">
        <v>46072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1.8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HYPERLINK("https://klasma.github.io/Logging_2303/artfynd/A 48429-2023 artfynd.xlsx", "A 48429-2023")</f>
        <v/>
      </c>
      <c r="T237">
        <f>HYPERLINK("https://klasma.github.io/Logging_2303/kartor/A 48429-2023 karta.png", "A 48429-2023")</f>
        <v/>
      </c>
      <c r="V237">
        <f>HYPERLINK("https://klasma.github.io/Logging_2303/klagomål/A 48429-2023 FSC-klagomål.docx", "A 48429-2023")</f>
        <v/>
      </c>
      <c r="W237">
        <f>HYPERLINK("https://klasma.github.io/Logging_2303/klagomålsmail/A 48429-2023 FSC-klagomål mail.docx", "A 48429-2023")</f>
        <v/>
      </c>
      <c r="X237">
        <f>HYPERLINK("https://klasma.github.io/Logging_2303/tillsyn/A 48429-2023 tillsynsbegäran.docx", "A 48429-2023")</f>
        <v/>
      </c>
      <c r="Y237">
        <f>HYPERLINK("https://klasma.github.io/Logging_2303/tillsynsmail/A 48429-2023 tillsynsbegäran mail.docx", "A 48429-2023")</f>
        <v/>
      </c>
    </row>
    <row r="238" ht="15" customHeight="1">
      <c r="A238" t="inlineStr">
        <is>
          <t>A 17340-2023</t>
        </is>
      </c>
      <c r="B238" s="1" t="n">
        <v>45033</v>
      </c>
      <c r="C238" s="1" t="n">
        <v>46072</v>
      </c>
      <c r="D238" t="inlineStr">
        <is>
          <t>JÄMTLANDS LÄN</t>
        </is>
      </c>
      <c r="E238" t="inlineStr">
        <is>
          <t>RAGUNDA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Vedtrappmossa</t>
        </is>
      </c>
      <c r="S238">
        <f>HYPERLINK("https://klasma.github.io/Logging_2303/artfynd/A 17340-2023 artfynd.xlsx", "A 17340-2023")</f>
        <v/>
      </c>
      <c r="T238">
        <f>HYPERLINK("https://klasma.github.io/Logging_2303/kartor/A 17340-2023 karta.png", "A 17340-2023")</f>
        <v/>
      </c>
      <c r="U238">
        <f>HYPERLINK("https://klasma.github.io/Logging_2303/knärot/A 17340-2023 karta knärot.png", "A 17340-2023")</f>
        <v/>
      </c>
      <c r="V238">
        <f>HYPERLINK("https://klasma.github.io/Logging_2303/klagomål/A 17340-2023 FSC-klagomål.docx", "A 17340-2023")</f>
        <v/>
      </c>
      <c r="W238">
        <f>HYPERLINK("https://klasma.github.io/Logging_2303/klagomålsmail/A 17340-2023 FSC-klagomål mail.docx", "A 17340-2023")</f>
        <v/>
      </c>
      <c r="X238">
        <f>HYPERLINK("https://klasma.github.io/Logging_2303/tillsyn/A 17340-2023 tillsynsbegäran.docx", "A 17340-2023")</f>
        <v/>
      </c>
      <c r="Y238">
        <f>HYPERLINK("https://klasma.github.io/Logging_2303/tillsynsmail/A 17340-2023 tillsynsbegäran mail.docx", "A 17340-2023")</f>
        <v/>
      </c>
    </row>
    <row r="239" ht="15" customHeight="1">
      <c r="A239" t="inlineStr">
        <is>
          <t>A 4157-2026</t>
        </is>
      </c>
      <c r="B239" s="1" t="n">
        <v>46044.65694444445</v>
      </c>
      <c r="C239" s="1" t="n">
        <v>46072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2.6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Tvåblad</t>
        </is>
      </c>
      <c r="S239">
        <f>HYPERLINK("https://klasma.github.io/Logging_2303/artfynd/A 4157-2026 artfynd.xlsx", "A 4157-2026")</f>
        <v/>
      </c>
      <c r="T239">
        <f>HYPERLINK("https://klasma.github.io/Logging_2303/kartor/A 4157-2026 karta.png", "A 4157-2026")</f>
        <v/>
      </c>
      <c r="V239">
        <f>HYPERLINK("https://klasma.github.io/Logging_2303/klagomål/A 4157-2026 FSC-klagomål.docx", "A 4157-2026")</f>
        <v/>
      </c>
      <c r="W239">
        <f>HYPERLINK("https://klasma.github.io/Logging_2303/klagomålsmail/A 4157-2026 FSC-klagomål mail.docx", "A 4157-2026")</f>
        <v/>
      </c>
      <c r="X239">
        <f>HYPERLINK("https://klasma.github.io/Logging_2303/tillsyn/A 4157-2026 tillsynsbegäran.docx", "A 4157-2026")</f>
        <v/>
      </c>
      <c r="Y239">
        <f>HYPERLINK("https://klasma.github.io/Logging_2303/tillsynsmail/A 4157-2026 tillsynsbegäran mail.docx", "A 4157-2026")</f>
        <v/>
      </c>
    </row>
    <row r="240" ht="15" customHeight="1">
      <c r="A240" t="inlineStr">
        <is>
          <t>A 26322-2024</t>
        </is>
      </c>
      <c r="B240" s="1" t="n">
        <v>45468.97461805555</v>
      </c>
      <c r="C240" s="1" t="n">
        <v>46072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9.6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Rosenticka</t>
        </is>
      </c>
      <c r="S240">
        <f>HYPERLINK("https://klasma.github.io/Logging_2303/artfynd/A 26322-2024 artfynd.xlsx", "A 26322-2024")</f>
        <v/>
      </c>
      <c r="T240">
        <f>HYPERLINK("https://klasma.github.io/Logging_2303/kartor/A 26322-2024 karta.png", "A 26322-2024")</f>
        <v/>
      </c>
      <c r="U240">
        <f>HYPERLINK("https://klasma.github.io/Logging_2303/knärot/A 26322-2024 karta knärot.png", "A 26322-2024")</f>
        <v/>
      </c>
      <c r="V240">
        <f>HYPERLINK("https://klasma.github.io/Logging_2303/klagomål/A 26322-2024 FSC-klagomål.docx", "A 26322-2024")</f>
        <v/>
      </c>
      <c r="W240">
        <f>HYPERLINK("https://klasma.github.io/Logging_2303/klagomålsmail/A 26322-2024 FSC-klagomål mail.docx", "A 26322-2024")</f>
        <v/>
      </c>
      <c r="X240">
        <f>HYPERLINK("https://klasma.github.io/Logging_2303/tillsyn/A 26322-2024 tillsynsbegäran.docx", "A 26322-2024")</f>
        <v/>
      </c>
      <c r="Y240">
        <f>HYPERLINK("https://klasma.github.io/Logging_2303/tillsynsmail/A 26322-2024 tillsynsbegäran mail.docx", "A 26322-2024")</f>
        <v/>
      </c>
    </row>
    <row r="241" ht="15" customHeight="1">
      <c r="A241" t="inlineStr">
        <is>
          <t>A 48477-2023</t>
        </is>
      </c>
      <c r="B241" s="1" t="n">
        <v>45206</v>
      </c>
      <c r="C241" s="1" t="n">
        <v>46072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HYPERLINK("https://klasma.github.io/Logging_2303/artfynd/A 48477-2023 artfynd.xlsx", "A 48477-2023")</f>
        <v/>
      </c>
      <c r="T241">
        <f>HYPERLINK("https://klasma.github.io/Logging_2303/kartor/A 48477-2023 karta.png", "A 48477-2023")</f>
        <v/>
      </c>
      <c r="V241">
        <f>HYPERLINK("https://klasma.github.io/Logging_2303/klagomål/A 48477-2023 FSC-klagomål.docx", "A 48477-2023")</f>
        <v/>
      </c>
      <c r="W241">
        <f>HYPERLINK("https://klasma.github.io/Logging_2303/klagomålsmail/A 48477-2023 FSC-klagomål mail.docx", "A 48477-2023")</f>
        <v/>
      </c>
      <c r="X241">
        <f>HYPERLINK("https://klasma.github.io/Logging_2303/tillsyn/A 48477-2023 tillsynsbegäran.docx", "A 48477-2023")</f>
        <v/>
      </c>
      <c r="Y241">
        <f>HYPERLINK("https://klasma.github.io/Logging_2303/tillsynsmail/A 48477-2023 tillsynsbegäran mail.docx", "A 48477-2023")</f>
        <v/>
      </c>
    </row>
    <row r="242" ht="15" customHeight="1">
      <c r="A242" t="inlineStr">
        <is>
          <t>A 16724-2025</t>
        </is>
      </c>
      <c r="B242" s="1" t="n">
        <v>45754.51064814815</v>
      </c>
      <c r="C242" s="1" t="n">
        <v>46072</v>
      </c>
      <c r="D242" t="inlineStr">
        <is>
          <t>JÄMTLANDS LÄN</t>
        </is>
      </c>
      <c r="E242" t="inlineStr">
        <is>
          <t>RAGUNDA</t>
        </is>
      </c>
      <c r="G242" t="n">
        <v>3.5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HYPERLINK("https://klasma.github.io/Logging_2303/artfynd/A 16724-2025 artfynd.xlsx", "A 16724-2025")</f>
        <v/>
      </c>
      <c r="T242">
        <f>HYPERLINK("https://klasma.github.io/Logging_2303/kartor/A 16724-2025 karta.png", "A 16724-2025")</f>
        <v/>
      </c>
      <c r="V242">
        <f>HYPERLINK("https://klasma.github.io/Logging_2303/klagomål/A 16724-2025 FSC-klagomål.docx", "A 16724-2025")</f>
        <v/>
      </c>
      <c r="W242">
        <f>HYPERLINK("https://klasma.github.io/Logging_2303/klagomålsmail/A 16724-2025 FSC-klagomål mail.docx", "A 16724-2025")</f>
        <v/>
      </c>
      <c r="X242">
        <f>HYPERLINK("https://klasma.github.io/Logging_2303/tillsyn/A 16724-2025 tillsynsbegäran.docx", "A 16724-2025")</f>
        <v/>
      </c>
      <c r="Y242">
        <f>HYPERLINK("https://klasma.github.io/Logging_2303/tillsynsmail/A 16724-2025 tillsynsbegäran mail.docx", "A 16724-2025")</f>
        <v/>
      </c>
    </row>
    <row r="243" ht="15" customHeight="1">
      <c r="A243" t="inlineStr">
        <is>
          <t>A 49770-2024</t>
        </is>
      </c>
      <c r="B243" s="1" t="n">
        <v>45597.34461805555</v>
      </c>
      <c r="C243" s="1" t="n">
        <v>46072</v>
      </c>
      <c r="D243" t="inlineStr">
        <is>
          <t>JÄMTLANDS LÄN</t>
        </is>
      </c>
      <c r="E243" t="inlineStr">
        <is>
          <t>RAGUNDA</t>
        </is>
      </c>
      <c r="F243" t="inlineStr">
        <is>
          <t>Naturvårdsverket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Doftticka</t>
        </is>
      </c>
      <c r="S243">
        <f>HYPERLINK("https://klasma.github.io/Logging_2303/artfynd/A 49770-2024 artfynd.xlsx", "A 49770-2024")</f>
        <v/>
      </c>
      <c r="T243">
        <f>HYPERLINK("https://klasma.github.io/Logging_2303/kartor/A 49770-2024 karta.png", "A 49770-2024")</f>
        <v/>
      </c>
      <c r="V243">
        <f>HYPERLINK("https://klasma.github.io/Logging_2303/klagomål/A 49770-2024 FSC-klagomål.docx", "A 49770-2024")</f>
        <v/>
      </c>
      <c r="W243">
        <f>HYPERLINK("https://klasma.github.io/Logging_2303/klagomålsmail/A 49770-2024 FSC-klagomål mail.docx", "A 49770-2024")</f>
        <v/>
      </c>
      <c r="X243">
        <f>HYPERLINK("https://klasma.github.io/Logging_2303/tillsyn/A 49770-2024 tillsynsbegäran.docx", "A 49770-2024")</f>
        <v/>
      </c>
      <c r="Y243">
        <f>HYPERLINK("https://klasma.github.io/Logging_2303/tillsynsmail/A 49770-2024 tillsynsbegäran mail.docx", "A 49770-2024")</f>
        <v/>
      </c>
    </row>
    <row r="244" ht="15" customHeight="1">
      <c r="A244" t="inlineStr">
        <is>
          <t>A 61324-2024</t>
        </is>
      </c>
      <c r="B244" s="1" t="n">
        <v>45646.34438657408</v>
      </c>
      <c r="C244" s="1" t="n">
        <v>46072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11.2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Trana</t>
        </is>
      </c>
      <c r="S244">
        <f>HYPERLINK("https://klasma.github.io/Logging_2303/artfynd/A 61324-2024 artfynd.xlsx", "A 61324-2024")</f>
        <v/>
      </c>
      <c r="T244">
        <f>HYPERLINK("https://klasma.github.io/Logging_2303/kartor/A 61324-2024 karta.png", "A 61324-2024")</f>
        <v/>
      </c>
      <c r="V244">
        <f>HYPERLINK("https://klasma.github.io/Logging_2303/klagomål/A 61324-2024 FSC-klagomål.docx", "A 61324-2024")</f>
        <v/>
      </c>
      <c r="W244">
        <f>HYPERLINK("https://klasma.github.io/Logging_2303/klagomålsmail/A 61324-2024 FSC-klagomål mail.docx", "A 61324-2024")</f>
        <v/>
      </c>
      <c r="X244">
        <f>HYPERLINK("https://klasma.github.io/Logging_2303/tillsyn/A 61324-2024 tillsynsbegäran.docx", "A 61324-2024")</f>
        <v/>
      </c>
      <c r="Y244">
        <f>HYPERLINK("https://klasma.github.io/Logging_2303/tillsynsmail/A 61324-2024 tillsynsbegäran mail.docx", "A 61324-2024")</f>
        <v/>
      </c>
      <c r="Z244">
        <f>HYPERLINK("https://klasma.github.io/Logging_2303/fåglar/A 61324-2024 prioriterade fågelarter.docx", "A 61324-2024")</f>
        <v/>
      </c>
    </row>
    <row r="245" ht="15" customHeight="1">
      <c r="A245" t="inlineStr">
        <is>
          <t>A 32069-2024</t>
        </is>
      </c>
      <c r="B245" s="1" t="n">
        <v>45510</v>
      </c>
      <c r="C245" s="1" t="n">
        <v>46072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HYPERLINK("https://klasma.github.io/Logging_2303/artfynd/A 32069-2024 artfynd.xlsx", "A 32069-2024")</f>
        <v/>
      </c>
      <c r="T245">
        <f>HYPERLINK("https://klasma.github.io/Logging_2303/kartor/A 32069-2024 karta.png", "A 32069-2024")</f>
        <v/>
      </c>
      <c r="V245">
        <f>HYPERLINK("https://klasma.github.io/Logging_2303/klagomål/A 32069-2024 FSC-klagomål.docx", "A 32069-2024")</f>
        <v/>
      </c>
      <c r="W245">
        <f>HYPERLINK("https://klasma.github.io/Logging_2303/klagomålsmail/A 32069-2024 FSC-klagomål mail.docx", "A 32069-2024")</f>
        <v/>
      </c>
      <c r="X245">
        <f>HYPERLINK("https://klasma.github.io/Logging_2303/tillsyn/A 32069-2024 tillsynsbegäran.docx", "A 32069-2024")</f>
        <v/>
      </c>
      <c r="Y245">
        <f>HYPERLINK("https://klasma.github.io/Logging_2303/tillsynsmail/A 32069-2024 tillsynsbegäran mail.docx", "A 32069-2024")</f>
        <v/>
      </c>
    </row>
    <row r="246" ht="15" customHeight="1">
      <c r="A246" t="inlineStr">
        <is>
          <t>A 19751-2025</t>
        </is>
      </c>
      <c r="B246" s="1" t="n">
        <v>45771.3859837963</v>
      </c>
      <c r="C246" s="1" t="n">
        <v>46072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HYPERLINK("https://klasma.github.io/Logging_2303/artfynd/A 19751-2025 artfynd.xlsx", "A 19751-2025")</f>
        <v/>
      </c>
      <c r="T246">
        <f>HYPERLINK("https://klasma.github.io/Logging_2303/kartor/A 19751-2025 karta.png", "A 19751-2025")</f>
        <v/>
      </c>
      <c r="V246">
        <f>HYPERLINK("https://klasma.github.io/Logging_2303/klagomål/A 19751-2025 FSC-klagomål.docx", "A 19751-2025")</f>
        <v/>
      </c>
      <c r="W246">
        <f>HYPERLINK("https://klasma.github.io/Logging_2303/klagomålsmail/A 19751-2025 FSC-klagomål mail.docx", "A 19751-2025")</f>
        <v/>
      </c>
      <c r="X246">
        <f>HYPERLINK("https://klasma.github.io/Logging_2303/tillsyn/A 19751-2025 tillsynsbegäran.docx", "A 19751-2025")</f>
        <v/>
      </c>
      <c r="Y246">
        <f>HYPERLINK("https://klasma.github.io/Logging_2303/tillsynsmail/A 19751-2025 tillsynsbegäran mail.docx", "A 19751-2025")</f>
        <v/>
      </c>
      <c r="Z246">
        <f>HYPERLINK("https://klasma.github.io/Logging_2303/fåglar/A 19751-2025 prioriterade fågelarter.docx", "A 19751-2025")</f>
        <v/>
      </c>
    </row>
    <row r="247" ht="15" customHeight="1">
      <c r="A247" t="inlineStr">
        <is>
          <t>A 19387-2025</t>
        </is>
      </c>
      <c r="B247" s="1" t="n">
        <v>45769.65736111111</v>
      </c>
      <c r="C247" s="1" t="n">
        <v>46072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16.4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HYPERLINK("https://klasma.github.io/Logging_2303/artfynd/A 19387-2025 artfynd.xlsx", "A 19387-2025")</f>
        <v/>
      </c>
      <c r="T247">
        <f>HYPERLINK("https://klasma.github.io/Logging_2303/kartor/A 19387-2025 karta.png", "A 19387-2025")</f>
        <v/>
      </c>
      <c r="V247">
        <f>HYPERLINK("https://klasma.github.io/Logging_2303/klagomål/A 19387-2025 FSC-klagomål.docx", "A 19387-2025")</f>
        <v/>
      </c>
      <c r="W247">
        <f>HYPERLINK("https://klasma.github.io/Logging_2303/klagomålsmail/A 19387-2025 FSC-klagomål mail.docx", "A 19387-2025")</f>
        <v/>
      </c>
      <c r="X247">
        <f>HYPERLINK("https://klasma.github.io/Logging_2303/tillsyn/A 19387-2025 tillsynsbegäran.docx", "A 19387-2025")</f>
        <v/>
      </c>
      <c r="Y247">
        <f>HYPERLINK("https://klasma.github.io/Logging_2303/tillsynsmail/A 19387-2025 tillsynsbegäran mail.docx", "A 19387-2025")</f>
        <v/>
      </c>
    </row>
    <row r="248" ht="15" customHeight="1">
      <c r="A248" t="inlineStr">
        <is>
          <t>A 2929-2024</t>
        </is>
      </c>
      <c r="B248" s="1" t="n">
        <v>45315</v>
      </c>
      <c r="C248" s="1" t="n">
        <v>46072</v>
      </c>
      <c r="D248" t="inlineStr">
        <is>
          <t>JÄMTLANDS LÄN</t>
        </is>
      </c>
      <c r="E248" t="inlineStr">
        <is>
          <t>RAGUNDA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Klådris</t>
        </is>
      </c>
      <c r="S248">
        <f>HYPERLINK("https://klasma.github.io/Logging_2303/artfynd/A 2929-2024 artfynd.xlsx", "A 2929-2024")</f>
        <v/>
      </c>
      <c r="T248">
        <f>HYPERLINK("https://klasma.github.io/Logging_2303/kartor/A 2929-2024 karta.png", "A 2929-2024")</f>
        <v/>
      </c>
      <c r="V248">
        <f>HYPERLINK("https://klasma.github.io/Logging_2303/klagomål/A 2929-2024 FSC-klagomål.docx", "A 2929-2024")</f>
        <v/>
      </c>
      <c r="W248">
        <f>HYPERLINK("https://klasma.github.io/Logging_2303/klagomålsmail/A 2929-2024 FSC-klagomål mail.docx", "A 2929-2024")</f>
        <v/>
      </c>
      <c r="X248">
        <f>HYPERLINK("https://klasma.github.io/Logging_2303/tillsyn/A 2929-2024 tillsynsbegäran.docx", "A 2929-2024")</f>
        <v/>
      </c>
      <c r="Y248">
        <f>HYPERLINK("https://klasma.github.io/Logging_2303/tillsynsmail/A 2929-2024 tillsynsbegäran mail.docx", "A 2929-2024")</f>
        <v/>
      </c>
    </row>
    <row r="249" ht="15" customHeight="1">
      <c r="A249" t="inlineStr">
        <is>
          <t>A 58846-2024</t>
        </is>
      </c>
      <c r="B249" s="1" t="n">
        <v>45636.3863425926</v>
      </c>
      <c r="C249" s="1" t="n">
        <v>46072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Rynkskinn</t>
        </is>
      </c>
      <c r="S249">
        <f>HYPERLINK("https://klasma.github.io/Logging_2303/artfynd/A 58846-2024 artfynd.xlsx", "A 58846-2024")</f>
        <v/>
      </c>
      <c r="T249">
        <f>HYPERLINK("https://klasma.github.io/Logging_2303/kartor/A 58846-2024 karta.png", "A 58846-2024")</f>
        <v/>
      </c>
      <c r="V249">
        <f>HYPERLINK("https://klasma.github.io/Logging_2303/klagomål/A 58846-2024 FSC-klagomål.docx", "A 58846-2024")</f>
        <v/>
      </c>
      <c r="W249">
        <f>HYPERLINK("https://klasma.github.io/Logging_2303/klagomålsmail/A 58846-2024 FSC-klagomål mail.docx", "A 58846-2024")</f>
        <v/>
      </c>
      <c r="X249">
        <f>HYPERLINK("https://klasma.github.io/Logging_2303/tillsyn/A 58846-2024 tillsynsbegäran.docx", "A 58846-2024")</f>
        <v/>
      </c>
      <c r="Y249">
        <f>HYPERLINK("https://klasma.github.io/Logging_2303/tillsynsmail/A 58846-2024 tillsynsbegäran mail.docx", "A 58846-2024")</f>
        <v/>
      </c>
    </row>
    <row r="250" ht="15" customHeight="1">
      <c r="A250" t="inlineStr">
        <is>
          <t>A 36854-2023</t>
        </is>
      </c>
      <c r="B250" s="1" t="n">
        <v>45153</v>
      </c>
      <c r="C250" s="1" t="n">
        <v>46072</v>
      </c>
      <c r="D250" t="inlineStr">
        <is>
          <t>JÄMTLANDS LÄN</t>
        </is>
      </c>
      <c r="E250" t="inlineStr">
        <is>
          <t>RAGUNDA</t>
        </is>
      </c>
      <c r="G250" t="n">
        <v>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HYPERLINK("https://klasma.github.io/Logging_2303/artfynd/A 36854-2023 artfynd.xlsx", "A 36854-2023")</f>
        <v/>
      </c>
      <c r="T250">
        <f>HYPERLINK("https://klasma.github.io/Logging_2303/kartor/A 36854-2023 karta.png", "A 36854-2023")</f>
        <v/>
      </c>
      <c r="V250">
        <f>HYPERLINK("https://klasma.github.io/Logging_2303/klagomål/A 36854-2023 FSC-klagomål.docx", "A 36854-2023")</f>
        <v/>
      </c>
      <c r="W250">
        <f>HYPERLINK("https://klasma.github.io/Logging_2303/klagomålsmail/A 36854-2023 FSC-klagomål mail.docx", "A 36854-2023")</f>
        <v/>
      </c>
      <c r="X250">
        <f>HYPERLINK("https://klasma.github.io/Logging_2303/tillsyn/A 36854-2023 tillsynsbegäran.docx", "A 36854-2023")</f>
        <v/>
      </c>
      <c r="Y250">
        <f>HYPERLINK("https://klasma.github.io/Logging_2303/tillsynsmail/A 36854-2023 tillsynsbegäran mail.docx", "A 36854-2023")</f>
        <v/>
      </c>
      <c r="Z250">
        <f>HYPERLINK("https://klasma.github.io/Logging_2303/fåglar/A 36854-2023 prioriterade fågelarter.docx", "A 36854-2023")</f>
        <v/>
      </c>
    </row>
    <row r="251" ht="15" customHeight="1">
      <c r="A251" t="inlineStr">
        <is>
          <t>A 18985-2023</t>
        </is>
      </c>
      <c r="B251" s="1" t="n">
        <v>45044</v>
      </c>
      <c r="C251" s="1" t="n">
        <v>46072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Doftskinn</t>
        </is>
      </c>
      <c r="S251">
        <f>HYPERLINK("https://klasma.github.io/Logging_2303/artfynd/A 18985-2023 artfynd.xlsx", "A 18985-2023")</f>
        <v/>
      </c>
      <c r="T251">
        <f>HYPERLINK("https://klasma.github.io/Logging_2303/kartor/A 18985-2023 karta.png", "A 18985-2023")</f>
        <v/>
      </c>
      <c r="V251">
        <f>HYPERLINK("https://klasma.github.io/Logging_2303/klagomål/A 18985-2023 FSC-klagomål.docx", "A 18985-2023")</f>
        <v/>
      </c>
      <c r="W251">
        <f>HYPERLINK("https://klasma.github.io/Logging_2303/klagomålsmail/A 18985-2023 FSC-klagomål mail.docx", "A 18985-2023")</f>
        <v/>
      </c>
      <c r="X251">
        <f>HYPERLINK("https://klasma.github.io/Logging_2303/tillsyn/A 18985-2023 tillsynsbegäran.docx", "A 18985-2023")</f>
        <v/>
      </c>
      <c r="Y251">
        <f>HYPERLINK("https://klasma.github.io/Logging_2303/tillsynsmail/A 18985-2023 tillsynsbegäran mail.docx", "A 18985-2023")</f>
        <v/>
      </c>
    </row>
    <row r="252" ht="15" customHeight="1">
      <c r="A252" t="inlineStr">
        <is>
          <t>A 35750-2023</t>
        </is>
      </c>
      <c r="B252" s="1" t="n">
        <v>45147</v>
      </c>
      <c r="C252" s="1" t="n">
        <v>46072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Grantaggsvamp</t>
        </is>
      </c>
      <c r="S252">
        <f>HYPERLINK("https://klasma.github.io/Logging_2303/artfynd/A 35750-2023 artfynd.xlsx", "A 35750-2023")</f>
        <v/>
      </c>
      <c r="T252">
        <f>HYPERLINK("https://klasma.github.io/Logging_2303/kartor/A 35750-2023 karta.png", "A 35750-2023")</f>
        <v/>
      </c>
      <c r="V252">
        <f>HYPERLINK("https://klasma.github.io/Logging_2303/klagomål/A 35750-2023 FSC-klagomål.docx", "A 35750-2023")</f>
        <v/>
      </c>
      <c r="W252">
        <f>HYPERLINK("https://klasma.github.io/Logging_2303/klagomålsmail/A 35750-2023 FSC-klagomål mail.docx", "A 35750-2023")</f>
        <v/>
      </c>
      <c r="X252">
        <f>HYPERLINK("https://klasma.github.io/Logging_2303/tillsyn/A 35750-2023 tillsynsbegäran.docx", "A 35750-2023")</f>
        <v/>
      </c>
      <c r="Y252">
        <f>HYPERLINK("https://klasma.github.io/Logging_2303/tillsynsmail/A 35750-2023 tillsynsbegäran mail.docx", "A 35750-2023")</f>
        <v/>
      </c>
    </row>
    <row r="253" ht="15" customHeight="1">
      <c r="A253" t="inlineStr">
        <is>
          <t>A 62072-2023</t>
        </is>
      </c>
      <c r="B253" s="1" t="n">
        <v>45266</v>
      </c>
      <c r="C253" s="1" t="n">
        <v>46072</v>
      </c>
      <c r="D253" t="inlineStr">
        <is>
          <t>JÄMTLANDS LÄN</t>
        </is>
      </c>
      <c r="E253" t="inlineStr">
        <is>
          <t>RAGUNDA</t>
        </is>
      </c>
      <c r="G253" t="n">
        <v>4.5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Lappuggla</t>
        </is>
      </c>
      <c r="S253">
        <f>HYPERLINK("https://klasma.github.io/Logging_2303/artfynd/A 62072-2023 artfynd.xlsx", "A 62072-2023")</f>
        <v/>
      </c>
      <c r="T253">
        <f>HYPERLINK("https://klasma.github.io/Logging_2303/kartor/A 62072-2023 karta.png", "A 62072-2023")</f>
        <v/>
      </c>
      <c r="V253">
        <f>HYPERLINK("https://klasma.github.io/Logging_2303/klagomål/A 62072-2023 FSC-klagomål.docx", "A 62072-2023")</f>
        <v/>
      </c>
      <c r="W253">
        <f>HYPERLINK("https://klasma.github.io/Logging_2303/klagomålsmail/A 62072-2023 FSC-klagomål mail.docx", "A 62072-2023")</f>
        <v/>
      </c>
      <c r="X253">
        <f>HYPERLINK("https://klasma.github.io/Logging_2303/tillsyn/A 62072-2023 tillsynsbegäran.docx", "A 62072-2023")</f>
        <v/>
      </c>
      <c r="Y253">
        <f>HYPERLINK("https://klasma.github.io/Logging_2303/tillsynsmail/A 62072-2023 tillsynsbegäran mail.docx", "A 62072-2023")</f>
        <v/>
      </c>
      <c r="Z253">
        <f>HYPERLINK("https://klasma.github.io/Logging_2303/fåglar/A 62072-2023 prioriterade fågelarter.docx", "A 62072-2023")</f>
        <v/>
      </c>
    </row>
    <row r="254" ht="15" customHeight="1">
      <c r="A254" t="inlineStr">
        <is>
          <t>A 20774-2024</t>
        </is>
      </c>
      <c r="B254" s="1" t="n">
        <v>45436.94644675926</v>
      </c>
      <c r="C254" s="1" t="n">
        <v>46072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HYPERLINK("https://klasma.github.io/Logging_2303/artfynd/A 20774-2024 artfynd.xlsx", "A 20774-2024")</f>
        <v/>
      </c>
      <c r="T254">
        <f>HYPERLINK("https://klasma.github.io/Logging_2303/kartor/A 20774-2024 karta.png", "A 20774-2024")</f>
        <v/>
      </c>
      <c r="V254">
        <f>HYPERLINK("https://klasma.github.io/Logging_2303/klagomål/A 20774-2024 FSC-klagomål.docx", "A 20774-2024")</f>
        <v/>
      </c>
      <c r="W254">
        <f>HYPERLINK("https://klasma.github.io/Logging_2303/klagomålsmail/A 20774-2024 FSC-klagomål mail.docx", "A 20774-2024")</f>
        <v/>
      </c>
      <c r="X254">
        <f>HYPERLINK("https://klasma.github.io/Logging_2303/tillsyn/A 20774-2024 tillsynsbegäran.docx", "A 20774-2024")</f>
        <v/>
      </c>
      <c r="Y254">
        <f>HYPERLINK("https://klasma.github.io/Logging_2303/tillsynsmail/A 20774-2024 tillsynsbegäran mail.docx", "A 20774-2024")</f>
        <v/>
      </c>
    </row>
    <row r="255" ht="15" customHeight="1">
      <c r="A255" t="inlineStr">
        <is>
          <t>A 36757-2023</t>
        </is>
      </c>
      <c r="B255" s="1" t="n">
        <v>45153</v>
      </c>
      <c r="C255" s="1" t="n">
        <v>46072</v>
      </c>
      <c r="D255" t="inlineStr">
        <is>
          <t>JÄMTLANDS LÄN</t>
        </is>
      </c>
      <c r="E255" t="inlineStr">
        <is>
          <t>RAGUNDA</t>
        </is>
      </c>
      <c r="G255" t="n">
        <v>0.7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HYPERLINK("https://klasma.github.io/Logging_2303/artfynd/A 36757-2023 artfynd.xlsx", "A 36757-2023")</f>
        <v/>
      </c>
      <c r="T255">
        <f>HYPERLINK("https://klasma.github.io/Logging_2303/kartor/A 36757-2023 karta.png", "A 36757-2023")</f>
        <v/>
      </c>
      <c r="V255">
        <f>HYPERLINK("https://klasma.github.io/Logging_2303/klagomål/A 36757-2023 FSC-klagomål.docx", "A 36757-2023")</f>
        <v/>
      </c>
      <c r="W255">
        <f>HYPERLINK("https://klasma.github.io/Logging_2303/klagomålsmail/A 36757-2023 FSC-klagomål mail.docx", "A 36757-2023")</f>
        <v/>
      </c>
      <c r="X255">
        <f>HYPERLINK("https://klasma.github.io/Logging_2303/tillsyn/A 36757-2023 tillsynsbegäran.docx", "A 36757-2023")</f>
        <v/>
      </c>
      <c r="Y255">
        <f>HYPERLINK("https://klasma.github.io/Logging_2303/tillsynsmail/A 36757-2023 tillsynsbegäran mail.docx", "A 36757-2023")</f>
        <v/>
      </c>
      <c r="Z255">
        <f>HYPERLINK("https://klasma.github.io/Logging_2303/fåglar/A 36757-2023 prioriterade fågelarter.docx", "A 36757-2023")</f>
        <v/>
      </c>
    </row>
    <row r="256" ht="15" customHeight="1">
      <c r="A256" t="inlineStr">
        <is>
          <t>A 21212-2025</t>
        </is>
      </c>
      <c r="B256" s="1" t="n">
        <v>45779.48993055556</v>
      </c>
      <c r="C256" s="1" t="n">
        <v>46072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HYPERLINK("https://klasma.github.io/Logging_2303/artfynd/A 21212-2025 artfynd.xlsx", "A 21212-2025")</f>
        <v/>
      </c>
      <c r="T256">
        <f>HYPERLINK("https://klasma.github.io/Logging_2303/kartor/A 21212-2025 karta.png", "A 21212-2025")</f>
        <v/>
      </c>
      <c r="V256">
        <f>HYPERLINK("https://klasma.github.io/Logging_2303/klagomål/A 21212-2025 FSC-klagomål.docx", "A 21212-2025")</f>
        <v/>
      </c>
      <c r="W256">
        <f>HYPERLINK("https://klasma.github.io/Logging_2303/klagomålsmail/A 21212-2025 FSC-klagomål mail.docx", "A 21212-2025")</f>
        <v/>
      </c>
      <c r="X256">
        <f>HYPERLINK("https://klasma.github.io/Logging_2303/tillsyn/A 21212-2025 tillsynsbegäran.docx", "A 21212-2025")</f>
        <v/>
      </c>
      <c r="Y256">
        <f>HYPERLINK("https://klasma.github.io/Logging_2303/tillsynsmail/A 21212-2025 tillsynsbegäran mail.docx", "A 21212-2025")</f>
        <v/>
      </c>
    </row>
    <row r="257" ht="15" customHeight="1">
      <c r="A257" t="inlineStr">
        <is>
          <t>A 46050-2022</t>
        </is>
      </c>
      <c r="B257" s="1" t="n">
        <v>44846</v>
      </c>
      <c r="C257" s="1" t="n">
        <v>46072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66059-2021</t>
        </is>
      </c>
      <c r="B258" s="1" t="n">
        <v>44517</v>
      </c>
      <c r="C258" s="1" t="n">
        <v>46072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39408-2022</t>
        </is>
      </c>
      <c r="B259" s="1" t="n">
        <v>44817</v>
      </c>
      <c r="C259" s="1" t="n">
        <v>46072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53951-2022</t>
        </is>
      </c>
      <c r="B260" s="1" t="n">
        <v>44880.95712962963</v>
      </c>
      <c r="C260" s="1" t="n">
        <v>46072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53952-2022</t>
        </is>
      </c>
      <c r="B261" s="1" t="n">
        <v>44880.95719907407</v>
      </c>
      <c r="C261" s="1" t="n">
        <v>46072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48053-2022</t>
        </is>
      </c>
      <c r="B262" s="1" t="n">
        <v>44855.94125</v>
      </c>
      <c r="C262" s="1" t="n">
        <v>46072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41606-2021</t>
        </is>
      </c>
      <c r="B263" s="1" t="n">
        <v>44425</v>
      </c>
      <c r="C263" s="1" t="n">
        <v>46072</v>
      </c>
      <c r="D263" t="inlineStr">
        <is>
          <t>JÄMTLANDS LÄN</t>
        </is>
      </c>
      <c r="E263" t="inlineStr">
        <is>
          <t>RAGUNDA</t>
        </is>
      </c>
      <c r="F263" t="inlineStr">
        <is>
          <t>Kommuner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47546-2021</t>
        </is>
      </c>
      <c r="B264" s="1" t="n">
        <v>44447.92069444444</v>
      </c>
      <c r="C264" s="1" t="n">
        <v>46072</v>
      </c>
      <c r="D264" t="inlineStr">
        <is>
          <t>JÄMTLANDS LÄN</t>
        </is>
      </c>
      <c r="E264" t="inlineStr">
        <is>
          <t>RAGUNDA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59321-2021</t>
        </is>
      </c>
      <c r="B265" s="1" t="n">
        <v>44490.94109953703</v>
      </c>
      <c r="C265" s="1" t="n">
        <v>46072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66715-2021</t>
        </is>
      </c>
      <c r="B266" s="1" t="n">
        <v>44519.94534722222</v>
      </c>
      <c r="C266" s="1" t="n">
        <v>46072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26946-2021</t>
        </is>
      </c>
      <c r="B267" s="1" t="n">
        <v>44349</v>
      </c>
      <c r="C267" s="1" t="n">
        <v>46072</v>
      </c>
      <c r="D267" t="inlineStr">
        <is>
          <t>JÄMTLANDS LÄN</t>
        </is>
      </c>
      <c r="E267" t="inlineStr">
        <is>
          <t>RAGUNDA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14790-2021</t>
        </is>
      </c>
      <c r="B268" s="1" t="n">
        <v>44280</v>
      </c>
      <c r="C268" s="1" t="n">
        <v>46072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14776-2021</t>
        </is>
      </c>
      <c r="B269" s="1" t="n">
        <v>44280</v>
      </c>
      <c r="C269" s="1" t="n">
        <v>46072</v>
      </c>
      <c r="D269" t="inlineStr">
        <is>
          <t>JÄMTLANDS LÄN</t>
        </is>
      </c>
      <c r="E269" t="inlineStr">
        <is>
          <t>RAGUNDA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35386-2021</t>
        </is>
      </c>
      <c r="B270" s="1" t="n">
        <v>44385.33887731482</v>
      </c>
      <c r="C270" s="1" t="n">
        <v>46072</v>
      </c>
      <c r="D270" t="inlineStr">
        <is>
          <t>JÄMTLANDS LÄN</t>
        </is>
      </c>
      <c r="E270" t="inlineStr">
        <is>
          <t>RAGUNDA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16379-2021</t>
        </is>
      </c>
      <c r="B271" s="1" t="n">
        <v>44292</v>
      </c>
      <c r="C271" s="1" t="n">
        <v>46072</v>
      </c>
      <c r="D271" t="inlineStr">
        <is>
          <t>JÄMTLANDS LÄN</t>
        </is>
      </c>
      <c r="E271" t="inlineStr">
        <is>
          <t>RAGUNDA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21413-2022</t>
        </is>
      </c>
      <c r="B272" s="1" t="n">
        <v>44705</v>
      </c>
      <c r="C272" s="1" t="n">
        <v>46072</v>
      </c>
      <c r="D272" t="inlineStr">
        <is>
          <t>JÄMTLANDS LÄN</t>
        </is>
      </c>
      <c r="E272" t="inlineStr">
        <is>
          <t>RAGUNDA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66472-2021</t>
        </is>
      </c>
      <c r="B273" s="1" t="n">
        <v>44518.94394675926</v>
      </c>
      <c r="C273" s="1" t="n">
        <v>46072</v>
      </c>
      <c r="D273" t="inlineStr">
        <is>
          <t>JÄMTLANDS LÄN</t>
        </is>
      </c>
      <c r="E273" t="inlineStr">
        <is>
          <t>RAGUNDA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30438-2021</t>
        </is>
      </c>
      <c r="B274" s="1" t="n">
        <v>44362</v>
      </c>
      <c r="C274" s="1" t="n">
        <v>46072</v>
      </c>
      <c r="D274" t="inlineStr">
        <is>
          <t>JÄMTLANDS LÄN</t>
        </is>
      </c>
      <c r="E274" t="inlineStr">
        <is>
          <t>RAGUNDA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46047-2022</t>
        </is>
      </c>
      <c r="B275" s="1" t="n">
        <v>44846.9522337963</v>
      </c>
      <c r="C275" s="1" t="n">
        <v>46072</v>
      </c>
      <c r="D275" t="inlineStr">
        <is>
          <t>JÄMTLANDS LÄN</t>
        </is>
      </c>
      <c r="E275" t="inlineStr">
        <is>
          <t>RAGUNDA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42260-2021</t>
        </is>
      </c>
      <c r="B276" s="1" t="n">
        <v>44426.94077546296</v>
      </c>
      <c r="C276" s="1" t="n">
        <v>46072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37562-2021</t>
        </is>
      </c>
      <c r="B277" s="1" t="n">
        <v>44399</v>
      </c>
      <c r="C277" s="1" t="n">
        <v>46072</v>
      </c>
      <c r="D277" t="inlineStr">
        <is>
          <t>JÄMTLANDS LÄN</t>
        </is>
      </c>
      <c r="E277" t="inlineStr">
        <is>
          <t>RAGUNDA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39693-2022</t>
        </is>
      </c>
      <c r="B278" s="1" t="n">
        <v>44818.94929398148</v>
      </c>
      <c r="C278" s="1" t="n">
        <v>46072</v>
      </c>
      <c r="D278" t="inlineStr">
        <is>
          <t>JÄMTLANDS LÄN</t>
        </is>
      </c>
      <c r="E278" t="inlineStr">
        <is>
          <t>RAGUNDA</t>
        </is>
      </c>
      <c r="F278" t="inlineStr">
        <is>
          <t>SCA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49197-2022</t>
        </is>
      </c>
      <c r="B279" s="1" t="n">
        <v>44860</v>
      </c>
      <c r="C279" s="1" t="n">
        <v>46072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41609-2021</t>
        </is>
      </c>
      <c r="B280" s="1" t="n">
        <v>44425</v>
      </c>
      <c r="C280" s="1" t="n">
        <v>46072</v>
      </c>
      <c r="D280" t="inlineStr">
        <is>
          <t>JÄMTLANDS LÄN</t>
        </is>
      </c>
      <c r="E280" t="inlineStr">
        <is>
          <t>RAGUNDA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31484-2022</t>
        </is>
      </c>
      <c r="B281" s="1" t="n">
        <v>44774.94414351852</v>
      </c>
      <c r="C281" s="1" t="n">
        <v>46072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40436-2022</t>
        </is>
      </c>
      <c r="B282" s="1" t="n">
        <v>44823.48666666666</v>
      </c>
      <c r="C282" s="1" t="n">
        <v>46072</v>
      </c>
      <c r="D282" t="inlineStr">
        <is>
          <t>JÄMTLANDS LÄN</t>
        </is>
      </c>
      <c r="E282" t="inlineStr">
        <is>
          <t>RAGUNDA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15808-2022</t>
        </is>
      </c>
      <c r="B283" s="1" t="n">
        <v>44663</v>
      </c>
      <c r="C283" s="1" t="n">
        <v>46072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52720-2022</t>
        </is>
      </c>
      <c r="B284" s="1" t="n">
        <v>44874.95553240741</v>
      </c>
      <c r="C284" s="1" t="n">
        <v>46072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32979-2022</t>
        </is>
      </c>
      <c r="B285" s="1" t="n">
        <v>44784.9408912037</v>
      </c>
      <c r="C285" s="1" t="n">
        <v>46072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22695-2022</t>
        </is>
      </c>
      <c r="B286" s="1" t="n">
        <v>44714</v>
      </c>
      <c r="C286" s="1" t="n">
        <v>46072</v>
      </c>
      <c r="D286" t="inlineStr">
        <is>
          <t>JÄMTLANDS LÄN</t>
        </is>
      </c>
      <c r="E286" t="inlineStr">
        <is>
          <t>RAGUNDA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16246-2022</t>
        </is>
      </c>
      <c r="B287" s="1" t="n">
        <v>44670</v>
      </c>
      <c r="C287" s="1" t="n">
        <v>46072</v>
      </c>
      <c r="D287" t="inlineStr">
        <is>
          <t>JÄMTLANDS LÄN</t>
        </is>
      </c>
      <c r="E287" t="inlineStr">
        <is>
          <t>RAGUNDA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46072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48538-2022</t>
        </is>
      </c>
      <c r="B289" s="1" t="n">
        <v>44858</v>
      </c>
      <c r="C289" s="1" t="n">
        <v>46072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21196-2022</t>
        </is>
      </c>
      <c r="B290" s="1" t="n">
        <v>44704.94234953704</v>
      </c>
      <c r="C290" s="1" t="n">
        <v>46072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46072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46401-2021</t>
        </is>
      </c>
      <c r="B292" s="1" t="n">
        <v>44443</v>
      </c>
      <c r="C292" s="1" t="n">
        <v>46072</v>
      </c>
      <c r="D292" t="inlineStr">
        <is>
          <t>JÄMTLANDS LÄN</t>
        </is>
      </c>
      <c r="E292" t="inlineStr">
        <is>
          <t>RAGUNDA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13571-2021</t>
        </is>
      </c>
      <c r="B293" s="1" t="n">
        <v>44273.92081018518</v>
      </c>
      <c r="C293" s="1" t="n">
        <v>46072</v>
      </c>
      <c r="D293" t="inlineStr">
        <is>
          <t>JÄMTLANDS LÄN</t>
        </is>
      </c>
      <c r="E293" t="inlineStr">
        <is>
          <t>RAGUNDA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27302-2022</t>
        </is>
      </c>
      <c r="B294" s="1" t="n">
        <v>44741</v>
      </c>
      <c r="C294" s="1" t="n">
        <v>46072</v>
      </c>
      <c r="D294" t="inlineStr">
        <is>
          <t>JÄMTLANDS LÄN</t>
        </is>
      </c>
      <c r="E294" t="inlineStr">
        <is>
          <t>RAGUNDA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60312-2021</t>
        </is>
      </c>
      <c r="B295" s="1" t="n">
        <v>44495.93966435185</v>
      </c>
      <c r="C295" s="1" t="n">
        <v>46072</v>
      </c>
      <c r="D295" t="inlineStr">
        <is>
          <t>JÄMTLANDS LÄN</t>
        </is>
      </c>
      <c r="E295" t="inlineStr">
        <is>
          <t>RAGUNDA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47801-2022</t>
        </is>
      </c>
      <c r="B296" s="1" t="n">
        <v>44854</v>
      </c>
      <c r="C296" s="1" t="n">
        <v>46072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69316-2021</t>
        </is>
      </c>
      <c r="B297" s="1" t="n">
        <v>44530</v>
      </c>
      <c r="C297" s="1" t="n">
        <v>46072</v>
      </c>
      <c r="D297" t="inlineStr">
        <is>
          <t>JÄMTLANDS LÄN</t>
        </is>
      </c>
      <c r="E297" t="inlineStr">
        <is>
          <t>RAGUNDA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48938-2022</t>
        </is>
      </c>
      <c r="B298" s="1" t="n">
        <v>44859.95710648148</v>
      </c>
      <c r="C298" s="1" t="n">
        <v>46072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43478-2022</t>
        </is>
      </c>
      <c r="B299" s="1" t="n">
        <v>44836.9491087963</v>
      </c>
      <c r="C299" s="1" t="n">
        <v>46072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40612-2022</t>
        </is>
      </c>
      <c r="B300" s="1" t="n">
        <v>44823.94993055556</v>
      </c>
      <c r="C300" s="1" t="n">
        <v>46072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43163-2022</t>
        </is>
      </c>
      <c r="B301" s="1" t="n">
        <v>44833.95405092592</v>
      </c>
      <c r="C301" s="1" t="n">
        <v>46072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2494-2022</t>
        </is>
      </c>
      <c r="B302" s="1" t="n">
        <v>44579.68604166667</v>
      </c>
      <c r="C302" s="1" t="n">
        <v>46072</v>
      </c>
      <c r="D302" t="inlineStr">
        <is>
          <t>JÄMTLANDS LÄN</t>
        </is>
      </c>
      <c r="E302" t="inlineStr">
        <is>
          <t>RAGUNDA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54837-2022</t>
        </is>
      </c>
      <c r="B303" s="1" t="n">
        <v>44883</v>
      </c>
      <c r="C303" s="1" t="n">
        <v>46072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25028-2022</t>
        </is>
      </c>
      <c r="B304" s="1" t="n">
        <v>44728.94398148148</v>
      </c>
      <c r="C304" s="1" t="n">
        <v>46072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10937-2021</t>
        </is>
      </c>
      <c r="B305" s="1" t="n">
        <v>44259</v>
      </c>
      <c r="C305" s="1" t="n">
        <v>46072</v>
      </c>
      <c r="D305" t="inlineStr">
        <is>
          <t>JÄMTLANDS LÄN</t>
        </is>
      </c>
      <c r="E305" t="inlineStr">
        <is>
          <t>RAGUNDA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16002-2021</t>
        </is>
      </c>
      <c r="B306" s="1" t="n">
        <v>44287</v>
      </c>
      <c r="C306" s="1" t="n">
        <v>46072</v>
      </c>
      <c r="D306" t="inlineStr">
        <is>
          <t>JÄMTLANDS LÄN</t>
        </is>
      </c>
      <c r="E306" t="inlineStr">
        <is>
          <t>RAGUNDA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19612-2021</t>
        </is>
      </c>
      <c r="B307" s="1" t="n">
        <v>44308</v>
      </c>
      <c r="C307" s="1" t="n">
        <v>46072</v>
      </c>
      <c r="D307" t="inlineStr">
        <is>
          <t>JÄMTLANDS LÄN</t>
        </is>
      </c>
      <c r="E307" t="inlineStr">
        <is>
          <t>RAGUNDA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19615-2021</t>
        </is>
      </c>
      <c r="B308" s="1" t="n">
        <v>44308</v>
      </c>
      <c r="C308" s="1" t="n">
        <v>46072</v>
      </c>
      <c r="D308" t="inlineStr">
        <is>
          <t>JÄMTLANDS LÄN</t>
        </is>
      </c>
      <c r="E308" t="inlineStr">
        <is>
          <t>RAGUNDA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48832-2021</t>
        </is>
      </c>
      <c r="B309" s="1" t="n">
        <v>44452</v>
      </c>
      <c r="C309" s="1" t="n">
        <v>46072</v>
      </c>
      <c r="D309" t="inlineStr">
        <is>
          <t>JÄMTLANDS LÄN</t>
        </is>
      </c>
      <c r="E309" t="inlineStr">
        <is>
          <t>RAGUNDA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11217-2022</t>
        </is>
      </c>
      <c r="B310" s="1" t="n">
        <v>44629.56258101852</v>
      </c>
      <c r="C310" s="1" t="n">
        <v>46072</v>
      </c>
      <c r="D310" t="inlineStr">
        <is>
          <t>JÄMTLANDS LÄN</t>
        </is>
      </c>
      <c r="E310" t="inlineStr">
        <is>
          <t>RAGUNDA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15102-2021</t>
        </is>
      </c>
      <c r="B311" s="1" t="n">
        <v>44281</v>
      </c>
      <c r="C311" s="1" t="n">
        <v>46072</v>
      </c>
      <c r="D311" t="inlineStr">
        <is>
          <t>JÄMTLANDS LÄN</t>
        </is>
      </c>
      <c r="E311" t="inlineStr">
        <is>
          <t>RAGUNDA</t>
        </is>
      </c>
      <c r="F311" t="inlineStr">
        <is>
          <t>SCA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41062-2021</t>
        </is>
      </c>
      <c r="B312" s="1" t="n">
        <v>44421.97322916667</v>
      </c>
      <c r="C312" s="1" t="n">
        <v>46072</v>
      </c>
      <c r="D312" t="inlineStr">
        <is>
          <t>JÄMTLANDS LÄN</t>
        </is>
      </c>
      <c r="E312" t="inlineStr">
        <is>
          <t>RAGUNDA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27399-2021</t>
        </is>
      </c>
      <c r="B313" s="1" t="n">
        <v>44351</v>
      </c>
      <c r="C313" s="1" t="n">
        <v>46072</v>
      </c>
      <c r="D313" t="inlineStr">
        <is>
          <t>JÄMTLANDS LÄN</t>
        </is>
      </c>
      <c r="E313" t="inlineStr">
        <is>
          <t>RAGUNDA</t>
        </is>
      </c>
      <c r="F313" t="inlineStr">
        <is>
          <t>Kommuner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42900-2022</t>
        </is>
      </c>
      <c r="B314" s="1" t="n">
        <v>44832.95435185185</v>
      </c>
      <c r="C314" s="1" t="n">
        <v>46072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3796-2022</t>
        </is>
      </c>
      <c r="B315" s="1" t="n">
        <v>44586</v>
      </c>
      <c r="C315" s="1" t="n">
        <v>46072</v>
      </c>
      <c r="D315" t="inlineStr">
        <is>
          <t>JÄMTLANDS LÄN</t>
        </is>
      </c>
      <c r="E315" t="inlineStr">
        <is>
          <t>RAGUNDA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44247-2021</t>
        </is>
      </c>
      <c r="B316" s="1" t="n">
        <v>44434.94559027778</v>
      </c>
      <c r="C316" s="1" t="n">
        <v>46072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51012-2022</t>
        </is>
      </c>
      <c r="B317" s="1" t="n">
        <v>44867</v>
      </c>
      <c r="C317" s="1" t="n">
        <v>46072</v>
      </c>
      <c r="D317" t="inlineStr">
        <is>
          <t>JÄMTLANDS LÄN</t>
        </is>
      </c>
      <c r="E317" t="inlineStr">
        <is>
          <t>RAGUNDA</t>
        </is>
      </c>
      <c r="F317" t="inlineStr">
        <is>
          <t>Sveaskog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19010-2022</t>
        </is>
      </c>
      <c r="B318" s="1" t="n">
        <v>44690</v>
      </c>
      <c r="C318" s="1" t="n">
        <v>46072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19.6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53288-2022</t>
        </is>
      </c>
      <c r="B319" s="1" t="n">
        <v>44876.95104166667</v>
      </c>
      <c r="C319" s="1" t="n">
        <v>46072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61442-2021</t>
        </is>
      </c>
      <c r="B320" s="1" t="n">
        <v>44500.93887731482</v>
      </c>
      <c r="C320" s="1" t="n">
        <v>46072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55932-2021</t>
        </is>
      </c>
      <c r="B321" s="1" t="n">
        <v>44476</v>
      </c>
      <c r="C321" s="1" t="n">
        <v>46072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6492-2022</t>
        </is>
      </c>
      <c r="B322" s="1" t="n">
        <v>44601</v>
      </c>
      <c r="C322" s="1" t="n">
        <v>46072</v>
      </c>
      <c r="D322" t="inlineStr">
        <is>
          <t>JÄMTLANDS LÄN</t>
        </is>
      </c>
      <c r="E322" t="inlineStr">
        <is>
          <t>RAGUNDA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22772-2022</t>
        </is>
      </c>
      <c r="B323" s="1" t="n">
        <v>44714.94162037037</v>
      </c>
      <c r="C323" s="1" t="n">
        <v>46072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28887-2021</t>
        </is>
      </c>
      <c r="B324" s="1" t="n">
        <v>44357</v>
      </c>
      <c r="C324" s="1" t="n">
        <v>46072</v>
      </c>
      <c r="D324" t="inlineStr">
        <is>
          <t>JÄMTLANDS LÄN</t>
        </is>
      </c>
      <c r="E324" t="inlineStr">
        <is>
          <t>RAGUNDA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56055-2021</t>
        </is>
      </c>
      <c r="B325" s="1" t="n">
        <v>44477.48994212963</v>
      </c>
      <c r="C325" s="1" t="n">
        <v>46072</v>
      </c>
      <c r="D325" t="inlineStr">
        <is>
          <t>JÄMTLANDS LÄN</t>
        </is>
      </c>
      <c r="E325" t="inlineStr">
        <is>
          <t>RAGUNDA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65424-2021</t>
        </is>
      </c>
      <c r="B326" s="1" t="n">
        <v>44515.93767361111</v>
      </c>
      <c r="C326" s="1" t="n">
        <v>46072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19850-2022</t>
        </is>
      </c>
      <c r="B327" s="1" t="n">
        <v>44696.93986111111</v>
      </c>
      <c r="C327" s="1" t="n">
        <v>46072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32780-2022</t>
        </is>
      </c>
      <c r="B328" s="1" t="n">
        <v>44783</v>
      </c>
      <c r="C328" s="1" t="n">
        <v>46072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36084-2022</t>
        </is>
      </c>
      <c r="B329" s="1" t="n">
        <v>44802</v>
      </c>
      <c r="C329" s="1" t="n">
        <v>46072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49904-2022</t>
        </is>
      </c>
      <c r="B330" s="1" t="n">
        <v>44864.94835648148</v>
      </c>
      <c r="C330" s="1" t="n">
        <v>46072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19595-2021</t>
        </is>
      </c>
      <c r="B331" s="1" t="n">
        <v>44308</v>
      </c>
      <c r="C331" s="1" t="n">
        <v>46072</v>
      </c>
      <c r="D331" t="inlineStr">
        <is>
          <t>JÄMTLANDS LÄN</t>
        </is>
      </c>
      <c r="E331" t="inlineStr">
        <is>
          <t>RAGUNDA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57194-2021</t>
        </is>
      </c>
      <c r="B332" s="1" t="n">
        <v>44482.92271990741</v>
      </c>
      <c r="C332" s="1" t="n">
        <v>46072</v>
      </c>
      <c r="D332" t="inlineStr">
        <is>
          <t>JÄMTLANDS LÄN</t>
        </is>
      </c>
      <c r="E332" t="inlineStr">
        <is>
          <t>RAGUNDA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40829-2022</t>
        </is>
      </c>
      <c r="B333" s="1" t="n">
        <v>44824.94635416667</v>
      </c>
      <c r="C333" s="1" t="n">
        <v>46072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46992-2022</t>
        </is>
      </c>
      <c r="B334" s="1" t="n">
        <v>44851.95488425926</v>
      </c>
      <c r="C334" s="1" t="n">
        <v>46072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26.4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34348-2021</t>
        </is>
      </c>
      <c r="B335" s="1" t="n">
        <v>44379</v>
      </c>
      <c r="C335" s="1" t="n">
        <v>46072</v>
      </c>
      <c r="D335" t="inlineStr">
        <is>
          <t>JÄMTLANDS LÄN</t>
        </is>
      </c>
      <c r="E335" t="inlineStr">
        <is>
          <t>RAGUNDA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25253-2022</t>
        </is>
      </c>
      <c r="B336" s="1" t="n">
        <v>44729.94136574074</v>
      </c>
      <c r="C336" s="1" t="n">
        <v>46072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1858-2022</t>
        </is>
      </c>
      <c r="B337" s="1" t="n">
        <v>44574</v>
      </c>
      <c r="C337" s="1" t="n">
        <v>46072</v>
      </c>
      <c r="D337" t="inlineStr">
        <is>
          <t>JÄMTLANDS LÄN</t>
        </is>
      </c>
      <c r="E337" t="inlineStr">
        <is>
          <t>RAGUNDA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54836-2022</t>
        </is>
      </c>
      <c r="B338" s="1" t="n">
        <v>44883.94918981481</v>
      </c>
      <c r="C338" s="1" t="n">
        <v>46072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35749-2022</t>
        </is>
      </c>
      <c r="B339" s="1" t="n">
        <v>44799.94394675926</v>
      </c>
      <c r="C339" s="1" t="n">
        <v>46072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58984-2021</t>
        </is>
      </c>
      <c r="B340" s="1" t="n">
        <v>44489.94711805556</v>
      </c>
      <c r="C340" s="1" t="n">
        <v>46072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40978-2022</t>
        </is>
      </c>
      <c r="B341" s="1" t="n">
        <v>44823</v>
      </c>
      <c r="C341" s="1" t="n">
        <v>46072</v>
      </c>
      <c r="D341" t="inlineStr">
        <is>
          <t>JÄMTLANDS LÄN</t>
        </is>
      </c>
      <c r="E341" t="inlineStr">
        <is>
          <t>RAGUNDA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48536-2022</t>
        </is>
      </c>
      <c r="B342" s="1" t="n">
        <v>44858</v>
      </c>
      <c r="C342" s="1" t="n">
        <v>46072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41613-2021</t>
        </is>
      </c>
      <c r="B343" s="1" t="n">
        <v>44425</v>
      </c>
      <c r="C343" s="1" t="n">
        <v>46072</v>
      </c>
      <c r="D343" t="inlineStr">
        <is>
          <t>JÄMTLANDS LÄN</t>
        </is>
      </c>
      <c r="E343" t="inlineStr">
        <is>
          <t>RAGUNDA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24741-2022</t>
        </is>
      </c>
      <c r="B344" s="1" t="n">
        <v>44727</v>
      </c>
      <c r="C344" s="1" t="n">
        <v>46072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29409-2021</t>
        </is>
      </c>
      <c r="B345" s="1" t="n">
        <v>44361.55445601852</v>
      </c>
      <c r="C345" s="1" t="n">
        <v>46072</v>
      </c>
      <c r="D345" t="inlineStr">
        <is>
          <t>JÄMTLANDS LÄN</t>
        </is>
      </c>
      <c r="E345" t="inlineStr">
        <is>
          <t>RAGUNDA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25027-2022</t>
        </is>
      </c>
      <c r="B346" s="1" t="n">
        <v>44728.94392361111</v>
      </c>
      <c r="C346" s="1" t="n">
        <v>46072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28597-2021</t>
        </is>
      </c>
      <c r="B347" s="1" t="n">
        <v>44356.91935185185</v>
      </c>
      <c r="C347" s="1" t="n">
        <v>46072</v>
      </c>
      <c r="D347" t="inlineStr">
        <is>
          <t>JÄMTLANDS LÄN</t>
        </is>
      </c>
      <c r="E347" t="inlineStr">
        <is>
          <t>RAGUNDA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36941-2022</t>
        </is>
      </c>
      <c r="B348" s="1" t="n">
        <v>44805</v>
      </c>
      <c r="C348" s="1" t="n">
        <v>46072</v>
      </c>
      <c r="D348" t="inlineStr">
        <is>
          <t>JÄMTLANDS LÄN</t>
        </is>
      </c>
      <c r="E348" t="inlineStr">
        <is>
          <t>RAGUNDA</t>
        </is>
      </c>
      <c r="F348" t="inlineStr">
        <is>
          <t>SCA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49530-2022</t>
        </is>
      </c>
      <c r="B349" s="1" t="n">
        <v>44861</v>
      </c>
      <c r="C349" s="1" t="n">
        <v>46072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20548-2021</t>
        </is>
      </c>
      <c r="B350" s="1" t="n">
        <v>44315</v>
      </c>
      <c r="C350" s="1" t="n">
        <v>46072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47568-2022</t>
        </is>
      </c>
      <c r="B351" s="1" t="n">
        <v>44853.9499537037</v>
      </c>
      <c r="C351" s="1" t="n">
        <v>46072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15664-2022</t>
        </is>
      </c>
      <c r="B352" s="1" t="n">
        <v>44662</v>
      </c>
      <c r="C352" s="1" t="n">
        <v>46072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18341-2022</t>
        </is>
      </c>
      <c r="B353" s="1" t="n">
        <v>44685</v>
      </c>
      <c r="C353" s="1" t="n">
        <v>46072</v>
      </c>
      <c r="D353" t="inlineStr">
        <is>
          <t>JÄMTLANDS LÄN</t>
        </is>
      </c>
      <c r="E353" t="inlineStr">
        <is>
          <t>RAGUNDA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21984-2022</t>
        </is>
      </c>
      <c r="B354" s="1" t="n">
        <v>44704</v>
      </c>
      <c r="C354" s="1" t="n">
        <v>46072</v>
      </c>
      <c r="D354" t="inlineStr">
        <is>
          <t>JÄMTLANDS LÄN</t>
        </is>
      </c>
      <c r="E354" t="inlineStr">
        <is>
          <t>RAGUNDA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9185-2022</t>
        </is>
      </c>
      <c r="B355" s="1" t="n">
        <v>44615</v>
      </c>
      <c r="C355" s="1" t="n">
        <v>46072</v>
      </c>
      <c r="D355" t="inlineStr">
        <is>
          <t>JÄMTLANDS LÄN</t>
        </is>
      </c>
      <c r="E355" t="inlineStr">
        <is>
          <t>RAGUNDA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31972-2022</t>
        </is>
      </c>
      <c r="B356" s="1" t="n">
        <v>44777.95504629629</v>
      </c>
      <c r="C356" s="1" t="n">
        <v>46072</v>
      </c>
      <c r="D356" t="inlineStr">
        <is>
          <t>JÄMTLANDS LÄN</t>
        </is>
      </c>
      <c r="E356" t="inlineStr">
        <is>
          <t>RAGUNDA</t>
        </is>
      </c>
      <c r="F356" t="inlineStr">
        <is>
          <t>Naturvårdsverket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48086-2022</t>
        </is>
      </c>
      <c r="B357" s="1" t="n">
        <v>44855.9471875</v>
      </c>
      <c r="C357" s="1" t="n">
        <v>46072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40213-2021</t>
        </is>
      </c>
      <c r="B358" s="1" t="n">
        <v>44418.9369212963</v>
      </c>
      <c r="C358" s="1" t="n">
        <v>46072</v>
      </c>
      <c r="D358" t="inlineStr">
        <is>
          <t>JÄMTLANDS LÄN</t>
        </is>
      </c>
      <c r="E358" t="inlineStr">
        <is>
          <t>RAGUNDA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33279-2022</t>
        </is>
      </c>
      <c r="B359" s="1" t="n">
        <v>44788</v>
      </c>
      <c r="C359" s="1" t="n">
        <v>46072</v>
      </c>
      <c r="D359" t="inlineStr">
        <is>
          <t>JÄMTLANDS LÄN</t>
        </is>
      </c>
      <c r="E359" t="inlineStr">
        <is>
          <t>RAGUNDA</t>
        </is>
      </c>
      <c r="G359" t="n">
        <v>17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47567-2022</t>
        </is>
      </c>
      <c r="B360" s="1" t="n">
        <v>44853</v>
      </c>
      <c r="C360" s="1" t="n">
        <v>46072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43040-2021</t>
        </is>
      </c>
      <c r="B361" s="1" t="n">
        <v>44431</v>
      </c>
      <c r="C361" s="1" t="n">
        <v>46072</v>
      </c>
      <c r="D361" t="inlineStr">
        <is>
          <t>JÄMTLANDS LÄN</t>
        </is>
      </c>
      <c r="E361" t="inlineStr">
        <is>
          <t>RAGUNDA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38733-2022</t>
        </is>
      </c>
      <c r="B362" s="1" t="n">
        <v>44815</v>
      </c>
      <c r="C362" s="1" t="n">
        <v>46072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2336-2022</t>
        </is>
      </c>
      <c r="B363" s="1" t="n">
        <v>44578.92284722222</v>
      </c>
      <c r="C363" s="1" t="n">
        <v>46072</v>
      </c>
      <c r="D363" t="inlineStr">
        <is>
          <t>JÄMTLANDS LÄN</t>
        </is>
      </c>
      <c r="E363" t="inlineStr">
        <is>
          <t>RAGUNDA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46048-2022</t>
        </is>
      </c>
      <c r="B364" s="1" t="n">
        <v>44846</v>
      </c>
      <c r="C364" s="1" t="n">
        <v>46072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32288-2022</t>
        </is>
      </c>
      <c r="B365" s="1" t="n">
        <v>44781</v>
      </c>
      <c r="C365" s="1" t="n">
        <v>46072</v>
      </c>
      <c r="D365" t="inlineStr">
        <is>
          <t>JÄMTLANDS LÄN</t>
        </is>
      </c>
      <c r="E365" t="inlineStr">
        <is>
          <t>RAGUNDA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47803-2022</t>
        </is>
      </c>
      <c r="B366" s="1" t="n">
        <v>44854.95390046296</v>
      </c>
      <c r="C366" s="1" t="n">
        <v>46072</v>
      </c>
      <c r="D366" t="inlineStr">
        <is>
          <t>JÄMTLANDS LÄN</t>
        </is>
      </c>
      <c r="E366" t="inlineStr">
        <is>
          <t>RAGUNDA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42652-2022</t>
        </is>
      </c>
      <c r="B367" s="1" t="n">
        <v>44831.94846064815</v>
      </c>
      <c r="C367" s="1" t="n">
        <v>46072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32986-2022</t>
        </is>
      </c>
      <c r="B368" s="1" t="n">
        <v>44784.94157407407</v>
      </c>
      <c r="C368" s="1" t="n">
        <v>46072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42653-2022</t>
        </is>
      </c>
      <c r="B369" s="1" t="n">
        <v>44831.9485300926</v>
      </c>
      <c r="C369" s="1" t="n">
        <v>46072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42267-2022</t>
        </is>
      </c>
      <c r="B370" s="1" t="n">
        <v>44830</v>
      </c>
      <c r="C370" s="1" t="n">
        <v>46072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42882-2022</t>
        </is>
      </c>
      <c r="B371" s="1" t="n">
        <v>44832.95300925926</v>
      </c>
      <c r="C371" s="1" t="n">
        <v>46072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26945-2021</t>
        </is>
      </c>
      <c r="B372" s="1" t="n">
        <v>44349.91995370371</v>
      </c>
      <c r="C372" s="1" t="n">
        <v>46072</v>
      </c>
      <c r="D372" t="inlineStr">
        <is>
          <t>JÄMTLANDS LÄN</t>
        </is>
      </c>
      <c r="E372" t="inlineStr">
        <is>
          <t>RAGUNDA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44241-2021</t>
        </is>
      </c>
      <c r="B373" s="1" t="n">
        <v>44434.94517361111</v>
      </c>
      <c r="C373" s="1" t="n">
        <v>46072</v>
      </c>
      <c r="D373" t="inlineStr">
        <is>
          <t>JÄMTLANDS LÄN</t>
        </is>
      </c>
      <c r="E373" t="inlineStr">
        <is>
          <t>RAGUNDA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39698-2022</t>
        </is>
      </c>
      <c r="B374" s="1" t="n">
        <v>44818</v>
      </c>
      <c r="C374" s="1" t="n">
        <v>46072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43147-2022</t>
        </is>
      </c>
      <c r="B375" s="1" t="n">
        <v>44833.9519212963</v>
      </c>
      <c r="C375" s="1" t="n">
        <v>46072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52334-2021</t>
        </is>
      </c>
      <c r="B376" s="1" t="n">
        <v>44463.94077546296</v>
      </c>
      <c r="C376" s="1" t="n">
        <v>46072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59996-2021</t>
        </is>
      </c>
      <c r="B377" s="1" t="n">
        <v>44494.93930555556</v>
      </c>
      <c r="C377" s="1" t="n">
        <v>46072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37806-2021</t>
        </is>
      </c>
      <c r="B378" s="1" t="n">
        <v>44402.42243055555</v>
      </c>
      <c r="C378" s="1" t="n">
        <v>46072</v>
      </c>
      <c r="D378" t="inlineStr">
        <is>
          <t>JÄMTLANDS LÄN</t>
        </is>
      </c>
      <c r="E378" t="inlineStr">
        <is>
          <t>RAGUNDA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31854-2022</t>
        </is>
      </c>
      <c r="B379" s="1" t="n">
        <v>44776</v>
      </c>
      <c r="C379" s="1" t="n">
        <v>46072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65017-2021</t>
        </is>
      </c>
      <c r="B380" s="1" t="n">
        <v>44512</v>
      </c>
      <c r="C380" s="1" t="n">
        <v>46072</v>
      </c>
      <c r="D380" t="inlineStr">
        <is>
          <t>JÄMTLANDS LÄN</t>
        </is>
      </c>
      <c r="E380" t="inlineStr">
        <is>
          <t>RAGUNDA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19600-2021</t>
        </is>
      </c>
      <c r="B381" s="1" t="n">
        <v>44308</v>
      </c>
      <c r="C381" s="1" t="n">
        <v>46072</v>
      </c>
      <c r="D381" t="inlineStr">
        <is>
          <t>JÄMTLANDS LÄN</t>
        </is>
      </c>
      <c r="E381" t="inlineStr">
        <is>
          <t>RAGUNDA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26948-2021</t>
        </is>
      </c>
      <c r="B382" s="1" t="n">
        <v>44349.92013888889</v>
      </c>
      <c r="C382" s="1" t="n">
        <v>46072</v>
      </c>
      <c r="D382" t="inlineStr">
        <is>
          <t>JÄMTLANDS LÄN</t>
        </is>
      </c>
      <c r="E382" t="inlineStr">
        <is>
          <t>RAGUNDA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16460-2022</t>
        </is>
      </c>
      <c r="B383" s="1" t="n">
        <v>44671</v>
      </c>
      <c r="C383" s="1" t="n">
        <v>46072</v>
      </c>
      <c r="D383" t="inlineStr">
        <is>
          <t>JÄMTLANDS LÄN</t>
        </is>
      </c>
      <c r="E383" t="inlineStr">
        <is>
          <t>RAGUNDA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21195-2022</t>
        </is>
      </c>
      <c r="B384" s="1" t="n">
        <v>44704.94229166667</v>
      </c>
      <c r="C384" s="1" t="n">
        <v>46072</v>
      </c>
      <c r="D384" t="inlineStr">
        <is>
          <t>JÄMTLANDS LÄN</t>
        </is>
      </c>
      <c r="E384" t="inlineStr">
        <is>
          <t>RAGUNDA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49531-2022</t>
        </is>
      </c>
      <c r="B385" s="1" t="n">
        <v>44861</v>
      </c>
      <c r="C385" s="1" t="n">
        <v>46072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10120-2022</t>
        </is>
      </c>
      <c r="B386" s="1" t="n">
        <v>44621</v>
      </c>
      <c r="C386" s="1" t="n">
        <v>46072</v>
      </c>
      <c r="D386" t="inlineStr">
        <is>
          <t>JÄMTLANDS LÄN</t>
        </is>
      </c>
      <c r="E386" t="inlineStr">
        <is>
          <t>RAGUNDA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13964-2022</t>
        </is>
      </c>
      <c r="B387" s="1" t="n">
        <v>44650</v>
      </c>
      <c r="C387" s="1" t="n">
        <v>46072</v>
      </c>
      <c r="D387" t="inlineStr">
        <is>
          <t>JÄMTLANDS LÄN</t>
        </is>
      </c>
      <c r="E387" t="inlineStr">
        <is>
          <t>RAGUNDA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9187-2022</t>
        </is>
      </c>
      <c r="B388" s="1" t="n">
        <v>44615</v>
      </c>
      <c r="C388" s="1" t="n">
        <v>46072</v>
      </c>
      <c r="D388" t="inlineStr">
        <is>
          <t>JÄMTLANDS LÄN</t>
        </is>
      </c>
      <c r="E388" t="inlineStr">
        <is>
          <t>RAGUNDA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6177-2022</t>
        </is>
      </c>
      <c r="B389" s="1" t="n">
        <v>44599.98685185185</v>
      </c>
      <c r="C389" s="1" t="n">
        <v>46072</v>
      </c>
      <c r="D389" t="inlineStr">
        <is>
          <t>JÄMTLANDS LÄN</t>
        </is>
      </c>
      <c r="E389" t="inlineStr">
        <is>
          <t>RAGUNDA</t>
        </is>
      </c>
      <c r="F389" t="inlineStr">
        <is>
          <t>SCA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22655-2021</t>
        </is>
      </c>
      <c r="B390" s="1" t="n">
        <v>44322</v>
      </c>
      <c r="C390" s="1" t="n">
        <v>46072</v>
      </c>
      <c r="D390" t="inlineStr">
        <is>
          <t>JÄMTLANDS LÄN</t>
        </is>
      </c>
      <c r="E390" t="inlineStr">
        <is>
          <t>RAGUNDA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21194-2022</t>
        </is>
      </c>
      <c r="B391" s="1" t="n">
        <v>44704.9422337963</v>
      </c>
      <c r="C391" s="1" t="n">
        <v>46072</v>
      </c>
      <c r="D391" t="inlineStr">
        <is>
          <t>JÄMTLANDS LÄN</t>
        </is>
      </c>
      <c r="E391" t="inlineStr">
        <is>
          <t>RAGUNDA</t>
        </is>
      </c>
      <c r="F391" t="inlineStr">
        <is>
          <t>SCA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60313-2021</t>
        </is>
      </c>
      <c r="B392" s="1" t="n">
        <v>44495</v>
      </c>
      <c r="C392" s="1" t="n">
        <v>46072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56193-2022</t>
        </is>
      </c>
      <c r="B393" s="1" t="n">
        <v>44889</v>
      </c>
      <c r="C393" s="1" t="n">
        <v>46072</v>
      </c>
      <c r="D393" t="inlineStr">
        <is>
          <t>JÄMTLANDS LÄN</t>
        </is>
      </c>
      <c r="E393" t="inlineStr">
        <is>
          <t>RAGUNDA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5515-2022</t>
        </is>
      </c>
      <c r="B394" s="1" t="n">
        <v>44595</v>
      </c>
      <c r="C394" s="1" t="n">
        <v>46072</v>
      </c>
      <c r="D394" t="inlineStr">
        <is>
          <t>JÄMTLANDS LÄN</t>
        </is>
      </c>
      <c r="E394" t="inlineStr">
        <is>
          <t>RAGUNDA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26122-2022</t>
        </is>
      </c>
      <c r="B395" s="1" t="n">
        <v>44734.94193287037</v>
      </c>
      <c r="C395" s="1" t="n">
        <v>46072</v>
      </c>
      <c r="D395" t="inlineStr">
        <is>
          <t>JÄMTLANDS LÄN</t>
        </is>
      </c>
      <c r="E395" t="inlineStr">
        <is>
          <t>RAGUNDA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60957-2021</t>
        </is>
      </c>
      <c r="B396" s="1" t="n">
        <v>44496</v>
      </c>
      <c r="C396" s="1" t="n">
        <v>46072</v>
      </c>
      <c r="D396" t="inlineStr">
        <is>
          <t>JÄMTLANDS LÄN</t>
        </is>
      </c>
      <c r="E396" t="inlineStr">
        <is>
          <t>RAGUNDA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21193-2022</t>
        </is>
      </c>
      <c r="B397" s="1" t="n">
        <v>44704.94217592593</v>
      </c>
      <c r="C397" s="1" t="n">
        <v>46072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5175-2023</t>
        </is>
      </c>
      <c r="B398" s="1" t="n">
        <v>44958.94298611111</v>
      </c>
      <c r="C398" s="1" t="n">
        <v>46072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14896-2022</t>
        </is>
      </c>
      <c r="B399" s="1" t="n">
        <v>44656</v>
      </c>
      <c r="C399" s="1" t="n">
        <v>46072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58537-2022</t>
        </is>
      </c>
      <c r="B400" s="1" t="n">
        <v>44894</v>
      </c>
      <c r="C400" s="1" t="n">
        <v>46072</v>
      </c>
      <c r="D400" t="inlineStr">
        <is>
          <t>JÄMTLANDS LÄN</t>
        </is>
      </c>
      <c r="E400" t="inlineStr">
        <is>
          <t>RAGUNDA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20574-2025</t>
        </is>
      </c>
      <c r="B401" s="1" t="n">
        <v>45775.67747685185</v>
      </c>
      <c r="C401" s="1" t="n">
        <v>46072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24197-2024</t>
        </is>
      </c>
      <c r="B402" s="1" t="n">
        <v>45456.96601851852</v>
      </c>
      <c r="C402" s="1" t="n">
        <v>46072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35153-2024</t>
        </is>
      </c>
      <c r="B403" s="1" t="n">
        <v>45530</v>
      </c>
      <c r="C403" s="1" t="n">
        <v>46072</v>
      </c>
      <c r="D403" t="inlineStr">
        <is>
          <t>JÄMTLANDS LÄN</t>
        </is>
      </c>
      <c r="E403" t="inlineStr">
        <is>
          <t>RAGUNDA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36246-2024</t>
        </is>
      </c>
      <c r="B404" s="1" t="n">
        <v>45534</v>
      </c>
      <c r="C404" s="1" t="n">
        <v>46072</v>
      </c>
      <c r="D404" t="inlineStr">
        <is>
          <t>JÄMTLANDS LÄN</t>
        </is>
      </c>
      <c r="E404" t="inlineStr">
        <is>
          <t>RAGUNDA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24196-2024</t>
        </is>
      </c>
      <c r="B405" s="1" t="n">
        <v>45456.96569444444</v>
      </c>
      <c r="C405" s="1" t="n">
        <v>46072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11558-2023</t>
        </is>
      </c>
      <c r="B406" s="1" t="n">
        <v>44993.94958333333</v>
      </c>
      <c r="C406" s="1" t="n">
        <v>46072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44630-2023</t>
        </is>
      </c>
      <c r="B407" s="1" t="n">
        <v>45184</v>
      </c>
      <c r="C407" s="1" t="n">
        <v>46072</v>
      </c>
      <c r="D407" t="inlineStr">
        <is>
          <t>JÄMTLANDS LÄN</t>
        </is>
      </c>
      <c r="E407" t="inlineStr">
        <is>
          <t>RAGUNDA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14156-2024</t>
        </is>
      </c>
      <c r="B408" s="1" t="n">
        <v>45392</v>
      </c>
      <c r="C408" s="1" t="n">
        <v>46072</v>
      </c>
      <c r="D408" t="inlineStr">
        <is>
          <t>JÄMTLANDS LÄN</t>
        </is>
      </c>
      <c r="E408" t="inlineStr">
        <is>
          <t>RAGUNDA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14157-2024</t>
        </is>
      </c>
      <c r="B409" s="1" t="n">
        <v>45392.92903935185</v>
      </c>
      <c r="C409" s="1" t="n">
        <v>46072</v>
      </c>
      <c r="D409" t="inlineStr">
        <is>
          <t>JÄMTLANDS LÄN</t>
        </is>
      </c>
      <c r="E409" t="inlineStr">
        <is>
          <t>RAGUNDA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4882-2023</t>
        </is>
      </c>
      <c r="B410" s="1" t="n">
        <v>44957.94075231482</v>
      </c>
      <c r="C410" s="1" t="n">
        <v>46072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15554-2025</t>
        </is>
      </c>
      <c r="B411" s="1" t="n">
        <v>45747.67739583334</v>
      </c>
      <c r="C411" s="1" t="n">
        <v>46072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65216-2023</t>
        </is>
      </c>
      <c r="B412" s="1" t="n">
        <v>45289</v>
      </c>
      <c r="C412" s="1" t="n">
        <v>46072</v>
      </c>
      <c r="D412" t="inlineStr">
        <is>
          <t>JÄMTLANDS LÄN</t>
        </is>
      </c>
      <c r="E412" t="inlineStr">
        <is>
          <t>RAGUNDA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52148-2024</t>
        </is>
      </c>
      <c r="B413" s="1" t="n">
        <v>45608.52354166667</v>
      </c>
      <c r="C413" s="1" t="n">
        <v>46072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20088-2023</t>
        </is>
      </c>
      <c r="B414" s="1" t="n">
        <v>45054</v>
      </c>
      <c r="C414" s="1" t="n">
        <v>46072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23.4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13767-2022</t>
        </is>
      </c>
      <c r="B415" s="1" t="n">
        <v>44649.47048611111</v>
      </c>
      <c r="C415" s="1" t="n">
        <v>46072</v>
      </c>
      <c r="D415" t="inlineStr">
        <is>
          <t>JÄMTLANDS LÄN</t>
        </is>
      </c>
      <c r="E415" t="inlineStr">
        <is>
          <t>RAGUNDA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55487-2023</t>
        </is>
      </c>
      <c r="B416" s="1" t="n">
        <v>45238</v>
      </c>
      <c r="C416" s="1" t="n">
        <v>46072</v>
      </c>
      <c r="D416" t="inlineStr">
        <is>
          <t>JÄMTLANDS LÄN</t>
        </is>
      </c>
      <c r="E416" t="inlineStr">
        <is>
          <t>RAGUNDA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18454-2021</t>
        </is>
      </c>
      <c r="B417" s="1" t="n">
        <v>44305.92047453704</v>
      </c>
      <c r="C417" s="1" t="n">
        <v>46072</v>
      </c>
      <c r="D417" t="inlineStr">
        <is>
          <t>JÄMTLANDS LÄN</t>
        </is>
      </c>
      <c r="E417" t="inlineStr">
        <is>
          <t>RAGUNDA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13276-2025</t>
        </is>
      </c>
      <c r="B418" s="1" t="n">
        <v>45735.5517824074</v>
      </c>
      <c r="C418" s="1" t="n">
        <v>46072</v>
      </c>
      <c r="D418" t="inlineStr">
        <is>
          <t>JÄMTLANDS LÄN</t>
        </is>
      </c>
      <c r="E418" t="inlineStr">
        <is>
          <t>RAGUNDA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1308-2025</t>
        </is>
      </c>
      <c r="B419" s="1" t="n">
        <v>45667.55239583334</v>
      </c>
      <c r="C419" s="1" t="n">
        <v>46072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11252-2025</t>
        </is>
      </c>
      <c r="B420" s="1" t="n">
        <v>45726.38615740741</v>
      </c>
      <c r="C420" s="1" t="n">
        <v>46072</v>
      </c>
      <c r="D420" t="inlineStr">
        <is>
          <t>JÄMTLANDS LÄN</t>
        </is>
      </c>
      <c r="E420" t="inlineStr">
        <is>
          <t>RAGUNDA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9360-2023</t>
        </is>
      </c>
      <c r="B421" s="1" t="n">
        <v>44980.93865740741</v>
      </c>
      <c r="C421" s="1" t="n">
        <v>46072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22569-2023</t>
        </is>
      </c>
      <c r="B422" s="1" t="n">
        <v>45069</v>
      </c>
      <c r="C422" s="1" t="n">
        <v>46072</v>
      </c>
      <c r="D422" t="inlineStr">
        <is>
          <t>JÄMTLANDS LÄN</t>
        </is>
      </c>
      <c r="E422" t="inlineStr">
        <is>
          <t>RAGUNDA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11048-2023</t>
        </is>
      </c>
      <c r="B423" s="1" t="n">
        <v>44991</v>
      </c>
      <c r="C423" s="1" t="n">
        <v>46072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45335-2023</t>
        </is>
      </c>
      <c r="B424" s="1" t="n">
        <v>45191</v>
      </c>
      <c r="C424" s="1" t="n">
        <v>46072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11062-2023</t>
        </is>
      </c>
      <c r="B425" s="1" t="n">
        <v>44991</v>
      </c>
      <c r="C425" s="1" t="n">
        <v>46072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57064-2024</t>
        </is>
      </c>
      <c r="B426" s="1" t="n">
        <v>45629.35326388889</v>
      </c>
      <c r="C426" s="1" t="n">
        <v>46072</v>
      </c>
      <c r="D426" t="inlineStr">
        <is>
          <t>JÄMTLANDS LÄN</t>
        </is>
      </c>
      <c r="E426" t="inlineStr">
        <is>
          <t>RAGUNDA</t>
        </is>
      </c>
      <c r="F426" t="inlineStr">
        <is>
          <t>Naturvårdsverket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57889-2024</t>
        </is>
      </c>
      <c r="B427" s="1" t="n">
        <v>45631.46665509259</v>
      </c>
      <c r="C427" s="1" t="n">
        <v>46072</v>
      </c>
      <c r="D427" t="inlineStr">
        <is>
          <t>JÄMTLANDS LÄN</t>
        </is>
      </c>
      <c r="E427" t="inlineStr">
        <is>
          <t>RAGUNDA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46072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25332-2023</t>
        </is>
      </c>
      <c r="B429" s="1" t="n">
        <v>45086.94010416666</v>
      </c>
      <c r="C429" s="1" t="n">
        <v>46072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29920-2024</t>
        </is>
      </c>
      <c r="B430" s="1" t="n">
        <v>45487.92856481481</v>
      </c>
      <c r="C430" s="1" t="n">
        <v>46072</v>
      </c>
      <c r="D430" t="inlineStr">
        <is>
          <t>JÄMTLANDS LÄN</t>
        </is>
      </c>
      <c r="E430" t="inlineStr">
        <is>
          <t>RAGUNDA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60629-2023</t>
        </is>
      </c>
      <c r="B431" s="1" t="n">
        <v>45259</v>
      </c>
      <c r="C431" s="1" t="n">
        <v>46072</v>
      </c>
      <c r="D431" t="inlineStr">
        <is>
          <t>JÄMTLANDS LÄN</t>
        </is>
      </c>
      <c r="E431" t="inlineStr">
        <is>
          <t>RAGUNDA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3767-2025</t>
        </is>
      </c>
      <c r="B432" s="1" t="n">
        <v>45681.60203703704</v>
      </c>
      <c r="C432" s="1" t="n">
        <v>46072</v>
      </c>
      <c r="D432" t="inlineStr">
        <is>
          <t>JÄMTLANDS LÄN</t>
        </is>
      </c>
      <c r="E432" t="inlineStr">
        <is>
          <t>RAGUNDA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7280-2024</t>
        </is>
      </c>
      <c r="B433" s="1" t="n">
        <v>45344</v>
      </c>
      <c r="C433" s="1" t="n">
        <v>46072</v>
      </c>
      <c r="D433" t="inlineStr">
        <is>
          <t>JÄMTLANDS LÄN</t>
        </is>
      </c>
      <c r="E433" t="inlineStr">
        <is>
          <t>RAGUNDA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44778-2024</t>
        </is>
      </c>
      <c r="B434" s="1" t="n">
        <v>45574.63355324074</v>
      </c>
      <c r="C434" s="1" t="n">
        <v>46072</v>
      </c>
      <c r="D434" t="inlineStr">
        <is>
          <t>JÄMTLANDS LÄN</t>
        </is>
      </c>
      <c r="E434" t="inlineStr">
        <is>
          <t>RAGUNDA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2673-2024</t>
        </is>
      </c>
      <c r="B435" s="1" t="n">
        <v>45314</v>
      </c>
      <c r="C435" s="1" t="n">
        <v>46072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64492-2023</t>
        </is>
      </c>
      <c r="B436" s="1" t="n">
        <v>45280.92645833334</v>
      </c>
      <c r="C436" s="1" t="n">
        <v>46072</v>
      </c>
      <c r="D436" t="inlineStr">
        <is>
          <t>JÄMTLANDS LÄN</t>
        </is>
      </c>
      <c r="E436" t="inlineStr">
        <is>
          <t>RAGUNDA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22388-2025</t>
        </is>
      </c>
      <c r="B437" s="1" t="n">
        <v>45786.51077546296</v>
      </c>
      <c r="C437" s="1" t="n">
        <v>46072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14368-2024</t>
        </is>
      </c>
      <c r="B438" s="1" t="n">
        <v>45393.94431712963</v>
      </c>
      <c r="C438" s="1" t="n">
        <v>46072</v>
      </c>
      <c r="D438" t="inlineStr">
        <is>
          <t>JÄMTLANDS LÄN</t>
        </is>
      </c>
      <c r="E438" t="inlineStr">
        <is>
          <t>RAGUNDA</t>
        </is>
      </c>
      <c r="F438" t="inlineStr">
        <is>
          <t>Naturvårdsverket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55897-2025</t>
        </is>
      </c>
      <c r="B439" s="1" t="n">
        <v>45973.38600694444</v>
      </c>
      <c r="C439" s="1" t="n">
        <v>46072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12783-2023</t>
        </is>
      </c>
      <c r="B440" s="1" t="n">
        <v>45000</v>
      </c>
      <c r="C440" s="1" t="n">
        <v>46072</v>
      </c>
      <c r="D440" t="inlineStr">
        <is>
          <t>JÄMTLANDS LÄN</t>
        </is>
      </c>
      <c r="E440" t="inlineStr">
        <is>
          <t>RAGUNDA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53171-2024</t>
        </is>
      </c>
      <c r="B441" s="1" t="n">
        <v>45611.65679398148</v>
      </c>
      <c r="C441" s="1" t="n">
        <v>46072</v>
      </c>
      <c r="D441" t="inlineStr">
        <is>
          <t>JÄMTLANDS LÄN</t>
        </is>
      </c>
      <c r="E441" t="inlineStr">
        <is>
          <t>RAGUNDA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7279-2024</t>
        </is>
      </c>
      <c r="B442" s="1" t="n">
        <v>45344.92822916667</v>
      </c>
      <c r="C442" s="1" t="n">
        <v>46072</v>
      </c>
      <c r="D442" t="inlineStr">
        <is>
          <t>JÄMTLANDS LÄN</t>
        </is>
      </c>
      <c r="E442" t="inlineStr">
        <is>
          <t>RAGUNDA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22898-2025</t>
        </is>
      </c>
      <c r="B443" s="1" t="n">
        <v>45790.40670138889</v>
      </c>
      <c r="C443" s="1" t="n">
        <v>46072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54599-2023</t>
        </is>
      </c>
      <c r="B444" s="1" t="n">
        <v>45233.92591435185</v>
      </c>
      <c r="C444" s="1" t="n">
        <v>46072</v>
      </c>
      <c r="D444" t="inlineStr">
        <is>
          <t>JÄMTLANDS LÄN</t>
        </is>
      </c>
      <c r="E444" t="inlineStr">
        <is>
          <t>RAGUNDA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23253-2025</t>
        </is>
      </c>
      <c r="B445" s="1" t="n">
        <v>45791.53238425926</v>
      </c>
      <c r="C445" s="1" t="n">
        <v>46072</v>
      </c>
      <c r="D445" t="inlineStr">
        <is>
          <t>JÄMTLANDS LÄN</t>
        </is>
      </c>
      <c r="E445" t="inlineStr">
        <is>
          <t>RAGUNDA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23413-2025</t>
        </is>
      </c>
      <c r="B446" s="1" t="n">
        <v>45792.34606481482</v>
      </c>
      <c r="C446" s="1" t="n">
        <v>46072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23586-2025</t>
        </is>
      </c>
      <c r="B447" s="1" t="n">
        <v>45792.63584490741</v>
      </c>
      <c r="C447" s="1" t="n">
        <v>46072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23841-2025</t>
        </is>
      </c>
      <c r="B448" s="1" t="n">
        <v>45793.61523148148</v>
      </c>
      <c r="C448" s="1" t="n">
        <v>46072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23507-2025</t>
        </is>
      </c>
      <c r="B449" s="1" t="n">
        <v>45792.49023148148</v>
      </c>
      <c r="C449" s="1" t="n">
        <v>46072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23840-2025</t>
        </is>
      </c>
      <c r="B450" s="1" t="n">
        <v>45793</v>
      </c>
      <c r="C450" s="1" t="n">
        <v>46072</v>
      </c>
      <c r="D450" t="inlineStr">
        <is>
          <t>JÄMTLANDS LÄN</t>
        </is>
      </c>
      <c r="E450" t="inlineStr">
        <is>
          <t>RAGUNDA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39192-2025</t>
        </is>
      </c>
      <c r="B451" s="1" t="n">
        <v>45888.6775</v>
      </c>
      <c r="C451" s="1" t="n">
        <v>46072</v>
      </c>
      <c r="D451" t="inlineStr">
        <is>
          <t>JÄMTLANDS LÄN</t>
        </is>
      </c>
      <c r="E451" t="inlineStr">
        <is>
          <t>RAGUNDA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23654-2025</t>
        </is>
      </c>
      <c r="B452" s="1" t="n">
        <v>45792.71905092592</v>
      </c>
      <c r="C452" s="1" t="n">
        <v>46072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12660-2024</t>
        </is>
      </c>
      <c r="B453" s="1" t="n">
        <v>45384</v>
      </c>
      <c r="C453" s="1" t="n">
        <v>46072</v>
      </c>
      <c r="D453" t="inlineStr">
        <is>
          <t>JÄMTLANDS LÄN</t>
        </is>
      </c>
      <c r="E453" t="inlineStr">
        <is>
          <t>RAGUNDA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23405-2025</t>
        </is>
      </c>
      <c r="B454" s="1" t="n">
        <v>45792.34527777778</v>
      </c>
      <c r="C454" s="1" t="n">
        <v>46072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55649-2023</t>
        </is>
      </c>
      <c r="B455" s="1" t="n">
        <v>45238</v>
      </c>
      <c r="C455" s="1" t="n">
        <v>46072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39384-2025</t>
        </is>
      </c>
      <c r="B456" s="1" t="n">
        <v>45889.61517361111</v>
      </c>
      <c r="C456" s="1" t="n">
        <v>46072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28216-2025</t>
        </is>
      </c>
      <c r="B457" s="1" t="n">
        <v>45818.46898148148</v>
      </c>
      <c r="C457" s="1" t="n">
        <v>46072</v>
      </c>
      <c r="D457" t="inlineStr">
        <is>
          <t>JÄMTLANDS LÄN</t>
        </is>
      </c>
      <c r="E457" t="inlineStr">
        <is>
          <t>RAGUNDA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18284-2025</t>
        </is>
      </c>
      <c r="B458" s="1" t="n">
        <v>45762.39876157408</v>
      </c>
      <c r="C458" s="1" t="n">
        <v>46072</v>
      </c>
      <c r="D458" t="inlineStr">
        <is>
          <t>JÄMTLANDS LÄN</t>
        </is>
      </c>
      <c r="E458" t="inlineStr">
        <is>
          <t>RAGUNDA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HYPERLINK("https://klasma.github.io/Logging_2303/knärot/A 18284-2025 karta knärot.png", "A 18284-2025")</f>
        <v/>
      </c>
      <c r="V458">
        <f>HYPERLINK("https://klasma.github.io/Logging_2303/klagomål/A 18284-2025 FSC-klagomål.docx", "A 18284-2025")</f>
        <v/>
      </c>
      <c r="W458">
        <f>HYPERLINK("https://klasma.github.io/Logging_2303/klagomålsmail/A 18284-2025 FSC-klagomål mail.docx", "A 18284-2025")</f>
        <v/>
      </c>
      <c r="X458">
        <f>HYPERLINK("https://klasma.github.io/Logging_2303/tillsyn/A 18284-2025 tillsynsbegäran.docx", "A 18284-2025")</f>
        <v/>
      </c>
      <c r="Y458">
        <f>HYPERLINK("https://klasma.github.io/Logging_2303/tillsynsmail/A 18284-2025 tillsynsbegäran mail.docx", "A 18284-2025")</f>
        <v/>
      </c>
    </row>
    <row r="459" ht="15" customHeight="1">
      <c r="A459" t="inlineStr">
        <is>
          <t>A 12521-2023</t>
        </is>
      </c>
      <c r="B459" s="1" t="n">
        <v>45000</v>
      </c>
      <c r="C459" s="1" t="n">
        <v>46072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19263-2025</t>
        </is>
      </c>
      <c r="B460" s="1" t="n">
        <v>45769.51075231482</v>
      </c>
      <c r="C460" s="1" t="n">
        <v>46072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56435-2025</t>
        </is>
      </c>
      <c r="B461" s="1" t="n">
        <v>45975.34679398148</v>
      </c>
      <c r="C461" s="1" t="n">
        <v>46072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HYPERLINK("https://klasma.github.io/Logging_2303/knärot/A 56435-2025 karta knärot.png", "A 56435-2025")</f>
        <v/>
      </c>
      <c r="V461">
        <f>HYPERLINK("https://klasma.github.io/Logging_2303/klagomål/A 56435-2025 FSC-klagomål.docx", "A 56435-2025")</f>
        <v/>
      </c>
      <c r="W461">
        <f>HYPERLINK("https://klasma.github.io/Logging_2303/klagomålsmail/A 56435-2025 FSC-klagomål mail.docx", "A 56435-2025")</f>
        <v/>
      </c>
      <c r="X461">
        <f>HYPERLINK("https://klasma.github.io/Logging_2303/tillsyn/A 56435-2025 tillsynsbegäran.docx", "A 56435-2025")</f>
        <v/>
      </c>
      <c r="Y461">
        <f>HYPERLINK("https://klasma.github.io/Logging_2303/tillsynsmail/A 56435-2025 tillsynsbegäran mail.docx", "A 56435-2025")</f>
        <v/>
      </c>
    </row>
    <row r="462" ht="15" customHeight="1">
      <c r="A462" t="inlineStr">
        <is>
          <t>A 24158-2025</t>
        </is>
      </c>
      <c r="B462" s="1" t="n">
        <v>45796</v>
      </c>
      <c r="C462" s="1" t="n">
        <v>46072</v>
      </c>
      <c r="D462" t="inlineStr">
        <is>
          <t>JÄMTLANDS LÄN</t>
        </is>
      </c>
      <c r="E462" t="inlineStr">
        <is>
          <t>RAGUNDA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HYPERLINK("https://klasma.github.io/Logging_2303/knärot/A 24158-2025 karta knärot.png", "A 24158-2025")</f>
        <v/>
      </c>
      <c r="V462">
        <f>HYPERLINK("https://klasma.github.io/Logging_2303/klagomål/A 24158-2025 FSC-klagomål.docx", "A 24158-2025")</f>
        <v/>
      </c>
      <c r="W462">
        <f>HYPERLINK("https://klasma.github.io/Logging_2303/klagomålsmail/A 24158-2025 FSC-klagomål mail.docx", "A 24158-2025")</f>
        <v/>
      </c>
      <c r="X462">
        <f>HYPERLINK("https://klasma.github.io/Logging_2303/tillsyn/A 24158-2025 tillsynsbegäran.docx", "A 24158-2025")</f>
        <v/>
      </c>
      <c r="Y462">
        <f>HYPERLINK("https://klasma.github.io/Logging_2303/tillsynsmail/A 24158-2025 tillsynsbegäran mail.docx", "A 24158-2025")</f>
        <v/>
      </c>
    </row>
    <row r="463" ht="15" customHeight="1">
      <c r="A463" t="inlineStr">
        <is>
          <t>A 24161-2025</t>
        </is>
      </c>
      <c r="B463" s="1" t="n">
        <v>45796</v>
      </c>
      <c r="C463" s="1" t="n">
        <v>46072</v>
      </c>
      <c r="D463" t="inlineStr">
        <is>
          <t>JÄMTLANDS LÄN</t>
        </is>
      </c>
      <c r="E463" t="inlineStr">
        <is>
          <t>RAGUNDA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29319-2023</t>
        </is>
      </c>
      <c r="B464" s="1" t="n">
        <v>45105</v>
      </c>
      <c r="C464" s="1" t="n">
        <v>46072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18612-2024</t>
        </is>
      </c>
      <c r="B465" s="1" t="n">
        <v>45425.96239583333</v>
      </c>
      <c r="C465" s="1" t="n">
        <v>46072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24159-2025</t>
        </is>
      </c>
      <c r="B466" s="1" t="n">
        <v>45796</v>
      </c>
      <c r="C466" s="1" t="n">
        <v>46072</v>
      </c>
      <c r="D466" t="inlineStr">
        <is>
          <t>JÄMTLANDS LÄN</t>
        </is>
      </c>
      <c r="E466" t="inlineStr">
        <is>
          <t>RAGUNDA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56170-2025</t>
        </is>
      </c>
      <c r="B467" s="1" t="n">
        <v>45974.39398148148</v>
      </c>
      <c r="C467" s="1" t="n">
        <v>46072</v>
      </c>
      <c r="D467" t="inlineStr">
        <is>
          <t>JÄMTLANDS LÄN</t>
        </is>
      </c>
      <c r="E467" t="inlineStr">
        <is>
          <t>RAGUNDA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464-2023</t>
        </is>
      </c>
      <c r="B468" s="1" t="n">
        <v>44929.92489583333</v>
      </c>
      <c r="C468" s="1" t="n">
        <v>46072</v>
      </c>
      <c r="D468" t="inlineStr">
        <is>
          <t>JÄMTLANDS LÄN</t>
        </is>
      </c>
      <c r="E468" t="inlineStr">
        <is>
          <t>RAGUNDA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24391-2025</t>
        </is>
      </c>
      <c r="B469" s="1" t="n">
        <v>45797.63627314815</v>
      </c>
      <c r="C469" s="1" t="n">
        <v>46072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53769-2023</t>
        </is>
      </c>
      <c r="B470" s="1" t="n">
        <v>45230</v>
      </c>
      <c r="C470" s="1" t="n">
        <v>46072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52228-2024</t>
        </is>
      </c>
      <c r="B471" s="1" t="n">
        <v>45608.6078587963</v>
      </c>
      <c r="C471" s="1" t="n">
        <v>46072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62407-2023</t>
        </is>
      </c>
      <c r="B472" s="1" t="n">
        <v>45266</v>
      </c>
      <c r="C472" s="1" t="n">
        <v>46072</v>
      </c>
      <c r="D472" t="inlineStr">
        <is>
          <t>JÄMTLANDS LÄN</t>
        </is>
      </c>
      <c r="E472" t="inlineStr">
        <is>
          <t>RAGUNDA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2242-2024</t>
        </is>
      </c>
      <c r="B473" s="1" t="n">
        <v>45309</v>
      </c>
      <c r="C473" s="1" t="n">
        <v>46072</v>
      </c>
      <c r="D473" t="inlineStr">
        <is>
          <t>JÄMTLANDS LÄN</t>
        </is>
      </c>
      <c r="E473" t="inlineStr">
        <is>
          <t>RAGUNDA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2248-2024</t>
        </is>
      </c>
      <c r="B474" s="1" t="n">
        <v>45309</v>
      </c>
      <c r="C474" s="1" t="n">
        <v>46072</v>
      </c>
      <c r="D474" t="inlineStr">
        <is>
          <t>JÄMTLANDS LÄN</t>
        </is>
      </c>
      <c r="E474" t="inlineStr">
        <is>
          <t>RAGUNDA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39947-2025</t>
        </is>
      </c>
      <c r="B475" s="1" t="n">
        <v>45892.34438657408</v>
      </c>
      <c r="C475" s="1" t="n">
        <v>46072</v>
      </c>
      <c r="D475" t="inlineStr">
        <is>
          <t>JÄMTLANDS LÄN</t>
        </is>
      </c>
      <c r="E475" t="inlineStr">
        <is>
          <t>RAGUNDA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39951-2025</t>
        </is>
      </c>
      <c r="B476" s="1" t="n">
        <v>45892.38657407407</v>
      </c>
      <c r="C476" s="1" t="n">
        <v>46072</v>
      </c>
      <c r="D476" t="inlineStr">
        <is>
          <t>JÄMTLANDS LÄN</t>
        </is>
      </c>
      <c r="E476" t="inlineStr">
        <is>
          <t>RAGUNDA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39948-2025</t>
        </is>
      </c>
      <c r="B477" s="1" t="n">
        <v>45892.38591435185</v>
      </c>
      <c r="C477" s="1" t="n">
        <v>46072</v>
      </c>
      <c r="D477" t="inlineStr">
        <is>
          <t>JÄMTLANDS LÄN</t>
        </is>
      </c>
      <c r="E477" t="inlineStr">
        <is>
          <t>RAGUNDA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39946-2025</t>
        </is>
      </c>
      <c r="B478" s="1" t="n">
        <v>45892.34423611111</v>
      </c>
      <c r="C478" s="1" t="n">
        <v>46072</v>
      </c>
      <c r="D478" t="inlineStr">
        <is>
          <t>JÄMTLANDS LÄN</t>
        </is>
      </c>
      <c r="E478" t="inlineStr">
        <is>
          <t>RAGUNDA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39950-2025</t>
        </is>
      </c>
      <c r="B479" s="1" t="n">
        <v>45892.38641203703</v>
      </c>
      <c r="C479" s="1" t="n">
        <v>46072</v>
      </c>
      <c r="D479" t="inlineStr">
        <is>
          <t>JÄMTLANDS LÄN</t>
        </is>
      </c>
      <c r="E479" t="inlineStr">
        <is>
          <t>RAGUNDA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39955-2025</t>
        </is>
      </c>
      <c r="B480" s="1" t="n">
        <v>45892.44824074074</v>
      </c>
      <c r="C480" s="1" t="n">
        <v>46072</v>
      </c>
      <c r="D480" t="inlineStr">
        <is>
          <t>JÄMTLANDS LÄN</t>
        </is>
      </c>
      <c r="E480" t="inlineStr">
        <is>
          <t>RAGUNDA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39956-2025</t>
        </is>
      </c>
      <c r="B481" s="1" t="n">
        <v>45892.44840277778</v>
      </c>
      <c r="C481" s="1" t="n">
        <v>46072</v>
      </c>
      <c r="D481" t="inlineStr">
        <is>
          <t>JÄMTLANDS LÄN</t>
        </is>
      </c>
      <c r="E481" t="inlineStr">
        <is>
          <t>RAGUNDA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21524-2024</t>
        </is>
      </c>
      <c r="B482" s="1" t="n">
        <v>45441</v>
      </c>
      <c r="C482" s="1" t="n">
        <v>46072</v>
      </c>
      <c r="D482" t="inlineStr">
        <is>
          <t>JÄMTLANDS LÄN</t>
        </is>
      </c>
      <c r="E482" t="inlineStr">
        <is>
          <t>RAGUNDA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39949-2025</t>
        </is>
      </c>
      <c r="B483" s="1" t="n">
        <v>45892.38619212963</v>
      </c>
      <c r="C483" s="1" t="n">
        <v>46072</v>
      </c>
      <c r="D483" t="inlineStr">
        <is>
          <t>JÄMTLANDS LÄN</t>
        </is>
      </c>
      <c r="E483" t="inlineStr">
        <is>
          <t>RAGUNDA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19264-2025</t>
        </is>
      </c>
      <c r="B484" s="1" t="n">
        <v>45769.51087962963</v>
      </c>
      <c r="C484" s="1" t="n">
        <v>46072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29263-2024</t>
        </is>
      </c>
      <c r="B485" s="1" t="n">
        <v>45482.94891203703</v>
      </c>
      <c r="C485" s="1" t="n">
        <v>46072</v>
      </c>
      <c r="D485" t="inlineStr">
        <is>
          <t>JÄMTLANDS LÄN</t>
        </is>
      </c>
      <c r="E485" t="inlineStr">
        <is>
          <t>RAGUNDA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38191-2024</t>
        </is>
      </c>
      <c r="B486" s="1" t="n">
        <v>45545.49078703704</v>
      </c>
      <c r="C486" s="1" t="n">
        <v>46072</v>
      </c>
      <c r="D486" t="inlineStr">
        <is>
          <t>JÄMTLANDS LÄN</t>
        </is>
      </c>
      <c r="E486" t="inlineStr">
        <is>
          <t>RAGUNDA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8800-2025</t>
        </is>
      </c>
      <c r="B487" s="1" t="n">
        <v>45712.65671296296</v>
      </c>
      <c r="C487" s="1" t="n">
        <v>46072</v>
      </c>
      <c r="D487" t="inlineStr">
        <is>
          <t>JÄMTLANDS LÄN</t>
        </is>
      </c>
      <c r="E487" t="inlineStr">
        <is>
          <t>RAGUNDA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29265-2024</t>
        </is>
      </c>
      <c r="B488" s="1" t="n">
        <v>45482.9491087963</v>
      </c>
      <c r="C488" s="1" t="n">
        <v>46072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27291-2022</t>
        </is>
      </c>
      <c r="B489" s="1" t="n">
        <v>44741.94070601852</v>
      </c>
      <c r="C489" s="1" t="n">
        <v>46072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8776-2025</t>
        </is>
      </c>
      <c r="B490" s="1" t="n">
        <v>45712.61510416667</v>
      </c>
      <c r="C490" s="1" t="n">
        <v>46072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40586-2025</t>
        </is>
      </c>
      <c r="B491" s="1" t="n">
        <v>45896.52478009259</v>
      </c>
      <c r="C491" s="1" t="n">
        <v>46072</v>
      </c>
      <c r="D491" t="inlineStr">
        <is>
          <t>JÄMTLANDS LÄN</t>
        </is>
      </c>
      <c r="E491" t="inlineStr">
        <is>
          <t>RAGUNDA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57111-2025</t>
        </is>
      </c>
      <c r="B492" s="1" t="n">
        <v>45978</v>
      </c>
      <c r="C492" s="1" t="n">
        <v>46072</v>
      </c>
      <c r="D492" t="inlineStr">
        <is>
          <t>JÄMTLANDS LÄN</t>
        </is>
      </c>
      <c r="E492" t="inlineStr">
        <is>
          <t>RAGUNDA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57117-2025</t>
        </is>
      </c>
      <c r="B493" s="1" t="n">
        <v>45978</v>
      </c>
      <c r="C493" s="1" t="n">
        <v>46072</v>
      </c>
      <c r="D493" t="inlineStr">
        <is>
          <t>JÄMTLANDS LÄN</t>
        </is>
      </c>
      <c r="E493" t="inlineStr">
        <is>
          <t>RAGUNDA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56751-2025</t>
        </is>
      </c>
      <c r="B494" s="1" t="n">
        <v>45978.36538194444</v>
      </c>
      <c r="C494" s="1" t="n">
        <v>46072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34.5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56806-2025</t>
        </is>
      </c>
      <c r="B495" s="1" t="n">
        <v>45978.44842592593</v>
      </c>
      <c r="C495" s="1" t="n">
        <v>46072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25631-2025</t>
        </is>
      </c>
      <c r="B496" s="1" t="n">
        <v>45803.5946875</v>
      </c>
      <c r="C496" s="1" t="n">
        <v>46072</v>
      </c>
      <c r="D496" t="inlineStr">
        <is>
          <t>JÄMTLANDS LÄN</t>
        </is>
      </c>
      <c r="E496" t="inlineStr">
        <is>
          <t>RAGUNDA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14821-2025</t>
        </is>
      </c>
      <c r="B497" s="1" t="n">
        <v>45743.36</v>
      </c>
      <c r="C497" s="1" t="n">
        <v>46072</v>
      </c>
      <c r="D497" t="inlineStr">
        <is>
          <t>JÄMTLANDS LÄN</t>
        </is>
      </c>
      <c r="E497" t="inlineStr">
        <is>
          <t>RAGUNDA</t>
        </is>
      </c>
      <c r="F497" t="inlineStr">
        <is>
          <t>Kyrkan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25376-2025</t>
        </is>
      </c>
      <c r="B498" s="1" t="n">
        <v>45800.63619212963</v>
      </c>
      <c r="C498" s="1" t="n">
        <v>46072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36375-2022</t>
        </is>
      </c>
      <c r="B499" s="1" t="n">
        <v>44803.94351851852</v>
      </c>
      <c r="C499" s="1" t="n">
        <v>46072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41161-2025</t>
        </is>
      </c>
      <c r="B500" s="1" t="n">
        <v>45898.53193287037</v>
      </c>
      <c r="C500" s="1" t="n">
        <v>46072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57184-2025</t>
        </is>
      </c>
      <c r="B501" s="1" t="n">
        <v>45979.57361111111</v>
      </c>
      <c r="C501" s="1" t="n">
        <v>46072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33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41233-2025</t>
        </is>
      </c>
      <c r="B502" s="1" t="n">
        <v>45898.59295138889</v>
      </c>
      <c r="C502" s="1" t="n">
        <v>46072</v>
      </c>
      <c r="D502" t="inlineStr">
        <is>
          <t>JÄMTLANDS LÄN</t>
        </is>
      </c>
      <c r="E502" t="inlineStr">
        <is>
          <t>RAGUNDA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25175-2025</t>
        </is>
      </c>
      <c r="B503" s="1" t="n">
        <v>45800.44822916666</v>
      </c>
      <c r="C503" s="1" t="n">
        <v>46072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25177-2025</t>
        </is>
      </c>
      <c r="B504" s="1" t="n">
        <v>45800.44862268519</v>
      </c>
      <c r="C504" s="1" t="n">
        <v>46072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8679-2023</t>
        </is>
      </c>
      <c r="B505" s="1" t="n">
        <v>44977.98670138889</v>
      </c>
      <c r="C505" s="1" t="n">
        <v>46072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25659-2025</t>
        </is>
      </c>
      <c r="B506" s="1" t="n">
        <v>45803.61552083334</v>
      </c>
      <c r="C506" s="1" t="n">
        <v>46072</v>
      </c>
      <c r="D506" t="inlineStr">
        <is>
          <t>JÄMTLANDS LÄN</t>
        </is>
      </c>
      <c r="E506" t="inlineStr">
        <is>
          <t>RAGUNDA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25661-2025</t>
        </is>
      </c>
      <c r="B507" s="1" t="n">
        <v>45803.61557870371</v>
      </c>
      <c r="C507" s="1" t="n">
        <v>46072</v>
      </c>
      <c r="D507" t="inlineStr">
        <is>
          <t>JÄMTLANDS LÄN</t>
        </is>
      </c>
      <c r="E507" t="inlineStr">
        <is>
          <t>RAGUNDA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41262-2025</t>
        </is>
      </c>
      <c r="B508" s="1" t="n">
        <v>45898.61502314815</v>
      </c>
      <c r="C508" s="1" t="n">
        <v>46072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9325-2024</t>
        </is>
      </c>
      <c r="B509" s="1" t="n">
        <v>45358.95813657407</v>
      </c>
      <c r="C509" s="1" t="n">
        <v>46072</v>
      </c>
      <c r="D509" t="inlineStr">
        <is>
          <t>JÄMTLANDS LÄN</t>
        </is>
      </c>
      <c r="E509" t="inlineStr">
        <is>
          <t>RAGUNDA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5930-2025</t>
        </is>
      </c>
      <c r="B510" s="1" t="n">
        <v>45695.44724537037</v>
      </c>
      <c r="C510" s="1" t="n">
        <v>46072</v>
      </c>
      <c r="D510" t="inlineStr">
        <is>
          <t>JÄMTLANDS LÄN</t>
        </is>
      </c>
      <c r="E510" t="inlineStr">
        <is>
          <t>RAGUNDA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57561-2025</t>
        </is>
      </c>
      <c r="B511" s="1" t="n">
        <v>45980.69885416667</v>
      </c>
      <c r="C511" s="1" t="n">
        <v>46072</v>
      </c>
      <c r="D511" t="inlineStr">
        <is>
          <t>JÄMTLANDS LÄN</t>
        </is>
      </c>
      <c r="E511" t="inlineStr">
        <is>
          <t>RAGUNDA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25350-2025</t>
        </is>
      </c>
      <c r="B512" s="1" t="n">
        <v>45800</v>
      </c>
      <c r="C512" s="1" t="n">
        <v>46072</v>
      </c>
      <c r="D512" t="inlineStr">
        <is>
          <t>JÄMTLANDS LÄN</t>
        </is>
      </c>
      <c r="E512" t="inlineStr">
        <is>
          <t>RAGUNDA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57170-2024</t>
        </is>
      </c>
      <c r="B513" s="1" t="n">
        <v>45629.42759259259</v>
      </c>
      <c r="C513" s="1" t="n">
        <v>46072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25152-2025</t>
        </is>
      </c>
      <c r="B514" s="1" t="n">
        <v>45800.42743055556</v>
      </c>
      <c r="C514" s="1" t="n">
        <v>46072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41423-2025</t>
        </is>
      </c>
      <c r="B515" s="1" t="n">
        <v>45901.38578703703</v>
      </c>
      <c r="C515" s="1" t="n">
        <v>46072</v>
      </c>
      <c r="D515" t="inlineStr">
        <is>
          <t>JÄMTLANDS LÄN</t>
        </is>
      </c>
      <c r="E515" t="inlineStr">
        <is>
          <t>RAGUNDA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19613-2023</t>
        </is>
      </c>
      <c r="B516" s="1" t="n">
        <v>45050.94020833333</v>
      </c>
      <c r="C516" s="1" t="n">
        <v>46072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25814-2025</t>
        </is>
      </c>
      <c r="B517" s="1" t="n">
        <v>45804.42642361111</v>
      </c>
      <c r="C517" s="1" t="n">
        <v>46072</v>
      </c>
      <c r="D517" t="inlineStr">
        <is>
          <t>JÄMTLANDS LÄN</t>
        </is>
      </c>
      <c r="E517" t="inlineStr">
        <is>
          <t>RAGUNDA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57332-2025</t>
        </is>
      </c>
      <c r="B518" s="1" t="n">
        <v>45980.34467592592</v>
      </c>
      <c r="C518" s="1" t="n">
        <v>46072</v>
      </c>
      <c r="D518" t="inlineStr">
        <is>
          <t>JÄMTLANDS LÄN</t>
        </is>
      </c>
      <c r="E518" t="inlineStr">
        <is>
          <t>RAGUNDA</t>
        </is>
      </c>
      <c r="F518" t="inlineStr">
        <is>
          <t>SCA</t>
        </is>
      </c>
      <c r="G518" t="n">
        <v>22.6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25944-2025</t>
        </is>
      </c>
      <c r="B519" s="1" t="n">
        <v>45804.59487268519</v>
      </c>
      <c r="C519" s="1" t="n">
        <v>46072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26283-2025</t>
        </is>
      </c>
      <c r="B520" s="1" t="n">
        <v>45805.61495370371</v>
      </c>
      <c r="C520" s="1" t="n">
        <v>46072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10788-2025</t>
        </is>
      </c>
      <c r="B521" s="1" t="n">
        <v>45722.48982638889</v>
      </c>
      <c r="C521" s="1" t="n">
        <v>46072</v>
      </c>
      <c r="D521" t="inlineStr">
        <is>
          <t>JÄMTLANDS LÄN</t>
        </is>
      </c>
      <c r="E521" t="inlineStr">
        <is>
          <t>RAGUNDA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24258-2025</t>
        </is>
      </c>
      <c r="B522" s="1" t="n">
        <v>45797.40800925926</v>
      </c>
      <c r="C522" s="1" t="n">
        <v>46072</v>
      </c>
      <c r="D522" t="inlineStr">
        <is>
          <t>JÄMTLANDS LÄN</t>
        </is>
      </c>
      <c r="E522" t="inlineStr">
        <is>
          <t>RAGUNDA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25994-2025</t>
        </is>
      </c>
      <c r="B523" s="1" t="n">
        <v>45804.65672453704</v>
      </c>
      <c r="C523" s="1" t="n">
        <v>46072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41424-2025</t>
        </is>
      </c>
      <c r="B524" s="1" t="n">
        <v>45901.38584490741</v>
      </c>
      <c r="C524" s="1" t="n">
        <v>46072</v>
      </c>
      <c r="D524" t="inlineStr">
        <is>
          <t>JÄMTLANDS LÄN</t>
        </is>
      </c>
      <c r="E524" t="inlineStr">
        <is>
          <t>RAGUNDA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57560-2025</t>
        </is>
      </c>
      <c r="B525" s="1" t="n">
        <v>45980.6987962963</v>
      </c>
      <c r="C525" s="1" t="n">
        <v>46072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41140-2025</t>
        </is>
      </c>
      <c r="B526" s="1" t="n">
        <v>45898.49012731481</v>
      </c>
      <c r="C526" s="1" t="n">
        <v>46072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41422-2025</t>
        </is>
      </c>
      <c r="B527" s="1" t="n">
        <v>45901.38572916666</v>
      </c>
      <c r="C527" s="1" t="n">
        <v>46072</v>
      </c>
      <c r="D527" t="inlineStr">
        <is>
          <t>JÄMTLANDS LÄN</t>
        </is>
      </c>
      <c r="E527" t="inlineStr">
        <is>
          <t>RAGUNDA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41876-2025</t>
        </is>
      </c>
      <c r="B528" s="1" t="n">
        <v>45903.34555555556</v>
      </c>
      <c r="C528" s="1" t="n">
        <v>46072</v>
      </c>
      <c r="D528" t="inlineStr">
        <is>
          <t>JÄMTLANDS LÄN</t>
        </is>
      </c>
      <c r="E528" t="inlineStr">
        <is>
          <t>RAGUNDA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57916-2025</t>
        </is>
      </c>
      <c r="B529" s="1" t="n">
        <v>45981</v>
      </c>
      <c r="C529" s="1" t="n">
        <v>46072</v>
      </c>
      <c r="D529" t="inlineStr">
        <is>
          <t>JÄMTLANDS LÄN</t>
        </is>
      </c>
      <c r="E529" t="inlineStr">
        <is>
          <t>RAGUNDA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26172-2025</t>
        </is>
      </c>
      <c r="B530" s="1" t="n">
        <v>45805.46613425926</v>
      </c>
      <c r="C530" s="1" t="n">
        <v>46072</v>
      </c>
      <c r="D530" t="inlineStr">
        <is>
          <t>JÄMTLANDS LÄN</t>
        </is>
      </c>
      <c r="E530" t="inlineStr">
        <is>
          <t>RAGUNDA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57914-2025</t>
        </is>
      </c>
      <c r="B531" s="1" t="n">
        <v>45981</v>
      </c>
      <c r="C531" s="1" t="n">
        <v>46072</v>
      </c>
      <c r="D531" t="inlineStr">
        <is>
          <t>JÄMTLANDS LÄN</t>
        </is>
      </c>
      <c r="E531" t="inlineStr">
        <is>
          <t>RAGUNDA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26246-2025</t>
        </is>
      </c>
      <c r="B532" s="1" t="n">
        <v>45805.57390046296</v>
      </c>
      <c r="C532" s="1" t="n">
        <v>46072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8795-2022</t>
        </is>
      </c>
      <c r="B533" s="1" t="n">
        <v>44614</v>
      </c>
      <c r="C533" s="1" t="n">
        <v>46072</v>
      </c>
      <c r="D533" t="inlineStr">
        <is>
          <t>JÄMTLANDS LÄN</t>
        </is>
      </c>
      <c r="E533" t="inlineStr">
        <is>
          <t>RAGUNDA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41656-2025</t>
        </is>
      </c>
      <c r="B534" s="1" t="n">
        <v>45902.34423611111</v>
      </c>
      <c r="C534" s="1" t="n">
        <v>46072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35265-2023</t>
        </is>
      </c>
      <c r="B535" s="1" t="n">
        <v>45145.95326388889</v>
      </c>
      <c r="C535" s="1" t="n">
        <v>46072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57915-2025</t>
        </is>
      </c>
      <c r="B536" s="1" t="n">
        <v>45981</v>
      </c>
      <c r="C536" s="1" t="n">
        <v>46072</v>
      </c>
      <c r="D536" t="inlineStr">
        <is>
          <t>JÄMTLANDS LÄN</t>
        </is>
      </c>
      <c r="E536" t="inlineStr">
        <is>
          <t>RAGUNDA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5148-2023</t>
        </is>
      </c>
      <c r="B537" s="1" t="n">
        <v>44958</v>
      </c>
      <c r="C537" s="1" t="n">
        <v>46072</v>
      </c>
      <c r="D537" t="inlineStr">
        <is>
          <t>JÄMTLANDS LÄN</t>
        </is>
      </c>
      <c r="E537" t="inlineStr">
        <is>
          <t>RAGUNDA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73278-2021</t>
        </is>
      </c>
      <c r="B538" s="1" t="n">
        <v>44550.92168981482</v>
      </c>
      <c r="C538" s="1" t="n">
        <v>46072</v>
      </c>
      <c r="D538" t="inlineStr">
        <is>
          <t>JÄMTLANDS LÄN</t>
        </is>
      </c>
      <c r="E538" t="inlineStr">
        <is>
          <t>RAGUNDA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66471-2021</t>
        </is>
      </c>
      <c r="B539" s="1" t="n">
        <v>44518</v>
      </c>
      <c r="C539" s="1" t="n">
        <v>46072</v>
      </c>
      <c r="D539" t="inlineStr">
        <is>
          <t>JÄMTLANDS LÄN</t>
        </is>
      </c>
      <c r="E539" t="inlineStr">
        <is>
          <t>RAGUNDA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18778-2024</t>
        </is>
      </c>
      <c r="B540" s="1" t="n">
        <v>45426</v>
      </c>
      <c r="C540" s="1" t="n">
        <v>46072</v>
      </c>
      <c r="D540" t="inlineStr">
        <is>
          <t>JÄMTLANDS LÄN</t>
        </is>
      </c>
      <c r="E540" t="inlineStr">
        <is>
          <t>RAGUNDA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59556-2024</t>
        </is>
      </c>
      <c r="B541" s="1" t="n">
        <v>45638.63600694444</v>
      </c>
      <c r="C541" s="1" t="n">
        <v>46072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51396-2024</t>
        </is>
      </c>
      <c r="B542" s="1" t="n">
        <v>45604.4190625</v>
      </c>
      <c r="C542" s="1" t="n">
        <v>46072</v>
      </c>
      <c r="D542" t="inlineStr">
        <is>
          <t>JÄMTLANDS LÄN</t>
        </is>
      </c>
      <c r="E542" t="inlineStr">
        <is>
          <t>RAGUNDA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26640-2025</t>
        </is>
      </c>
      <c r="B543" s="1" t="n">
        <v>45810.36495370371</v>
      </c>
      <c r="C543" s="1" t="n">
        <v>46072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42269-2025</t>
        </is>
      </c>
      <c r="B544" s="1" t="n">
        <v>45904.60431712963</v>
      </c>
      <c r="C544" s="1" t="n">
        <v>46072</v>
      </c>
      <c r="D544" t="inlineStr">
        <is>
          <t>JÄMTLANDS LÄN</t>
        </is>
      </c>
      <c r="E544" t="inlineStr">
        <is>
          <t>RAGUNDA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16529-2022</t>
        </is>
      </c>
      <c r="B545" s="1" t="n">
        <v>44671</v>
      </c>
      <c r="C545" s="1" t="n">
        <v>46072</v>
      </c>
      <c r="D545" t="inlineStr">
        <is>
          <t>JÄMTLANDS LÄN</t>
        </is>
      </c>
      <c r="E545" t="inlineStr">
        <is>
          <t>RAGUNDA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2001-2025</t>
        </is>
      </c>
      <c r="B546" s="1" t="n">
        <v>45672.44898148148</v>
      </c>
      <c r="C546" s="1" t="n">
        <v>46072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53762-2023</t>
        </is>
      </c>
      <c r="B547" s="1" t="n">
        <v>45230.96376157407</v>
      </c>
      <c r="C547" s="1" t="n">
        <v>46072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61934-2022</t>
        </is>
      </c>
      <c r="B548" s="1" t="n">
        <v>44917</v>
      </c>
      <c r="C548" s="1" t="n">
        <v>46072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19089-2024</t>
        </is>
      </c>
      <c r="B549" s="1" t="n">
        <v>45428.00471064815</v>
      </c>
      <c r="C549" s="1" t="n">
        <v>46072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8678-2023</t>
        </is>
      </c>
      <c r="B550" s="1" t="n">
        <v>44977.98660879629</v>
      </c>
      <c r="C550" s="1" t="n">
        <v>46072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57833-2025</t>
        </is>
      </c>
      <c r="B551" s="1" t="n">
        <v>45981.61541666667</v>
      </c>
      <c r="C551" s="1" t="n">
        <v>46072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33763-2025</t>
        </is>
      </c>
      <c r="B552" s="1" t="n">
        <v>45842.38579861111</v>
      </c>
      <c r="C552" s="1" t="n">
        <v>46072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13.4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27510-2025</t>
        </is>
      </c>
      <c r="B553" s="1" t="n">
        <v>45813.42790509259</v>
      </c>
      <c r="C553" s="1" t="n">
        <v>46072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28742-2023</t>
        </is>
      </c>
      <c r="B554" s="1" t="n">
        <v>45103</v>
      </c>
      <c r="C554" s="1" t="n">
        <v>46072</v>
      </c>
      <c r="D554" t="inlineStr">
        <is>
          <t>JÄMTLANDS LÄN</t>
        </is>
      </c>
      <c r="E554" t="inlineStr">
        <is>
          <t>RAGUNDA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19404-2025</t>
        </is>
      </c>
      <c r="B555" s="1" t="n">
        <v>45769.67802083334</v>
      </c>
      <c r="C555" s="1" t="n">
        <v>46072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HYPERLINK("https://klasma.github.io/Logging_2303/knärot/A 19404-2025 karta knärot.png", "A 19404-2025")</f>
        <v/>
      </c>
      <c r="V555">
        <f>HYPERLINK("https://klasma.github.io/Logging_2303/klagomål/A 19404-2025 FSC-klagomål.docx", "A 19404-2025")</f>
        <v/>
      </c>
      <c r="W555">
        <f>HYPERLINK("https://klasma.github.io/Logging_2303/klagomålsmail/A 19404-2025 FSC-klagomål mail.docx", "A 19404-2025")</f>
        <v/>
      </c>
      <c r="X555">
        <f>HYPERLINK("https://klasma.github.io/Logging_2303/tillsyn/A 19404-2025 tillsynsbegäran.docx", "A 19404-2025")</f>
        <v/>
      </c>
      <c r="Y555">
        <f>HYPERLINK("https://klasma.github.io/Logging_2303/tillsynsmail/A 19404-2025 tillsynsbegäran mail.docx", "A 19404-2025")</f>
        <v/>
      </c>
    </row>
    <row r="556" ht="15" customHeight="1">
      <c r="A556" t="inlineStr">
        <is>
          <t>A 17323-2025</t>
        </is>
      </c>
      <c r="B556" s="1" t="n">
        <v>45756.63601851852</v>
      </c>
      <c r="C556" s="1" t="n">
        <v>46072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43177-2025</t>
        </is>
      </c>
      <c r="B557" s="1" t="n">
        <v>45910.40667824074</v>
      </c>
      <c r="C557" s="1" t="n">
        <v>46072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16364-2023</t>
        </is>
      </c>
      <c r="B558" s="1" t="n">
        <v>45028</v>
      </c>
      <c r="C558" s="1" t="n">
        <v>46072</v>
      </c>
      <c r="D558" t="inlineStr">
        <is>
          <t>JÄMTLANDS LÄN</t>
        </is>
      </c>
      <c r="E558" t="inlineStr">
        <is>
          <t>RAGUNDA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43181-2025</t>
        </is>
      </c>
      <c r="B559" s="1" t="n">
        <v>45910.40721064815</v>
      </c>
      <c r="C559" s="1" t="n">
        <v>46072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59136-2023</t>
        </is>
      </c>
      <c r="B560" s="1" t="n">
        <v>45251</v>
      </c>
      <c r="C560" s="1" t="n">
        <v>46072</v>
      </c>
      <c r="D560" t="inlineStr">
        <is>
          <t>JÄMTLANDS LÄN</t>
        </is>
      </c>
      <c r="E560" t="inlineStr">
        <is>
          <t>RAGUNDA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43330-2025</t>
        </is>
      </c>
      <c r="B561" s="1" t="n">
        <v>45910.67766203704</v>
      </c>
      <c r="C561" s="1" t="n">
        <v>46072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64108-2025</t>
        </is>
      </c>
      <c r="B562" s="1" t="n">
        <v>46013</v>
      </c>
      <c r="C562" s="1" t="n">
        <v>46072</v>
      </c>
      <c r="D562" t="inlineStr">
        <is>
          <t>JÄMTLANDS LÄN</t>
        </is>
      </c>
      <c r="E562" t="inlineStr">
        <is>
          <t>RAGUNDA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57785-2025</t>
        </is>
      </c>
      <c r="B563" s="1" t="n">
        <v>45981.57393518519</v>
      </c>
      <c r="C563" s="1" t="n">
        <v>46072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49659-2023</t>
        </is>
      </c>
      <c r="B564" s="1" t="n">
        <v>45211.95134259259</v>
      </c>
      <c r="C564" s="1" t="n">
        <v>46072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58093-2025</t>
        </is>
      </c>
      <c r="B565" s="1" t="n">
        <v>45982.5741087963</v>
      </c>
      <c r="C565" s="1" t="n">
        <v>46072</v>
      </c>
      <c r="D565" t="inlineStr">
        <is>
          <t>JÄMTLANDS LÄN</t>
        </is>
      </c>
      <c r="E565" t="inlineStr">
        <is>
          <t>RAGUNDA</t>
        </is>
      </c>
      <c r="G565" t="n">
        <v>22.2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18989-2025</t>
        </is>
      </c>
      <c r="B566" s="1" t="n">
        <v>45764</v>
      </c>
      <c r="C566" s="1" t="n">
        <v>46072</v>
      </c>
      <c r="D566" t="inlineStr">
        <is>
          <t>JÄMTLANDS LÄN</t>
        </is>
      </c>
      <c r="E566" t="inlineStr">
        <is>
          <t>RAGUNDA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57970-2025</t>
        </is>
      </c>
      <c r="B567" s="1" t="n">
        <v>45982.38582175926</v>
      </c>
      <c r="C567" s="1" t="n">
        <v>46072</v>
      </c>
      <c r="D567" t="inlineStr">
        <is>
          <t>JÄMTLANDS LÄN</t>
        </is>
      </c>
      <c r="E567" t="inlineStr">
        <is>
          <t>RAGUNDA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43776-2025</t>
        </is>
      </c>
      <c r="B568" s="1" t="n">
        <v>45912.51086805556</v>
      </c>
      <c r="C568" s="1" t="n">
        <v>46072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25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43971-2025</t>
        </is>
      </c>
      <c r="B569" s="1" t="n">
        <v>45915.40694444445</v>
      </c>
      <c r="C569" s="1" t="n">
        <v>46072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43804-2025</t>
        </is>
      </c>
      <c r="B570" s="1" t="n">
        <v>45912.57373842593</v>
      </c>
      <c r="C570" s="1" t="n">
        <v>46072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50521-2024</t>
        </is>
      </c>
      <c r="B571" s="1" t="n">
        <v>45601.55331018518</v>
      </c>
      <c r="C571" s="1" t="n">
        <v>46072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4916-2025</t>
        </is>
      </c>
      <c r="B572" s="1" t="n">
        <v>45688.68196759259</v>
      </c>
      <c r="C572" s="1" t="n">
        <v>46072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59557-2023</t>
        </is>
      </c>
      <c r="B573" s="1" t="n">
        <v>45253</v>
      </c>
      <c r="C573" s="1" t="n">
        <v>46072</v>
      </c>
      <c r="D573" t="inlineStr">
        <is>
          <t>JÄMTLANDS LÄN</t>
        </is>
      </c>
      <c r="E573" t="inlineStr">
        <is>
          <t>RAGUNDA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58076-2025</t>
        </is>
      </c>
      <c r="B574" s="1" t="n">
        <v>45982.55273148148</v>
      </c>
      <c r="C574" s="1" t="n">
        <v>46072</v>
      </c>
      <c r="D574" t="inlineStr">
        <is>
          <t>JÄMTLANDS LÄN</t>
        </is>
      </c>
      <c r="E574" t="inlineStr">
        <is>
          <t>RAGUNDA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57112-2024</t>
        </is>
      </c>
      <c r="B575" s="1" t="n">
        <v>45629.36486111111</v>
      </c>
      <c r="C575" s="1" t="n">
        <v>46072</v>
      </c>
      <c r="D575" t="inlineStr">
        <is>
          <t>JÄMTLANDS LÄN</t>
        </is>
      </c>
      <c r="E575" t="inlineStr">
        <is>
          <t>RAGUNDA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53136-2024</t>
        </is>
      </c>
      <c r="B576" s="1" t="n">
        <v>45611.5953125</v>
      </c>
      <c r="C576" s="1" t="n">
        <v>46072</v>
      </c>
      <c r="D576" t="inlineStr">
        <is>
          <t>JÄMTLANDS LÄN</t>
        </is>
      </c>
      <c r="E576" t="inlineStr">
        <is>
          <t>RAGUNDA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57963-2025</t>
        </is>
      </c>
      <c r="B577" s="1" t="n">
        <v>45982.37800925926</v>
      </c>
      <c r="C577" s="1" t="n">
        <v>46072</v>
      </c>
      <c r="D577" t="inlineStr">
        <is>
          <t>JÄMTLANDS LÄN</t>
        </is>
      </c>
      <c r="E577" t="inlineStr">
        <is>
          <t>RAGUNDA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33621-2023</t>
        </is>
      </c>
      <c r="B578" s="1" t="n">
        <v>45119</v>
      </c>
      <c r="C578" s="1" t="n">
        <v>46072</v>
      </c>
      <c r="D578" t="inlineStr">
        <is>
          <t>JÄMTLANDS LÄN</t>
        </is>
      </c>
      <c r="E578" t="inlineStr">
        <is>
          <t>RAGUNDA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6694-2024</t>
        </is>
      </c>
      <c r="B579" s="1" t="n">
        <v>45341.95381944445</v>
      </c>
      <c r="C579" s="1" t="n">
        <v>46072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1537-2024</t>
        </is>
      </c>
      <c r="B580" s="1" t="n">
        <v>45306</v>
      </c>
      <c r="C580" s="1" t="n">
        <v>46072</v>
      </c>
      <c r="D580" t="inlineStr">
        <is>
          <t>JÄMTLANDS LÄN</t>
        </is>
      </c>
      <c r="E580" t="inlineStr">
        <is>
          <t>RAGUNDA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60935-2024</t>
        </is>
      </c>
      <c r="B581" s="1" t="n">
        <v>45645.36740740741</v>
      </c>
      <c r="C581" s="1" t="n">
        <v>46072</v>
      </c>
      <c r="D581" t="inlineStr">
        <is>
          <t>JÄMTLANDS LÄN</t>
        </is>
      </c>
      <c r="E581" t="inlineStr">
        <is>
          <t>RAGUNDA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28637-2025</t>
        </is>
      </c>
      <c r="B582" s="1" t="n">
        <v>45819.6359375</v>
      </c>
      <c r="C582" s="1" t="n">
        <v>46072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6257-2025</t>
        </is>
      </c>
      <c r="B583" s="1" t="n">
        <v>45698.59409722222</v>
      </c>
      <c r="C583" s="1" t="n">
        <v>46072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14074-2023</t>
        </is>
      </c>
      <c r="B584" s="1" t="n">
        <v>45009.089375</v>
      </c>
      <c r="C584" s="1" t="n">
        <v>46072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45279-2025</t>
        </is>
      </c>
      <c r="B585" s="1" t="n">
        <v>45919.71912037037</v>
      </c>
      <c r="C585" s="1" t="n">
        <v>46072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37265-2024</t>
        </is>
      </c>
      <c r="B586" s="1" t="n">
        <v>45540.38564814815</v>
      </c>
      <c r="C586" s="1" t="n">
        <v>46072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28973-2025</t>
        </is>
      </c>
      <c r="B587" s="1" t="n">
        <v>45821.34513888889</v>
      </c>
      <c r="C587" s="1" t="n">
        <v>46072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44954-2025</t>
        </is>
      </c>
      <c r="B588" s="1" t="n">
        <v>45918.61203703703</v>
      </c>
      <c r="C588" s="1" t="n">
        <v>46072</v>
      </c>
      <c r="D588" t="inlineStr">
        <is>
          <t>JÄMTLANDS LÄN</t>
        </is>
      </c>
      <c r="E588" t="inlineStr">
        <is>
          <t>RAGUNDA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18777-2024</t>
        </is>
      </c>
      <c r="B589" s="1" t="n">
        <v>45426</v>
      </c>
      <c r="C589" s="1" t="n">
        <v>46072</v>
      </c>
      <c r="D589" t="inlineStr">
        <is>
          <t>JÄMTLANDS LÄN</t>
        </is>
      </c>
      <c r="E589" t="inlineStr">
        <is>
          <t>RAGUNDA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29731-2025</t>
        </is>
      </c>
      <c r="B590" s="1" t="n">
        <v>45825.58252314815</v>
      </c>
      <c r="C590" s="1" t="n">
        <v>46072</v>
      </c>
      <c r="D590" t="inlineStr">
        <is>
          <t>JÄMTLANDS LÄN</t>
        </is>
      </c>
      <c r="E590" t="inlineStr">
        <is>
          <t>RAGUNDA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58564-2024</t>
        </is>
      </c>
      <c r="B591" s="1" t="n">
        <v>45635.47243055556</v>
      </c>
      <c r="C591" s="1" t="n">
        <v>46072</v>
      </c>
      <c r="D591" t="inlineStr">
        <is>
          <t>JÄMTLANDS LÄN</t>
        </is>
      </c>
      <c r="E591" t="inlineStr">
        <is>
          <t>RAGUNDA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8243-2024</t>
        </is>
      </c>
      <c r="B592" s="1" t="n">
        <v>45351.98532407408</v>
      </c>
      <c r="C592" s="1" t="n">
        <v>46072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1325-2025</t>
        </is>
      </c>
      <c r="B593" s="1" t="n">
        <v>45667.57342592593</v>
      </c>
      <c r="C593" s="1" t="n">
        <v>46072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29723-2025</t>
        </is>
      </c>
      <c r="B594" s="1" t="n">
        <v>45825.57675925926</v>
      </c>
      <c r="C594" s="1" t="n">
        <v>46072</v>
      </c>
      <c r="D594" t="inlineStr">
        <is>
          <t>JÄMTLANDS LÄN</t>
        </is>
      </c>
      <c r="E594" t="inlineStr">
        <is>
          <t>RAGUNDA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45894-2025</t>
        </is>
      </c>
      <c r="B595" s="1" t="n">
        <v>45923.67765046296</v>
      </c>
      <c r="C595" s="1" t="n">
        <v>46072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35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18159-2023</t>
        </is>
      </c>
      <c r="B596" s="1" t="n">
        <v>45040.94277777777</v>
      </c>
      <c r="C596" s="1" t="n">
        <v>46072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46192-2025</t>
        </is>
      </c>
      <c r="B597" s="1" t="n">
        <v>45924.67789351852</v>
      </c>
      <c r="C597" s="1" t="n">
        <v>46072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19486-2024</t>
        </is>
      </c>
      <c r="B598" s="1" t="n">
        <v>45429</v>
      </c>
      <c r="C598" s="1" t="n">
        <v>46072</v>
      </c>
      <c r="D598" t="inlineStr">
        <is>
          <t>JÄMTLANDS LÄN</t>
        </is>
      </c>
      <c r="E598" t="inlineStr">
        <is>
          <t>RAGUNDA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1326-2025</t>
        </is>
      </c>
      <c r="B599" s="1" t="n">
        <v>45667.57347222222</v>
      </c>
      <c r="C599" s="1" t="n">
        <v>46072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30642-2024</t>
        </is>
      </c>
      <c r="B600" s="1" t="n">
        <v>45495.57677083334</v>
      </c>
      <c r="C600" s="1" t="n">
        <v>46072</v>
      </c>
      <c r="D600" t="inlineStr">
        <is>
          <t>JÄMTLANDS LÄN</t>
        </is>
      </c>
      <c r="E600" t="inlineStr">
        <is>
          <t>RAGUNDA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993-2025</t>
        </is>
      </c>
      <c r="B601" s="1" t="n">
        <v>45666.44943287037</v>
      </c>
      <c r="C601" s="1" t="n">
        <v>46072</v>
      </c>
      <c r="D601" t="inlineStr">
        <is>
          <t>JÄMTLANDS LÄN</t>
        </is>
      </c>
      <c r="E601" t="inlineStr">
        <is>
          <t>RAGUNDA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30088-2025</t>
        </is>
      </c>
      <c r="B602" s="1" t="n">
        <v>45826.65759259259</v>
      </c>
      <c r="C602" s="1" t="n">
        <v>46072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30348-2025</t>
        </is>
      </c>
      <c r="B603" s="1" t="n">
        <v>45827.53178240741</v>
      </c>
      <c r="C603" s="1" t="n">
        <v>46072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58193-2022</t>
        </is>
      </c>
      <c r="B604" s="1" t="n">
        <v>44900.95700231481</v>
      </c>
      <c r="C604" s="1" t="n">
        <v>46072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46275-2025</t>
        </is>
      </c>
      <c r="B605" s="1" t="n">
        <v>45925.3711574074</v>
      </c>
      <c r="C605" s="1" t="n">
        <v>46072</v>
      </c>
      <c r="D605" t="inlineStr">
        <is>
          <t>JÄMTLANDS LÄN</t>
        </is>
      </c>
      <c r="E605" t="inlineStr">
        <is>
          <t>RAGUNDA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30434-2025</t>
        </is>
      </c>
      <c r="B606" s="1" t="n">
        <v>45827.63582175926</v>
      </c>
      <c r="C606" s="1" t="n">
        <v>46072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28081-2022</t>
        </is>
      </c>
      <c r="B607" s="1" t="n">
        <v>44746</v>
      </c>
      <c r="C607" s="1" t="n">
        <v>46072</v>
      </c>
      <c r="D607" t="inlineStr">
        <is>
          <t>JÄMTLANDS LÄN</t>
        </is>
      </c>
      <c r="E607" t="inlineStr">
        <is>
          <t>RAGUNDA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31463-2024</t>
        </is>
      </c>
      <c r="B608" s="1" t="n">
        <v>45505</v>
      </c>
      <c r="C608" s="1" t="n">
        <v>46072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20.3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46825-2025</t>
        </is>
      </c>
      <c r="B609" s="1" t="n">
        <v>45926.92506944444</v>
      </c>
      <c r="C609" s="1" t="n">
        <v>46072</v>
      </c>
      <c r="D609" t="inlineStr">
        <is>
          <t>JÄMTLANDS LÄN</t>
        </is>
      </c>
      <c r="E609" t="inlineStr">
        <is>
          <t>RAGUNDA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46710-2025</t>
        </is>
      </c>
      <c r="B610" s="1" t="n">
        <v>45926.57337962963</v>
      </c>
      <c r="C610" s="1" t="n">
        <v>46072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47075-2025</t>
        </is>
      </c>
      <c r="B611" s="1" t="n">
        <v>45929.63728009259</v>
      </c>
      <c r="C611" s="1" t="n">
        <v>46072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47119-2025</t>
        </is>
      </c>
      <c r="B612" s="1" t="n">
        <v>45929.67795138889</v>
      </c>
      <c r="C612" s="1" t="n">
        <v>46072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51049-2024</t>
        </is>
      </c>
      <c r="B613" s="1" t="n">
        <v>45603.44644675926</v>
      </c>
      <c r="C613" s="1" t="n">
        <v>46072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44759-2024</t>
        </is>
      </c>
      <c r="B614" s="1" t="n">
        <v>45574.61634259259</v>
      </c>
      <c r="C614" s="1" t="n">
        <v>46072</v>
      </c>
      <c r="D614" t="inlineStr">
        <is>
          <t>JÄMTLANDS LÄN</t>
        </is>
      </c>
      <c r="E614" t="inlineStr">
        <is>
          <t>RAGUNDA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37324-2022</t>
        </is>
      </c>
      <c r="B615" s="1" t="n">
        <v>44806</v>
      </c>
      <c r="C615" s="1" t="n">
        <v>46072</v>
      </c>
      <c r="D615" t="inlineStr">
        <is>
          <t>JÄMTLANDS LÄN</t>
        </is>
      </c>
      <c r="E615" t="inlineStr">
        <is>
          <t>RAGUNDA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46689-2025</t>
        </is>
      </c>
      <c r="B616" s="1" t="n">
        <v>45926.55307870371</v>
      </c>
      <c r="C616" s="1" t="n">
        <v>46072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30887-2025</t>
        </is>
      </c>
      <c r="B617" s="1" t="n">
        <v>45832.3459375</v>
      </c>
      <c r="C617" s="1" t="n">
        <v>46072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46909-2025</t>
        </is>
      </c>
      <c r="B618" s="1" t="n">
        <v>45929.40673611111</v>
      </c>
      <c r="C618" s="1" t="n">
        <v>46072</v>
      </c>
      <c r="D618" t="inlineStr">
        <is>
          <t>JÄMTLANDS LÄN</t>
        </is>
      </c>
      <c r="E618" t="inlineStr">
        <is>
          <t>RAGUNDA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30883-2025</t>
        </is>
      </c>
      <c r="B619" s="1" t="n">
        <v>45832.34552083333</v>
      </c>
      <c r="C619" s="1" t="n">
        <v>46072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41343-2024</t>
        </is>
      </c>
      <c r="B620" s="1" t="n">
        <v>45559.67745370371</v>
      </c>
      <c r="C620" s="1" t="n">
        <v>46072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25.1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47122-2025</t>
        </is>
      </c>
      <c r="B621" s="1" t="n">
        <v>45929.67878472222</v>
      </c>
      <c r="C621" s="1" t="n">
        <v>46072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31.1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46974-2025</t>
        </is>
      </c>
      <c r="B622" s="1" t="n">
        <v>45929.51104166666</v>
      </c>
      <c r="C622" s="1" t="n">
        <v>46072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45953-2023</t>
        </is>
      </c>
      <c r="B623" s="1" t="n">
        <v>45195.94672453704</v>
      </c>
      <c r="C623" s="1" t="n">
        <v>46072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16982-2024</t>
        </is>
      </c>
      <c r="B624" s="1" t="n">
        <v>45412.02506944445</v>
      </c>
      <c r="C624" s="1" t="n">
        <v>46072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46751-2025</t>
        </is>
      </c>
      <c r="B625" s="1" t="n">
        <v>45926.6153125</v>
      </c>
      <c r="C625" s="1" t="n">
        <v>46072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46753-2025</t>
        </is>
      </c>
      <c r="B626" s="1" t="n">
        <v>45926.61552083334</v>
      </c>
      <c r="C626" s="1" t="n">
        <v>46072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49650-2024</t>
        </is>
      </c>
      <c r="B627" s="1" t="n">
        <v>45596.61569444444</v>
      </c>
      <c r="C627" s="1" t="n">
        <v>46072</v>
      </c>
      <c r="D627" t="inlineStr">
        <is>
          <t>JÄMTLANDS LÄN</t>
        </is>
      </c>
      <c r="E627" t="inlineStr">
        <is>
          <t>RAGUNDA</t>
        </is>
      </c>
      <c r="F627" t="inlineStr">
        <is>
          <t>Naturvårdsverket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49651-2024</t>
        </is>
      </c>
      <c r="B628" s="1" t="n">
        <v>45596.61582175926</v>
      </c>
      <c r="C628" s="1" t="n">
        <v>46072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47037-2025</t>
        </is>
      </c>
      <c r="B629" s="1" t="n">
        <v>45929.59456018519</v>
      </c>
      <c r="C629" s="1" t="n">
        <v>46072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53109-2025</t>
        </is>
      </c>
      <c r="B630" s="1" t="n">
        <v>45958</v>
      </c>
      <c r="C630" s="1" t="n">
        <v>46072</v>
      </c>
      <c r="D630" t="inlineStr">
        <is>
          <t>JÄMTLANDS LÄN</t>
        </is>
      </c>
      <c r="E630" t="inlineStr">
        <is>
          <t>RAGUNDA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30880-2025</t>
        </is>
      </c>
      <c r="B631" s="1" t="n">
        <v>45832.34524305556</v>
      </c>
      <c r="C631" s="1" t="n">
        <v>46072</v>
      </c>
      <c r="D631" t="inlineStr">
        <is>
          <t>JÄMTLANDS LÄN</t>
        </is>
      </c>
      <c r="E631" t="inlineStr">
        <is>
          <t>RAGUNDA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19438-2023</t>
        </is>
      </c>
      <c r="B632" s="1" t="n">
        <v>45049</v>
      </c>
      <c r="C632" s="1" t="n">
        <v>46072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64264-2023</t>
        </is>
      </c>
      <c r="B633" s="1" t="n">
        <v>45279.94564814815</v>
      </c>
      <c r="C633" s="1" t="n">
        <v>46072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47749-2025</t>
        </is>
      </c>
      <c r="B634" s="1" t="n">
        <v>45931.65711805555</v>
      </c>
      <c r="C634" s="1" t="n">
        <v>46072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47228-2025</t>
        </is>
      </c>
      <c r="B635" s="1" t="n">
        <v>45930.3990162037</v>
      </c>
      <c r="C635" s="1" t="n">
        <v>46072</v>
      </c>
      <c r="D635" t="inlineStr">
        <is>
          <t>JÄMTLANDS LÄN</t>
        </is>
      </c>
      <c r="E635" t="inlineStr">
        <is>
          <t>RAGUNDA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47229-2025</t>
        </is>
      </c>
      <c r="B636" s="1" t="n">
        <v>45930.40166666666</v>
      </c>
      <c r="C636" s="1" t="n">
        <v>46072</v>
      </c>
      <c r="D636" t="inlineStr">
        <is>
          <t>JÄMTLANDS LÄN</t>
        </is>
      </c>
      <c r="E636" t="inlineStr">
        <is>
          <t>RAGUNDA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47748-2025</t>
        </is>
      </c>
      <c r="B637" s="1" t="n">
        <v>45931.65693287037</v>
      </c>
      <c r="C637" s="1" t="n">
        <v>46072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32096-2025</t>
        </is>
      </c>
      <c r="B638" s="1" t="n">
        <v>45835.46334490741</v>
      </c>
      <c r="C638" s="1" t="n">
        <v>46072</v>
      </c>
      <c r="D638" t="inlineStr">
        <is>
          <t>JÄMTLANDS LÄN</t>
        </is>
      </c>
      <c r="E638" t="inlineStr">
        <is>
          <t>RAGUNDA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32151-2025</t>
        </is>
      </c>
      <c r="B639" s="1" t="n">
        <v>45835.53166666667</v>
      </c>
      <c r="C639" s="1" t="n">
        <v>46072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21332-2025</t>
        </is>
      </c>
      <c r="B640" s="1" t="n">
        <v>45782.36506944444</v>
      </c>
      <c r="C640" s="1" t="n">
        <v>46072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32306-2025</t>
        </is>
      </c>
      <c r="B641" s="1" t="n">
        <v>45835.72046296296</v>
      </c>
      <c r="C641" s="1" t="n">
        <v>46072</v>
      </c>
      <c r="D641" t="inlineStr">
        <is>
          <t>JÄMTLANDS LÄN</t>
        </is>
      </c>
      <c r="E641" t="inlineStr">
        <is>
          <t>RAGUNDA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58918-2025</t>
        </is>
      </c>
      <c r="B642" s="1" t="n">
        <v>45987.52952546296</v>
      </c>
      <c r="C642" s="1" t="n">
        <v>46072</v>
      </c>
      <c r="D642" t="inlineStr">
        <is>
          <t>JÄMTLANDS LÄN</t>
        </is>
      </c>
      <c r="E642" t="inlineStr">
        <is>
          <t>RAGUNDA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42893-2022</t>
        </is>
      </c>
      <c r="B643" s="1" t="n">
        <v>44832</v>
      </c>
      <c r="C643" s="1" t="n">
        <v>46072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28.4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32021-2025</t>
        </is>
      </c>
      <c r="B644" s="1" t="n">
        <v>45835.40668981482</v>
      </c>
      <c r="C644" s="1" t="n">
        <v>46072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31882-2025</t>
        </is>
      </c>
      <c r="B645" s="1" t="n">
        <v>45834.65662037037</v>
      </c>
      <c r="C645" s="1" t="n">
        <v>46072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29940-2023</t>
        </is>
      </c>
      <c r="B646" s="1" t="n">
        <v>45107</v>
      </c>
      <c r="C646" s="1" t="n">
        <v>46072</v>
      </c>
      <c r="D646" t="inlineStr">
        <is>
          <t>JÄMTLANDS LÄN</t>
        </is>
      </c>
      <c r="E646" t="inlineStr">
        <is>
          <t>RAGUNDA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32796-2025</t>
        </is>
      </c>
      <c r="B647" s="1" t="n">
        <v>45839.49082175926</v>
      </c>
      <c r="C647" s="1" t="n">
        <v>46072</v>
      </c>
      <c r="D647" t="inlineStr">
        <is>
          <t>JÄMTLANDS LÄN</t>
        </is>
      </c>
      <c r="E647" t="inlineStr">
        <is>
          <t>RAGUNDA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32655-2025</t>
        </is>
      </c>
      <c r="B648" s="1" t="n">
        <v>45838.67800925926</v>
      </c>
      <c r="C648" s="1" t="n">
        <v>46072</v>
      </c>
      <c r="D648" t="inlineStr">
        <is>
          <t>JÄMTLANDS LÄN</t>
        </is>
      </c>
      <c r="E648" t="inlineStr">
        <is>
          <t>RAGUNDA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32751-2025</t>
        </is>
      </c>
      <c r="B649" s="1" t="n">
        <v>45839.42864583333</v>
      </c>
      <c r="C649" s="1" t="n">
        <v>46072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48748-2025</t>
        </is>
      </c>
      <c r="B650" s="1" t="n">
        <v>45936.67912037037</v>
      </c>
      <c r="C650" s="1" t="n">
        <v>46072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32777-2025</t>
        </is>
      </c>
      <c r="B651" s="1" t="n">
        <v>45839.46915509259</v>
      </c>
      <c r="C651" s="1" t="n">
        <v>46072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21.7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23303-2024</t>
        </is>
      </c>
      <c r="B652" s="1" t="n">
        <v>45453.4444212963</v>
      </c>
      <c r="C652" s="1" t="n">
        <v>46072</v>
      </c>
      <c r="D652" t="inlineStr">
        <is>
          <t>JÄMTLANDS LÄN</t>
        </is>
      </c>
      <c r="E652" t="inlineStr">
        <is>
          <t>RAGUNDA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179-2025</t>
        </is>
      </c>
      <c r="B653" s="1" t="n">
        <v>45659.69822916666</v>
      </c>
      <c r="C653" s="1" t="n">
        <v>46072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32430-2025</t>
        </is>
      </c>
      <c r="B654" s="1" t="n">
        <v>45838.36532407408</v>
      </c>
      <c r="C654" s="1" t="n">
        <v>46072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48528-2025</t>
        </is>
      </c>
      <c r="B655" s="1" t="n">
        <v>45936.40758101852</v>
      </c>
      <c r="C655" s="1" t="n">
        <v>46072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48742-2025</t>
        </is>
      </c>
      <c r="B656" s="1" t="n">
        <v>45936.67810185185</v>
      </c>
      <c r="C656" s="1" t="n">
        <v>46072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32747-2025</t>
        </is>
      </c>
      <c r="B657" s="1" t="n">
        <v>45839.42810185185</v>
      </c>
      <c r="C657" s="1" t="n">
        <v>46072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32757-2025</t>
        </is>
      </c>
      <c r="B658" s="1" t="n">
        <v>45838</v>
      </c>
      <c r="C658" s="1" t="n">
        <v>46072</v>
      </c>
      <c r="D658" t="inlineStr">
        <is>
          <t>JÄMTLANDS LÄN</t>
        </is>
      </c>
      <c r="E658" t="inlineStr">
        <is>
          <t>RAGUNDA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22412-2024</t>
        </is>
      </c>
      <c r="B659" s="1" t="n">
        <v>45446.68947916666</v>
      </c>
      <c r="C659" s="1" t="n">
        <v>46072</v>
      </c>
      <c r="D659" t="inlineStr">
        <is>
          <t>JÄMTLANDS LÄN</t>
        </is>
      </c>
      <c r="E659" t="inlineStr">
        <is>
          <t>RAGUNDA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32846-2025</t>
        </is>
      </c>
      <c r="B660" s="1" t="n">
        <v>45839.57331018519</v>
      </c>
      <c r="C660" s="1" t="n">
        <v>46072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48746-2025</t>
        </is>
      </c>
      <c r="B661" s="1" t="n">
        <v>45936.67878472222</v>
      </c>
      <c r="C661" s="1" t="n">
        <v>46072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13334-2024</t>
        </is>
      </c>
      <c r="B662" s="1" t="n">
        <v>45386</v>
      </c>
      <c r="C662" s="1" t="n">
        <v>46072</v>
      </c>
      <c r="D662" t="inlineStr">
        <is>
          <t>JÄMTLANDS LÄN</t>
        </is>
      </c>
      <c r="E662" t="inlineStr">
        <is>
          <t>RAGUNDA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32748-2025</t>
        </is>
      </c>
      <c r="B663" s="1" t="n">
        <v>45839.42822916667</v>
      </c>
      <c r="C663" s="1" t="n">
        <v>46072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60443-2023</t>
        </is>
      </c>
      <c r="B664" s="1" t="n">
        <v>45258</v>
      </c>
      <c r="C664" s="1" t="n">
        <v>46072</v>
      </c>
      <c r="D664" t="inlineStr">
        <is>
          <t>JÄMTLANDS LÄN</t>
        </is>
      </c>
      <c r="E664" t="inlineStr">
        <is>
          <t>RAGUNDA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32762-2025</t>
        </is>
      </c>
      <c r="B665" s="1" t="n">
        <v>45838</v>
      </c>
      <c r="C665" s="1" t="n">
        <v>46072</v>
      </c>
      <c r="D665" t="inlineStr">
        <is>
          <t>JÄMTLANDS LÄN</t>
        </is>
      </c>
      <c r="E665" t="inlineStr">
        <is>
          <t>RAGUNDA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32660-2025</t>
        </is>
      </c>
      <c r="B666" s="1" t="n">
        <v>45838.67887731481</v>
      </c>
      <c r="C666" s="1" t="n">
        <v>46072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21726-2023</t>
        </is>
      </c>
      <c r="B667" s="1" t="n">
        <v>45065.42894675926</v>
      </c>
      <c r="C667" s="1" t="n">
        <v>46072</v>
      </c>
      <c r="D667" t="inlineStr">
        <is>
          <t>JÄMTLANDS LÄN</t>
        </is>
      </c>
      <c r="E667" t="inlineStr">
        <is>
          <t>RAGUNDA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32527-2025</t>
        </is>
      </c>
      <c r="B668" s="1" t="n">
        <v>45838.48996527777</v>
      </c>
      <c r="C668" s="1" t="n">
        <v>46072</v>
      </c>
      <c r="D668" t="inlineStr">
        <is>
          <t>JÄMTLANDS LÄN</t>
        </is>
      </c>
      <c r="E668" t="inlineStr">
        <is>
          <t>RAGUNDA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45952-2023</t>
        </is>
      </c>
      <c r="B669" s="1" t="n">
        <v>45195</v>
      </c>
      <c r="C669" s="1" t="n">
        <v>46072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45954-2023</t>
        </is>
      </c>
      <c r="B670" s="1" t="n">
        <v>45195.94679398148</v>
      </c>
      <c r="C670" s="1" t="n">
        <v>46072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45955-2023</t>
        </is>
      </c>
      <c r="B671" s="1" t="n">
        <v>45195.94685185186</v>
      </c>
      <c r="C671" s="1" t="n">
        <v>46072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33140-2025</t>
        </is>
      </c>
      <c r="B672" s="1" t="n">
        <v>45840.52225694444</v>
      </c>
      <c r="C672" s="1" t="n">
        <v>46072</v>
      </c>
      <c r="D672" t="inlineStr">
        <is>
          <t>JÄMTLANDS LÄN</t>
        </is>
      </c>
      <c r="E672" t="inlineStr">
        <is>
          <t>RAGUNDA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60456-2023</t>
        </is>
      </c>
      <c r="B673" s="1" t="n">
        <v>45258</v>
      </c>
      <c r="C673" s="1" t="n">
        <v>46072</v>
      </c>
      <c r="D673" t="inlineStr">
        <is>
          <t>JÄMTLANDS LÄN</t>
        </is>
      </c>
      <c r="E673" t="inlineStr">
        <is>
          <t>RAGUNDA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16334-2025</t>
        </is>
      </c>
      <c r="B674" s="1" t="n">
        <v>45751.36490740741</v>
      </c>
      <c r="C674" s="1" t="n">
        <v>46072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49639-2025</t>
        </is>
      </c>
      <c r="B675" s="1" t="n">
        <v>45939.61253472222</v>
      </c>
      <c r="C675" s="1" t="n">
        <v>46072</v>
      </c>
      <c r="D675" t="inlineStr">
        <is>
          <t>JÄMTLANDS LÄN</t>
        </is>
      </c>
      <c r="E675" t="inlineStr">
        <is>
          <t>RAGUNDA</t>
        </is>
      </c>
      <c r="F675" t="inlineStr">
        <is>
          <t>Kommuner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58438-2022</t>
        </is>
      </c>
      <c r="B676" s="1" t="n">
        <v>44901</v>
      </c>
      <c r="C676" s="1" t="n">
        <v>46072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58442-2022</t>
        </is>
      </c>
      <c r="B677" s="1" t="n">
        <v>44901</v>
      </c>
      <c r="C677" s="1" t="n">
        <v>46072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33556-2025</t>
        </is>
      </c>
      <c r="B678" s="1" t="n">
        <v>45841.57427083333</v>
      </c>
      <c r="C678" s="1" t="n">
        <v>46072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5806-2025</t>
        </is>
      </c>
      <c r="B679" s="1" t="n">
        <v>45694.69826388889</v>
      </c>
      <c r="C679" s="1" t="n">
        <v>46072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49059-2025</t>
        </is>
      </c>
      <c r="B680" s="1" t="n">
        <v>45937.64123842592</v>
      </c>
      <c r="C680" s="1" t="n">
        <v>46072</v>
      </c>
      <c r="D680" t="inlineStr">
        <is>
          <t>JÄMTLANDS LÄN</t>
        </is>
      </c>
      <c r="E680" t="inlineStr">
        <is>
          <t>RAGUNDA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41179-2022</t>
        </is>
      </c>
      <c r="B681" s="1" t="n">
        <v>44825</v>
      </c>
      <c r="C681" s="1" t="n">
        <v>46072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49193-2025</t>
        </is>
      </c>
      <c r="B682" s="1" t="n">
        <v>45938.40831018519</v>
      </c>
      <c r="C682" s="1" t="n">
        <v>46072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28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58638-2025</t>
        </is>
      </c>
      <c r="B683" s="1" t="n">
        <v>45986.49016203704</v>
      </c>
      <c r="C683" s="1" t="n">
        <v>46072</v>
      </c>
      <c r="D683" t="inlineStr">
        <is>
          <t>JÄMTLANDS LÄN</t>
        </is>
      </c>
      <c r="E683" t="inlineStr">
        <is>
          <t>RAGUNDA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61598-2024</t>
        </is>
      </c>
      <c r="B684" s="1" t="n">
        <v>45646.63605324074</v>
      </c>
      <c r="C684" s="1" t="n">
        <v>46072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17667-2025</t>
        </is>
      </c>
      <c r="B685" s="1" t="n">
        <v>45758.36487268518</v>
      </c>
      <c r="C685" s="1" t="n">
        <v>46072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49238-2025</t>
        </is>
      </c>
      <c r="B686" s="1" t="n">
        <v>45938.48231481481</v>
      </c>
      <c r="C686" s="1" t="n">
        <v>46072</v>
      </c>
      <c r="D686" t="inlineStr">
        <is>
          <t>JÄMTLANDS LÄN</t>
        </is>
      </c>
      <c r="E686" t="inlineStr">
        <is>
          <t>RAGUNDA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49290-2025</t>
        </is>
      </c>
      <c r="B687" s="1" t="n">
        <v>45938.53168981482</v>
      </c>
      <c r="C687" s="1" t="n">
        <v>46072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49092-2025</t>
        </is>
      </c>
      <c r="B688" s="1" t="n">
        <v>45937.67792824074</v>
      </c>
      <c r="C688" s="1" t="n">
        <v>46072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34088-2025</t>
        </is>
      </c>
      <c r="B689" s="1" t="n">
        <v>45845</v>
      </c>
      <c r="C689" s="1" t="n">
        <v>46072</v>
      </c>
      <c r="D689" t="inlineStr">
        <is>
          <t>JÄMTLANDS LÄN</t>
        </is>
      </c>
      <c r="E689" t="inlineStr">
        <is>
          <t>RAGUNDA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50215-2025</t>
        </is>
      </c>
      <c r="B690" s="1" t="n">
        <v>45943.67842592593</v>
      </c>
      <c r="C690" s="1" t="n">
        <v>46072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12405-2025</t>
        </is>
      </c>
      <c r="B691" s="1" t="n">
        <v>45730.42738425926</v>
      </c>
      <c r="C691" s="1" t="n">
        <v>46072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49991-2025</t>
        </is>
      </c>
      <c r="B692" s="1" t="n">
        <v>45942.91568287037</v>
      </c>
      <c r="C692" s="1" t="n">
        <v>46072</v>
      </c>
      <c r="D692" t="inlineStr">
        <is>
          <t>JÄMTLANDS LÄN</t>
        </is>
      </c>
      <c r="E692" t="inlineStr">
        <is>
          <t>RAGUNDA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49993-2025</t>
        </is>
      </c>
      <c r="B693" s="1" t="n">
        <v>45942.94371527778</v>
      </c>
      <c r="C693" s="1" t="n">
        <v>46072</v>
      </c>
      <c r="D693" t="inlineStr">
        <is>
          <t>JÄMTLANDS LÄN</t>
        </is>
      </c>
      <c r="E693" t="inlineStr">
        <is>
          <t>RAGUNDA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36986-2023</t>
        </is>
      </c>
      <c r="B694" s="1" t="n">
        <v>45154.95525462963</v>
      </c>
      <c r="C694" s="1" t="n">
        <v>46072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49994-2025</t>
        </is>
      </c>
      <c r="B695" s="1" t="n">
        <v>45942.96922453704</v>
      </c>
      <c r="C695" s="1" t="n">
        <v>46072</v>
      </c>
      <c r="D695" t="inlineStr">
        <is>
          <t>JÄMTLANDS LÄN</t>
        </is>
      </c>
      <c r="E695" t="inlineStr">
        <is>
          <t>RAGUNDA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49995-2025</t>
        </is>
      </c>
      <c r="B696" s="1" t="n">
        <v>45943.00986111111</v>
      </c>
      <c r="C696" s="1" t="n">
        <v>46072</v>
      </c>
      <c r="D696" t="inlineStr">
        <is>
          <t>JÄMTLANDS LÄN</t>
        </is>
      </c>
      <c r="E696" t="inlineStr">
        <is>
          <t>RAGUNDA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50126-2025</t>
        </is>
      </c>
      <c r="B697" s="1" t="n">
        <v>45943.55271990741</v>
      </c>
      <c r="C697" s="1" t="n">
        <v>46072</v>
      </c>
      <c r="D697" t="inlineStr">
        <is>
          <t>JÄMTLANDS LÄN</t>
        </is>
      </c>
      <c r="E697" t="inlineStr">
        <is>
          <t>RAGUNDA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50098-2025</t>
        </is>
      </c>
      <c r="B698" s="1" t="n">
        <v>45943.51086805556</v>
      </c>
      <c r="C698" s="1" t="n">
        <v>46072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33790-2025</t>
        </is>
      </c>
      <c r="B699" s="1" t="n">
        <v>45842.42608796297</v>
      </c>
      <c r="C699" s="1" t="n">
        <v>46072</v>
      </c>
      <c r="D699" t="inlineStr">
        <is>
          <t>JÄMTLANDS LÄN</t>
        </is>
      </c>
      <c r="E699" t="inlineStr">
        <is>
          <t>RAGUNDA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50125-2025</t>
        </is>
      </c>
      <c r="B700" s="1" t="n">
        <v>45943.55262731481</v>
      </c>
      <c r="C700" s="1" t="n">
        <v>46072</v>
      </c>
      <c r="D700" t="inlineStr">
        <is>
          <t>JÄMTLANDS LÄN</t>
        </is>
      </c>
      <c r="E700" t="inlineStr">
        <is>
          <t>RAGUNDA</t>
        </is>
      </c>
      <c r="F700" t="inlineStr">
        <is>
          <t>Sveaskog</t>
        </is>
      </c>
      <c r="G700" t="n">
        <v>23.2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50081-2025</t>
        </is>
      </c>
      <c r="B701" s="1" t="n">
        <v>45943.46954861111</v>
      </c>
      <c r="C701" s="1" t="n">
        <v>46072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50055-2025</t>
        </is>
      </c>
      <c r="B702" s="1" t="n">
        <v>45943.43287037037</v>
      </c>
      <c r="C702" s="1" t="n">
        <v>46072</v>
      </c>
      <c r="D702" t="inlineStr">
        <is>
          <t>JÄMTLANDS LÄN</t>
        </is>
      </c>
      <c r="E702" t="inlineStr">
        <is>
          <t>RAGUNDA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50080-2025</t>
        </is>
      </c>
      <c r="B703" s="1" t="n">
        <v>45943.469375</v>
      </c>
      <c r="C703" s="1" t="n">
        <v>46072</v>
      </c>
      <c r="D703" t="inlineStr">
        <is>
          <t>JÄMTLANDS LÄN</t>
        </is>
      </c>
      <c r="E703" t="inlineStr">
        <is>
          <t>RAGUNDA</t>
        </is>
      </c>
      <c r="F703" t="inlineStr">
        <is>
          <t>Naturvårdsverket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34607-2025</t>
        </is>
      </c>
      <c r="B704" s="1" t="n">
        <v>45847.65703703704</v>
      </c>
      <c r="C704" s="1" t="n">
        <v>46072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31.4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34461-2025</t>
        </is>
      </c>
      <c r="B705" s="1" t="n">
        <v>45847.34474537037</v>
      </c>
      <c r="C705" s="1" t="n">
        <v>46072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44.8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34464-2025</t>
        </is>
      </c>
      <c r="B706" s="1" t="n">
        <v>45847.34528935186</v>
      </c>
      <c r="C706" s="1" t="n">
        <v>46072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50260-2025</t>
        </is>
      </c>
      <c r="B707" s="1" t="n">
        <v>45944.34515046296</v>
      </c>
      <c r="C707" s="1" t="n">
        <v>46072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34468-2025</t>
        </is>
      </c>
      <c r="B708" s="1" t="n">
        <v>45847.34597222223</v>
      </c>
      <c r="C708" s="1" t="n">
        <v>46072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34466-2025</t>
        </is>
      </c>
      <c r="B709" s="1" t="n">
        <v>45847.34565972222</v>
      </c>
      <c r="C709" s="1" t="n">
        <v>46072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34463-2025</t>
        </is>
      </c>
      <c r="B710" s="1" t="n">
        <v>45847.34515046296</v>
      </c>
      <c r="C710" s="1" t="n">
        <v>46072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50473-2025</t>
        </is>
      </c>
      <c r="B711" s="1" t="n">
        <v>45945.36520833334</v>
      </c>
      <c r="C711" s="1" t="n">
        <v>46072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58559-2025</t>
        </is>
      </c>
      <c r="B712" s="1" t="n">
        <v>45986.34475694445</v>
      </c>
      <c r="C712" s="1" t="n">
        <v>46072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34586-2025</t>
        </is>
      </c>
      <c r="B713" s="1" t="n">
        <v>45847.61513888889</v>
      </c>
      <c r="C713" s="1" t="n">
        <v>46072</v>
      </c>
      <c r="D713" t="inlineStr">
        <is>
          <t>JÄMTLANDS LÄN</t>
        </is>
      </c>
      <c r="E713" t="inlineStr">
        <is>
          <t>RAGUNDA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34588-2025</t>
        </is>
      </c>
      <c r="B714" s="1" t="n">
        <v>45847.61548611111</v>
      </c>
      <c r="C714" s="1" t="n">
        <v>46072</v>
      </c>
      <c r="D714" t="inlineStr">
        <is>
          <t>JÄMTLANDS LÄN</t>
        </is>
      </c>
      <c r="E714" t="inlineStr">
        <is>
          <t>RAGUNDA</t>
        </is>
      </c>
      <c r="G714" t="n">
        <v>32.3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34296-2025</t>
        </is>
      </c>
      <c r="B715" s="1" t="n">
        <v>45846.34454861111</v>
      </c>
      <c r="C715" s="1" t="n">
        <v>46072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2224-2024</t>
        </is>
      </c>
      <c r="B716" s="1" t="n">
        <v>45309.92524305556</v>
      </c>
      <c r="C716" s="1" t="n">
        <v>46072</v>
      </c>
      <c r="D716" t="inlineStr">
        <is>
          <t>JÄMTLANDS LÄN</t>
        </is>
      </c>
      <c r="E716" t="inlineStr">
        <is>
          <t>RAGUNDA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1523-2024</t>
        </is>
      </c>
      <c r="B717" s="1" t="n">
        <v>45306</v>
      </c>
      <c r="C717" s="1" t="n">
        <v>46072</v>
      </c>
      <c r="D717" t="inlineStr">
        <is>
          <t>JÄMTLANDS LÄN</t>
        </is>
      </c>
      <c r="E717" t="inlineStr">
        <is>
          <t>RAGUNDA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50504-2025</t>
        </is>
      </c>
      <c r="B718" s="1" t="n">
        <v>45945.4284837963</v>
      </c>
      <c r="C718" s="1" t="n">
        <v>46072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34709-2025</t>
        </is>
      </c>
      <c r="B719" s="1" t="n">
        <v>45848.49761574074</v>
      </c>
      <c r="C719" s="1" t="n">
        <v>46072</v>
      </c>
      <c r="D719" t="inlineStr">
        <is>
          <t>JÄMTLANDS LÄN</t>
        </is>
      </c>
      <c r="E719" t="inlineStr">
        <is>
          <t>RAGUNDA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34772-2025</t>
        </is>
      </c>
      <c r="B720" s="1" t="n">
        <v>45848.65658564815</v>
      </c>
      <c r="C720" s="1" t="n">
        <v>46072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50503-2025</t>
        </is>
      </c>
      <c r="B721" s="1" t="n">
        <v>45945.42746527777</v>
      </c>
      <c r="C721" s="1" t="n">
        <v>46072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34710-2025</t>
        </is>
      </c>
      <c r="B722" s="1" t="n">
        <v>45848.49774305556</v>
      </c>
      <c r="C722" s="1" t="n">
        <v>46072</v>
      </c>
      <c r="D722" t="inlineStr">
        <is>
          <t>JÄMTLANDS LÄN</t>
        </is>
      </c>
      <c r="E722" t="inlineStr">
        <is>
          <t>RAGUNDA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58630-2024</t>
        </is>
      </c>
      <c r="B723" s="1" t="n">
        <v>45635.57331018519</v>
      </c>
      <c r="C723" s="1" t="n">
        <v>46072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46549-2023</t>
        </is>
      </c>
      <c r="B724" s="1" t="n">
        <v>45197.94171296297</v>
      </c>
      <c r="C724" s="1" t="n">
        <v>46072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50711-2025</t>
        </is>
      </c>
      <c r="B725" s="1" t="n">
        <v>45946.34431712963</v>
      </c>
      <c r="C725" s="1" t="n">
        <v>46072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50716-2025</t>
        </is>
      </c>
      <c r="B726" s="1" t="n">
        <v>45946.34572916666</v>
      </c>
      <c r="C726" s="1" t="n">
        <v>46072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34968-2025</t>
        </is>
      </c>
      <c r="B727" s="1" t="n">
        <v>45849.65663194445</v>
      </c>
      <c r="C727" s="1" t="n">
        <v>46072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50719-2025</t>
        </is>
      </c>
      <c r="B728" s="1" t="n">
        <v>45946.34642361111</v>
      </c>
      <c r="C728" s="1" t="n">
        <v>46072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34998-2025</t>
        </is>
      </c>
      <c r="B729" s="1" t="n">
        <v>45850.34434027778</v>
      </c>
      <c r="C729" s="1" t="n">
        <v>46072</v>
      </c>
      <c r="D729" t="inlineStr">
        <is>
          <t>JÄMTLANDS LÄN</t>
        </is>
      </c>
      <c r="E729" t="inlineStr">
        <is>
          <t>RAGUNDA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32258-2024</t>
        </is>
      </c>
      <c r="B730" s="1" t="n">
        <v>45511</v>
      </c>
      <c r="C730" s="1" t="n">
        <v>46072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38270-2021</t>
        </is>
      </c>
      <c r="B731" s="1" t="n">
        <v>44405.92065972222</v>
      </c>
      <c r="C731" s="1" t="n">
        <v>46072</v>
      </c>
      <c r="D731" t="inlineStr">
        <is>
          <t>JÄMTLANDS LÄN</t>
        </is>
      </c>
      <c r="E731" t="inlineStr">
        <is>
          <t>RAGUNDA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34999-2025</t>
        </is>
      </c>
      <c r="B732" s="1" t="n">
        <v>45850.34450231482</v>
      </c>
      <c r="C732" s="1" t="n">
        <v>46072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29257-2024</t>
        </is>
      </c>
      <c r="B733" s="1" t="n">
        <v>45482.94815972223</v>
      </c>
      <c r="C733" s="1" t="n">
        <v>46072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27373-2023</t>
        </is>
      </c>
      <c r="B734" s="1" t="n">
        <v>45096.93866898148</v>
      </c>
      <c r="C734" s="1" t="n">
        <v>46072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51019-2025</t>
        </is>
      </c>
      <c r="B735" s="1" t="n">
        <v>45947.38623842593</v>
      </c>
      <c r="C735" s="1" t="n">
        <v>46072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35092-2025</t>
        </is>
      </c>
      <c r="B736" s="1" t="n">
        <v>45852.53185185185</v>
      </c>
      <c r="C736" s="1" t="n">
        <v>46072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62115-2024</t>
        </is>
      </c>
      <c r="B737" s="1" t="n">
        <v>45656</v>
      </c>
      <c r="C737" s="1" t="n">
        <v>46072</v>
      </c>
      <c r="D737" t="inlineStr">
        <is>
          <t>JÄMTLANDS LÄN</t>
        </is>
      </c>
      <c r="E737" t="inlineStr">
        <is>
          <t>RAGUNDA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12653-2024</t>
        </is>
      </c>
      <c r="B738" s="1" t="n">
        <v>45384</v>
      </c>
      <c r="C738" s="1" t="n">
        <v>46072</v>
      </c>
      <c r="D738" t="inlineStr">
        <is>
          <t>JÄMTLANDS LÄN</t>
        </is>
      </c>
      <c r="E738" t="inlineStr">
        <is>
          <t>RAGUNDA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50211-2023</t>
        </is>
      </c>
      <c r="B739" s="1" t="n">
        <v>45215.94657407407</v>
      </c>
      <c r="C739" s="1" t="n">
        <v>46072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35091-2025</t>
        </is>
      </c>
      <c r="B740" s="1" t="n">
        <v>45852.53168981482</v>
      </c>
      <c r="C740" s="1" t="n">
        <v>46072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50985-2025</t>
        </is>
      </c>
      <c r="B741" s="1" t="n">
        <v>45947.34506944445</v>
      </c>
      <c r="C741" s="1" t="n">
        <v>46072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51034-2025</t>
        </is>
      </c>
      <c r="B742" s="1" t="n">
        <v>45947.40670138889</v>
      </c>
      <c r="C742" s="1" t="n">
        <v>46072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51592-2025</t>
        </is>
      </c>
      <c r="B743" s="1" t="n">
        <v>45951.36541666667</v>
      </c>
      <c r="C743" s="1" t="n">
        <v>46072</v>
      </c>
      <c r="D743" t="inlineStr">
        <is>
          <t>JÄMTLANDS LÄN</t>
        </is>
      </c>
      <c r="E743" t="inlineStr">
        <is>
          <t>RAGUNDA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51395-2025</t>
        </is>
      </c>
      <c r="B744" s="1" t="n">
        <v>45950.46989583333</v>
      </c>
      <c r="C744" s="1" t="n">
        <v>46072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30.7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9232-2025</t>
        </is>
      </c>
      <c r="B745" s="1" t="n">
        <v>45714.55064814815</v>
      </c>
      <c r="C745" s="1" t="n">
        <v>46072</v>
      </c>
      <c r="D745" t="inlineStr">
        <is>
          <t>JÄMTLANDS LÄN</t>
        </is>
      </c>
      <c r="E745" t="inlineStr">
        <is>
          <t>RAGUNDA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51678-2025</t>
        </is>
      </c>
      <c r="B746" s="1" t="n">
        <v>45951.51106481482</v>
      </c>
      <c r="C746" s="1" t="n">
        <v>46072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35462-2025</t>
        </is>
      </c>
      <c r="B747" s="1" t="n">
        <v>45855.61523148148</v>
      </c>
      <c r="C747" s="1" t="n">
        <v>46072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29775-2023</t>
        </is>
      </c>
      <c r="B748" s="1" t="n">
        <v>45098</v>
      </c>
      <c r="C748" s="1" t="n">
        <v>46072</v>
      </c>
      <c r="D748" t="inlineStr">
        <is>
          <t>JÄMTLANDS LÄN</t>
        </is>
      </c>
      <c r="E748" t="inlineStr">
        <is>
          <t>RAGUNDA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35355-2025</t>
        </is>
      </c>
      <c r="B749" s="1" t="n">
        <v>45854.65663194445</v>
      </c>
      <c r="C749" s="1" t="n">
        <v>46072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35477-2025</t>
        </is>
      </c>
      <c r="B750" s="1" t="n">
        <v>45855.67899305555</v>
      </c>
      <c r="C750" s="1" t="n">
        <v>46072</v>
      </c>
      <c r="D750" t="inlineStr">
        <is>
          <t>JÄMTLANDS LÄN</t>
        </is>
      </c>
      <c r="E750" t="inlineStr">
        <is>
          <t>RAGUNDA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51593-2025</t>
        </is>
      </c>
      <c r="B751" s="1" t="n">
        <v>45951.36548611111</v>
      </c>
      <c r="C751" s="1" t="n">
        <v>46072</v>
      </c>
      <c r="D751" t="inlineStr">
        <is>
          <t>JÄMTLANDS LÄN</t>
        </is>
      </c>
      <c r="E751" t="inlineStr">
        <is>
          <t>RAGUNDA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44494-2024</t>
        </is>
      </c>
      <c r="B752" s="1" t="n">
        <v>45574.39081018518</v>
      </c>
      <c r="C752" s="1" t="n">
        <v>46072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51484-2025</t>
        </is>
      </c>
      <c r="B753" s="1" t="n">
        <v>45950.62196759259</v>
      </c>
      <c r="C753" s="1" t="n">
        <v>46072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35541-2025</t>
        </is>
      </c>
      <c r="B754" s="1" t="n">
        <v>45856.46931712963</v>
      </c>
      <c r="C754" s="1" t="n">
        <v>46072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51491-2025</t>
        </is>
      </c>
      <c r="B755" s="1" t="n">
        <v>45950.63362268519</v>
      </c>
      <c r="C755" s="1" t="n">
        <v>46072</v>
      </c>
      <c r="D755" t="inlineStr">
        <is>
          <t>JÄMTLANDS LÄN</t>
        </is>
      </c>
      <c r="E755" t="inlineStr">
        <is>
          <t>RAGUNDA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13898-2023</t>
        </is>
      </c>
      <c r="B756" s="1" t="n">
        <v>45008.01408564814</v>
      </c>
      <c r="C756" s="1" t="n">
        <v>46072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51791-2025</t>
        </is>
      </c>
      <c r="B757" s="1" t="n">
        <v>45951.69833333333</v>
      </c>
      <c r="C757" s="1" t="n">
        <v>46072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43.3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35658-2025</t>
        </is>
      </c>
      <c r="B758" s="1" t="n">
        <v>45859.594375</v>
      </c>
      <c r="C758" s="1" t="n">
        <v>46072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51702-2025</t>
        </is>
      </c>
      <c r="B759" s="1" t="n">
        <v>45951.55305555555</v>
      </c>
      <c r="C759" s="1" t="n">
        <v>46072</v>
      </c>
      <c r="D759" t="inlineStr">
        <is>
          <t>JÄMTLANDS LÄN</t>
        </is>
      </c>
      <c r="E759" t="inlineStr">
        <is>
          <t>RAGUNDA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51394-2025</t>
        </is>
      </c>
      <c r="B760" s="1" t="n">
        <v>45950.46972222222</v>
      </c>
      <c r="C760" s="1" t="n">
        <v>46072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36.5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52317-2025</t>
        </is>
      </c>
      <c r="B761" s="1" t="n">
        <v>45953.65675925926</v>
      </c>
      <c r="C761" s="1" t="n">
        <v>46072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27.2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52122-2025</t>
        </is>
      </c>
      <c r="B762" s="1" t="n">
        <v>45952.71946759259</v>
      </c>
      <c r="C762" s="1" t="n">
        <v>46072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35689-2025</t>
        </is>
      </c>
      <c r="B763" s="1" t="n">
        <v>45860.30229166667</v>
      </c>
      <c r="C763" s="1" t="n">
        <v>46072</v>
      </c>
      <c r="D763" t="inlineStr">
        <is>
          <t>JÄMTLANDS LÄN</t>
        </is>
      </c>
      <c r="E763" t="inlineStr">
        <is>
          <t>RAGUNDA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59214-2025</t>
        </is>
      </c>
      <c r="B764" s="1" t="n">
        <v>45988.61623842592</v>
      </c>
      <c r="C764" s="1" t="n">
        <v>46072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52330-2025</t>
        </is>
      </c>
      <c r="B765" s="1" t="n">
        <v>45953.67752314815</v>
      </c>
      <c r="C765" s="1" t="n">
        <v>46072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10.1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52093-2025</t>
        </is>
      </c>
      <c r="B766" s="1" t="n">
        <v>45952.67865740741</v>
      </c>
      <c r="C766" s="1" t="n">
        <v>46072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22.7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26026-2024</t>
        </is>
      </c>
      <c r="B767" s="1" t="n">
        <v>45467.96207175926</v>
      </c>
      <c r="C767" s="1" t="n">
        <v>46072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51882-2025</t>
        </is>
      </c>
      <c r="B768" s="1" t="n">
        <v>45952.40685185185</v>
      </c>
      <c r="C768" s="1" t="n">
        <v>46072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51903-2025</t>
        </is>
      </c>
      <c r="B769" s="1" t="n">
        <v>45952.44857638889</v>
      </c>
      <c r="C769" s="1" t="n">
        <v>46072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20.8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51932-2025</t>
        </is>
      </c>
      <c r="B770" s="1" t="n">
        <v>45952.51094907407</v>
      </c>
      <c r="C770" s="1" t="n">
        <v>46072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39.2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51906-2025</t>
        </is>
      </c>
      <c r="B771" s="1" t="n">
        <v>45952.4615162037</v>
      </c>
      <c r="C771" s="1" t="n">
        <v>46072</v>
      </c>
      <c r="D771" t="inlineStr">
        <is>
          <t>JÄMTLANDS LÄN</t>
        </is>
      </c>
      <c r="E771" t="inlineStr">
        <is>
          <t>RAGUNDA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5429-2024</t>
        </is>
      </c>
      <c r="B772" s="1" t="n">
        <v>45331.92746527777</v>
      </c>
      <c r="C772" s="1" t="n">
        <v>46072</v>
      </c>
      <c r="D772" t="inlineStr">
        <is>
          <t>JÄMTLANDS LÄN</t>
        </is>
      </c>
      <c r="E772" t="inlineStr">
        <is>
          <t>RAGUNDA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52972-2025</t>
        </is>
      </c>
      <c r="B773" s="1" t="n">
        <v>45957.67783564814</v>
      </c>
      <c r="C773" s="1" t="n">
        <v>46072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53.4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54092-2024</t>
        </is>
      </c>
      <c r="B774" s="1" t="n">
        <v>45616.5108912037</v>
      </c>
      <c r="C774" s="1" t="n">
        <v>46072</v>
      </c>
      <c r="D774" t="inlineStr">
        <is>
          <t>JÄMTLANDS LÄN</t>
        </is>
      </c>
      <c r="E774" t="inlineStr">
        <is>
          <t>RAGUNDA</t>
        </is>
      </c>
      <c r="F774" t="inlineStr">
        <is>
          <t>Naturvårdsverket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59499-2025</t>
        </is>
      </c>
      <c r="B775" s="1" t="n">
        <v>45989.61846064815</v>
      </c>
      <c r="C775" s="1" t="n">
        <v>46072</v>
      </c>
      <c r="D775" t="inlineStr">
        <is>
          <t>JÄMTLANDS LÄN</t>
        </is>
      </c>
      <c r="E775" t="inlineStr">
        <is>
          <t>RAGUNDA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52430-2025</t>
        </is>
      </c>
      <c r="B776" s="1" t="n">
        <v>45954.38592592593</v>
      </c>
      <c r="C776" s="1" t="n">
        <v>46072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18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3720-2025</t>
        </is>
      </c>
      <c r="B777" s="1" t="n">
        <v>45681.5315625</v>
      </c>
      <c r="C777" s="1" t="n">
        <v>46072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3770-2025</t>
        </is>
      </c>
      <c r="B778" s="1" t="n">
        <v>45681.6050925926</v>
      </c>
      <c r="C778" s="1" t="n">
        <v>46072</v>
      </c>
      <c r="D778" t="inlineStr">
        <is>
          <t>JÄMTLANDS LÄN</t>
        </is>
      </c>
      <c r="E778" t="inlineStr">
        <is>
          <t>RAGUNDA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52875-2025</t>
        </is>
      </c>
      <c r="B779" s="1" t="n">
        <v>45957.53211805555</v>
      </c>
      <c r="C779" s="1" t="n">
        <v>46072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34.3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51579-2024</t>
        </is>
      </c>
      <c r="B780" s="1" t="n">
        <v>45604.63575231482</v>
      </c>
      <c r="C780" s="1" t="n">
        <v>46072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8775-2025</t>
        </is>
      </c>
      <c r="B781" s="1" t="n">
        <v>45712.61502314815</v>
      </c>
      <c r="C781" s="1" t="n">
        <v>46072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36541-2025</t>
        </is>
      </c>
      <c r="B782" s="1" t="n">
        <v>45869.65666666667</v>
      </c>
      <c r="C782" s="1" t="n">
        <v>46072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36544-2025</t>
        </is>
      </c>
      <c r="B783" s="1" t="n">
        <v>45869.67744212963</v>
      </c>
      <c r="C783" s="1" t="n">
        <v>46072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52394-2025</t>
        </is>
      </c>
      <c r="B784" s="1" t="n">
        <v>45954.34466435185</v>
      </c>
      <c r="C784" s="1" t="n">
        <v>46072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53.8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52395-2025</t>
        </is>
      </c>
      <c r="B785" s="1" t="n">
        <v>45954.34487268519</v>
      </c>
      <c r="C785" s="1" t="n">
        <v>46072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53211-2025</t>
        </is>
      </c>
      <c r="B786" s="1" t="n">
        <v>45958.59490740741</v>
      </c>
      <c r="C786" s="1" t="n">
        <v>46072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53032-2025</t>
        </is>
      </c>
      <c r="B787" s="1" t="n">
        <v>45958.34462962963</v>
      </c>
      <c r="C787" s="1" t="n">
        <v>46072</v>
      </c>
      <c r="D787" t="inlineStr">
        <is>
          <t>JÄMTLANDS LÄN</t>
        </is>
      </c>
      <c r="E787" t="inlineStr">
        <is>
          <t>RAGUNDA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2339-2025</t>
        </is>
      </c>
      <c r="B788" s="1" t="n">
        <v>45673.66358796296</v>
      </c>
      <c r="C788" s="1" t="n">
        <v>46072</v>
      </c>
      <c r="D788" t="inlineStr">
        <is>
          <t>JÄMTLANDS LÄN</t>
        </is>
      </c>
      <c r="E788" t="inlineStr">
        <is>
          <t>RAGUNDA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53075-2025</t>
        </is>
      </c>
      <c r="B789" s="1" t="n">
        <v>45958.38584490741</v>
      </c>
      <c r="C789" s="1" t="n">
        <v>46072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28.9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36553-2025</t>
        </is>
      </c>
      <c r="B790" s="1" t="n">
        <v>45870.34439814815</v>
      </c>
      <c r="C790" s="1" t="n">
        <v>46072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27499-2024</t>
        </is>
      </c>
      <c r="B791" s="1" t="n">
        <v>45474.50608796296</v>
      </c>
      <c r="C791" s="1" t="n">
        <v>46072</v>
      </c>
      <c r="D791" t="inlineStr">
        <is>
          <t>JÄMTLANDS LÄN</t>
        </is>
      </c>
      <c r="E791" t="inlineStr">
        <is>
          <t>RAGUNDA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57078-2023</t>
        </is>
      </c>
      <c r="B792" s="1" t="n">
        <v>45244.96774305555</v>
      </c>
      <c r="C792" s="1" t="n">
        <v>46072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59368-2022</t>
        </is>
      </c>
      <c r="B793" s="1" t="n">
        <v>44904.94824074074</v>
      </c>
      <c r="C793" s="1" t="n">
        <v>46072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52578-2025</t>
        </is>
      </c>
      <c r="B794" s="1" t="n">
        <v>45954.61508101852</v>
      </c>
      <c r="C794" s="1" t="n">
        <v>46072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6801-2023</t>
        </is>
      </c>
      <c r="B795" s="1" t="n">
        <v>44966.95328703704</v>
      </c>
      <c r="C795" s="1" t="n">
        <v>46072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53076-2025</t>
        </is>
      </c>
      <c r="B796" s="1" t="n">
        <v>45958.38604166666</v>
      </c>
      <c r="C796" s="1" t="n">
        <v>46072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41656-2023</t>
        </is>
      </c>
      <c r="B797" s="1" t="n">
        <v>45175</v>
      </c>
      <c r="C797" s="1" t="n">
        <v>46072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25304-2023</t>
        </is>
      </c>
      <c r="B798" s="1" t="n">
        <v>45086</v>
      </c>
      <c r="C798" s="1" t="n">
        <v>46072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53986-2025</t>
        </is>
      </c>
      <c r="B799" s="1" t="n">
        <v>45961.57381944444</v>
      </c>
      <c r="C799" s="1" t="n">
        <v>46072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51646-2023</t>
        </is>
      </c>
      <c r="B800" s="1" t="n">
        <v>45215</v>
      </c>
      <c r="C800" s="1" t="n">
        <v>46072</v>
      </c>
      <c r="D800" t="inlineStr">
        <is>
          <t>JÄMTLANDS LÄN</t>
        </is>
      </c>
      <c r="E800" t="inlineStr">
        <is>
          <t>RAGUNDA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37268-2024</t>
        </is>
      </c>
      <c r="B801" s="1" t="n">
        <v>45540.38586805556</v>
      </c>
      <c r="C801" s="1" t="n">
        <v>46072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53973-2025</t>
        </is>
      </c>
      <c r="B802" s="1" t="n">
        <v>45961.55246527777</v>
      </c>
      <c r="C802" s="1" t="n">
        <v>46072</v>
      </c>
      <c r="D802" t="inlineStr">
        <is>
          <t>JÄMTLANDS LÄN</t>
        </is>
      </c>
      <c r="E802" t="inlineStr">
        <is>
          <t>RAGUNDA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53549-2025</t>
        </is>
      </c>
      <c r="B803" s="1" t="n">
        <v>45960.38576388889</v>
      </c>
      <c r="C803" s="1" t="n">
        <v>46072</v>
      </c>
      <c r="D803" t="inlineStr">
        <is>
          <t>JÄMTLANDS LÄN</t>
        </is>
      </c>
      <c r="E803" t="inlineStr">
        <is>
          <t>RAGUNDA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53975-2025</t>
        </is>
      </c>
      <c r="B804" s="1" t="n">
        <v>45961.55277777778</v>
      </c>
      <c r="C804" s="1" t="n">
        <v>46072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21.9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53726-2025</t>
        </is>
      </c>
      <c r="B805" s="1" t="n">
        <v>45960.63597222222</v>
      </c>
      <c r="C805" s="1" t="n">
        <v>46072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32075-2025</t>
        </is>
      </c>
      <c r="B806" s="1" t="n">
        <v>45835.4506712963</v>
      </c>
      <c r="C806" s="1" t="n">
        <v>46072</v>
      </c>
      <c r="D806" t="inlineStr">
        <is>
          <t>JÄMTLANDS LÄN</t>
        </is>
      </c>
      <c r="E806" t="inlineStr">
        <is>
          <t>RAGUNDA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53748-2025</t>
        </is>
      </c>
      <c r="B807" s="1" t="n">
        <v>45960.65673611111</v>
      </c>
      <c r="C807" s="1" t="n">
        <v>46072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14512-2025</t>
        </is>
      </c>
      <c r="B808" s="1" t="n">
        <v>45741.63659722222</v>
      </c>
      <c r="C808" s="1" t="n">
        <v>46072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50649-2022</t>
        </is>
      </c>
      <c r="B809" s="1" t="n">
        <v>44866</v>
      </c>
      <c r="C809" s="1" t="n">
        <v>46072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32874-2025</t>
        </is>
      </c>
      <c r="B810" s="1" t="n">
        <v>45839</v>
      </c>
      <c r="C810" s="1" t="n">
        <v>46072</v>
      </c>
      <c r="D810" t="inlineStr">
        <is>
          <t>JÄMTLANDS LÄN</t>
        </is>
      </c>
      <c r="E810" t="inlineStr">
        <is>
          <t>RAGUNDA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36994-2025</t>
        </is>
      </c>
      <c r="B811" s="1" t="n">
        <v>45874.67746527777</v>
      </c>
      <c r="C811" s="1" t="n">
        <v>46072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53765-2025</t>
        </is>
      </c>
      <c r="B812" s="1" t="n">
        <v>45960.67753472222</v>
      </c>
      <c r="C812" s="1" t="n">
        <v>46072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59759-2024</t>
        </is>
      </c>
      <c r="B813" s="1" t="n">
        <v>45639.55240740741</v>
      </c>
      <c r="C813" s="1" t="n">
        <v>46072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53951-2025</t>
        </is>
      </c>
      <c r="B814" s="1" t="n">
        <v>45961.50200231482</v>
      </c>
      <c r="C814" s="1" t="n">
        <v>46072</v>
      </c>
      <c r="D814" t="inlineStr">
        <is>
          <t>JÄMTLANDS LÄN</t>
        </is>
      </c>
      <c r="E814" t="inlineStr">
        <is>
          <t>RAGUNDA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35537-2021</t>
        </is>
      </c>
      <c r="B815" s="1" t="n">
        <v>44384</v>
      </c>
      <c r="C815" s="1" t="n">
        <v>46072</v>
      </c>
      <c r="D815" t="inlineStr">
        <is>
          <t>JÄMTLANDS LÄN</t>
        </is>
      </c>
      <c r="E815" t="inlineStr">
        <is>
          <t>RAGUNDA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53948-2025</t>
        </is>
      </c>
      <c r="B816" s="1" t="n">
        <v>45961.50033564815</v>
      </c>
      <c r="C816" s="1" t="n">
        <v>46072</v>
      </c>
      <c r="D816" t="inlineStr">
        <is>
          <t>JÄMTLANDS LÄN</t>
        </is>
      </c>
      <c r="E816" t="inlineStr">
        <is>
          <t>RAGUNDA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2819-2023</t>
        </is>
      </c>
      <c r="B817" s="1" t="n">
        <v>44944</v>
      </c>
      <c r="C817" s="1" t="n">
        <v>46072</v>
      </c>
      <c r="D817" t="inlineStr">
        <is>
          <t>JÄMTLANDS LÄN</t>
        </is>
      </c>
      <c r="E817" t="inlineStr">
        <is>
          <t>RAGUNDA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50160-2023</t>
        </is>
      </c>
      <c r="B818" s="1" t="n">
        <v>45208</v>
      </c>
      <c r="C818" s="1" t="n">
        <v>46072</v>
      </c>
      <c r="D818" t="inlineStr">
        <is>
          <t>JÄMTLANDS LÄN</t>
        </is>
      </c>
      <c r="E818" t="inlineStr">
        <is>
          <t>RAGUNDA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54195-2025</t>
        </is>
      </c>
      <c r="B819" s="1" t="n">
        <v>45964.57413194444</v>
      </c>
      <c r="C819" s="1" t="n">
        <v>46072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37008-2025</t>
        </is>
      </c>
      <c r="B820" s="1" t="n">
        <v>45874.69844907407</v>
      </c>
      <c r="C820" s="1" t="n">
        <v>46072</v>
      </c>
      <c r="D820" t="inlineStr">
        <is>
          <t>JÄMTLANDS LÄN</t>
        </is>
      </c>
      <c r="E820" t="inlineStr">
        <is>
          <t>RAGUNDA</t>
        </is>
      </c>
      <c r="F820" t="inlineStr">
        <is>
          <t>SCA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44536-2022</t>
        </is>
      </c>
      <c r="B821" s="1" t="n">
        <v>44839</v>
      </c>
      <c r="C821" s="1" t="n">
        <v>46072</v>
      </c>
      <c r="D821" t="inlineStr">
        <is>
          <t>JÄMTLANDS LÄN</t>
        </is>
      </c>
      <c r="E821" t="inlineStr">
        <is>
          <t>RAGUNDA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36947-2025</t>
        </is>
      </c>
      <c r="B822" s="1" t="n">
        <v>45874.59496527778</v>
      </c>
      <c r="C822" s="1" t="n">
        <v>46072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54396-2025</t>
        </is>
      </c>
      <c r="B823" s="1" t="n">
        <v>45965.44849537037</v>
      </c>
      <c r="C823" s="1" t="n">
        <v>46072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35.2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37292-2025</t>
        </is>
      </c>
      <c r="B824" s="1" t="n">
        <v>45876.53188657408</v>
      </c>
      <c r="C824" s="1" t="n">
        <v>46072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59491-2025</t>
        </is>
      </c>
      <c r="B825" s="1" t="n">
        <v>45989.60376157407</v>
      </c>
      <c r="C825" s="1" t="n">
        <v>46072</v>
      </c>
      <c r="D825" t="inlineStr">
        <is>
          <t>JÄMTLANDS LÄN</t>
        </is>
      </c>
      <c r="E825" t="inlineStr">
        <is>
          <t>RAGUNDA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30459-2021</t>
        </is>
      </c>
      <c r="B826" s="1" t="n">
        <v>44362</v>
      </c>
      <c r="C826" s="1" t="n">
        <v>46072</v>
      </c>
      <c r="D826" t="inlineStr">
        <is>
          <t>JÄMTLANDS LÄN</t>
        </is>
      </c>
      <c r="E826" t="inlineStr">
        <is>
          <t>RAGUNDA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50157-2023</t>
        </is>
      </c>
      <c r="B827" s="1" t="n">
        <v>45208</v>
      </c>
      <c r="C827" s="1" t="n">
        <v>46072</v>
      </c>
      <c r="D827" t="inlineStr">
        <is>
          <t>JÄMTLANDS LÄN</t>
        </is>
      </c>
      <c r="E827" t="inlineStr">
        <is>
          <t>RAGUNDA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1333-2026</t>
        </is>
      </c>
      <c r="B828" s="1" t="n">
        <v>46031.57340277778</v>
      </c>
      <c r="C828" s="1" t="n">
        <v>46072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59503-2025</t>
        </is>
      </c>
      <c r="B829" s="1" t="n">
        <v>45989.62703703704</v>
      </c>
      <c r="C829" s="1" t="n">
        <v>46072</v>
      </c>
      <c r="D829" t="inlineStr">
        <is>
          <t>JÄMTLANDS LÄN</t>
        </is>
      </c>
      <c r="E829" t="inlineStr">
        <is>
          <t>RAGUNDA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54794-2025</t>
        </is>
      </c>
      <c r="B830" s="1" t="n">
        <v>45966.63592592593</v>
      </c>
      <c r="C830" s="1" t="n">
        <v>46072</v>
      </c>
      <c r="D830" t="inlineStr">
        <is>
          <t>JÄMTLANDS LÄN</t>
        </is>
      </c>
      <c r="E830" t="inlineStr">
        <is>
          <t>RAGUNDA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54820-2025</t>
        </is>
      </c>
      <c r="B831" s="1" t="n">
        <v>45966.65728009259</v>
      </c>
      <c r="C831" s="1" t="n">
        <v>46072</v>
      </c>
      <c r="D831" t="inlineStr">
        <is>
          <t>JÄMTLANDS LÄN</t>
        </is>
      </c>
      <c r="E831" t="inlineStr">
        <is>
          <t>RAGUNDA</t>
        </is>
      </c>
      <c r="G831" t="n">
        <v>15.3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37543-2023</t>
        </is>
      </c>
      <c r="B832" s="1" t="n">
        <v>45158.94231481481</v>
      </c>
      <c r="C832" s="1" t="n">
        <v>46072</v>
      </c>
      <c r="D832" t="inlineStr">
        <is>
          <t>JÄMTLANDS LÄN</t>
        </is>
      </c>
      <c r="E832" t="inlineStr">
        <is>
          <t>RAGUNDA</t>
        </is>
      </c>
      <c r="F832" t="inlineStr">
        <is>
          <t>SCA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58909-2025</t>
        </is>
      </c>
      <c r="B833" s="1" t="n">
        <v>45987</v>
      </c>
      <c r="C833" s="1" t="n">
        <v>46072</v>
      </c>
      <c r="D833" t="inlineStr">
        <is>
          <t>JÄMTLANDS LÄN</t>
        </is>
      </c>
      <c r="E833" t="inlineStr">
        <is>
          <t>RAGUNDA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7668-2025</t>
        </is>
      </c>
      <c r="B834" s="1" t="n">
        <v>45706.34450231482</v>
      </c>
      <c r="C834" s="1" t="n">
        <v>46072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13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59692-2025</t>
        </is>
      </c>
      <c r="B835" s="1" t="n">
        <v>45992.49001157407</v>
      </c>
      <c r="C835" s="1" t="n">
        <v>46072</v>
      </c>
      <c r="D835" t="inlineStr">
        <is>
          <t>JÄMTLANDS LÄN</t>
        </is>
      </c>
      <c r="E835" t="inlineStr">
        <is>
          <t>RAGUNDA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36046-2023</t>
        </is>
      </c>
      <c r="B836" s="1" t="n">
        <v>45148</v>
      </c>
      <c r="C836" s="1" t="n">
        <v>46072</v>
      </c>
      <c r="D836" t="inlineStr">
        <is>
          <t>JÄMTLANDS LÄN</t>
        </is>
      </c>
      <c r="E836" t="inlineStr">
        <is>
          <t>RAGUNDA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59738-2025</t>
        </is>
      </c>
      <c r="B837" s="1" t="n">
        <v>45992.57408564815</v>
      </c>
      <c r="C837" s="1" t="n">
        <v>46072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12.5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59739-2025</t>
        </is>
      </c>
      <c r="B838" s="1" t="n">
        <v>45992.57417824074</v>
      </c>
      <c r="C838" s="1" t="n">
        <v>46072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9504-2025</t>
        </is>
      </c>
      <c r="B839" s="1" t="n">
        <v>45714</v>
      </c>
      <c r="C839" s="1" t="n">
        <v>46072</v>
      </c>
      <c r="D839" t="inlineStr">
        <is>
          <t>JÄMTLANDS LÄN</t>
        </is>
      </c>
      <c r="E839" t="inlineStr">
        <is>
          <t>RAGUNDA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59740-2025</t>
        </is>
      </c>
      <c r="B840" s="1" t="n">
        <v>45992.5743287037</v>
      </c>
      <c r="C840" s="1" t="n">
        <v>46072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59931-2025</t>
        </is>
      </c>
      <c r="B841" s="1" t="n">
        <v>45993.40177083333</v>
      </c>
      <c r="C841" s="1" t="n">
        <v>46072</v>
      </c>
      <c r="D841" t="inlineStr">
        <is>
          <t>JÄMTLANDS LÄN</t>
        </is>
      </c>
      <c r="E841" t="inlineStr">
        <is>
          <t>RAGUNDA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8654-2024</t>
        </is>
      </c>
      <c r="B842" s="1" t="n">
        <v>45356.03784722222</v>
      </c>
      <c r="C842" s="1" t="n">
        <v>46072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6902-2024</t>
        </is>
      </c>
      <c r="B843" s="1" t="n">
        <v>45342</v>
      </c>
      <c r="C843" s="1" t="n">
        <v>46072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18.7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6905-2024</t>
        </is>
      </c>
      <c r="B844" s="1" t="n">
        <v>45342.9462037037</v>
      </c>
      <c r="C844" s="1" t="n">
        <v>46072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22731-2023</t>
        </is>
      </c>
      <c r="B845" s="1" t="n">
        <v>45071</v>
      </c>
      <c r="C845" s="1" t="n">
        <v>46072</v>
      </c>
      <c r="D845" t="inlineStr">
        <is>
          <t>JÄMTLANDS LÄN</t>
        </is>
      </c>
      <c r="E845" t="inlineStr">
        <is>
          <t>RAGUNDA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59693-2025</t>
        </is>
      </c>
      <c r="B846" s="1" t="n">
        <v>45992.49009259259</v>
      </c>
      <c r="C846" s="1" t="n">
        <v>46072</v>
      </c>
      <c r="D846" t="inlineStr">
        <is>
          <t>JÄMTLANDS LÄN</t>
        </is>
      </c>
      <c r="E846" t="inlineStr">
        <is>
          <t>RAGUNDA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11245-2025</t>
        </is>
      </c>
      <c r="B847" s="1" t="n">
        <v>45726.38575231482</v>
      </c>
      <c r="C847" s="1" t="n">
        <v>46072</v>
      </c>
      <c r="D847" t="inlineStr">
        <is>
          <t>JÄMTLANDS LÄN</t>
        </is>
      </c>
      <c r="E847" t="inlineStr">
        <is>
          <t>RAGUNDA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61923-2024</t>
        </is>
      </c>
      <c r="B848" s="1" t="n">
        <v>45653.44836805556</v>
      </c>
      <c r="C848" s="1" t="n">
        <v>46072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23567-2024</t>
        </is>
      </c>
      <c r="B849" s="1" t="n">
        <v>45453.95538194444</v>
      </c>
      <c r="C849" s="1" t="n">
        <v>46072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19246-2023</t>
        </is>
      </c>
      <c r="B850" s="1" t="n">
        <v>45048.94340277778</v>
      </c>
      <c r="C850" s="1" t="n">
        <v>46072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61109-2024</t>
        </is>
      </c>
      <c r="B851" s="1" t="n">
        <v>45645.55672453704</v>
      </c>
      <c r="C851" s="1" t="n">
        <v>46072</v>
      </c>
      <c r="D851" t="inlineStr">
        <is>
          <t>JÄMTLANDS LÄN</t>
        </is>
      </c>
      <c r="E851" t="inlineStr">
        <is>
          <t>RAGUNDA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60062-2025</t>
        </is>
      </c>
      <c r="B852" s="1" t="n">
        <v>45993.65694444445</v>
      </c>
      <c r="C852" s="1" t="n">
        <v>46072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58955-2024</t>
        </is>
      </c>
      <c r="B853" s="1" t="n">
        <v>45636.57329861111</v>
      </c>
      <c r="C853" s="1" t="n">
        <v>46072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33877-2023</t>
        </is>
      </c>
      <c r="B854" s="1" t="n">
        <v>45133</v>
      </c>
      <c r="C854" s="1" t="n">
        <v>46072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62541-2022</t>
        </is>
      </c>
      <c r="B855" s="1" t="n">
        <v>44917</v>
      </c>
      <c r="C855" s="1" t="n">
        <v>46072</v>
      </c>
      <c r="D855" t="inlineStr">
        <is>
          <t>JÄMTLANDS LÄN</t>
        </is>
      </c>
      <c r="E855" t="inlineStr">
        <is>
          <t>RAGUNDA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9567-2025</t>
        </is>
      </c>
      <c r="B856" s="1" t="n">
        <v>45715.61523148148</v>
      </c>
      <c r="C856" s="1" t="n">
        <v>46072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21661-2023</t>
        </is>
      </c>
      <c r="B857" s="1" t="n">
        <v>45063</v>
      </c>
      <c r="C857" s="1" t="n">
        <v>46072</v>
      </c>
      <c r="D857" t="inlineStr">
        <is>
          <t>JÄMTLANDS LÄN</t>
        </is>
      </c>
      <c r="E857" t="inlineStr">
        <is>
          <t>RAGUNDA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2123-2026</t>
        </is>
      </c>
      <c r="B858" s="1" t="n">
        <v>46036.38618055556</v>
      </c>
      <c r="C858" s="1" t="n">
        <v>46072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60128-2025</t>
        </is>
      </c>
      <c r="B859" s="1" t="n">
        <v>45994.34456018519</v>
      </c>
      <c r="C859" s="1" t="n">
        <v>46072</v>
      </c>
      <c r="D859" t="inlineStr">
        <is>
          <t>JÄMTLANDS LÄN</t>
        </is>
      </c>
      <c r="E859" t="inlineStr">
        <is>
          <t>RAGUNDA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2173-2026</t>
        </is>
      </c>
      <c r="B860" s="1" t="n">
        <v>46036.44984953704</v>
      </c>
      <c r="C860" s="1" t="n">
        <v>46072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2271-2026</t>
        </is>
      </c>
      <c r="B861" s="1" t="n">
        <v>46036.57347222222</v>
      </c>
      <c r="C861" s="1" t="n">
        <v>46072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60389-2025</t>
        </is>
      </c>
      <c r="B862" s="1" t="n">
        <v>45995.38628472222</v>
      </c>
      <c r="C862" s="1" t="n">
        <v>46072</v>
      </c>
      <c r="D862" t="inlineStr">
        <is>
          <t>JÄMTLANDS LÄN</t>
        </is>
      </c>
      <c r="E862" t="inlineStr">
        <is>
          <t>RAGUNDA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2282-2026</t>
        </is>
      </c>
      <c r="B863" s="1" t="n">
        <v>46036.57798611111</v>
      </c>
      <c r="C863" s="1" t="n">
        <v>46072</v>
      </c>
      <c r="D863" t="inlineStr">
        <is>
          <t>JÄMTLANDS LÄN</t>
        </is>
      </c>
      <c r="E863" t="inlineStr">
        <is>
          <t>RAGUNDA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69153-2021</t>
        </is>
      </c>
      <c r="B864" s="1" t="n">
        <v>44530.94694444445</v>
      </c>
      <c r="C864" s="1" t="n">
        <v>46072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12585-2024</t>
        </is>
      </c>
      <c r="B865" s="1" t="n">
        <v>45379.93637731481</v>
      </c>
      <c r="C865" s="1" t="n">
        <v>46072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55489-2024</t>
        </is>
      </c>
      <c r="B866" s="1" t="n">
        <v>45622.44774305556</v>
      </c>
      <c r="C866" s="1" t="n">
        <v>46072</v>
      </c>
      <c r="D866" t="inlineStr">
        <is>
          <t>JÄMTLANDS LÄN</t>
        </is>
      </c>
      <c r="E866" t="inlineStr">
        <is>
          <t>RAGUNDA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18631-2024</t>
        </is>
      </c>
      <c r="B867" s="1" t="n">
        <v>45425.96494212963</v>
      </c>
      <c r="C867" s="1" t="n">
        <v>46072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60387-2025</t>
        </is>
      </c>
      <c r="B868" s="1" t="n">
        <v>45995.38611111111</v>
      </c>
      <c r="C868" s="1" t="n">
        <v>46072</v>
      </c>
      <c r="D868" t="inlineStr">
        <is>
          <t>JÄMTLANDS LÄN</t>
        </is>
      </c>
      <c r="E868" t="inlineStr">
        <is>
          <t>RAGUNDA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26646-2023</t>
        </is>
      </c>
      <c r="B869" s="1" t="n">
        <v>45092</v>
      </c>
      <c r="C869" s="1" t="n">
        <v>46072</v>
      </c>
      <c r="D869" t="inlineStr">
        <is>
          <t>JÄMTLANDS LÄN</t>
        </is>
      </c>
      <c r="E869" t="inlineStr">
        <is>
          <t>RAGUNDA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43405-2023</t>
        </is>
      </c>
      <c r="B870" s="1" t="n">
        <v>45183.95563657407</v>
      </c>
      <c r="C870" s="1" t="n">
        <v>46072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2316-2026</t>
        </is>
      </c>
      <c r="B871" s="1" t="n">
        <v>46036.59826388889</v>
      </c>
      <c r="C871" s="1" t="n">
        <v>46072</v>
      </c>
      <c r="D871" t="inlineStr">
        <is>
          <t>JÄMTLANDS LÄN</t>
        </is>
      </c>
      <c r="E871" t="inlineStr">
        <is>
          <t>RAGUNDA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59496-2024</t>
        </is>
      </c>
      <c r="B872" s="1" t="n">
        <v>45638</v>
      </c>
      <c r="C872" s="1" t="n">
        <v>46072</v>
      </c>
      <c r="D872" t="inlineStr">
        <is>
          <t>JÄMTLANDS LÄN</t>
        </is>
      </c>
      <c r="E872" t="inlineStr">
        <is>
          <t>RAGUNDA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2156-2026</t>
        </is>
      </c>
      <c r="B873" s="1" t="n">
        <v>46036.42771990741</v>
      </c>
      <c r="C873" s="1" t="n">
        <v>46072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62106-2023</t>
        </is>
      </c>
      <c r="B874" s="1" t="n">
        <v>45266.95082175926</v>
      </c>
      <c r="C874" s="1" t="n">
        <v>46072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60307-2025</t>
        </is>
      </c>
      <c r="B875" s="1" t="n">
        <v>45994.6842824074</v>
      </c>
      <c r="C875" s="1" t="n">
        <v>46072</v>
      </c>
      <c r="D875" t="inlineStr">
        <is>
          <t>JÄMTLANDS LÄN</t>
        </is>
      </c>
      <c r="E875" t="inlineStr">
        <is>
          <t>RAGUNDA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18781-2024</t>
        </is>
      </c>
      <c r="B876" s="1" t="n">
        <v>45426</v>
      </c>
      <c r="C876" s="1" t="n">
        <v>46072</v>
      </c>
      <c r="D876" t="inlineStr">
        <is>
          <t>JÄMTLANDS LÄN</t>
        </is>
      </c>
      <c r="E876" t="inlineStr">
        <is>
          <t>RAGUNDA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2233-2026</t>
        </is>
      </c>
      <c r="B877" s="1" t="n">
        <v>46036.53207175926</v>
      </c>
      <c r="C877" s="1" t="n">
        <v>46072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62081-2022</t>
        </is>
      </c>
      <c r="B878" s="1" t="n">
        <v>44918</v>
      </c>
      <c r="C878" s="1" t="n">
        <v>46072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60130-2025</t>
        </is>
      </c>
      <c r="B879" s="1" t="n">
        <v>45994.34467592592</v>
      </c>
      <c r="C879" s="1" t="n">
        <v>46072</v>
      </c>
      <c r="D879" t="inlineStr">
        <is>
          <t>JÄMTLANDS LÄN</t>
        </is>
      </c>
      <c r="E879" t="inlineStr">
        <is>
          <t>RAGUNDA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60775-2025</t>
        </is>
      </c>
      <c r="B880" s="1" t="n">
        <v>45999.3905787037</v>
      </c>
      <c r="C880" s="1" t="n">
        <v>46072</v>
      </c>
      <c r="D880" t="inlineStr">
        <is>
          <t>JÄMTLANDS LÄN</t>
        </is>
      </c>
      <c r="E880" t="inlineStr">
        <is>
          <t>RAGUNDA</t>
        </is>
      </c>
      <c r="G880" t="n">
        <v>15.7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30826-2023</t>
        </is>
      </c>
      <c r="B881" s="1" t="n">
        <v>45112</v>
      </c>
      <c r="C881" s="1" t="n">
        <v>46072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53263-2024</t>
        </is>
      </c>
      <c r="B882" s="1" t="n">
        <v>45614.34541666666</v>
      </c>
      <c r="C882" s="1" t="n">
        <v>46072</v>
      </c>
      <c r="D882" t="inlineStr">
        <is>
          <t>JÄMTLANDS LÄN</t>
        </is>
      </c>
      <c r="E882" t="inlineStr">
        <is>
          <t>RAGUNDA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26645-2024</t>
        </is>
      </c>
      <c r="B883" s="1" t="n">
        <v>45469.94667824074</v>
      </c>
      <c r="C883" s="1" t="n">
        <v>46072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893-2025</t>
        </is>
      </c>
      <c r="B884" s="1" t="n">
        <v>45665.65684027778</v>
      </c>
      <c r="C884" s="1" t="n">
        <v>46072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45.1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31135-2023</t>
        </is>
      </c>
      <c r="B885" s="1" t="n">
        <v>45103</v>
      </c>
      <c r="C885" s="1" t="n">
        <v>46072</v>
      </c>
      <c r="D885" t="inlineStr">
        <is>
          <t>JÄMTLANDS LÄN</t>
        </is>
      </c>
      <c r="E885" t="inlineStr">
        <is>
          <t>RAGUNDA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60760-2025</t>
        </is>
      </c>
      <c r="B886" s="1" t="n">
        <v>45999.38597222222</v>
      </c>
      <c r="C886" s="1" t="n">
        <v>46072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3065-2026</t>
        </is>
      </c>
      <c r="B887" s="1" t="n">
        <v>46040.47866898148</v>
      </c>
      <c r="C887" s="1" t="n">
        <v>46072</v>
      </c>
      <c r="D887" t="inlineStr">
        <is>
          <t>JÄMTLANDS LÄN</t>
        </is>
      </c>
      <c r="E887" t="inlineStr">
        <is>
          <t>RAGUNDA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60630-2025</t>
        </is>
      </c>
      <c r="B888" s="1" t="n">
        <v>45996.42120370371</v>
      </c>
      <c r="C888" s="1" t="n">
        <v>46072</v>
      </c>
      <c r="D888" t="inlineStr">
        <is>
          <t>JÄMTLANDS LÄN</t>
        </is>
      </c>
      <c r="E888" t="inlineStr">
        <is>
          <t>RAGUNDA</t>
        </is>
      </c>
      <c r="G888" t="n">
        <v>13.2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43132-2023</t>
        </is>
      </c>
      <c r="B889" s="1" t="n">
        <v>45182</v>
      </c>
      <c r="C889" s="1" t="n">
        <v>46072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61233-2025</t>
        </is>
      </c>
      <c r="B890" s="1" t="n">
        <v>46000.6359837963</v>
      </c>
      <c r="C890" s="1" t="n">
        <v>46072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56284-2023</t>
        </is>
      </c>
      <c r="B891" s="1" t="n">
        <v>45241.95724537037</v>
      </c>
      <c r="C891" s="1" t="n">
        <v>46072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3561-2026</t>
        </is>
      </c>
      <c r="B892" s="1" t="n">
        <v>46042.67142361111</v>
      </c>
      <c r="C892" s="1" t="n">
        <v>46072</v>
      </c>
      <c r="D892" t="inlineStr">
        <is>
          <t>JÄMTLANDS LÄN</t>
        </is>
      </c>
      <c r="E892" t="inlineStr">
        <is>
          <t>RAGUNDA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61509-2025</t>
        </is>
      </c>
      <c r="B893" s="1" t="n">
        <v>46001.68189814815</v>
      </c>
      <c r="C893" s="1" t="n">
        <v>46072</v>
      </c>
      <c r="D893" t="inlineStr">
        <is>
          <t>JÄMTLANDS LÄN</t>
        </is>
      </c>
      <c r="E893" t="inlineStr">
        <is>
          <t>RAGUNDA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61266-2025</t>
        </is>
      </c>
      <c r="B894" s="1" t="n">
        <v>46000.67784722222</v>
      </c>
      <c r="C894" s="1" t="n">
        <v>46072</v>
      </c>
      <c r="D894" t="inlineStr">
        <is>
          <t>JÄMTLANDS LÄN</t>
        </is>
      </c>
      <c r="E894" t="inlineStr">
        <is>
          <t>RAGUNDA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61045-2022</t>
        </is>
      </c>
      <c r="B895" s="1" t="n">
        <v>44914</v>
      </c>
      <c r="C895" s="1" t="n">
        <v>46072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61197-2023</t>
        </is>
      </c>
      <c r="B896" s="1" t="n">
        <v>45260</v>
      </c>
      <c r="C896" s="1" t="n">
        <v>46072</v>
      </c>
      <c r="D896" t="inlineStr">
        <is>
          <t>JÄMTLANDS LÄN</t>
        </is>
      </c>
      <c r="E896" t="inlineStr">
        <is>
          <t>RAGUNDA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13263-2025</t>
        </is>
      </c>
      <c r="B897" s="1" t="n">
        <v>45735.53177083333</v>
      </c>
      <c r="C897" s="1" t="n">
        <v>46072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48066-2022</t>
        </is>
      </c>
      <c r="B898" s="1" t="n">
        <v>44855</v>
      </c>
      <c r="C898" s="1" t="n">
        <v>46072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64415-2023</t>
        </is>
      </c>
      <c r="B899" s="1" t="n">
        <v>45280</v>
      </c>
      <c r="C899" s="1" t="n">
        <v>46072</v>
      </c>
      <c r="D899" t="inlineStr">
        <is>
          <t>JÄMTLANDS LÄN</t>
        </is>
      </c>
      <c r="E899" t="inlineStr">
        <is>
          <t>RAGUNDA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60225-2022</t>
        </is>
      </c>
      <c r="B900" s="1" t="n">
        <v>44903</v>
      </c>
      <c r="C900" s="1" t="n">
        <v>46072</v>
      </c>
      <c r="D900" t="inlineStr">
        <is>
          <t>JÄMTLANDS LÄN</t>
        </is>
      </c>
      <c r="E900" t="inlineStr">
        <is>
          <t>RAGUNDA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3813-2026</t>
        </is>
      </c>
      <c r="B901" s="1" t="n">
        <v>46043.58447916667</v>
      </c>
      <c r="C901" s="1" t="n">
        <v>46072</v>
      </c>
      <c r="D901" t="inlineStr">
        <is>
          <t>JÄMTLANDS LÄN</t>
        </is>
      </c>
      <c r="E901" t="inlineStr">
        <is>
          <t>RAGUNDA</t>
        </is>
      </c>
      <c r="F901" t="inlineStr">
        <is>
          <t>SCA</t>
        </is>
      </c>
      <c r="G901" t="n">
        <v>23.2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15864-2024</t>
        </is>
      </c>
      <c r="B902" s="1" t="n">
        <v>45404.99792824074</v>
      </c>
      <c r="C902" s="1" t="n">
        <v>46072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HYPERLINK("https://klasma.github.io/Logging_2303/knärot/A 15864-2024 karta knärot.png", "A 15864-2024")</f>
        <v/>
      </c>
      <c r="V902">
        <f>HYPERLINK("https://klasma.github.io/Logging_2303/klagomål/A 15864-2024 FSC-klagomål.docx", "A 15864-2024")</f>
        <v/>
      </c>
      <c r="W902">
        <f>HYPERLINK("https://klasma.github.io/Logging_2303/klagomålsmail/A 15864-2024 FSC-klagomål mail.docx", "A 15864-2024")</f>
        <v/>
      </c>
      <c r="X902">
        <f>HYPERLINK("https://klasma.github.io/Logging_2303/tillsyn/A 15864-2024 tillsynsbegäran.docx", "A 15864-2024")</f>
        <v/>
      </c>
      <c r="Y902">
        <f>HYPERLINK("https://klasma.github.io/Logging_2303/tillsynsmail/A 15864-2024 tillsynsbegäran mail.docx", "A 15864-2024")</f>
        <v/>
      </c>
    </row>
    <row r="903" ht="15" customHeight="1">
      <c r="A903" t="inlineStr">
        <is>
          <t>A 57749-2024</t>
        </is>
      </c>
      <c r="B903" s="1" t="n">
        <v>45630.7862037037</v>
      </c>
      <c r="C903" s="1" t="n">
        <v>46072</v>
      </c>
      <c r="D903" t="inlineStr">
        <is>
          <t>JÄMTLANDS LÄN</t>
        </is>
      </c>
      <c r="E903" t="inlineStr">
        <is>
          <t>RAGUNDA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24280-2021</t>
        </is>
      </c>
      <c r="B904" s="1" t="n">
        <v>44336</v>
      </c>
      <c r="C904" s="1" t="n">
        <v>46072</v>
      </c>
      <c r="D904" t="inlineStr">
        <is>
          <t>JÄMTLANDS LÄN</t>
        </is>
      </c>
      <c r="E904" t="inlineStr">
        <is>
          <t>RAGUNDA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8886-2024</t>
        </is>
      </c>
      <c r="B905" s="1" t="n">
        <v>45357.05300925926</v>
      </c>
      <c r="C905" s="1" t="n">
        <v>46072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28596-2021</t>
        </is>
      </c>
      <c r="B906" s="1" t="n">
        <v>44356</v>
      </c>
      <c r="C906" s="1" t="n">
        <v>46072</v>
      </c>
      <c r="D906" t="inlineStr">
        <is>
          <t>JÄMTLANDS LÄN</t>
        </is>
      </c>
      <c r="E906" t="inlineStr">
        <is>
          <t>RAGUNDA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11058-2025</t>
        </is>
      </c>
      <c r="B907" s="1" t="n">
        <v>45723.51079861111</v>
      </c>
      <c r="C907" s="1" t="n">
        <v>46072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61755-2025</t>
        </is>
      </c>
      <c r="B908" s="1" t="n">
        <v>46002</v>
      </c>
      <c r="C908" s="1" t="n">
        <v>46072</v>
      </c>
      <c r="D908" t="inlineStr">
        <is>
          <t>JÄMTLANDS LÄN</t>
        </is>
      </c>
      <c r="E908" t="inlineStr">
        <is>
          <t>RAGUNDA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38664-2022</t>
        </is>
      </c>
      <c r="B909" s="1" t="n">
        <v>44813</v>
      </c>
      <c r="C909" s="1" t="n">
        <v>46072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4047-2026</t>
        </is>
      </c>
      <c r="B910" s="1" t="n">
        <v>46044.46944444445</v>
      </c>
      <c r="C910" s="1" t="n">
        <v>46072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4073-2026</t>
        </is>
      </c>
      <c r="B911" s="1" t="n">
        <v>46044.53168981482</v>
      </c>
      <c r="C911" s="1" t="n">
        <v>46072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24441-2024</t>
        </is>
      </c>
      <c r="B912" s="1" t="n">
        <v>45457.96372685185</v>
      </c>
      <c r="C912" s="1" t="n">
        <v>46072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40801-2023</t>
        </is>
      </c>
      <c r="B913" s="1" t="n">
        <v>45170</v>
      </c>
      <c r="C913" s="1" t="n">
        <v>46072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3841-2026</t>
        </is>
      </c>
      <c r="B914" s="1" t="n">
        <v>46043</v>
      </c>
      <c r="C914" s="1" t="n">
        <v>46072</v>
      </c>
      <c r="D914" t="inlineStr">
        <is>
          <t>JÄMTLANDS LÄN</t>
        </is>
      </c>
      <c r="E914" t="inlineStr">
        <is>
          <t>RAGUNDA</t>
        </is>
      </c>
      <c r="F914" t="inlineStr">
        <is>
          <t>Kommuner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4142-2026</t>
        </is>
      </c>
      <c r="B915" s="1" t="n">
        <v>46044.63607638889</v>
      </c>
      <c r="C915" s="1" t="n">
        <v>46072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4099-2026</t>
        </is>
      </c>
      <c r="B916" s="1" t="n">
        <v>46044.57357638889</v>
      </c>
      <c r="C916" s="1" t="n">
        <v>46072</v>
      </c>
      <c r="D916" t="inlineStr">
        <is>
          <t>JÄMTLANDS LÄN</t>
        </is>
      </c>
      <c r="E916" t="inlineStr">
        <is>
          <t>RAGUNDA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48065-2023</t>
        </is>
      </c>
      <c r="B917" s="1" t="n">
        <v>45204.94399305555</v>
      </c>
      <c r="C917" s="1" t="n">
        <v>46072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61697-2025</t>
        </is>
      </c>
      <c r="B918" s="1" t="n">
        <v>46002</v>
      </c>
      <c r="C918" s="1" t="n">
        <v>46072</v>
      </c>
      <c r="D918" t="inlineStr">
        <is>
          <t>JÄMTLANDS LÄN</t>
        </is>
      </c>
      <c r="E918" t="inlineStr">
        <is>
          <t>RAGUNDA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4592-2024</t>
        </is>
      </c>
      <c r="B919" s="1" t="n">
        <v>45327.94443287037</v>
      </c>
      <c r="C919" s="1" t="n">
        <v>46072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4237-2026</t>
        </is>
      </c>
      <c r="B920" s="1" t="n">
        <v>46044.92743055556</v>
      </c>
      <c r="C920" s="1" t="n">
        <v>46072</v>
      </c>
      <c r="D920" t="inlineStr">
        <is>
          <t>JÄMTLANDS LÄN</t>
        </is>
      </c>
      <c r="E920" t="inlineStr">
        <is>
          <t>RAGUNDA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4046-2026</t>
        </is>
      </c>
      <c r="B921" s="1" t="n">
        <v>46044.46921296296</v>
      </c>
      <c r="C921" s="1" t="n">
        <v>46072</v>
      </c>
      <c r="D921" t="inlineStr">
        <is>
          <t>JÄMTLANDS LÄN</t>
        </is>
      </c>
      <c r="E921" t="inlineStr">
        <is>
          <t>RAGUNDA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60195-2023</t>
        </is>
      </c>
      <c r="B922" s="1" t="n">
        <v>45257</v>
      </c>
      <c r="C922" s="1" t="n">
        <v>46072</v>
      </c>
      <c r="D922" t="inlineStr">
        <is>
          <t>JÄMTLANDS LÄN</t>
        </is>
      </c>
      <c r="E922" t="inlineStr">
        <is>
          <t>RAGUNDA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22981-2023</t>
        </is>
      </c>
      <c r="B923" s="1" t="n">
        <v>45072.92737268518</v>
      </c>
      <c r="C923" s="1" t="n">
        <v>46072</v>
      </c>
      <c r="D923" t="inlineStr">
        <is>
          <t>JÄMTLANDS LÄN</t>
        </is>
      </c>
      <c r="E923" t="inlineStr">
        <is>
          <t>RAGUNDA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5073-2026</t>
        </is>
      </c>
      <c r="B924" s="1" t="n">
        <v>46049.51126157407</v>
      </c>
      <c r="C924" s="1" t="n">
        <v>46072</v>
      </c>
      <c r="D924" t="inlineStr">
        <is>
          <t>JÄMTLANDS LÄN</t>
        </is>
      </c>
      <c r="E924" t="inlineStr">
        <is>
          <t>RAGUNDA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5009-2026</t>
        </is>
      </c>
      <c r="B925" s="1" t="n">
        <v>46049.42839120371</v>
      </c>
      <c r="C925" s="1" t="n">
        <v>46072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37.4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62490-2025</t>
        </is>
      </c>
      <c r="B926" s="1" t="n">
        <v>46007.5697337963</v>
      </c>
      <c r="C926" s="1" t="n">
        <v>46072</v>
      </c>
      <c r="D926" t="inlineStr">
        <is>
          <t>JÄMTLANDS LÄN</t>
        </is>
      </c>
      <c r="E926" t="inlineStr">
        <is>
          <t>RAGUNDA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26942-2021</t>
        </is>
      </c>
      <c r="B927" s="1" t="n">
        <v>44349.91978009259</v>
      </c>
      <c r="C927" s="1" t="n">
        <v>46072</v>
      </c>
      <c r="D927" t="inlineStr">
        <is>
          <t>JÄMTLANDS LÄN</t>
        </is>
      </c>
      <c r="E927" t="inlineStr">
        <is>
          <t>RAGUNDA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46546-2023</t>
        </is>
      </c>
      <c r="B928" s="1" t="n">
        <v>45197.94152777778</v>
      </c>
      <c r="C928" s="1" t="n">
        <v>46072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19865-2023</t>
        </is>
      </c>
      <c r="B929" s="1" t="n">
        <v>45053.94305555556</v>
      </c>
      <c r="C929" s="1" t="n">
        <v>46072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4616-2026</t>
        </is>
      </c>
      <c r="B930" s="1" t="n">
        <v>46048.37070601852</v>
      </c>
      <c r="C930" s="1" t="n">
        <v>46072</v>
      </c>
      <c r="D930" t="inlineStr">
        <is>
          <t>JÄMTLANDS LÄN</t>
        </is>
      </c>
      <c r="E930" t="inlineStr">
        <is>
          <t>RAGUNDA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4628-2026</t>
        </is>
      </c>
      <c r="B931" s="1" t="n">
        <v>46048.3862037037</v>
      </c>
      <c r="C931" s="1" t="n">
        <v>46072</v>
      </c>
      <c r="D931" t="inlineStr">
        <is>
          <t>JÄMTLANDS LÄN</t>
        </is>
      </c>
      <c r="E931" t="inlineStr">
        <is>
          <t>RAGUNDA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62436-2025</t>
        </is>
      </c>
      <c r="B932" s="1" t="n">
        <v>46007</v>
      </c>
      <c r="C932" s="1" t="n">
        <v>46072</v>
      </c>
      <c r="D932" t="inlineStr">
        <is>
          <t>JÄMTLANDS LÄN</t>
        </is>
      </c>
      <c r="E932" t="inlineStr">
        <is>
          <t>RAGUNDA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4839-2026</t>
        </is>
      </c>
      <c r="B933" s="1" t="n">
        <v>46048.61520833334</v>
      </c>
      <c r="C933" s="1" t="n">
        <v>46072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51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4841-2026</t>
        </is>
      </c>
      <c r="B934" s="1" t="n">
        <v>46048.61550925926</v>
      </c>
      <c r="C934" s="1" t="n">
        <v>46072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4629-2026</t>
        </is>
      </c>
      <c r="B935" s="1" t="n">
        <v>46048.38622685185</v>
      </c>
      <c r="C935" s="1" t="n">
        <v>46072</v>
      </c>
      <c r="D935" t="inlineStr">
        <is>
          <t>JÄMTLANDS LÄN</t>
        </is>
      </c>
      <c r="E935" t="inlineStr">
        <is>
          <t>RAGUNDA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62432-2025</t>
        </is>
      </c>
      <c r="B936" s="1" t="n">
        <v>46007</v>
      </c>
      <c r="C936" s="1" t="n">
        <v>46072</v>
      </c>
      <c r="D936" t="inlineStr">
        <is>
          <t>JÄMTLANDS LÄN</t>
        </is>
      </c>
      <c r="E936" t="inlineStr">
        <is>
          <t>RAGUNDA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564-2025</t>
        </is>
      </c>
      <c r="B937" s="1" t="n">
        <v>45664.55241898148</v>
      </c>
      <c r="C937" s="1" t="n">
        <v>46072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50555-2024</t>
        </is>
      </c>
      <c r="B938" s="1" t="n">
        <v>45601.59518518519</v>
      </c>
      <c r="C938" s="1" t="n">
        <v>46072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62467-2025</t>
        </is>
      </c>
      <c r="B939" s="1" t="n">
        <v>46007.5108912037</v>
      </c>
      <c r="C939" s="1" t="n">
        <v>46072</v>
      </c>
      <c r="D939" t="inlineStr">
        <is>
          <t>JÄMTLANDS LÄN</t>
        </is>
      </c>
      <c r="E939" t="inlineStr">
        <is>
          <t>RAGUNDA</t>
        </is>
      </c>
      <c r="F939" t="inlineStr">
        <is>
          <t>SCA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4627-2026</t>
        </is>
      </c>
      <c r="B940" s="1" t="n">
        <v>46048.3860300926</v>
      </c>
      <c r="C940" s="1" t="n">
        <v>46072</v>
      </c>
      <c r="D940" t="inlineStr">
        <is>
          <t>JÄMTLANDS LÄN</t>
        </is>
      </c>
      <c r="E940" t="inlineStr">
        <is>
          <t>RAGUNDA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63057-2025</t>
        </is>
      </c>
      <c r="B941" s="1" t="n">
        <v>46009.63837962963</v>
      </c>
      <c r="C941" s="1" t="n">
        <v>46072</v>
      </c>
      <c r="D941" t="inlineStr">
        <is>
          <t>JÄMTLANDS LÄN</t>
        </is>
      </c>
      <c r="E941" t="inlineStr">
        <is>
          <t>RAGUNDA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59658-2023</t>
        </is>
      </c>
      <c r="B942" s="1" t="n">
        <v>45254.96402777778</v>
      </c>
      <c r="C942" s="1" t="n">
        <v>46072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5359-2026</t>
        </is>
      </c>
      <c r="B943" s="1" t="n">
        <v>46050.4484837963</v>
      </c>
      <c r="C943" s="1" t="n">
        <v>46072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62691-2025</t>
        </is>
      </c>
      <c r="B944" s="1" t="n">
        <v>46008.4759837963</v>
      </c>
      <c r="C944" s="1" t="n">
        <v>46072</v>
      </c>
      <c r="D944" t="inlineStr">
        <is>
          <t>JÄMTLANDS LÄN</t>
        </is>
      </c>
      <c r="E944" t="inlineStr">
        <is>
          <t>RAGUNDA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49649-2024</t>
        </is>
      </c>
      <c r="B945" s="1" t="n">
        <v>45596.61553240741</v>
      </c>
      <c r="C945" s="1" t="n">
        <v>46072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62927-2025</t>
        </is>
      </c>
      <c r="B946" s="1" t="n">
        <v>46009.38609953703</v>
      </c>
      <c r="C946" s="1" t="n">
        <v>46072</v>
      </c>
      <c r="D946" t="inlineStr">
        <is>
          <t>JÄMTLANDS LÄN</t>
        </is>
      </c>
      <c r="E946" t="inlineStr">
        <is>
          <t>RAGUNDA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HYPERLINK("https://klasma.github.io/Logging_2303/knärot/A 62927-2025 karta knärot.png", "A 62927-2025")</f>
        <v/>
      </c>
      <c r="V946">
        <f>HYPERLINK("https://klasma.github.io/Logging_2303/klagomål/A 62927-2025 FSC-klagomål.docx", "A 62927-2025")</f>
        <v/>
      </c>
      <c r="W946">
        <f>HYPERLINK("https://klasma.github.io/Logging_2303/klagomålsmail/A 62927-2025 FSC-klagomål mail.docx", "A 62927-2025")</f>
        <v/>
      </c>
      <c r="X946">
        <f>HYPERLINK("https://klasma.github.io/Logging_2303/tillsyn/A 62927-2025 tillsynsbegäran.docx", "A 62927-2025")</f>
        <v/>
      </c>
      <c r="Y946">
        <f>HYPERLINK("https://klasma.github.io/Logging_2303/tillsynsmail/A 62927-2025 tillsynsbegäran mail.docx", "A 62927-2025")</f>
        <v/>
      </c>
    </row>
    <row r="947" ht="15" customHeight="1">
      <c r="A947" t="inlineStr">
        <is>
          <t>A 2831-2024</t>
        </is>
      </c>
      <c r="B947" s="1" t="n">
        <v>45314.92758101852</v>
      </c>
      <c r="C947" s="1" t="n">
        <v>46072</v>
      </c>
      <c r="D947" t="inlineStr">
        <is>
          <t>JÄMTLANDS LÄN</t>
        </is>
      </c>
      <c r="E947" t="inlineStr">
        <is>
          <t>RAGUNDA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53740-2024</t>
        </is>
      </c>
      <c r="B948" s="1" t="n">
        <v>45615.47091435185</v>
      </c>
      <c r="C948" s="1" t="n">
        <v>46072</v>
      </c>
      <c r="D948" t="inlineStr">
        <is>
          <t>JÄMTLANDS LÄN</t>
        </is>
      </c>
      <c r="E948" t="inlineStr">
        <is>
          <t>RAGUNDA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62638-2025</t>
        </is>
      </c>
      <c r="B949" s="1" t="n">
        <v>46008.36564814814</v>
      </c>
      <c r="C949" s="1" t="n">
        <v>46072</v>
      </c>
      <c r="D949" t="inlineStr">
        <is>
          <t>JÄMTLANDS LÄN</t>
        </is>
      </c>
      <c r="E949" t="inlineStr">
        <is>
          <t>RAGUNDA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59372-2024</t>
        </is>
      </c>
      <c r="B950" s="1" t="n">
        <v>45638.34431712963</v>
      </c>
      <c r="C950" s="1" t="n">
        <v>46072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63060-2025</t>
        </is>
      </c>
      <c r="B951" s="1" t="n">
        <v>46009.64414351852</v>
      </c>
      <c r="C951" s="1" t="n">
        <v>46072</v>
      </c>
      <c r="D951" t="inlineStr">
        <is>
          <t>JÄMTLANDS LÄN</t>
        </is>
      </c>
      <c r="E951" t="inlineStr">
        <is>
          <t>RAGUNDA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62819-2025</t>
        </is>
      </c>
      <c r="B952" s="1" t="n">
        <v>46008</v>
      </c>
      <c r="C952" s="1" t="n">
        <v>46072</v>
      </c>
      <c r="D952" t="inlineStr">
        <is>
          <t>JÄMTLANDS LÄN</t>
        </is>
      </c>
      <c r="E952" t="inlineStr">
        <is>
          <t>RAGUNDA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12522-2023</t>
        </is>
      </c>
      <c r="B953" s="1" t="n">
        <v>45000</v>
      </c>
      <c r="C953" s="1" t="n">
        <v>46072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12523-2023</t>
        </is>
      </c>
      <c r="B954" s="1" t="n">
        <v>45000</v>
      </c>
      <c r="C954" s="1" t="n">
        <v>46072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24861-2023</t>
        </is>
      </c>
      <c r="B955" s="1" t="n">
        <v>45078</v>
      </c>
      <c r="C955" s="1" t="n">
        <v>46072</v>
      </c>
      <c r="D955" t="inlineStr">
        <is>
          <t>JÄMTLANDS LÄN</t>
        </is>
      </c>
      <c r="E955" t="inlineStr">
        <is>
          <t>RAGUNDA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13905-2025</t>
        </is>
      </c>
      <c r="B956" s="1" t="n">
        <v>45737.63574074074</v>
      </c>
      <c r="C956" s="1" t="n">
        <v>46072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13941-2025</t>
        </is>
      </c>
      <c r="B957" s="1" t="n">
        <v>45737.69822916666</v>
      </c>
      <c r="C957" s="1" t="n">
        <v>46072</v>
      </c>
      <c r="D957" t="inlineStr">
        <is>
          <t>JÄMTLANDS LÄN</t>
        </is>
      </c>
      <c r="E957" t="inlineStr">
        <is>
          <t>RAGUNDA</t>
        </is>
      </c>
      <c r="F957" t="inlineStr">
        <is>
          <t>SCA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63578-2025</t>
        </is>
      </c>
      <c r="B958" s="1" t="n">
        <v>46013.67690972222</v>
      </c>
      <c r="C958" s="1" t="n">
        <v>46072</v>
      </c>
      <c r="D958" t="inlineStr">
        <is>
          <t>JÄMTLANDS LÄN</t>
        </is>
      </c>
      <c r="E958" t="inlineStr">
        <is>
          <t>RAGUNDA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63141-2025</t>
        </is>
      </c>
      <c r="B959" s="1" t="n">
        <v>46010.34440972222</v>
      </c>
      <c r="C959" s="1" t="n">
        <v>46072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24.4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51245-2024</t>
        </is>
      </c>
      <c r="B960" s="1" t="n">
        <v>45603.67850694444</v>
      </c>
      <c r="C960" s="1" t="n">
        <v>46072</v>
      </c>
      <c r="D960" t="inlineStr">
        <is>
          <t>JÄMTLANDS LÄN</t>
        </is>
      </c>
      <c r="E960" t="inlineStr">
        <is>
          <t>RAGUNDA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6174-2026</t>
        </is>
      </c>
      <c r="B961" s="1" t="n">
        <v>46055.34457175926</v>
      </c>
      <c r="C961" s="1" t="n">
        <v>46072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53955-2022</t>
        </is>
      </c>
      <c r="B962" s="1" t="n">
        <v>44880.95741898148</v>
      </c>
      <c r="C962" s="1" t="n">
        <v>46072</v>
      </c>
      <c r="D962" t="inlineStr">
        <is>
          <t>JÄMTLANDS LÄN</t>
        </is>
      </c>
      <c r="E962" t="inlineStr">
        <is>
          <t>RAGUNDA</t>
        </is>
      </c>
      <c r="F962" t="inlineStr">
        <is>
          <t>SCA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41772-2024</t>
        </is>
      </c>
      <c r="B963" s="1" t="n">
        <v>45561.34663194444</v>
      </c>
      <c r="C963" s="1" t="n">
        <v>46072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10972-2022</t>
        </is>
      </c>
      <c r="B964" s="1" t="n">
        <v>44628</v>
      </c>
      <c r="C964" s="1" t="n">
        <v>46072</v>
      </c>
      <c r="D964" t="inlineStr">
        <is>
          <t>JÄMTLANDS LÄN</t>
        </is>
      </c>
      <c r="E964" t="inlineStr">
        <is>
          <t>RAGUNDA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6693-2026</t>
        </is>
      </c>
      <c r="B965" s="1" t="n">
        <v>46056.63649305556</v>
      </c>
      <c r="C965" s="1" t="n">
        <v>46072</v>
      </c>
      <c r="D965" t="inlineStr">
        <is>
          <t>JÄMTLANDS LÄN</t>
        </is>
      </c>
      <c r="E965" t="inlineStr">
        <is>
          <t>RAGUNDA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63672-2025</t>
        </is>
      </c>
      <c r="B966" s="1" t="n">
        <v>46014.47575231481</v>
      </c>
      <c r="C966" s="1" t="n">
        <v>46072</v>
      </c>
      <c r="D966" t="inlineStr">
        <is>
          <t>JÄMTLANDS LÄN</t>
        </is>
      </c>
      <c r="E966" t="inlineStr">
        <is>
          <t>RAGUNDA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63714-2025</t>
        </is>
      </c>
      <c r="B967" s="1" t="n">
        <v>46014</v>
      </c>
      <c r="C967" s="1" t="n">
        <v>46072</v>
      </c>
      <c r="D967" t="inlineStr">
        <is>
          <t>JÄMTLANDS LÄN</t>
        </is>
      </c>
      <c r="E967" t="inlineStr">
        <is>
          <t>RAGUNDA</t>
        </is>
      </c>
      <c r="F967" t="inlineStr">
        <is>
          <t>Sveaskog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63671-2025</t>
        </is>
      </c>
      <c r="B968" s="1" t="n">
        <v>46014.46555555556</v>
      </c>
      <c r="C968" s="1" t="n">
        <v>46072</v>
      </c>
      <c r="D968" t="inlineStr">
        <is>
          <t>JÄMTLANDS LÄN</t>
        </is>
      </c>
      <c r="E968" t="inlineStr">
        <is>
          <t>RAGUNDA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6569-2026</t>
        </is>
      </c>
      <c r="B969" s="1" t="n">
        <v>46052</v>
      </c>
      <c r="C969" s="1" t="n">
        <v>46072</v>
      </c>
      <c r="D969" t="inlineStr">
        <is>
          <t>JÄMTLANDS LÄN</t>
        </is>
      </c>
      <c r="E969" t="inlineStr">
        <is>
          <t>RAGUNDA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11834-2023</t>
        </is>
      </c>
      <c r="B970" s="1" t="n">
        <v>44994.94296296296</v>
      </c>
      <c r="C970" s="1" t="n">
        <v>46072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55547-2025</t>
        </is>
      </c>
      <c r="B971" s="1" t="n">
        <v>45971</v>
      </c>
      <c r="C971" s="1" t="n">
        <v>46072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17559-2023</t>
        </is>
      </c>
      <c r="B972" s="1" t="n">
        <v>45034</v>
      </c>
      <c r="C972" s="1" t="n">
        <v>46072</v>
      </c>
      <c r="D972" t="inlineStr">
        <is>
          <t>JÄMTLANDS LÄN</t>
        </is>
      </c>
      <c r="E972" t="inlineStr">
        <is>
          <t>RAGUNDA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38312-2024</t>
        </is>
      </c>
      <c r="B973" s="1" t="n">
        <v>45545.64957175926</v>
      </c>
      <c r="C973" s="1" t="n">
        <v>46072</v>
      </c>
      <c r="D973" t="inlineStr">
        <is>
          <t>JÄMTLANDS LÄN</t>
        </is>
      </c>
      <c r="E973" t="inlineStr">
        <is>
          <t>RAGUNDA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32832-2021</t>
        </is>
      </c>
      <c r="B974" s="1" t="n">
        <v>44375</v>
      </c>
      <c r="C974" s="1" t="n">
        <v>46072</v>
      </c>
      <c r="D974" t="inlineStr">
        <is>
          <t>JÄMTLANDS LÄN</t>
        </is>
      </c>
      <c r="E974" t="inlineStr">
        <is>
          <t>RAGUNDA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22011-2023</t>
        </is>
      </c>
      <c r="B975" s="1" t="n">
        <v>45068</v>
      </c>
      <c r="C975" s="1" t="n">
        <v>46072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12.2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55633-2025</t>
        </is>
      </c>
      <c r="B976" s="1" t="n">
        <v>45972</v>
      </c>
      <c r="C976" s="1" t="n">
        <v>46072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55671-2025</t>
        </is>
      </c>
      <c r="B977" s="1" t="n">
        <v>45972</v>
      </c>
      <c r="C977" s="1" t="n">
        <v>46072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55797-2025</t>
        </is>
      </c>
      <c r="B978" s="1" t="n">
        <v>45972.65693287037</v>
      </c>
      <c r="C978" s="1" t="n">
        <v>46072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53727-2025</t>
        </is>
      </c>
      <c r="B979" s="1" t="n">
        <v>45960.63630787037</v>
      </c>
      <c r="C979" s="1" t="n">
        <v>46072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14158-2024</t>
        </is>
      </c>
      <c r="B980" s="1" t="n">
        <v>45392</v>
      </c>
      <c r="C980" s="1" t="n">
        <v>46072</v>
      </c>
      <c r="D980" t="inlineStr">
        <is>
          <t>JÄMTLANDS LÄN</t>
        </is>
      </c>
      <c r="E980" t="inlineStr">
        <is>
          <t>RAGUNDA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33650-2025</t>
        </is>
      </c>
      <c r="B981" s="1" t="n">
        <v>45841</v>
      </c>
      <c r="C981" s="1" t="n">
        <v>46072</v>
      </c>
      <c r="D981" t="inlineStr">
        <is>
          <t>JÄMTLANDS LÄN</t>
        </is>
      </c>
      <c r="E981" t="inlineStr">
        <is>
          <t>RAGUNDA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42508-2023</t>
        </is>
      </c>
      <c r="B982" s="1" t="n">
        <v>45180.95907407408</v>
      </c>
      <c r="C982" s="1" t="n">
        <v>46072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63828-2025</t>
        </is>
      </c>
      <c r="B983" s="1" t="n">
        <v>46020.37814814815</v>
      </c>
      <c r="C983" s="1" t="n">
        <v>46072</v>
      </c>
      <c r="D983" t="inlineStr">
        <is>
          <t>JÄMTLANDS LÄN</t>
        </is>
      </c>
      <c r="E983" t="inlineStr">
        <is>
          <t>RAGUNDA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35274-2023</t>
        </is>
      </c>
      <c r="B984" s="1" t="n">
        <v>45145</v>
      </c>
      <c r="C984" s="1" t="n">
        <v>46072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12983-2025</t>
        </is>
      </c>
      <c r="B985" s="1" t="n">
        <v>45734.4633912037</v>
      </c>
      <c r="C985" s="1" t="n">
        <v>46072</v>
      </c>
      <c r="D985" t="inlineStr">
        <is>
          <t>JÄMTLANDS LÄN</t>
        </is>
      </c>
      <c r="E985" t="inlineStr">
        <is>
          <t>RAGUNDA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17598-2021</t>
        </is>
      </c>
      <c r="B986" s="1" t="n">
        <v>44299</v>
      </c>
      <c r="C986" s="1" t="n">
        <v>46072</v>
      </c>
      <c r="D986" t="inlineStr">
        <is>
          <t>JÄMTLANDS LÄN</t>
        </is>
      </c>
      <c r="E986" t="inlineStr">
        <is>
          <t>RAGUNDA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557-2026</t>
        </is>
      </c>
      <c r="B987" s="1" t="n">
        <v>46021</v>
      </c>
      <c r="C987" s="1" t="n">
        <v>46072</v>
      </c>
      <c r="D987" t="inlineStr">
        <is>
          <t>JÄMTLANDS LÄN</t>
        </is>
      </c>
      <c r="E987" t="inlineStr">
        <is>
          <t>RAGUNDA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3938-2024</t>
        </is>
      </c>
      <c r="B988" s="1" t="n">
        <v>45322</v>
      </c>
      <c r="C988" s="1" t="n">
        <v>46072</v>
      </c>
      <c r="D988" t="inlineStr">
        <is>
          <t>JÄMTLANDS LÄN</t>
        </is>
      </c>
      <c r="E988" t="inlineStr">
        <is>
          <t>RAGUNDA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7777-2026</t>
        </is>
      </c>
      <c r="B989" s="1" t="n">
        <v>46062.57324074074</v>
      </c>
      <c r="C989" s="1" t="n">
        <v>46072</v>
      </c>
      <c r="D989" t="inlineStr">
        <is>
          <t>JÄMTLANDS LÄN</t>
        </is>
      </c>
      <c r="E989" t="inlineStr">
        <is>
          <t>RAGUNDA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53144-2024</t>
        </is>
      </c>
      <c r="B990" s="1" t="n">
        <v>45611</v>
      </c>
      <c r="C990" s="1" t="n">
        <v>46072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8067-2026</t>
        </is>
      </c>
      <c r="B991" s="1" t="n">
        <v>46063.6358912037</v>
      </c>
      <c r="C991" s="1" t="n">
        <v>46072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22311-2024</t>
        </is>
      </c>
      <c r="B992" s="1" t="n">
        <v>45446.57052083333</v>
      </c>
      <c r="C992" s="1" t="n">
        <v>46072</v>
      </c>
      <c r="D992" t="inlineStr">
        <is>
          <t>JÄMTLANDS LÄN</t>
        </is>
      </c>
      <c r="E992" t="inlineStr">
        <is>
          <t>RAGUNDA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19403-2025</t>
        </is>
      </c>
      <c r="B993" s="1" t="n">
        <v>45769.67790509259</v>
      </c>
      <c r="C993" s="1" t="n">
        <v>46072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11147-2025</t>
        </is>
      </c>
      <c r="B994" s="1" t="n">
        <v>45723.67777777778</v>
      </c>
      <c r="C994" s="1" t="n">
        <v>46072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9847-2025</t>
        </is>
      </c>
      <c r="B995" s="1" t="n">
        <v>45716.61487268518</v>
      </c>
      <c r="C995" s="1" t="n">
        <v>46072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222-2026</t>
        </is>
      </c>
      <c r="B996" s="1" t="n">
        <v>46026.84054398148</v>
      </c>
      <c r="C996" s="1" t="n">
        <v>46072</v>
      </c>
      <c r="D996" t="inlineStr">
        <is>
          <t>JÄMTLANDS LÄN</t>
        </is>
      </c>
      <c r="E996" t="inlineStr">
        <is>
          <t>RAGUNDA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265-2026</t>
        </is>
      </c>
      <c r="B997" s="1" t="n">
        <v>46027.44956018519</v>
      </c>
      <c r="C997" s="1" t="n">
        <v>46072</v>
      </c>
      <c r="D997" t="inlineStr">
        <is>
          <t>JÄMTLANDS LÄN</t>
        </is>
      </c>
      <c r="E997" t="inlineStr">
        <is>
          <t>RAGUNDA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28173-2024</t>
        </is>
      </c>
      <c r="B998" s="1" t="n">
        <v>45476.94533564815</v>
      </c>
      <c r="C998" s="1" t="n">
        <v>46072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23734-2024</t>
        </is>
      </c>
      <c r="B999" s="1" t="n">
        <v>45454.95960648148</v>
      </c>
      <c r="C999" s="1" t="n">
        <v>46072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122-2026</t>
        </is>
      </c>
      <c r="B1000" s="1" t="n">
        <v>46024.57335648148</v>
      </c>
      <c r="C1000" s="1" t="n">
        <v>46072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15.3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9042-2026</t>
        </is>
      </c>
      <c r="B1001" s="1" t="n">
        <v>46069.54721064815</v>
      </c>
      <c r="C1001" s="1" t="n">
        <v>46072</v>
      </c>
      <c r="D1001" t="inlineStr">
        <is>
          <t>JÄMTLANDS LÄN</t>
        </is>
      </c>
      <c r="E1001" t="inlineStr">
        <is>
          <t>RAGUNDA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38425-2022</t>
        </is>
      </c>
      <c r="B1002" s="1" t="n">
        <v>44812.94709490741</v>
      </c>
      <c r="C1002" s="1" t="n">
        <v>46072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9097-2026</t>
        </is>
      </c>
      <c r="B1003" s="1" t="n">
        <v>46069.63592592593</v>
      </c>
      <c r="C1003" s="1" t="n">
        <v>46072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12995-2023</t>
        </is>
      </c>
      <c r="B1004" s="1" t="n">
        <v>45002.0328125</v>
      </c>
      <c r="C1004" s="1" t="n">
        <v>46072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44755-2024</t>
        </is>
      </c>
      <c r="B1005" s="1" t="n">
        <v>45574.61184027778</v>
      </c>
      <c r="C1005" s="1" t="n">
        <v>46072</v>
      </c>
      <c r="D1005" t="inlineStr">
        <is>
          <t>JÄMTLANDS LÄN</t>
        </is>
      </c>
      <c r="E1005" t="inlineStr">
        <is>
          <t>RAGUNDA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44766-2024</t>
        </is>
      </c>
      <c r="B1006" s="1" t="n">
        <v>45574.62297453704</v>
      </c>
      <c r="C1006" s="1" t="n">
        <v>46072</v>
      </c>
      <c r="D1006" t="inlineStr">
        <is>
          <t>JÄMTLANDS LÄN</t>
        </is>
      </c>
      <c r="E1006" t="inlineStr">
        <is>
          <t>RAGUNDA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16676-2022</t>
        </is>
      </c>
      <c r="B1007" s="1" t="n">
        <v>44672.94018518519</v>
      </c>
      <c r="C1007" s="1" t="n">
        <v>46072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55536-2024</t>
        </is>
      </c>
      <c r="B1008" s="1" t="n">
        <v>45622</v>
      </c>
      <c r="C1008" s="1" t="n">
        <v>46072</v>
      </c>
      <c r="D1008" t="inlineStr">
        <is>
          <t>JÄMTLANDS LÄN</t>
        </is>
      </c>
      <c r="E1008" t="inlineStr">
        <is>
          <t>RAGUNDA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44597-2024</t>
        </is>
      </c>
      <c r="B1009" s="1" t="n">
        <v>45574.51087962963</v>
      </c>
      <c r="C1009" s="1" t="n">
        <v>46072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44598-2024</t>
        </is>
      </c>
      <c r="B1010" s="1" t="n">
        <v>45574.51090277778</v>
      </c>
      <c r="C1010" s="1" t="n">
        <v>46072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8312-2026</t>
        </is>
      </c>
      <c r="B1011" s="1" t="n">
        <v>46064</v>
      </c>
      <c r="C1011" s="1" t="n">
        <v>46072</v>
      </c>
      <c r="D1011" t="inlineStr">
        <is>
          <t>JÄMTLANDS LÄN</t>
        </is>
      </c>
      <c r="E1011" t="inlineStr">
        <is>
          <t>RAGUNDA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18610-2024</t>
        </is>
      </c>
      <c r="B1012" s="1" t="n">
        <v>45425.96230324074</v>
      </c>
      <c r="C1012" s="1" t="n">
        <v>46072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9566-2026</t>
        </is>
      </c>
      <c r="B1013" s="1" t="n">
        <v>46071.65679398148</v>
      </c>
      <c r="C1013" s="1" t="n">
        <v>46072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18.9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57116-2024</t>
        </is>
      </c>
      <c r="B1014" s="1" t="n">
        <v>45629.36513888889</v>
      </c>
      <c r="C1014" s="1" t="n">
        <v>46072</v>
      </c>
      <c r="D1014" t="inlineStr">
        <is>
          <t>JÄMTLANDS LÄN</t>
        </is>
      </c>
      <c r="E1014" t="inlineStr">
        <is>
          <t>RAGUNDA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9538-2026</t>
        </is>
      </c>
      <c r="B1015" s="1" t="n">
        <v>46071.61511574074</v>
      </c>
      <c r="C1015" s="1" t="n">
        <v>46072</v>
      </c>
      <c r="D1015" t="inlineStr">
        <is>
          <t>JÄMTLANDS LÄN</t>
        </is>
      </c>
      <c r="E1015" t="inlineStr">
        <is>
          <t>RAGUNDA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3104-2025</t>
        </is>
      </c>
      <c r="B1016" s="1" t="n">
        <v>45678.67761574074</v>
      </c>
      <c r="C1016" s="1" t="n">
        <v>46072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46.2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647-2026</t>
        </is>
      </c>
      <c r="B1017" s="1" t="n">
        <v>46029.57357638889</v>
      </c>
      <c r="C1017" s="1" t="n">
        <v>46072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40246-2024</t>
        </is>
      </c>
      <c r="B1018" s="1" t="n">
        <v>45554.61583333334</v>
      </c>
      <c r="C1018" s="1" t="n">
        <v>46072</v>
      </c>
      <c r="D1018" t="inlineStr">
        <is>
          <t>JÄMTLANDS LÄN</t>
        </is>
      </c>
      <c r="E1018" t="inlineStr">
        <is>
          <t>RAGUNDA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4878-2022</t>
        </is>
      </c>
      <c r="B1019" s="1" t="n">
        <v>44593</v>
      </c>
      <c r="C1019" s="1" t="n">
        <v>46072</v>
      </c>
      <c r="D1019" t="inlineStr">
        <is>
          <t>JÄMTLANDS LÄN</t>
        </is>
      </c>
      <c r="E1019" t="inlineStr">
        <is>
          <t>RAGUNDA</t>
        </is>
      </c>
      <c r="G1019" t="n">
        <v>21.7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57237-2022</t>
        </is>
      </c>
      <c r="B1020" s="1" t="n">
        <v>44889</v>
      </c>
      <c r="C1020" s="1" t="n">
        <v>46072</v>
      </c>
      <c r="D1020" t="inlineStr">
        <is>
          <t>JÄMTLANDS LÄN</t>
        </is>
      </c>
      <c r="E1020" t="inlineStr">
        <is>
          <t>RAGUNDA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9316-2026</t>
        </is>
      </c>
      <c r="B1021" s="1" t="n">
        <v>46070.62200231481</v>
      </c>
      <c r="C1021" s="1" t="n">
        <v>46072</v>
      </c>
      <c r="D1021" t="inlineStr">
        <is>
          <t>JÄMTLANDS LÄN</t>
        </is>
      </c>
      <c r="E1021" t="inlineStr">
        <is>
          <t>RAGUNDA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2133-2023</t>
        </is>
      </c>
      <c r="B1022" s="1" t="n">
        <v>44939</v>
      </c>
      <c r="C1022" s="1" t="n">
        <v>46072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19419-2024</t>
        </is>
      </c>
      <c r="B1023" s="1" t="n">
        <v>45429</v>
      </c>
      <c r="C1023" s="1" t="n">
        <v>46072</v>
      </c>
      <c r="D1023" t="inlineStr">
        <is>
          <t>JÄMTLANDS LÄN</t>
        </is>
      </c>
      <c r="E1023" t="inlineStr">
        <is>
          <t>RAGUNDA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19383-2025</t>
        </is>
      </c>
      <c r="B1024" s="1" t="n">
        <v>45769.65688657408</v>
      </c>
      <c r="C1024" s="1" t="n">
        <v>46072</v>
      </c>
      <c r="D1024" t="inlineStr">
        <is>
          <t>JÄMTLANDS LÄN</t>
        </is>
      </c>
      <c r="E1024" t="inlineStr">
        <is>
          <t>RAGUNDA</t>
        </is>
      </c>
      <c r="F1024" t="inlineStr">
        <is>
          <t>SCA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9513-2026</t>
        </is>
      </c>
      <c r="B1025" s="1" t="n">
        <v>46071.59444444445</v>
      </c>
      <c r="C1025" s="1" t="n">
        <v>46072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26.1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49229-2024</t>
        </is>
      </c>
      <c r="B1026" s="1" t="n">
        <v>45595.42738425926</v>
      </c>
      <c r="C1026" s="1" t="n">
        <v>46072</v>
      </c>
      <c r="D1026" t="inlineStr">
        <is>
          <t>JÄMTLANDS LÄN</t>
        </is>
      </c>
      <c r="E1026" t="inlineStr">
        <is>
          <t>RAGUNDA</t>
        </is>
      </c>
      <c r="F1026" t="inlineStr">
        <is>
          <t>SCA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13700-2023</t>
        </is>
      </c>
      <c r="B1027" s="1" t="n">
        <v>45006</v>
      </c>
      <c r="C1027" s="1" t="n">
        <v>46072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50.3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51389-2024</t>
        </is>
      </c>
      <c r="B1028" s="1" t="n">
        <v>45604.40540509259</v>
      </c>
      <c r="C1028" s="1" t="n">
        <v>46072</v>
      </c>
      <c r="D1028" t="inlineStr">
        <is>
          <t>JÄMTLANDS LÄN</t>
        </is>
      </c>
      <c r="E1028" t="inlineStr">
        <is>
          <t>RAGUNDA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51393-2024</t>
        </is>
      </c>
      <c r="B1029" s="1" t="n">
        <v>45604.41625</v>
      </c>
      <c r="C1029" s="1" t="n">
        <v>46072</v>
      </c>
      <c r="D1029" t="inlineStr">
        <is>
          <t>JÄMTLANDS LÄN</t>
        </is>
      </c>
      <c r="E1029" t="inlineStr">
        <is>
          <t>RAGUNDA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9537-2026</t>
        </is>
      </c>
      <c r="B1030" s="1" t="n">
        <v>46071.61503472222</v>
      </c>
      <c r="C1030" s="1" t="n">
        <v>46072</v>
      </c>
      <c r="D1030" t="inlineStr">
        <is>
          <t>JÄMTLANDS LÄN</t>
        </is>
      </c>
      <c r="E1030" t="inlineStr">
        <is>
          <t>RAGUNDA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20987-2023</t>
        </is>
      </c>
      <c r="B1031" s="1" t="n">
        <v>45056</v>
      </c>
      <c r="C1031" s="1" t="n">
        <v>46072</v>
      </c>
      <c r="D1031" t="inlineStr">
        <is>
          <t>JÄMTLANDS LÄN</t>
        </is>
      </c>
      <c r="E1031" t="inlineStr">
        <is>
          <t>RAGUNDA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20994-2023</t>
        </is>
      </c>
      <c r="B1032" s="1" t="n">
        <v>45056</v>
      </c>
      <c r="C1032" s="1" t="n">
        <v>46072</v>
      </c>
      <c r="D1032" t="inlineStr">
        <is>
          <t>JÄMTLANDS LÄN</t>
        </is>
      </c>
      <c r="E1032" t="inlineStr">
        <is>
          <t>RAGUNDA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55669-2023</t>
        </is>
      </c>
      <c r="B1033" s="1" t="n">
        <v>45238.96797453704</v>
      </c>
      <c r="C1033" s="1" t="n">
        <v>46072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32063-2024</t>
        </is>
      </c>
      <c r="B1034" s="1" t="n">
        <v>45510</v>
      </c>
      <c r="C1034" s="1" t="n">
        <v>46072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10641-2024</t>
        </is>
      </c>
      <c r="B1035" s="1" t="n">
        <v>45367.69850694444</v>
      </c>
      <c r="C1035" s="1" t="n">
        <v>46072</v>
      </c>
      <c r="D1035" t="inlineStr">
        <is>
          <t>JÄMTLANDS LÄN</t>
        </is>
      </c>
      <c r="E1035" t="inlineStr">
        <is>
          <t>RAGUNDA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10644-2024</t>
        </is>
      </c>
      <c r="B1036" s="1" t="n">
        <v>45367.71348379629</v>
      </c>
      <c r="C1036" s="1" t="n">
        <v>46072</v>
      </c>
      <c r="D1036" t="inlineStr">
        <is>
          <t>JÄMTLANDS LÄN</t>
        </is>
      </c>
      <c r="E1036" t="inlineStr">
        <is>
          <t>RAGUNDA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20426-2024</t>
        </is>
      </c>
      <c r="B1037" s="1" t="n">
        <v>45435</v>
      </c>
      <c r="C1037" s="1" t="n">
        <v>46072</v>
      </c>
      <c r="D1037" t="inlineStr">
        <is>
          <t>JÄMTLANDS LÄN</t>
        </is>
      </c>
      <c r="E1037" t="inlineStr">
        <is>
          <t>RAGUNDA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17742-2022</t>
        </is>
      </c>
      <c r="B1038" s="1" t="n">
        <v>44680.95246527778</v>
      </c>
      <c r="C1038" s="1" t="n">
        <v>46072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30825-2023</t>
        </is>
      </c>
      <c r="B1039" s="1" t="n">
        <v>45112.94310185185</v>
      </c>
      <c r="C1039" s="1" t="n">
        <v>46072</v>
      </c>
      <c r="D1039" t="inlineStr">
        <is>
          <t>JÄMTLANDS LÄN</t>
        </is>
      </c>
      <c r="E1039" t="inlineStr">
        <is>
          <t>RAGUNDA</t>
        </is>
      </c>
      <c r="F1039" t="inlineStr">
        <is>
          <t>SCA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9084-2023</t>
        </is>
      </c>
      <c r="B1040" s="1" t="n">
        <v>44979</v>
      </c>
      <c r="C1040" s="1" t="n">
        <v>46072</v>
      </c>
      <c r="D1040" t="inlineStr">
        <is>
          <t>JÄMTLANDS LÄN</t>
        </is>
      </c>
      <c r="E1040" t="inlineStr">
        <is>
          <t>RAGUNDA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9326-2024</t>
        </is>
      </c>
      <c r="B1041" s="1" t="n">
        <v>45358.95818287037</v>
      </c>
      <c r="C1041" s="1" t="n">
        <v>46072</v>
      </c>
      <c r="D1041" t="inlineStr">
        <is>
          <t>JÄMTLANDS LÄN</t>
        </is>
      </c>
      <c r="E1041" t="inlineStr">
        <is>
          <t>RAGUNDA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7520-2023</t>
        </is>
      </c>
      <c r="B1042" s="1" t="n">
        <v>44971</v>
      </c>
      <c r="C1042" s="1" t="n">
        <v>46072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21662-2023</t>
        </is>
      </c>
      <c r="B1043" s="1" t="n">
        <v>45063</v>
      </c>
      <c r="C1043" s="1" t="n">
        <v>46072</v>
      </c>
      <c r="D1043" t="inlineStr">
        <is>
          <t>JÄMTLANDS LÄN</t>
        </is>
      </c>
      <c r="E1043" t="inlineStr">
        <is>
          <t>RAGUNDA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44727-2024</t>
        </is>
      </c>
      <c r="B1044" s="1" t="n">
        <v>45574.57967592592</v>
      </c>
      <c r="C1044" s="1" t="n">
        <v>46072</v>
      </c>
      <c r="D1044" t="inlineStr">
        <is>
          <t>JÄMTLANDS LÄN</t>
        </is>
      </c>
      <c r="E1044" t="inlineStr">
        <is>
          <t>RAGUNDA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21083-2024</t>
        </is>
      </c>
      <c r="B1045" s="1" t="n">
        <v>45439.92752314815</v>
      </c>
      <c r="C1045" s="1" t="n">
        <v>46072</v>
      </c>
      <c r="D1045" t="inlineStr">
        <is>
          <t>JÄMTLANDS LÄN</t>
        </is>
      </c>
      <c r="E1045" t="inlineStr">
        <is>
          <t>RAGUNDA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462-2023</t>
        </is>
      </c>
      <c r="B1046" s="1" t="n">
        <v>44929</v>
      </c>
      <c r="C1046" s="1" t="n">
        <v>46072</v>
      </c>
      <c r="D1046" t="inlineStr">
        <is>
          <t>JÄMTLANDS LÄN</t>
        </is>
      </c>
      <c r="E1046" t="inlineStr">
        <is>
          <t>RAGUNDA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12050-2023</t>
        </is>
      </c>
      <c r="B1047" s="1" t="n">
        <v>44995.98644675926</v>
      </c>
      <c r="C1047" s="1" t="n">
        <v>46072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62358-2023</t>
        </is>
      </c>
      <c r="B1048" s="1" t="n">
        <v>45267</v>
      </c>
      <c r="C1048" s="1" t="n">
        <v>46072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37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18820-2023</t>
        </is>
      </c>
      <c r="B1049" s="1" t="n">
        <v>45042</v>
      </c>
      <c r="C1049" s="1" t="n">
        <v>46072</v>
      </c>
      <c r="D1049" t="inlineStr">
        <is>
          <t>JÄMTLANDS LÄN</t>
        </is>
      </c>
      <c r="E1049" t="inlineStr">
        <is>
          <t>RAGUNDA</t>
        </is>
      </c>
      <c r="G1049" t="n">
        <v>18.8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49648-2023</t>
        </is>
      </c>
      <c r="B1050" s="1" t="n">
        <v>45211.95061342593</v>
      </c>
      <c r="C1050" s="1" t="n">
        <v>46072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51537-2022</t>
        </is>
      </c>
      <c r="B1051" s="1" t="n">
        <v>44869</v>
      </c>
      <c r="C1051" s="1" t="n">
        <v>46072</v>
      </c>
      <c r="D1051" t="inlineStr">
        <is>
          <t>JÄMTLANDS LÄN</t>
        </is>
      </c>
      <c r="E1051" t="inlineStr">
        <is>
          <t>RAGUNDA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59044-2022</t>
        </is>
      </c>
      <c r="B1052" s="1" t="n">
        <v>44903</v>
      </c>
      <c r="C1052" s="1" t="n">
        <v>46072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5958-2023</t>
        </is>
      </c>
      <c r="B1053" s="1" t="n">
        <v>44963</v>
      </c>
      <c r="C1053" s="1" t="n">
        <v>46072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8779-2025</t>
        </is>
      </c>
      <c r="B1054" s="1" t="n">
        <v>45712.61552083334</v>
      </c>
      <c r="C1054" s="1" t="n">
        <v>46072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61400-2022</t>
        </is>
      </c>
      <c r="B1055" s="1" t="n">
        <v>44915</v>
      </c>
      <c r="C1055" s="1" t="n">
        <v>46072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4348-2023</t>
        </is>
      </c>
      <c r="B1056" s="1" t="n">
        <v>44953</v>
      </c>
      <c r="C1056" s="1" t="n">
        <v>46072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56286-2023</t>
        </is>
      </c>
      <c r="B1057" s="1" t="n">
        <v>45241.95741898148</v>
      </c>
      <c r="C1057" s="1" t="n">
        <v>46072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56287-2023</t>
        </is>
      </c>
      <c r="B1058" s="1" t="n">
        <v>45241</v>
      </c>
      <c r="C1058" s="1" t="n">
        <v>46072</v>
      </c>
      <c r="D1058" t="inlineStr">
        <is>
          <t>JÄMTLANDS LÄN</t>
        </is>
      </c>
      <c r="E1058" t="inlineStr">
        <is>
          <t>RAGUNDA</t>
        </is>
      </c>
      <c r="F1058" t="inlineStr">
        <is>
          <t>SCA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62135-2024</t>
        </is>
      </c>
      <c r="B1059" s="1" t="n">
        <v>45656.64223379629</v>
      </c>
      <c r="C1059" s="1" t="n">
        <v>46072</v>
      </c>
      <c r="D1059" t="inlineStr">
        <is>
          <t>JÄMTLANDS LÄN</t>
        </is>
      </c>
      <c r="E1059" t="inlineStr">
        <is>
          <t>RAGUNDA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18248-2023</t>
        </is>
      </c>
      <c r="B1060" s="1" t="n">
        <v>45040</v>
      </c>
      <c r="C1060" s="1" t="n">
        <v>46072</v>
      </c>
      <c r="D1060" t="inlineStr">
        <is>
          <t>JÄMTLANDS LÄN</t>
        </is>
      </c>
      <c r="E1060" t="inlineStr">
        <is>
          <t>RAGUNDA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8802-2022</t>
        </is>
      </c>
      <c r="B1061" s="1" t="n">
        <v>44614</v>
      </c>
      <c r="C1061" s="1" t="n">
        <v>46072</v>
      </c>
      <c r="D1061" t="inlineStr">
        <is>
          <t>JÄMTLANDS LÄN</t>
        </is>
      </c>
      <c r="E1061" t="inlineStr">
        <is>
          <t>RAGUNDA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39489-2023</t>
        </is>
      </c>
      <c r="B1062" s="1" t="n">
        <v>45166</v>
      </c>
      <c r="C1062" s="1" t="n">
        <v>46072</v>
      </c>
      <c r="D1062" t="inlineStr">
        <is>
          <t>JÄMTLANDS LÄN</t>
        </is>
      </c>
      <c r="E1062" t="inlineStr">
        <is>
          <t>RAGUNDA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55214-2022</t>
        </is>
      </c>
      <c r="B1063" s="1" t="n">
        <v>44886</v>
      </c>
      <c r="C1063" s="1" t="n">
        <v>46072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7722-2023</t>
        </is>
      </c>
      <c r="B1064" s="1" t="n">
        <v>44972.94140046297</v>
      </c>
      <c r="C1064" s="1" t="n">
        <v>46072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12204-2025</t>
        </is>
      </c>
      <c r="B1065" s="1" t="n">
        <v>45729.51074074074</v>
      </c>
      <c r="C1065" s="1" t="n">
        <v>46072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13299-2024</t>
        </is>
      </c>
      <c r="B1066" s="1" t="n">
        <v>45386.68003472222</v>
      </c>
      <c r="C1066" s="1" t="n">
        <v>46072</v>
      </c>
      <c r="D1066" t="inlineStr">
        <is>
          <t>JÄMTLANDS LÄN</t>
        </is>
      </c>
      <c r="E1066" t="inlineStr">
        <is>
          <t>RAGUNDA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15024-2022</t>
        </is>
      </c>
      <c r="B1067" s="1" t="n">
        <v>44657</v>
      </c>
      <c r="C1067" s="1" t="n">
        <v>46072</v>
      </c>
      <c r="D1067" t="inlineStr">
        <is>
          <t>JÄMTLANDS LÄN</t>
        </is>
      </c>
      <c r="E1067" t="inlineStr">
        <is>
          <t>RAGUNDA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891-2022</t>
        </is>
      </c>
      <c r="B1068" s="1" t="n">
        <v>44571</v>
      </c>
      <c r="C1068" s="1" t="n">
        <v>46072</v>
      </c>
      <c r="D1068" t="inlineStr">
        <is>
          <t>JÄMTLANDS LÄN</t>
        </is>
      </c>
      <c r="E1068" t="inlineStr">
        <is>
          <t>RAGUNDA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36371-2023</t>
        </is>
      </c>
      <c r="B1069" s="1" t="n">
        <v>45149</v>
      </c>
      <c r="C1069" s="1" t="n">
        <v>46072</v>
      </c>
      <c r="D1069" t="inlineStr">
        <is>
          <t>JÄMTLANDS LÄN</t>
        </is>
      </c>
      <c r="E1069" t="inlineStr">
        <is>
          <t>RAGUNDA</t>
        </is>
      </c>
      <c r="G1069" t="n">
        <v>25.7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56702-2023</t>
        </is>
      </c>
      <c r="B1070" s="1" t="n">
        <v>45243</v>
      </c>
      <c r="C1070" s="1" t="n">
        <v>46072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32259-2024</t>
        </is>
      </c>
      <c r="B1071" s="1" t="n">
        <v>45511</v>
      </c>
      <c r="C1071" s="1" t="n">
        <v>46072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5313-2025</t>
        </is>
      </c>
      <c r="B1072" s="1" t="n">
        <v>45692.51069444444</v>
      </c>
      <c r="C1072" s="1" t="n">
        <v>46072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5357-2025</t>
        </is>
      </c>
      <c r="B1073" s="1" t="n">
        <v>45692.57326388889</v>
      </c>
      <c r="C1073" s="1" t="n">
        <v>46072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3018-2024</t>
        </is>
      </c>
      <c r="B1074" s="1" t="n">
        <v>45315.9492824074</v>
      </c>
      <c r="C1074" s="1" t="n">
        <v>46072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44605-2024</t>
        </is>
      </c>
      <c r="B1075" s="1" t="n">
        <v>45574.51185185185</v>
      </c>
      <c r="C1075" s="1" t="n">
        <v>46072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20773-2024</t>
        </is>
      </c>
      <c r="B1076" s="1" t="n">
        <v>45436.94636574074</v>
      </c>
      <c r="C1076" s="1" t="n">
        <v>46072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34323-2023</t>
        </is>
      </c>
      <c r="B1077" s="1" t="n">
        <v>45138.94925925926</v>
      </c>
      <c r="C1077" s="1" t="n">
        <v>46072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50486-2023</t>
        </is>
      </c>
      <c r="B1078" s="1" t="n">
        <v>45216.92424768519</v>
      </c>
      <c r="C1078" s="1" t="n">
        <v>46072</v>
      </c>
      <c r="D1078" t="inlineStr">
        <is>
          <t>JÄMTLANDS LÄN</t>
        </is>
      </c>
      <c r="E1078" t="inlineStr">
        <is>
          <t>RAGUNDA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51538-2022</t>
        </is>
      </c>
      <c r="B1079" s="1" t="n">
        <v>44869</v>
      </c>
      <c r="C1079" s="1" t="n">
        <v>46072</v>
      </c>
      <c r="D1079" t="inlineStr">
        <is>
          <t>JÄMTLANDS LÄN</t>
        </is>
      </c>
      <c r="E1079" t="inlineStr">
        <is>
          <t>RAGUNDA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19854-2025</t>
        </is>
      </c>
      <c r="B1080" s="1" t="n">
        <v>45771.51074074074</v>
      </c>
      <c r="C1080" s="1" t="n">
        <v>46072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50503-2024</t>
        </is>
      </c>
      <c r="B1081" s="1" t="n">
        <v>45601.5315625</v>
      </c>
      <c r="C1081" s="1" t="n">
        <v>46072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10610-2024</t>
        </is>
      </c>
      <c r="B1082" s="1" t="n">
        <v>45367.04693287037</v>
      </c>
      <c r="C1082" s="1" t="n">
        <v>46072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10706-2023</t>
        </is>
      </c>
      <c r="B1083" s="1" t="n">
        <v>44984</v>
      </c>
      <c r="C1083" s="1" t="n">
        <v>46072</v>
      </c>
      <c r="D1083" t="inlineStr">
        <is>
          <t>JÄMTLANDS LÄN</t>
        </is>
      </c>
      <c r="E1083" t="inlineStr">
        <is>
          <t>RAGUNDA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63708-2023</t>
        </is>
      </c>
      <c r="B1084" s="1" t="n">
        <v>45275.95060185185</v>
      </c>
      <c r="C1084" s="1" t="n">
        <v>46072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16250-2022</t>
        </is>
      </c>
      <c r="B1085" s="1" t="n">
        <v>44670</v>
      </c>
      <c r="C1085" s="1" t="n">
        <v>46072</v>
      </c>
      <c r="D1085" t="inlineStr">
        <is>
          <t>JÄMTLANDS LÄN</t>
        </is>
      </c>
      <c r="E1085" t="inlineStr">
        <is>
          <t>RAGUNDA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60663-2022</t>
        </is>
      </c>
      <c r="B1086" s="1" t="n">
        <v>44911.93846064815</v>
      </c>
      <c r="C1086" s="1" t="n">
        <v>46072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58847-2024</t>
        </is>
      </c>
      <c r="B1087" s="1" t="n">
        <v>45636.3864699074</v>
      </c>
      <c r="C1087" s="1" t="n">
        <v>46072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27777-2022</t>
        </is>
      </c>
      <c r="B1088" s="1" t="n">
        <v>44743</v>
      </c>
      <c r="C1088" s="1" t="n">
        <v>46072</v>
      </c>
      <c r="D1088" t="inlineStr">
        <is>
          <t>JÄMTLANDS LÄN</t>
        </is>
      </c>
      <c r="E1088" t="inlineStr">
        <is>
          <t>RAGUNDA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42875-2024</t>
        </is>
      </c>
      <c r="B1089" s="1" t="n">
        <v>45566.68125</v>
      </c>
      <c r="C1089" s="1" t="n">
        <v>46072</v>
      </c>
      <c r="D1089" t="inlineStr">
        <is>
          <t>JÄMTLANDS LÄN</t>
        </is>
      </c>
      <c r="E1089" t="inlineStr">
        <is>
          <t>RAGUNDA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53935-2022</t>
        </is>
      </c>
      <c r="B1090" s="1" t="n">
        <v>44880</v>
      </c>
      <c r="C1090" s="1" t="n">
        <v>46072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41262-2021</t>
        </is>
      </c>
      <c r="B1091" s="1" t="n">
        <v>44424</v>
      </c>
      <c r="C1091" s="1" t="n">
        <v>46072</v>
      </c>
      <c r="D1091" t="inlineStr">
        <is>
          <t>JÄMTLANDS LÄN</t>
        </is>
      </c>
      <c r="E1091" t="inlineStr">
        <is>
          <t>RAGUNDA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20221-2025</t>
        </is>
      </c>
      <c r="B1092" s="1" t="n">
        <v>45772.6565625</v>
      </c>
      <c r="C1092" s="1" t="n">
        <v>46072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4015-2022</t>
        </is>
      </c>
      <c r="B1093" s="1" t="n">
        <v>44587.92149305555</v>
      </c>
      <c r="C1093" s="1" t="n">
        <v>46072</v>
      </c>
      <c r="D1093" t="inlineStr">
        <is>
          <t>JÄMTLANDS LÄN</t>
        </is>
      </c>
      <c r="E1093" t="inlineStr">
        <is>
          <t>RAGUNDA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8416-2023</t>
        </is>
      </c>
      <c r="B1094" s="1" t="n">
        <v>44977.44373842593</v>
      </c>
      <c r="C1094" s="1" t="n">
        <v>46072</v>
      </c>
      <c r="D1094" t="inlineStr">
        <is>
          <t>JÄMTLANDS LÄN</t>
        </is>
      </c>
      <c r="E1094" t="inlineStr">
        <is>
          <t>RAGUNDA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45253-2023</t>
        </is>
      </c>
      <c r="B1095" s="1" t="n">
        <v>45187</v>
      </c>
      <c r="C1095" s="1" t="n">
        <v>46072</v>
      </c>
      <c r="D1095" t="inlineStr">
        <is>
          <t>JÄMTLANDS LÄN</t>
        </is>
      </c>
      <c r="E1095" t="inlineStr">
        <is>
          <t>RAGUNDA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14369-2024</t>
        </is>
      </c>
      <c r="B1096" s="1" t="n">
        <v>45393.94459490741</v>
      </c>
      <c r="C1096" s="1" t="n">
        <v>46072</v>
      </c>
      <c r="D1096" t="inlineStr">
        <is>
          <t>JÄMTLANDS LÄN</t>
        </is>
      </c>
      <c r="E1096" t="inlineStr">
        <is>
          <t>RAGUNDA</t>
        </is>
      </c>
      <c r="F1096" t="inlineStr">
        <is>
          <t>Naturvårdsverket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182-2023</t>
        </is>
      </c>
      <c r="B1097" s="1" t="n">
        <v>44922</v>
      </c>
      <c r="C1097" s="1" t="n">
        <v>46072</v>
      </c>
      <c r="D1097" t="inlineStr">
        <is>
          <t>JÄMTLANDS LÄN</t>
        </is>
      </c>
      <c r="E1097" t="inlineStr">
        <is>
          <t>RAGUNDA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6490-2022</t>
        </is>
      </c>
      <c r="B1098" s="1" t="n">
        <v>44601</v>
      </c>
      <c r="C1098" s="1" t="n">
        <v>46072</v>
      </c>
      <c r="D1098" t="inlineStr">
        <is>
          <t>JÄMTLANDS LÄN</t>
        </is>
      </c>
      <c r="E1098" t="inlineStr">
        <is>
          <t>RAGUNDA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6477-2024</t>
        </is>
      </c>
      <c r="B1099" s="1" t="n">
        <v>45338.95405092592</v>
      </c>
      <c r="C1099" s="1" t="n">
        <v>46072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18193-2022</t>
        </is>
      </c>
      <c r="B1100" s="1" t="n">
        <v>44684.94032407407</v>
      </c>
      <c r="C1100" s="1" t="n">
        <v>46072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11551-2024</t>
        </is>
      </c>
      <c r="B1101" s="1" t="n">
        <v>45372.95762731481</v>
      </c>
      <c r="C1101" s="1" t="n">
        <v>46072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49647-2024</t>
        </is>
      </c>
      <c r="B1102" s="1" t="n">
        <v>45596.61533564814</v>
      </c>
      <c r="C1102" s="1" t="n">
        <v>46072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53264-2024</t>
        </is>
      </c>
      <c r="B1103" s="1" t="n">
        <v>45614.34545138889</v>
      </c>
      <c r="C1103" s="1" t="n">
        <v>46072</v>
      </c>
      <c r="D1103" t="inlineStr">
        <is>
          <t>JÄMTLANDS LÄN</t>
        </is>
      </c>
      <c r="E1103" t="inlineStr">
        <is>
          <t>RAGUNDA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13389-2025</t>
        </is>
      </c>
      <c r="B1104" s="1" t="n">
        <v>45735.69842592593</v>
      </c>
      <c r="C1104" s="1" t="n">
        <v>46072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45631-2024</t>
        </is>
      </c>
      <c r="B1105" s="1" t="n">
        <v>45579.47052083333</v>
      </c>
      <c r="C1105" s="1" t="n">
        <v>46072</v>
      </c>
      <c r="D1105" t="inlineStr">
        <is>
          <t>JÄMTLANDS LÄN</t>
        </is>
      </c>
      <c r="E1105" t="inlineStr">
        <is>
          <t>RAGUNDA</t>
        </is>
      </c>
      <c r="G1105" t="n">
        <v>15.1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55701-2021</t>
        </is>
      </c>
      <c r="B1106" s="1" t="n">
        <v>44475</v>
      </c>
      <c r="C1106" s="1" t="n">
        <v>46072</v>
      </c>
      <c r="D1106" t="inlineStr">
        <is>
          <t>JÄMTLANDS LÄN</t>
        </is>
      </c>
      <c r="E1106" t="inlineStr">
        <is>
          <t>RAGUNDA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30484-2024</t>
        </is>
      </c>
      <c r="B1107" s="1" t="n">
        <v>45491</v>
      </c>
      <c r="C1107" s="1" t="n">
        <v>46072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14513-2025</t>
        </is>
      </c>
      <c r="B1108" s="1" t="n">
        <v>45741.63675925926</v>
      </c>
      <c r="C1108" s="1" t="n">
        <v>46072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55904-2022</t>
        </is>
      </c>
      <c r="B1109" s="1" t="n">
        <v>44888</v>
      </c>
      <c r="C1109" s="1" t="n">
        <v>46072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7281-2025</t>
        </is>
      </c>
      <c r="B1110" s="1" t="n">
        <v>45702.63572916666</v>
      </c>
      <c r="C1110" s="1" t="n">
        <v>46072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48192-2024</t>
        </is>
      </c>
      <c r="B1111" s="1" t="n">
        <v>45590</v>
      </c>
      <c r="C1111" s="1" t="n">
        <v>46072</v>
      </c>
      <c r="D1111" t="inlineStr">
        <is>
          <t>JÄMTLANDS LÄN</t>
        </is>
      </c>
      <c r="E1111" t="inlineStr">
        <is>
          <t>RAGUNDA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2599-2023</t>
        </is>
      </c>
      <c r="B1112" s="1" t="n">
        <v>44943.94802083333</v>
      </c>
      <c r="C1112" s="1" t="n">
        <v>46072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48249-2024</t>
        </is>
      </c>
      <c r="B1113" s="1" t="n">
        <v>45590.40675925926</v>
      </c>
      <c r="C1113" s="1" t="n">
        <v>46072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64265-2023</t>
        </is>
      </c>
      <c r="B1114" s="1" t="n">
        <v>45279.94572916667</v>
      </c>
      <c r="C1114" s="1" t="n">
        <v>46072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9.300000000000001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66706-2021</t>
        </is>
      </c>
      <c r="B1115" s="1" t="n">
        <v>44519.94440972222</v>
      </c>
      <c r="C1115" s="1" t="n">
        <v>46072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55222-2024</t>
        </is>
      </c>
      <c r="B1116" s="1" t="n">
        <v>45621.57395833333</v>
      </c>
      <c r="C1116" s="1" t="n">
        <v>46072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46211-2024</t>
        </is>
      </c>
      <c r="B1117" s="1" t="n">
        <v>45581.55260416667</v>
      </c>
      <c r="C1117" s="1" t="n">
        <v>46072</v>
      </c>
      <c r="D1117" t="inlineStr">
        <is>
          <t>JÄMTLANDS LÄN</t>
        </is>
      </c>
      <c r="E1117" t="inlineStr">
        <is>
          <t>RAGUNDA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31435-2022</t>
        </is>
      </c>
      <c r="B1118" s="1" t="n">
        <v>44774</v>
      </c>
      <c r="C1118" s="1" t="n">
        <v>46072</v>
      </c>
      <c r="D1118" t="inlineStr">
        <is>
          <t>JÄMTLANDS LÄN</t>
        </is>
      </c>
      <c r="E1118" t="inlineStr">
        <is>
          <t>RAGUNDA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39608-2024</t>
        </is>
      </c>
      <c r="B1119" s="1" t="n">
        <v>45552.39113425926</v>
      </c>
      <c r="C1119" s="1" t="n">
        <v>46072</v>
      </c>
      <c r="D1119" t="inlineStr">
        <is>
          <t>JÄMTLANDS LÄN</t>
        </is>
      </c>
      <c r="E1119" t="inlineStr">
        <is>
          <t>RAGUNDA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39626-2024</t>
        </is>
      </c>
      <c r="B1120" s="1" t="n">
        <v>45552.44096064815</v>
      </c>
      <c r="C1120" s="1" t="n">
        <v>46072</v>
      </c>
      <c r="D1120" t="inlineStr">
        <is>
          <t>JÄMTLANDS LÄN</t>
        </is>
      </c>
      <c r="E1120" t="inlineStr">
        <is>
          <t>RAGUNDA</t>
        </is>
      </c>
      <c r="G1120" t="n">
        <v>23.5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56984-2022</t>
        </is>
      </c>
      <c r="B1121" s="1" t="n">
        <v>44894.79018518519</v>
      </c>
      <c r="C1121" s="1" t="n">
        <v>46072</v>
      </c>
      <c r="D1121" t="inlineStr">
        <is>
          <t>JÄMTLANDS LÄN</t>
        </is>
      </c>
      <c r="E1121" t="inlineStr">
        <is>
          <t>RAGUNDA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13264-2025</t>
        </is>
      </c>
      <c r="B1122" s="1" t="n">
        <v>45735</v>
      </c>
      <c r="C1122" s="1" t="n">
        <v>46072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5307-2025</t>
        </is>
      </c>
      <c r="B1123" s="1" t="n">
        <v>45692.48993055556</v>
      </c>
      <c r="C1123" s="1" t="n">
        <v>46072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38548-2024</t>
        </is>
      </c>
      <c r="B1124" s="1" t="n">
        <v>45546</v>
      </c>
      <c r="C1124" s="1" t="n">
        <v>46072</v>
      </c>
      <c r="D1124" t="inlineStr">
        <is>
          <t>JÄMTLANDS LÄN</t>
        </is>
      </c>
      <c r="E1124" t="inlineStr">
        <is>
          <t>RAGUNDA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2411-2023</t>
        </is>
      </c>
      <c r="B1125" s="1" t="n">
        <v>44942</v>
      </c>
      <c r="C1125" s="1" t="n">
        <v>46072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13935-2024</t>
        </is>
      </c>
      <c r="B1126" s="1" t="n">
        <v>45391.95329861111</v>
      </c>
      <c r="C1126" s="1" t="n">
        <v>46072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5308-2025</t>
        </is>
      </c>
      <c r="B1127" s="1" t="n">
        <v>45692.49008101852</v>
      </c>
      <c r="C1127" s="1" t="n">
        <v>46072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58194-2022</t>
        </is>
      </c>
      <c r="B1128" s="1" t="n">
        <v>44900</v>
      </c>
      <c r="C1128" s="1" t="n">
        <v>46072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24171-2021</t>
        </is>
      </c>
      <c r="B1129" s="1" t="n">
        <v>44336</v>
      </c>
      <c r="C1129" s="1" t="n">
        <v>46072</v>
      </c>
      <c r="D1129" t="inlineStr">
        <is>
          <t>JÄMTLANDS LÄN</t>
        </is>
      </c>
      <c r="E1129" t="inlineStr">
        <is>
          <t>RAGUNDA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58843-2024</t>
        </is>
      </c>
      <c r="B1130" s="1" t="n">
        <v>45636.38599537037</v>
      </c>
      <c r="C1130" s="1" t="n">
        <v>46072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53287-2022</t>
        </is>
      </c>
      <c r="B1131" s="1" t="n">
        <v>44876</v>
      </c>
      <c r="C1131" s="1" t="n">
        <v>46072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16320-2025</t>
        </is>
      </c>
      <c r="B1132" s="1" t="n">
        <v>45751.34859953704</v>
      </c>
      <c r="C1132" s="1" t="n">
        <v>46072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16.2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16321-2025</t>
        </is>
      </c>
      <c r="B1133" s="1" t="n">
        <v>45751.34873842593</v>
      </c>
      <c r="C1133" s="1" t="n">
        <v>46072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63.3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14696-2022</t>
        </is>
      </c>
      <c r="B1134" s="1" t="n">
        <v>44655</v>
      </c>
      <c r="C1134" s="1" t="n">
        <v>46072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55514-2024</t>
        </is>
      </c>
      <c r="B1135" s="1" t="n">
        <v>45622.46910879629</v>
      </c>
      <c r="C1135" s="1" t="n">
        <v>46072</v>
      </c>
      <c r="D1135" t="inlineStr">
        <is>
          <t>JÄMTLANDS LÄN</t>
        </is>
      </c>
      <c r="E1135" t="inlineStr">
        <is>
          <t>RAGUNDA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18375-2022</t>
        </is>
      </c>
      <c r="B1136" s="1" t="n">
        <v>44685</v>
      </c>
      <c r="C1136" s="1" t="n">
        <v>46072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17248-2023</t>
        </is>
      </c>
      <c r="B1137" s="1" t="n">
        <v>45033</v>
      </c>
      <c r="C1137" s="1" t="n">
        <v>46072</v>
      </c>
      <c r="D1137" t="inlineStr">
        <is>
          <t>JÄMTLANDS LÄN</t>
        </is>
      </c>
      <c r="E1137" t="inlineStr">
        <is>
          <t>RAGUNDA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62011-2022</t>
        </is>
      </c>
      <c r="B1138" s="1" t="n">
        <v>44914</v>
      </c>
      <c r="C1138" s="1" t="n">
        <v>46072</v>
      </c>
      <c r="D1138" t="inlineStr">
        <is>
          <t>JÄMTLANDS LÄN</t>
        </is>
      </c>
      <c r="E1138" t="inlineStr">
        <is>
          <t>RAGUNDA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11557-2023</t>
        </is>
      </c>
      <c r="B1139" s="1" t="n">
        <v>44993.94950231481</v>
      </c>
      <c r="C1139" s="1" t="n">
        <v>46072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11562-2023</t>
        </is>
      </c>
      <c r="B1140" s="1" t="n">
        <v>44993</v>
      </c>
      <c r="C1140" s="1" t="n">
        <v>46072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22131-2021</t>
        </is>
      </c>
      <c r="B1141" s="1" t="n">
        <v>44323</v>
      </c>
      <c r="C1141" s="1" t="n">
        <v>46072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5971-2025</t>
        </is>
      </c>
      <c r="B1142" s="1" t="n">
        <v>45695.51070601852</v>
      </c>
      <c r="C1142" s="1" t="n">
        <v>46072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30563-2023</t>
        </is>
      </c>
      <c r="B1143" s="1" t="n">
        <v>45111.92793981481</v>
      </c>
      <c r="C1143" s="1" t="n">
        <v>46072</v>
      </c>
      <c r="D1143" t="inlineStr">
        <is>
          <t>JÄMTLANDS LÄN</t>
        </is>
      </c>
      <c r="E1143" t="inlineStr">
        <is>
          <t>RAGUNDA</t>
        </is>
      </c>
      <c r="F1143" t="inlineStr">
        <is>
          <t>Övriga Aktiebolag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36212-2023</t>
        </is>
      </c>
      <c r="B1144" s="1" t="n">
        <v>45149.95241898148</v>
      </c>
      <c r="C1144" s="1" t="n">
        <v>46072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12768-2022</t>
        </is>
      </c>
      <c r="B1145" s="1" t="n">
        <v>44641</v>
      </c>
      <c r="C1145" s="1" t="n">
        <v>46072</v>
      </c>
      <c r="D1145" t="inlineStr">
        <is>
          <t>JÄMTLANDS LÄN</t>
        </is>
      </c>
      <c r="E1145" t="inlineStr">
        <is>
          <t>RAGUNDA</t>
        </is>
      </c>
      <c r="F1145" t="inlineStr">
        <is>
          <t>SCA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12773-2022</t>
        </is>
      </c>
      <c r="B1146" s="1" t="n">
        <v>44641</v>
      </c>
      <c r="C1146" s="1" t="n">
        <v>46072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14.7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5067-2024</t>
        </is>
      </c>
      <c r="B1147" s="1" t="n">
        <v>45329.95806712963</v>
      </c>
      <c r="C1147" s="1" t="n">
        <v>46072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14905-2022</t>
        </is>
      </c>
      <c r="B1148" s="1" t="n">
        <v>44656.94708333333</v>
      </c>
      <c r="C1148" s="1" t="n">
        <v>46072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29766-2023</t>
        </is>
      </c>
      <c r="B1149" s="1" t="n">
        <v>45098</v>
      </c>
      <c r="C1149" s="1" t="n">
        <v>46072</v>
      </c>
      <c r="D1149" t="inlineStr">
        <is>
          <t>JÄMTLANDS LÄN</t>
        </is>
      </c>
      <c r="E1149" t="inlineStr">
        <is>
          <t>RAGUNDA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61107-2024</t>
        </is>
      </c>
      <c r="B1150" s="1" t="n">
        <v>45645.55665509259</v>
      </c>
      <c r="C1150" s="1" t="n">
        <v>46072</v>
      </c>
      <c r="D1150" t="inlineStr">
        <is>
          <t>JÄMTLANDS LÄN</t>
        </is>
      </c>
      <c r="E1150" t="inlineStr">
        <is>
          <t>RAGUNDA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23287-2024</t>
        </is>
      </c>
      <c r="B1151" s="1" t="n">
        <v>45453.42041666667</v>
      </c>
      <c r="C1151" s="1" t="n">
        <v>46072</v>
      </c>
      <c r="D1151" t="inlineStr">
        <is>
          <t>JÄMTLANDS LÄN</t>
        </is>
      </c>
      <c r="E1151" t="inlineStr">
        <is>
          <t>RAGUNDA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36922-2022</t>
        </is>
      </c>
      <c r="B1152" s="1" t="n">
        <v>44805.94592592592</v>
      </c>
      <c r="C1152" s="1" t="n">
        <v>46072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26347-2023</t>
        </is>
      </c>
      <c r="B1153" s="1" t="n">
        <v>45091</v>
      </c>
      <c r="C1153" s="1" t="n">
        <v>46072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34483-2023</t>
        </is>
      </c>
      <c r="B1154" s="1" t="n">
        <v>45139.94681712963</v>
      </c>
      <c r="C1154" s="1" t="n">
        <v>46072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22948-2024</t>
        </is>
      </c>
      <c r="B1155" s="1" t="n">
        <v>45448.94600694445</v>
      </c>
      <c r="C1155" s="1" t="n">
        <v>46072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23304-2023</t>
        </is>
      </c>
      <c r="B1156" s="1" t="n">
        <v>45075.945</v>
      </c>
      <c r="C1156" s="1" t="n">
        <v>46072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36226-2023</t>
        </is>
      </c>
      <c r="B1157" s="1" t="n">
        <v>45149.95372685185</v>
      </c>
      <c r="C1157" s="1" t="n">
        <v>46072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18615-2024</t>
        </is>
      </c>
      <c r="B1158" s="1" t="n">
        <v>45425.96275462963</v>
      </c>
      <c r="C1158" s="1" t="n">
        <v>46072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40269-2022</t>
        </is>
      </c>
      <c r="B1159" s="1" t="n">
        <v>44820</v>
      </c>
      <c r="C1159" s="1" t="n">
        <v>46072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77.8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37242-2024</t>
        </is>
      </c>
      <c r="B1160" s="1" t="n">
        <v>45540.34428240741</v>
      </c>
      <c r="C1160" s="1" t="n">
        <v>46072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45438-2022</t>
        </is>
      </c>
      <c r="B1161" s="1" t="n">
        <v>44844.95368055555</v>
      </c>
      <c r="C1161" s="1" t="n">
        <v>46072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56191-2022</t>
        </is>
      </c>
      <c r="B1162" s="1" t="n">
        <v>44889.95015046297</v>
      </c>
      <c r="C1162" s="1" t="n">
        <v>46072</v>
      </c>
      <c r="D1162" t="inlineStr">
        <is>
          <t>JÄMTLANDS LÄN</t>
        </is>
      </c>
      <c r="E1162" t="inlineStr">
        <is>
          <t>RAGUNDA</t>
        </is>
      </c>
      <c r="F1162" t="inlineStr">
        <is>
          <t>Sveaskog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30823-2023</t>
        </is>
      </c>
      <c r="B1163" s="1" t="n">
        <v>45112</v>
      </c>
      <c r="C1163" s="1" t="n">
        <v>46072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43339-2024</t>
        </is>
      </c>
      <c r="B1164" s="1" t="n">
        <v>45568.51075231482</v>
      </c>
      <c r="C1164" s="1" t="n">
        <v>46072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43102-2023</t>
        </is>
      </c>
      <c r="B1165" s="1" t="n">
        <v>45182</v>
      </c>
      <c r="C1165" s="1" t="n">
        <v>46072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9823-2025</t>
        </is>
      </c>
      <c r="B1166" s="1" t="n">
        <v>45716</v>
      </c>
      <c r="C1166" s="1" t="n">
        <v>46072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13917-2023</t>
        </is>
      </c>
      <c r="B1167" s="1" t="n">
        <v>45007</v>
      </c>
      <c r="C1167" s="1" t="n">
        <v>46072</v>
      </c>
      <c r="D1167" t="inlineStr">
        <is>
          <t>JÄMTLANDS LÄN</t>
        </is>
      </c>
      <c r="E1167" t="inlineStr">
        <is>
          <t>RAGUNDA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53019-2023</t>
        </is>
      </c>
      <c r="B1168" s="1" t="n">
        <v>45222</v>
      </c>
      <c r="C1168" s="1" t="n">
        <v>46072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14212-2023</t>
        </is>
      </c>
      <c r="B1169" s="1" t="n">
        <v>45009</v>
      </c>
      <c r="C1169" s="1" t="n">
        <v>46072</v>
      </c>
      <c r="D1169" t="inlineStr">
        <is>
          <t>JÄMTLANDS LÄN</t>
        </is>
      </c>
      <c r="E1169" t="inlineStr">
        <is>
          <t>RAGUNDA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59996-2023</t>
        </is>
      </c>
      <c r="B1170" s="1" t="n">
        <v>45257.92826388889</v>
      </c>
      <c r="C1170" s="1" t="n">
        <v>46072</v>
      </c>
      <c r="D1170" t="inlineStr">
        <is>
          <t>JÄMTLANDS LÄN</t>
        </is>
      </c>
      <c r="E1170" t="inlineStr">
        <is>
          <t>RAGUNDA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44980-2023</t>
        </is>
      </c>
      <c r="B1171" s="1" t="n">
        <v>45190</v>
      </c>
      <c r="C1171" s="1" t="n">
        <v>46072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14076-2023</t>
        </is>
      </c>
      <c r="B1172" s="1" t="n">
        <v>45009.0897337963</v>
      </c>
      <c r="C1172" s="1" t="n">
        <v>46072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12805-2025</t>
        </is>
      </c>
      <c r="B1173" s="1" t="n">
        <v>45733.61497685185</v>
      </c>
      <c r="C1173" s="1" t="n">
        <v>46072</v>
      </c>
      <c r="D1173" t="inlineStr">
        <is>
          <t>JÄMTLANDS LÄN</t>
        </is>
      </c>
      <c r="E1173" t="inlineStr">
        <is>
          <t>RAGUNDA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12808-2025</t>
        </is>
      </c>
      <c r="B1174" s="1" t="n">
        <v>45733.61554398148</v>
      </c>
      <c r="C1174" s="1" t="n">
        <v>46072</v>
      </c>
      <c r="D1174" t="inlineStr">
        <is>
          <t>JÄMTLANDS LÄN</t>
        </is>
      </c>
      <c r="E1174" t="inlineStr">
        <is>
          <t>RAGUNDA</t>
        </is>
      </c>
      <c r="F1174" t="inlineStr">
        <is>
          <t>SCA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4615-2023</t>
        </is>
      </c>
      <c r="B1175" s="1" t="n">
        <v>44956.93924768519</v>
      </c>
      <c r="C1175" s="1" t="n">
        <v>46072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5938-2025</t>
        </is>
      </c>
      <c r="B1176" s="1" t="n">
        <v>45695.45868055556</v>
      </c>
      <c r="C1176" s="1" t="n">
        <v>46072</v>
      </c>
      <c r="D1176" t="inlineStr">
        <is>
          <t>JÄMTLANDS LÄN</t>
        </is>
      </c>
      <c r="E1176" t="inlineStr">
        <is>
          <t>RAGUNDA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4125-2024</t>
        </is>
      </c>
      <c r="B1177" s="1" t="n">
        <v>45323</v>
      </c>
      <c r="C1177" s="1" t="n">
        <v>46072</v>
      </c>
      <c r="D1177" t="inlineStr">
        <is>
          <t>JÄMTLANDS LÄN</t>
        </is>
      </c>
      <c r="E1177" t="inlineStr">
        <is>
          <t>RAGUNDA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53549-2024</t>
        </is>
      </c>
      <c r="B1178" s="1" t="n">
        <v>45614.63869212963</v>
      </c>
      <c r="C1178" s="1" t="n">
        <v>46072</v>
      </c>
      <c r="D1178" t="inlineStr">
        <is>
          <t>JÄMTLANDS LÄN</t>
        </is>
      </c>
      <c r="E1178" t="inlineStr">
        <is>
          <t>RAGUNDA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7284-2025</t>
        </is>
      </c>
      <c r="B1179" s="1" t="n">
        <v>45702.63604166666</v>
      </c>
      <c r="C1179" s="1" t="n">
        <v>46072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31506-2024</t>
        </is>
      </c>
      <c r="B1180" s="1" t="n">
        <v>45505</v>
      </c>
      <c r="C1180" s="1" t="n">
        <v>46072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19382-2025</t>
        </is>
      </c>
      <c r="B1181" s="1" t="n">
        <v>45769.65659722222</v>
      </c>
      <c r="C1181" s="1" t="n">
        <v>46072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37479-2023</t>
        </is>
      </c>
      <c r="B1182" s="1" t="n">
        <v>45156</v>
      </c>
      <c r="C1182" s="1" t="n">
        <v>46072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4866-2025</t>
        </is>
      </c>
      <c r="B1183" s="1" t="n">
        <v>45688.67542824074</v>
      </c>
      <c r="C1183" s="1" t="n">
        <v>46072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11780-2024</t>
        </is>
      </c>
      <c r="B1184" s="1" t="n">
        <v>45374</v>
      </c>
      <c r="C1184" s="1" t="n">
        <v>46072</v>
      </c>
      <c r="D1184" t="inlineStr">
        <is>
          <t>JÄMTLANDS LÄN</t>
        </is>
      </c>
      <c r="E1184" t="inlineStr">
        <is>
          <t>RAGUNDA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11288-2022</t>
        </is>
      </c>
      <c r="B1185" s="1" t="n">
        <v>44629</v>
      </c>
      <c r="C1185" s="1" t="n">
        <v>46072</v>
      </c>
      <c r="D1185" t="inlineStr">
        <is>
          <t>JÄMTLANDS LÄN</t>
        </is>
      </c>
      <c r="E1185" t="inlineStr">
        <is>
          <t>RAGUNDA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18984-2023</t>
        </is>
      </c>
      <c r="B1186" s="1" t="n">
        <v>45044</v>
      </c>
      <c r="C1186" s="1" t="n">
        <v>46072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66011-2021</t>
        </is>
      </c>
      <c r="B1187" s="1" t="n">
        <v>44517.58137731482</v>
      </c>
      <c r="C1187" s="1" t="n">
        <v>46072</v>
      </c>
      <c r="D1187" t="inlineStr">
        <is>
          <t>JÄMTLANDS LÄN</t>
        </is>
      </c>
      <c r="E1187" t="inlineStr">
        <is>
          <t>RAGUNDA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42509-2023</t>
        </is>
      </c>
      <c r="B1188" s="1" t="n">
        <v>45180</v>
      </c>
      <c r="C1188" s="1" t="n">
        <v>46072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33615-2023</t>
        </is>
      </c>
      <c r="B1189" s="1" t="n">
        <v>45119</v>
      </c>
      <c r="C1189" s="1" t="n">
        <v>46072</v>
      </c>
      <c r="D1189" t="inlineStr">
        <is>
          <t>JÄMTLANDS LÄN</t>
        </is>
      </c>
      <c r="E1189" t="inlineStr">
        <is>
          <t>RAGUNDA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42510-2023</t>
        </is>
      </c>
      <c r="B1190" s="1" t="n">
        <v>45180.95927083334</v>
      </c>
      <c r="C1190" s="1" t="n">
        <v>46072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53860-2023</t>
        </is>
      </c>
      <c r="B1191" s="1" t="n">
        <v>45224</v>
      </c>
      <c r="C1191" s="1" t="n">
        <v>46072</v>
      </c>
      <c r="D1191" t="inlineStr">
        <is>
          <t>JÄMTLANDS LÄN</t>
        </is>
      </c>
      <c r="E1191" t="inlineStr">
        <is>
          <t>RAGUNDA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12039-2023</t>
        </is>
      </c>
      <c r="B1192" s="1" t="n">
        <v>44995.98341435185</v>
      </c>
      <c r="C1192" s="1" t="n">
        <v>46072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26991-2023</t>
        </is>
      </c>
      <c r="B1193" s="1" t="n">
        <v>45093.92207175926</v>
      </c>
      <c r="C1193" s="1" t="n">
        <v>46072</v>
      </c>
      <c r="D1193" t="inlineStr">
        <is>
          <t>JÄMTLANDS LÄN</t>
        </is>
      </c>
      <c r="E1193" t="inlineStr">
        <is>
          <t>RAGUNDA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13302-2022</t>
        </is>
      </c>
      <c r="B1194" s="1" t="n">
        <v>44644</v>
      </c>
      <c r="C1194" s="1" t="n">
        <v>46072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35.6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26651-2024</t>
        </is>
      </c>
      <c r="B1195" s="1" t="n">
        <v>45469.94876157407</v>
      </c>
      <c r="C1195" s="1" t="n">
        <v>46072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40919-2024</t>
        </is>
      </c>
      <c r="B1196" s="1" t="n">
        <v>45558.63575231482</v>
      </c>
      <c r="C1196" s="1" t="n">
        <v>46072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3186-2025</t>
        </is>
      </c>
      <c r="B1197" s="1" t="n">
        <v>45679.40362268518</v>
      </c>
      <c r="C1197" s="1" t="n">
        <v>46072</v>
      </c>
      <c r="D1197" t="inlineStr">
        <is>
          <t>JÄMTLANDS LÄN</t>
        </is>
      </c>
      <c r="E1197" t="inlineStr">
        <is>
          <t>RAGUNDA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465-2023</t>
        </is>
      </c>
      <c r="B1198" s="1" t="n">
        <v>44929</v>
      </c>
      <c r="C1198" s="1" t="n">
        <v>46072</v>
      </c>
      <c r="D1198" t="inlineStr">
        <is>
          <t>JÄMTLANDS LÄN</t>
        </is>
      </c>
      <c r="E1198" t="inlineStr">
        <is>
          <t>RAGUNDA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26455-2023</t>
        </is>
      </c>
      <c r="B1199" s="1" t="n">
        <v>45092</v>
      </c>
      <c r="C1199" s="1" t="n">
        <v>46072</v>
      </c>
      <c r="D1199" t="inlineStr">
        <is>
          <t>JÄMTLANDS LÄN</t>
        </is>
      </c>
      <c r="E1199" t="inlineStr">
        <is>
          <t>RAGUNDA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10639-2024</t>
        </is>
      </c>
      <c r="B1200" s="1" t="n">
        <v>45367.67256944445</v>
      </c>
      <c r="C1200" s="1" t="n">
        <v>46072</v>
      </c>
      <c r="D1200" t="inlineStr">
        <is>
          <t>JÄMTLANDS LÄN</t>
        </is>
      </c>
      <c r="E1200" t="inlineStr">
        <is>
          <t>RAGUNDA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2751-2024</t>
        </is>
      </c>
      <c r="B1201" s="1" t="n">
        <v>45314</v>
      </c>
      <c r="C1201" s="1" t="n">
        <v>46072</v>
      </c>
      <c r="D1201" t="inlineStr">
        <is>
          <t>JÄMTLANDS LÄN</t>
        </is>
      </c>
      <c r="E1201" t="inlineStr">
        <is>
          <t>RAGUNDA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36317-2024</t>
        </is>
      </c>
      <c r="B1202" s="1" t="n">
        <v>45534.63537037037</v>
      </c>
      <c r="C1202" s="1" t="n">
        <v>46072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18614-2024</t>
        </is>
      </c>
      <c r="B1203" s="1" t="n">
        <v>45425.96263888889</v>
      </c>
      <c r="C1203" s="1" t="n">
        <v>46072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8787-2022</t>
        </is>
      </c>
      <c r="B1204" s="1" t="n">
        <v>44614</v>
      </c>
      <c r="C1204" s="1" t="n">
        <v>46072</v>
      </c>
      <c r="D1204" t="inlineStr">
        <is>
          <t>JÄMTLANDS LÄN</t>
        </is>
      </c>
      <c r="E1204" t="inlineStr">
        <is>
          <t>RAGUNDA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50431-2024</t>
        </is>
      </c>
      <c r="B1205" s="1" t="n">
        <v>45601.40686342592</v>
      </c>
      <c r="C1205" s="1" t="n">
        <v>46072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60936-2024</t>
        </is>
      </c>
      <c r="B1206" s="1" t="n">
        <v>45645.36743055555</v>
      </c>
      <c r="C1206" s="1" t="n">
        <v>46072</v>
      </c>
      <c r="D1206" t="inlineStr">
        <is>
          <t>JÄMTLANDS LÄN</t>
        </is>
      </c>
      <c r="E1206" t="inlineStr">
        <is>
          <t>RAGUNDA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4212-2024</t>
        </is>
      </c>
      <c r="B1207" s="1" t="n">
        <v>45324</v>
      </c>
      <c r="C1207" s="1" t="n">
        <v>46072</v>
      </c>
      <c r="D1207" t="inlineStr">
        <is>
          <t>JÄMTLANDS LÄN</t>
        </is>
      </c>
      <c r="E1207" t="inlineStr">
        <is>
          <t>RAGUNDA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9262-2025</t>
        </is>
      </c>
      <c r="B1208" s="1" t="n">
        <v>45714.60649305556</v>
      </c>
      <c r="C1208" s="1" t="n">
        <v>46072</v>
      </c>
      <c r="D1208" t="inlineStr">
        <is>
          <t>JÄMTLANDS LÄN</t>
        </is>
      </c>
      <c r="E1208" t="inlineStr">
        <is>
          <t>RAGUNDA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60012-2023</t>
        </is>
      </c>
      <c r="B1209" s="1" t="n">
        <v>45257</v>
      </c>
      <c r="C1209" s="1" t="n">
        <v>46072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53676-2022</t>
        </is>
      </c>
      <c r="B1210" s="1" t="n">
        <v>44879</v>
      </c>
      <c r="C1210" s="1" t="n">
        <v>46072</v>
      </c>
      <c r="D1210" t="inlineStr">
        <is>
          <t>JÄMTLANDS LÄN</t>
        </is>
      </c>
      <c r="E1210" t="inlineStr">
        <is>
          <t>RAGUNDA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56504-2024</t>
        </is>
      </c>
      <c r="B1211" s="1" t="n">
        <v>45625.51068287037</v>
      </c>
      <c r="C1211" s="1" t="n">
        <v>46072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934-2023</t>
        </is>
      </c>
      <c r="B1212" s="1" t="n">
        <v>44932.93927083333</v>
      </c>
      <c r="C1212" s="1" t="n">
        <v>46072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36106-2022</t>
        </is>
      </c>
      <c r="B1213" s="1" t="n">
        <v>44802.94811342593</v>
      </c>
      <c r="C1213" s="1" t="n">
        <v>46072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57839-2022</t>
        </is>
      </c>
      <c r="B1214" s="1" t="n">
        <v>44897</v>
      </c>
      <c r="C1214" s="1" t="n">
        <v>46072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41693-2023</t>
        </is>
      </c>
      <c r="B1215" s="1" t="n">
        <v>45176</v>
      </c>
      <c r="C1215" s="1" t="n">
        <v>46072</v>
      </c>
      <c r="D1215" t="inlineStr">
        <is>
          <t>JÄMTLANDS LÄN</t>
        </is>
      </c>
      <c r="E1215" t="inlineStr">
        <is>
          <t>RAGUNDA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53678-2022</t>
        </is>
      </c>
      <c r="B1216" s="1" t="n">
        <v>44879.95768518518</v>
      </c>
      <c r="C1216" s="1" t="n">
        <v>46072</v>
      </c>
      <c r="D1216" t="inlineStr">
        <is>
          <t>JÄMTLANDS LÄN</t>
        </is>
      </c>
      <c r="E1216" t="inlineStr">
        <is>
          <t>RAGUNDA</t>
        </is>
      </c>
      <c r="F1216" t="inlineStr">
        <is>
          <t>Sveaskog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23305-2023</t>
        </is>
      </c>
      <c r="B1217" s="1" t="n">
        <v>45075.94506944445</v>
      </c>
      <c r="C1217" s="1" t="n">
        <v>46072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18194-2025</t>
        </is>
      </c>
      <c r="B1218" s="1" t="n">
        <v>45761.67744212963</v>
      </c>
      <c r="C1218" s="1" t="n">
        <v>46072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18225-2024</t>
        </is>
      </c>
      <c r="B1219" s="1" t="n">
        <v>45420</v>
      </c>
      <c r="C1219" s="1" t="n">
        <v>46072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54764-2024</t>
        </is>
      </c>
      <c r="B1220" s="1" t="n">
        <v>45618.46921296296</v>
      </c>
      <c r="C1220" s="1" t="n">
        <v>46072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28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32904-2024</t>
        </is>
      </c>
      <c r="B1221" s="1" t="n">
        <v>45516.94732638889</v>
      </c>
      <c r="C1221" s="1" t="n">
        <v>46072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12976-2025</t>
        </is>
      </c>
      <c r="B1222" s="1" t="n">
        <v>45734.45268518518</v>
      </c>
      <c r="C1222" s="1" t="n">
        <v>46072</v>
      </c>
      <c r="D1222" t="inlineStr">
        <is>
          <t>JÄMTLANDS LÄN</t>
        </is>
      </c>
      <c r="E1222" t="inlineStr">
        <is>
          <t>RAGUNDA</t>
        </is>
      </c>
      <c r="G1222" t="n">
        <v>24.2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59286-2023</t>
        </is>
      </c>
      <c r="B1223" s="1" t="n">
        <v>45253</v>
      </c>
      <c r="C1223" s="1" t="n">
        <v>46072</v>
      </c>
      <c r="D1223" t="inlineStr">
        <is>
          <t>JÄMTLANDS LÄN</t>
        </is>
      </c>
      <c r="E1223" t="inlineStr">
        <is>
          <t>RAGUNDA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15672-2021</t>
        </is>
      </c>
      <c r="B1224" s="1" t="n">
        <v>44286</v>
      </c>
      <c r="C1224" s="1" t="n">
        <v>46072</v>
      </c>
      <c r="D1224" t="inlineStr">
        <is>
          <t>JÄMTLANDS LÄN</t>
        </is>
      </c>
      <c r="E1224" t="inlineStr">
        <is>
          <t>RAGUNDA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6688-2024</t>
        </is>
      </c>
      <c r="B1225" s="1" t="n">
        <v>45341</v>
      </c>
      <c r="C1225" s="1" t="n">
        <v>46072</v>
      </c>
      <c r="D1225" t="inlineStr">
        <is>
          <t>JÄMTLANDS LÄN</t>
        </is>
      </c>
      <c r="E1225" t="inlineStr">
        <is>
          <t>RAGUNDA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50650-2023</t>
        </is>
      </c>
      <c r="B1226" s="1" t="n">
        <v>45210</v>
      </c>
      <c r="C1226" s="1" t="n">
        <v>46072</v>
      </c>
      <c r="D1226" t="inlineStr">
        <is>
          <t>JÄMTLANDS LÄN</t>
        </is>
      </c>
      <c r="E1226" t="inlineStr">
        <is>
          <t>RAGUNDA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41344-2024</t>
        </is>
      </c>
      <c r="B1227" s="1" t="n">
        <v>45559.67759259259</v>
      </c>
      <c r="C1227" s="1" t="n">
        <v>46072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59670-2023</t>
        </is>
      </c>
      <c r="B1228" s="1" t="n">
        <v>45254.96516203704</v>
      </c>
      <c r="C1228" s="1" t="n">
        <v>46072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55508-2024</t>
        </is>
      </c>
      <c r="B1229" s="1" t="n">
        <v>45622.46200231482</v>
      </c>
      <c r="C1229" s="1" t="n">
        <v>46072</v>
      </c>
      <c r="D1229" t="inlineStr">
        <is>
          <t>JÄMTLANDS LÄN</t>
        </is>
      </c>
      <c r="E1229" t="inlineStr">
        <is>
          <t>RAGUNDA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59492-2024</t>
        </is>
      </c>
      <c r="B1230" s="1" t="n">
        <v>45638</v>
      </c>
      <c r="C1230" s="1" t="n">
        <v>46072</v>
      </c>
      <c r="D1230" t="inlineStr">
        <is>
          <t>JÄMTLANDS LÄN</t>
        </is>
      </c>
      <c r="E1230" t="inlineStr">
        <is>
          <t>RAGUNDA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20772-2024</t>
        </is>
      </c>
      <c r="B1231" s="1" t="n">
        <v>45436.94628472222</v>
      </c>
      <c r="C1231" s="1" t="n">
        <v>46072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53757-2024</t>
        </is>
      </c>
      <c r="B1232" s="1" t="n">
        <v>45615.50034722222</v>
      </c>
      <c r="C1232" s="1" t="n">
        <v>46072</v>
      </c>
      <c r="D1232" t="inlineStr">
        <is>
          <t>JÄMTLANDS LÄN</t>
        </is>
      </c>
      <c r="E1232" t="inlineStr">
        <is>
          <t>RAGUNDA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6716-2025</t>
        </is>
      </c>
      <c r="B1233" s="1" t="n">
        <v>45700.57324074074</v>
      </c>
      <c r="C1233" s="1" t="n">
        <v>46072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19866-2023</t>
        </is>
      </c>
      <c r="B1234" s="1" t="n">
        <v>45053.94313657407</v>
      </c>
      <c r="C1234" s="1" t="n">
        <v>46072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21853-2024</t>
        </is>
      </c>
      <c r="B1235" s="1" t="n">
        <v>45442.96296296296</v>
      </c>
      <c r="C1235" s="1" t="n">
        <v>46072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8241-2024</t>
        </is>
      </c>
      <c r="B1236" s="1" t="n">
        <v>45351.98496527778</v>
      </c>
      <c r="C1236" s="1" t="n">
        <v>46072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40365-2024</t>
        </is>
      </c>
      <c r="B1237" s="1" t="n">
        <v>45555.38509259259</v>
      </c>
      <c r="C1237" s="1" t="n">
        <v>46072</v>
      </c>
      <c r="D1237" t="inlineStr">
        <is>
          <t>JÄMTLANDS LÄN</t>
        </is>
      </c>
      <c r="E1237" t="inlineStr">
        <is>
          <t>RAGUNDA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20770-2024</t>
        </is>
      </c>
      <c r="B1238" s="1" t="n">
        <v>45436.94613425926</v>
      </c>
      <c r="C1238" s="1" t="n">
        <v>46072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7281-2024</t>
        </is>
      </c>
      <c r="B1239" s="1" t="n">
        <v>45344</v>
      </c>
      <c r="C1239" s="1" t="n">
        <v>46072</v>
      </c>
      <c r="D1239" t="inlineStr">
        <is>
          <t>JÄMTLANDS LÄN</t>
        </is>
      </c>
      <c r="E1239" t="inlineStr">
        <is>
          <t>RAGUNDA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7284-2024</t>
        </is>
      </c>
      <c r="B1240" s="1" t="n">
        <v>45344.92865740741</v>
      </c>
      <c r="C1240" s="1" t="n">
        <v>46072</v>
      </c>
      <c r="D1240" t="inlineStr">
        <is>
          <t>JÄMTLANDS LÄN</t>
        </is>
      </c>
      <c r="E1240" t="inlineStr">
        <is>
          <t>RAGUNDA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7285-2024</t>
        </is>
      </c>
      <c r="B1241" s="1" t="n">
        <v>45344.92873842592</v>
      </c>
      <c r="C1241" s="1" t="n">
        <v>46072</v>
      </c>
      <c r="D1241" t="inlineStr">
        <is>
          <t>JÄMTLANDS LÄN</t>
        </is>
      </c>
      <c r="E1241" t="inlineStr">
        <is>
          <t>RAGUNDA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53347-2023</t>
        </is>
      </c>
      <c r="B1242" s="1" t="n">
        <v>45223</v>
      </c>
      <c r="C1242" s="1" t="n">
        <v>46072</v>
      </c>
      <c r="D1242" t="inlineStr">
        <is>
          <t>JÄMTLANDS LÄN</t>
        </is>
      </c>
      <c r="E1242" t="inlineStr">
        <is>
          <t>RAGUNDA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60838-2023</t>
        </is>
      </c>
      <c r="B1243" s="1" t="n">
        <v>45260.92561342593</v>
      </c>
      <c r="C1243" s="1" t="n">
        <v>46072</v>
      </c>
      <c r="D1243" t="inlineStr">
        <is>
          <t>JÄMTLANDS LÄN</t>
        </is>
      </c>
      <c r="E1243" t="inlineStr">
        <is>
          <t>RAGUNDA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9548-2025</t>
        </is>
      </c>
      <c r="B1244" s="1" t="n">
        <v>45715.59405092592</v>
      </c>
      <c r="C1244" s="1" t="n">
        <v>46072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53989-2024</t>
        </is>
      </c>
      <c r="B1245" s="1" t="n">
        <v>45616.34479166667</v>
      </c>
      <c r="C1245" s="1" t="n">
        <v>46072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15581-2024</t>
        </is>
      </c>
      <c r="B1246" s="1" t="n">
        <v>45401</v>
      </c>
      <c r="C1246" s="1" t="n">
        <v>46072</v>
      </c>
      <c r="D1246" t="inlineStr">
        <is>
          <t>JÄMTLANDS LÄN</t>
        </is>
      </c>
      <c r="E1246" t="inlineStr">
        <is>
          <t>RAGUNDA</t>
        </is>
      </c>
      <c r="F1246" t="inlineStr">
        <is>
          <t>Kommuner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15611-2024</t>
        </is>
      </c>
      <c r="B1247" s="1" t="n">
        <v>45401</v>
      </c>
      <c r="C1247" s="1" t="n">
        <v>46072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23528-2024</t>
        </is>
      </c>
      <c r="B1248" s="1" t="n">
        <v>45453.95016203704</v>
      </c>
      <c r="C1248" s="1" t="n">
        <v>46072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4594-2024</t>
        </is>
      </c>
      <c r="B1249" s="1" t="n">
        <v>45327.94459490741</v>
      </c>
      <c r="C1249" s="1" t="n">
        <v>46072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30824-2023</t>
        </is>
      </c>
      <c r="B1250" s="1" t="n">
        <v>45112.94303240741</v>
      </c>
      <c r="C1250" s="1" t="n">
        <v>46072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16635-2025</t>
        </is>
      </c>
      <c r="B1251" s="1" t="n">
        <v>45754</v>
      </c>
      <c r="C1251" s="1" t="n">
        <v>46072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55.4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4014-2022</t>
        </is>
      </c>
      <c r="B1252" s="1" t="n">
        <v>44587.92144675926</v>
      </c>
      <c r="C1252" s="1" t="n">
        <v>46072</v>
      </c>
      <c r="D1252" t="inlineStr">
        <is>
          <t>JÄMTLANDS LÄN</t>
        </is>
      </c>
      <c r="E1252" t="inlineStr">
        <is>
          <t>RAGUNDA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1554-2024</t>
        </is>
      </c>
      <c r="B1253" s="1" t="n">
        <v>45306</v>
      </c>
      <c r="C1253" s="1" t="n">
        <v>46072</v>
      </c>
      <c r="D1253" t="inlineStr">
        <is>
          <t>JÄMTLANDS LÄN</t>
        </is>
      </c>
      <c r="E1253" t="inlineStr">
        <is>
          <t>RAGUNDA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38782-2021</t>
        </is>
      </c>
      <c r="B1254" s="1" t="n">
        <v>44410</v>
      </c>
      <c r="C1254" s="1" t="n">
        <v>46072</v>
      </c>
      <c r="D1254" t="inlineStr">
        <is>
          <t>JÄMTLANDS LÄN</t>
        </is>
      </c>
      <c r="E1254" t="inlineStr">
        <is>
          <t>RAGUNDA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20728-2025</t>
        </is>
      </c>
      <c r="B1255" s="1" t="n">
        <v>45776.51130787037</v>
      </c>
      <c r="C1255" s="1" t="n">
        <v>46072</v>
      </c>
      <c r="D1255" t="inlineStr">
        <is>
          <t>JÄMTLANDS LÄN</t>
        </is>
      </c>
      <c r="E1255" t="inlineStr">
        <is>
          <t>RAGUNDA</t>
        </is>
      </c>
      <c r="F1255" t="inlineStr">
        <is>
          <t>Kommuner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20653-2025</t>
        </is>
      </c>
      <c r="B1256" s="1" t="n">
        <v>45776.40311342593</v>
      </c>
      <c r="C1256" s="1" t="n">
        <v>46072</v>
      </c>
      <c r="D1256" t="inlineStr">
        <is>
          <t>JÄMTLANDS LÄN</t>
        </is>
      </c>
      <c r="E1256" t="inlineStr">
        <is>
          <t>RAGUNDA</t>
        </is>
      </c>
      <c r="G1256" t="n">
        <v>10.8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20722-2025</t>
        </is>
      </c>
      <c r="B1257" s="1" t="n">
        <v>45776.50651620371</v>
      </c>
      <c r="C1257" s="1" t="n">
        <v>46072</v>
      </c>
      <c r="D1257" t="inlineStr">
        <is>
          <t>JÄMTLANDS LÄN</t>
        </is>
      </c>
      <c r="E1257" t="inlineStr">
        <is>
          <t>RAGUNDA</t>
        </is>
      </c>
      <c r="F1257" t="inlineStr">
        <is>
          <t>Kommuner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20777-2025</t>
        </is>
      </c>
      <c r="B1258" s="1" t="n">
        <v>45776.59422453704</v>
      </c>
      <c r="C1258" s="1" t="n">
        <v>46072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21150-2025</t>
        </is>
      </c>
      <c r="B1259" s="1" t="n">
        <v>45779.34417824074</v>
      </c>
      <c r="C1259" s="1" t="n">
        <v>46072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21214-2025</t>
        </is>
      </c>
      <c r="B1260" s="1" t="n">
        <v>45779.49025462963</v>
      </c>
      <c r="C1260" s="1" t="n">
        <v>46072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22941-2024</t>
        </is>
      </c>
      <c r="B1261" s="1" t="n">
        <v>45448.94520833333</v>
      </c>
      <c r="C1261" s="1" t="n">
        <v>46072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21430-2025</t>
        </is>
      </c>
      <c r="B1262" s="1" t="n">
        <v>45782.51099537037</v>
      </c>
      <c r="C1262" s="1" t="n">
        <v>46072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44881-2023</t>
        </is>
      </c>
      <c r="B1263" s="1" t="n">
        <v>45187</v>
      </c>
      <c r="C1263" s="1" t="n">
        <v>46072</v>
      </c>
      <c r="D1263" t="inlineStr">
        <is>
          <t>JÄMTLANDS LÄN</t>
        </is>
      </c>
      <c r="E1263" t="inlineStr">
        <is>
          <t>RAGUNDA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21451-2025</t>
        </is>
      </c>
      <c r="B1264" s="1" t="n">
        <v>45782.55287037037</v>
      </c>
      <c r="C1264" s="1" t="n">
        <v>46072</v>
      </c>
      <c r="D1264" t="inlineStr">
        <is>
          <t>JÄMTLANDS LÄN</t>
        </is>
      </c>
      <c r="E1264" t="inlineStr">
        <is>
          <t>RAGUNDA</t>
        </is>
      </c>
      <c r="F1264" t="inlineStr">
        <is>
          <t>SCA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21432-2025</t>
        </is>
      </c>
      <c r="B1265" s="1" t="n">
        <v>45782.51109953703</v>
      </c>
      <c r="C1265" s="1" t="n">
        <v>46072</v>
      </c>
      <c r="D1265" t="inlineStr">
        <is>
          <t>JÄMTLANDS LÄN</t>
        </is>
      </c>
      <c r="E1265" t="inlineStr">
        <is>
          <t>RAGUNDA</t>
        </is>
      </c>
      <c r="F1265" t="inlineStr">
        <is>
          <t>SCA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21331-2025</t>
        </is>
      </c>
      <c r="B1266" s="1" t="n">
        <v>45782.36494212963</v>
      </c>
      <c r="C1266" s="1" t="n">
        <v>46072</v>
      </c>
      <c r="D1266" t="inlineStr">
        <is>
          <t>JÄMTLANDS LÄN</t>
        </is>
      </c>
      <c r="E1266" t="inlineStr">
        <is>
          <t>RAGUNDA</t>
        </is>
      </c>
      <c r="F1266" t="inlineStr">
        <is>
          <t>SCA</t>
        </is>
      </c>
      <c r="G1266" t="n">
        <v>23.1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HYPERLINK("https://klasma.github.io/Logging_2303/knärot/A 21331-2025 karta knärot.png", "A 21331-2025")</f>
        <v/>
      </c>
      <c r="V1266">
        <f>HYPERLINK("https://klasma.github.io/Logging_2303/klagomål/A 21331-2025 FSC-klagomål.docx", "A 21331-2025")</f>
        <v/>
      </c>
      <c r="W1266">
        <f>HYPERLINK("https://klasma.github.io/Logging_2303/klagomålsmail/A 21331-2025 FSC-klagomål mail.docx", "A 21331-2025")</f>
        <v/>
      </c>
      <c r="X1266">
        <f>HYPERLINK("https://klasma.github.io/Logging_2303/tillsyn/A 21331-2025 tillsynsbegäran.docx", "A 21331-2025")</f>
        <v/>
      </c>
      <c r="Y1266">
        <f>HYPERLINK("https://klasma.github.io/Logging_2303/tillsynsmail/A 21331-2025 tillsynsbegäran mail.docx", "A 21331-2025")</f>
        <v/>
      </c>
    </row>
    <row r="1267">
      <c r="A1267" t="inlineStr">
        <is>
          <t>A 21550-2025</t>
        </is>
      </c>
      <c r="B1267" s="1" t="n">
        <v>45782.67758101852</v>
      </c>
      <c r="C1267" s="1" t="n">
        <v>46072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2026-02-19T14:29:02Z</dcterms:created>
  <dcterms:modified xmlns:dcterms="http://purl.org/dc/terms/" xmlns:xsi="http://www.w3.org/2001/XMLSchema-instance" xsi:type="dcterms:W3CDTF">2026-02-19T14:29:03Z</dcterms:modified>
</cp:coreProperties>
</file>