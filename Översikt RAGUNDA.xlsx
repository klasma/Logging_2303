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46042</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46042</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46042</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46042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46042</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46042</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46042</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46042</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46042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46042</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46042</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46042</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46042</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46042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46042</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46042</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46042</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46042</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46042</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46042</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46042</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46042</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46042</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46042</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46042</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46042</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46042</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46042</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46042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46042</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46042</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46042</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46042</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46042</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46042</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58876-2025</t>
        </is>
      </c>
      <c r="B41" s="1" t="n">
        <v>45987.46929398148</v>
      </c>
      <c r="C41" s="1" t="n">
        <v>46042</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46042</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46042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46042</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46042</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46042</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46042</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46042</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46042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46042</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51037-2025</t>
        </is>
      </c>
      <c r="B51" s="1" t="n">
        <v>45947.40729166667</v>
      </c>
      <c r="C51" s="1" t="n">
        <v>46042</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62738-2025</t>
        </is>
      </c>
      <c r="B52" s="1" t="n">
        <v>46008.57341435185</v>
      </c>
      <c r="C52" s="1" t="n">
        <v>46042</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59107-2025</t>
        </is>
      </c>
      <c r="B53" s="1" t="n">
        <v>45988.46924768519</v>
      </c>
      <c r="C53" s="1" t="n">
        <v>46042</v>
      </c>
      <c r="D53" t="inlineStr">
        <is>
          <t>JÄMTLANDS LÄN</t>
        </is>
      </c>
      <c r="E53" t="inlineStr">
        <is>
          <t>RAGUNDA</t>
        </is>
      </c>
      <c r="F53" t="inlineStr">
        <is>
          <t>SCA</t>
        </is>
      </c>
      <c r="G53" t="n">
        <v>22.6</v>
      </c>
      <c r="H53" t="n">
        <v>1</v>
      </c>
      <c r="I53" t="n">
        <v>4</v>
      </c>
      <c r="J53" t="n">
        <v>4</v>
      </c>
      <c r="K53" t="n">
        <v>0</v>
      </c>
      <c r="L53" t="n">
        <v>0</v>
      </c>
      <c r="M53" t="n">
        <v>0</v>
      </c>
      <c r="N53" t="n">
        <v>0</v>
      </c>
      <c r="O53" t="n">
        <v>4</v>
      </c>
      <c r="P53" t="n">
        <v>0</v>
      </c>
      <c r="Q53" t="n">
        <v>8</v>
      </c>
      <c r="R53" s="2" t="inlineStr">
        <is>
          <t>Garnlav
Lunglav
Skrovellav
Tretåig hackspett
Bårdlav
Luddlav
Skinnlav
Stuplav</t>
        </is>
      </c>
      <c r="S53">
        <f>HYPERLINK("https://klasma.github.io/Logging_2303/artfynd/A 59107-2025 artfynd.xlsx", "A 59107-2025")</f>
        <v/>
      </c>
      <c r="T53">
        <f>HYPERLINK("https://klasma.github.io/Logging_2303/kartor/A 59107-2025 karta.png", "A 59107-2025")</f>
        <v/>
      </c>
      <c r="V53">
        <f>HYPERLINK("https://klasma.github.io/Logging_2303/klagomål/A 59107-2025 FSC-klagomål.docx", "A 59107-2025")</f>
        <v/>
      </c>
      <c r="W53">
        <f>HYPERLINK("https://klasma.github.io/Logging_2303/klagomålsmail/A 59107-2025 FSC-klagomål mail.docx", "A 59107-2025")</f>
        <v/>
      </c>
      <c r="X53">
        <f>HYPERLINK("https://klasma.github.io/Logging_2303/tillsyn/A 59107-2025 tillsynsbegäran.docx", "A 59107-2025")</f>
        <v/>
      </c>
      <c r="Y53">
        <f>HYPERLINK("https://klasma.github.io/Logging_2303/tillsynsmail/A 59107-2025 tillsynsbegäran mail.docx", "A 59107-2025")</f>
        <v/>
      </c>
      <c r="Z53">
        <f>HYPERLINK("https://klasma.github.io/Logging_2303/fåglar/A 59107-2025 prioriterade fågelarter.docx", "A 59107-2025")</f>
        <v/>
      </c>
    </row>
    <row r="54" ht="15" customHeight="1">
      <c r="A54" t="inlineStr">
        <is>
          <t>A 60129-2025</t>
        </is>
      </c>
      <c r="B54" s="1" t="n">
        <v>45994.34461805555</v>
      </c>
      <c r="C54" s="1" t="n">
        <v>46042</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15665-2022</t>
        </is>
      </c>
      <c r="B55" s="1" t="n">
        <v>44662</v>
      </c>
      <c r="C55" s="1" t="n">
        <v>46042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46042</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46042</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46042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46042</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46042</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46042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46042</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46042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46042</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46042</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46042</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933-2023</t>
        </is>
      </c>
      <c r="B68" s="1" t="n">
        <v>44932</v>
      </c>
      <c r="C68" s="1" t="n">
        <v>46042</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39973-2025</t>
        </is>
      </c>
      <c r="B69" s="1" t="n">
        <v>45893.38584490741</v>
      </c>
      <c r="C69" s="1" t="n">
        <v>46042</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19402-2025</t>
        </is>
      </c>
      <c r="B70" s="1" t="n">
        <v>45769.67778935185</v>
      </c>
      <c r="C70" s="1" t="n">
        <v>46042</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46042</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46042</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49291-2025</t>
        </is>
      </c>
      <c r="B73" s="1" t="n">
        <v>45938.53188657408</v>
      </c>
      <c r="C73" s="1" t="n">
        <v>46042</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30637-2024</t>
        </is>
      </c>
      <c r="B74" s="1" t="n">
        <v>45495.56244212963</v>
      </c>
      <c r="C74" s="1" t="n">
        <v>46042</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36276-2025</t>
        </is>
      </c>
      <c r="B75" s="1" t="n">
        <v>45867.63619212963</v>
      </c>
      <c r="C75" s="1" t="n">
        <v>46042</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47115-2025</t>
        </is>
      </c>
      <c r="B76" s="1" t="n">
        <v>45929</v>
      </c>
      <c r="C76" s="1" t="n">
        <v>46042</v>
      </c>
      <c r="D76" t="inlineStr">
        <is>
          <t>JÄMTLANDS LÄN</t>
        </is>
      </c>
      <c r="E76" t="inlineStr">
        <is>
          <t>RAGUNDA</t>
        </is>
      </c>
      <c r="G76" t="n">
        <v>6.4</v>
      </c>
      <c r="H76" t="n">
        <v>4</v>
      </c>
      <c r="I76" t="n">
        <v>0</v>
      </c>
      <c r="J76" t="n">
        <v>3</v>
      </c>
      <c r="K76" t="n">
        <v>2</v>
      </c>
      <c r="L76" t="n">
        <v>0</v>
      </c>
      <c r="M76" t="n">
        <v>0</v>
      </c>
      <c r="N76" t="n">
        <v>0</v>
      </c>
      <c r="O76" t="n">
        <v>5</v>
      </c>
      <c r="P76" t="n">
        <v>2</v>
      </c>
      <c r="Q76" t="n">
        <v>6</v>
      </c>
      <c r="R76" s="2" t="inlineStr">
        <is>
          <t>Doftticka
Knärot
Garnlav
Lunglav
Tretåig hackspett
Lavskrika</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11828-2023</t>
        </is>
      </c>
      <c r="B77" s="1" t="n">
        <v>44994</v>
      </c>
      <c r="C77" s="1" t="n">
        <v>46042</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2193-2026</t>
        </is>
      </c>
      <c r="B78" s="1" t="n">
        <v>46036.46946759259</v>
      </c>
      <c r="C78" s="1" t="n">
        <v>46042</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34317-2025</t>
        </is>
      </c>
      <c r="B79" s="1" t="n">
        <v>45846.41361111111</v>
      </c>
      <c r="C79" s="1" t="n">
        <v>46042</v>
      </c>
      <c r="D79" t="inlineStr">
        <is>
          <t>JÄMTLANDS LÄN</t>
        </is>
      </c>
      <c r="E79" t="inlineStr">
        <is>
          <t>RAGUNDA</t>
        </is>
      </c>
      <c r="G79" t="n">
        <v>8.300000000000001</v>
      </c>
      <c r="H79" t="n">
        <v>2</v>
      </c>
      <c r="I79" t="n">
        <v>1</v>
      </c>
      <c r="J79" t="n">
        <v>4</v>
      </c>
      <c r="K79" t="n">
        <v>1</v>
      </c>
      <c r="L79" t="n">
        <v>0</v>
      </c>
      <c r="M79" t="n">
        <v>0</v>
      </c>
      <c r="N79" t="n">
        <v>0</v>
      </c>
      <c r="O79" t="n">
        <v>5</v>
      </c>
      <c r="P79" t="n">
        <v>1</v>
      </c>
      <c r="Q79" t="n">
        <v>6</v>
      </c>
      <c r="R79" s="2" t="inlineStr">
        <is>
          <t>Knärot
Garnlav
Lunglav
Nordtagging
Talltita
Skinnlav</t>
        </is>
      </c>
      <c r="S79">
        <f>HYPERLINK("https://klasma.github.io/Logging_2303/artfynd/A 34317-2025 artfynd.xlsx", "A 34317-2025")</f>
        <v/>
      </c>
      <c r="T79">
        <f>HYPERLINK("https://klasma.github.io/Logging_2303/kartor/A 34317-2025 karta.png", "A 34317-2025")</f>
        <v/>
      </c>
      <c r="U79">
        <f>HYPERLINK("https://klasma.github.io/Logging_2303/knärot/A 34317-2025 karta knärot.png", "A 34317-2025")</f>
        <v/>
      </c>
      <c r="V79">
        <f>HYPERLINK("https://klasma.github.io/Logging_2303/klagomål/A 34317-2025 FSC-klagomål.docx", "A 34317-2025")</f>
        <v/>
      </c>
      <c r="W79">
        <f>HYPERLINK("https://klasma.github.io/Logging_2303/klagomålsmail/A 34317-2025 FSC-klagomål mail.docx", "A 34317-2025")</f>
        <v/>
      </c>
      <c r="X79">
        <f>HYPERLINK("https://klasma.github.io/Logging_2303/tillsyn/A 34317-2025 tillsynsbegäran.docx", "A 34317-2025")</f>
        <v/>
      </c>
      <c r="Y79">
        <f>HYPERLINK("https://klasma.github.io/Logging_2303/tillsynsmail/A 34317-2025 tillsynsbegäran mail.docx", "A 34317-2025")</f>
        <v/>
      </c>
      <c r="Z79">
        <f>HYPERLINK("https://klasma.github.io/Logging_2303/fåglar/A 34317-2025 prioriterade fågelarter.docx", "A 34317-2025")</f>
        <v/>
      </c>
    </row>
    <row r="80" ht="15" customHeight="1">
      <c r="A80" t="inlineStr">
        <is>
          <t>A 55646-2023</t>
        </is>
      </c>
      <c r="B80" s="1" t="n">
        <v>45238</v>
      </c>
      <c r="C80" s="1" t="n">
        <v>46042</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24431-2024</t>
        </is>
      </c>
      <c r="B81" s="1" t="n">
        <v>45457</v>
      </c>
      <c r="C81" s="1" t="n">
        <v>46042</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46042</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46042</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46042</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46042</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46042</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46042</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39365-2024</t>
        </is>
      </c>
      <c r="B88" s="1" t="n">
        <v>45551.46912037037</v>
      </c>
      <c r="C88" s="1" t="n">
        <v>46042</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15244-2025</t>
        </is>
      </c>
      <c r="B89" s="1" t="n">
        <v>45744.61550925926</v>
      </c>
      <c r="C89" s="1" t="n">
        <v>46042</v>
      </c>
      <c r="D89" t="inlineStr">
        <is>
          <t>JÄMTLANDS LÄN</t>
        </is>
      </c>
      <c r="E89" t="inlineStr">
        <is>
          <t>RAGUNDA</t>
        </is>
      </c>
      <c r="F89" t="inlineStr">
        <is>
          <t>SCA</t>
        </is>
      </c>
      <c r="G89" t="n">
        <v>2.6</v>
      </c>
      <c r="H89" t="n">
        <v>0</v>
      </c>
      <c r="I89" t="n">
        <v>2</v>
      </c>
      <c r="J89" t="n">
        <v>3</v>
      </c>
      <c r="K89" t="n">
        <v>0</v>
      </c>
      <c r="L89" t="n">
        <v>0</v>
      </c>
      <c r="M89" t="n">
        <v>0</v>
      </c>
      <c r="N89" t="n">
        <v>0</v>
      </c>
      <c r="O89" t="n">
        <v>3</v>
      </c>
      <c r="P89" t="n">
        <v>0</v>
      </c>
      <c r="Q89" t="n">
        <v>5</v>
      </c>
      <c r="R89" s="2" t="inlineStr">
        <is>
          <t>Garnlav
Rosenticka
Ullticka
Stuplav
Vedticka</t>
        </is>
      </c>
      <c r="S89">
        <f>HYPERLINK("https://klasma.github.io/Logging_2303/artfynd/A 15244-2025 artfynd.xlsx", "A 15244-2025")</f>
        <v/>
      </c>
      <c r="T89">
        <f>HYPERLINK("https://klasma.github.io/Logging_2303/kartor/A 15244-2025 karta.png", "A 15244-2025")</f>
        <v/>
      </c>
      <c r="V89">
        <f>HYPERLINK("https://klasma.github.io/Logging_2303/klagomål/A 15244-2025 FSC-klagomål.docx", "A 15244-2025")</f>
        <v/>
      </c>
      <c r="W89">
        <f>HYPERLINK("https://klasma.github.io/Logging_2303/klagomålsmail/A 15244-2025 FSC-klagomål mail.docx", "A 15244-2025")</f>
        <v/>
      </c>
      <c r="X89">
        <f>HYPERLINK("https://klasma.github.io/Logging_2303/tillsyn/A 15244-2025 tillsynsbegäran.docx", "A 15244-2025")</f>
        <v/>
      </c>
      <c r="Y89">
        <f>HYPERLINK("https://klasma.github.io/Logging_2303/tillsynsmail/A 15244-2025 tillsynsbegäran mail.docx", "A 15244-2025")</f>
        <v/>
      </c>
    </row>
    <row r="90" ht="15" customHeight="1">
      <c r="A90" t="inlineStr">
        <is>
          <t>A 39974-2025</t>
        </is>
      </c>
      <c r="B90" s="1" t="n">
        <v>45893.38599537037</v>
      </c>
      <c r="C90" s="1" t="n">
        <v>46042</v>
      </c>
      <c r="D90" t="inlineStr">
        <is>
          <t>JÄMTLANDS LÄN</t>
        </is>
      </c>
      <c r="E90" t="inlineStr">
        <is>
          <t>RAGUNDA</t>
        </is>
      </c>
      <c r="F90" t="inlineStr">
        <is>
          <t>SCA</t>
        </is>
      </c>
      <c r="G90" t="n">
        <v>2.5</v>
      </c>
      <c r="H90" t="n">
        <v>0</v>
      </c>
      <c r="I90" t="n">
        <v>2</v>
      </c>
      <c r="J90" t="n">
        <v>3</v>
      </c>
      <c r="K90" t="n">
        <v>0</v>
      </c>
      <c r="L90" t="n">
        <v>0</v>
      </c>
      <c r="M90" t="n">
        <v>0</v>
      </c>
      <c r="N90" t="n">
        <v>0</v>
      </c>
      <c r="O90" t="n">
        <v>3</v>
      </c>
      <c r="P90" t="n">
        <v>0</v>
      </c>
      <c r="Q90" t="n">
        <v>5</v>
      </c>
      <c r="R90" s="2" t="inlineStr">
        <is>
          <t>Garnlav
Lunglav
Skrovellav
Dropptaggsvamp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27313-2024</t>
        </is>
      </c>
      <c r="B91" s="1" t="n">
        <v>45471.94623842592</v>
      </c>
      <c r="C91" s="1" t="n">
        <v>46042</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46042</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46042</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46042</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13266-2023</t>
        </is>
      </c>
      <c r="B95" s="1" t="n">
        <v>45002.94356481481</v>
      </c>
      <c r="C95" s="1" t="n">
        <v>46042</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38169-2024</t>
        </is>
      </c>
      <c r="B96" s="1" t="n">
        <v>45545.45748842593</v>
      </c>
      <c r="C96" s="1" t="n">
        <v>46042</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46042</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57073-2023</t>
        </is>
      </c>
      <c r="B98" s="1" t="n">
        <v>45244</v>
      </c>
      <c r="C98" s="1" t="n">
        <v>46042</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43106-2023</t>
        </is>
      </c>
      <c r="B99" s="1" t="n">
        <v>45182</v>
      </c>
      <c r="C99" s="1" t="n">
        <v>46042</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46042</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46042</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46042</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46042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46042</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46042</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46042</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32903-2024</t>
        </is>
      </c>
      <c r="B107" s="1" t="n">
        <v>45516.94723379629</v>
      </c>
      <c r="C107" s="1" t="n">
        <v>46042</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46042</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46042</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46042</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43960-2023</t>
        </is>
      </c>
      <c r="B111" s="1" t="n">
        <v>45187</v>
      </c>
      <c r="C111" s="1" t="n">
        <v>46042</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30483-2024</t>
        </is>
      </c>
      <c r="B112" s="1" t="n">
        <v>45491</v>
      </c>
      <c r="C112" s="1" t="n">
        <v>46042</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40653-2025</t>
        </is>
      </c>
      <c r="B113" s="1" t="n">
        <v>45896.63618055556</v>
      </c>
      <c r="C113" s="1" t="n">
        <v>46042</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23931-2024</t>
        </is>
      </c>
      <c r="B114" s="1" t="n">
        <v>45455.96195601852</v>
      </c>
      <c r="C114" s="1" t="n">
        <v>46042</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46042</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46042</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46042</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46042</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52644-2024</t>
        </is>
      </c>
      <c r="B119" s="1" t="n">
        <v>45610.34415509259</v>
      </c>
      <c r="C119" s="1" t="n">
        <v>46042</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50342-2025</t>
        </is>
      </c>
      <c r="B120" s="1" t="n">
        <v>45944.53186342592</v>
      </c>
      <c r="C120" s="1" t="n">
        <v>46042</v>
      </c>
      <c r="D120" t="inlineStr">
        <is>
          <t>JÄMTLANDS LÄN</t>
        </is>
      </c>
      <c r="E120" t="inlineStr">
        <is>
          <t>RAGUNDA</t>
        </is>
      </c>
      <c r="F120" t="inlineStr">
        <is>
          <t>SCA</t>
        </is>
      </c>
      <c r="G120" t="n">
        <v>20.7</v>
      </c>
      <c r="H120" t="n">
        <v>1</v>
      </c>
      <c r="I120" t="n">
        <v>1</v>
      </c>
      <c r="J120" t="n">
        <v>3</v>
      </c>
      <c r="K120" t="n">
        <v>0</v>
      </c>
      <c r="L120" t="n">
        <v>0</v>
      </c>
      <c r="M120" t="n">
        <v>0</v>
      </c>
      <c r="N120" t="n">
        <v>0</v>
      </c>
      <c r="O120" t="n">
        <v>3</v>
      </c>
      <c r="P120" t="n">
        <v>0</v>
      </c>
      <c r="Q120" t="n">
        <v>4</v>
      </c>
      <c r="R120" s="2" t="inlineStr">
        <is>
          <t>Garnlav
Granticka
Tretåig hackspett
Trådticka</t>
        </is>
      </c>
      <c r="S120">
        <f>HYPERLINK("https://klasma.github.io/Logging_2303/artfynd/A 50342-2025 artfynd.xlsx", "A 50342-2025")</f>
        <v/>
      </c>
      <c r="T120">
        <f>HYPERLINK("https://klasma.github.io/Logging_2303/kartor/A 50342-2025 karta.png", "A 50342-2025")</f>
        <v/>
      </c>
      <c r="V120">
        <f>HYPERLINK("https://klasma.github.io/Logging_2303/klagomål/A 50342-2025 FSC-klagomål.docx", "A 50342-2025")</f>
        <v/>
      </c>
      <c r="W120">
        <f>HYPERLINK("https://klasma.github.io/Logging_2303/klagomålsmail/A 50342-2025 FSC-klagomål mail.docx", "A 50342-2025")</f>
        <v/>
      </c>
      <c r="X120">
        <f>HYPERLINK("https://klasma.github.io/Logging_2303/tillsyn/A 50342-2025 tillsynsbegäran.docx", "A 50342-2025")</f>
        <v/>
      </c>
      <c r="Y120">
        <f>HYPERLINK("https://klasma.github.io/Logging_2303/tillsynsmail/A 50342-2025 tillsynsbegäran mail.docx", "A 50342-2025")</f>
        <v/>
      </c>
      <c r="Z120">
        <f>HYPERLINK("https://klasma.github.io/Logging_2303/fåglar/A 50342-2025 prioriterade fågelarter.docx", "A 50342-2025")</f>
        <v/>
      </c>
    </row>
    <row r="121" ht="15" customHeight="1">
      <c r="A121" t="inlineStr">
        <is>
          <t>A 19401-2025</t>
        </is>
      </c>
      <c r="B121" s="1" t="n">
        <v>45769.67767361111</v>
      </c>
      <c r="C121" s="1" t="n">
        <v>46042</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46042</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46042</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46042</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46042</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46042</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46042</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46042</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46042</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46042</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46042</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46042</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46042</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58737-2022</t>
        </is>
      </c>
      <c r="B134" s="1" t="n">
        <v>44902</v>
      </c>
      <c r="C134" s="1" t="n">
        <v>46042</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46042</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28178-2023</t>
        </is>
      </c>
      <c r="B136" s="1" t="n">
        <v>45093</v>
      </c>
      <c r="C136" s="1" t="n">
        <v>46042</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34585-2025</t>
        </is>
      </c>
      <c r="B137" s="1" t="n">
        <v>45847.61498842593</v>
      </c>
      <c r="C137" s="1" t="n">
        <v>46042</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46042</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49047-2023</t>
        </is>
      </c>
      <c r="B139" s="1" t="n">
        <v>45209</v>
      </c>
      <c r="C139" s="1" t="n">
        <v>46042</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14814-2024</t>
        </is>
      </c>
      <c r="B140" s="1" t="n">
        <v>45397.95748842593</v>
      </c>
      <c r="C140" s="1" t="n">
        <v>46042</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33278-2022</t>
        </is>
      </c>
      <c r="B141" s="1" t="n">
        <v>44788</v>
      </c>
      <c r="C141" s="1" t="n">
        <v>46042</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61954-2025</t>
        </is>
      </c>
      <c r="B142" s="1" t="n">
        <v>46003.57381944444</v>
      </c>
      <c r="C142" s="1" t="n">
        <v>46042</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57941-2024</t>
        </is>
      </c>
      <c r="B143" s="1" t="n">
        <v>45631</v>
      </c>
      <c r="C143" s="1" t="n">
        <v>46042</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7519-2023</t>
        </is>
      </c>
      <c r="B144" s="1" t="n">
        <v>44971</v>
      </c>
      <c r="C144" s="1" t="n">
        <v>46042</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12737-2025</t>
        </is>
      </c>
      <c r="B145" s="1" t="n">
        <v>45733</v>
      </c>
      <c r="C145" s="1" t="n">
        <v>46042</v>
      </c>
      <c r="D145" t="inlineStr">
        <is>
          <t>JÄMTLANDS LÄN</t>
        </is>
      </c>
      <c r="E145" t="inlineStr">
        <is>
          <t>RAGUNDA</t>
        </is>
      </c>
      <c r="G145" t="n">
        <v>16.1</v>
      </c>
      <c r="H145" t="n">
        <v>2</v>
      </c>
      <c r="I145" t="n">
        <v>2</v>
      </c>
      <c r="J145" t="n">
        <v>0</v>
      </c>
      <c r="K145" t="n">
        <v>1</v>
      </c>
      <c r="L145" t="n">
        <v>0</v>
      </c>
      <c r="M145" t="n">
        <v>0</v>
      </c>
      <c r="N145" t="n">
        <v>0</v>
      </c>
      <c r="O145" t="n">
        <v>1</v>
      </c>
      <c r="P145" t="n">
        <v>1</v>
      </c>
      <c r="Q145" t="n">
        <v>3</v>
      </c>
      <c r="R145" s="2" t="inlineStr">
        <is>
          <t>Knärot
Plattlummer
Skarp dropptaggsvamp</t>
        </is>
      </c>
      <c r="S145">
        <f>HYPERLINK("https://klasma.github.io/Logging_2303/artfynd/A 12737-2025 artfynd.xlsx", "A 12737-2025")</f>
        <v/>
      </c>
      <c r="T145">
        <f>HYPERLINK("https://klasma.github.io/Logging_2303/kartor/A 12737-2025 karta.png", "A 12737-2025")</f>
        <v/>
      </c>
      <c r="U145">
        <f>HYPERLINK("https://klasma.github.io/Logging_2303/knärot/A 12737-2025 karta knärot.png", "A 12737-2025")</f>
        <v/>
      </c>
      <c r="V145">
        <f>HYPERLINK("https://klasma.github.io/Logging_2303/klagomål/A 12737-2025 FSC-klagomål.docx", "A 12737-2025")</f>
        <v/>
      </c>
      <c r="W145">
        <f>HYPERLINK("https://klasma.github.io/Logging_2303/klagomålsmail/A 12737-2025 FSC-klagomål mail.docx", "A 12737-2025")</f>
        <v/>
      </c>
      <c r="X145">
        <f>HYPERLINK("https://klasma.github.io/Logging_2303/tillsyn/A 12737-2025 tillsynsbegäran.docx", "A 12737-2025")</f>
        <v/>
      </c>
      <c r="Y145">
        <f>HYPERLINK("https://klasma.github.io/Logging_2303/tillsynsmail/A 12737-2025 tillsynsbegäran mail.docx", "A 12737-2025")</f>
        <v/>
      </c>
    </row>
    <row r="146" ht="15" customHeight="1">
      <c r="A146" t="inlineStr">
        <is>
          <t>A 5048-2025</t>
        </is>
      </c>
      <c r="B146" s="1" t="n">
        <v>45691.44769675926</v>
      </c>
      <c r="C146" s="1" t="n">
        <v>46042</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57667-2025</t>
        </is>
      </c>
      <c r="B147" s="1" t="n">
        <v>45981.42767361111</v>
      </c>
      <c r="C147" s="1" t="n">
        <v>46042</v>
      </c>
      <c r="D147" t="inlineStr">
        <is>
          <t>JÄMTLANDS LÄN</t>
        </is>
      </c>
      <c r="E147" t="inlineStr">
        <is>
          <t>RAGUNDA</t>
        </is>
      </c>
      <c r="F147" t="inlineStr">
        <is>
          <t>SCA</t>
        </is>
      </c>
      <c r="G147" t="n">
        <v>1.7</v>
      </c>
      <c r="H147" t="n">
        <v>0</v>
      </c>
      <c r="I147" t="n">
        <v>2</v>
      </c>
      <c r="J147" t="n">
        <v>1</v>
      </c>
      <c r="K147" t="n">
        <v>0</v>
      </c>
      <c r="L147" t="n">
        <v>0</v>
      </c>
      <c r="M147" t="n">
        <v>0</v>
      </c>
      <c r="N147" t="n">
        <v>0</v>
      </c>
      <c r="O147" t="n">
        <v>1</v>
      </c>
      <c r="P147" t="n">
        <v>0</v>
      </c>
      <c r="Q147" t="n">
        <v>3</v>
      </c>
      <c r="R147" s="2" t="inlineStr">
        <is>
          <t>Lunglav
Korallblylav
Luddlav</t>
        </is>
      </c>
      <c r="S147">
        <f>HYPERLINK("https://klasma.github.io/Logging_2303/artfynd/A 57667-2025 artfynd.xlsx", "A 57667-2025")</f>
        <v/>
      </c>
      <c r="T147">
        <f>HYPERLINK("https://klasma.github.io/Logging_2303/kartor/A 57667-2025 karta.png", "A 57667-2025")</f>
        <v/>
      </c>
      <c r="V147">
        <f>HYPERLINK("https://klasma.github.io/Logging_2303/klagomål/A 57667-2025 FSC-klagomål.docx", "A 57667-2025")</f>
        <v/>
      </c>
      <c r="W147">
        <f>HYPERLINK("https://klasma.github.io/Logging_2303/klagomålsmail/A 57667-2025 FSC-klagomål mail.docx", "A 57667-2025")</f>
        <v/>
      </c>
      <c r="X147">
        <f>HYPERLINK("https://klasma.github.io/Logging_2303/tillsyn/A 57667-2025 tillsynsbegäran.docx", "A 57667-2025")</f>
        <v/>
      </c>
      <c r="Y147">
        <f>HYPERLINK("https://klasma.github.io/Logging_2303/tillsynsmail/A 57667-2025 tillsynsbegäran mail.docx", "A 57667-2025")</f>
        <v/>
      </c>
    </row>
    <row r="148" ht="15" customHeight="1">
      <c r="A148" t="inlineStr">
        <is>
          <t>A 59179-2025</t>
        </is>
      </c>
      <c r="B148" s="1" t="n">
        <v>45988.57350694444</v>
      </c>
      <c r="C148" s="1" t="n">
        <v>46042</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61790-2023</t>
        </is>
      </c>
      <c r="B149" s="1" t="n">
        <v>45265</v>
      </c>
      <c r="C149" s="1" t="n">
        <v>46042</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46042</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46042</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46042</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46042</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46042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46042</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46042</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46042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46042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46042</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46042</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46042</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46042</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47267-2022</t>
        </is>
      </c>
      <c r="B163" s="1" t="n">
        <v>44852</v>
      </c>
      <c r="C163" s="1" t="n">
        <v>46042</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45021-2023</t>
        </is>
      </c>
      <c r="B164" s="1" t="n">
        <v>45190</v>
      </c>
      <c r="C164" s="1" t="n">
        <v>46042</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48427-2023</t>
        </is>
      </c>
      <c r="B165" s="1" t="n">
        <v>45205</v>
      </c>
      <c r="C165" s="1" t="n">
        <v>46042</v>
      </c>
      <c r="D165" t="inlineStr">
        <is>
          <t>JÄMTLANDS LÄN</t>
        </is>
      </c>
      <c r="E165" t="inlineStr">
        <is>
          <t>RAGUNDA</t>
        </is>
      </c>
      <c r="F165" t="inlineStr">
        <is>
          <t>SCA</t>
        </is>
      </c>
      <c r="G165" t="n">
        <v>10.1</v>
      </c>
      <c r="H165" t="n">
        <v>0</v>
      </c>
      <c r="I165" t="n">
        <v>1</v>
      </c>
      <c r="J165" t="n">
        <v>1</v>
      </c>
      <c r="K165" t="n">
        <v>0</v>
      </c>
      <c r="L165" t="n">
        <v>0</v>
      </c>
      <c r="M165" t="n">
        <v>0</v>
      </c>
      <c r="N165" t="n">
        <v>0</v>
      </c>
      <c r="O165" t="n">
        <v>1</v>
      </c>
      <c r="P165" t="n">
        <v>0</v>
      </c>
      <c r="Q165" t="n">
        <v>2</v>
      </c>
      <c r="R165" s="2" t="inlineStr">
        <is>
          <t>Lunglav
Luddlav</t>
        </is>
      </c>
      <c r="S165">
        <f>HYPERLINK("https://klasma.github.io/Logging_2303/artfynd/A 48427-2023 artfynd.xlsx", "A 48427-2023")</f>
        <v/>
      </c>
      <c r="T165">
        <f>HYPERLINK("https://klasma.github.io/Logging_2303/kartor/A 48427-2023 karta.png", "A 48427-2023")</f>
        <v/>
      </c>
      <c r="V165">
        <f>HYPERLINK("https://klasma.github.io/Logging_2303/klagomål/A 48427-2023 FSC-klagomål.docx", "A 48427-2023")</f>
        <v/>
      </c>
      <c r="W165">
        <f>HYPERLINK("https://klasma.github.io/Logging_2303/klagomålsmail/A 48427-2023 FSC-klagomål mail.docx", "A 48427-2023")</f>
        <v/>
      </c>
      <c r="X165">
        <f>HYPERLINK("https://klasma.github.io/Logging_2303/tillsyn/A 48427-2023 tillsynsbegäran.docx", "A 48427-2023")</f>
        <v/>
      </c>
      <c r="Y165">
        <f>HYPERLINK("https://klasma.github.io/Logging_2303/tillsynsmail/A 48427-2023 tillsynsbegäran mail.docx", "A 48427-2023")</f>
        <v/>
      </c>
    </row>
    <row r="166" ht="15" customHeight="1">
      <c r="A166" t="inlineStr">
        <is>
          <t>A 31960-2025</t>
        </is>
      </c>
      <c r="B166" s="1" t="n">
        <v>45835.344375</v>
      </c>
      <c r="C166" s="1" t="n">
        <v>46042</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46042</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30053-2024</t>
        </is>
      </c>
      <c r="B168" s="1" t="n">
        <v>45488.94747685185</v>
      </c>
      <c r="C168" s="1" t="n">
        <v>46042</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35131-2025</t>
        </is>
      </c>
      <c r="B169" s="1" t="n">
        <v>45852.63597222222</v>
      </c>
      <c r="C169" s="1" t="n">
        <v>46042</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50089-2022</t>
        </is>
      </c>
      <c r="B170" s="1" t="n">
        <v>44865</v>
      </c>
      <c r="C170" s="1" t="n">
        <v>46042</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11086-2025</t>
        </is>
      </c>
      <c r="B171" s="1" t="n">
        <v>45723.57329861111</v>
      </c>
      <c r="C171" s="1" t="n">
        <v>46042</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46042</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57940-2024</t>
        </is>
      </c>
      <c r="B173" s="1" t="n">
        <v>45631</v>
      </c>
      <c r="C173" s="1" t="n">
        <v>46042</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41490-2022</t>
        </is>
      </c>
      <c r="B174" s="1" t="n">
        <v>44826.94976851852</v>
      </c>
      <c r="C174" s="1" t="n">
        <v>46042</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62636-2025</t>
        </is>
      </c>
      <c r="B175" s="1" t="n">
        <v>46008.3653587963</v>
      </c>
      <c r="C175" s="1" t="n">
        <v>46042</v>
      </c>
      <c r="D175" t="inlineStr">
        <is>
          <t>JÄMTLANDS LÄN</t>
        </is>
      </c>
      <c r="E175" t="inlineStr">
        <is>
          <t>RAGUNDA</t>
        </is>
      </c>
      <c r="G175" t="n">
        <v>3.1</v>
      </c>
      <c r="H175" t="n">
        <v>1</v>
      </c>
      <c r="I175" t="n">
        <v>0</v>
      </c>
      <c r="J175" t="n">
        <v>2</v>
      </c>
      <c r="K175" t="n">
        <v>0</v>
      </c>
      <c r="L175" t="n">
        <v>0</v>
      </c>
      <c r="M175" t="n">
        <v>0</v>
      </c>
      <c r="N175" t="n">
        <v>0</v>
      </c>
      <c r="O175" t="n">
        <v>2</v>
      </c>
      <c r="P175" t="n">
        <v>0</v>
      </c>
      <c r="Q175" t="n">
        <v>2</v>
      </c>
      <c r="R175" s="2" t="inlineStr">
        <is>
          <t>Garnlav
Talltita</t>
        </is>
      </c>
      <c r="S175">
        <f>HYPERLINK("https://klasma.github.io/Logging_2303/artfynd/A 62636-2025 artfynd.xlsx", "A 62636-2025")</f>
        <v/>
      </c>
      <c r="T175">
        <f>HYPERLINK("https://klasma.github.io/Logging_2303/kartor/A 62636-2025 karta.png", "A 62636-2025")</f>
        <v/>
      </c>
      <c r="V175">
        <f>HYPERLINK("https://klasma.github.io/Logging_2303/klagomål/A 62636-2025 FSC-klagomål.docx", "A 62636-2025")</f>
        <v/>
      </c>
      <c r="W175">
        <f>HYPERLINK("https://klasma.github.io/Logging_2303/klagomålsmail/A 62636-2025 FSC-klagomål mail.docx", "A 62636-2025")</f>
        <v/>
      </c>
      <c r="X175">
        <f>HYPERLINK("https://klasma.github.io/Logging_2303/tillsyn/A 62636-2025 tillsynsbegäran.docx", "A 62636-2025")</f>
        <v/>
      </c>
      <c r="Y175">
        <f>HYPERLINK("https://klasma.github.io/Logging_2303/tillsynsmail/A 62636-2025 tillsynsbegäran mail.docx", "A 62636-2025")</f>
        <v/>
      </c>
      <c r="Z175">
        <f>HYPERLINK("https://klasma.github.io/Logging_2303/fåglar/A 62636-2025 prioriterade fågelarter.docx", "A 62636-2025")</f>
        <v/>
      </c>
    </row>
    <row r="176" ht="15" customHeight="1">
      <c r="A176" t="inlineStr">
        <is>
          <t>A 14502-2024</t>
        </is>
      </c>
      <c r="B176" s="1" t="n">
        <v>45394</v>
      </c>
      <c r="C176" s="1" t="n">
        <v>46042</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56634-2025</t>
        </is>
      </c>
      <c r="B177" s="1" t="n">
        <v>45975.61619212963</v>
      </c>
      <c r="C177" s="1" t="n">
        <v>46042</v>
      </c>
      <c r="D177" t="inlineStr">
        <is>
          <t>JÄMTLANDS LÄN</t>
        </is>
      </c>
      <c r="E177" t="inlineStr">
        <is>
          <t>RAGUNDA</t>
        </is>
      </c>
      <c r="F177" t="inlineStr">
        <is>
          <t>SCA</t>
        </is>
      </c>
      <c r="G177" t="n">
        <v>86.59999999999999</v>
      </c>
      <c r="H177" t="n">
        <v>0</v>
      </c>
      <c r="I177" t="n">
        <v>1</v>
      </c>
      <c r="J177" t="n">
        <v>1</v>
      </c>
      <c r="K177" t="n">
        <v>0</v>
      </c>
      <c r="L177" t="n">
        <v>0</v>
      </c>
      <c r="M177" t="n">
        <v>0</v>
      </c>
      <c r="N177" t="n">
        <v>0</v>
      </c>
      <c r="O177" t="n">
        <v>1</v>
      </c>
      <c r="P177" t="n">
        <v>0</v>
      </c>
      <c r="Q177" t="n">
        <v>2</v>
      </c>
      <c r="R177" s="2" t="inlineStr">
        <is>
          <t>Garnlav
Skuggblåslav</t>
        </is>
      </c>
      <c r="S177">
        <f>HYPERLINK("https://klasma.github.io/Logging_2303/artfynd/A 56634-2025 artfynd.xlsx", "A 56634-2025")</f>
        <v/>
      </c>
      <c r="T177">
        <f>HYPERLINK("https://klasma.github.io/Logging_2303/kartor/A 56634-2025 karta.png", "A 56634-2025")</f>
        <v/>
      </c>
      <c r="V177">
        <f>HYPERLINK("https://klasma.github.io/Logging_2303/klagomål/A 56634-2025 FSC-klagomål.docx", "A 56634-2025")</f>
        <v/>
      </c>
      <c r="W177">
        <f>HYPERLINK("https://klasma.github.io/Logging_2303/klagomålsmail/A 56634-2025 FSC-klagomål mail.docx", "A 56634-2025")</f>
        <v/>
      </c>
      <c r="X177">
        <f>HYPERLINK("https://klasma.github.io/Logging_2303/tillsyn/A 56634-2025 tillsynsbegäran.docx", "A 56634-2025")</f>
        <v/>
      </c>
      <c r="Y177">
        <f>HYPERLINK("https://klasma.github.io/Logging_2303/tillsynsmail/A 56634-2025 tillsynsbegäran mail.docx", "A 56634-2025")</f>
        <v/>
      </c>
    </row>
    <row r="178" ht="15" customHeight="1">
      <c r="A178" t="inlineStr">
        <is>
          <t>A 46771-2024</t>
        </is>
      </c>
      <c r="B178" s="1" t="n">
        <v>45583.49642361111</v>
      </c>
      <c r="C178" s="1" t="n">
        <v>46042</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46042</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46042</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46042</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46042</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46042</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46042</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46042</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46042</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46042</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46042</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46042</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46042</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46042</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46042</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46042</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46042</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46042</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46042</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46042</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46042</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46042</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46042</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46042</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46042</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20575-2025</t>
        </is>
      </c>
      <c r="B203" s="1" t="n">
        <v>45775.67769675926</v>
      </c>
      <c r="C203" s="1" t="n">
        <v>46042</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6703-2024</t>
        </is>
      </c>
      <c r="B204" s="1" t="n">
        <v>45341</v>
      </c>
      <c r="C204" s="1" t="n">
        <v>46042</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59104-2023</t>
        </is>
      </c>
      <c r="B205" s="1" t="n">
        <v>45252</v>
      </c>
      <c r="C205" s="1" t="n">
        <v>46042</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16316-2025</t>
        </is>
      </c>
      <c r="B206" s="1" t="n">
        <v>45751.34795138889</v>
      </c>
      <c r="C206" s="1" t="n">
        <v>46042</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25694-2023</t>
        </is>
      </c>
      <c r="B207" s="1" t="n">
        <v>45089</v>
      </c>
      <c r="C207" s="1" t="n">
        <v>46042</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46042</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36975-2023</t>
        </is>
      </c>
      <c r="B209" s="1" t="n">
        <v>45154</v>
      </c>
      <c r="C209" s="1" t="n">
        <v>46042</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36224-2023</t>
        </is>
      </c>
      <c r="B210" s="1" t="n">
        <v>45149</v>
      </c>
      <c r="C210" s="1" t="n">
        <v>46042</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50233-2024</t>
        </is>
      </c>
      <c r="B211" s="1" t="n">
        <v>45600.55265046296</v>
      </c>
      <c r="C211" s="1" t="n">
        <v>46042</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43404-2023</t>
        </is>
      </c>
      <c r="B212" s="1" t="n">
        <v>45183</v>
      </c>
      <c r="C212" s="1" t="n">
        <v>46042</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40841-2025</t>
        </is>
      </c>
      <c r="B213" s="1" t="n">
        <v>45897.531875</v>
      </c>
      <c r="C213" s="1" t="n">
        <v>46042</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24443-2024</t>
        </is>
      </c>
      <c r="B214" s="1" t="n">
        <v>45457.9640625</v>
      </c>
      <c r="C214" s="1" t="n">
        <v>46042</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46042</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27573-2025</t>
        </is>
      </c>
      <c r="B216" s="1" t="n">
        <v>45813.49061342593</v>
      </c>
      <c r="C216" s="1" t="n">
        <v>46042</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43526-2025</t>
        </is>
      </c>
      <c r="B217" s="1" t="n">
        <v>45911</v>
      </c>
      <c r="C217" s="1" t="n">
        <v>46042</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30390-2025</t>
        </is>
      </c>
      <c r="B218" s="1" t="n">
        <v>45827.57371527778</v>
      </c>
      <c r="C218" s="1" t="n">
        <v>46042</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46042</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978-2024</t>
        </is>
      </c>
      <c r="B220" s="1" t="n">
        <v>45301</v>
      </c>
      <c r="C220" s="1" t="n">
        <v>46042</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46042</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32445-2025</t>
        </is>
      </c>
      <c r="B222" s="1" t="n">
        <v>45838.38627314815</v>
      </c>
      <c r="C222" s="1" t="n">
        <v>46042</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31773-2021</t>
        </is>
      </c>
      <c r="B223" s="1" t="n">
        <v>44369</v>
      </c>
      <c r="C223" s="1" t="n">
        <v>46042</v>
      </c>
      <c r="D223" t="inlineStr">
        <is>
          <t>JÄMTLANDS LÄN</t>
        </is>
      </c>
      <c r="E223" t="inlineStr">
        <is>
          <t>RAGUNDA</t>
        </is>
      </c>
      <c r="G223" t="n">
        <v>0.8</v>
      </c>
      <c r="H223" t="n">
        <v>0</v>
      </c>
      <c r="I223" t="n">
        <v>0</v>
      </c>
      <c r="J223" t="n">
        <v>0</v>
      </c>
      <c r="K223" t="n">
        <v>1</v>
      </c>
      <c r="L223" t="n">
        <v>0</v>
      </c>
      <c r="M223" t="n">
        <v>0</v>
      </c>
      <c r="N223" t="n">
        <v>0</v>
      </c>
      <c r="O223" t="n">
        <v>1</v>
      </c>
      <c r="P223" t="n">
        <v>1</v>
      </c>
      <c r="Q223" t="n">
        <v>1</v>
      </c>
      <c r="R223" s="2" t="inlineStr">
        <is>
          <t>Strandsandjägare</t>
        </is>
      </c>
      <c r="S223">
        <f>HYPERLINK("https://klasma.github.io/Logging_2303/artfynd/A 31773-2021 artfynd.xlsx", "A 31773-2021")</f>
        <v/>
      </c>
      <c r="T223">
        <f>HYPERLINK("https://klasma.github.io/Logging_2303/kartor/A 31773-2021 karta.png", "A 31773-2021")</f>
        <v/>
      </c>
      <c r="V223">
        <f>HYPERLINK("https://klasma.github.io/Logging_2303/klagomål/A 31773-2021 FSC-klagomål.docx", "A 31773-2021")</f>
        <v/>
      </c>
      <c r="W223">
        <f>HYPERLINK("https://klasma.github.io/Logging_2303/klagomålsmail/A 31773-2021 FSC-klagomål mail.docx", "A 31773-2021")</f>
        <v/>
      </c>
      <c r="X223">
        <f>HYPERLINK("https://klasma.github.io/Logging_2303/tillsyn/A 31773-2021 tillsynsbegäran.docx", "A 31773-2021")</f>
        <v/>
      </c>
      <c r="Y223">
        <f>HYPERLINK("https://klasma.github.io/Logging_2303/tillsynsmail/A 31773-2021 tillsynsbegäran mail.docx", "A 31773-2021")</f>
        <v/>
      </c>
    </row>
    <row r="224" ht="15" customHeight="1">
      <c r="A224" t="inlineStr">
        <is>
          <t>A 34474-2025</t>
        </is>
      </c>
      <c r="B224" s="1" t="n">
        <v>45847.36528935185</v>
      </c>
      <c r="C224" s="1" t="n">
        <v>46042</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26317-2024</t>
        </is>
      </c>
      <c r="B225" s="1" t="n">
        <v>45468</v>
      </c>
      <c r="C225" s="1" t="n">
        <v>46042</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49053-2025</t>
        </is>
      </c>
      <c r="B226" s="1" t="n">
        <v>45937.64009259259</v>
      </c>
      <c r="C226" s="1" t="n">
        <v>46042</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49091-2022</t>
        </is>
      </c>
      <c r="B227" s="1" t="n">
        <v>44860</v>
      </c>
      <c r="C227" s="1" t="n">
        <v>46042</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51912-2025</t>
        </is>
      </c>
      <c r="B228" s="1" t="n">
        <v>45952.46939814815</v>
      </c>
      <c r="C228" s="1" t="n">
        <v>46042</v>
      </c>
      <c r="D228" t="inlineStr">
        <is>
          <t>JÄMTLANDS LÄN</t>
        </is>
      </c>
      <c r="E228" t="inlineStr">
        <is>
          <t>RAGUNDA</t>
        </is>
      </c>
      <c r="F228" t="inlineStr">
        <is>
          <t>SCA</t>
        </is>
      </c>
      <c r="G228" t="n">
        <v>24.2</v>
      </c>
      <c r="H228" t="n">
        <v>1</v>
      </c>
      <c r="I228" t="n">
        <v>0</v>
      </c>
      <c r="J228" t="n">
        <v>0</v>
      </c>
      <c r="K228" t="n">
        <v>1</v>
      </c>
      <c r="L228" t="n">
        <v>0</v>
      </c>
      <c r="M228" t="n">
        <v>0</v>
      </c>
      <c r="N228" t="n">
        <v>0</v>
      </c>
      <c r="O228" t="n">
        <v>1</v>
      </c>
      <c r="P228" t="n">
        <v>1</v>
      </c>
      <c r="Q228" t="n">
        <v>1</v>
      </c>
      <c r="R228" s="2" t="inlineStr">
        <is>
          <t>Norna</t>
        </is>
      </c>
      <c r="S228">
        <f>HYPERLINK("https://klasma.github.io/Logging_2303/artfynd/A 51912-2025 artfynd.xlsx", "A 51912-2025")</f>
        <v/>
      </c>
      <c r="T228">
        <f>HYPERLINK("https://klasma.github.io/Logging_2303/kartor/A 51912-2025 karta.png", "A 51912-2025")</f>
        <v/>
      </c>
      <c r="V228">
        <f>HYPERLINK("https://klasma.github.io/Logging_2303/klagomål/A 51912-2025 FSC-klagomål.docx", "A 51912-2025")</f>
        <v/>
      </c>
      <c r="W228">
        <f>HYPERLINK("https://klasma.github.io/Logging_2303/klagomålsmail/A 51912-2025 FSC-klagomål mail.docx", "A 51912-2025")</f>
        <v/>
      </c>
      <c r="X228">
        <f>HYPERLINK("https://klasma.github.io/Logging_2303/tillsyn/A 51912-2025 tillsynsbegäran.docx", "A 51912-2025")</f>
        <v/>
      </c>
      <c r="Y228">
        <f>HYPERLINK("https://klasma.github.io/Logging_2303/tillsynsmail/A 51912-2025 tillsynsbegäran mail.docx", "A 51912-2025")</f>
        <v/>
      </c>
    </row>
    <row r="229" ht="15" customHeight="1">
      <c r="A229" t="inlineStr">
        <is>
          <t>A 48429-2023</t>
        </is>
      </c>
      <c r="B229" s="1" t="n">
        <v>45205</v>
      </c>
      <c r="C229" s="1" t="n">
        <v>46042</v>
      </c>
      <c r="D229" t="inlineStr">
        <is>
          <t>JÄMTLANDS LÄN</t>
        </is>
      </c>
      <c r="E229" t="inlineStr">
        <is>
          <t>RAGUNDA</t>
        </is>
      </c>
      <c r="F229" t="inlineStr">
        <is>
          <t>SCA</t>
        </is>
      </c>
      <c r="G229" t="n">
        <v>1.8</v>
      </c>
      <c r="H229" t="n">
        <v>0</v>
      </c>
      <c r="I229" t="n">
        <v>1</v>
      </c>
      <c r="J229" t="n">
        <v>0</v>
      </c>
      <c r="K229" t="n">
        <v>0</v>
      </c>
      <c r="L229" t="n">
        <v>0</v>
      </c>
      <c r="M229" t="n">
        <v>0</v>
      </c>
      <c r="N229" t="n">
        <v>0</v>
      </c>
      <c r="O229" t="n">
        <v>0</v>
      </c>
      <c r="P229" t="n">
        <v>0</v>
      </c>
      <c r="Q229" t="n">
        <v>1</v>
      </c>
      <c r="R229" s="2" t="inlineStr">
        <is>
          <t>Dropptaggsvamp</t>
        </is>
      </c>
      <c r="S229">
        <f>HYPERLINK("https://klasma.github.io/Logging_2303/artfynd/A 48429-2023 artfynd.xlsx", "A 48429-2023")</f>
        <v/>
      </c>
      <c r="T229">
        <f>HYPERLINK("https://klasma.github.io/Logging_2303/kartor/A 48429-2023 karta.png", "A 48429-2023")</f>
        <v/>
      </c>
      <c r="V229">
        <f>HYPERLINK("https://klasma.github.io/Logging_2303/klagomål/A 48429-2023 FSC-klagomål.docx", "A 48429-2023")</f>
        <v/>
      </c>
      <c r="W229">
        <f>HYPERLINK("https://klasma.github.io/Logging_2303/klagomålsmail/A 48429-2023 FSC-klagomål mail.docx", "A 48429-2023")</f>
        <v/>
      </c>
      <c r="X229">
        <f>HYPERLINK("https://klasma.github.io/Logging_2303/tillsyn/A 48429-2023 tillsynsbegäran.docx", "A 48429-2023")</f>
        <v/>
      </c>
      <c r="Y229">
        <f>HYPERLINK("https://klasma.github.io/Logging_2303/tillsynsmail/A 48429-2023 tillsynsbegäran mail.docx", "A 48429-2023")</f>
        <v/>
      </c>
    </row>
    <row r="230" ht="15" customHeight="1">
      <c r="A230" t="inlineStr">
        <is>
          <t>A 50164-2023</t>
        </is>
      </c>
      <c r="B230" s="1" t="n">
        <v>45208</v>
      </c>
      <c r="C230" s="1" t="n">
        <v>46042</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17340-2023</t>
        </is>
      </c>
      <c r="B231" s="1" t="n">
        <v>45033</v>
      </c>
      <c r="C231" s="1" t="n">
        <v>46042</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26322-2024</t>
        </is>
      </c>
      <c r="B232" s="1" t="n">
        <v>45468.97461805555</v>
      </c>
      <c r="C232" s="1" t="n">
        <v>46042</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55756-2025</t>
        </is>
      </c>
      <c r="B233" s="1" t="n">
        <v>45972.59438657408</v>
      </c>
      <c r="C233" s="1" t="n">
        <v>46042</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48477-2023</t>
        </is>
      </c>
      <c r="B234" s="1" t="n">
        <v>45206</v>
      </c>
      <c r="C234" s="1" t="n">
        <v>46042</v>
      </c>
      <c r="D234" t="inlineStr">
        <is>
          <t>JÄMTLANDS LÄN</t>
        </is>
      </c>
      <c r="E234" t="inlineStr">
        <is>
          <t>RAGUNDA</t>
        </is>
      </c>
      <c r="F234" t="inlineStr">
        <is>
          <t>SCA</t>
        </is>
      </c>
      <c r="G234" t="n">
        <v>1.8</v>
      </c>
      <c r="H234" t="n">
        <v>0</v>
      </c>
      <c r="I234" t="n">
        <v>1</v>
      </c>
      <c r="J234" t="n">
        <v>0</v>
      </c>
      <c r="K234" t="n">
        <v>0</v>
      </c>
      <c r="L234" t="n">
        <v>0</v>
      </c>
      <c r="M234" t="n">
        <v>0</v>
      </c>
      <c r="N234" t="n">
        <v>0</v>
      </c>
      <c r="O234" t="n">
        <v>0</v>
      </c>
      <c r="P234" t="n">
        <v>0</v>
      </c>
      <c r="Q234" t="n">
        <v>1</v>
      </c>
      <c r="R234" s="2" t="inlineStr">
        <is>
          <t>Dropptaggsvamp</t>
        </is>
      </c>
      <c r="S234">
        <f>HYPERLINK("https://klasma.github.io/Logging_2303/artfynd/A 48477-2023 artfynd.xlsx", "A 48477-2023")</f>
        <v/>
      </c>
      <c r="T234">
        <f>HYPERLINK("https://klasma.github.io/Logging_2303/kartor/A 48477-2023 karta.png", "A 48477-2023")</f>
        <v/>
      </c>
      <c r="V234">
        <f>HYPERLINK("https://klasma.github.io/Logging_2303/klagomål/A 48477-2023 FSC-klagomål.docx", "A 48477-2023")</f>
        <v/>
      </c>
      <c r="W234">
        <f>HYPERLINK("https://klasma.github.io/Logging_2303/klagomålsmail/A 48477-2023 FSC-klagomål mail.docx", "A 48477-2023")</f>
        <v/>
      </c>
      <c r="X234">
        <f>HYPERLINK("https://klasma.github.io/Logging_2303/tillsyn/A 48477-2023 tillsynsbegäran.docx", "A 48477-2023")</f>
        <v/>
      </c>
      <c r="Y234">
        <f>HYPERLINK("https://klasma.github.io/Logging_2303/tillsynsmail/A 48477-2023 tillsynsbegäran mail.docx", "A 48477-2023")</f>
        <v/>
      </c>
    </row>
    <row r="235" ht="15" customHeight="1">
      <c r="A235" t="inlineStr">
        <is>
          <t>A 16724-2025</t>
        </is>
      </c>
      <c r="B235" s="1" t="n">
        <v>45754.51064814815</v>
      </c>
      <c r="C235" s="1" t="n">
        <v>46042</v>
      </c>
      <c r="D235" t="inlineStr">
        <is>
          <t>JÄMTLANDS LÄN</t>
        </is>
      </c>
      <c r="E235" t="inlineStr">
        <is>
          <t>RAGUNDA</t>
        </is>
      </c>
      <c r="G235" t="n">
        <v>3.5</v>
      </c>
      <c r="H235" t="n">
        <v>0</v>
      </c>
      <c r="I235" t="n">
        <v>0</v>
      </c>
      <c r="J235" t="n">
        <v>1</v>
      </c>
      <c r="K235" t="n">
        <v>0</v>
      </c>
      <c r="L235" t="n">
        <v>0</v>
      </c>
      <c r="M235" t="n">
        <v>0</v>
      </c>
      <c r="N235" t="n">
        <v>0</v>
      </c>
      <c r="O235" t="n">
        <v>1</v>
      </c>
      <c r="P235" t="n">
        <v>0</v>
      </c>
      <c r="Q235" t="n">
        <v>1</v>
      </c>
      <c r="R235" s="2" t="inlineStr">
        <is>
          <t>Kolflarnlav</t>
        </is>
      </c>
      <c r="S235">
        <f>HYPERLINK("https://klasma.github.io/Logging_2303/artfynd/A 16724-2025 artfynd.xlsx", "A 16724-2025")</f>
        <v/>
      </c>
      <c r="T235">
        <f>HYPERLINK("https://klasma.github.io/Logging_2303/kartor/A 16724-2025 karta.png", "A 16724-2025")</f>
        <v/>
      </c>
      <c r="V235">
        <f>HYPERLINK("https://klasma.github.io/Logging_2303/klagomål/A 16724-2025 FSC-klagomål.docx", "A 16724-2025")</f>
        <v/>
      </c>
      <c r="W235">
        <f>HYPERLINK("https://klasma.github.io/Logging_2303/klagomålsmail/A 16724-2025 FSC-klagomål mail.docx", "A 16724-2025")</f>
        <v/>
      </c>
      <c r="X235">
        <f>HYPERLINK("https://klasma.github.io/Logging_2303/tillsyn/A 16724-2025 tillsynsbegäran.docx", "A 16724-2025")</f>
        <v/>
      </c>
      <c r="Y235">
        <f>HYPERLINK("https://klasma.github.io/Logging_2303/tillsynsmail/A 16724-2025 tillsynsbegäran mail.docx", "A 16724-2025")</f>
        <v/>
      </c>
    </row>
    <row r="236" ht="15" customHeight="1">
      <c r="A236" t="inlineStr">
        <is>
          <t>A 56599-2025</t>
        </is>
      </c>
      <c r="B236" s="1" t="n">
        <v>45975.5734837963</v>
      </c>
      <c r="C236" s="1" t="n">
        <v>46042</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49770-2024</t>
        </is>
      </c>
      <c r="B237" s="1" t="n">
        <v>45597.34461805555</v>
      </c>
      <c r="C237" s="1" t="n">
        <v>46042</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57253-2025</t>
        </is>
      </c>
      <c r="B238" s="1" t="n">
        <v>45979.64381944444</v>
      </c>
      <c r="C238" s="1" t="n">
        <v>46042</v>
      </c>
      <c r="D238" t="inlineStr">
        <is>
          <t>JÄMTLANDS LÄN</t>
        </is>
      </c>
      <c r="E238" t="inlineStr">
        <is>
          <t>RAGUNDA</t>
        </is>
      </c>
      <c r="G238" t="n">
        <v>1.2</v>
      </c>
      <c r="H238" t="n">
        <v>0</v>
      </c>
      <c r="I238" t="n">
        <v>1</v>
      </c>
      <c r="J238" t="n">
        <v>0</v>
      </c>
      <c r="K238" t="n">
        <v>0</v>
      </c>
      <c r="L238" t="n">
        <v>0</v>
      </c>
      <c r="M238" t="n">
        <v>0</v>
      </c>
      <c r="N238" t="n">
        <v>0</v>
      </c>
      <c r="O238" t="n">
        <v>0</v>
      </c>
      <c r="P238" t="n">
        <v>0</v>
      </c>
      <c r="Q238" t="n">
        <v>1</v>
      </c>
      <c r="R238" s="2" t="inlineStr">
        <is>
          <t>Skinnlav</t>
        </is>
      </c>
      <c r="S238">
        <f>HYPERLINK("https://klasma.github.io/Logging_2303/artfynd/A 57253-2025 artfynd.xlsx", "A 57253-2025")</f>
        <v/>
      </c>
      <c r="T238">
        <f>HYPERLINK("https://klasma.github.io/Logging_2303/kartor/A 57253-2025 karta.png", "A 57253-2025")</f>
        <v/>
      </c>
      <c r="V238">
        <f>HYPERLINK("https://klasma.github.io/Logging_2303/klagomål/A 57253-2025 FSC-klagomål.docx", "A 57253-2025")</f>
        <v/>
      </c>
      <c r="W238">
        <f>HYPERLINK("https://klasma.github.io/Logging_2303/klagomålsmail/A 57253-2025 FSC-klagomål mail.docx", "A 57253-2025")</f>
        <v/>
      </c>
      <c r="X238">
        <f>HYPERLINK("https://klasma.github.io/Logging_2303/tillsyn/A 57253-2025 tillsynsbegäran.docx", "A 57253-2025")</f>
        <v/>
      </c>
      <c r="Y238">
        <f>HYPERLINK("https://klasma.github.io/Logging_2303/tillsynsmail/A 57253-2025 tillsynsbegäran mail.docx", "A 57253-2025")</f>
        <v/>
      </c>
    </row>
    <row r="239" ht="15" customHeight="1">
      <c r="A239" t="inlineStr">
        <is>
          <t>A 57479-2025</t>
        </is>
      </c>
      <c r="B239" s="1" t="n">
        <v>45980.5737037037</v>
      </c>
      <c r="C239" s="1" t="n">
        <v>46042</v>
      </c>
      <c r="D239" t="inlineStr">
        <is>
          <t>JÄMTLANDS LÄN</t>
        </is>
      </c>
      <c r="E239" t="inlineStr">
        <is>
          <t>RAGUNDA</t>
        </is>
      </c>
      <c r="F239" t="inlineStr">
        <is>
          <t>SCA</t>
        </is>
      </c>
      <c r="G239" t="n">
        <v>12</v>
      </c>
      <c r="H239" t="n">
        <v>0</v>
      </c>
      <c r="I239" t="n">
        <v>0</v>
      </c>
      <c r="J239" t="n">
        <v>1</v>
      </c>
      <c r="K239" t="n">
        <v>0</v>
      </c>
      <c r="L239" t="n">
        <v>0</v>
      </c>
      <c r="M239" t="n">
        <v>0</v>
      </c>
      <c r="N239" t="n">
        <v>0</v>
      </c>
      <c r="O239" t="n">
        <v>1</v>
      </c>
      <c r="P239" t="n">
        <v>0</v>
      </c>
      <c r="Q239" t="n">
        <v>1</v>
      </c>
      <c r="R239" s="2" t="inlineStr">
        <is>
          <t>Kolflarnlav</t>
        </is>
      </c>
      <c r="S239">
        <f>HYPERLINK("https://klasma.github.io/Logging_2303/artfynd/A 57479-2025 artfynd.xlsx", "A 57479-2025")</f>
        <v/>
      </c>
      <c r="T239">
        <f>HYPERLINK("https://klasma.github.io/Logging_2303/kartor/A 57479-2025 karta.png", "A 57479-2025")</f>
        <v/>
      </c>
      <c r="V239">
        <f>HYPERLINK("https://klasma.github.io/Logging_2303/klagomål/A 57479-2025 FSC-klagomål.docx", "A 57479-2025")</f>
        <v/>
      </c>
      <c r="W239">
        <f>HYPERLINK("https://klasma.github.io/Logging_2303/klagomålsmail/A 57479-2025 FSC-klagomål mail.docx", "A 57479-2025")</f>
        <v/>
      </c>
      <c r="X239">
        <f>HYPERLINK("https://klasma.github.io/Logging_2303/tillsyn/A 57479-2025 tillsynsbegäran.docx", "A 57479-2025")</f>
        <v/>
      </c>
      <c r="Y239">
        <f>HYPERLINK("https://klasma.github.io/Logging_2303/tillsynsmail/A 57479-2025 tillsynsbegäran mail.docx", "A 57479-2025")</f>
        <v/>
      </c>
    </row>
    <row r="240" ht="15" customHeight="1">
      <c r="A240" t="inlineStr">
        <is>
          <t>A 57478-2025</t>
        </is>
      </c>
      <c r="B240" s="1" t="n">
        <v>45980.57349537037</v>
      </c>
      <c r="C240" s="1" t="n">
        <v>46042</v>
      </c>
      <c r="D240" t="inlineStr">
        <is>
          <t>JÄMTLANDS LÄN</t>
        </is>
      </c>
      <c r="E240" t="inlineStr">
        <is>
          <t>RAGUNDA</t>
        </is>
      </c>
      <c r="F240" t="inlineStr">
        <is>
          <t>SCA</t>
        </is>
      </c>
      <c r="G240" t="n">
        <v>3.3</v>
      </c>
      <c r="H240" t="n">
        <v>0</v>
      </c>
      <c r="I240" t="n">
        <v>0</v>
      </c>
      <c r="J240" t="n">
        <v>1</v>
      </c>
      <c r="K240" t="n">
        <v>0</v>
      </c>
      <c r="L240" t="n">
        <v>0</v>
      </c>
      <c r="M240" t="n">
        <v>0</v>
      </c>
      <c r="N240" t="n">
        <v>0</v>
      </c>
      <c r="O240" t="n">
        <v>1</v>
      </c>
      <c r="P240" t="n">
        <v>0</v>
      </c>
      <c r="Q240" t="n">
        <v>1</v>
      </c>
      <c r="R240" s="2" t="inlineStr">
        <is>
          <t>Lunglav</t>
        </is>
      </c>
      <c r="S240">
        <f>HYPERLINK("https://klasma.github.io/Logging_2303/artfynd/A 57478-2025 artfynd.xlsx", "A 57478-2025")</f>
        <v/>
      </c>
      <c r="T240">
        <f>HYPERLINK("https://klasma.github.io/Logging_2303/kartor/A 57478-2025 karta.png", "A 57478-2025")</f>
        <v/>
      </c>
      <c r="V240">
        <f>HYPERLINK("https://klasma.github.io/Logging_2303/klagomål/A 57478-2025 FSC-klagomål.docx", "A 57478-2025")</f>
        <v/>
      </c>
      <c r="W240">
        <f>HYPERLINK("https://klasma.github.io/Logging_2303/klagomålsmail/A 57478-2025 FSC-klagomål mail.docx", "A 57478-2025")</f>
        <v/>
      </c>
      <c r="X240">
        <f>HYPERLINK("https://klasma.github.io/Logging_2303/tillsyn/A 57478-2025 tillsynsbegäran.docx", "A 57478-2025")</f>
        <v/>
      </c>
      <c r="Y240">
        <f>HYPERLINK("https://klasma.github.io/Logging_2303/tillsynsmail/A 57478-2025 tillsynsbegäran mail.docx", "A 57478-2025")</f>
        <v/>
      </c>
    </row>
    <row r="241" ht="15" customHeight="1">
      <c r="A241" t="inlineStr">
        <is>
          <t>A 58990-2025</t>
        </is>
      </c>
      <c r="B241" s="1" t="n">
        <v>45987</v>
      </c>
      <c r="C241" s="1" t="n">
        <v>46042</v>
      </c>
      <c r="D241" t="inlineStr">
        <is>
          <t>JÄMTLANDS LÄN</t>
        </is>
      </c>
      <c r="E241" t="inlineStr">
        <is>
          <t>RAGUNDA</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58990-2025 artfynd.xlsx", "A 58990-2025")</f>
        <v/>
      </c>
      <c r="T241">
        <f>HYPERLINK("https://klasma.github.io/Logging_2303/kartor/A 58990-2025 karta.png", "A 58990-2025")</f>
        <v/>
      </c>
      <c r="V241">
        <f>HYPERLINK("https://klasma.github.io/Logging_2303/klagomål/A 58990-2025 FSC-klagomål.docx", "A 58990-2025")</f>
        <v/>
      </c>
      <c r="W241">
        <f>HYPERLINK("https://klasma.github.io/Logging_2303/klagomålsmail/A 58990-2025 FSC-klagomål mail.docx", "A 58990-2025")</f>
        <v/>
      </c>
      <c r="X241">
        <f>HYPERLINK("https://klasma.github.io/Logging_2303/tillsyn/A 58990-2025 tillsynsbegäran.docx", "A 58990-2025")</f>
        <v/>
      </c>
      <c r="Y241">
        <f>HYPERLINK("https://klasma.github.io/Logging_2303/tillsynsmail/A 58990-2025 tillsynsbegäran mail.docx", "A 58990-2025")</f>
        <v/>
      </c>
      <c r="Z241">
        <f>HYPERLINK("https://klasma.github.io/Logging_2303/fåglar/A 58990-2025 prioriterade fågelarter.docx", "A 58990-2025")</f>
        <v/>
      </c>
    </row>
    <row r="242" ht="15" customHeight="1">
      <c r="A242" t="inlineStr">
        <is>
          <t>A 29921-2024</t>
        </is>
      </c>
      <c r="B242" s="1" t="n">
        <v>45487.92863425926</v>
      </c>
      <c r="C242" s="1" t="n">
        <v>46042</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46042</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61324-2024</t>
        </is>
      </c>
      <c r="B244" s="1" t="n">
        <v>45646.34438657408</v>
      </c>
      <c r="C244" s="1" t="n">
        <v>46042</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2097-2026</t>
        </is>
      </c>
      <c r="B245" s="1" t="n">
        <v>46036.36556712963</v>
      </c>
      <c r="C245" s="1" t="n">
        <v>46042</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32069-2024</t>
        </is>
      </c>
      <c r="B246" s="1" t="n">
        <v>45510</v>
      </c>
      <c r="C246" s="1" t="n">
        <v>46042</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19751-2025</t>
        </is>
      </c>
      <c r="B247" s="1" t="n">
        <v>45771.3859837963</v>
      </c>
      <c r="C247" s="1" t="n">
        <v>46042</v>
      </c>
      <c r="D247" t="inlineStr">
        <is>
          <t>JÄMTLANDS LÄN</t>
        </is>
      </c>
      <c r="E247" t="inlineStr">
        <is>
          <t>RAGUNDA</t>
        </is>
      </c>
      <c r="F247" t="inlineStr">
        <is>
          <t>SCA</t>
        </is>
      </c>
      <c r="G247" t="n">
        <v>1.1</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19751-2025 artfynd.xlsx", "A 19751-2025")</f>
        <v/>
      </c>
      <c r="T247">
        <f>HYPERLINK("https://klasma.github.io/Logging_2303/kartor/A 19751-2025 karta.png", "A 19751-2025")</f>
        <v/>
      </c>
      <c r="V247">
        <f>HYPERLINK("https://klasma.github.io/Logging_2303/klagomål/A 19751-2025 FSC-klagomål.docx", "A 19751-2025")</f>
        <v/>
      </c>
      <c r="W247">
        <f>HYPERLINK("https://klasma.github.io/Logging_2303/klagomålsmail/A 19751-2025 FSC-klagomål mail.docx", "A 19751-2025")</f>
        <v/>
      </c>
      <c r="X247">
        <f>HYPERLINK("https://klasma.github.io/Logging_2303/tillsyn/A 19751-2025 tillsynsbegäran.docx", "A 19751-2025")</f>
        <v/>
      </c>
      <c r="Y247">
        <f>HYPERLINK("https://klasma.github.io/Logging_2303/tillsynsmail/A 19751-2025 tillsynsbegäran mail.docx", "A 19751-2025")</f>
        <v/>
      </c>
      <c r="Z247">
        <f>HYPERLINK("https://klasma.github.io/Logging_2303/fåglar/A 19751-2025 prioriterade fågelarter.docx", "A 19751-2025")</f>
        <v/>
      </c>
    </row>
    <row r="248" ht="15" customHeight="1">
      <c r="A248" t="inlineStr">
        <is>
          <t>A 19387-2025</t>
        </is>
      </c>
      <c r="B248" s="1" t="n">
        <v>45769.65736111111</v>
      </c>
      <c r="C248" s="1" t="n">
        <v>46042</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2929-2024</t>
        </is>
      </c>
      <c r="B249" s="1" t="n">
        <v>45315</v>
      </c>
      <c r="C249" s="1" t="n">
        <v>46042</v>
      </c>
      <c r="D249" t="inlineStr">
        <is>
          <t>JÄMTLANDS LÄN</t>
        </is>
      </c>
      <c r="E249" t="inlineStr">
        <is>
          <t>RAGUNDA</t>
        </is>
      </c>
      <c r="G249" t="n">
        <v>1</v>
      </c>
      <c r="H249" t="n">
        <v>0</v>
      </c>
      <c r="I249" t="n">
        <v>0</v>
      </c>
      <c r="J249" t="n">
        <v>1</v>
      </c>
      <c r="K249" t="n">
        <v>0</v>
      </c>
      <c r="L249" t="n">
        <v>0</v>
      </c>
      <c r="M249" t="n">
        <v>0</v>
      </c>
      <c r="N249" t="n">
        <v>0</v>
      </c>
      <c r="O249" t="n">
        <v>1</v>
      </c>
      <c r="P249" t="n">
        <v>0</v>
      </c>
      <c r="Q249" t="n">
        <v>1</v>
      </c>
      <c r="R249" s="2" t="inlineStr">
        <is>
          <t>Klådris</t>
        </is>
      </c>
      <c r="S249">
        <f>HYPERLINK("https://klasma.github.io/Logging_2303/artfynd/A 2929-2024 artfynd.xlsx", "A 2929-2024")</f>
        <v/>
      </c>
      <c r="T249">
        <f>HYPERLINK("https://klasma.github.io/Logging_2303/kartor/A 2929-2024 karta.png", "A 2929-2024")</f>
        <v/>
      </c>
      <c r="V249">
        <f>HYPERLINK("https://klasma.github.io/Logging_2303/klagomål/A 2929-2024 FSC-klagomål.docx", "A 2929-2024")</f>
        <v/>
      </c>
      <c r="W249">
        <f>HYPERLINK("https://klasma.github.io/Logging_2303/klagomålsmail/A 2929-2024 FSC-klagomål mail.docx", "A 2929-2024")</f>
        <v/>
      </c>
      <c r="X249">
        <f>HYPERLINK("https://klasma.github.io/Logging_2303/tillsyn/A 2929-2024 tillsynsbegäran.docx", "A 2929-2024")</f>
        <v/>
      </c>
      <c r="Y249">
        <f>HYPERLINK("https://klasma.github.io/Logging_2303/tillsynsmail/A 2929-2024 tillsynsbegäran mail.docx", "A 2929-2024")</f>
        <v/>
      </c>
    </row>
    <row r="250" ht="15" customHeight="1">
      <c r="A250" t="inlineStr">
        <is>
          <t>A 58846-2024</t>
        </is>
      </c>
      <c r="B250" s="1" t="n">
        <v>45636.3863425926</v>
      </c>
      <c r="C250" s="1" t="n">
        <v>46042</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36854-2023</t>
        </is>
      </c>
      <c r="B251" s="1" t="n">
        <v>45153</v>
      </c>
      <c r="C251" s="1" t="n">
        <v>46042</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46042</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35750-2023</t>
        </is>
      </c>
      <c r="B253" s="1" t="n">
        <v>45147</v>
      </c>
      <c r="C253" s="1" t="n">
        <v>46042</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46042</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46042</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46042</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46042</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46042</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46050-2022</t>
        </is>
      </c>
      <c r="B259" s="1" t="n">
        <v>44846</v>
      </c>
      <c r="C259" s="1" t="n">
        <v>46042</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46042</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46042</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46042</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46042</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46042</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46042</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46042</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46042</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46042</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46042</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46042</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46042</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46042</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46042</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46042</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46042</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46042</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46042</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46042</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46042</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46042</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46042</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46042</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46042</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46042</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46042</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46042</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46042</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46042</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46042</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46042</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46042</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46042</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46042</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46042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46042</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46042</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46042</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46042</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46042</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46042</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46042</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46042</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46042</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46042</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46042</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46042</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46042</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46042</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46042</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46042</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46042</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46042</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46042</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46042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46042</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46042</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46042</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46042</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46042</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46042</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46042</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46042</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46042</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46042</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46042</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46042</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46042</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46042</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46042</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46042</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46042</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46042</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46042</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46042</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46042</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46042</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46042</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46042</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46042</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46042</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46042</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46042</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46042</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46042</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46042</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46042</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46042</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46042</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46042</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46042</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46042</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46042</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46042</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46042</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46042</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46042</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46042</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46042</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46042</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46042</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46042</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46042</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46042</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46042</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46042</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46042</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46042</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46042</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46042</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46042</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46042</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46042</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46042</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46042</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46042</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46042</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46042</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46042</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46042</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46042</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46042</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46042</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46042</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46042</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46042</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46042</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46042</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46042</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46042</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46042</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46042</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46042</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46042</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46042</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46042</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46042</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46042</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46042</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46042</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46042</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46042</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46042</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46042</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58537-2022</t>
        </is>
      </c>
      <c r="B404" s="1" t="n">
        <v>44894</v>
      </c>
      <c r="C404" s="1" t="n">
        <v>46042</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46042</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20574-2025</t>
        </is>
      </c>
      <c r="B406" s="1" t="n">
        <v>45775.67747685185</v>
      </c>
      <c r="C406" s="1" t="n">
        <v>46042</v>
      </c>
      <c r="D406" t="inlineStr">
        <is>
          <t>JÄMTLANDS LÄN</t>
        </is>
      </c>
      <c r="E406" t="inlineStr">
        <is>
          <t>RAGUNDA</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35153-2024</t>
        </is>
      </c>
      <c r="B407" s="1" t="n">
        <v>45530</v>
      </c>
      <c r="C407" s="1" t="n">
        <v>46042</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46042</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24196-2024</t>
        </is>
      </c>
      <c r="B409" s="1" t="n">
        <v>45456.96569444444</v>
      </c>
      <c r="C409" s="1" t="n">
        <v>46042</v>
      </c>
      <c r="D409" t="inlineStr">
        <is>
          <t>JÄMTLANDS LÄN</t>
        </is>
      </c>
      <c r="E409" t="inlineStr">
        <is>
          <t>RAGUNDA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46042</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11558-2023</t>
        </is>
      </c>
      <c r="B411" s="1" t="n">
        <v>44993.94958333333</v>
      </c>
      <c r="C411" s="1" t="n">
        <v>46042</v>
      </c>
      <c r="D411" t="inlineStr">
        <is>
          <t>JÄMTLANDS LÄN</t>
        </is>
      </c>
      <c r="E411" t="inlineStr">
        <is>
          <t>RAGUNDA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14156-2024</t>
        </is>
      </c>
      <c r="B412" s="1" t="n">
        <v>45392</v>
      </c>
      <c r="C412" s="1" t="n">
        <v>46042</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14157-2024</t>
        </is>
      </c>
      <c r="B413" s="1" t="n">
        <v>45392.92903935185</v>
      </c>
      <c r="C413" s="1" t="n">
        <v>46042</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46042</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20088-2023</t>
        </is>
      </c>
      <c r="B415" s="1" t="n">
        <v>45054</v>
      </c>
      <c r="C415" s="1" t="n">
        <v>46042</v>
      </c>
      <c r="D415" t="inlineStr">
        <is>
          <t>JÄMTLANDS LÄN</t>
        </is>
      </c>
      <c r="E415" t="inlineStr">
        <is>
          <t>RAGUNDA</t>
        </is>
      </c>
      <c r="F415" t="inlineStr">
        <is>
          <t>SCA</t>
        </is>
      </c>
      <c r="G415" t="n">
        <v>23.4</v>
      </c>
      <c r="H415" t="n">
        <v>0</v>
      </c>
      <c r="I415" t="n">
        <v>0</v>
      </c>
      <c r="J415" t="n">
        <v>0</v>
      </c>
      <c r="K415" t="n">
        <v>0</v>
      </c>
      <c r="L415" t="n">
        <v>0</v>
      </c>
      <c r="M415" t="n">
        <v>0</v>
      </c>
      <c r="N415" t="n">
        <v>0</v>
      </c>
      <c r="O415" t="n">
        <v>0</v>
      </c>
      <c r="P415" t="n">
        <v>0</v>
      </c>
      <c r="Q415" t="n">
        <v>0</v>
      </c>
      <c r="R415" s="2" t="inlineStr"/>
    </row>
    <row r="416" ht="15" customHeight="1">
      <c r="A416" t="inlineStr">
        <is>
          <t>A 4882-2023</t>
        </is>
      </c>
      <c r="B416" s="1" t="n">
        <v>44957.94075231482</v>
      </c>
      <c r="C416" s="1" t="n">
        <v>46042</v>
      </c>
      <c r="D416" t="inlineStr">
        <is>
          <t>JÄMTLANDS LÄN</t>
        </is>
      </c>
      <c r="E416" t="inlineStr">
        <is>
          <t>RAGUNDA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46042</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46042</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46042</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46042</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46042</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46042</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13767-2022</t>
        </is>
      </c>
      <c r="B423" s="1" t="n">
        <v>44649.47048611111</v>
      </c>
      <c r="C423" s="1" t="n">
        <v>46042</v>
      </c>
      <c r="D423" t="inlineStr">
        <is>
          <t>JÄMTLANDS LÄN</t>
        </is>
      </c>
      <c r="E423" t="inlineStr">
        <is>
          <t>RAGUNDA</t>
        </is>
      </c>
      <c r="F423" t="inlineStr">
        <is>
          <t>Kommuner</t>
        </is>
      </c>
      <c r="G423" t="n">
        <v>3.1</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46042</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1308-2025</t>
        </is>
      </c>
      <c r="B425" s="1" t="n">
        <v>45667.55239583334</v>
      </c>
      <c r="C425" s="1" t="n">
        <v>46042</v>
      </c>
      <c r="D425" t="inlineStr">
        <is>
          <t>JÄMTLANDS LÄN</t>
        </is>
      </c>
      <c r="E425" t="inlineStr">
        <is>
          <t>RAGUNDA</t>
        </is>
      </c>
      <c r="F425" t="inlineStr">
        <is>
          <t>SCA</t>
        </is>
      </c>
      <c r="G425" t="n">
        <v>6.4</v>
      </c>
      <c r="H425" t="n">
        <v>0</v>
      </c>
      <c r="I425" t="n">
        <v>0</v>
      </c>
      <c r="J425" t="n">
        <v>0</v>
      </c>
      <c r="K425" t="n">
        <v>0</v>
      </c>
      <c r="L425" t="n">
        <v>0</v>
      </c>
      <c r="M425" t="n">
        <v>0</v>
      </c>
      <c r="N425" t="n">
        <v>0</v>
      </c>
      <c r="O425" t="n">
        <v>0</v>
      </c>
      <c r="P425" t="n">
        <v>0</v>
      </c>
      <c r="Q425" t="n">
        <v>0</v>
      </c>
      <c r="R425" s="2" t="inlineStr"/>
    </row>
    <row r="426" ht="15" customHeight="1">
      <c r="A426" t="inlineStr">
        <is>
          <t>A 11048-2023</t>
        </is>
      </c>
      <c r="B426" s="1" t="n">
        <v>44991</v>
      </c>
      <c r="C426" s="1" t="n">
        <v>46042</v>
      </c>
      <c r="D426" t="inlineStr">
        <is>
          <t>JÄMTLANDS LÄN</t>
        </is>
      </c>
      <c r="E426" t="inlineStr">
        <is>
          <t>RAGUNDA</t>
        </is>
      </c>
      <c r="F426" t="inlineStr">
        <is>
          <t>SCA</t>
        </is>
      </c>
      <c r="G426" t="n">
        <v>13.5</v>
      </c>
      <c r="H426" t="n">
        <v>0</v>
      </c>
      <c r="I426" t="n">
        <v>0</v>
      </c>
      <c r="J426" t="n">
        <v>0</v>
      </c>
      <c r="K426" t="n">
        <v>0</v>
      </c>
      <c r="L426" t="n">
        <v>0</v>
      </c>
      <c r="M426" t="n">
        <v>0</v>
      </c>
      <c r="N426" t="n">
        <v>0</v>
      </c>
      <c r="O426" t="n">
        <v>0</v>
      </c>
      <c r="P426" t="n">
        <v>0</v>
      </c>
      <c r="Q426" t="n">
        <v>0</v>
      </c>
      <c r="R426" s="2" t="inlineStr"/>
    </row>
    <row r="427" ht="15" customHeight="1">
      <c r="A427" t="inlineStr">
        <is>
          <t>A 11062-2023</t>
        </is>
      </c>
      <c r="B427" s="1" t="n">
        <v>44991</v>
      </c>
      <c r="C427" s="1" t="n">
        <v>46042</v>
      </c>
      <c r="D427" t="inlineStr">
        <is>
          <t>JÄMTLANDS LÄN</t>
        </is>
      </c>
      <c r="E427" t="inlineStr">
        <is>
          <t>RAGUNDA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9360-2023</t>
        </is>
      </c>
      <c r="B428" s="1" t="n">
        <v>44980.93865740741</v>
      </c>
      <c r="C428" s="1" t="n">
        <v>46042</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11252-2025</t>
        </is>
      </c>
      <c r="B429" s="1" t="n">
        <v>45726.38615740741</v>
      </c>
      <c r="C429" s="1" t="n">
        <v>46042</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22569-2023</t>
        </is>
      </c>
      <c r="B430" s="1" t="n">
        <v>45069</v>
      </c>
      <c r="C430" s="1" t="n">
        <v>46042</v>
      </c>
      <c r="D430" t="inlineStr">
        <is>
          <t>JÄMTLANDS LÄN</t>
        </is>
      </c>
      <c r="E430" t="inlineStr">
        <is>
          <t>RAGUNDA</t>
        </is>
      </c>
      <c r="G430" t="n">
        <v>6.6</v>
      </c>
      <c r="H430" t="n">
        <v>0</v>
      </c>
      <c r="I430" t="n">
        <v>0</v>
      </c>
      <c r="J430" t="n">
        <v>0</v>
      </c>
      <c r="K430" t="n">
        <v>0</v>
      </c>
      <c r="L430" t="n">
        <v>0</v>
      </c>
      <c r="M430" t="n">
        <v>0</v>
      </c>
      <c r="N430" t="n">
        <v>0</v>
      </c>
      <c r="O430" t="n">
        <v>0</v>
      </c>
      <c r="P430" t="n">
        <v>0</v>
      </c>
      <c r="Q430" t="n">
        <v>0</v>
      </c>
      <c r="R430" s="2" t="inlineStr"/>
    </row>
    <row r="431" ht="15" customHeight="1">
      <c r="A431" t="inlineStr">
        <is>
          <t>A 55524-2024</t>
        </is>
      </c>
      <c r="B431" s="1" t="n">
        <v>45622.47435185185</v>
      </c>
      <c r="C431" s="1" t="n">
        <v>46042</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25332-2023</t>
        </is>
      </c>
      <c r="B432" s="1" t="n">
        <v>45086.94010416666</v>
      </c>
      <c r="C432" s="1" t="n">
        <v>46042</v>
      </c>
      <c r="D432" t="inlineStr">
        <is>
          <t>JÄMTLANDS LÄN</t>
        </is>
      </c>
      <c r="E432" t="inlineStr">
        <is>
          <t>RAGUNDA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29920-2024</t>
        </is>
      </c>
      <c r="B433" s="1" t="n">
        <v>45487.92856481481</v>
      </c>
      <c r="C433" s="1" t="n">
        <v>46042</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57064-2024</t>
        </is>
      </c>
      <c r="B434" s="1" t="n">
        <v>45629.35326388889</v>
      </c>
      <c r="C434" s="1" t="n">
        <v>46042</v>
      </c>
      <c r="D434" t="inlineStr">
        <is>
          <t>JÄMTLANDS LÄN</t>
        </is>
      </c>
      <c r="E434" t="inlineStr">
        <is>
          <t>RAGUNDA</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7280-2024</t>
        </is>
      </c>
      <c r="B435" s="1" t="n">
        <v>45344</v>
      </c>
      <c r="C435" s="1" t="n">
        <v>46042</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46042</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12783-2023</t>
        </is>
      </c>
      <c r="B437" s="1" t="n">
        <v>45000</v>
      </c>
      <c r="C437" s="1" t="n">
        <v>46042</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14368-2024</t>
        </is>
      </c>
      <c r="B438" s="1" t="n">
        <v>45393.94431712963</v>
      </c>
      <c r="C438" s="1" t="n">
        <v>46042</v>
      </c>
      <c r="D438" t="inlineStr">
        <is>
          <t>JÄMTLANDS LÄN</t>
        </is>
      </c>
      <c r="E438" t="inlineStr">
        <is>
          <t>RAGUNDA</t>
        </is>
      </c>
      <c r="F438" t="inlineStr">
        <is>
          <t>Naturvårdsverket</t>
        </is>
      </c>
      <c r="G438" t="n">
        <v>1.6</v>
      </c>
      <c r="H438" t="n">
        <v>0</v>
      </c>
      <c r="I438" t="n">
        <v>0</v>
      </c>
      <c r="J438" t="n">
        <v>0</v>
      </c>
      <c r="K438" t="n">
        <v>0</v>
      </c>
      <c r="L438" t="n">
        <v>0</v>
      </c>
      <c r="M438" t="n">
        <v>0</v>
      </c>
      <c r="N438" t="n">
        <v>0</v>
      </c>
      <c r="O438" t="n">
        <v>0</v>
      </c>
      <c r="P438" t="n">
        <v>0</v>
      </c>
      <c r="Q438" t="n">
        <v>0</v>
      </c>
      <c r="R438" s="2" t="inlineStr"/>
    </row>
    <row r="439" ht="15" customHeight="1">
      <c r="A439" t="inlineStr">
        <is>
          <t>A 44778-2024</t>
        </is>
      </c>
      <c r="B439" s="1" t="n">
        <v>45574.63355324074</v>
      </c>
      <c r="C439" s="1" t="n">
        <v>46042</v>
      </c>
      <c r="D439" t="inlineStr">
        <is>
          <t>JÄMTLANDS LÄN</t>
        </is>
      </c>
      <c r="E439" t="inlineStr">
        <is>
          <t>RAGUNDA</t>
        </is>
      </c>
      <c r="G439" t="n">
        <v>5.5</v>
      </c>
      <c r="H439" t="n">
        <v>0</v>
      </c>
      <c r="I439" t="n">
        <v>0</v>
      </c>
      <c r="J439" t="n">
        <v>0</v>
      </c>
      <c r="K439" t="n">
        <v>0</v>
      </c>
      <c r="L439" t="n">
        <v>0</v>
      </c>
      <c r="M439" t="n">
        <v>0</v>
      </c>
      <c r="N439" t="n">
        <v>0</v>
      </c>
      <c r="O439" t="n">
        <v>0</v>
      </c>
      <c r="P439" t="n">
        <v>0</v>
      </c>
      <c r="Q439" t="n">
        <v>0</v>
      </c>
      <c r="R439" s="2" t="inlineStr"/>
    </row>
    <row r="440" ht="15" customHeight="1">
      <c r="A440" t="inlineStr">
        <is>
          <t>A 53171-2024</t>
        </is>
      </c>
      <c r="B440" s="1" t="n">
        <v>45611.65679398148</v>
      </c>
      <c r="C440" s="1" t="n">
        <v>46042</v>
      </c>
      <c r="D440" t="inlineStr">
        <is>
          <t>JÄMTLANDS LÄN</t>
        </is>
      </c>
      <c r="E440" t="inlineStr">
        <is>
          <t>RAGUNDA</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7279-2024</t>
        </is>
      </c>
      <c r="B441" s="1" t="n">
        <v>45344.92822916667</v>
      </c>
      <c r="C441" s="1" t="n">
        <v>46042</v>
      </c>
      <c r="D441" t="inlineStr">
        <is>
          <t>JÄMTLANDS LÄN</t>
        </is>
      </c>
      <c r="E441" t="inlineStr">
        <is>
          <t>RAGUNDA</t>
        </is>
      </c>
      <c r="G441" t="n">
        <v>2.1</v>
      </c>
      <c r="H441" t="n">
        <v>0</v>
      </c>
      <c r="I441" t="n">
        <v>0</v>
      </c>
      <c r="J441" t="n">
        <v>0</v>
      </c>
      <c r="K441" t="n">
        <v>0</v>
      </c>
      <c r="L441" t="n">
        <v>0</v>
      </c>
      <c r="M441" t="n">
        <v>0</v>
      </c>
      <c r="N441" t="n">
        <v>0</v>
      </c>
      <c r="O441" t="n">
        <v>0</v>
      </c>
      <c r="P441" t="n">
        <v>0</v>
      </c>
      <c r="Q441" t="n">
        <v>0</v>
      </c>
      <c r="R441" s="2" t="inlineStr"/>
    </row>
    <row r="442" ht="15" customHeight="1">
      <c r="A442" t="inlineStr">
        <is>
          <t>A 2673-2024</t>
        </is>
      </c>
      <c r="B442" s="1" t="n">
        <v>45314</v>
      </c>
      <c r="C442" s="1" t="n">
        <v>46042</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64492-2023</t>
        </is>
      </c>
      <c r="B443" s="1" t="n">
        <v>45280.92645833334</v>
      </c>
      <c r="C443" s="1" t="n">
        <v>46042</v>
      </c>
      <c r="D443" t="inlineStr">
        <is>
          <t>JÄMTLANDS LÄN</t>
        </is>
      </c>
      <c r="E443" t="inlineStr">
        <is>
          <t>RAGUNDA</t>
        </is>
      </c>
      <c r="G443" t="n">
        <v>0.6</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46042</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12660-2024</t>
        </is>
      </c>
      <c r="B445" s="1" t="n">
        <v>45384</v>
      </c>
      <c r="C445" s="1" t="n">
        <v>46042</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55649-2023</t>
        </is>
      </c>
      <c r="B446" s="1" t="n">
        <v>45238</v>
      </c>
      <c r="C446" s="1" t="n">
        <v>46042</v>
      </c>
      <c r="D446" t="inlineStr">
        <is>
          <t>JÄMTLANDS LÄN</t>
        </is>
      </c>
      <c r="E446" t="inlineStr">
        <is>
          <t>RAGUNDA</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12521-2023</t>
        </is>
      </c>
      <c r="B447" s="1" t="n">
        <v>45000</v>
      </c>
      <c r="C447" s="1" t="n">
        <v>46042</v>
      </c>
      <c r="D447" t="inlineStr">
        <is>
          <t>JÄMTLANDS LÄN</t>
        </is>
      </c>
      <c r="E447" t="inlineStr">
        <is>
          <t>RAGUNDA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464-2023</t>
        </is>
      </c>
      <c r="B448" s="1" t="n">
        <v>44929.92489583333</v>
      </c>
      <c r="C448" s="1" t="n">
        <v>46042</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53769-2023</t>
        </is>
      </c>
      <c r="B449" s="1" t="n">
        <v>45230</v>
      </c>
      <c r="C449" s="1" t="n">
        <v>46042</v>
      </c>
      <c r="D449" t="inlineStr">
        <is>
          <t>JÄMTLANDS LÄN</t>
        </is>
      </c>
      <c r="E449" t="inlineStr">
        <is>
          <t>RAGUNDA</t>
        </is>
      </c>
      <c r="F449" t="inlineStr">
        <is>
          <t>SCA</t>
        </is>
      </c>
      <c r="G449" t="n">
        <v>11.6</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46042</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52228-2024</t>
        </is>
      </c>
      <c r="B451" s="1" t="n">
        <v>45608.6078587963</v>
      </c>
      <c r="C451" s="1" t="n">
        <v>46042</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18612-2024</t>
        </is>
      </c>
      <c r="B452" s="1" t="n">
        <v>45425.96239583333</v>
      </c>
      <c r="C452" s="1" t="n">
        <v>46042</v>
      </c>
      <c r="D452" t="inlineStr">
        <is>
          <t>JÄMTLANDS LÄN</t>
        </is>
      </c>
      <c r="E452" t="inlineStr">
        <is>
          <t>RAGUNDA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19264-2025</t>
        </is>
      </c>
      <c r="B453" s="1" t="n">
        <v>45769.51087962963</v>
      </c>
      <c r="C453" s="1" t="n">
        <v>46042</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2242-2024</t>
        </is>
      </c>
      <c r="B454" s="1" t="n">
        <v>45309</v>
      </c>
      <c r="C454" s="1" t="n">
        <v>46042</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2248-2024</t>
        </is>
      </c>
      <c r="B455" s="1" t="n">
        <v>45309</v>
      </c>
      <c r="C455" s="1" t="n">
        <v>46042</v>
      </c>
      <c r="D455" t="inlineStr">
        <is>
          <t>JÄMTLANDS LÄN</t>
        </is>
      </c>
      <c r="E455" t="inlineStr">
        <is>
          <t>RAGUNDA</t>
        </is>
      </c>
      <c r="G455" t="n">
        <v>4.2</v>
      </c>
      <c r="H455" t="n">
        <v>0</v>
      </c>
      <c r="I455" t="n">
        <v>0</v>
      </c>
      <c r="J455" t="n">
        <v>0</v>
      </c>
      <c r="K455" t="n">
        <v>0</v>
      </c>
      <c r="L455" t="n">
        <v>0</v>
      </c>
      <c r="M455" t="n">
        <v>0</v>
      </c>
      <c r="N455" t="n">
        <v>0</v>
      </c>
      <c r="O455" t="n">
        <v>0</v>
      </c>
      <c r="P455" t="n">
        <v>0</v>
      </c>
      <c r="Q455" t="n">
        <v>0</v>
      </c>
      <c r="R455" s="2" t="inlineStr"/>
    </row>
    <row r="456" ht="15" customHeight="1">
      <c r="A456" t="inlineStr">
        <is>
          <t>A 29263-2024</t>
        </is>
      </c>
      <c r="B456" s="1" t="n">
        <v>45482.94891203703</v>
      </c>
      <c r="C456" s="1" t="n">
        <v>46042</v>
      </c>
      <c r="D456" t="inlineStr">
        <is>
          <t>JÄMTLANDS LÄN</t>
        </is>
      </c>
      <c r="E456" t="inlineStr">
        <is>
          <t>RAGUNDA</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29265-2024</t>
        </is>
      </c>
      <c r="B457" s="1" t="n">
        <v>45482.9491087963</v>
      </c>
      <c r="C457" s="1" t="n">
        <v>46042</v>
      </c>
      <c r="D457" t="inlineStr">
        <is>
          <t>JÄMTLANDS LÄN</t>
        </is>
      </c>
      <c r="E457" t="inlineStr">
        <is>
          <t>RAGUNDA</t>
        </is>
      </c>
      <c r="F457" t="inlineStr">
        <is>
          <t>SCA</t>
        </is>
      </c>
      <c r="G457" t="n">
        <v>11.6</v>
      </c>
      <c r="H457" t="n">
        <v>0</v>
      </c>
      <c r="I457" t="n">
        <v>0</v>
      </c>
      <c r="J457" t="n">
        <v>0</v>
      </c>
      <c r="K457" t="n">
        <v>0</v>
      </c>
      <c r="L457" t="n">
        <v>0</v>
      </c>
      <c r="M457" t="n">
        <v>0</v>
      </c>
      <c r="N457" t="n">
        <v>0</v>
      </c>
      <c r="O457" t="n">
        <v>0</v>
      </c>
      <c r="P457" t="n">
        <v>0</v>
      </c>
      <c r="Q457" t="n">
        <v>0</v>
      </c>
      <c r="R457" s="2" t="inlineStr"/>
    </row>
    <row r="458" ht="15" customHeight="1">
      <c r="A458" t="inlineStr">
        <is>
          <t>A 8800-2025</t>
        </is>
      </c>
      <c r="B458" s="1" t="n">
        <v>45712.65671296296</v>
      </c>
      <c r="C458" s="1" t="n">
        <v>46042</v>
      </c>
      <c r="D458" t="inlineStr">
        <is>
          <t>JÄMTLANDS LÄN</t>
        </is>
      </c>
      <c r="E458" t="inlineStr">
        <is>
          <t>RAGUNDA</t>
        </is>
      </c>
      <c r="G458" t="n">
        <v>2.6</v>
      </c>
      <c r="H458" t="n">
        <v>0</v>
      </c>
      <c r="I458" t="n">
        <v>0</v>
      </c>
      <c r="J458" t="n">
        <v>0</v>
      </c>
      <c r="K458" t="n">
        <v>0</v>
      </c>
      <c r="L458" t="n">
        <v>0</v>
      </c>
      <c r="M458" t="n">
        <v>0</v>
      </c>
      <c r="N458" t="n">
        <v>0</v>
      </c>
      <c r="O458" t="n">
        <v>0</v>
      </c>
      <c r="P458" t="n">
        <v>0</v>
      </c>
      <c r="Q458" t="n">
        <v>0</v>
      </c>
      <c r="R458" s="2" t="inlineStr"/>
    </row>
    <row r="459" ht="15" customHeight="1">
      <c r="A459" t="inlineStr">
        <is>
          <t>A 27291-2022</t>
        </is>
      </c>
      <c r="B459" s="1" t="n">
        <v>44741.94070601852</v>
      </c>
      <c r="C459" s="1" t="n">
        <v>46042</v>
      </c>
      <c r="D459" t="inlineStr">
        <is>
          <t>JÄMTLANDS LÄN</t>
        </is>
      </c>
      <c r="E459" t="inlineStr">
        <is>
          <t>RAGUNDA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8776-2025</t>
        </is>
      </c>
      <c r="B460" s="1" t="n">
        <v>45712.61510416667</v>
      </c>
      <c r="C460" s="1" t="n">
        <v>46042</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14821-2025</t>
        </is>
      </c>
      <c r="B461" s="1" t="n">
        <v>45743.36</v>
      </c>
      <c r="C461" s="1" t="n">
        <v>46042</v>
      </c>
      <c r="D461" t="inlineStr">
        <is>
          <t>JÄMTLANDS LÄN</t>
        </is>
      </c>
      <c r="E461" t="inlineStr">
        <is>
          <t>RAGUNDA</t>
        </is>
      </c>
      <c r="F461" t="inlineStr">
        <is>
          <t>Kyrkan</t>
        </is>
      </c>
      <c r="G461" t="n">
        <v>6.4</v>
      </c>
      <c r="H461" t="n">
        <v>0</v>
      </c>
      <c r="I461" t="n">
        <v>0</v>
      </c>
      <c r="J461" t="n">
        <v>0</v>
      </c>
      <c r="K461" t="n">
        <v>0</v>
      </c>
      <c r="L461" t="n">
        <v>0</v>
      </c>
      <c r="M461" t="n">
        <v>0</v>
      </c>
      <c r="N461" t="n">
        <v>0</v>
      </c>
      <c r="O461" t="n">
        <v>0</v>
      </c>
      <c r="P461" t="n">
        <v>0</v>
      </c>
      <c r="Q461" t="n">
        <v>0</v>
      </c>
      <c r="R461" s="2" t="inlineStr"/>
    </row>
    <row r="462" ht="15" customHeight="1">
      <c r="A462" t="inlineStr">
        <is>
          <t>A 19263-2025</t>
        </is>
      </c>
      <c r="B462" s="1" t="n">
        <v>45769.51075231482</v>
      </c>
      <c r="C462" s="1" t="n">
        <v>46042</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24158-2025</t>
        </is>
      </c>
      <c r="B463" s="1" t="n">
        <v>45796</v>
      </c>
      <c r="C463" s="1" t="n">
        <v>46042</v>
      </c>
      <c r="D463" t="inlineStr">
        <is>
          <t>JÄMTLANDS LÄN</t>
        </is>
      </c>
      <c r="E463" t="inlineStr">
        <is>
          <t>RAGUNDA</t>
        </is>
      </c>
      <c r="G463" t="n">
        <v>2.9</v>
      </c>
      <c r="H463" t="n">
        <v>0</v>
      </c>
      <c r="I463" t="n">
        <v>0</v>
      </c>
      <c r="J463" t="n">
        <v>0</v>
      </c>
      <c r="K463" t="n">
        <v>0</v>
      </c>
      <c r="L463" t="n">
        <v>0</v>
      </c>
      <c r="M463" t="n">
        <v>0</v>
      </c>
      <c r="N463" t="n">
        <v>0</v>
      </c>
      <c r="O463" t="n">
        <v>0</v>
      </c>
      <c r="P463" t="n">
        <v>0</v>
      </c>
      <c r="Q463" t="n">
        <v>0</v>
      </c>
      <c r="R463" s="2" t="inlineStr"/>
      <c r="U463">
        <f>HYPERLINK("https://klasma.github.io/Logging_2303/knärot/A 24158-2025 karta knärot.png", "A 24158-2025")</f>
        <v/>
      </c>
      <c r="V463">
        <f>HYPERLINK("https://klasma.github.io/Logging_2303/klagomål/A 24158-2025 FSC-klagomål.docx", "A 24158-2025")</f>
        <v/>
      </c>
      <c r="W463">
        <f>HYPERLINK("https://klasma.github.io/Logging_2303/klagomålsmail/A 24158-2025 FSC-klagomål mail.docx", "A 24158-2025")</f>
        <v/>
      </c>
      <c r="X463">
        <f>HYPERLINK("https://klasma.github.io/Logging_2303/tillsyn/A 24158-2025 tillsynsbegäran.docx", "A 24158-2025")</f>
        <v/>
      </c>
      <c r="Y463">
        <f>HYPERLINK("https://klasma.github.io/Logging_2303/tillsynsmail/A 24158-2025 tillsynsbegäran mail.docx", "A 24158-2025")</f>
        <v/>
      </c>
    </row>
    <row r="464" ht="15" customHeight="1">
      <c r="A464" t="inlineStr">
        <is>
          <t>A 24161-2025</t>
        </is>
      </c>
      <c r="B464" s="1" t="n">
        <v>45796</v>
      </c>
      <c r="C464" s="1" t="n">
        <v>46042</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36375-2022</t>
        </is>
      </c>
      <c r="B465" s="1" t="n">
        <v>44803.94351851852</v>
      </c>
      <c r="C465" s="1" t="n">
        <v>46042</v>
      </c>
      <c r="D465" t="inlineStr">
        <is>
          <t>JÄMTLANDS LÄN</t>
        </is>
      </c>
      <c r="E465" t="inlineStr">
        <is>
          <t>RAGUNDA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8679-2023</t>
        </is>
      </c>
      <c r="B466" s="1" t="n">
        <v>44977.98670138889</v>
      </c>
      <c r="C466" s="1" t="n">
        <v>46042</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9325-2024</t>
        </is>
      </c>
      <c r="B467" s="1" t="n">
        <v>45358.95813657407</v>
      </c>
      <c r="C467" s="1" t="n">
        <v>46042</v>
      </c>
      <c r="D467" t="inlineStr">
        <is>
          <t>JÄMTLANDS LÄN</t>
        </is>
      </c>
      <c r="E467" t="inlineStr">
        <is>
          <t>RAGUNDA</t>
        </is>
      </c>
      <c r="G467" t="n">
        <v>3.1</v>
      </c>
      <c r="H467" t="n">
        <v>0</v>
      </c>
      <c r="I467" t="n">
        <v>0</v>
      </c>
      <c r="J467" t="n">
        <v>0</v>
      </c>
      <c r="K467" t="n">
        <v>0</v>
      </c>
      <c r="L467" t="n">
        <v>0</v>
      </c>
      <c r="M467" t="n">
        <v>0</v>
      </c>
      <c r="N467" t="n">
        <v>0</v>
      </c>
      <c r="O467" t="n">
        <v>0</v>
      </c>
      <c r="P467" t="n">
        <v>0</v>
      </c>
      <c r="Q467" t="n">
        <v>0</v>
      </c>
      <c r="R467" s="2" t="inlineStr"/>
    </row>
    <row r="468" ht="15" customHeight="1">
      <c r="A468" t="inlineStr">
        <is>
          <t>A 5930-2025</t>
        </is>
      </c>
      <c r="B468" s="1" t="n">
        <v>45695.44724537037</v>
      </c>
      <c r="C468" s="1" t="n">
        <v>46042</v>
      </c>
      <c r="D468" t="inlineStr">
        <is>
          <t>JÄMTLANDS LÄN</t>
        </is>
      </c>
      <c r="E468" t="inlineStr">
        <is>
          <t>RAGUNDA</t>
        </is>
      </c>
      <c r="G468" t="n">
        <v>0.7</v>
      </c>
      <c r="H468" t="n">
        <v>0</v>
      </c>
      <c r="I468" t="n">
        <v>0</v>
      </c>
      <c r="J468" t="n">
        <v>0</v>
      </c>
      <c r="K468" t="n">
        <v>0</v>
      </c>
      <c r="L468" t="n">
        <v>0</v>
      </c>
      <c r="M468" t="n">
        <v>0</v>
      </c>
      <c r="N468" t="n">
        <v>0</v>
      </c>
      <c r="O468" t="n">
        <v>0</v>
      </c>
      <c r="P468" t="n">
        <v>0</v>
      </c>
      <c r="Q468" t="n">
        <v>0</v>
      </c>
      <c r="R468" s="2" t="inlineStr"/>
    </row>
    <row r="469" ht="15" customHeight="1">
      <c r="A469" t="inlineStr">
        <is>
          <t>A 24159-2025</t>
        </is>
      </c>
      <c r="B469" s="1" t="n">
        <v>45796</v>
      </c>
      <c r="C469" s="1" t="n">
        <v>46042</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24391-2025</t>
        </is>
      </c>
      <c r="B470" s="1" t="n">
        <v>45797.63627314815</v>
      </c>
      <c r="C470" s="1" t="n">
        <v>46042</v>
      </c>
      <c r="D470" t="inlineStr">
        <is>
          <t>JÄMTLANDS LÄN</t>
        </is>
      </c>
      <c r="E470" t="inlineStr">
        <is>
          <t>RAGUNDA</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57170-2024</t>
        </is>
      </c>
      <c r="B471" s="1" t="n">
        <v>45629.42759259259</v>
      </c>
      <c r="C471" s="1" t="n">
        <v>46042</v>
      </c>
      <c r="D471" t="inlineStr">
        <is>
          <t>JÄMTLANDS LÄN</t>
        </is>
      </c>
      <c r="E471" t="inlineStr">
        <is>
          <t>RAGUNDA</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62407-2023</t>
        </is>
      </c>
      <c r="B472" s="1" t="n">
        <v>45266</v>
      </c>
      <c r="C472" s="1" t="n">
        <v>46042</v>
      </c>
      <c r="D472" t="inlineStr">
        <is>
          <t>JÄMTLANDS LÄN</t>
        </is>
      </c>
      <c r="E472" t="inlineStr">
        <is>
          <t>RAGUNDA</t>
        </is>
      </c>
      <c r="G472" t="n">
        <v>1.6</v>
      </c>
      <c r="H472" t="n">
        <v>0</v>
      </c>
      <c r="I472" t="n">
        <v>0</v>
      </c>
      <c r="J472" t="n">
        <v>0</v>
      </c>
      <c r="K472" t="n">
        <v>0</v>
      </c>
      <c r="L472" t="n">
        <v>0</v>
      </c>
      <c r="M472" t="n">
        <v>0</v>
      </c>
      <c r="N472" t="n">
        <v>0</v>
      </c>
      <c r="O472" t="n">
        <v>0</v>
      </c>
      <c r="P472" t="n">
        <v>0</v>
      </c>
      <c r="Q472" t="n">
        <v>0</v>
      </c>
      <c r="R472" s="2" t="inlineStr"/>
    </row>
    <row r="473" ht="15" customHeight="1">
      <c r="A473" t="inlineStr">
        <is>
          <t>A 21524-2024</t>
        </is>
      </c>
      <c r="B473" s="1" t="n">
        <v>45441</v>
      </c>
      <c r="C473" s="1" t="n">
        <v>46042</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8795-2022</t>
        </is>
      </c>
      <c r="B474" s="1" t="n">
        <v>44614</v>
      </c>
      <c r="C474" s="1" t="n">
        <v>46042</v>
      </c>
      <c r="D474" t="inlineStr">
        <is>
          <t>JÄMTLANDS LÄN</t>
        </is>
      </c>
      <c r="E474" t="inlineStr">
        <is>
          <t>RAGUNDA</t>
        </is>
      </c>
      <c r="G474" t="n">
        <v>3.9</v>
      </c>
      <c r="H474" t="n">
        <v>0</v>
      </c>
      <c r="I474" t="n">
        <v>0</v>
      </c>
      <c r="J474" t="n">
        <v>0</v>
      </c>
      <c r="K474" t="n">
        <v>0</v>
      </c>
      <c r="L474" t="n">
        <v>0</v>
      </c>
      <c r="M474" t="n">
        <v>0</v>
      </c>
      <c r="N474" t="n">
        <v>0</v>
      </c>
      <c r="O474" t="n">
        <v>0</v>
      </c>
      <c r="P474" t="n">
        <v>0</v>
      </c>
      <c r="Q474" t="n">
        <v>0</v>
      </c>
      <c r="R474" s="2" t="inlineStr"/>
    </row>
    <row r="475" ht="15" customHeight="1">
      <c r="A475" t="inlineStr">
        <is>
          <t>A 38191-2024</t>
        </is>
      </c>
      <c r="B475" s="1" t="n">
        <v>45545.49078703704</v>
      </c>
      <c r="C475" s="1" t="n">
        <v>46042</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35265-2023</t>
        </is>
      </c>
      <c r="B476" s="1" t="n">
        <v>45145.95326388889</v>
      </c>
      <c r="C476" s="1" t="n">
        <v>46042</v>
      </c>
      <c r="D476" t="inlineStr">
        <is>
          <t>JÄMTLANDS LÄN</t>
        </is>
      </c>
      <c r="E476" t="inlineStr">
        <is>
          <t>RAGUNDA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5148-2023</t>
        </is>
      </c>
      <c r="B477" s="1" t="n">
        <v>44958</v>
      </c>
      <c r="C477" s="1" t="n">
        <v>46042</v>
      </c>
      <c r="D477" t="inlineStr">
        <is>
          <t>JÄMTLANDS LÄN</t>
        </is>
      </c>
      <c r="E477" t="inlineStr">
        <is>
          <t>RAGUNDA</t>
        </is>
      </c>
      <c r="G477" t="n">
        <v>2.9</v>
      </c>
      <c r="H477" t="n">
        <v>0</v>
      </c>
      <c r="I477" t="n">
        <v>0</v>
      </c>
      <c r="J477" t="n">
        <v>0</v>
      </c>
      <c r="K477" t="n">
        <v>0</v>
      </c>
      <c r="L477" t="n">
        <v>0</v>
      </c>
      <c r="M477" t="n">
        <v>0</v>
      </c>
      <c r="N477" t="n">
        <v>0</v>
      </c>
      <c r="O477" t="n">
        <v>0</v>
      </c>
      <c r="P477" t="n">
        <v>0</v>
      </c>
      <c r="Q477" t="n">
        <v>0</v>
      </c>
      <c r="R477" s="2" t="inlineStr"/>
    </row>
    <row r="478" ht="15" customHeight="1">
      <c r="A478" t="inlineStr">
        <is>
          <t>A 66471-2021</t>
        </is>
      </c>
      <c r="B478" s="1" t="n">
        <v>44518</v>
      </c>
      <c r="C478" s="1" t="n">
        <v>46042</v>
      </c>
      <c r="D478" t="inlineStr">
        <is>
          <t>JÄMTLANDS LÄN</t>
        </is>
      </c>
      <c r="E478" t="inlineStr">
        <is>
          <t>RAGUNDA</t>
        </is>
      </c>
      <c r="G478" t="n">
        <v>13.4</v>
      </c>
      <c r="H478" t="n">
        <v>0</v>
      </c>
      <c r="I478" t="n">
        <v>0</v>
      </c>
      <c r="J478" t="n">
        <v>0</v>
      </c>
      <c r="K478" t="n">
        <v>0</v>
      </c>
      <c r="L478" t="n">
        <v>0</v>
      </c>
      <c r="M478" t="n">
        <v>0</v>
      </c>
      <c r="N478" t="n">
        <v>0</v>
      </c>
      <c r="O478" t="n">
        <v>0</v>
      </c>
      <c r="P478" t="n">
        <v>0</v>
      </c>
      <c r="Q478" t="n">
        <v>0</v>
      </c>
      <c r="R478" s="2" t="inlineStr"/>
    </row>
    <row r="479" ht="15" customHeight="1">
      <c r="A479" t="inlineStr">
        <is>
          <t>A 18778-2024</t>
        </is>
      </c>
      <c r="B479" s="1" t="n">
        <v>45426</v>
      </c>
      <c r="C479" s="1" t="n">
        <v>46042</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59556-2024</t>
        </is>
      </c>
      <c r="B480" s="1" t="n">
        <v>45638.63600694444</v>
      </c>
      <c r="C480" s="1" t="n">
        <v>46042</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39192-2025</t>
        </is>
      </c>
      <c r="B481" s="1" t="n">
        <v>45888.6775</v>
      </c>
      <c r="C481" s="1" t="n">
        <v>46042</v>
      </c>
      <c r="D481" t="inlineStr">
        <is>
          <t>JÄMTLANDS LÄN</t>
        </is>
      </c>
      <c r="E481" t="inlineStr">
        <is>
          <t>RAGUNDA</t>
        </is>
      </c>
      <c r="F481" t="inlineStr">
        <is>
          <t>Naturvårdsverket</t>
        </is>
      </c>
      <c r="G481" t="n">
        <v>2.3</v>
      </c>
      <c r="H481" t="n">
        <v>0</v>
      </c>
      <c r="I481" t="n">
        <v>0</v>
      </c>
      <c r="J481" t="n">
        <v>0</v>
      </c>
      <c r="K481" t="n">
        <v>0</v>
      </c>
      <c r="L481" t="n">
        <v>0</v>
      </c>
      <c r="M481" t="n">
        <v>0</v>
      </c>
      <c r="N481" t="n">
        <v>0</v>
      </c>
      <c r="O481" t="n">
        <v>0</v>
      </c>
      <c r="P481" t="n">
        <v>0</v>
      </c>
      <c r="Q481" t="n">
        <v>0</v>
      </c>
      <c r="R481" s="2" t="inlineStr"/>
    </row>
    <row r="482" ht="15" customHeight="1">
      <c r="A482" t="inlineStr">
        <is>
          <t>A 25631-2025</t>
        </is>
      </c>
      <c r="B482" s="1" t="n">
        <v>45803.5946875</v>
      </c>
      <c r="C482" s="1" t="n">
        <v>46042</v>
      </c>
      <c r="D482" t="inlineStr">
        <is>
          <t>JÄMTLANDS LÄN</t>
        </is>
      </c>
      <c r="E482" t="inlineStr">
        <is>
          <t>RAGUNDA</t>
        </is>
      </c>
      <c r="G482" t="n">
        <v>1.1</v>
      </c>
      <c r="H482" t="n">
        <v>0</v>
      </c>
      <c r="I482" t="n">
        <v>0</v>
      </c>
      <c r="J482" t="n">
        <v>0</v>
      </c>
      <c r="K482" t="n">
        <v>0</v>
      </c>
      <c r="L482" t="n">
        <v>0</v>
      </c>
      <c r="M482" t="n">
        <v>0</v>
      </c>
      <c r="N482" t="n">
        <v>0</v>
      </c>
      <c r="O482" t="n">
        <v>0</v>
      </c>
      <c r="P482" t="n">
        <v>0</v>
      </c>
      <c r="Q482" t="n">
        <v>0</v>
      </c>
      <c r="R482" s="2" t="inlineStr"/>
    </row>
    <row r="483" ht="15" customHeight="1">
      <c r="A483" t="inlineStr">
        <is>
          <t>A 16529-2022</t>
        </is>
      </c>
      <c r="B483" s="1" t="n">
        <v>44671</v>
      </c>
      <c r="C483" s="1" t="n">
        <v>46042</v>
      </c>
      <c r="D483" t="inlineStr">
        <is>
          <t>JÄMTLANDS LÄN</t>
        </is>
      </c>
      <c r="E483" t="inlineStr">
        <is>
          <t>RAGUNDA</t>
        </is>
      </c>
      <c r="G483" t="n">
        <v>1.5</v>
      </c>
      <c r="H483" t="n">
        <v>0</v>
      </c>
      <c r="I483" t="n">
        <v>0</v>
      </c>
      <c r="J483" t="n">
        <v>0</v>
      </c>
      <c r="K483" t="n">
        <v>0</v>
      </c>
      <c r="L483" t="n">
        <v>0</v>
      </c>
      <c r="M483" t="n">
        <v>0</v>
      </c>
      <c r="N483" t="n">
        <v>0</v>
      </c>
      <c r="O483" t="n">
        <v>0</v>
      </c>
      <c r="P483" t="n">
        <v>0</v>
      </c>
      <c r="Q483" t="n">
        <v>0</v>
      </c>
      <c r="R483" s="2" t="inlineStr"/>
    </row>
    <row r="484" ht="15" customHeight="1">
      <c r="A484" t="inlineStr">
        <is>
          <t>A 25376-2025</t>
        </is>
      </c>
      <c r="B484" s="1" t="n">
        <v>45800.63619212963</v>
      </c>
      <c r="C484" s="1" t="n">
        <v>46042</v>
      </c>
      <c r="D484" t="inlineStr">
        <is>
          <t>JÄMTLANDS LÄN</t>
        </is>
      </c>
      <c r="E484" t="inlineStr">
        <is>
          <t>RAGUNDA</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39384-2025</t>
        </is>
      </c>
      <c r="B485" s="1" t="n">
        <v>45889.61517361111</v>
      </c>
      <c r="C485" s="1" t="n">
        <v>46042</v>
      </c>
      <c r="D485" t="inlineStr">
        <is>
          <t>JÄMTLANDS LÄN</t>
        </is>
      </c>
      <c r="E485" t="inlineStr">
        <is>
          <t>RAGUNDA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28216-2025</t>
        </is>
      </c>
      <c r="B486" s="1" t="n">
        <v>45818.46898148148</v>
      </c>
      <c r="C486" s="1" t="n">
        <v>46042</v>
      </c>
      <c r="D486" t="inlineStr">
        <is>
          <t>JÄMTLANDS LÄN</t>
        </is>
      </c>
      <c r="E486" t="inlineStr">
        <is>
          <t>RAGUNDA</t>
        </is>
      </c>
      <c r="G486" t="n">
        <v>6.6</v>
      </c>
      <c r="H486" t="n">
        <v>0</v>
      </c>
      <c r="I486" t="n">
        <v>0</v>
      </c>
      <c r="J486" t="n">
        <v>0</v>
      </c>
      <c r="K486" t="n">
        <v>0</v>
      </c>
      <c r="L486" t="n">
        <v>0</v>
      </c>
      <c r="M486" t="n">
        <v>0</v>
      </c>
      <c r="N486" t="n">
        <v>0</v>
      </c>
      <c r="O486" t="n">
        <v>0</v>
      </c>
      <c r="P486" t="n">
        <v>0</v>
      </c>
      <c r="Q486" t="n">
        <v>0</v>
      </c>
      <c r="R486" s="2" t="inlineStr"/>
    </row>
    <row r="487" ht="15" customHeight="1">
      <c r="A487" t="inlineStr">
        <is>
          <t>A 25175-2025</t>
        </is>
      </c>
      <c r="B487" s="1" t="n">
        <v>45800.44822916666</v>
      </c>
      <c r="C487" s="1" t="n">
        <v>46042</v>
      </c>
      <c r="D487" t="inlineStr">
        <is>
          <t>JÄMTLANDS LÄN</t>
        </is>
      </c>
      <c r="E487" t="inlineStr">
        <is>
          <t>RAGUNDA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25177-2025</t>
        </is>
      </c>
      <c r="B488" s="1" t="n">
        <v>45800.44862268519</v>
      </c>
      <c r="C488" s="1" t="n">
        <v>46042</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61934-2022</t>
        </is>
      </c>
      <c r="B489" s="1" t="n">
        <v>44917</v>
      </c>
      <c r="C489" s="1" t="n">
        <v>46042</v>
      </c>
      <c r="D489" t="inlineStr">
        <is>
          <t>JÄMTLANDS LÄN</t>
        </is>
      </c>
      <c r="E489" t="inlineStr">
        <is>
          <t>RAGUNDA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25659-2025</t>
        </is>
      </c>
      <c r="B490" s="1" t="n">
        <v>45803.61552083334</v>
      </c>
      <c r="C490" s="1" t="n">
        <v>46042</v>
      </c>
      <c r="D490" t="inlineStr">
        <is>
          <t>JÄMTLANDS LÄN</t>
        </is>
      </c>
      <c r="E490" t="inlineStr">
        <is>
          <t>RAGUNDA</t>
        </is>
      </c>
      <c r="G490" t="n">
        <v>1.5</v>
      </c>
      <c r="H490" t="n">
        <v>0</v>
      </c>
      <c r="I490" t="n">
        <v>0</v>
      </c>
      <c r="J490" t="n">
        <v>0</v>
      </c>
      <c r="K490" t="n">
        <v>0</v>
      </c>
      <c r="L490" t="n">
        <v>0</v>
      </c>
      <c r="M490" t="n">
        <v>0</v>
      </c>
      <c r="N490" t="n">
        <v>0</v>
      </c>
      <c r="O490" t="n">
        <v>0</v>
      </c>
      <c r="P490" t="n">
        <v>0</v>
      </c>
      <c r="Q490" t="n">
        <v>0</v>
      </c>
      <c r="R490" s="2" t="inlineStr"/>
    </row>
    <row r="491" ht="15" customHeight="1">
      <c r="A491" t="inlineStr">
        <is>
          <t>A 25661-2025</t>
        </is>
      </c>
      <c r="B491" s="1" t="n">
        <v>45803.61557870371</v>
      </c>
      <c r="C491" s="1" t="n">
        <v>46042</v>
      </c>
      <c r="D491" t="inlineStr">
        <is>
          <t>JÄMTLANDS LÄN</t>
        </is>
      </c>
      <c r="E491" t="inlineStr">
        <is>
          <t>RAGUNDA</t>
        </is>
      </c>
      <c r="G491" t="n">
        <v>1.4</v>
      </c>
      <c r="H491" t="n">
        <v>0</v>
      </c>
      <c r="I491" t="n">
        <v>0</v>
      </c>
      <c r="J491" t="n">
        <v>0</v>
      </c>
      <c r="K491" t="n">
        <v>0</v>
      </c>
      <c r="L491" t="n">
        <v>0</v>
      </c>
      <c r="M491" t="n">
        <v>0</v>
      </c>
      <c r="N491" t="n">
        <v>0</v>
      </c>
      <c r="O491" t="n">
        <v>0</v>
      </c>
      <c r="P491" t="n">
        <v>0</v>
      </c>
      <c r="Q491" t="n">
        <v>0</v>
      </c>
      <c r="R491" s="2" t="inlineStr"/>
    </row>
    <row r="492" ht="15" customHeight="1">
      <c r="A492" t="inlineStr">
        <is>
          <t>A 8678-2023</t>
        </is>
      </c>
      <c r="B492" s="1" t="n">
        <v>44977.98660879629</v>
      </c>
      <c r="C492" s="1" t="n">
        <v>46042</v>
      </c>
      <c r="D492" t="inlineStr">
        <is>
          <t>JÄMTLANDS LÄN</t>
        </is>
      </c>
      <c r="E492" t="inlineStr">
        <is>
          <t>RAGUNDA</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25350-2025</t>
        </is>
      </c>
      <c r="B493" s="1" t="n">
        <v>45800</v>
      </c>
      <c r="C493" s="1" t="n">
        <v>46042</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25152-2025</t>
        </is>
      </c>
      <c r="B494" s="1" t="n">
        <v>45800.42743055556</v>
      </c>
      <c r="C494" s="1" t="n">
        <v>46042</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19613-2023</t>
        </is>
      </c>
      <c r="B495" s="1" t="n">
        <v>45050.94020833333</v>
      </c>
      <c r="C495" s="1" t="n">
        <v>46042</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25814-2025</t>
        </is>
      </c>
      <c r="B496" s="1" t="n">
        <v>45804.42642361111</v>
      </c>
      <c r="C496" s="1" t="n">
        <v>46042</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25944-2025</t>
        </is>
      </c>
      <c r="B497" s="1" t="n">
        <v>45804.59487268519</v>
      </c>
      <c r="C497" s="1" t="n">
        <v>46042</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26283-2025</t>
        </is>
      </c>
      <c r="B498" s="1" t="n">
        <v>45805.61495370371</v>
      </c>
      <c r="C498" s="1" t="n">
        <v>46042</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28742-2023</t>
        </is>
      </c>
      <c r="B499" s="1" t="n">
        <v>45103</v>
      </c>
      <c r="C499" s="1" t="n">
        <v>46042</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17323-2025</t>
        </is>
      </c>
      <c r="B500" s="1" t="n">
        <v>45756.63601851852</v>
      </c>
      <c r="C500" s="1" t="n">
        <v>46042</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10788-2025</t>
        </is>
      </c>
      <c r="B501" s="1" t="n">
        <v>45722.48982638889</v>
      </c>
      <c r="C501" s="1" t="n">
        <v>46042</v>
      </c>
      <c r="D501" t="inlineStr">
        <is>
          <t>JÄMTLANDS LÄN</t>
        </is>
      </c>
      <c r="E501" t="inlineStr">
        <is>
          <t>RAGUNDA</t>
        </is>
      </c>
      <c r="G501" t="n">
        <v>3.5</v>
      </c>
      <c r="H501" t="n">
        <v>0</v>
      </c>
      <c r="I501" t="n">
        <v>0</v>
      </c>
      <c r="J501" t="n">
        <v>0</v>
      </c>
      <c r="K501" t="n">
        <v>0</v>
      </c>
      <c r="L501" t="n">
        <v>0</v>
      </c>
      <c r="M501" t="n">
        <v>0</v>
      </c>
      <c r="N501" t="n">
        <v>0</v>
      </c>
      <c r="O501" t="n">
        <v>0</v>
      </c>
      <c r="P501" t="n">
        <v>0</v>
      </c>
      <c r="Q501" t="n">
        <v>0</v>
      </c>
      <c r="R501" s="2" t="inlineStr"/>
    </row>
    <row r="502" ht="15" customHeight="1">
      <c r="A502" t="inlineStr">
        <is>
          <t>A 24258-2025</t>
        </is>
      </c>
      <c r="B502" s="1" t="n">
        <v>45797.40800925926</v>
      </c>
      <c r="C502" s="1" t="n">
        <v>46042</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25994-2025</t>
        </is>
      </c>
      <c r="B503" s="1" t="n">
        <v>45804.65672453704</v>
      </c>
      <c r="C503" s="1" t="n">
        <v>46042</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16364-2023</t>
        </is>
      </c>
      <c r="B504" s="1" t="n">
        <v>45028</v>
      </c>
      <c r="C504" s="1" t="n">
        <v>46042</v>
      </c>
      <c r="D504" t="inlineStr">
        <is>
          <t>JÄMTLANDS LÄN</t>
        </is>
      </c>
      <c r="E504" t="inlineStr">
        <is>
          <t>RAGUNDA</t>
        </is>
      </c>
      <c r="G504" t="n">
        <v>0.5</v>
      </c>
      <c r="H504" t="n">
        <v>0</v>
      </c>
      <c r="I504" t="n">
        <v>0</v>
      </c>
      <c r="J504" t="n">
        <v>0</v>
      </c>
      <c r="K504" t="n">
        <v>0</v>
      </c>
      <c r="L504" t="n">
        <v>0</v>
      </c>
      <c r="M504" t="n">
        <v>0</v>
      </c>
      <c r="N504" t="n">
        <v>0</v>
      </c>
      <c r="O504" t="n">
        <v>0</v>
      </c>
      <c r="P504" t="n">
        <v>0</v>
      </c>
      <c r="Q504" t="n">
        <v>0</v>
      </c>
      <c r="R504" s="2" t="inlineStr"/>
    </row>
    <row r="505" ht="15" customHeight="1">
      <c r="A505" t="inlineStr">
        <is>
          <t>A 59136-2023</t>
        </is>
      </c>
      <c r="B505" s="1" t="n">
        <v>45251</v>
      </c>
      <c r="C505" s="1" t="n">
        <v>46042</v>
      </c>
      <c r="D505" t="inlineStr">
        <is>
          <t>JÄMTLANDS LÄN</t>
        </is>
      </c>
      <c r="E505" t="inlineStr">
        <is>
          <t>RAGUNDA</t>
        </is>
      </c>
      <c r="G505" t="n">
        <v>1.7</v>
      </c>
      <c r="H505" t="n">
        <v>0</v>
      </c>
      <c r="I505" t="n">
        <v>0</v>
      </c>
      <c r="J505" t="n">
        <v>0</v>
      </c>
      <c r="K505" t="n">
        <v>0</v>
      </c>
      <c r="L505" t="n">
        <v>0</v>
      </c>
      <c r="M505" t="n">
        <v>0</v>
      </c>
      <c r="N505" t="n">
        <v>0</v>
      </c>
      <c r="O505" t="n">
        <v>0</v>
      </c>
      <c r="P505" t="n">
        <v>0</v>
      </c>
      <c r="Q505" t="n">
        <v>0</v>
      </c>
      <c r="R505" s="2" t="inlineStr"/>
    </row>
    <row r="506" ht="15" customHeight="1">
      <c r="A506" t="inlineStr">
        <is>
          <t>A 39947-2025</t>
        </is>
      </c>
      <c r="B506" s="1" t="n">
        <v>45892.34438657408</v>
      </c>
      <c r="C506" s="1" t="n">
        <v>46042</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39951-2025</t>
        </is>
      </c>
      <c r="B507" s="1" t="n">
        <v>45892.38657407407</v>
      </c>
      <c r="C507" s="1" t="n">
        <v>46042</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26172-2025</t>
        </is>
      </c>
      <c r="B508" s="1" t="n">
        <v>45805.46613425926</v>
      </c>
      <c r="C508" s="1" t="n">
        <v>46042</v>
      </c>
      <c r="D508" t="inlineStr">
        <is>
          <t>JÄMTLANDS LÄN</t>
        </is>
      </c>
      <c r="E508" t="inlineStr">
        <is>
          <t>RAGUNDA</t>
        </is>
      </c>
      <c r="G508" t="n">
        <v>2.1</v>
      </c>
      <c r="H508" t="n">
        <v>0</v>
      </c>
      <c r="I508" t="n">
        <v>0</v>
      </c>
      <c r="J508" t="n">
        <v>0</v>
      </c>
      <c r="K508" t="n">
        <v>0</v>
      </c>
      <c r="L508" t="n">
        <v>0</v>
      </c>
      <c r="M508" t="n">
        <v>0</v>
      </c>
      <c r="N508" t="n">
        <v>0</v>
      </c>
      <c r="O508" t="n">
        <v>0</v>
      </c>
      <c r="P508" t="n">
        <v>0</v>
      </c>
      <c r="Q508" t="n">
        <v>0</v>
      </c>
      <c r="R508" s="2" t="inlineStr"/>
    </row>
    <row r="509" ht="15" customHeight="1">
      <c r="A509" t="inlineStr">
        <is>
          <t>A 39948-2025</t>
        </is>
      </c>
      <c r="B509" s="1" t="n">
        <v>45892.38591435185</v>
      </c>
      <c r="C509" s="1" t="n">
        <v>46042</v>
      </c>
      <c r="D509" t="inlineStr">
        <is>
          <t>JÄMTLANDS LÄN</t>
        </is>
      </c>
      <c r="E509" t="inlineStr">
        <is>
          <t>RAGUNDA</t>
        </is>
      </c>
      <c r="G509" t="n">
        <v>5</v>
      </c>
      <c r="H509" t="n">
        <v>0</v>
      </c>
      <c r="I509" t="n">
        <v>0</v>
      </c>
      <c r="J509" t="n">
        <v>0</v>
      </c>
      <c r="K509" t="n">
        <v>0</v>
      </c>
      <c r="L509" t="n">
        <v>0</v>
      </c>
      <c r="M509" t="n">
        <v>0</v>
      </c>
      <c r="N509" t="n">
        <v>0</v>
      </c>
      <c r="O509" t="n">
        <v>0</v>
      </c>
      <c r="P509" t="n">
        <v>0</v>
      </c>
      <c r="Q509" t="n">
        <v>0</v>
      </c>
      <c r="R509" s="2" t="inlineStr"/>
    </row>
    <row r="510" ht="15" customHeight="1">
      <c r="A510" t="inlineStr">
        <is>
          <t>A 39946-2025</t>
        </is>
      </c>
      <c r="B510" s="1" t="n">
        <v>45892.34423611111</v>
      </c>
      <c r="C510" s="1" t="n">
        <v>46042</v>
      </c>
      <c r="D510" t="inlineStr">
        <is>
          <t>JÄMTLANDS LÄN</t>
        </is>
      </c>
      <c r="E510" t="inlineStr">
        <is>
          <t>RAGUNDA</t>
        </is>
      </c>
      <c r="G510" t="n">
        <v>4.7</v>
      </c>
      <c r="H510" t="n">
        <v>0</v>
      </c>
      <c r="I510" t="n">
        <v>0</v>
      </c>
      <c r="J510" t="n">
        <v>0</v>
      </c>
      <c r="K510" t="n">
        <v>0</v>
      </c>
      <c r="L510" t="n">
        <v>0</v>
      </c>
      <c r="M510" t="n">
        <v>0</v>
      </c>
      <c r="N510" t="n">
        <v>0</v>
      </c>
      <c r="O510" t="n">
        <v>0</v>
      </c>
      <c r="P510" t="n">
        <v>0</v>
      </c>
      <c r="Q510" t="n">
        <v>0</v>
      </c>
      <c r="R510" s="2" t="inlineStr"/>
    </row>
    <row r="511" ht="15" customHeight="1">
      <c r="A511" t="inlineStr">
        <is>
          <t>A 39950-2025</t>
        </is>
      </c>
      <c r="B511" s="1" t="n">
        <v>45892.38641203703</v>
      </c>
      <c r="C511" s="1" t="n">
        <v>46042</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39955-2025</t>
        </is>
      </c>
      <c r="B512" s="1" t="n">
        <v>45892.44824074074</v>
      </c>
      <c r="C512" s="1" t="n">
        <v>46042</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39956-2025</t>
        </is>
      </c>
      <c r="B513" s="1" t="n">
        <v>45892.44840277778</v>
      </c>
      <c r="C513" s="1" t="n">
        <v>46042</v>
      </c>
      <c r="D513" t="inlineStr">
        <is>
          <t>JÄMTLANDS LÄN</t>
        </is>
      </c>
      <c r="E513" t="inlineStr">
        <is>
          <t>RAGUNDA</t>
        </is>
      </c>
      <c r="G513" t="n">
        <v>3.6</v>
      </c>
      <c r="H513" t="n">
        <v>0</v>
      </c>
      <c r="I513" t="n">
        <v>0</v>
      </c>
      <c r="J513" t="n">
        <v>0</v>
      </c>
      <c r="K513" t="n">
        <v>0</v>
      </c>
      <c r="L513" t="n">
        <v>0</v>
      </c>
      <c r="M513" t="n">
        <v>0</v>
      </c>
      <c r="N513" t="n">
        <v>0</v>
      </c>
      <c r="O513" t="n">
        <v>0</v>
      </c>
      <c r="P513" t="n">
        <v>0</v>
      </c>
      <c r="Q513" t="n">
        <v>0</v>
      </c>
      <c r="R513" s="2" t="inlineStr"/>
    </row>
    <row r="514" ht="15" customHeight="1">
      <c r="A514" t="inlineStr">
        <is>
          <t>A 26246-2025</t>
        </is>
      </c>
      <c r="B514" s="1" t="n">
        <v>45805.57390046296</v>
      </c>
      <c r="C514" s="1" t="n">
        <v>46042</v>
      </c>
      <c r="D514" t="inlineStr">
        <is>
          <t>JÄMTLANDS LÄN</t>
        </is>
      </c>
      <c r="E514" t="inlineStr">
        <is>
          <t>RAGUNDA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39949-2025</t>
        </is>
      </c>
      <c r="B515" s="1" t="n">
        <v>45892.38619212963</v>
      </c>
      <c r="C515" s="1" t="n">
        <v>46042</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49659-2023</t>
        </is>
      </c>
      <c r="B516" s="1" t="n">
        <v>45211.95134259259</v>
      </c>
      <c r="C516" s="1" t="n">
        <v>46042</v>
      </c>
      <c r="D516" t="inlineStr">
        <is>
          <t>JÄMTLANDS LÄN</t>
        </is>
      </c>
      <c r="E516" t="inlineStr">
        <is>
          <t>RAGUNDA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73278-2021</t>
        </is>
      </c>
      <c r="B517" s="1" t="n">
        <v>44550.92168981482</v>
      </c>
      <c r="C517" s="1" t="n">
        <v>46042</v>
      </c>
      <c r="D517" t="inlineStr">
        <is>
          <t>JÄMTLANDS LÄN</t>
        </is>
      </c>
      <c r="E517" t="inlineStr">
        <is>
          <t>RAGUNDA</t>
        </is>
      </c>
      <c r="G517" t="n">
        <v>4.4</v>
      </c>
      <c r="H517" t="n">
        <v>0</v>
      </c>
      <c r="I517" t="n">
        <v>0</v>
      </c>
      <c r="J517" t="n">
        <v>0</v>
      </c>
      <c r="K517" t="n">
        <v>0</v>
      </c>
      <c r="L517" t="n">
        <v>0</v>
      </c>
      <c r="M517" t="n">
        <v>0</v>
      </c>
      <c r="N517" t="n">
        <v>0</v>
      </c>
      <c r="O517" t="n">
        <v>0</v>
      </c>
      <c r="P517" t="n">
        <v>0</v>
      </c>
      <c r="Q517" t="n">
        <v>0</v>
      </c>
      <c r="R517" s="2" t="inlineStr"/>
    </row>
    <row r="518" ht="15" customHeight="1">
      <c r="A518" t="inlineStr">
        <is>
          <t>A 50521-2024</t>
        </is>
      </c>
      <c r="B518" s="1" t="n">
        <v>45601.55331018518</v>
      </c>
      <c r="C518" s="1" t="n">
        <v>46042</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4916-2025</t>
        </is>
      </c>
      <c r="B519" s="1" t="n">
        <v>45688.68196759259</v>
      </c>
      <c r="C519" s="1" t="n">
        <v>46042</v>
      </c>
      <c r="D519" t="inlineStr">
        <is>
          <t>JÄMTLANDS LÄN</t>
        </is>
      </c>
      <c r="E519" t="inlineStr">
        <is>
          <t>RAGUNDA</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51396-2024</t>
        </is>
      </c>
      <c r="B520" s="1" t="n">
        <v>45604.4190625</v>
      </c>
      <c r="C520" s="1" t="n">
        <v>46042</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59557-2023</t>
        </is>
      </c>
      <c r="B521" s="1" t="n">
        <v>45253</v>
      </c>
      <c r="C521" s="1" t="n">
        <v>46042</v>
      </c>
      <c r="D521" t="inlineStr">
        <is>
          <t>JÄMTLANDS LÄN</t>
        </is>
      </c>
      <c r="E521" t="inlineStr">
        <is>
          <t>RAGUNDA</t>
        </is>
      </c>
      <c r="G521" t="n">
        <v>1</v>
      </c>
      <c r="H521" t="n">
        <v>0</v>
      </c>
      <c r="I521" t="n">
        <v>0</v>
      </c>
      <c r="J521" t="n">
        <v>0</v>
      </c>
      <c r="K521" t="n">
        <v>0</v>
      </c>
      <c r="L521" t="n">
        <v>0</v>
      </c>
      <c r="M521" t="n">
        <v>0</v>
      </c>
      <c r="N521" t="n">
        <v>0</v>
      </c>
      <c r="O521" t="n">
        <v>0</v>
      </c>
      <c r="P521" t="n">
        <v>0</v>
      </c>
      <c r="Q521" t="n">
        <v>0</v>
      </c>
      <c r="R521" s="2" t="inlineStr"/>
    </row>
    <row r="522" ht="15" customHeight="1">
      <c r="A522" t="inlineStr">
        <is>
          <t>A 26640-2025</t>
        </is>
      </c>
      <c r="B522" s="1" t="n">
        <v>45810.36495370371</v>
      </c>
      <c r="C522" s="1" t="n">
        <v>46042</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46042</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57112-2024</t>
        </is>
      </c>
      <c r="B524" s="1" t="n">
        <v>45629.36486111111</v>
      </c>
      <c r="C524" s="1" t="n">
        <v>46042</v>
      </c>
      <c r="D524" t="inlineStr">
        <is>
          <t>JÄMTLANDS LÄN</t>
        </is>
      </c>
      <c r="E524" t="inlineStr">
        <is>
          <t>RAGUNDA</t>
        </is>
      </c>
      <c r="G524" t="n">
        <v>0.7</v>
      </c>
      <c r="H524" t="n">
        <v>0</v>
      </c>
      <c r="I524" t="n">
        <v>0</v>
      </c>
      <c r="J524" t="n">
        <v>0</v>
      </c>
      <c r="K524" t="n">
        <v>0</v>
      </c>
      <c r="L524" t="n">
        <v>0</v>
      </c>
      <c r="M524" t="n">
        <v>0</v>
      </c>
      <c r="N524" t="n">
        <v>0</v>
      </c>
      <c r="O524" t="n">
        <v>0</v>
      </c>
      <c r="P524" t="n">
        <v>0</v>
      </c>
      <c r="Q524" t="n">
        <v>0</v>
      </c>
      <c r="R524" s="2" t="inlineStr"/>
    </row>
    <row r="525" ht="15" customHeight="1">
      <c r="A525" t="inlineStr">
        <is>
          <t>A 53136-2024</t>
        </is>
      </c>
      <c r="B525" s="1" t="n">
        <v>45611.5953125</v>
      </c>
      <c r="C525" s="1" t="n">
        <v>46042</v>
      </c>
      <c r="D525" t="inlineStr">
        <is>
          <t>JÄMTLANDS LÄN</t>
        </is>
      </c>
      <c r="E525" t="inlineStr">
        <is>
          <t>RAGUNDA</t>
        </is>
      </c>
      <c r="G525" t="n">
        <v>3.8</v>
      </c>
      <c r="H525" t="n">
        <v>0</v>
      </c>
      <c r="I525" t="n">
        <v>0</v>
      </c>
      <c r="J525" t="n">
        <v>0</v>
      </c>
      <c r="K525" t="n">
        <v>0</v>
      </c>
      <c r="L525" t="n">
        <v>0</v>
      </c>
      <c r="M525" t="n">
        <v>0</v>
      </c>
      <c r="N525" t="n">
        <v>0</v>
      </c>
      <c r="O525" t="n">
        <v>0</v>
      </c>
      <c r="P525" t="n">
        <v>0</v>
      </c>
      <c r="Q525" t="n">
        <v>0</v>
      </c>
      <c r="R525" s="2" t="inlineStr"/>
    </row>
    <row r="526" ht="15" customHeight="1">
      <c r="A526" t="inlineStr">
        <is>
          <t>A 33621-2023</t>
        </is>
      </c>
      <c r="B526" s="1" t="n">
        <v>45119</v>
      </c>
      <c r="C526" s="1" t="n">
        <v>46042</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6694-2024</t>
        </is>
      </c>
      <c r="B527" s="1" t="n">
        <v>45341.95381944445</v>
      </c>
      <c r="C527" s="1" t="n">
        <v>46042</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2001-2025</t>
        </is>
      </c>
      <c r="B528" s="1" t="n">
        <v>45672.44898148148</v>
      </c>
      <c r="C528" s="1" t="n">
        <v>46042</v>
      </c>
      <c r="D528" t="inlineStr">
        <is>
          <t>JÄMTLANDS LÄN</t>
        </is>
      </c>
      <c r="E528" t="inlineStr">
        <is>
          <t>RAGUNDA</t>
        </is>
      </c>
      <c r="F528" t="inlineStr">
        <is>
          <t>SCA</t>
        </is>
      </c>
      <c r="G528" t="n">
        <v>16.2</v>
      </c>
      <c r="H528" t="n">
        <v>0</v>
      </c>
      <c r="I528" t="n">
        <v>0</v>
      </c>
      <c r="J528" t="n">
        <v>0</v>
      </c>
      <c r="K528" t="n">
        <v>0</v>
      </c>
      <c r="L528" t="n">
        <v>0</v>
      </c>
      <c r="M528" t="n">
        <v>0</v>
      </c>
      <c r="N528" t="n">
        <v>0</v>
      </c>
      <c r="O528" t="n">
        <v>0</v>
      </c>
      <c r="P528" t="n">
        <v>0</v>
      </c>
      <c r="Q528" t="n">
        <v>0</v>
      </c>
      <c r="R528" s="2" t="inlineStr"/>
    </row>
    <row r="529" ht="15" customHeight="1">
      <c r="A529" t="inlineStr">
        <is>
          <t>A 53762-2023</t>
        </is>
      </c>
      <c r="B529" s="1" t="n">
        <v>45230.96376157407</v>
      </c>
      <c r="C529" s="1" t="n">
        <v>46042</v>
      </c>
      <c r="D529" t="inlineStr">
        <is>
          <t>JÄMTLANDS LÄN</t>
        </is>
      </c>
      <c r="E529" t="inlineStr">
        <is>
          <t>RAGUNDA</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1537-2024</t>
        </is>
      </c>
      <c r="B530" s="1" t="n">
        <v>45306</v>
      </c>
      <c r="C530" s="1" t="n">
        <v>46042</v>
      </c>
      <c r="D530" t="inlineStr">
        <is>
          <t>JÄMTLANDS LÄN</t>
        </is>
      </c>
      <c r="E530" t="inlineStr">
        <is>
          <t>RAGUNDA</t>
        </is>
      </c>
      <c r="G530" t="n">
        <v>0.2</v>
      </c>
      <c r="H530" t="n">
        <v>0</v>
      </c>
      <c r="I530" t="n">
        <v>0</v>
      </c>
      <c r="J530" t="n">
        <v>0</v>
      </c>
      <c r="K530" t="n">
        <v>0</v>
      </c>
      <c r="L530" t="n">
        <v>0</v>
      </c>
      <c r="M530" t="n">
        <v>0</v>
      </c>
      <c r="N530" t="n">
        <v>0</v>
      </c>
      <c r="O530" t="n">
        <v>0</v>
      </c>
      <c r="P530" t="n">
        <v>0</v>
      </c>
      <c r="Q530" t="n">
        <v>0</v>
      </c>
      <c r="R530" s="2" t="inlineStr"/>
    </row>
    <row r="531" ht="15" customHeight="1">
      <c r="A531" t="inlineStr">
        <is>
          <t>A 60935-2024</t>
        </is>
      </c>
      <c r="B531" s="1" t="n">
        <v>45645.36740740741</v>
      </c>
      <c r="C531" s="1" t="n">
        <v>46042</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19089-2024</t>
        </is>
      </c>
      <c r="B532" s="1" t="n">
        <v>45428.00471064815</v>
      </c>
      <c r="C532" s="1" t="n">
        <v>46042</v>
      </c>
      <c r="D532" t="inlineStr">
        <is>
          <t>JÄMTLANDS LÄN</t>
        </is>
      </c>
      <c r="E532" t="inlineStr">
        <is>
          <t>RAGUNDA</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41161-2025</t>
        </is>
      </c>
      <c r="B533" s="1" t="n">
        <v>45898.53193287037</v>
      </c>
      <c r="C533" s="1" t="n">
        <v>46042</v>
      </c>
      <c r="D533" t="inlineStr">
        <is>
          <t>JÄMTLANDS LÄN</t>
        </is>
      </c>
      <c r="E533" t="inlineStr">
        <is>
          <t>RAGUNDA</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6257-2025</t>
        </is>
      </c>
      <c r="B534" s="1" t="n">
        <v>45698.59409722222</v>
      </c>
      <c r="C534" s="1" t="n">
        <v>46042</v>
      </c>
      <c r="D534" t="inlineStr">
        <is>
          <t>JÄMTLANDS LÄN</t>
        </is>
      </c>
      <c r="E534" t="inlineStr">
        <is>
          <t>RAGUNDA</t>
        </is>
      </c>
      <c r="F534" t="inlineStr">
        <is>
          <t>SCA</t>
        </is>
      </c>
      <c r="G534" t="n">
        <v>7</v>
      </c>
      <c r="H534" t="n">
        <v>0</v>
      </c>
      <c r="I534" t="n">
        <v>0</v>
      </c>
      <c r="J534" t="n">
        <v>0</v>
      </c>
      <c r="K534" t="n">
        <v>0</v>
      </c>
      <c r="L534" t="n">
        <v>0</v>
      </c>
      <c r="M534" t="n">
        <v>0</v>
      </c>
      <c r="N534" t="n">
        <v>0</v>
      </c>
      <c r="O534" t="n">
        <v>0</v>
      </c>
      <c r="P534" t="n">
        <v>0</v>
      </c>
      <c r="Q534" t="n">
        <v>0</v>
      </c>
      <c r="R534" s="2" t="inlineStr"/>
    </row>
    <row r="535" ht="15" customHeight="1">
      <c r="A535" t="inlineStr">
        <is>
          <t>A 41233-2025</t>
        </is>
      </c>
      <c r="B535" s="1" t="n">
        <v>45898.59295138889</v>
      </c>
      <c r="C535" s="1" t="n">
        <v>46042</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14074-2023</t>
        </is>
      </c>
      <c r="B536" s="1" t="n">
        <v>45009.089375</v>
      </c>
      <c r="C536" s="1" t="n">
        <v>46042</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37265-2024</t>
        </is>
      </c>
      <c r="B537" s="1" t="n">
        <v>45540.38564814815</v>
      </c>
      <c r="C537" s="1" t="n">
        <v>46042</v>
      </c>
      <c r="D537" t="inlineStr">
        <is>
          <t>JÄMTLANDS LÄN</t>
        </is>
      </c>
      <c r="E537" t="inlineStr">
        <is>
          <t>RAGUNDA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41262-2025</t>
        </is>
      </c>
      <c r="B538" s="1" t="n">
        <v>45898.61502314815</v>
      </c>
      <c r="C538" s="1" t="n">
        <v>46042</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27510-2025</t>
        </is>
      </c>
      <c r="B539" s="1" t="n">
        <v>45813.42790509259</v>
      </c>
      <c r="C539" s="1" t="n">
        <v>46042</v>
      </c>
      <c r="D539" t="inlineStr">
        <is>
          <t>JÄMTLANDS LÄN</t>
        </is>
      </c>
      <c r="E539" t="inlineStr">
        <is>
          <t>RAGUNDA</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41423-2025</t>
        </is>
      </c>
      <c r="B540" s="1" t="n">
        <v>45901.38578703703</v>
      </c>
      <c r="C540" s="1" t="n">
        <v>46042</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19404-2025</t>
        </is>
      </c>
      <c r="B541" s="1" t="n">
        <v>45769.67802083334</v>
      </c>
      <c r="C541" s="1" t="n">
        <v>46042</v>
      </c>
      <c r="D541" t="inlineStr">
        <is>
          <t>JÄMTLANDS LÄN</t>
        </is>
      </c>
      <c r="E541" t="inlineStr">
        <is>
          <t>RAGUNDA</t>
        </is>
      </c>
      <c r="F541" t="inlineStr">
        <is>
          <t>SCA</t>
        </is>
      </c>
      <c r="G541" t="n">
        <v>3</v>
      </c>
      <c r="H541" t="n">
        <v>0</v>
      </c>
      <c r="I541" t="n">
        <v>0</v>
      </c>
      <c r="J541" t="n">
        <v>0</v>
      </c>
      <c r="K541" t="n">
        <v>0</v>
      </c>
      <c r="L541" t="n">
        <v>0</v>
      </c>
      <c r="M541" t="n">
        <v>0</v>
      </c>
      <c r="N541" t="n">
        <v>0</v>
      </c>
      <c r="O541" t="n">
        <v>0</v>
      </c>
      <c r="P541" t="n">
        <v>0</v>
      </c>
      <c r="Q541" t="n">
        <v>0</v>
      </c>
      <c r="R541" s="2" t="inlineStr"/>
      <c r="U541">
        <f>HYPERLINK("https://klasma.github.io/Logging_2303/knärot/A 19404-2025 karta knärot.png", "A 19404-2025")</f>
        <v/>
      </c>
      <c r="V541">
        <f>HYPERLINK("https://klasma.github.io/Logging_2303/klagomål/A 19404-2025 FSC-klagomål.docx", "A 19404-2025")</f>
        <v/>
      </c>
      <c r="W541">
        <f>HYPERLINK("https://klasma.github.io/Logging_2303/klagomålsmail/A 19404-2025 FSC-klagomål mail.docx", "A 19404-2025")</f>
        <v/>
      </c>
      <c r="X541">
        <f>HYPERLINK("https://klasma.github.io/Logging_2303/tillsyn/A 19404-2025 tillsynsbegäran.docx", "A 19404-2025")</f>
        <v/>
      </c>
      <c r="Y541">
        <f>HYPERLINK("https://klasma.github.io/Logging_2303/tillsynsmail/A 19404-2025 tillsynsbegäran mail.docx", "A 19404-2025")</f>
        <v/>
      </c>
    </row>
    <row r="542" ht="15" customHeight="1">
      <c r="A542" t="inlineStr">
        <is>
          <t>A 18777-2024</t>
        </is>
      </c>
      <c r="B542" s="1" t="n">
        <v>45426</v>
      </c>
      <c r="C542" s="1" t="n">
        <v>46042</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41424-2025</t>
        </is>
      </c>
      <c r="B543" s="1" t="n">
        <v>45901.38584490741</v>
      </c>
      <c r="C543" s="1" t="n">
        <v>46042</v>
      </c>
      <c r="D543" t="inlineStr">
        <is>
          <t>JÄMTLANDS LÄN</t>
        </is>
      </c>
      <c r="E543" t="inlineStr">
        <is>
          <t>RAGUNDA</t>
        </is>
      </c>
      <c r="G543" t="n">
        <v>3</v>
      </c>
      <c r="H543" t="n">
        <v>0</v>
      </c>
      <c r="I543" t="n">
        <v>0</v>
      </c>
      <c r="J543" t="n">
        <v>0</v>
      </c>
      <c r="K543" t="n">
        <v>0</v>
      </c>
      <c r="L543" t="n">
        <v>0</v>
      </c>
      <c r="M543" t="n">
        <v>0</v>
      </c>
      <c r="N543" t="n">
        <v>0</v>
      </c>
      <c r="O543" t="n">
        <v>0</v>
      </c>
      <c r="P543" t="n">
        <v>0</v>
      </c>
      <c r="Q543" t="n">
        <v>0</v>
      </c>
      <c r="R543" s="2" t="inlineStr"/>
    </row>
    <row r="544" ht="15" customHeight="1">
      <c r="A544" t="inlineStr">
        <is>
          <t>A 58564-2024</t>
        </is>
      </c>
      <c r="B544" s="1" t="n">
        <v>45635.47243055556</v>
      </c>
      <c r="C544" s="1" t="n">
        <v>46042</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41140-2025</t>
        </is>
      </c>
      <c r="B545" s="1" t="n">
        <v>45898.49012731481</v>
      </c>
      <c r="C545" s="1" t="n">
        <v>46042</v>
      </c>
      <c r="D545" t="inlineStr">
        <is>
          <t>JÄMTLANDS LÄN</t>
        </is>
      </c>
      <c r="E545" t="inlineStr">
        <is>
          <t>RAGUNDA</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41422-2025</t>
        </is>
      </c>
      <c r="B546" s="1" t="n">
        <v>45901.38572916666</v>
      </c>
      <c r="C546" s="1" t="n">
        <v>46042</v>
      </c>
      <c r="D546" t="inlineStr">
        <is>
          <t>JÄMTLANDS LÄN</t>
        </is>
      </c>
      <c r="E546" t="inlineStr">
        <is>
          <t>RAGUNDA</t>
        </is>
      </c>
      <c r="G546" t="n">
        <v>4.3</v>
      </c>
      <c r="H546" t="n">
        <v>0</v>
      </c>
      <c r="I546" t="n">
        <v>0</v>
      </c>
      <c r="J546" t="n">
        <v>0</v>
      </c>
      <c r="K546" t="n">
        <v>0</v>
      </c>
      <c r="L546" t="n">
        <v>0</v>
      </c>
      <c r="M546" t="n">
        <v>0</v>
      </c>
      <c r="N546" t="n">
        <v>0</v>
      </c>
      <c r="O546" t="n">
        <v>0</v>
      </c>
      <c r="P546" t="n">
        <v>0</v>
      </c>
      <c r="Q546" t="n">
        <v>0</v>
      </c>
      <c r="R546" s="2" t="inlineStr"/>
    </row>
    <row r="547" ht="15" customHeight="1">
      <c r="A547" t="inlineStr">
        <is>
          <t>A 8243-2024</t>
        </is>
      </c>
      <c r="B547" s="1" t="n">
        <v>45351.98532407408</v>
      </c>
      <c r="C547" s="1" t="n">
        <v>46042</v>
      </c>
      <c r="D547" t="inlineStr">
        <is>
          <t>JÄMTLANDS LÄN</t>
        </is>
      </c>
      <c r="E547" t="inlineStr">
        <is>
          <t>RAGUNDA</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41876-2025</t>
        </is>
      </c>
      <c r="B548" s="1" t="n">
        <v>45903.34555555556</v>
      </c>
      <c r="C548" s="1" t="n">
        <v>46042</v>
      </c>
      <c r="D548" t="inlineStr">
        <is>
          <t>JÄMTLANDS LÄN</t>
        </is>
      </c>
      <c r="E548" t="inlineStr">
        <is>
          <t>RAGUNDA</t>
        </is>
      </c>
      <c r="G548" t="n">
        <v>2</v>
      </c>
      <c r="H548" t="n">
        <v>0</v>
      </c>
      <c r="I548" t="n">
        <v>0</v>
      </c>
      <c r="J548" t="n">
        <v>0</v>
      </c>
      <c r="K548" t="n">
        <v>0</v>
      </c>
      <c r="L548" t="n">
        <v>0</v>
      </c>
      <c r="M548" t="n">
        <v>0</v>
      </c>
      <c r="N548" t="n">
        <v>0</v>
      </c>
      <c r="O548" t="n">
        <v>0</v>
      </c>
      <c r="P548" t="n">
        <v>0</v>
      </c>
      <c r="Q548" t="n">
        <v>0</v>
      </c>
      <c r="R548" s="2" t="inlineStr"/>
    </row>
    <row r="549" ht="15" customHeight="1">
      <c r="A549" t="inlineStr">
        <is>
          <t>A 1325-2025</t>
        </is>
      </c>
      <c r="B549" s="1" t="n">
        <v>45667.57342592593</v>
      </c>
      <c r="C549" s="1" t="n">
        <v>46042</v>
      </c>
      <c r="D549" t="inlineStr">
        <is>
          <t>JÄMTLANDS LÄN</t>
        </is>
      </c>
      <c r="E549" t="inlineStr">
        <is>
          <t>RAGUNDA</t>
        </is>
      </c>
      <c r="F549" t="inlineStr">
        <is>
          <t>SCA</t>
        </is>
      </c>
      <c r="G549" t="n">
        <v>20.2</v>
      </c>
      <c r="H549" t="n">
        <v>0</v>
      </c>
      <c r="I549" t="n">
        <v>0</v>
      </c>
      <c r="J549" t="n">
        <v>0</v>
      </c>
      <c r="K549" t="n">
        <v>0</v>
      </c>
      <c r="L549" t="n">
        <v>0</v>
      </c>
      <c r="M549" t="n">
        <v>0</v>
      </c>
      <c r="N549" t="n">
        <v>0</v>
      </c>
      <c r="O549" t="n">
        <v>0</v>
      </c>
      <c r="P549" t="n">
        <v>0</v>
      </c>
      <c r="Q549" t="n">
        <v>0</v>
      </c>
      <c r="R549" s="2" t="inlineStr"/>
    </row>
    <row r="550" ht="15" customHeight="1">
      <c r="A550" t="inlineStr">
        <is>
          <t>A 18159-2023</t>
        </is>
      </c>
      <c r="B550" s="1" t="n">
        <v>45040.94277777777</v>
      </c>
      <c r="C550" s="1" t="n">
        <v>46042</v>
      </c>
      <c r="D550" t="inlineStr">
        <is>
          <t>JÄMTLANDS LÄN</t>
        </is>
      </c>
      <c r="E550" t="inlineStr">
        <is>
          <t>RAGUNDA</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41656-2025</t>
        </is>
      </c>
      <c r="B551" s="1" t="n">
        <v>45902.34423611111</v>
      </c>
      <c r="C551" s="1" t="n">
        <v>46042</v>
      </c>
      <c r="D551" t="inlineStr">
        <is>
          <t>JÄMTLANDS LÄN</t>
        </is>
      </c>
      <c r="E551" t="inlineStr">
        <is>
          <t>RAGUNDA</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18989-2025</t>
        </is>
      </c>
      <c r="B552" s="1" t="n">
        <v>45764</v>
      </c>
      <c r="C552" s="1" t="n">
        <v>46042</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19486-2024</t>
        </is>
      </c>
      <c r="B553" s="1" t="n">
        <v>45429</v>
      </c>
      <c r="C553" s="1" t="n">
        <v>46042</v>
      </c>
      <c r="D553" t="inlineStr">
        <is>
          <t>JÄMTLANDS LÄN</t>
        </is>
      </c>
      <c r="E553" t="inlineStr">
        <is>
          <t>RAGUNDA</t>
        </is>
      </c>
      <c r="G553" t="n">
        <v>2.3</v>
      </c>
      <c r="H553" t="n">
        <v>0</v>
      </c>
      <c r="I553" t="n">
        <v>0</v>
      </c>
      <c r="J553" t="n">
        <v>0</v>
      </c>
      <c r="K553" t="n">
        <v>0</v>
      </c>
      <c r="L553" t="n">
        <v>0</v>
      </c>
      <c r="M553" t="n">
        <v>0</v>
      </c>
      <c r="N553" t="n">
        <v>0</v>
      </c>
      <c r="O553" t="n">
        <v>0</v>
      </c>
      <c r="P553" t="n">
        <v>0</v>
      </c>
      <c r="Q553" t="n">
        <v>0</v>
      </c>
      <c r="R553" s="2" t="inlineStr"/>
    </row>
    <row r="554" ht="15" customHeight="1">
      <c r="A554" t="inlineStr">
        <is>
          <t>A 1326-2025</t>
        </is>
      </c>
      <c r="B554" s="1" t="n">
        <v>45667.57347222222</v>
      </c>
      <c r="C554" s="1" t="n">
        <v>46042</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30642-2024</t>
        </is>
      </c>
      <c r="B555" s="1" t="n">
        <v>45495.57677083334</v>
      </c>
      <c r="C555" s="1" t="n">
        <v>46042</v>
      </c>
      <c r="D555" t="inlineStr">
        <is>
          <t>JÄMTLANDS LÄN</t>
        </is>
      </c>
      <c r="E555" t="inlineStr">
        <is>
          <t>RAGUNDA</t>
        </is>
      </c>
      <c r="G555" t="n">
        <v>2.7</v>
      </c>
      <c r="H555" t="n">
        <v>0</v>
      </c>
      <c r="I555" t="n">
        <v>0</v>
      </c>
      <c r="J555" t="n">
        <v>0</v>
      </c>
      <c r="K555" t="n">
        <v>0</v>
      </c>
      <c r="L555" t="n">
        <v>0</v>
      </c>
      <c r="M555" t="n">
        <v>0</v>
      </c>
      <c r="N555" t="n">
        <v>0</v>
      </c>
      <c r="O555" t="n">
        <v>0</v>
      </c>
      <c r="P555" t="n">
        <v>0</v>
      </c>
      <c r="Q555" t="n">
        <v>0</v>
      </c>
      <c r="R555" s="2" t="inlineStr"/>
    </row>
    <row r="556" ht="15" customHeight="1">
      <c r="A556" t="inlineStr">
        <is>
          <t>A 993-2025</t>
        </is>
      </c>
      <c r="B556" s="1" t="n">
        <v>45666.44943287037</v>
      </c>
      <c r="C556" s="1" t="n">
        <v>46042</v>
      </c>
      <c r="D556" t="inlineStr">
        <is>
          <t>JÄMTLANDS LÄN</t>
        </is>
      </c>
      <c r="E556" t="inlineStr">
        <is>
          <t>RAGUNDA</t>
        </is>
      </c>
      <c r="G556" t="n">
        <v>11.3</v>
      </c>
      <c r="H556" t="n">
        <v>0</v>
      </c>
      <c r="I556" t="n">
        <v>0</v>
      </c>
      <c r="J556" t="n">
        <v>0</v>
      </c>
      <c r="K556" t="n">
        <v>0</v>
      </c>
      <c r="L556" t="n">
        <v>0</v>
      </c>
      <c r="M556" t="n">
        <v>0</v>
      </c>
      <c r="N556" t="n">
        <v>0</v>
      </c>
      <c r="O556" t="n">
        <v>0</v>
      </c>
      <c r="P556" t="n">
        <v>0</v>
      </c>
      <c r="Q556" t="n">
        <v>0</v>
      </c>
      <c r="R556" s="2" t="inlineStr"/>
    </row>
    <row r="557" ht="15" customHeight="1">
      <c r="A557" t="inlineStr">
        <is>
          <t>A 58193-2022</t>
        </is>
      </c>
      <c r="B557" s="1" t="n">
        <v>44900.95700231481</v>
      </c>
      <c r="C557" s="1" t="n">
        <v>46042</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28081-2022</t>
        </is>
      </c>
      <c r="B558" s="1" t="n">
        <v>44746</v>
      </c>
      <c r="C558" s="1" t="n">
        <v>46042</v>
      </c>
      <c r="D558" t="inlineStr">
        <is>
          <t>JÄMTLANDS LÄN</t>
        </is>
      </c>
      <c r="E558" t="inlineStr">
        <is>
          <t>RAGUNDA</t>
        </is>
      </c>
      <c r="G558" t="n">
        <v>7.2</v>
      </c>
      <c r="H558" t="n">
        <v>0</v>
      </c>
      <c r="I558" t="n">
        <v>0</v>
      </c>
      <c r="J558" t="n">
        <v>0</v>
      </c>
      <c r="K558" t="n">
        <v>0</v>
      </c>
      <c r="L558" t="n">
        <v>0</v>
      </c>
      <c r="M558" t="n">
        <v>0</v>
      </c>
      <c r="N558" t="n">
        <v>0</v>
      </c>
      <c r="O558" t="n">
        <v>0</v>
      </c>
      <c r="P558" t="n">
        <v>0</v>
      </c>
      <c r="Q558" t="n">
        <v>0</v>
      </c>
      <c r="R558" s="2" t="inlineStr"/>
    </row>
    <row r="559" ht="15" customHeight="1">
      <c r="A559" t="inlineStr">
        <is>
          <t>A 42269-2025</t>
        </is>
      </c>
      <c r="B559" s="1" t="n">
        <v>45904.60431712963</v>
      </c>
      <c r="C559" s="1" t="n">
        <v>46042</v>
      </c>
      <c r="D559" t="inlineStr">
        <is>
          <t>JÄMTLANDS LÄN</t>
        </is>
      </c>
      <c r="E559" t="inlineStr">
        <is>
          <t>RAGUNDA</t>
        </is>
      </c>
      <c r="G559" t="n">
        <v>4.3</v>
      </c>
      <c r="H559" t="n">
        <v>0</v>
      </c>
      <c r="I559" t="n">
        <v>0</v>
      </c>
      <c r="J559" t="n">
        <v>0</v>
      </c>
      <c r="K559" t="n">
        <v>0</v>
      </c>
      <c r="L559" t="n">
        <v>0</v>
      </c>
      <c r="M559" t="n">
        <v>0</v>
      </c>
      <c r="N559" t="n">
        <v>0</v>
      </c>
      <c r="O559" t="n">
        <v>0</v>
      </c>
      <c r="P559" t="n">
        <v>0</v>
      </c>
      <c r="Q559" t="n">
        <v>0</v>
      </c>
      <c r="R559" s="2" t="inlineStr"/>
    </row>
    <row r="560" ht="15" customHeight="1">
      <c r="A560" t="inlineStr">
        <is>
          <t>A 51049-2024</t>
        </is>
      </c>
      <c r="B560" s="1" t="n">
        <v>45603.44644675926</v>
      </c>
      <c r="C560" s="1" t="n">
        <v>46042</v>
      </c>
      <c r="D560" t="inlineStr">
        <is>
          <t>JÄMTLANDS LÄN</t>
        </is>
      </c>
      <c r="E560" t="inlineStr">
        <is>
          <t>RAGUNDA</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44759-2024</t>
        </is>
      </c>
      <c r="B561" s="1" t="n">
        <v>45574.61634259259</v>
      </c>
      <c r="C561" s="1" t="n">
        <v>46042</v>
      </c>
      <c r="D561" t="inlineStr">
        <is>
          <t>JÄMTLANDS LÄN</t>
        </is>
      </c>
      <c r="E561" t="inlineStr">
        <is>
          <t>RAGUNDA</t>
        </is>
      </c>
      <c r="G561" t="n">
        <v>1.9</v>
      </c>
      <c r="H561" t="n">
        <v>0</v>
      </c>
      <c r="I561" t="n">
        <v>0</v>
      </c>
      <c r="J561" t="n">
        <v>0</v>
      </c>
      <c r="K561" t="n">
        <v>0</v>
      </c>
      <c r="L561" t="n">
        <v>0</v>
      </c>
      <c r="M561" t="n">
        <v>0</v>
      </c>
      <c r="N561" t="n">
        <v>0</v>
      </c>
      <c r="O561" t="n">
        <v>0</v>
      </c>
      <c r="P561" t="n">
        <v>0</v>
      </c>
      <c r="Q561" t="n">
        <v>0</v>
      </c>
      <c r="R561" s="2" t="inlineStr"/>
    </row>
    <row r="562" ht="15" customHeight="1">
      <c r="A562" t="inlineStr">
        <is>
          <t>A 37324-2022</t>
        </is>
      </c>
      <c r="B562" s="1" t="n">
        <v>44806</v>
      </c>
      <c r="C562" s="1" t="n">
        <v>46042</v>
      </c>
      <c r="D562" t="inlineStr">
        <is>
          <t>JÄMTLANDS LÄN</t>
        </is>
      </c>
      <c r="E562" t="inlineStr">
        <is>
          <t>RAGUNDA</t>
        </is>
      </c>
      <c r="G562" t="n">
        <v>2.3</v>
      </c>
      <c r="H562" t="n">
        <v>0</v>
      </c>
      <c r="I562" t="n">
        <v>0</v>
      </c>
      <c r="J562" t="n">
        <v>0</v>
      </c>
      <c r="K562" t="n">
        <v>0</v>
      </c>
      <c r="L562" t="n">
        <v>0</v>
      </c>
      <c r="M562" t="n">
        <v>0</v>
      </c>
      <c r="N562" t="n">
        <v>0</v>
      </c>
      <c r="O562" t="n">
        <v>0</v>
      </c>
      <c r="P562" t="n">
        <v>0</v>
      </c>
      <c r="Q562" t="n">
        <v>0</v>
      </c>
      <c r="R562" s="2" t="inlineStr"/>
    </row>
    <row r="563" ht="15" customHeight="1">
      <c r="A563" t="inlineStr">
        <is>
          <t>A 28637-2025</t>
        </is>
      </c>
      <c r="B563" s="1" t="n">
        <v>45819.6359375</v>
      </c>
      <c r="C563" s="1" t="n">
        <v>46042</v>
      </c>
      <c r="D563" t="inlineStr">
        <is>
          <t>JÄMTLANDS LÄN</t>
        </is>
      </c>
      <c r="E563" t="inlineStr">
        <is>
          <t>RAGUNDA</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41343-2024</t>
        </is>
      </c>
      <c r="B564" s="1" t="n">
        <v>45559.67745370371</v>
      </c>
      <c r="C564" s="1" t="n">
        <v>46042</v>
      </c>
      <c r="D564" t="inlineStr">
        <is>
          <t>JÄMTLANDS LÄN</t>
        </is>
      </c>
      <c r="E564" t="inlineStr">
        <is>
          <t>RAGUNDA</t>
        </is>
      </c>
      <c r="F564" t="inlineStr">
        <is>
          <t>SCA</t>
        </is>
      </c>
      <c r="G564" t="n">
        <v>25.1</v>
      </c>
      <c r="H564" t="n">
        <v>0</v>
      </c>
      <c r="I564" t="n">
        <v>0</v>
      </c>
      <c r="J564" t="n">
        <v>0</v>
      </c>
      <c r="K564" t="n">
        <v>0</v>
      </c>
      <c r="L564" t="n">
        <v>0</v>
      </c>
      <c r="M564" t="n">
        <v>0</v>
      </c>
      <c r="N564" t="n">
        <v>0</v>
      </c>
      <c r="O564" t="n">
        <v>0</v>
      </c>
      <c r="P564" t="n">
        <v>0</v>
      </c>
      <c r="Q564" t="n">
        <v>0</v>
      </c>
      <c r="R564" s="2" t="inlineStr"/>
    </row>
    <row r="565" ht="15" customHeight="1">
      <c r="A565" t="inlineStr">
        <is>
          <t>A 45953-2023</t>
        </is>
      </c>
      <c r="B565" s="1" t="n">
        <v>45195.94672453704</v>
      </c>
      <c r="C565" s="1" t="n">
        <v>46042</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16982-2024</t>
        </is>
      </c>
      <c r="B566" s="1" t="n">
        <v>45412.02506944445</v>
      </c>
      <c r="C566" s="1" t="n">
        <v>46042</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28973-2025</t>
        </is>
      </c>
      <c r="B567" s="1" t="n">
        <v>45821.34513888889</v>
      </c>
      <c r="C567" s="1" t="n">
        <v>46042</v>
      </c>
      <c r="D567" t="inlineStr">
        <is>
          <t>JÄMTLANDS LÄN</t>
        </is>
      </c>
      <c r="E567" t="inlineStr">
        <is>
          <t>RAGUNDA</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49650-2024</t>
        </is>
      </c>
      <c r="B568" s="1" t="n">
        <v>45596.61569444444</v>
      </c>
      <c r="C568" s="1" t="n">
        <v>46042</v>
      </c>
      <c r="D568" t="inlineStr">
        <is>
          <t>JÄMTLANDS LÄN</t>
        </is>
      </c>
      <c r="E568" t="inlineStr">
        <is>
          <t>RAGUNDA</t>
        </is>
      </c>
      <c r="F568" t="inlineStr">
        <is>
          <t>Naturvårdsverket</t>
        </is>
      </c>
      <c r="G568" t="n">
        <v>3</v>
      </c>
      <c r="H568" t="n">
        <v>0</v>
      </c>
      <c r="I568" t="n">
        <v>0</v>
      </c>
      <c r="J568" t="n">
        <v>0</v>
      </c>
      <c r="K568" t="n">
        <v>0</v>
      </c>
      <c r="L568" t="n">
        <v>0</v>
      </c>
      <c r="M568" t="n">
        <v>0</v>
      </c>
      <c r="N568" t="n">
        <v>0</v>
      </c>
      <c r="O568" t="n">
        <v>0</v>
      </c>
      <c r="P568" t="n">
        <v>0</v>
      </c>
      <c r="Q568" t="n">
        <v>0</v>
      </c>
      <c r="R568" s="2" t="inlineStr"/>
    </row>
    <row r="569" ht="15" customHeight="1">
      <c r="A569" t="inlineStr">
        <is>
          <t>A 49651-2024</t>
        </is>
      </c>
      <c r="B569" s="1" t="n">
        <v>45596.61582175926</v>
      </c>
      <c r="C569" s="1" t="n">
        <v>46042</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33763-2025</t>
        </is>
      </c>
      <c r="B570" s="1" t="n">
        <v>45842.38579861111</v>
      </c>
      <c r="C570" s="1" t="n">
        <v>46042</v>
      </c>
      <c r="D570" t="inlineStr">
        <is>
          <t>JÄMTLANDS LÄN</t>
        </is>
      </c>
      <c r="E570" t="inlineStr">
        <is>
          <t>RAGUNDA</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29731-2025</t>
        </is>
      </c>
      <c r="B571" s="1" t="n">
        <v>45825.58252314815</v>
      </c>
      <c r="C571" s="1" t="n">
        <v>46042</v>
      </c>
      <c r="D571" t="inlineStr">
        <is>
          <t>JÄMTLANDS LÄN</t>
        </is>
      </c>
      <c r="E571" t="inlineStr">
        <is>
          <t>RAGUNDA</t>
        </is>
      </c>
      <c r="G571" t="n">
        <v>2.3</v>
      </c>
      <c r="H571" t="n">
        <v>0</v>
      </c>
      <c r="I571" t="n">
        <v>0</v>
      </c>
      <c r="J571" t="n">
        <v>0</v>
      </c>
      <c r="K571" t="n">
        <v>0</v>
      </c>
      <c r="L571" t="n">
        <v>0</v>
      </c>
      <c r="M571" t="n">
        <v>0</v>
      </c>
      <c r="N571" t="n">
        <v>0</v>
      </c>
      <c r="O571" t="n">
        <v>0</v>
      </c>
      <c r="P571" t="n">
        <v>0</v>
      </c>
      <c r="Q571" t="n">
        <v>0</v>
      </c>
      <c r="R571" s="2" t="inlineStr"/>
    </row>
    <row r="572" ht="15" customHeight="1">
      <c r="A572" t="inlineStr">
        <is>
          <t>A 64264-2023</t>
        </is>
      </c>
      <c r="B572" s="1" t="n">
        <v>45279.94564814815</v>
      </c>
      <c r="C572" s="1" t="n">
        <v>46042</v>
      </c>
      <c r="D572" t="inlineStr">
        <is>
          <t>JÄMTLANDS LÄN</t>
        </is>
      </c>
      <c r="E572" t="inlineStr">
        <is>
          <t>RAGUNDA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43177-2025</t>
        </is>
      </c>
      <c r="B573" s="1" t="n">
        <v>45910.40667824074</v>
      </c>
      <c r="C573" s="1" t="n">
        <v>46042</v>
      </c>
      <c r="D573" t="inlineStr">
        <is>
          <t>JÄMTLANDS LÄN</t>
        </is>
      </c>
      <c r="E573" t="inlineStr">
        <is>
          <t>RAGUNDA</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43181-2025</t>
        </is>
      </c>
      <c r="B574" s="1" t="n">
        <v>45910.40721064815</v>
      </c>
      <c r="C574" s="1" t="n">
        <v>46042</v>
      </c>
      <c r="D574" t="inlineStr">
        <is>
          <t>JÄMTLANDS LÄN</t>
        </is>
      </c>
      <c r="E574" t="inlineStr">
        <is>
          <t>RAGUNDA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29723-2025</t>
        </is>
      </c>
      <c r="B575" s="1" t="n">
        <v>45825.57675925926</v>
      </c>
      <c r="C575" s="1" t="n">
        <v>46042</v>
      </c>
      <c r="D575" t="inlineStr">
        <is>
          <t>JÄMTLANDS LÄN</t>
        </is>
      </c>
      <c r="E575" t="inlineStr">
        <is>
          <t>RAGUNDA</t>
        </is>
      </c>
      <c r="G575" t="n">
        <v>3.1</v>
      </c>
      <c r="H575" t="n">
        <v>0</v>
      </c>
      <c r="I575" t="n">
        <v>0</v>
      </c>
      <c r="J575" t="n">
        <v>0</v>
      </c>
      <c r="K575" t="n">
        <v>0</v>
      </c>
      <c r="L575" t="n">
        <v>0</v>
      </c>
      <c r="M575" t="n">
        <v>0</v>
      </c>
      <c r="N575" t="n">
        <v>0</v>
      </c>
      <c r="O575" t="n">
        <v>0</v>
      </c>
      <c r="P575" t="n">
        <v>0</v>
      </c>
      <c r="Q575" t="n">
        <v>0</v>
      </c>
      <c r="R575" s="2" t="inlineStr"/>
    </row>
    <row r="576" ht="15" customHeight="1">
      <c r="A576" t="inlineStr">
        <is>
          <t>A 43330-2025</t>
        </is>
      </c>
      <c r="B576" s="1" t="n">
        <v>45910.67766203704</v>
      </c>
      <c r="C576" s="1" t="n">
        <v>46042</v>
      </c>
      <c r="D576" t="inlineStr">
        <is>
          <t>JÄMTLANDS LÄN</t>
        </is>
      </c>
      <c r="E576" t="inlineStr">
        <is>
          <t>RAGUNDA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42893-2022</t>
        </is>
      </c>
      <c r="B577" s="1" t="n">
        <v>44832</v>
      </c>
      <c r="C577" s="1" t="n">
        <v>46042</v>
      </c>
      <c r="D577" t="inlineStr">
        <is>
          <t>JÄMTLANDS LÄN</t>
        </is>
      </c>
      <c r="E577" t="inlineStr">
        <is>
          <t>RAGUNDA</t>
        </is>
      </c>
      <c r="F577" t="inlineStr">
        <is>
          <t>SCA</t>
        </is>
      </c>
      <c r="G577" t="n">
        <v>28.4</v>
      </c>
      <c r="H577" t="n">
        <v>0</v>
      </c>
      <c r="I577" t="n">
        <v>0</v>
      </c>
      <c r="J577" t="n">
        <v>0</v>
      </c>
      <c r="K577" t="n">
        <v>0</v>
      </c>
      <c r="L577" t="n">
        <v>0</v>
      </c>
      <c r="M577" t="n">
        <v>0</v>
      </c>
      <c r="N577" t="n">
        <v>0</v>
      </c>
      <c r="O577" t="n">
        <v>0</v>
      </c>
      <c r="P577" t="n">
        <v>0</v>
      </c>
      <c r="Q577" t="n">
        <v>0</v>
      </c>
      <c r="R577" s="2" t="inlineStr"/>
    </row>
    <row r="578" ht="15" customHeight="1">
      <c r="A578" t="inlineStr">
        <is>
          <t>A 30088-2025</t>
        </is>
      </c>
      <c r="B578" s="1" t="n">
        <v>45826.65759259259</v>
      </c>
      <c r="C578" s="1" t="n">
        <v>46042</v>
      </c>
      <c r="D578" t="inlineStr">
        <is>
          <t>JÄMTLANDS LÄN</t>
        </is>
      </c>
      <c r="E578" t="inlineStr">
        <is>
          <t>RAGUNDA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30348-2025</t>
        </is>
      </c>
      <c r="B579" s="1" t="n">
        <v>45827.53178240741</v>
      </c>
      <c r="C579" s="1" t="n">
        <v>46042</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29940-2023</t>
        </is>
      </c>
      <c r="B580" s="1" t="n">
        <v>45107</v>
      </c>
      <c r="C580" s="1" t="n">
        <v>46042</v>
      </c>
      <c r="D580" t="inlineStr">
        <is>
          <t>JÄMTLANDS LÄN</t>
        </is>
      </c>
      <c r="E580" t="inlineStr">
        <is>
          <t>RAGUNDA</t>
        </is>
      </c>
      <c r="G580" t="n">
        <v>13.5</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46042</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46042</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46042</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30434-2025</t>
        </is>
      </c>
      <c r="B584" s="1" t="n">
        <v>45827.63582175926</v>
      </c>
      <c r="C584" s="1" t="n">
        <v>46042</v>
      </c>
      <c r="D584" t="inlineStr">
        <is>
          <t>JÄMTLANDS LÄN</t>
        </is>
      </c>
      <c r="E584" t="inlineStr">
        <is>
          <t>RAGUNDA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23303-2024</t>
        </is>
      </c>
      <c r="B585" s="1" t="n">
        <v>45453.4444212963</v>
      </c>
      <c r="C585" s="1" t="n">
        <v>46042</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179-2025</t>
        </is>
      </c>
      <c r="B586" s="1" t="n">
        <v>45659.69822916666</v>
      </c>
      <c r="C586" s="1" t="n">
        <v>46042</v>
      </c>
      <c r="D586" t="inlineStr">
        <is>
          <t>JÄMTLANDS LÄN</t>
        </is>
      </c>
      <c r="E586" t="inlineStr">
        <is>
          <t>RAGUNDA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31463-2024</t>
        </is>
      </c>
      <c r="B587" s="1" t="n">
        <v>45505</v>
      </c>
      <c r="C587" s="1" t="n">
        <v>46042</v>
      </c>
      <c r="D587" t="inlineStr">
        <is>
          <t>JÄMTLANDS LÄN</t>
        </is>
      </c>
      <c r="E587" t="inlineStr">
        <is>
          <t>RAGUNDA</t>
        </is>
      </c>
      <c r="F587" t="inlineStr">
        <is>
          <t>SCA</t>
        </is>
      </c>
      <c r="G587" t="n">
        <v>20.3</v>
      </c>
      <c r="H587" t="n">
        <v>0</v>
      </c>
      <c r="I587" t="n">
        <v>0</v>
      </c>
      <c r="J587" t="n">
        <v>0</v>
      </c>
      <c r="K587" t="n">
        <v>0</v>
      </c>
      <c r="L587" t="n">
        <v>0</v>
      </c>
      <c r="M587" t="n">
        <v>0</v>
      </c>
      <c r="N587" t="n">
        <v>0</v>
      </c>
      <c r="O587" t="n">
        <v>0</v>
      </c>
      <c r="P587" t="n">
        <v>0</v>
      </c>
      <c r="Q587" t="n">
        <v>0</v>
      </c>
      <c r="R587" s="2" t="inlineStr"/>
    </row>
    <row r="588" ht="15" customHeight="1">
      <c r="A588" t="inlineStr">
        <is>
          <t>A 22412-2024</t>
        </is>
      </c>
      <c r="B588" s="1" t="n">
        <v>45446.68947916666</v>
      </c>
      <c r="C588" s="1" t="n">
        <v>46042</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13334-2024</t>
        </is>
      </c>
      <c r="B589" s="1" t="n">
        <v>45386</v>
      </c>
      <c r="C589" s="1" t="n">
        <v>46042</v>
      </c>
      <c r="D589" t="inlineStr">
        <is>
          <t>JÄMTLANDS LÄN</t>
        </is>
      </c>
      <c r="E589" t="inlineStr">
        <is>
          <t>RAGUNDA</t>
        </is>
      </c>
      <c r="G589" t="n">
        <v>8.6</v>
      </c>
      <c r="H589" t="n">
        <v>0</v>
      </c>
      <c r="I589" t="n">
        <v>0</v>
      </c>
      <c r="J589" t="n">
        <v>0</v>
      </c>
      <c r="K589" t="n">
        <v>0</v>
      </c>
      <c r="L589" t="n">
        <v>0</v>
      </c>
      <c r="M589" t="n">
        <v>0</v>
      </c>
      <c r="N589" t="n">
        <v>0</v>
      </c>
      <c r="O589" t="n">
        <v>0</v>
      </c>
      <c r="P589" t="n">
        <v>0</v>
      </c>
      <c r="Q589" t="n">
        <v>0</v>
      </c>
      <c r="R589" s="2" t="inlineStr"/>
    </row>
    <row r="590" ht="15" customHeight="1">
      <c r="A590" t="inlineStr">
        <is>
          <t>A 60443-2023</t>
        </is>
      </c>
      <c r="B590" s="1" t="n">
        <v>45258</v>
      </c>
      <c r="C590" s="1" t="n">
        <v>46042</v>
      </c>
      <c r="D590" t="inlineStr">
        <is>
          <t>JÄMTLANDS LÄN</t>
        </is>
      </c>
      <c r="E590" t="inlineStr">
        <is>
          <t>RAGUNDA</t>
        </is>
      </c>
      <c r="G590" t="n">
        <v>2.9</v>
      </c>
      <c r="H590" t="n">
        <v>0</v>
      </c>
      <c r="I590" t="n">
        <v>0</v>
      </c>
      <c r="J590" t="n">
        <v>0</v>
      </c>
      <c r="K590" t="n">
        <v>0</v>
      </c>
      <c r="L590" t="n">
        <v>0</v>
      </c>
      <c r="M590" t="n">
        <v>0</v>
      </c>
      <c r="N590" t="n">
        <v>0</v>
      </c>
      <c r="O590" t="n">
        <v>0</v>
      </c>
      <c r="P590" t="n">
        <v>0</v>
      </c>
      <c r="Q590" t="n">
        <v>0</v>
      </c>
      <c r="R590" s="2" t="inlineStr"/>
    </row>
    <row r="591" ht="15" customHeight="1">
      <c r="A591" t="inlineStr">
        <is>
          <t>A 21726-2023</t>
        </is>
      </c>
      <c r="B591" s="1" t="n">
        <v>45065.42894675926</v>
      </c>
      <c r="C591" s="1" t="n">
        <v>46042</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30887-2025</t>
        </is>
      </c>
      <c r="B592" s="1" t="n">
        <v>45832.3459375</v>
      </c>
      <c r="C592" s="1" t="n">
        <v>46042</v>
      </c>
      <c r="D592" t="inlineStr">
        <is>
          <t>JÄMTLANDS LÄN</t>
        </is>
      </c>
      <c r="E592" t="inlineStr">
        <is>
          <t>RAGUNDA</t>
        </is>
      </c>
      <c r="F592" t="inlineStr">
        <is>
          <t>SCA</t>
        </is>
      </c>
      <c r="G592" t="n">
        <v>10.1</v>
      </c>
      <c r="H592" t="n">
        <v>0</v>
      </c>
      <c r="I592" t="n">
        <v>0</v>
      </c>
      <c r="J592" t="n">
        <v>0</v>
      </c>
      <c r="K592" t="n">
        <v>0</v>
      </c>
      <c r="L592" t="n">
        <v>0</v>
      </c>
      <c r="M592" t="n">
        <v>0</v>
      </c>
      <c r="N592" t="n">
        <v>0</v>
      </c>
      <c r="O592" t="n">
        <v>0</v>
      </c>
      <c r="P592" t="n">
        <v>0</v>
      </c>
      <c r="Q592" t="n">
        <v>0</v>
      </c>
      <c r="R592" s="2" t="inlineStr"/>
    </row>
    <row r="593" ht="15" customHeight="1">
      <c r="A593" t="inlineStr">
        <is>
          <t>A 30883-2025</t>
        </is>
      </c>
      <c r="B593" s="1" t="n">
        <v>45832.34552083333</v>
      </c>
      <c r="C593" s="1" t="n">
        <v>46042</v>
      </c>
      <c r="D593" t="inlineStr">
        <is>
          <t>JÄMTLANDS LÄN</t>
        </is>
      </c>
      <c r="E593" t="inlineStr">
        <is>
          <t>RAGUNDA</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45952-2023</t>
        </is>
      </c>
      <c r="B594" s="1" t="n">
        <v>45195</v>
      </c>
      <c r="C594" s="1" t="n">
        <v>46042</v>
      </c>
      <c r="D594" t="inlineStr">
        <is>
          <t>JÄMTLANDS LÄN</t>
        </is>
      </c>
      <c r="E594" t="inlineStr">
        <is>
          <t>RAGUNDA</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45954-2023</t>
        </is>
      </c>
      <c r="B595" s="1" t="n">
        <v>45195.94679398148</v>
      </c>
      <c r="C595" s="1" t="n">
        <v>46042</v>
      </c>
      <c r="D595" t="inlineStr">
        <is>
          <t>JÄMTLANDS LÄN</t>
        </is>
      </c>
      <c r="E595" t="inlineStr">
        <is>
          <t>RAGUNDA</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45955-2023</t>
        </is>
      </c>
      <c r="B596" s="1" t="n">
        <v>45195.94685185186</v>
      </c>
      <c r="C596" s="1" t="n">
        <v>46042</v>
      </c>
      <c r="D596" t="inlineStr">
        <is>
          <t>JÄMTLANDS LÄN</t>
        </is>
      </c>
      <c r="E596" t="inlineStr">
        <is>
          <t>RAGUNDA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60456-2023</t>
        </is>
      </c>
      <c r="B597" s="1" t="n">
        <v>45258</v>
      </c>
      <c r="C597" s="1" t="n">
        <v>46042</v>
      </c>
      <c r="D597" t="inlineStr">
        <is>
          <t>JÄMTLANDS LÄN</t>
        </is>
      </c>
      <c r="E597" t="inlineStr">
        <is>
          <t>RAGUNDA</t>
        </is>
      </c>
      <c r="G597" t="n">
        <v>1.8</v>
      </c>
      <c r="H597" t="n">
        <v>0</v>
      </c>
      <c r="I597" t="n">
        <v>0</v>
      </c>
      <c r="J597" t="n">
        <v>0</v>
      </c>
      <c r="K597" t="n">
        <v>0</v>
      </c>
      <c r="L597" t="n">
        <v>0</v>
      </c>
      <c r="M597" t="n">
        <v>0</v>
      </c>
      <c r="N597" t="n">
        <v>0</v>
      </c>
      <c r="O597" t="n">
        <v>0</v>
      </c>
      <c r="P597" t="n">
        <v>0</v>
      </c>
      <c r="Q597" t="n">
        <v>0</v>
      </c>
      <c r="R597" s="2" t="inlineStr"/>
    </row>
    <row r="598" ht="15" customHeight="1">
      <c r="A598" t="inlineStr">
        <is>
          <t>A 16334-2025</t>
        </is>
      </c>
      <c r="B598" s="1" t="n">
        <v>45751.36490740741</v>
      </c>
      <c r="C598" s="1" t="n">
        <v>46042</v>
      </c>
      <c r="D598" t="inlineStr">
        <is>
          <t>JÄMTLANDS LÄN</t>
        </is>
      </c>
      <c r="E598" t="inlineStr">
        <is>
          <t>RAGUNDA</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58438-2022</t>
        </is>
      </c>
      <c r="B599" s="1" t="n">
        <v>44901</v>
      </c>
      <c r="C599" s="1" t="n">
        <v>46042</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58442-2022</t>
        </is>
      </c>
      <c r="B600" s="1" t="n">
        <v>44901</v>
      </c>
      <c r="C600" s="1" t="n">
        <v>46042</v>
      </c>
      <c r="D600" t="inlineStr">
        <is>
          <t>JÄMTLANDS LÄN</t>
        </is>
      </c>
      <c r="E600" t="inlineStr">
        <is>
          <t>RAGUNDA</t>
        </is>
      </c>
      <c r="F600" t="inlineStr">
        <is>
          <t>SCA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45279-2025</t>
        </is>
      </c>
      <c r="B601" s="1" t="n">
        <v>45919.71912037037</v>
      </c>
      <c r="C601" s="1" t="n">
        <v>46042</v>
      </c>
      <c r="D601" t="inlineStr">
        <is>
          <t>JÄMTLANDS LÄN</t>
        </is>
      </c>
      <c r="E601" t="inlineStr">
        <is>
          <t>RAGUNDA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5806-2025</t>
        </is>
      </c>
      <c r="B602" s="1" t="n">
        <v>45694.69826388889</v>
      </c>
      <c r="C602" s="1" t="n">
        <v>46042</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30880-2025</t>
        </is>
      </c>
      <c r="B603" s="1" t="n">
        <v>45832.34524305556</v>
      </c>
      <c r="C603" s="1" t="n">
        <v>46042</v>
      </c>
      <c r="D603" t="inlineStr">
        <is>
          <t>JÄMTLANDS LÄN</t>
        </is>
      </c>
      <c r="E603" t="inlineStr">
        <is>
          <t>RAGUNDA</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41179-2022</t>
        </is>
      </c>
      <c r="B604" s="1" t="n">
        <v>44825</v>
      </c>
      <c r="C604" s="1" t="n">
        <v>46042</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44954-2025</t>
        </is>
      </c>
      <c r="B605" s="1" t="n">
        <v>45918.61203703703</v>
      </c>
      <c r="C605" s="1" t="n">
        <v>46042</v>
      </c>
      <c r="D605" t="inlineStr">
        <is>
          <t>JÄMTLANDS LÄN</t>
        </is>
      </c>
      <c r="E605" t="inlineStr">
        <is>
          <t>RAGUNDA</t>
        </is>
      </c>
      <c r="G605" t="n">
        <v>3</v>
      </c>
      <c r="H605" t="n">
        <v>0</v>
      </c>
      <c r="I605" t="n">
        <v>0</v>
      </c>
      <c r="J605" t="n">
        <v>0</v>
      </c>
      <c r="K605" t="n">
        <v>0</v>
      </c>
      <c r="L605" t="n">
        <v>0</v>
      </c>
      <c r="M605" t="n">
        <v>0</v>
      </c>
      <c r="N605" t="n">
        <v>0</v>
      </c>
      <c r="O605" t="n">
        <v>0</v>
      </c>
      <c r="P605" t="n">
        <v>0</v>
      </c>
      <c r="Q605" t="n">
        <v>0</v>
      </c>
      <c r="R605" s="2" t="inlineStr"/>
    </row>
    <row r="606" ht="15" customHeight="1">
      <c r="A606" t="inlineStr">
        <is>
          <t>A 32096-2025</t>
        </is>
      </c>
      <c r="B606" s="1" t="n">
        <v>45835.46334490741</v>
      </c>
      <c r="C606" s="1" t="n">
        <v>46042</v>
      </c>
      <c r="D606" t="inlineStr">
        <is>
          <t>JÄMTLANDS LÄN</t>
        </is>
      </c>
      <c r="E606" t="inlineStr">
        <is>
          <t>RAGUNDA</t>
        </is>
      </c>
      <c r="G606" t="n">
        <v>0.9</v>
      </c>
      <c r="H606" t="n">
        <v>0</v>
      </c>
      <c r="I606" t="n">
        <v>0</v>
      </c>
      <c r="J606" t="n">
        <v>0</v>
      </c>
      <c r="K606" t="n">
        <v>0</v>
      </c>
      <c r="L606" t="n">
        <v>0</v>
      </c>
      <c r="M606" t="n">
        <v>0</v>
      </c>
      <c r="N606" t="n">
        <v>0</v>
      </c>
      <c r="O606" t="n">
        <v>0</v>
      </c>
      <c r="P606" t="n">
        <v>0</v>
      </c>
      <c r="Q606" t="n">
        <v>0</v>
      </c>
      <c r="R606" s="2" t="inlineStr"/>
    </row>
    <row r="607" ht="15" customHeight="1">
      <c r="A607" t="inlineStr">
        <is>
          <t>A 32151-2025</t>
        </is>
      </c>
      <c r="B607" s="1" t="n">
        <v>45835.53166666667</v>
      </c>
      <c r="C607" s="1" t="n">
        <v>46042</v>
      </c>
      <c r="D607" t="inlineStr">
        <is>
          <t>JÄMTLANDS LÄN</t>
        </is>
      </c>
      <c r="E607" t="inlineStr">
        <is>
          <t>RAGUNDA</t>
        </is>
      </c>
      <c r="F607" t="inlineStr">
        <is>
          <t>SCA</t>
        </is>
      </c>
      <c r="G607" t="n">
        <v>12.3</v>
      </c>
      <c r="H607" t="n">
        <v>0</v>
      </c>
      <c r="I607" t="n">
        <v>0</v>
      </c>
      <c r="J607" t="n">
        <v>0</v>
      </c>
      <c r="K607" t="n">
        <v>0</v>
      </c>
      <c r="L607" t="n">
        <v>0</v>
      </c>
      <c r="M607" t="n">
        <v>0</v>
      </c>
      <c r="N607" t="n">
        <v>0</v>
      </c>
      <c r="O607" t="n">
        <v>0</v>
      </c>
      <c r="P607" t="n">
        <v>0</v>
      </c>
      <c r="Q607" t="n">
        <v>0</v>
      </c>
      <c r="R607" s="2" t="inlineStr"/>
    </row>
    <row r="608" ht="15" customHeight="1">
      <c r="A608" t="inlineStr">
        <is>
          <t>A 61598-2024</t>
        </is>
      </c>
      <c r="B608" s="1" t="n">
        <v>45646.63605324074</v>
      </c>
      <c r="C608" s="1" t="n">
        <v>46042</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17667-2025</t>
        </is>
      </c>
      <c r="B609" s="1" t="n">
        <v>45758.36487268518</v>
      </c>
      <c r="C609" s="1" t="n">
        <v>46042</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32306-2025</t>
        </is>
      </c>
      <c r="B610" s="1" t="n">
        <v>45835.72046296296</v>
      </c>
      <c r="C610" s="1" t="n">
        <v>46042</v>
      </c>
      <c r="D610" t="inlineStr">
        <is>
          <t>JÄMTLANDS LÄN</t>
        </is>
      </c>
      <c r="E610" t="inlineStr">
        <is>
          <t>RAGUNDA</t>
        </is>
      </c>
      <c r="G610" t="n">
        <v>10.2</v>
      </c>
      <c r="H610" t="n">
        <v>0</v>
      </c>
      <c r="I610" t="n">
        <v>0</v>
      </c>
      <c r="J610" t="n">
        <v>0</v>
      </c>
      <c r="K610" t="n">
        <v>0</v>
      </c>
      <c r="L610" t="n">
        <v>0</v>
      </c>
      <c r="M610" t="n">
        <v>0</v>
      </c>
      <c r="N610" t="n">
        <v>0</v>
      </c>
      <c r="O610" t="n">
        <v>0</v>
      </c>
      <c r="P610" t="n">
        <v>0</v>
      </c>
      <c r="Q610" t="n">
        <v>0</v>
      </c>
      <c r="R610" s="2" t="inlineStr"/>
    </row>
    <row r="611" ht="15" customHeight="1">
      <c r="A611" t="inlineStr">
        <is>
          <t>A 32021-2025</t>
        </is>
      </c>
      <c r="B611" s="1" t="n">
        <v>45835.40668981482</v>
      </c>
      <c r="C611" s="1" t="n">
        <v>46042</v>
      </c>
      <c r="D611" t="inlineStr">
        <is>
          <t>JÄMTLANDS LÄN</t>
        </is>
      </c>
      <c r="E611" t="inlineStr">
        <is>
          <t>RAGUNDA</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31882-2025</t>
        </is>
      </c>
      <c r="B612" s="1" t="n">
        <v>45834.65662037037</v>
      </c>
      <c r="C612" s="1" t="n">
        <v>46042</v>
      </c>
      <c r="D612" t="inlineStr">
        <is>
          <t>JÄMTLANDS LÄN</t>
        </is>
      </c>
      <c r="E612" t="inlineStr">
        <is>
          <t>RAGUNDA</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12405-2025</t>
        </is>
      </c>
      <c r="B613" s="1" t="n">
        <v>45730.42738425926</v>
      </c>
      <c r="C613" s="1" t="n">
        <v>46042</v>
      </c>
      <c r="D613" t="inlineStr">
        <is>
          <t>JÄMTLANDS LÄN</t>
        </is>
      </c>
      <c r="E613" t="inlineStr">
        <is>
          <t>RAGUNDA</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36986-2023</t>
        </is>
      </c>
      <c r="B614" s="1" t="n">
        <v>45154.95525462963</v>
      </c>
      <c r="C614" s="1" t="n">
        <v>46042</v>
      </c>
      <c r="D614" t="inlineStr">
        <is>
          <t>JÄMTLANDS LÄN</t>
        </is>
      </c>
      <c r="E614" t="inlineStr">
        <is>
          <t>RAGUNDA</t>
        </is>
      </c>
      <c r="F614" t="inlineStr">
        <is>
          <t>SCA</t>
        </is>
      </c>
      <c r="G614" t="n">
        <v>0.2</v>
      </c>
      <c r="H614" t="n">
        <v>0</v>
      </c>
      <c r="I614" t="n">
        <v>0</v>
      </c>
      <c r="J614" t="n">
        <v>0</v>
      </c>
      <c r="K614" t="n">
        <v>0</v>
      </c>
      <c r="L614" t="n">
        <v>0</v>
      </c>
      <c r="M614" t="n">
        <v>0</v>
      </c>
      <c r="N614" t="n">
        <v>0</v>
      </c>
      <c r="O614" t="n">
        <v>0</v>
      </c>
      <c r="P614" t="n">
        <v>0</v>
      </c>
      <c r="Q614" t="n">
        <v>0</v>
      </c>
      <c r="R614" s="2" t="inlineStr"/>
    </row>
    <row r="615" ht="15" customHeight="1">
      <c r="A615" t="inlineStr">
        <is>
          <t>A 32796-2025</t>
        </is>
      </c>
      <c r="B615" s="1" t="n">
        <v>45839.49082175926</v>
      </c>
      <c r="C615" s="1" t="n">
        <v>46042</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32655-2025</t>
        </is>
      </c>
      <c r="B616" s="1" t="n">
        <v>45838.67800925926</v>
      </c>
      <c r="C616" s="1" t="n">
        <v>46042</v>
      </c>
      <c r="D616" t="inlineStr">
        <is>
          <t>JÄMTLANDS LÄN</t>
        </is>
      </c>
      <c r="E616" t="inlineStr">
        <is>
          <t>RAGUNDA</t>
        </is>
      </c>
      <c r="G616" t="n">
        <v>2.8</v>
      </c>
      <c r="H616" t="n">
        <v>0</v>
      </c>
      <c r="I616" t="n">
        <v>0</v>
      </c>
      <c r="J616" t="n">
        <v>0</v>
      </c>
      <c r="K616" t="n">
        <v>0</v>
      </c>
      <c r="L616" t="n">
        <v>0</v>
      </c>
      <c r="M616" t="n">
        <v>0</v>
      </c>
      <c r="N616" t="n">
        <v>0</v>
      </c>
      <c r="O616" t="n">
        <v>0</v>
      </c>
      <c r="P616" t="n">
        <v>0</v>
      </c>
      <c r="Q616" t="n">
        <v>0</v>
      </c>
      <c r="R616" s="2" t="inlineStr"/>
    </row>
    <row r="617" ht="15" customHeight="1">
      <c r="A617" t="inlineStr">
        <is>
          <t>A 32751-2025</t>
        </is>
      </c>
      <c r="B617" s="1" t="n">
        <v>45839.42864583333</v>
      </c>
      <c r="C617" s="1" t="n">
        <v>46042</v>
      </c>
      <c r="D617" t="inlineStr">
        <is>
          <t>JÄMTLANDS LÄN</t>
        </is>
      </c>
      <c r="E617" t="inlineStr">
        <is>
          <t>RAGUNDA</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45894-2025</t>
        </is>
      </c>
      <c r="B618" s="1" t="n">
        <v>45923.67765046296</v>
      </c>
      <c r="C618" s="1" t="n">
        <v>46042</v>
      </c>
      <c r="D618" t="inlineStr">
        <is>
          <t>JÄMTLANDS LÄN</t>
        </is>
      </c>
      <c r="E618" t="inlineStr">
        <is>
          <t>RAGUNDA</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32777-2025</t>
        </is>
      </c>
      <c r="B619" s="1" t="n">
        <v>45839.46915509259</v>
      </c>
      <c r="C619" s="1" t="n">
        <v>46042</v>
      </c>
      <c r="D619" t="inlineStr">
        <is>
          <t>JÄMTLANDS LÄN</t>
        </is>
      </c>
      <c r="E619" t="inlineStr">
        <is>
          <t>RAGUNDA</t>
        </is>
      </c>
      <c r="F619" t="inlineStr">
        <is>
          <t>SCA</t>
        </is>
      </c>
      <c r="G619" t="n">
        <v>21.7</v>
      </c>
      <c r="H619" t="n">
        <v>0</v>
      </c>
      <c r="I619" t="n">
        <v>0</v>
      </c>
      <c r="J619" t="n">
        <v>0</v>
      </c>
      <c r="K619" t="n">
        <v>0</v>
      </c>
      <c r="L619" t="n">
        <v>0</v>
      </c>
      <c r="M619" t="n">
        <v>0</v>
      </c>
      <c r="N619" t="n">
        <v>0</v>
      </c>
      <c r="O619" t="n">
        <v>0</v>
      </c>
      <c r="P619" t="n">
        <v>0</v>
      </c>
      <c r="Q619" t="n">
        <v>0</v>
      </c>
      <c r="R619" s="2" t="inlineStr"/>
    </row>
    <row r="620" ht="15" customHeight="1">
      <c r="A620" t="inlineStr">
        <is>
          <t>A 32430-2025</t>
        </is>
      </c>
      <c r="B620" s="1" t="n">
        <v>45838.36532407408</v>
      </c>
      <c r="C620" s="1" t="n">
        <v>46042</v>
      </c>
      <c r="D620" t="inlineStr">
        <is>
          <t>JÄMTLANDS LÄN</t>
        </is>
      </c>
      <c r="E620" t="inlineStr">
        <is>
          <t>RAGUNDA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46192-2025</t>
        </is>
      </c>
      <c r="B621" s="1" t="n">
        <v>45924.67789351852</v>
      </c>
      <c r="C621" s="1" t="n">
        <v>46042</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32747-2025</t>
        </is>
      </c>
      <c r="B622" s="1" t="n">
        <v>45839.42810185185</v>
      </c>
      <c r="C622" s="1" t="n">
        <v>46042</v>
      </c>
      <c r="D622" t="inlineStr">
        <is>
          <t>JÄMTLANDS LÄN</t>
        </is>
      </c>
      <c r="E622" t="inlineStr">
        <is>
          <t>RAGUNDA</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32757-2025</t>
        </is>
      </c>
      <c r="B623" s="1" t="n">
        <v>45838</v>
      </c>
      <c r="C623" s="1" t="n">
        <v>46042</v>
      </c>
      <c r="D623" t="inlineStr">
        <is>
          <t>JÄMTLANDS LÄN</t>
        </is>
      </c>
      <c r="E623" t="inlineStr">
        <is>
          <t>RAGUNDA</t>
        </is>
      </c>
      <c r="G623" t="n">
        <v>4.5</v>
      </c>
      <c r="H623" t="n">
        <v>0</v>
      </c>
      <c r="I623" t="n">
        <v>0</v>
      </c>
      <c r="J623" t="n">
        <v>0</v>
      </c>
      <c r="K623" t="n">
        <v>0</v>
      </c>
      <c r="L623" t="n">
        <v>0</v>
      </c>
      <c r="M623" t="n">
        <v>0</v>
      </c>
      <c r="N623" t="n">
        <v>0</v>
      </c>
      <c r="O623" t="n">
        <v>0</v>
      </c>
      <c r="P623" t="n">
        <v>0</v>
      </c>
      <c r="Q623" t="n">
        <v>0</v>
      </c>
      <c r="R623" s="2" t="inlineStr"/>
    </row>
    <row r="624" ht="15" customHeight="1">
      <c r="A624" t="inlineStr">
        <is>
          <t>A 32846-2025</t>
        </is>
      </c>
      <c r="B624" s="1" t="n">
        <v>45839.57331018519</v>
      </c>
      <c r="C624" s="1" t="n">
        <v>46042</v>
      </c>
      <c r="D624" t="inlineStr">
        <is>
          <t>JÄMTLANDS LÄN</t>
        </is>
      </c>
      <c r="E624" t="inlineStr">
        <is>
          <t>RAGUNDA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32748-2025</t>
        </is>
      </c>
      <c r="B625" s="1" t="n">
        <v>45839.42822916667</v>
      </c>
      <c r="C625" s="1" t="n">
        <v>46042</v>
      </c>
      <c r="D625" t="inlineStr">
        <is>
          <t>JÄMTLANDS LÄN</t>
        </is>
      </c>
      <c r="E625" t="inlineStr">
        <is>
          <t>RAGUNDA</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32762-2025</t>
        </is>
      </c>
      <c r="B626" s="1" t="n">
        <v>45838</v>
      </c>
      <c r="C626" s="1" t="n">
        <v>46042</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2224-2024</t>
        </is>
      </c>
      <c r="B627" s="1" t="n">
        <v>45309.92524305556</v>
      </c>
      <c r="C627" s="1" t="n">
        <v>46042</v>
      </c>
      <c r="D627" t="inlineStr">
        <is>
          <t>JÄMTLANDS LÄN</t>
        </is>
      </c>
      <c r="E627" t="inlineStr">
        <is>
          <t>RAGUNDA</t>
        </is>
      </c>
      <c r="G627" t="n">
        <v>0.9</v>
      </c>
      <c r="H627" t="n">
        <v>0</v>
      </c>
      <c r="I627" t="n">
        <v>0</v>
      </c>
      <c r="J627" t="n">
        <v>0</v>
      </c>
      <c r="K627" t="n">
        <v>0</v>
      </c>
      <c r="L627" t="n">
        <v>0</v>
      </c>
      <c r="M627" t="n">
        <v>0</v>
      </c>
      <c r="N627" t="n">
        <v>0</v>
      </c>
      <c r="O627" t="n">
        <v>0</v>
      </c>
      <c r="P627" t="n">
        <v>0</v>
      </c>
      <c r="Q627" t="n">
        <v>0</v>
      </c>
      <c r="R627" s="2" t="inlineStr"/>
    </row>
    <row r="628" ht="15" customHeight="1">
      <c r="A628" t="inlineStr">
        <is>
          <t>A 32660-2025</t>
        </is>
      </c>
      <c r="B628" s="1" t="n">
        <v>45838.67887731481</v>
      </c>
      <c r="C628" s="1" t="n">
        <v>46042</v>
      </c>
      <c r="D628" t="inlineStr">
        <is>
          <t>JÄMTLANDS LÄN</t>
        </is>
      </c>
      <c r="E628" t="inlineStr">
        <is>
          <t>RAGUNDA</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1523-2024</t>
        </is>
      </c>
      <c r="B629" s="1" t="n">
        <v>45306</v>
      </c>
      <c r="C629" s="1" t="n">
        <v>46042</v>
      </c>
      <c r="D629" t="inlineStr">
        <is>
          <t>JÄMTLANDS LÄN</t>
        </is>
      </c>
      <c r="E629" t="inlineStr">
        <is>
          <t>RAGUNDA</t>
        </is>
      </c>
      <c r="G629" t="n">
        <v>4.1</v>
      </c>
      <c r="H629" t="n">
        <v>0</v>
      </c>
      <c r="I629" t="n">
        <v>0</v>
      </c>
      <c r="J629" t="n">
        <v>0</v>
      </c>
      <c r="K629" t="n">
        <v>0</v>
      </c>
      <c r="L629" t="n">
        <v>0</v>
      </c>
      <c r="M629" t="n">
        <v>0</v>
      </c>
      <c r="N629" t="n">
        <v>0</v>
      </c>
      <c r="O629" t="n">
        <v>0</v>
      </c>
      <c r="P629" t="n">
        <v>0</v>
      </c>
      <c r="Q629" t="n">
        <v>0</v>
      </c>
      <c r="R629" s="2" t="inlineStr"/>
    </row>
    <row r="630" ht="15" customHeight="1">
      <c r="A630" t="inlineStr">
        <is>
          <t>A 32527-2025</t>
        </is>
      </c>
      <c r="B630" s="1" t="n">
        <v>45838.48996527777</v>
      </c>
      <c r="C630" s="1" t="n">
        <v>46042</v>
      </c>
      <c r="D630" t="inlineStr">
        <is>
          <t>JÄMTLANDS LÄN</t>
        </is>
      </c>
      <c r="E630" t="inlineStr">
        <is>
          <t>RAGUNDA</t>
        </is>
      </c>
      <c r="G630" t="n">
        <v>5</v>
      </c>
      <c r="H630" t="n">
        <v>0</v>
      </c>
      <c r="I630" t="n">
        <v>0</v>
      </c>
      <c r="J630" t="n">
        <v>0</v>
      </c>
      <c r="K630" t="n">
        <v>0</v>
      </c>
      <c r="L630" t="n">
        <v>0</v>
      </c>
      <c r="M630" t="n">
        <v>0</v>
      </c>
      <c r="N630" t="n">
        <v>0</v>
      </c>
      <c r="O630" t="n">
        <v>0</v>
      </c>
      <c r="P630" t="n">
        <v>0</v>
      </c>
      <c r="Q630" t="n">
        <v>0</v>
      </c>
      <c r="R630" s="2" t="inlineStr"/>
    </row>
    <row r="631" ht="15" customHeight="1">
      <c r="A631" t="inlineStr">
        <is>
          <t>A 46275-2025</t>
        </is>
      </c>
      <c r="B631" s="1" t="n">
        <v>45925.3711574074</v>
      </c>
      <c r="C631" s="1" t="n">
        <v>46042</v>
      </c>
      <c r="D631" t="inlineStr">
        <is>
          <t>JÄMTLANDS LÄN</t>
        </is>
      </c>
      <c r="E631" t="inlineStr">
        <is>
          <t>RAGUNDA</t>
        </is>
      </c>
      <c r="G631" t="n">
        <v>2.7</v>
      </c>
      <c r="H631" t="n">
        <v>0</v>
      </c>
      <c r="I631" t="n">
        <v>0</v>
      </c>
      <c r="J631" t="n">
        <v>0</v>
      </c>
      <c r="K631" t="n">
        <v>0</v>
      </c>
      <c r="L631" t="n">
        <v>0</v>
      </c>
      <c r="M631" t="n">
        <v>0</v>
      </c>
      <c r="N631" t="n">
        <v>0</v>
      </c>
      <c r="O631" t="n">
        <v>0</v>
      </c>
      <c r="P631" t="n">
        <v>0</v>
      </c>
      <c r="Q631" t="n">
        <v>0</v>
      </c>
      <c r="R631" s="2" t="inlineStr"/>
    </row>
    <row r="632" ht="15" customHeight="1">
      <c r="A632" t="inlineStr">
        <is>
          <t>A 58630-2024</t>
        </is>
      </c>
      <c r="B632" s="1" t="n">
        <v>45635.57331018519</v>
      </c>
      <c r="C632" s="1" t="n">
        <v>46042</v>
      </c>
      <c r="D632" t="inlineStr">
        <is>
          <t>JÄMTLANDS LÄN</t>
        </is>
      </c>
      <c r="E632" t="inlineStr">
        <is>
          <t>RAGUNDA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33140-2025</t>
        </is>
      </c>
      <c r="B633" s="1" t="n">
        <v>45840.52225694444</v>
      </c>
      <c r="C633" s="1" t="n">
        <v>46042</v>
      </c>
      <c r="D633" t="inlineStr">
        <is>
          <t>JÄMTLANDS LÄN</t>
        </is>
      </c>
      <c r="E633" t="inlineStr">
        <is>
          <t>RAGUNDA</t>
        </is>
      </c>
      <c r="G633" t="n">
        <v>2</v>
      </c>
      <c r="H633" t="n">
        <v>0</v>
      </c>
      <c r="I633" t="n">
        <v>0</v>
      </c>
      <c r="J633" t="n">
        <v>0</v>
      </c>
      <c r="K633" t="n">
        <v>0</v>
      </c>
      <c r="L633" t="n">
        <v>0</v>
      </c>
      <c r="M633" t="n">
        <v>0</v>
      </c>
      <c r="N633" t="n">
        <v>0</v>
      </c>
      <c r="O633" t="n">
        <v>0</v>
      </c>
      <c r="P633" t="n">
        <v>0</v>
      </c>
      <c r="Q633" t="n">
        <v>0</v>
      </c>
      <c r="R633" s="2" t="inlineStr"/>
    </row>
    <row r="634" ht="15" customHeight="1">
      <c r="A634" t="inlineStr">
        <is>
          <t>A 46549-2023</t>
        </is>
      </c>
      <c r="B634" s="1" t="n">
        <v>45197.94171296297</v>
      </c>
      <c r="C634" s="1" t="n">
        <v>46042</v>
      </c>
      <c r="D634" t="inlineStr">
        <is>
          <t>JÄMTLANDS LÄN</t>
        </is>
      </c>
      <c r="E634" t="inlineStr">
        <is>
          <t>RAGUNDA</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33556-2025</t>
        </is>
      </c>
      <c r="B635" s="1" t="n">
        <v>45841.57427083333</v>
      </c>
      <c r="C635" s="1" t="n">
        <v>46042</v>
      </c>
      <c r="D635" t="inlineStr">
        <is>
          <t>JÄMTLANDS LÄN</t>
        </is>
      </c>
      <c r="E635" t="inlineStr">
        <is>
          <t>RAGUNDA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32258-2024</t>
        </is>
      </c>
      <c r="B636" s="1" t="n">
        <v>45511</v>
      </c>
      <c r="C636" s="1" t="n">
        <v>46042</v>
      </c>
      <c r="D636" t="inlineStr">
        <is>
          <t>JÄMTLANDS LÄN</t>
        </is>
      </c>
      <c r="E636" t="inlineStr">
        <is>
          <t>RAGUNDA</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38270-2021</t>
        </is>
      </c>
      <c r="B637" s="1" t="n">
        <v>44405.92065972222</v>
      </c>
      <c r="C637" s="1" t="n">
        <v>46042</v>
      </c>
      <c r="D637" t="inlineStr">
        <is>
          <t>JÄMTLANDS LÄN</t>
        </is>
      </c>
      <c r="E637" t="inlineStr">
        <is>
          <t>RAGUNDA</t>
        </is>
      </c>
      <c r="G637" t="n">
        <v>1.3</v>
      </c>
      <c r="H637" t="n">
        <v>0</v>
      </c>
      <c r="I637" t="n">
        <v>0</v>
      </c>
      <c r="J637" t="n">
        <v>0</v>
      </c>
      <c r="K637" t="n">
        <v>0</v>
      </c>
      <c r="L637" t="n">
        <v>0</v>
      </c>
      <c r="M637" t="n">
        <v>0</v>
      </c>
      <c r="N637" t="n">
        <v>0</v>
      </c>
      <c r="O637" t="n">
        <v>0</v>
      </c>
      <c r="P637" t="n">
        <v>0</v>
      </c>
      <c r="Q637" t="n">
        <v>0</v>
      </c>
      <c r="R637" s="2" t="inlineStr"/>
    </row>
    <row r="638" ht="15" customHeight="1">
      <c r="A638" t="inlineStr">
        <is>
          <t>A 46825-2025</t>
        </is>
      </c>
      <c r="B638" s="1" t="n">
        <v>45926.92506944444</v>
      </c>
      <c r="C638" s="1" t="n">
        <v>46042</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46710-2025</t>
        </is>
      </c>
      <c r="B639" s="1" t="n">
        <v>45926.57337962963</v>
      </c>
      <c r="C639" s="1" t="n">
        <v>46042</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29257-2024</t>
        </is>
      </c>
      <c r="B640" s="1" t="n">
        <v>45482.94815972223</v>
      </c>
      <c r="C640" s="1" t="n">
        <v>46042</v>
      </c>
      <c r="D640" t="inlineStr">
        <is>
          <t>JÄMTLANDS LÄN</t>
        </is>
      </c>
      <c r="E640" t="inlineStr">
        <is>
          <t>RAGUNDA</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27373-2023</t>
        </is>
      </c>
      <c r="B641" s="1" t="n">
        <v>45096.93866898148</v>
      </c>
      <c r="C641" s="1" t="n">
        <v>46042</v>
      </c>
      <c r="D641" t="inlineStr">
        <is>
          <t>JÄMTLANDS LÄN</t>
        </is>
      </c>
      <c r="E641" t="inlineStr">
        <is>
          <t>RAGUNDA</t>
        </is>
      </c>
      <c r="F641" t="inlineStr">
        <is>
          <t>SCA</t>
        </is>
      </c>
      <c r="G641" t="n">
        <v>6.9</v>
      </c>
      <c r="H641" t="n">
        <v>0</v>
      </c>
      <c r="I641" t="n">
        <v>0</v>
      </c>
      <c r="J641" t="n">
        <v>0</v>
      </c>
      <c r="K641" t="n">
        <v>0</v>
      </c>
      <c r="L641" t="n">
        <v>0</v>
      </c>
      <c r="M641" t="n">
        <v>0</v>
      </c>
      <c r="N641" t="n">
        <v>0</v>
      </c>
      <c r="O641" t="n">
        <v>0</v>
      </c>
      <c r="P641" t="n">
        <v>0</v>
      </c>
      <c r="Q641" t="n">
        <v>0</v>
      </c>
      <c r="R641" s="2" t="inlineStr"/>
    </row>
    <row r="642" ht="15" customHeight="1">
      <c r="A642" t="inlineStr">
        <is>
          <t>A 62115-2024</t>
        </is>
      </c>
      <c r="B642" s="1" t="n">
        <v>45656</v>
      </c>
      <c r="C642" s="1" t="n">
        <v>46042</v>
      </c>
      <c r="D642" t="inlineStr">
        <is>
          <t>JÄMTLANDS LÄN</t>
        </is>
      </c>
      <c r="E642" t="inlineStr">
        <is>
          <t>RAGUNDA</t>
        </is>
      </c>
      <c r="G642" t="n">
        <v>3.3</v>
      </c>
      <c r="H642" t="n">
        <v>0</v>
      </c>
      <c r="I642" t="n">
        <v>0</v>
      </c>
      <c r="J642" t="n">
        <v>0</v>
      </c>
      <c r="K642" t="n">
        <v>0</v>
      </c>
      <c r="L642" t="n">
        <v>0</v>
      </c>
      <c r="M642" t="n">
        <v>0</v>
      </c>
      <c r="N642" t="n">
        <v>0</v>
      </c>
      <c r="O642" t="n">
        <v>0</v>
      </c>
      <c r="P642" t="n">
        <v>0</v>
      </c>
      <c r="Q642" t="n">
        <v>0</v>
      </c>
      <c r="R642" s="2" t="inlineStr"/>
    </row>
    <row r="643" ht="15" customHeight="1">
      <c r="A643" t="inlineStr">
        <is>
          <t>A 47075-2025</t>
        </is>
      </c>
      <c r="B643" s="1" t="n">
        <v>45929.63728009259</v>
      </c>
      <c r="C643" s="1" t="n">
        <v>46042</v>
      </c>
      <c r="D643" t="inlineStr">
        <is>
          <t>JÄMTLANDS LÄN</t>
        </is>
      </c>
      <c r="E643" t="inlineStr">
        <is>
          <t>RAGUNDA</t>
        </is>
      </c>
      <c r="F643" t="inlineStr">
        <is>
          <t>SCA</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12653-2024</t>
        </is>
      </c>
      <c r="B644" s="1" t="n">
        <v>45384</v>
      </c>
      <c r="C644" s="1" t="n">
        <v>46042</v>
      </c>
      <c r="D644" t="inlineStr">
        <is>
          <t>JÄMTLANDS LÄN</t>
        </is>
      </c>
      <c r="E644" t="inlineStr">
        <is>
          <t>RAGUNDA</t>
        </is>
      </c>
      <c r="G644" t="n">
        <v>1.1</v>
      </c>
      <c r="H644" t="n">
        <v>0</v>
      </c>
      <c r="I644" t="n">
        <v>0</v>
      </c>
      <c r="J644" t="n">
        <v>0</v>
      </c>
      <c r="K644" t="n">
        <v>0</v>
      </c>
      <c r="L644" t="n">
        <v>0</v>
      </c>
      <c r="M644" t="n">
        <v>0</v>
      </c>
      <c r="N644" t="n">
        <v>0</v>
      </c>
      <c r="O644" t="n">
        <v>0</v>
      </c>
      <c r="P644" t="n">
        <v>0</v>
      </c>
      <c r="Q644" t="n">
        <v>0</v>
      </c>
      <c r="R644" s="2" t="inlineStr"/>
    </row>
    <row r="645" ht="15" customHeight="1">
      <c r="A645" t="inlineStr">
        <is>
          <t>A 50211-2023</t>
        </is>
      </c>
      <c r="B645" s="1" t="n">
        <v>45215.94657407407</v>
      </c>
      <c r="C645" s="1" t="n">
        <v>46042</v>
      </c>
      <c r="D645" t="inlineStr">
        <is>
          <t>JÄMTLANDS LÄN</t>
        </is>
      </c>
      <c r="E645" t="inlineStr">
        <is>
          <t>RAGUNDA</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47119-2025</t>
        </is>
      </c>
      <c r="B646" s="1" t="n">
        <v>45929.67795138889</v>
      </c>
      <c r="C646" s="1" t="n">
        <v>46042</v>
      </c>
      <c r="D646" t="inlineStr">
        <is>
          <t>JÄMTLANDS LÄN</t>
        </is>
      </c>
      <c r="E646" t="inlineStr">
        <is>
          <t>RAGUNDA</t>
        </is>
      </c>
      <c r="F646" t="inlineStr">
        <is>
          <t>SCA</t>
        </is>
      </c>
      <c r="G646" t="n">
        <v>22.7</v>
      </c>
      <c r="H646" t="n">
        <v>0</v>
      </c>
      <c r="I646" t="n">
        <v>0</v>
      </c>
      <c r="J646" t="n">
        <v>0</v>
      </c>
      <c r="K646" t="n">
        <v>0</v>
      </c>
      <c r="L646" t="n">
        <v>0</v>
      </c>
      <c r="M646" t="n">
        <v>0</v>
      </c>
      <c r="N646" t="n">
        <v>0</v>
      </c>
      <c r="O646" t="n">
        <v>0</v>
      </c>
      <c r="P646" t="n">
        <v>0</v>
      </c>
      <c r="Q646" t="n">
        <v>0</v>
      </c>
      <c r="R646" s="2" t="inlineStr"/>
    </row>
    <row r="647" ht="15" customHeight="1">
      <c r="A647" t="inlineStr">
        <is>
          <t>A 46689-2025</t>
        </is>
      </c>
      <c r="B647" s="1" t="n">
        <v>45926.55307870371</v>
      </c>
      <c r="C647" s="1" t="n">
        <v>46042</v>
      </c>
      <c r="D647" t="inlineStr">
        <is>
          <t>JÄMTLANDS LÄN</t>
        </is>
      </c>
      <c r="E647" t="inlineStr">
        <is>
          <t>RAGUNDA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46909-2025</t>
        </is>
      </c>
      <c r="B648" s="1" t="n">
        <v>45929.40673611111</v>
      </c>
      <c r="C648" s="1" t="n">
        <v>46042</v>
      </c>
      <c r="D648" t="inlineStr">
        <is>
          <t>JÄMTLANDS LÄN</t>
        </is>
      </c>
      <c r="E648" t="inlineStr">
        <is>
          <t>RAGUNDA</t>
        </is>
      </c>
      <c r="G648" t="n">
        <v>5.7</v>
      </c>
      <c r="H648" t="n">
        <v>0</v>
      </c>
      <c r="I648" t="n">
        <v>0</v>
      </c>
      <c r="J648" t="n">
        <v>0</v>
      </c>
      <c r="K648" t="n">
        <v>0</v>
      </c>
      <c r="L648" t="n">
        <v>0</v>
      </c>
      <c r="M648" t="n">
        <v>0</v>
      </c>
      <c r="N648" t="n">
        <v>0</v>
      </c>
      <c r="O648" t="n">
        <v>0</v>
      </c>
      <c r="P648" t="n">
        <v>0</v>
      </c>
      <c r="Q648" t="n">
        <v>0</v>
      </c>
      <c r="R648" s="2" t="inlineStr"/>
    </row>
    <row r="649" ht="15" customHeight="1">
      <c r="A649" t="inlineStr">
        <is>
          <t>A 47122-2025</t>
        </is>
      </c>
      <c r="B649" s="1" t="n">
        <v>45929.67878472222</v>
      </c>
      <c r="C649" s="1" t="n">
        <v>46042</v>
      </c>
      <c r="D649" t="inlineStr">
        <is>
          <t>JÄMTLANDS LÄN</t>
        </is>
      </c>
      <c r="E649" t="inlineStr">
        <is>
          <t>RAGUNDA</t>
        </is>
      </c>
      <c r="F649" t="inlineStr">
        <is>
          <t>SCA</t>
        </is>
      </c>
      <c r="G649" t="n">
        <v>31.1</v>
      </c>
      <c r="H649" t="n">
        <v>0</v>
      </c>
      <c r="I649" t="n">
        <v>0</v>
      </c>
      <c r="J649" t="n">
        <v>0</v>
      </c>
      <c r="K649" t="n">
        <v>0</v>
      </c>
      <c r="L649" t="n">
        <v>0</v>
      </c>
      <c r="M649" t="n">
        <v>0</v>
      </c>
      <c r="N649" t="n">
        <v>0</v>
      </c>
      <c r="O649" t="n">
        <v>0</v>
      </c>
      <c r="P649" t="n">
        <v>0</v>
      </c>
      <c r="Q649" t="n">
        <v>0</v>
      </c>
      <c r="R649" s="2" t="inlineStr"/>
    </row>
    <row r="650" ht="15" customHeight="1">
      <c r="A650" t="inlineStr">
        <is>
          <t>A 46974-2025</t>
        </is>
      </c>
      <c r="B650" s="1" t="n">
        <v>45929.51104166666</v>
      </c>
      <c r="C650" s="1" t="n">
        <v>46042</v>
      </c>
      <c r="D650" t="inlineStr">
        <is>
          <t>JÄMTLANDS LÄN</t>
        </is>
      </c>
      <c r="E650" t="inlineStr">
        <is>
          <t>RAGUNDA</t>
        </is>
      </c>
      <c r="F650" t="inlineStr">
        <is>
          <t>SCA</t>
        </is>
      </c>
      <c r="G650" t="n">
        <v>12.1</v>
      </c>
      <c r="H650" t="n">
        <v>0</v>
      </c>
      <c r="I650" t="n">
        <v>0</v>
      </c>
      <c r="J650" t="n">
        <v>0</v>
      </c>
      <c r="K650" t="n">
        <v>0</v>
      </c>
      <c r="L650" t="n">
        <v>0</v>
      </c>
      <c r="M650" t="n">
        <v>0</v>
      </c>
      <c r="N650" t="n">
        <v>0</v>
      </c>
      <c r="O650" t="n">
        <v>0</v>
      </c>
      <c r="P650" t="n">
        <v>0</v>
      </c>
      <c r="Q650" t="n">
        <v>0</v>
      </c>
      <c r="R650" s="2" t="inlineStr"/>
    </row>
    <row r="651" ht="15" customHeight="1">
      <c r="A651" t="inlineStr">
        <is>
          <t>A 9232-2025</t>
        </is>
      </c>
      <c r="B651" s="1" t="n">
        <v>45714.55064814815</v>
      </c>
      <c r="C651" s="1" t="n">
        <v>46042</v>
      </c>
      <c r="D651" t="inlineStr">
        <is>
          <t>JÄMTLANDS LÄN</t>
        </is>
      </c>
      <c r="E651" t="inlineStr">
        <is>
          <t>RAGUNDA</t>
        </is>
      </c>
      <c r="G651" t="n">
        <v>1.9</v>
      </c>
      <c r="H651" t="n">
        <v>0</v>
      </c>
      <c r="I651" t="n">
        <v>0</v>
      </c>
      <c r="J651" t="n">
        <v>0</v>
      </c>
      <c r="K651" t="n">
        <v>0</v>
      </c>
      <c r="L651" t="n">
        <v>0</v>
      </c>
      <c r="M651" t="n">
        <v>0</v>
      </c>
      <c r="N651" t="n">
        <v>0</v>
      </c>
      <c r="O651" t="n">
        <v>0</v>
      </c>
      <c r="P651" t="n">
        <v>0</v>
      </c>
      <c r="Q651" t="n">
        <v>0</v>
      </c>
      <c r="R651" s="2" t="inlineStr"/>
    </row>
    <row r="652" ht="15" customHeight="1">
      <c r="A652" t="inlineStr">
        <is>
          <t>A 29775-2023</t>
        </is>
      </c>
      <c r="B652" s="1" t="n">
        <v>45098</v>
      </c>
      <c r="C652" s="1" t="n">
        <v>46042</v>
      </c>
      <c r="D652" t="inlineStr">
        <is>
          <t>JÄMTLANDS LÄN</t>
        </is>
      </c>
      <c r="E652" t="inlineStr">
        <is>
          <t>RAGUNDA</t>
        </is>
      </c>
      <c r="G652" t="n">
        <v>3.6</v>
      </c>
      <c r="H652" t="n">
        <v>0</v>
      </c>
      <c r="I652" t="n">
        <v>0</v>
      </c>
      <c r="J652" t="n">
        <v>0</v>
      </c>
      <c r="K652" t="n">
        <v>0</v>
      </c>
      <c r="L652" t="n">
        <v>0</v>
      </c>
      <c r="M652" t="n">
        <v>0</v>
      </c>
      <c r="N652" t="n">
        <v>0</v>
      </c>
      <c r="O652" t="n">
        <v>0</v>
      </c>
      <c r="P652" t="n">
        <v>0</v>
      </c>
      <c r="Q652" t="n">
        <v>0</v>
      </c>
      <c r="R652" s="2" t="inlineStr"/>
    </row>
    <row r="653" ht="15" customHeight="1">
      <c r="A653" t="inlineStr">
        <is>
          <t>A 46751-2025</t>
        </is>
      </c>
      <c r="B653" s="1" t="n">
        <v>45926.6153125</v>
      </c>
      <c r="C653" s="1" t="n">
        <v>46042</v>
      </c>
      <c r="D653" t="inlineStr">
        <is>
          <t>JÄMTLANDS LÄN</t>
        </is>
      </c>
      <c r="E653" t="inlineStr">
        <is>
          <t>RAGUNDA</t>
        </is>
      </c>
      <c r="F653" t="inlineStr">
        <is>
          <t>SCA</t>
        </is>
      </c>
      <c r="G653" t="n">
        <v>7.8</v>
      </c>
      <c r="H653" t="n">
        <v>0</v>
      </c>
      <c r="I653" t="n">
        <v>0</v>
      </c>
      <c r="J653" t="n">
        <v>0</v>
      </c>
      <c r="K653" t="n">
        <v>0</v>
      </c>
      <c r="L653" t="n">
        <v>0</v>
      </c>
      <c r="M653" t="n">
        <v>0</v>
      </c>
      <c r="N653" t="n">
        <v>0</v>
      </c>
      <c r="O653" t="n">
        <v>0</v>
      </c>
      <c r="P653" t="n">
        <v>0</v>
      </c>
      <c r="Q653" t="n">
        <v>0</v>
      </c>
      <c r="R653" s="2" t="inlineStr"/>
    </row>
    <row r="654" ht="15" customHeight="1">
      <c r="A654" t="inlineStr">
        <is>
          <t>A 46753-2025</t>
        </is>
      </c>
      <c r="B654" s="1" t="n">
        <v>45926.61552083334</v>
      </c>
      <c r="C654" s="1" t="n">
        <v>46042</v>
      </c>
      <c r="D654" t="inlineStr">
        <is>
          <t>JÄMTLANDS LÄN</t>
        </is>
      </c>
      <c r="E654" t="inlineStr">
        <is>
          <t>RAGUNDA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47037-2025</t>
        </is>
      </c>
      <c r="B655" s="1" t="n">
        <v>45929.59456018519</v>
      </c>
      <c r="C655" s="1" t="n">
        <v>46042</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44494-2024</t>
        </is>
      </c>
      <c r="B656" s="1" t="n">
        <v>45574.39081018518</v>
      </c>
      <c r="C656" s="1" t="n">
        <v>46042</v>
      </c>
      <c r="D656" t="inlineStr">
        <is>
          <t>JÄMTLANDS LÄN</t>
        </is>
      </c>
      <c r="E656" t="inlineStr">
        <is>
          <t>RAGUNDA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33790-2025</t>
        </is>
      </c>
      <c r="B657" s="1" t="n">
        <v>45842.42608796297</v>
      </c>
      <c r="C657" s="1" t="n">
        <v>46042</v>
      </c>
      <c r="D657" t="inlineStr">
        <is>
          <t>JÄMTLANDS LÄN</t>
        </is>
      </c>
      <c r="E657" t="inlineStr">
        <is>
          <t>RAGUNDA</t>
        </is>
      </c>
      <c r="G657" t="n">
        <v>0.3</v>
      </c>
      <c r="H657" t="n">
        <v>0</v>
      </c>
      <c r="I657" t="n">
        <v>0</v>
      </c>
      <c r="J657" t="n">
        <v>0</v>
      </c>
      <c r="K657" t="n">
        <v>0</v>
      </c>
      <c r="L657" t="n">
        <v>0</v>
      </c>
      <c r="M657" t="n">
        <v>0</v>
      </c>
      <c r="N657" t="n">
        <v>0</v>
      </c>
      <c r="O657" t="n">
        <v>0</v>
      </c>
      <c r="P657" t="n">
        <v>0</v>
      </c>
      <c r="Q657" t="n">
        <v>0</v>
      </c>
      <c r="R657" s="2" t="inlineStr"/>
    </row>
    <row r="658" ht="15" customHeight="1">
      <c r="A658" t="inlineStr">
        <is>
          <t>A 34607-2025</t>
        </is>
      </c>
      <c r="B658" s="1" t="n">
        <v>45847.65703703704</v>
      </c>
      <c r="C658" s="1" t="n">
        <v>46042</v>
      </c>
      <c r="D658" t="inlineStr">
        <is>
          <t>JÄMTLANDS LÄN</t>
        </is>
      </c>
      <c r="E658" t="inlineStr">
        <is>
          <t>RAGUNDA</t>
        </is>
      </c>
      <c r="F658" t="inlineStr">
        <is>
          <t>SCA</t>
        </is>
      </c>
      <c r="G658" t="n">
        <v>31.4</v>
      </c>
      <c r="H658" t="n">
        <v>0</v>
      </c>
      <c r="I658" t="n">
        <v>0</v>
      </c>
      <c r="J658" t="n">
        <v>0</v>
      </c>
      <c r="K658" t="n">
        <v>0</v>
      </c>
      <c r="L658" t="n">
        <v>0</v>
      </c>
      <c r="M658" t="n">
        <v>0</v>
      </c>
      <c r="N658" t="n">
        <v>0</v>
      </c>
      <c r="O658" t="n">
        <v>0</v>
      </c>
      <c r="P658" t="n">
        <v>0</v>
      </c>
      <c r="Q658" t="n">
        <v>0</v>
      </c>
      <c r="R658" s="2" t="inlineStr"/>
    </row>
    <row r="659" ht="15" customHeight="1">
      <c r="A659" t="inlineStr">
        <is>
          <t>A 34461-2025</t>
        </is>
      </c>
      <c r="B659" s="1" t="n">
        <v>45847.34474537037</v>
      </c>
      <c r="C659" s="1" t="n">
        <v>46042</v>
      </c>
      <c r="D659" t="inlineStr">
        <is>
          <t>JÄMTLANDS LÄN</t>
        </is>
      </c>
      <c r="E659" t="inlineStr">
        <is>
          <t>RAGUNDA</t>
        </is>
      </c>
      <c r="F659" t="inlineStr">
        <is>
          <t>SCA</t>
        </is>
      </c>
      <c r="G659" t="n">
        <v>44.8</v>
      </c>
      <c r="H659" t="n">
        <v>0</v>
      </c>
      <c r="I659" t="n">
        <v>0</v>
      </c>
      <c r="J659" t="n">
        <v>0</v>
      </c>
      <c r="K659" t="n">
        <v>0</v>
      </c>
      <c r="L659" t="n">
        <v>0</v>
      </c>
      <c r="M659" t="n">
        <v>0</v>
      </c>
      <c r="N659" t="n">
        <v>0</v>
      </c>
      <c r="O659" t="n">
        <v>0</v>
      </c>
      <c r="P659" t="n">
        <v>0</v>
      </c>
      <c r="Q659" t="n">
        <v>0</v>
      </c>
      <c r="R659" s="2" t="inlineStr"/>
    </row>
    <row r="660" ht="15" customHeight="1">
      <c r="A660" t="inlineStr">
        <is>
          <t>A 34464-2025</t>
        </is>
      </c>
      <c r="B660" s="1" t="n">
        <v>45847.34528935186</v>
      </c>
      <c r="C660" s="1" t="n">
        <v>46042</v>
      </c>
      <c r="D660" t="inlineStr">
        <is>
          <t>JÄMTLANDS LÄN</t>
        </is>
      </c>
      <c r="E660" t="inlineStr">
        <is>
          <t>RAGUNDA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13898-2023</t>
        </is>
      </c>
      <c r="B661" s="1" t="n">
        <v>45008.01408564814</v>
      </c>
      <c r="C661" s="1" t="n">
        <v>46042</v>
      </c>
      <c r="D661" t="inlineStr">
        <is>
          <t>JÄMTLANDS LÄN</t>
        </is>
      </c>
      <c r="E661" t="inlineStr">
        <is>
          <t>RAGUNDA</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19438-2023</t>
        </is>
      </c>
      <c r="B662" s="1" t="n">
        <v>45049</v>
      </c>
      <c r="C662" s="1" t="n">
        <v>46042</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47749-2025</t>
        </is>
      </c>
      <c r="B663" s="1" t="n">
        <v>45931.65711805555</v>
      </c>
      <c r="C663" s="1" t="n">
        <v>46042</v>
      </c>
      <c r="D663" t="inlineStr">
        <is>
          <t>JÄMTLANDS LÄN</t>
        </is>
      </c>
      <c r="E663" t="inlineStr">
        <is>
          <t>RAGUNDA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34468-2025</t>
        </is>
      </c>
      <c r="B664" s="1" t="n">
        <v>45847.34597222223</v>
      </c>
      <c r="C664" s="1" t="n">
        <v>46042</v>
      </c>
      <c r="D664" t="inlineStr">
        <is>
          <t>JÄMTLANDS LÄN</t>
        </is>
      </c>
      <c r="E664" t="inlineStr">
        <is>
          <t>RAGUNDA</t>
        </is>
      </c>
      <c r="F664" t="inlineStr">
        <is>
          <t>SCA</t>
        </is>
      </c>
      <c r="G664" t="n">
        <v>10</v>
      </c>
      <c r="H664" t="n">
        <v>0</v>
      </c>
      <c r="I664" t="n">
        <v>0</v>
      </c>
      <c r="J664" t="n">
        <v>0</v>
      </c>
      <c r="K664" t="n">
        <v>0</v>
      </c>
      <c r="L664" t="n">
        <v>0</v>
      </c>
      <c r="M664" t="n">
        <v>0</v>
      </c>
      <c r="N664" t="n">
        <v>0</v>
      </c>
      <c r="O664" t="n">
        <v>0</v>
      </c>
      <c r="P664" t="n">
        <v>0</v>
      </c>
      <c r="Q664" t="n">
        <v>0</v>
      </c>
      <c r="R664" s="2" t="inlineStr"/>
    </row>
    <row r="665" ht="15" customHeight="1">
      <c r="A665" t="inlineStr">
        <is>
          <t>A 34466-2025</t>
        </is>
      </c>
      <c r="B665" s="1" t="n">
        <v>45847.34565972222</v>
      </c>
      <c r="C665" s="1" t="n">
        <v>46042</v>
      </c>
      <c r="D665" t="inlineStr">
        <is>
          <t>JÄMTLANDS LÄN</t>
        </is>
      </c>
      <c r="E665" t="inlineStr">
        <is>
          <t>RAGUNDA</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47228-2025</t>
        </is>
      </c>
      <c r="B666" s="1" t="n">
        <v>45930.3990162037</v>
      </c>
      <c r="C666" s="1" t="n">
        <v>46042</v>
      </c>
      <c r="D666" t="inlineStr">
        <is>
          <t>JÄMTLANDS LÄN</t>
        </is>
      </c>
      <c r="E666" t="inlineStr">
        <is>
          <t>RAGUNDA</t>
        </is>
      </c>
      <c r="G666" t="n">
        <v>2.6</v>
      </c>
      <c r="H666" t="n">
        <v>0</v>
      </c>
      <c r="I666" t="n">
        <v>0</v>
      </c>
      <c r="J666" t="n">
        <v>0</v>
      </c>
      <c r="K666" t="n">
        <v>0</v>
      </c>
      <c r="L666" t="n">
        <v>0</v>
      </c>
      <c r="M666" t="n">
        <v>0</v>
      </c>
      <c r="N666" t="n">
        <v>0</v>
      </c>
      <c r="O666" t="n">
        <v>0</v>
      </c>
      <c r="P666" t="n">
        <v>0</v>
      </c>
      <c r="Q666" t="n">
        <v>0</v>
      </c>
      <c r="R666" s="2" t="inlineStr"/>
    </row>
    <row r="667" ht="15" customHeight="1">
      <c r="A667" t="inlineStr">
        <is>
          <t>A 34463-2025</t>
        </is>
      </c>
      <c r="B667" s="1" t="n">
        <v>45847.34515046296</v>
      </c>
      <c r="C667" s="1" t="n">
        <v>46042</v>
      </c>
      <c r="D667" t="inlineStr">
        <is>
          <t>JÄMTLANDS LÄN</t>
        </is>
      </c>
      <c r="E667" t="inlineStr">
        <is>
          <t>RAGUNDA</t>
        </is>
      </c>
      <c r="F667" t="inlineStr">
        <is>
          <t>SCA</t>
        </is>
      </c>
      <c r="G667" t="n">
        <v>6.1</v>
      </c>
      <c r="H667" t="n">
        <v>0</v>
      </c>
      <c r="I667" t="n">
        <v>0</v>
      </c>
      <c r="J667" t="n">
        <v>0</v>
      </c>
      <c r="K667" t="n">
        <v>0</v>
      </c>
      <c r="L667" t="n">
        <v>0</v>
      </c>
      <c r="M667" t="n">
        <v>0</v>
      </c>
      <c r="N667" t="n">
        <v>0</v>
      </c>
      <c r="O667" t="n">
        <v>0</v>
      </c>
      <c r="P667" t="n">
        <v>0</v>
      </c>
      <c r="Q667" t="n">
        <v>0</v>
      </c>
      <c r="R667" s="2" t="inlineStr"/>
    </row>
    <row r="668" ht="15" customHeight="1">
      <c r="A668" t="inlineStr">
        <is>
          <t>A 34586-2025</t>
        </is>
      </c>
      <c r="B668" s="1" t="n">
        <v>45847.61513888889</v>
      </c>
      <c r="C668" s="1" t="n">
        <v>46042</v>
      </c>
      <c r="D668" t="inlineStr">
        <is>
          <t>JÄMTLANDS LÄN</t>
        </is>
      </c>
      <c r="E668" t="inlineStr">
        <is>
          <t>RAGUNDA</t>
        </is>
      </c>
      <c r="G668" t="n">
        <v>1.6</v>
      </c>
      <c r="H668" t="n">
        <v>0</v>
      </c>
      <c r="I668" t="n">
        <v>0</v>
      </c>
      <c r="J668" t="n">
        <v>0</v>
      </c>
      <c r="K668" t="n">
        <v>0</v>
      </c>
      <c r="L668" t="n">
        <v>0</v>
      </c>
      <c r="M668" t="n">
        <v>0</v>
      </c>
      <c r="N668" t="n">
        <v>0</v>
      </c>
      <c r="O668" t="n">
        <v>0</v>
      </c>
      <c r="P668" t="n">
        <v>0</v>
      </c>
      <c r="Q668" t="n">
        <v>0</v>
      </c>
      <c r="R668" s="2" t="inlineStr"/>
    </row>
    <row r="669" ht="15" customHeight="1">
      <c r="A669" t="inlineStr">
        <is>
          <t>A 34588-2025</t>
        </is>
      </c>
      <c r="B669" s="1" t="n">
        <v>45847.61548611111</v>
      </c>
      <c r="C669" s="1" t="n">
        <v>46042</v>
      </c>
      <c r="D669" t="inlineStr">
        <is>
          <t>JÄMTLANDS LÄN</t>
        </is>
      </c>
      <c r="E669" t="inlineStr">
        <is>
          <t>RAGUNDA</t>
        </is>
      </c>
      <c r="G669" t="n">
        <v>32.3</v>
      </c>
      <c r="H669" t="n">
        <v>0</v>
      </c>
      <c r="I669" t="n">
        <v>0</v>
      </c>
      <c r="J669" t="n">
        <v>0</v>
      </c>
      <c r="K669" t="n">
        <v>0</v>
      </c>
      <c r="L669" t="n">
        <v>0</v>
      </c>
      <c r="M669" t="n">
        <v>0</v>
      </c>
      <c r="N669" t="n">
        <v>0</v>
      </c>
      <c r="O669" t="n">
        <v>0</v>
      </c>
      <c r="P669" t="n">
        <v>0</v>
      </c>
      <c r="Q669" t="n">
        <v>0</v>
      </c>
      <c r="R669" s="2" t="inlineStr"/>
    </row>
    <row r="670" ht="15" customHeight="1">
      <c r="A670" t="inlineStr">
        <is>
          <t>A 47229-2025</t>
        </is>
      </c>
      <c r="B670" s="1" t="n">
        <v>45930.40166666666</v>
      </c>
      <c r="C670" s="1" t="n">
        <v>46042</v>
      </c>
      <c r="D670" t="inlineStr">
        <is>
          <t>JÄMTLANDS LÄN</t>
        </is>
      </c>
      <c r="E670" t="inlineStr">
        <is>
          <t>RAGUNDA</t>
        </is>
      </c>
      <c r="G670" t="n">
        <v>1.8</v>
      </c>
      <c r="H670" t="n">
        <v>0</v>
      </c>
      <c r="I670" t="n">
        <v>0</v>
      </c>
      <c r="J670" t="n">
        <v>0</v>
      </c>
      <c r="K670" t="n">
        <v>0</v>
      </c>
      <c r="L670" t="n">
        <v>0</v>
      </c>
      <c r="M670" t="n">
        <v>0</v>
      </c>
      <c r="N670" t="n">
        <v>0</v>
      </c>
      <c r="O670" t="n">
        <v>0</v>
      </c>
      <c r="P670" t="n">
        <v>0</v>
      </c>
      <c r="Q670" t="n">
        <v>0</v>
      </c>
      <c r="R670" s="2" t="inlineStr"/>
    </row>
    <row r="671" ht="15" customHeight="1">
      <c r="A671" t="inlineStr">
        <is>
          <t>A 34296-2025</t>
        </is>
      </c>
      <c r="B671" s="1" t="n">
        <v>45846.34454861111</v>
      </c>
      <c r="C671" s="1" t="n">
        <v>46042</v>
      </c>
      <c r="D671" t="inlineStr">
        <is>
          <t>JÄMTLANDS LÄN</t>
        </is>
      </c>
      <c r="E671" t="inlineStr">
        <is>
          <t>RAGUNDA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47748-2025</t>
        </is>
      </c>
      <c r="B672" s="1" t="n">
        <v>45931.65693287037</v>
      </c>
      <c r="C672" s="1" t="n">
        <v>46042</v>
      </c>
      <c r="D672" t="inlineStr">
        <is>
          <t>JÄMTLANDS LÄN</t>
        </is>
      </c>
      <c r="E672" t="inlineStr">
        <is>
          <t>RAGUNDA</t>
        </is>
      </c>
      <c r="F672" t="inlineStr">
        <is>
          <t>SCA</t>
        </is>
      </c>
      <c r="G672" t="n">
        <v>8.6</v>
      </c>
      <c r="H672" t="n">
        <v>0</v>
      </c>
      <c r="I672" t="n">
        <v>0</v>
      </c>
      <c r="J672" t="n">
        <v>0</v>
      </c>
      <c r="K672" t="n">
        <v>0</v>
      </c>
      <c r="L672" t="n">
        <v>0</v>
      </c>
      <c r="M672" t="n">
        <v>0</v>
      </c>
      <c r="N672" t="n">
        <v>0</v>
      </c>
      <c r="O672" t="n">
        <v>0</v>
      </c>
      <c r="P672" t="n">
        <v>0</v>
      </c>
      <c r="Q672" t="n">
        <v>0</v>
      </c>
      <c r="R672" s="2" t="inlineStr"/>
    </row>
    <row r="673" ht="15" customHeight="1">
      <c r="A673" t="inlineStr">
        <is>
          <t>A 34709-2025</t>
        </is>
      </c>
      <c r="B673" s="1" t="n">
        <v>45848.49761574074</v>
      </c>
      <c r="C673" s="1" t="n">
        <v>46042</v>
      </c>
      <c r="D673" t="inlineStr">
        <is>
          <t>JÄMTLANDS LÄN</t>
        </is>
      </c>
      <c r="E673" t="inlineStr">
        <is>
          <t>RAGUNDA</t>
        </is>
      </c>
      <c r="G673" t="n">
        <v>3.1</v>
      </c>
      <c r="H673" t="n">
        <v>0</v>
      </c>
      <c r="I673" t="n">
        <v>0</v>
      </c>
      <c r="J673" t="n">
        <v>0</v>
      </c>
      <c r="K673" t="n">
        <v>0</v>
      </c>
      <c r="L673" t="n">
        <v>0</v>
      </c>
      <c r="M673" t="n">
        <v>0</v>
      </c>
      <c r="N673" t="n">
        <v>0</v>
      </c>
      <c r="O673" t="n">
        <v>0</v>
      </c>
      <c r="P673" t="n">
        <v>0</v>
      </c>
      <c r="Q673" t="n">
        <v>0</v>
      </c>
      <c r="R673" s="2" t="inlineStr"/>
    </row>
    <row r="674" ht="15" customHeight="1">
      <c r="A674" t="inlineStr">
        <is>
          <t>A 34772-2025</t>
        </is>
      </c>
      <c r="B674" s="1" t="n">
        <v>45848.65658564815</v>
      </c>
      <c r="C674" s="1" t="n">
        <v>46042</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26026-2024</t>
        </is>
      </c>
      <c r="B675" s="1" t="n">
        <v>45467.96207175926</v>
      </c>
      <c r="C675" s="1" t="n">
        <v>46042</v>
      </c>
      <c r="D675" t="inlineStr">
        <is>
          <t>JÄMTLANDS LÄN</t>
        </is>
      </c>
      <c r="E675" t="inlineStr">
        <is>
          <t>RAGUNDA</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21332-2025</t>
        </is>
      </c>
      <c r="B676" s="1" t="n">
        <v>45782.36506944444</v>
      </c>
      <c r="C676" s="1" t="n">
        <v>46042</v>
      </c>
      <c r="D676" t="inlineStr">
        <is>
          <t>JÄMTLANDS LÄN</t>
        </is>
      </c>
      <c r="E676" t="inlineStr">
        <is>
          <t>RAGUNDA</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34710-2025</t>
        </is>
      </c>
      <c r="B677" s="1" t="n">
        <v>45848.49774305556</v>
      </c>
      <c r="C677" s="1" t="n">
        <v>46042</v>
      </c>
      <c r="D677" t="inlineStr">
        <is>
          <t>JÄMTLANDS LÄN</t>
        </is>
      </c>
      <c r="E677" t="inlineStr">
        <is>
          <t>RAGUNDA</t>
        </is>
      </c>
      <c r="G677" t="n">
        <v>4.1</v>
      </c>
      <c r="H677" t="n">
        <v>0</v>
      </c>
      <c r="I677" t="n">
        <v>0</v>
      </c>
      <c r="J677" t="n">
        <v>0</v>
      </c>
      <c r="K677" t="n">
        <v>0</v>
      </c>
      <c r="L677" t="n">
        <v>0</v>
      </c>
      <c r="M677" t="n">
        <v>0</v>
      </c>
      <c r="N677" t="n">
        <v>0</v>
      </c>
      <c r="O677" t="n">
        <v>0</v>
      </c>
      <c r="P677" t="n">
        <v>0</v>
      </c>
      <c r="Q677" t="n">
        <v>0</v>
      </c>
      <c r="R677" s="2" t="inlineStr"/>
    </row>
    <row r="678" ht="15" customHeight="1">
      <c r="A678" t="inlineStr">
        <is>
          <t>A 5429-2024</t>
        </is>
      </c>
      <c r="B678" s="1" t="n">
        <v>45331.92746527777</v>
      </c>
      <c r="C678" s="1" t="n">
        <v>46042</v>
      </c>
      <c r="D678" t="inlineStr">
        <is>
          <t>JÄMTLANDS LÄN</t>
        </is>
      </c>
      <c r="E678" t="inlineStr">
        <is>
          <t>RAGUNDA</t>
        </is>
      </c>
      <c r="G678" t="n">
        <v>1.1</v>
      </c>
      <c r="H678" t="n">
        <v>0</v>
      </c>
      <c r="I678" t="n">
        <v>0</v>
      </c>
      <c r="J678" t="n">
        <v>0</v>
      </c>
      <c r="K678" t="n">
        <v>0</v>
      </c>
      <c r="L678" t="n">
        <v>0</v>
      </c>
      <c r="M678" t="n">
        <v>0</v>
      </c>
      <c r="N678" t="n">
        <v>0</v>
      </c>
      <c r="O678" t="n">
        <v>0</v>
      </c>
      <c r="P678" t="n">
        <v>0</v>
      </c>
      <c r="Q678" t="n">
        <v>0</v>
      </c>
      <c r="R678" s="2" t="inlineStr"/>
    </row>
    <row r="679" ht="15" customHeight="1">
      <c r="A679" t="inlineStr">
        <is>
          <t>A 34968-2025</t>
        </is>
      </c>
      <c r="B679" s="1" t="n">
        <v>45849.65663194445</v>
      </c>
      <c r="C679" s="1" t="n">
        <v>46042</v>
      </c>
      <c r="D679" t="inlineStr">
        <is>
          <t>JÄMTLANDS LÄN</t>
        </is>
      </c>
      <c r="E679" t="inlineStr">
        <is>
          <t>RAGUNDA</t>
        </is>
      </c>
      <c r="F679" t="inlineStr">
        <is>
          <t>SCA</t>
        </is>
      </c>
      <c r="G679" t="n">
        <v>20.2</v>
      </c>
      <c r="H679" t="n">
        <v>0</v>
      </c>
      <c r="I679" t="n">
        <v>0</v>
      </c>
      <c r="J679" t="n">
        <v>0</v>
      </c>
      <c r="K679" t="n">
        <v>0</v>
      </c>
      <c r="L679" t="n">
        <v>0</v>
      </c>
      <c r="M679" t="n">
        <v>0</v>
      </c>
      <c r="N679" t="n">
        <v>0</v>
      </c>
      <c r="O679" t="n">
        <v>0</v>
      </c>
      <c r="P679" t="n">
        <v>0</v>
      </c>
      <c r="Q679" t="n">
        <v>0</v>
      </c>
      <c r="R679" s="2" t="inlineStr"/>
    </row>
    <row r="680" ht="15" customHeight="1">
      <c r="A680" t="inlineStr">
        <is>
          <t>A 34998-2025</t>
        </is>
      </c>
      <c r="B680" s="1" t="n">
        <v>45850.34434027778</v>
      </c>
      <c r="C680" s="1" t="n">
        <v>46042</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34999-2025</t>
        </is>
      </c>
      <c r="B681" s="1" t="n">
        <v>45850.34450231482</v>
      </c>
      <c r="C681" s="1" t="n">
        <v>46042</v>
      </c>
      <c r="D681" t="inlineStr">
        <is>
          <t>JÄMTLANDS LÄN</t>
        </is>
      </c>
      <c r="E681" t="inlineStr">
        <is>
          <t>RAGUNDA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35092-2025</t>
        </is>
      </c>
      <c r="B682" s="1" t="n">
        <v>45852.53185185185</v>
      </c>
      <c r="C682" s="1" t="n">
        <v>46042</v>
      </c>
      <c r="D682" t="inlineStr">
        <is>
          <t>JÄMTLANDS LÄN</t>
        </is>
      </c>
      <c r="E682" t="inlineStr">
        <is>
          <t>RAGUNDA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3720-2025</t>
        </is>
      </c>
      <c r="B683" s="1" t="n">
        <v>45681.5315625</v>
      </c>
      <c r="C683" s="1" t="n">
        <v>46042</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3770-2025</t>
        </is>
      </c>
      <c r="B684" s="1" t="n">
        <v>45681.6050925926</v>
      </c>
      <c r="C684" s="1" t="n">
        <v>46042</v>
      </c>
      <c r="D684" t="inlineStr">
        <is>
          <t>JÄMTLANDS LÄN</t>
        </is>
      </c>
      <c r="E684" t="inlineStr">
        <is>
          <t>RAGUNDA</t>
        </is>
      </c>
      <c r="G684" t="n">
        <v>2.7</v>
      </c>
      <c r="H684" t="n">
        <v>0</v>
      </c>
      <c r="I684" t="n">
        <v>0</v>
      </c>
      <c r="J684" t="n">
        <v>0</v>
      </c>
      <c r="K684" t="n">
        <v>0</v>
      </c>
      <c r="L684" t="n">
        <v>0</v>
      </c>
      <c r="M684" t="n">
        <v>0</v>
      </c>
      <c r="N684" t="n">
        <v>0</v>
      </c>
      <c r="O684" t="n">
        <v>0</v>
      </c>
      <c r="P684" t="n">
        <v>0</v>
      </c>
      <c r="Q684" t="n">
        <v>0</v>
      </c>
      <c r="R684" s="2" t="inlineStr"/>
    </row>
    <row r="685" ht="15" customHeight="1">
      <c r="A685" t="inlineStr">
        <is>
          <t>A 35091-2025</t>
        </is>
      </c>
      <c r="B685" s="1" t="n">
        <v>45852.53168981482</v>
      </c>
      <c r="C685" s="1" t="n">
        <v>46042</v>
      </c>
      <c r="D685" t="inlineStr">
        <is>
          <t>JÄMTLANDS LÄN</t>
        </is>
      </c>
      <c r="E685" t="inlineStr">
        <is>
          <t>RAGUNDA</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51579-2024</t>
        </is>
      </c>
      <c r="B686" s="1" t="n">
        <v>45604.63575231482</v>
      </c>
      <c r="C686" s="1" t="n">
        <v>46042</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35462-2025</t>
        </is>
      </c>
      <c r="B687" s="1" t="n">
        <v>45855.61523148148</v>
      </c>
      <c r="C687" s="1" t="n">
        <v>46042</v>
      </c>
      <c r="D687" t="inlineStr">
        <is>
          <t>JÄMTLANDS LÄN</t>
        </is>
      </c>
      <c r="E687" t="inlineStr">
        <is>
          <t>RAGUNDA</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8775-2025</t>
        </is>
      </c>
      <c r="B688" s="1" t="n">
        <v>45712.61502314815</v>
      </c>
      <c r="C688" s="1" t="n">
        <v>46042</v>
      </c>
      <c r="D688" t="inlineStr">
        <is>
          <t>JÄMTLANDS LÄN</t>
        </is>
      </c>
      <c r="E688" t="inlineStr">
        <is>
          <t>RAGUNDA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35355-2025</t>
        </is>
      </c>
      <c r="B689" s="1" t="n">
        <v>45854.65663194445</v>
      </c>
      <c r="C689" s="1" t="n">
        <v>46042</v>
      </c>
      <c r="D689" t="inlineStr">
        <is>
          <t>JÄMTLANDS LÄN</t>
        </is>
      </c>
      <c r="E689" t="inlineStr">
        <is>
          <t>RAGUNDA</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35477-2025</t>
        </is>
      </c>
      <c r="B690" s="1" t="n">
        <v>45855.67899305555</v>
      </c>
      <c r="C690" s="1" t="n">
        <v>46042</v>
      </c>
      <c r="D690" t="inlineStr">
        <is>
          <t>JÄMTLANDS LÄN</t>
        </is>
      </c>
      <c r="E690" t="inlineStr">
        <is>
          <t>RAGUNDA</t>
        </is>
      </c>
      <c r="G690" t="n">
        <v>3.6</v>
      </c>
      <c r="H690" t="n">
        <v>0</v>
      </c>
      <c r="I690" t="n">
        <v>0</v>
      </c>
      <c r="J690" t="n">
        <v>0</v>
      </c>
      <c r="K690" t="n">
        <v>0</v>
      </c>
      <c r="L690" t="n">
        <v>0</v>
      </c>
      <c r="M690" t="n">
        <v>0</v>
      </c>
      <c r="N690" t="n">
        <v>0</v>
      </c>
      <c r="O690" t="n">
        <v>0</v>
      </c>
      <c r="P690" t="n">
        <v>0</v>
      </c>
      <c r="Q690" t="n">
        <v>0</v>
      </c>
      <c r="R690" s="2" t="inlineStr"/>
    </row>
    <row r="691" ht="15" customHeight="1">
      <c r="A691" t="inlineStr">
        <is>
          <t>A 48748-2025</t>
        </is>
      </c>
      <c r="B691" s="1" t="n">
        <v>45936.67912037037</v>
      </c>
      <c r="C691" s="1" t="n">
        <v>46042</v>
      </c>
      <c r="D691" t="inlineStr">
        <is>
          <t>JÄMTLANDS LÄN</t>
        </is>
      </c>
      <c r="E691" t="inlineStr">
        <is>
          <t>RAGUNDA</t>
        </is>
      </c>
      <c r="F691" t="inlineStr">
        <is>
          <t>SCA</t>
        </is>
      </c>
      <c r="G691" t="n">
        <v>11.1</v>
      </c>
      <c r="H691" t="n">
        <v>0</v>
      </c>
      <c r="I691" t="n">
        <v>0</v>
      </c>
      <c r="J691" t="n">
        <v>0</v>
      </c>
      <c r="K691" t="n">
        <v>0</v>
      </c>
      <c r="L691" t="n">
        <v>0</v>
      </c>
      <c r="M691" t="n">
        <v>0</v>
      </c>
      <c r="N691" t="n">
        <v>0</v>
      </c>
      <c r="O691" t="n">
        <v>0</v>
      </c>
      <c r="P691" t="n">
        <v>0</v>
      </c>
      <c r="Q691" t="n">
        <v>0</v>
      </c>
      <c r="R691" s="2" t="inlineStr"/>
    </row>
    <row r="692" ht="15" customHeight="1">
      <c r="A692" t="inlineStr">
        <is>
          <t>A 2339-2025</t>
        </is>
      </c>
      <c r="B692" s="1" t="n">
        <v>45673.66358796296</v>
      </c>
      <c r="C692" s="1" t="n">
        <v>46042</v>
      </c>
      <c r="D692" t="inlineStr">
        <is>
          <t>JÄMTLANDS LÄN</t>
        </is>
      </c>
      <c r="E692" t="inlineStr">
        <is>
          <t>RAGUNDA</t>
        </is>
      </c>
      <c r="G692" t="n">
        <v>5</v>
      </c>
      <c r="H692" t="n">
        <v>0</v>
      </c>
      <c r="I692" t="n">
        <v>0</v>
      </c>
      <c r="J692" t="n">
        <v>0</v>
      </c>
      <c r="K692" t="n">
        <v>0</v>
      </c>
      <c r="L692" t="n">
        <v>0</v>
      </c>
      <c r="M692" t="n">
        <v>0</v>
      </c>
      <c r="N692" t="n">
        <v>0</v>
      </c>
      <c r="O692" t="n">
        <v>0</v>
      </c>
      <c r="P692" t="n">
        <v>0</v>
      </c>
      <c r="Q692" t="n">
        <v>0</v>
      </c>
      <c r="R692" s="2" t="inlineStr"/>
    </row>
    <row r="693" ht="15" customHeight="1">
      <c r="A693" t="inlineStr">
        <is>
          <t>A 35541-2025</t>
        </is>
      </c>
      <c r="B693" s="1" t="n">
        <v>45856.46931712963</v>
      </c>
      <c r="C693" s="1" t="n">
        <v>46042</v>
      </c>
      <c r="D693" t="inlineStr">
        <is>
          <t>JÄMTLANDS LÄN</t>
        </is>
      </c>
      <c r="E693" t="inlineStr">
        <is>
          <t>RAGUNDA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48528-2025</t>
        </is>
      </c>
      <c r="B694" s="1" t="n">
        <v>45936.40758101852</v>
      </c>
      <c r="C694" s="1" t="n">
        <v>46042</v>
      </c>
      <c r="D694" t="inlineStr">
        <is>
          <t>JÄMTLANDS LÄN</t>
        </is>
      </c>
      <c r="E694" t="inlineStr">
        <is>
          <t>RAGUNDA</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48742-2025</t>
        </is>
      </c>
      <c r="B695" s="1" t="n">
        <v>45936.67810185185</v>
      </c>
      <c r="C695" s="1" t="n">
        <v>46042</v>
      </c>
      <c r="D695" t="inlineStr">
        <is>
          <t>JÄMTLANDS LÄN</t>
        </is>
      </c>
      <c r="E695" t="inlineStr">
        <is>
          <t>RAGUNDA</t>
        </is>
      </c>
      <c r="F695" t="inlineStr">
        <is>
          <t>SCA</t>
        </is>
      </c>
      <c r="G695" t="n">
        <v>8.9</v>
      </c>
      <c r="H695" t="n">
        <v>0</v>
      </c>
      <c r="I695" t="n">
        <v>0</v>
      </c>
      <c r="J695" t="n">
        <v>0</v>
      </c>
      <c r="K695" t="n">
        <v>0</v>
      </c>
      <c r="L695" t="n">
        <v>0</v>
      </c>
      <c r="M695" t="n">
        <v>0</v>
      </c>
      <c r="N695" t="n">
        <v>0</v>
      </c>
      <c r="O695" t="n">
        <v>0</v>
      </c>
      <c r="P695" t="n">
        <v>0</v>
      </c>
      <c r="Q695" t="n">
        <v>0</v>
      </c>
      <c r="R695" s="2" t="inlineStr"/>
    </row>
    <row r="696" ht="15" customHeight="1">
      <c r="A696" t="inlineStr">
        <is>
          <t>A 27499-2024</t>
        </is>
      </c>
      <c r="B696" s="1" t="n">
        <v>45474.50608796296</v>
      </c>
      <c r="C696" s="1" t="n">
        <v>46042</v>
      </c>
      <c r="D696" t="inlineStr">
        <is>
          <t>JÄMTLANDS LÄN</t>
        </is>
      </c>
      <c r="E696" t="inlineStr">
        <is>
          <t>RAGUNDA</t>
        </is>
      </c>
      <c r="G696" t="n">
        <v>1.3</v>
      </c>
      <c r="H696" t="n">
        <v>0</v>
      </c>
      <c r="I696" t="n">
        <v>0</v>
      </c>
      <c r="J696" t="n">
        <v>0</v>
      </c>
      <c r="K696" t="n">
        <v>0</v>
      </c>
      <c r="L696" t="n">
        <v>0</v>
      </c>
      <c r="M696" t="n">
        <v>0</v>
      </c>
      <c r="N696" t="n">
        <v>0</v>
      </c>
      <c r="O696" t="n">
        <v>0</v>
      </c>
      <c r="P696" t="n">
        <v>0</v>
      </c>
      <c r="Q696" t="n">
        <v>0</v>
      </c>
      <c r="R696" s="2" t="inlineStr"/>
    </row>
    <row r="697" ht="15" customHeight="1">
      <c r="A697" t="inlineStr">
        <is>
          <t>A 57078-2023</t>
        </is>
      </c>
      <c r="B697" s="1" t="n">
        <v>45244.96774305555</v>
      </c>
      <c r="C697" s="1" t="n">
        <v>46042</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35658-2025</t>
        </is>
      </c>
      <c r="B698" s="1" t="n">
        <v>45859.594375</v>
      </c>
      <c r="C698" s="1" t="n">
        <v>46042</v>
      </c>
      <c r="D698" t="inlineStr">
        <is>
          <t>JÄMTLANDS LÄN</t>
        </is>
      </c>
      <c r="E698" t="inlineStr">
        <is>
          <t>RAGUNDA</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59368-2022</t>
        </is>
      </c>
      <c r="B699" s="1" t="n">
        <v>44904.94824074074</v>
      </c>
      <c r="C699" s="1" t="n">
        <v>46042</v>
      </c>
      <c r="D699" t="inlineStr">
        <is>
          <t>JÄMTLANDS LÄN</t>
        </is>
      </c>
      <c r="E699" t="inlineStr">
        <is>
          <t>RAGUNDA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48746-2025</t>
        </is>
      </c>
      <c r="B700" s="1" t="n">
        <v>45936.67878472222</v>
      </c>
      <c r="C700" s="1" t="n">
        <v>46042</v>
      </c>
      <c r="D700" t="inlineStr">
        <is>
          <t>JÄMTLANDS LÄN</t>
        </is>
      </c>
      <c r="E700" t="inlineStr">
        <is>
          <t>RAGUNDA</t>
        </is>
      </c>
      <c r="F700" t="inlineStr">
        <is>
          <t>SCA</t>
        </is>
      </c>
      <c r="G700" t="n">
        <v>6.5</v>
      </c>
      <c r="H700" t="n">
        <v>0</v>
      </c>
      <c r="I700" t="n">
        <v>0</v>
      </c>
      <c r="J700" t="n">
        <v>0</v>
      </c>
      <c r="K700" t="n">
        <v>0</v>
      </c>
      <c r="L700" t="n">
        <v>0</v>
      </c>
      <c r="M700" t="n">
        <v>0</v>
      </c>
      <c r="N700" t="n">
        <v>0</v>
      </c>
      <c r="O700" t="n">
        <v>0</v>
      </c>
      <c r="P700" t="n">
        <v>0</v>
      </c>
      <c r="Q700" t="n">
        <v>0</v>
      </c>
      <c r="R700" s="2" t="inlineStr"/>
    </row>
    <row r="701" ht="15" customHeight="1">
      <c r="A701" t="inlineStr">
        <is>
          <t>A 6801-2023</t>
        </is>
      </c>
      <c r="B701" s="1" t="n">
        <v>44966.95328703704</v>
      </c>
      <c r="C701" s="1" t="n">
        <v>46042</v>
      </c>
      <c r="D701" t="inlineStr">
        <is>
          <t>JÄMTLANDS LÄN</t>
        </is>
      </c>
      <c r="E701" t="inlineStr">
        <is>
          <t>RAGUNDA</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41656-2023</t>
        </is>
      </c>
      <c r="B702" s="1" t="n">
        <v>45175</v>
      </c>
      <c r="C702" s="1" t="n">
        <v>46042</v>
      </c>
      <c r="D702" t="inlineStr">
        <is>
          <t>JÄMTLANDS LÄN</t>
        </is>
      </c>
      <c r="E702" t="inlineStr">
        <is>
          <t>RAGUNDA</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51646-2023</t>
        </is>
      </c>
      <c r="B703" s="1" t="n">
        <v>45215</v>
      </c>
      <c r="C703" s="1" t="n">
        <v>46042</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37268-2024</t>
        </is>
      </c>
      <c r="B704" s="1" t="n">
        <v>45540.38586805556</v>
      </c>
      <c r="C704" s="1" t="n">
        <v>46042</v>
      </c>
      <c r="D704" t="inlineStr">
        <is>
          <t>JÄMTLANDS LÄN</t>
        </is>
      </c>
      <c r="E704" t="inlineStr">
        <is>
          <t>RAGUNDA</t>
        </is>
      </c>
      <c r="F704" t="inlineStr">
        <is>
          <t>SCA</t>
        </is>
      </c>
      <c r="G704" t="n">
        <v>6.3</v>
      </c>
      <c r="H704" t="n">
        <v>0</v>
      </c>
      <c r="I704" t="n">
        <v>0</v>
      </c>
      <c r="J704" t="n">
        <v>0</v>
      </c>
      <c r="K704" t="n">
        <v>0</v>
      </c>
      <c r="L704" t="n">
        <v>0</v>
      </c>
      <c r="M704" t="n">
        <v>0</v>
      </c>
      <c r="N704" t="n">
        <v>0</v>
      </c>
      <c r="O704" t="n">
        <v>0</v>
      </c>
      <c r="P704" t="n">
        <v>0</v>
      </c>
      <c r="Q704" t="n">
        <v>0</v>
      </c>
      <c r="R704" s="2" t="inlineStr"/>
    </row>
    <row r="705" ht="15" customHeight="1">
      <c r="A705" t="inlineStr">
        <is>
          <t>A 14512-2025</t>
        </is>
      </c>
      <c r="B705" s="1" t="n">
        <v>45741.63659722222</v>
      </c>
      <c r="C705" s="1" t="n">
        <v>46042</v>
      </c>
      <c r="D705" t="inlineStr">
        <is>
          <t>JÄMTLANDS LÄN</t>
        </is>
      </c>
      <c r="E705" t="inlineStr">
        <is>
          <t>RAGUNDA</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49639-2025</t>
        </is>
      </c>
      <c r="B706" s="1" t="n">
        <v>45939.61253472222</v>
      </c>
      <c r="C706" s="1" t="n">
        <v>46042</v>
      </c>
      <c r="D706" t="inlineStr">
        <is>
          <t>JÄMTLANDS LÄN</t>
        </is>
      </c>
      <c r="E706" t="inlineStr">
        <is>
          <t>RAGUNDA</t>
        </is>
      </c>
      <c r="F706" t="inlineStr">
        <is>
          <t>Kommuner</t>
        </is>
      </c>
      <c r="G706" t="n">
        <v>13.6</v>
      </c>
      <c r="H706" t="n">
        <v>0</v>
      </c>
      <c r="I706" t="n">
        <v>0</v>
      </c>
      <c r="J706" t="n">
        <v>0</v>
      </c>
      <c r="K706" t="n">
        <v>0</v>
      </c>
      <c r="L706" t="n">
        <v>0</v>
      </c>
      <c r="M706" t="n">
        <v>0</v>
      </c>
      <c r="N706" t="n">
        <v>0</v>
      </c>
      <c r="O706" t="n">
        <v>0</v>
      </c>
      <c r="P706" t="n">
        <v>0</v>
      </c>
      <c r="Q706" t="n">
        <v>0</v>
      </c>
      <c r="R706" s="2" t="inlineStr"/>
    </row>
    <row r="707" ht="15" customHeight="1">
      <c r="A707" t="inlineStr">
        <is>
          <t>A 50649-2022</t>
        </is>
      </c>
      <c r="B707" s="1" t="n">
        <v>44866</v>
      </c>
      <c r="C707" s="1" t="n">
        <v>46042</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49059-2025</t>
        </is>
      </c>
      <c r="B708" s="1" t="n">
        <v>45937.64123842592</v>
      </c>
      <c r="C708" s="1" t="n">
        <v>46042</v>
      </c>
      <c r="D708" t="inlineStr">
        <is>
          <t>JÄMTLANDS LÄN</t>
        </is>
      </c>
      <c r="E708" t="inlineStr">
        <is>
          <t>RAGUNDA</t>
        </is>
      </c>
      <c r="G708" t="n">
        <v>2.1</v>
      </c>
      <c r="H708" t="n">
        <v>0</v>
      </c>
      <c r="I708" t="n">
        <v>0</v>
      </c>
      <c r="J708" t="n">
        <v>0</v>
      </c>
      <c r="K708" t="n">
        <v>0</v>
      </c>
      <c r="L708" t="n">
        <v>0</v>
      </c>
      <c r="M708" t="n">
        <v>0</v>
      </c>
      <c r="N708" t="n">
        <v>0</v>
      </c>
      <c r="O708" t="n">
        <v>0</v>
      </c>
      <c r="P708" t="n">
        <v>0</v>
      </c>
      <c r="Q708" t="n">
        <v>0</v>
      </c>
      <c r="R708" s="2" t="inlineStr"/>
    </row>
    <row r="709" ht="15" customHeight="1">
      <c r="A709" t="inlineStr">
        <is>
          <t>A 35689-2025</t>
        </is>
      </c>
      <c r="B709" s="1" t="n">
        <v>45860.30229166667</v>
      </c>
      <c r="C709" s="1" t="n">
        <v>46042</v>
      </c>
      <c r="D709" t="inlineStr">
        <is>
          <t>JÄMTLANDS LÄN</t>
        </is>
      </c>
      <c r="E709" t="inlineStr">
        <is>
          <t>RAGUNDA</t>
        </is>
      </c>
      <c r="G709" t="n">
        <v>1.9</v>
      </c>
      <c r="H709" t="n">
        <v>0</v>
      </c>
      <c r="I709" t="n">
        <v>0</v>
      </c>
      <c r="J709" t="n">
        <v>0</v>
      </c>
      <c r="K709" t="n">
        <v>0</v>
      </c>
      <c r="L709" t="n">
        <v>0</v>
      </c>
      <c r="M709" t="n">
        <v>0</v>
      </c>
      <c r="N709" t="n">
        <v>0</v>
      </c>
      <c r="O709" t="n">
        <v>0</v>
      </c>
      <c r="P709" t="n">
        <v>0</v>
      </c>
      <c r="Q709" t="n">
        <v>0</v>
      </c>
      <c r="R709" s="2" t="inlineStr"/>
    </row>
    <row r="710" ht="15" customHeight="1">
      <c r="A710" t="inlineStr">
        <is>
          <t>A 49193-2025</t>
        </is>
      </c>
      <c r="B710" s="1" t="n">
        <v>45938.40831018519</v>
      </c>
      <c r="C710" s="1" t="n">
        <v>46042</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59759-2024</t>
        </is>
      </c>
      <c r="B711" s="1" t="n">
        <v>45639.55240740741</v>
      </c>
      <c r="C711" s="1" t="n">
        <v>46042</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35537-2021</t>
        </is>
      </c>
      <c r="B712" s="1" t="n">
        <v>44384</v>
      </c>
      <c r="C712" s="1" t="n">
        <v>46042</v>
      </c>
      <c r="D712" t="inlineStr">
        <is>
          <t>JÄMTLANDS LÄN</t>
        </is>
      </c>
      <c r="E712" t="inlineStr">
        <is>
          <t>RAGUNDA</t>
        </is>
      </c>
      <c r="G712" t="n">
        <v>3.1</v>
      </c>
      <c r="H712" t="n">
        <v>0</v>
      </c>
      <c r="I712" t="n">
        <v>0</v>
      </c>
      <c r="J712" t="n">
        <v>0</v>
      </c>
      <c r="K712" t="n">
        <v>0</v>
      </c>
      <c r="L712" t="n">
        <v>0</v>
      </c>
      <c r="M712" t="n">
        <v>0</v>
      </c>
      <c r="N712" t="n">
        <v>0</v>
      </c>
      <c r="O712" t="n">
        <v>0</v>
      </c>
      <c r="P712" t="n">
        <v>0</v>
      </c>
      <c r="Q712" t="n">
        <v>0</v>
      </c>
      <c r="R712" s="2" t="inlineStr"/>
    </row>
    <row r="713" ht="15" customHeight="1">
      <c r="A713" t="inlineStr">
        <is>
          <t>A 2819-2023</t>
        </is>
      </c>
      <c r="B713" s="1" t="n">
        <v>44944</v>
      </c>
      <c r="C713" s="1" t="n">
        <v>46042</v>
      </c>
      <c r="D713" t="inlineStr">
        <is>
          <t>JÄMTLANDS LÄN</t>
        </is>
      </c>
      <c r="E713" t="inlineStr">
        <is>
          <t>RAGUNDA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44536-2022</t>
        </is>
      </c>
      <c r="B714" s="1" t="n">
        <v>44839</v>
      </c>
      <c r="C714" s="1" t="n">
        <v>46042</v>
      </c>
      <c r="D714" t="inlineStr">
        <is>
          <t>JÄMTLANDS LÄN</t>
        </is>
      </c>
      <c r="E714" t="inlineStr">
        <is>
          <t>RAGUNDA</t>
        </is>
      </c>
      <c r="G714" t="n">
        <v>4</v>
      </c>
      <c r="H714" t="n">
        <v>0</v>
      </c>
      <c r="I714" t="n">
        <v>0</v>
      </c>
      <c r="J714" t="n">
        <v>0</v>
      </c>
      <c r="K714" t="n">
        <v>0</v>
      </c>
      <c r="L714" t="n">
        <v>0</v>
      </c>
      <c r="M714" t="n">
        <v>0</v>
      </c>
      <c r="N714" t="n">
        <v>0</v>
      </c>
      <c r="O714" t="n">
        <v>0</v>
      </c>
      <c r="P714" t="n">
        <v>0</v>
      </c>
      <c r="Q714" t="n">
        <v>0</v>
      </c>
      <c r="R714" s="2" t="inlineStr"/>
    </row>
    <row r="715" ht="15" customHeight="1">
      <c r="A715" t="inlineStr">
        <is>
          <t>A 49238-2025</t>
        </is>
      </c>
      <c r="B715" s="1" t="n">
        <v>45938.48231481481</v>
      </c>
      <c r="C715" s="1" t="n">
        <v>46042</v>
      </c>
      <c r="D715" t="inlineStr">
        <is>
          <t>JÄMTLANDS LÄN</t>
        </is>
      </c>
      <c r="E715" t="inlineStr">
        <is>
          <t>RAGUNDA</t>
        </is>
      </c>
      <c r="G715" t="n">
        <v>4.7</v>
      </c>
      <c r="H715" t="n">
        <v>0</v>
      </c>
      <c r="I715" t="n">
        <v>0</v>
      </c>
      <c r="J715" t="n">
        <v>0</v>
      </c>
      <c r="K715" t="n">
        <v>0</v>
      </c>
      <c r="L715" t="n">
        <v>0</v>
      </c>
      <c r="M715" t="n">
        <v>0</v>
      </c>
      <c r="N715" t="n">
        <v>0</v>
      </c>
      <c r="O715" t="n">
        <v>0</v>
      </c>
      <c r="P715" t="n">
        <v>0</v>
      </c>
      <c r="Q715" t="n">
        <v>0</v>
      </c>
      <c r="R715" s="2" t="inlineStr"/>
    </row>
    <row r="716" ht="15" customHeight="1">
      <c r="A716" t="inlineStr">
        <is>
          <t>A 49290-2025</t>
        </is>
      </c>
      <c r="B716" s="1" t="n">
        <v>45938.53168981482</v>
      </c>
      <c r="C716" s="1" t="n">
        <v>46042</v>
      </c>
      <c r="D716" t="inlineStr">
        <is>
          <t>JÄMTLANDS LÄN</t>
        </is>
      </c>
      <c r="E716" t="inlineStr">
        <is>
          <t>RAGUNDA</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54092-2024</t>
        </is>
      </c>
      <c r="B717" s="1" t="n">
        <v>45616.5108912037</v>
      </c>
      <c r="C717" s="1" t="n">
        <v>46042</v>
      </c>
      <c r="D717" t="inlineStr">
        <is>
          <t>JÄMTLANDS LÄN</t>
        </is>
      </c>
      <c r="E717" t="inlineStr">
        <is>
          <t>RAGUNDA</t>
        </is>
      </c>
      <c r="F717" t="inlineStr">
        <is>
          <t>Naturvårdsverket</t>
        </is>
      </c>
      <c r="G717" t="n">
        <v>1.3</v>
      </c>
      <c r="H717" t="n">
        <v>0</v>
      </c>
      <c r="I717" t="n">
        <v>0</v>
      </c>
      <c r="J717" t="n">
        <v>0</v>
      </c>
      <c r="K717" t="n">
        <v>0</v>
      </c>
      <c r="L717" t="n">
        <v>0</v>
      </c>
      <c r="M717" t="n">
        <v>0</v>
      </c>
      <c r="N717" t="n">
        <v>0</v>
      </c>
      <c r="O717" t="n">
        <v>0</v>
      </c>
      <c r="P717" t="n">
        <v>0</v>
      </c>
      <c r="Q717" t="n">
        <v>0</v>
      </c>
      <c r="R717" s="2" t="inlineStr"/>
    </row>
    <row r="718" ht="15" customHeight="1">
      <c r="A718" t="inlineStr">
        <is>
          <t>A 49092-2025</t>
        </is>
      </c>
      <c r="B718" s="1" t="n">
        <v>45937.67792824074</v>
      </c>
      <c r="C718" s="1" t="n">
        <v>46042</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34088-2025</t>
        </is>
      </c>
      <c r="B719" s="1" t="n">
        <v>45845</v>
      </c>
      <c r="C719" s="1" t="n">
        <v>46042</v>
      </c>
      <c r="D719" t="inlineStr">
        <is>
          <t>JÄMTLANDS LÄN</t>
        </is>
      </c>
      <c r="E719" t="inlineStr">
        <is>
          <t>RAGUNDA</t>
        </is>
      </c>
      <c r="G719" t="n">
        <v>1.4</v>
      </c>
      <c r="H719" t="n">
        <v>0</v>
      </c>
      <c r="I719" t="n">
        <v>0</v>
      </c>
      <c r="J719" t="n">
        <v>0</v>
      </c>
      <c r="K719" t="n">
        <v>0</v>
      </c>
      <c r="L719" t="n">
        <v>0</v>
      </c>
      <c r="M719" t="n">
        <v>0</v>
      </c>
      <c r="N719" t="n">
        <v>0</v>
      </c>
      <c r="O719" t="n">
        <v>0</v>
      </c>
      <c r="P719" t="n">
        <v>0</v>
      </c>
      <c r="Q719" t="n">
        <v>0</v>
      </c>
      <c r="R719" s="2" t="inlineStr"/>
    </row>
    <row r="720" ht="15" customHeight="1">
      <c r="A720" t="inlineStr">
        <is>
          <t>A 50215-2025</t>
        </is>
      </c>
      <c r="B720" s="1" t="n">
        <v>45943.67842592593</v>
      </c>
      <c r="C720" s="1" t="n">
        <v>46042</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30459-2021</t>
        </is>
      </c>
      <c r="B721" s="1" t="n">
        <v>44362</v>
      </c>
      <c r="C721" s="1" t="n">
        <v>46042</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49991-2025</t>
        </is>
      </c>
      <c r="B722" s="1" t="n">
        <v>45942.91568287037</v>
      </c>
      <c r="C722" s="1" t="n">
        <v>46042</v>
      </c>
      <c r="D722" t="inlineStr">
        <is>
          <t>JÄMTLANDS LÄN</t>
        </is>
      </c>
      <c r="E722" t="inlineStr">
        <is>
          <t>RAGUNDA</t>
        </is>
      </c>
      <c r="G722" t="n">
        <v>9</v>
      </c>
      <c r="H722" t="n">
        <v>0</v>
      </c>
      <c r="I722" t="n">
        <v>0</v>
      </c>
      <c r="J722" t="n">
        <v>0</v>
      </c>
      <c r="K722" t="n">
        <v>0</v>
      </c>
      <c r="L722" t="n">
        <v>0</v>
      </c>
      <c r="M722" t="n">
        <v>0</v>
      </c>
      <c r="N722" t="n">
        <v>0</v>
      </c>
      <c r="O722" t="n">
        <v>0</v>
      </c>
      <c r="P722" t="n">
        <v>0</v>
      </c>
      <c r="Q722" t="n">
        <v>0</v>
      </c>
      <c r="R722" s="2" t="inlineStr"/>
    </row>
    <row r="723" ht="15" customHeight="1">
      <c r="A723" t="inlineStr">
        <is>
          <t>A 49993-2025</t>
        </is>
      </c>
      <c r="B723" s="1" t="n">
        <v>45942.94371527778</v>
      </c>
      <c r="C723" s="1" t="n">
        <v>46042</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49994-2025</t>
        </is>
      </c>
      <c r="B724" s="1" t="n">
        <v>45942.96922453704</v>
      </c>
      <c r="C724" s="1" t="n">
        <v>46042</v>
      </c>
      <c r="D724" t="inlineStr">
        <is>
          <t>JÄMTLANDS LÄN</t>
        </is>
      </c>
      <c r="E724" t="inlineStr">
        <is>
          <t>RAGUNDA</t>
        </is>
      </c>
      <c r="G724" t="n">
        <v>4.5</v>
      </c>
      <c r="H724" t="n">
        <v>0</v>
      </c>
      <c r="I724" t="n">
        <v>0</v>
      </c>
      <c r="J724" t="n">
        <v>0</v>
      </c>
      <c r="K724" t="n">
        <v>0</v>
      </c>
      <c r="L724" t="n">
        <v>0</v>
      </c>
      <c r="M724" t="n">
        <v>0</v>
      </c>
      <c r="N724" t="n">
        <v>0</v>
      </c>
      <c r="O724" t="n">
        <v>0</v>
      </c>
      <c r="P724" t="n">
        <v>0</v>
      </c>
      <c r="Q724" t="n">
        <v>0</v>
      </c>
      <c r="R724" s="2" t="inlineStr"/>
    </row>
    <row r="725" ht="15" customHeight="1">
      <c r="A725" t="inlineStr">
        <is>
          <t>A 49995-2025</t>
        </is>
      </c>
      <c r="B725" s="1" t="n">
        <v>45943.00986111111</v>
      </c>
      <c r="C725" s="1" t="n">
        <v>46042</v>
      </c>
      <c r="D725" t="inlineStr">
        <is>
          <t>JÄMTLANDS LÄN</t>
        </is>
      </c>
      <c r="E725" t="inlineStr">
        <is>
          <t>RAGUNDA</t>
        </is>
      </c>
      <c r="G725" t="n">
        <v>2.5</v>
      </c>
      <c r="H725" t="n">
        <v>0</v>
      </c>
      <c r="I725" t="n">
        <v>0</v>
      </c>
      <c r="J725" t="n">
        <v>0</v>
      </c>
      <c r="K725" t="n">
        <v>0</v>
      </c>
      <c r="L725" t="n">
        <v>0</v>
      </c>
      <c r="M725" t="n">
        <v>0</v>
      </c>
      <c r="N725" t="n">
        <v>0</v>
      </c>
      <c r="O725" t="n">
        <v>0</v>
      </c>
      <c r="P725" t="n">
        <v>0</v>
      </c>
      <c r="Q725" t="n">
        <v>0</v>
      </c>
      <c r="R725" s="2" t="inlineStr"/>
    </row>
    <row r="726" ht="15" customHeight="1">
      <c r="A726" t="inlineStr">
        <is>
          <t>A 50126-2025</t>
        </is>
      </c>
      <c r="B726" s="1" t="n">
        <v>45943.55271990741</v>
      </c>
      <c r="C726" s="1" t="n">
        <v>46042</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36541-2025</t>
        </is>
      </c>
      <c r="B727" s="1" t="n">
        <v>45869.65666666667</v>
      </c>
      <c r="C727" s="1" t="n">
        <v>46042</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36544-2025</t>
        </is>
      </c>
      <c r="B728" s="1" t="n">
        <v>45869.67744212963</v>
      </c>
      <c r="C728" s="1" t="n">
        <v>46042</v>
      </c>
      <c r="D728" t="inlineStr">
        <is>
          <t>JÄMTLANDS LÄN</t>
        </is>
      </c>
      <c r="E728" t="inlineStr">
        <is>
          <t>RAGUNDA</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50098-2025</t>
        </is>
      </c>
      <c r="B729" s="1" t="n">
        <v>45943.51086805556</v>
      </c>
      <c r="C729" s="1" t="n">
        <v>46042</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50125-2025</t>
        </is>
      </c>
      <c r="B730" s="1" t="n">
        <v>45943.55262731481</v>
      </c>
      <c r="C730" s="1" t="n">
        <v>46042</v>
      </c>
      <c r="D730" t="inlineStr">
        <is>
          <t>JÄMTLANDS LÄN</t>
        </is>
      </c>
      <c r="E730" t="inlineStr">
        <is>
          <t>RAGUNDA</t>
        </is>
      </c>
      <c r="F730" t="inlineStr">
        <is>
          <t>Sveaskog</t>
        </is>
      </c>
      <c r="G730" t="n">
        <v>23.2</v>
      </c>
      <c r="H730" t="n">
        <v>0</v>
      </c>
      <c r="I730" t="n">
        <v>0</v>
      </c>
      <c r="J730" t="n">
        <v>0</v>
      </c>
      <c r="K730" t="n">
        <v>0</v>
      </c>
      <c r="L730" t="n">
        <v>0</v>
      </c>
      <c r="M730" t="n">
        <v>0</v>
      </c>
      <c r="N730" t="n">
        <v>0</v>
      </c>
      <c r="O730" t="n">
        <v>0</v>
      </c>
      <c r="P730" t="n">
        <v>0</v>
      </c>
      <c r="Q730" t="n">
        <v>0</v>
      </c>
      <c r="R730" s="2" t="inlineStr"/>
    </row>
    <row r="731" ht="15" customHeight="1">
      <c r="A731" t="inlineStr">
        <is>
          <t>A 37543-2023</t>
        </is>
      </c>
      <c r="B731" s="1" t="n">
        <v>45158.94231481481</v>
      </c>
      <c r="C731" s="1" t="n">
        <v>46042</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50081-2025</t>
        </is>
      </c>
      <c r="B732" s="1" t="n">
        <v>45943.46954861111</v>
      </c>
      <c r="C732" s="1" t="n">
        <v>46042</v>
      </c>
      <c r="D732" t="inlineStr">
        <is>
          <t>JÄMTLANDS LÄN</t>
        </is>
      </c>
      <c r="E732" t="inlineStr">
        <is>
          <t>RAGUNDA</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50055-2025</t>
        </is>
      </c>
      <c r="B733" s="1" t="n">
        <v>45943.43287037037</v>
      </c>
      <c r="C733" s="1" t="n">
        <v>46042</v>
      </c>
      <c r="D733" t="inlineStr">
        <is>
          <t>JÄMTLANDS LÄN</t>
        </is>
      </c>
      <c r="E733" t="inlineStr">
        <is>
          <t>RAGUNDA</t>
        </is>
      </c>
      <c r="G733" t="n">
        <v>17.6</v>
      </c>
      <c r="H733" t="n">
        <v>0</v>
      </c>
      <c r="I733" t="n">
        <v>0</v>
      </c>
      <c r="J733" t="n">
        <v>0</v>
      </c>
      <c r="K733" t="n">
        <v>0</v>
      </c>
      <c r="L733" t="n">
        <v>0</v>
      </c>
      <c r="M733" t="n">
        <v>0</v>
      </c>
      <c r="N733" t="n">
        <v>0</v>
      </c>
      <c r="O733" t="n">
        <v>0</v>
      </c>
      <c r="P733" t="n">
        <v>0</v>
      </c>
      <c r="Q733" t="n">
        <v>0</v>
      </c>
      <c r="R733" s="2" t="inlineStr"/>
    </row>
    <row r="734" ht="15" customHeight="1">
      <c r="A734" t="inlineStr">
        <is>
          <t>A 50080-2025</t>
        </is>
      </c>
      <c r="B734" s="1" t="n">
        <v>45943.469375</v>
      </c>
      <c r="C734" s="1" t="n">
        <v>46042</v>
      </c>
      <c r="D734" t="inlineStr">
        <is>
          <t>JÄMTLANDS LÄN</t>
        </is>
      </c>
      <c r="E734" t="inlineStr">
        <is>
          <t>RAGUNDA</t>
        </is>
      </c>
      <c r="F734" t="inlineStr">
        <is>
          <t>Naturvårdsverket</t>
        </is>
      </c>
      <c r="G734" t="n">
        <v>6.1</v>
      </c>
      <c r="H734" t="n">
        <v>0</v>
      </c>
      <c r="I734" t="n">
        <v>0</v>
      </c>
      <c r="J734" t="n">
        <v>0</v>
      </c>
      <c r="K734" t="n">
        <v>0</v>
      </c>
      <c r="L734" t="n">
        <v>0</v>
      </c>
      <c r="M734" t="n">
        <v>0</v>
      </c>
      <c r="N734" t="n">
        <v>0</v>
      </c>
      <c r="O734" t="n">
        <v>0</v>
      </c>
      <c r="P734" t="n">
        <v>0</v>
      </c>
      <c r="Q734" t="n">
        <v>0</v>
      </c>
      <c r="R734" s="2" t="inlineStr"/>
    </row>
    <row r="735" ht="15" customHeight="1">
      <c r="A735" t="inlineStr">
        <is>
          <t>A 36553-2025</t>
        </is>
      </c>
      <c r="B735" s="1" t="n">
        <v>45870.34439814815</v>
      </c>
      <c r="C735" s="1" t="n">
        <v>46042</v>
      </c>
      <c r="D735" t="inlineStr">
        <is>
          <t>JÄMTLANDS LÄN</t>
        </is>
      </c>
      <c r="E735" t="inlineStr">
        <is>
          <t>RAGUNDA</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50260-2025</t>
        </is>
      </c>
      <c r="B736" s="1" t="n">
        <v>45944.34515046296</v>
      </c>
      <c r="C736" s="1" t="n">
        <v>46042</v>
      </c>
      <c r="D736" t="inlineStr">
        <is>
          <t>JÄMTLANDS LÄN</t>
        </is>
      </c>
      <c r="E736" t="inlineStr">
        <is>
          <t>RAGUNDA</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7668-2025</t>
        </is>
      </c>
      <c r="B737" s="1" t="n">
        <v>45706.34450231482</v>
      </c>
      <c r="C737" s="1" t="n">
        <v>46042</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50473-2025</t>
        </is>
      </c>
      <c r="B738" s="1" t="n">
        <v>45945.36520833334</v>
      </c>
      <c r="C738" s="1" t="n">
        <v>46042</v>
      </c>
      <c r="D738" t="inlineStr">
        <is>
          <t>JÄMTLANDS LÄN</t>
        </is>
      </c>
      <c r="E738" t="inlineStr">
        <is>
          <t>RAGUNDA</t>
        </is>
      </c>
      <c r="F738" t="inlineStr">
        <is>
          <t>SCA</t>
        </is>
      </c>
      <c r="G738" t="n">
        <v>11.2</v>
      </c>
      <c r="H738" t="n">
        <v>0</v>
      </c>
      <c r="I738" t="n">
        <v>0</v>
      </c>
      <c r="J738" t="n">
        <v>0</v>
      </c>
      <c r="K738" t="n">
        <v>0</v>
      </c>
      <c r="L738" t="n">
        <v>0</v>
      </c>
      <c r="M738" t="n">
        <v>0</v>
      </c>
      <c r="N738" t="n">
        <v>0</v>
      </c>
      <c r="O738" t="n">
        <v>0</v>
      </c>
      <c r="P738" t="n">
        <v>0</v>
      </c>
      <c r="Q738" t="n">
        <v>0</v>
      </c>
      <c r="R738" s="2" t="inlineStr"/>
    </row>
    <row r="739" ht="15" customHeight="1">
      <c r="A739" t="inlineStr">
        <is>
          <t>A 36046-2023</t>
        </is>
      </c>
      <c r="B739" s="1" t="n">
        <v>45148</v>
      </c>
      <c r="C739" s="1" t="n">
        <v>46042</v>
      </c>
      <c r="D739" t="inlineStr">
        <is>
          <t>JÄMTLANDS LÄN</t>
        </is>
      </c>
      <c r="E739" t="inlineStr">
        <is>
          <t>RAGUNDA</t>
        </is>
      </c>
      <c r="G739" t="n">
        <v>1.9</v>
      </c>
      <c r="H739" t="n">
        <v>0</v>
      </c>
      <c r="I739" t="n">
        <v>0</v>
      </c>
      <c r="J739" t="n">
        <v>0</v>
      </c>
      <c r="K739" t="n">
        <v>0</v>
      </c>
      <c r="L739" t="n">
        <v>0</v>
      </c>
      <c r="M739" t="n">
        <v>0</v>
      </c>
      <c r="N739" t="n">
        <v>0</v>
      </c>
      <c r="O739" t="n">
        <v>0</v>
      </c>
      <c r="P739" t="n">
        <v>0</v>
      </c>
      <c r="Q739" t="n">
        <v>0</v>
      </c>
      <c r="R739" s="2" t="inlineStr"/>
    </row>
    <row r="740" ht="15" customHeight="1">
      <c r="A740" t="inlineStr">
        <is>
          <t>A 50504-2025</t>
        </is>
      </c>
      <c r="B740" s="1" t="n">
        <v>45945.4284837963</v>
      </c>
      <c r="C740" s="1" t="n">
        <v>46042</v>
      </c>
      <c r="D740" t="inlineStr">
        <is>
          <t>JÄMTLANDS LÄN</t>
        </is>
      </c>
      <c r="E740" t="inlineStr">
        <is>
          <t>RAGUNDA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50503-2025</t>
        </is>
      </c>
      <c r="B741" s="1" t="n">
        <v>45945.42746527777</v>
      </c>
      <c r="C741" s="1" t="n">
        <v>46042</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33650-2025</t>
        </is>
      </c>
      <c r="B742" s="1" t="n">
        <v>45841</v>
      </c>
      <c r="C742" s="1" t="n">
        <v>46042</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32075-2025</t>
        </is>
      </c>
      <c r="B743" s="1" t="n">
        <v>45835.4506712963</v>
      </c>
      <c r="C743" s="1" t="n">
        <v>46042</v>
      </c>
      <c r="D743" t="inlineStr">
        <is>
          <t>JÄMTLANDS LÄN</t>
        </is>
      </c>
      <c r="E743" t="inlineStr">
        <is>
          <t>RAGUNDA</t>
        </is>
      </c>
      <c r="G743" t="n">
        <v>1.1</v>
      </c>
      <c r="H743" t="n">
        <v>0</v>
      </c>
      <c r="I743" t="n">
        <v>0</v>
      </c>
      <c r="J743" t="n">
        <v>0</v>
      </c>
      <c r="K743" t="n">
        <v>0</v>
      </c>
      <c r="L743" t="n">
        <v>0</v>
      </c>
      <c r="M743" t="n">
        <v>0</v>
      </c>
      <c r="N743" t="n">
        <v>0</v>
      </c>
      <c r="O743" t="n">
        <v>0</v>
      </c>
      <c r="P743" t="n">
        <v>0</v>
      </c>
      <c r="Q743" t="n">
        <v>0</v>
      </c>
      <c r="R743" s="2" t="inlineStr"/>
    </row>
    <row r="744" ht="15" customHeight="1">
      <c r="A744" t="inlineStr">
        <is>
          <t>A 50711-2025</t>
        </is>
      </c>
      <c r="B744" s="1" t="n">
        <v>45946.34431712963</v>
      </c>
      <c r="C744" s="1" t="n">
        <v>46042</v>
      </c>
      <c r="D744" t="inlineStr">
        <is>
          <t>JÄMTLANDS LÄN</t>
        </is>
      </c>
      <c r="E744" t="inlineStr">
        <is>
          <t>RAGUNDA</t>
        </is>
      </c>
      <c r="F744" t="inlineStr">
        <is>
          <t>SCA</t>
        </is>
      </c>
      <c r="G744" t="n">
        <v>8</v>
      </c>
      <c r="H744" t="n">
        <v>0</v>
      </c>
      <c r="I744" t="n">
        <v>0</v>
      </c>
      <c r="J744" t="n">
        <v>0</v>
      </c>
      <c r="K744" t="n">
        <v>0</v>
      </c>
      <c r="L744" t="n">
        <v>0</v>
      </c>
      <c r="M744" t="n">
        <v>0</v>
      </c>
      <c r="N744" t="n">
        <v>0</v>
      </c>
      <c r="O744" t="n">
        <v>0</v>
      </c>
      <c r="P744" t="n">
        <v>0</v>
      </c>
      <c r="Q744" t="n">
        <v>0</v>
      </c>
      <c r="R744" s="2" t="inlineStr"/>
    </row>
    <row r="745" ht="15" customHeight="1">
      <c r="A745" t="inlineStr">
        <is>
          <t>A 50716-2025</t>
        </is>
      </c>
      <c r="B745" s="1" t="n">
        <v>45946.34572916666</v>
      </c>
      <c r="C745" s="1" t="n">
        <v>46042</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50719-2025</t>
        </is>
      </c>
      <c r="B746" s="1" t="n">
        <v>45946.34642361111</v>
      </c>
      <c r="C746" s="1" t="n">
        <v>46042</v>
      </c>
      <c r="D746" t="inlineStr">
        <is>
          <t>JÄMTLANDS LÄN</t>
        </is>
      </c>
      <c r="E746" t="inlineStr">
        <is>
          <t>RAGUNDA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32874-2025</t>
        </is>
      </c>
      <c r="B747" s="1" t="n">
        <v>45839</v>
      </c>
      <c r="C747" s="1" t="n">
        <v>46042</v>
      </c>
      <c r="D747" t="inlineStr">
        <is>
          <t>JÄMTLANDS LÄN</t>
        </is>
      </c>
      <c r="E747" t="inlineStr">
        <is>
          <t>RAGUNDA</t>
        </is>
      </c>
      <c r="G747" t="n">
        <v>2.3</v>
      </c>
      <c r="H747" t="n">
        <v>0</v>
      </c>
      <c r="I747" t="n">
        <v>0</v>
      </c>
      <c r="J747" t="n">
        <v>0</v>
      </c>
      <c r="K747" t="n">
        <v>0</v>
      </c>
      <c r="L747" t="n">
        <v>0</v>
      </c>
      <c r="M747" t="n">
        <v>0</v>
      </c>
      <c r="N747" t="n">
        <v>0</v>
      </c>
      <c r="O747" t="n">
        <v>0</v>
      </c>
      <c r="P747" t="n">
        <v>0</v>
      </c>
      <c r="Q747" t="n">
        <v>0</v>
      </c>
      <c r="R747" s="2" t="inlineStr"/>
    </row>
    <row r="748" ht="15" customHeight="1">
      <c r="A748" t="inlineStr">
        <is>
          <t>A 36994-2025</t>
        </is>
      </c>
      <c r="B748" s="1" t="n">
        <v>45874.67746527777</v>
      </c>
      <c r="C748" s="1" t="n">
        <v>46042</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8654-2024</t>
        </is>
      </c>
      <c r="B749" s="1" t="n">
        <v>45356.03784722222</v>
      </c>
      <c r="C749" s="1" t="n">
        <v>46042</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51019-2025</t>
        </is>
      </c>
      <c r="B750" s="1" t="n">
        <v>45947.38623842593</v>
      </c>
      <c r="C750" s="1" t="n">
        <v>46042</v>
      </c>
      <c r="D750" t="inlineStr">
        <is>
          <t>JÄMTLANDS LÄN</t>
        </is>
      </c>
      <c r="E750" t="inlineStr">
        <is>
          <t>RAGUNDA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37008-2025</t>
        </is>
      </c>
      <c r="B751" s="1" t="n">
        <v>45874.69844907407</v>
      </c>
      <c r="C751" s="1" t="n">
        <v>46042</v>
      </c>
      <c r="D751" t="inlineStr">
        <is>
          <t>JÄMTLANDS LÄN</t>
        </is>
      </c>
      <c r="E751" t="inlineStr">
        <is>
          <t>RAGUNDA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6902-2024</t>
        </is>
      </c>
      <c r="B752" s="1" t="n">
        <v>45342</v>
      </c>
      <c r="C752" s="1" t="n">
        <v>46042</v>
      </c>
      <c r="D752" t="inlineStr">
        <is>
          <t>JÄMTLANDS LÄN</t>
        </is>
      </c>
      <c r="E752" t="inlineStr">
        <is>
          <t>RAGUNDA</t>
        </is>
      </c>
      <c r="F752" t="inlineStr">
        <is>
          <t>SCA</t>
        </is>
      </c>
      <c r="G752" t="n">
        <v>18.7</v>
      </c>
      <c r="H752" t="n">
        <v>0</v>
      </c>
      <c r="I752" t="n">
        <v>0</v>
      </c>
      <c r="J752" t="n">
        <v>0</v>
      </c>
      <c r="K752" t="n">
        <v>0</v>
      </c>
      <c r="L752" t="n">
        <v>0</v>
      </c>
      <c r="M752" t="n">
        <v>0</v>
      </c>
      <c r="N752" t="n">
        <v>0</v>
      </c>
      <c r="O752" t="n">
        <v>0</v>
      </c>
      <c r="P752" t="n">
        <v>0</v>
      </c>
      <c r="Q752" t="n">
        <v>0</v>
      </c>
      <c r="R752" s="2" t="inlineStr"/>
    </row>
    <row r="753" ht="15" customHeight="1">
      <c r="A753" t="inlineStr">
        <is>
          <t>A 6905-2024</t>
        </is>
      </c>
      <c r="B753" s="1" t="n">
        <v>45342.9462037037</v>
      </c>
      <c r="C753" s="1" t="n">
        <v>46042</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22731-2023</t>
        </is>
      </c>
      <c r="B754" s="1" t="n">
        <v>45071</v>
      </c>
      <c r="C754" s="1" t="n">
        <v>46042</v>
      </c>
      <c r="D754" t="inlineStr">
        <is>
          <t>JÄMTLANDS LÄN</t>
        </is>
      </c>
      <c r="E754" t="inlineStr">
        <is>
          <t>RAGUNDA</t>
        </is>
      </c>
      <c r="G754" t="n">
        <v>1.5</v>
      </c>
      <c r="H754" t="n">
        <v>0</v>
      </c>
      <c r="I754" t="n">
        <v>0</v>
      </c>
      <c r="J754" t="n">
        <v>0</v>
      </c>
      <c r="K754" t="n">
        <v>0</v>
      </c>
      <c r="L754" t="n">
        <v>0</v>
      </c>
      <c r="M754" t="n">
        <v>0</v>
      </c>
      <c r="N754" t="n">
        <v>0</v>
      </c>
      <c r="O754" t="n">
        <v>0</v>
      </c>
      <c r="P754" t="n">
        <v>0</v>
      </c>
      <c r="Q754" t="n">
        <v>0</v>
      </c>
      <c r="R754" s="2" t="inlineStr"/>
    </row>
    <row r="755" ht="15" customHeight="1">
      <c r="A755" t="inlineStr">
        <is>
          <t>A 36947-2025</t>
        </is>
      </c>
      <c r="B755" s="1" t="n">
        <v>45874.59496527778</v>
      </c>
      <c r="C755" s="1" t="n">
        <v>46042</v>
      </c>
      <c r="D755" t="inlineStr">
        <is>
          <t>JÄMTLANDS LÄN</t>
        </is>
      </c>
      <c r="E755" t="inlineStr">
        <is>
          <t>RAGUNDA</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50985-2025</t>
        </is>
      </c>
      <c r="B756" s="1" t="n">
        <v>45947.34506944445</v>
      </c>
      <c r="C756" s="1" t="n">
        <v>46042</v>
      </c>
      <c r="D756" t="inlineStr">
        <is>
          <t>JÄMTLANDS LÄN</t>
        </is>
      </c>
      <c r="E756" t="inlineStr">
        <is>
          <t>RAGUNDA</t>
        </is>
      </c>
      <c r="F756" t="inlineStr">
        <is>
          <t>SCA</t>
        </is>
      </c>
      <c r="G756" t="n">
        <v>8</v>
      </c>
      <c r="H756" t="n">
        <v>0</v>
      </c>
      <c r="I756" t="n">
        <v>0</v>
      </c>
      <c r="J756" t="n">
        <v>0</v>
      </c>
      <c r="K756" t="n">
        <v>0</v>
      </c>
      <c r="L756" t="n">
        <v>0</v>
      </c>
      <c r="M756" t="n">
        <v>0</v>
      </c>
      <c r="N756" t="n">
        <v>0</v>
      </c>
      <c r="O756" t="n">
        <v>0</v>
      </c>
      <c r="P756" t="n">
        <v>0</v>
      </c>
      <c r="Q756" t="n">
        <v>0</v>
      </c>
      <c r="R756" s="2" t="inlineStr"/>
    </row>
    <row r="757" ht="15" customHeight="1">
      <c r="A757" t="inlineStr">
        <is>
          <t>A 51034-2025</t>
        </is>
      </c>
      <c r="B757" s="1" t="n">
        <v>45947.40670138889</v>
      </c>
      <c r="C757" s="1" t="n">
        <v>46042</v>
      </c>
      <c r="D757" t="inlineStr">
        <is>
          <t>JÄMTLANDS LÄN</t>
        </is>
      </c>
      <c r="E757" t="inlineStr">
        <is>
          <t>RAGUNDA</t>
        </is>
      </c>
      <c r="F757" t="inlineStr">
        <is>
          <t>SCA</t>
        </is>
      </c>
      <c r="G757" t="n">
        <v>44.1</v>
      </c>
      <c r="H757" t="n">
        <v>0</v>
      </c>
      <c r="I757" t="n">
        <v>0</v>
      </c>
      <c r="J757" t="n">
        <v>0</v>
      </c>
      <c r="K757" t="n">
        <v>0</v>
      </c>
      <c r="L757" t="n">
        <v>0</v>
      </c>
      <c r="M757" t="n">
        <v>0</v>
      </c>
      <c r="N757" t="n">
        <v>0</v>
      </c>
      <c r="O757" t="n">
        <v>0</v>
      </c>
      <c r="P757" t="n">
        <v>0</v>
      </c>
      <c r="Q757" t="n">
        <v>0</v>
      </c>
      <c r="R757" s="2" t="inlineStr"/>
    </row>
    <row r="758" ht="15" customHeight="1">
      <c r="A758" t="inlineStr">
        <is>
          <t>A 11245-2025</t>
        </is>
      </c>
      <c r="B758" s="1" t="n">
        <v>45726.38575231482</v>
      </c>
      <c r="C758" s="1" t="n">
        <v>46042</v>
      </c>
      <c r="D758" t="inlineStr">
        <is>
          <t>JÄMTLANDS LÄN</t>
        </is>
      </c>
      <c r="E758" t="inlineStr">
        <is>
          <t>RAGUNDA</t>
        </is>
      </c>
      <c r="G758" t="n">
        <v>2.3</v>
      </c>
      <c r="H758" t="n">
        <v>0</v>
      </c>
      <c r="I758" t="n">
        <v>0</v>
      </c>
      <c r="J758" t="n">
        <v>0</v>
      </c>
      <c r="K758" t="n">
        <v>0</v>
      </c>
      <c r="L758" t="n">
        <v>0</v>
      </c>
      <c r="M758" t="n">
        <v>0</v>
      </c>
      <c r="N758" t="n">
        <v>0</v>
      </c>
      <c r="O758" t="n">
        <v>0</v>
      </c>
      <c r="P758" t="n">
        <v>0</v>
      </c>
      <c r="Q758" t="n">
        <v>0</v>
      </c>
      <c r="R758" s="2" t="inlineStr"/>
    </row>
    <row r="759" ht="15" customHeight="1">
      <c r="A759" t="inlineStr">
        <is>
          <t>A 61923-2024</t>
        </is>
      </c>
      <c r="B759" s="1" t="n">
        <v>45653.44836805556</v>
      </c>
      <c r="C759" s="1" t="n">
        <v>46042</v>
      </c>
      <c r="D759" t="inlineStr">
        <is>
          <t>JÄMTLANDS LÄN</t>
        </is>
      </c>
      <c r="E759" t="inlineStr">
        <is>
          <t>RAGUNDA</t>
        </is>
      </c>
      <c r="F759" t="inlineStr">
        <is>
          <t>SCA</t>
        </is>
      </c>
      <c r="G759" t="n">
        <v>11.1</v>
      </c>
      <c r="H759" t="n">
        <v>0</v>
      </c>
      <c r="I759" t="n">
        <v>0</v>
      </c>
      <c r="J759" t="n">
        <v>0</v>
      </c>
      <c r="K759" t="n">
        <v>0</v>
      </c>
      <c r="L759" t="n">
        <v>0</v>
      </c>
      <c r="M759" t="n">
        <v>0</v>
      </c>
      <c r="N759" t="n">
        <v>0</v>
      </c>
      <c r="O759" t="n">
        <v>0</v>
      </c>
      <c r="P759" t="n">
        <v>0</v>
      </c>
      <c r="Q759" t="n">
        <v>0</v>
      </c>
      <c r="R759" s="2" t="inlineStr"/>
    </row>
    <row r="760" ht="15" customHeight="1">
      <c r="A760" t="inlineStr">
        <is>
          <t>A 51592-2025</t>
        </is>
      </c>
      <c r="B760" s="1" t="n">
        <v>45951.36541666667</v>
      </c>
      <c r="C760" s="1" t="n">
        <v>46042</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23567-2024</t>
        </is>
      </c>
      <c r="B761" s="1" t="n">
        <v>45453.95538194444</v>
      </c>
      <c r="C761" s="1" t="n">
        <v>46042</v>
      </c>
      <c r="D761" t="inlineStr">
        <is>
          <t>JÄMTLANDS LÄN</t>
        </is>
      </c>
      <c r="E761" t="inlineStr">
        <is>
          <t>RAGUNDA</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19246-2023</t>
        </is>
      </c>
      <c r="B762" s="1" t="n">
        <v>45048.94340277778</v>
      </c>
      <c r="C762" s="1" t="n">
        <v>46042</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51395-2025</t>
        </is>
      </c>
      <c r="B763" s="1" t="n">
        <v>45950.46989583333</v>
      </c>
      <c r="C763" s="1" t="n">
        <v>46042</v>
      </c>
      <c r="D763" t="inlineStr">
        <is>
          <t>JÄMTLANDS LÄN</t>
        </is>
      </c>
      <c r="E763" t="inlineStr">
        <is>
          <t>RAGUNDA</t>
        </is>
      </c>
      <c r="F763" t="inlineStr">
        <is>
          <t>SCA</t>
        </is>
      </c>
      <c r="G763" t="n">
        <v>30.7</v>
      </c>
      <c r="H763" t="n">
        <v>0</v>
      </c>
      <c r="I763" t="n">
        <v>0</v>
      </c>
      <c r="J763" t="n">
        <v>0</v>
      </c>
      <c r="K763" t="n">
        <v>0</v>
      </c>
      <c r="L763" t="n">
        <v>0</v>
      </c>
      <c r="M763" t="n">
        <v>0</v>
      </c>
      <c r="N763" t="n">
        <v>0</v>
      </c>
      <c r="O763" t="n">
        <v>0</v>
      </c>
      <c r="P763" t="n">
        <v>0</v>
      </c>
      <c r="Q763" t="n">
        <v>0</v>
      </c>
      <c r="R763" s="2" t="inlineStr"/>
    </row>
    <row r="764" ht="15" customHeight="1">
      <c r="A764" t="inlineStr">
        <is>
          <t>A 51678-2025</t>
        </is>
      </c>
      <c r="B764" s="1" t="n">
        <v>45951.51106481482</v>
      </c>
      <c r="C764" s="1" t="n">
        <v>46042</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61109-2024</t>
        </is>
      </c>
      <c r="B765" s="1" t="n">
        <v>45645.55672453704</v>
      </c>
      <c r="C765" s="1" t="n">
        <v>46042</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37292-2025</t>
        </is>
      </c>
      <c r="B766" s="1" t="n">
        <v>45876.53188657408</v>
      </c>
      <c r="C766" s="1" t="n">
        <v>46042</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58955-2024</t>
        </is>
      </c>
      <c r="B767" s="1" t="n">
        <v>45636.57329861111</v>
      </c>
      <c r="C767" s="1" t="n">
        <v>46042</v>
      </c>
      <c r="D767" t="inlineStr">
        <is>
          <t>JÄMTLANDS LÄN</t>
        </is>
      </c>
      <c r="E767" t="inlineStr">
        <is>
          <t>RAGUNDA</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51593-2025</t>
        </is>
      </c>
      <c r="B768" s="1" t="n">
        <v>45951.36548611111</v>
      </c>
      <c r="C768" s="1" t="n">
        <v>46042</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51484-2025</t>
        </is>
      </c>
      <c r="B769" s="1" t="n">
        <v>45950.62196759259</v>
      </c>
      <c r="C769" s="1" t="n">
        <v>46042</v>
      </c>
      <c r="D769" t="inlineStr">
        <is>
          <t>JÄMTLANDS LÄN</t>
        </is>
      </c>
      <c r="E769" t="inlineStr">
        <is>
          <t>RAGUNDA</t>
        </is>
      </c>
      <c r="F769" t="inlineStr">
        <is>
          <t>SCA</t>
        </is>
      </c>
      <c r="G769" t="n">
        <v>23.1</v>
      </c>
      <c r="H769" t="n">
        <v>0</v>
      </c>
      <c r="I769" t="n">
        <v>0</v>
      </c>
      <c r="J769" t="n">
        <v>0</v>
      </c>
      <c r="K769" t="n">
        <v>0</v>
      </c>
      <c r="L769" t="n">
        <v>0</v>
      </c>
      <c r="M769" t="n">
        <v>0</v>
      </c>
      <c r="N769" t="n">
        <v>0</v>
      </c>
      <c r="O769" t="n">
        <v>0</v>
      </c>
      <c r="P769" t="n">
        <v>0</v>
      </c>
      <c r="Q769" t="n">
        <v>0</v>
      </c>
      <c r="R769" s="2" t="inlineStr"/>
    </row>
    <row r="770" ht="15" customHeight="1">
      <c r="A770" t="inlineStr">
        <is>
          <t>A 51491-2025</t>
        </is>
      </c>
      <c r="B770" s="1" t="n">
        <v>45950.63362268519</v>
      </c>
      <c r="C770" s="1" t="n">
        <v>46042</v>
      </c>
      <c r="D770" t="inlineStr">
        <is>
          <t>JÄMTLANDS LÄN</t>
        </is>
      </c>
      <c r="E770" t="inlineStr">
        <is>
          <t>RAGUNDA</t>
        </is>
      </c>
      <c r="G770" t="n">
        <v>1.1</v>
      </c>
      <c r="H770" t="n">
        <v>0</v>
      </c>
      <c r="I770" t="n">
        <v>0</v>
      </c>
      <c r="J770" t="n">
        <v>0</v>
      </c>
      <c r="K770" t="n">
        <v>0</v>
      </c>
      <c r="L770" t="n">
        <v>0</v>
      </c>
      <c r="M770" t="n">
        <v>0</v>
      </c>
      <c r="N770" t="n">
        <v>0</v>
      </c>
      <c r="O770" t="n">
        <v>0</v>
      </c>
      <c r="P770" t="n">
        <v>0</v>
      </c>
      <c r="Q770" t="n">
        <v>0</v>
      </c>
      <c r="R770" s="2" t="inlineStr"/>
    </row>
    <row r="771" ht="15" customHeight="1">
      <c r="A771" t="inlineStr">
        <is>
          <t>A 33877-2023</t>
        </is>
      </c>
      <c r="B771" s="1" t="n">
        <v>45133</v>
      </c>
      <c r="C771" s="1" t="n">
        <v>46042</v>
      </c>
      <c r="D771" t="inlineStr">
        <is>
          <t>JÄMTLANDS LÄN</t>
        </is>
      </c>
      <c r="E771" t="inlineStr">
        <is>
          <t>RAGUNDA</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51791-2025</t>
        </is>
      </c>
      <c r="B772" s="1" t="n">
        <v>45951.69833333333</v>
      </c>
      <c r="C772" s="1" t="n">
        <v>46042</v>
      </c>
      <c r="D772" t="inlineStr">
        <is>
          <t>JÄMTLANDS LÄN</t>
        </is>
      </c>
      <c r="E772" t="inlineStr">
        <is>
          <t>RAGUNDA</t>
        </is>
      </c>
      <c r="F772" t="inlineStr">
        <is>
          <t>SCA</t>
        </is>
      </c>
      <c r="G772" t="n">
        <v>43.3</v>
      </c>
      <c r="H772" t="n">
        <v>0</v>
      </c>
      <c r="I772" t="n">
        <v>0</v>
      </c>
      <c r="J772" t="n">
        <v>0</v>
      </c>
      <c r="K772" t="n">
        <v>0</v>
      </c>
      <c r="L772" t="n">
        <v>0</v>
      </c>
      <c r="M772" t="n">
        <v>0</v>
      </c>
      <c r="N772" t="n">
        <v>0</v>
      </c>
      <c r="O772" t="n">
        <v>0</v>
      </c>
      <c r="P772" t="n">
        <v>0</v>
      </c>
      <c r="Q772" t="n">
        <v>0</v>
      </c>
      <c r="R772" s="2" t="inlineStr"/>
    </row>
    <row r="773" ht="15" customHeight="1">
      <c r="A773" t="inlineStr">
        <is>
          <t>A 51702-2025</t>
        </is>
      </c>
      <c r="B773" s="1" t="n">
        <v>45951.55305555555</v>
      </c>
      <c r="C773" s="1" t="n">
        <v>46042</v>
      </c>
      <c r="D773" t="inlineStr">
        <is>
          <t>JÄMTLANDS LÄN</t>
        </is>
      </c>
      <c r="E773" t="inlineStr">
        <is>
          <t>RAGUNDA</t>
        </is>
      </c>
      <c r="G773" t="n">
        <v>11.4</v>
      </c>
      <c r="H773" t="n">
        <v>0</v>
      </c>
      <c r="I773" t="n">
        <v>0</v>
      </c>
      <c r="J773" t="n">
        <v>0</v>
      </c>
      <c r="K773" t="n">
        <v>0</v>
      </c>
      <c r="L773" t="n">
        <v>0</v>
      </c>
      <c r="M773" t="n">
        <v>0</v>
      </c>
      <c r="N773" t="n">
        <v>0</v>
      </c>
      <c r="O773" t="n">
        <v>0</v>
      </c>
      <c r="P773" t="n">
        <v>0</v>
      </c>
      <c r="Q773" t="n">
        <v>0</v>
      </c>
      <c r="R773" s="2" t="inlineStr"/>
    </row>
    <row r="774" ht="15" customHeight="1">
      <c r="A774" t="inlineStr">
        <is>
          <t>A 51394-2025</t>
        </is>
      </c>
      <c r="B774" s="1" t="n">
        <v>45950.46972222222</v>
      </c>
      <c r="C774" s="1" t="n">
        <v>46042</v>
      </c>
      <c r="D774" t="inlineStr">
        <is>
          <t>JÄMTLANDS LÄN</t>
        </is>
      </c>
      <c r="E774" t="inlineStr">
        <is>
          <t>RAGUNDA</t>
        </is>
      </c>
      <c r="F774" t="inlineStr">
        <is>
          <t>SCA</t>
        </is>
      </c>
      <c r="G774" t="n">
        <v>36.5</v>
      </c>
      <c r="H774" t="n">
        <v>0</v>
      </c>
      <c r="I774" t="n">
        <v>0</v>
      </c>
      <c r="J774" t="n">
        <v>0</v>
      </c>
      <c r="K774" t="n">
        <v>0</v>
      </c>
      <c r="L774" t="n">
        <v>0</v>
      </c>
      <c r="M774" t="n">
        <v>0</v>
      </c>
      <c r="N774" t="n">
        <v>0</v>
      </c>
      <c r="O774" t="n">
        <v>0</v>
      </c>
      <c r="P774" t="n">
        <v>0</v>
      </c>
      <c r="Q774" t="n">
        <v>0</v>
      </c>
      <c r="R774" s="2" t="inlineStr"/>
    </row>
    <row r="775" ht="15" customHeight="1">
      <c r="A775" t="inlineStr">
        <is>
          <t>A 52317-2025</t>
        </is>
      </c>
      <c r="B775" s="1" t="n">
        <v>45953.65675925926</v>
      </c>
      <c r="C775" s="1" t="n">
        <v>46042</v>
      </c>
      <c r="D775" t="inlineStr">
        <is>
          <t>JÄMTLANDS LÄN</t>
        </is>
      </c>
      <c r="E775" t="inlineStr">
        <is>
          <t>RAGUNDA</t>
        </is>
      </c>
      <c r="F775" t="inlineStr">
        <is>
          <t>SCA</t>
        </is>
      </c>
      <c r="G775" t="n">
        <v>27.2</v>
      </c>
      <c r="H775" t="n">
        <v>0</v>
      </c>
      <c r="I775" t="n">
        <v>0</v>
      </c>
      <c r="J775" t="n">
        <v>0</v>
      </c>
      <c r="K775" t="n">
        <v>0</v>
      </c>
      <c r="L775" t="n">
        <v>0</v>
      </c>
      <c r="M775" t="n">
        <v>0</v>
      </c>
      <c r="N775" t="n">
        <v>0</v>
      </c>
      <c r="O775" t="n">
        <v>0</v>
      </c>
      <c r="P775" t="n">
        <v>0</v>
      </c>
      <c r="Q775" t="n">
        <v>0</v>
      </c>
      <c r="R775" s="2" t="inlineStr"/>
    </row>
    <row r="776" ht="15" customHeight="1">
      <c r="A776" t="inlineStr">
        <is>
          <t>A 52122-2025</t>
        </is>
      </c>
      <c r="B776" s="1" t="n">
        <v>45952.71946759259</v>
      </c>
      <c r="C776" s="1" t="n">
        <v>46042</v>
      </c>
      <c r="D776" t="inlineStr">
        <is>
          <t>JÄMTLANDS LÄN</t>
        </is>
      </c>
      <c r="E776" t="inlineStr">
        <is>
          <t>RAGUNDA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62541-2022</t>
        </is>
      </c>
      <c r="B777" s="1" t="n">
        <v>44917</v>
      </c>
      <c r="C777" s="1" t="n">
        <v>46042</v>
      </c>
      <c r="D777" t="inlineStr">
        <is>
          <t>JÄMTLANDS LÄN</t>
        </is>
      </c>
      <c r="E777" t="inlineStr">
        <is>
          <t>RAGUNDA</t>
        </is>
      </c>
      <c r="G777" t="n">
        <v>2.6</v>
      </c>
      <c r="H777" t="n">
        <v>0</v>
      </c>
      <c r="I777" t="n">
        <v>0</v>
      </c>
      <c r="J777" t="n">
        <v>0</v>
      </c>
      <c r="K777" t="n">
        <v>0</v>
      </c>
      <c r="L777" t="n">
        <v>0</v>
      </c>
      <c r="M777" t="n">
        <v>0</v>
      </c>
      <c r="N777" t="n">
        <v>0</v>
      </c>
      <c r="O777" t="n">
        <v>0</v>
      </c>
      <c r="P777" t="n">
        <v>0</v>
      </c>
      <c r="Q777" t="n">
        <v>0</v>
      </c>
      <c r="R777" s="2" t="inlineStr"/>
    </row>
    <row r="778" ht="15" customHeight="1">
      <c r="A778" t="inlineStr">
        <is>
          <t>A 9567-2025</t>
        </is>
      </c>
      <c r="B778" s="1" t="n">
        <v>45715.61523148148</v>
      </c>
      <c r="C778" s="1" t="n">
        <v>46042</v>
      </c>
      <c r="D778" t="inlineStr">
        <is>
          <t>JÄMTLANDS LÄN</t>
        </is>
      </c>
      <c r="E778" t="inlineStr">
        <is>
          <t>RAGUNDA</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21661-2023</t>
        </is>
      </c>
      <c r="B779" s="1" t="n">
        <v>45063</v>
      </c>
      <c r="C779" s="1" t="n">
        <v>46042</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52330-2025</t>
        </is>
      </c>
      <c r="B780" s="1" t="n">
        <v>45953.67752314815</v>
      </c>
      <c r="C780" s="1" t="n">
        <v>46042</v>
      </c>
      <c r="D780" t="inlineStr">
        <is>
          <t>JÄMTLANDS LÄN</t>
        </is>
      </c>
      <c r="E780" t="inlineStr">
        <is>
          <t>RAGUNDA</t>
        </is>
      </c>
      <c r="F780" t="inlineStr">
        <is>
          <t>SCA</t>
        </is>
      </c>
      <c r="G780" t="n">
        <v>10.1</v>
      </c>
      <c r="H780" t="n">
        <v>0</v>
      </c>
      <c r="I780" t="n">
        <v>0</v>
      </c>
      <c r="J780" t="n">
        <v>0</v>
      </c>
      <c r="K780" t="n">
        <v>0</v>
      </c>
      <c r="L780" t="n">
        <v>0</v>
      </c>
      <c r="M780" t="n">
        <v>0</v>
      </c>
      <c r="N780" t="n">
        <v>0</v>
      </c>
      <c r="O780" t="n">
        <v>0</v>
      </c>
      <c r="P780" t="n">
        <v>0</v>
      </c>
      <c r="Q780" t="n">
        <v>0</v>
      </c>
      <c r="R780" s="2" t="inlineStr"/>
    </row>
    <row r="781" ht="15" customHeight="1">
      <c r="A781" t="inlineStr">
        <is>
          <t>A 52093-2025</t>
        </is>
      </c>
      <c r="B781" s="1" t="n">
        <v>45952.67865740741</v>
      </c>
      <c r="C781" s="1" t="n">
        <v>46042</v>
      </c>
      <c r="D781" t="inlineStr">
        <is>
          <t>JÄMTLANDS LÄN</t>
        </is>
      </c>
      <c r="E781" t="inlineStr">
        <is>
          <t>RAGUNDA</t>
        </is>
      </c>
      <c r="F781" t="inlineStr">
        <is>
          <t>SCA</t>
        </is>
      </c>
      <c r="G781" t="n">
        <v>22.7</v>
      </c>
      <c r="H781" t="n">
        <v>0</v>
      </c>
      <c r="I781" t="n">
        <v>0</v>
      </c>
      <c r="J781" t="n">
        <v>0</v>
      </c>
      <c r="K781" t="n">
        <v>0</v>
      </c>
      <c r="L781" t="n">
        <v>0</v>
      </c>
      <c r="M781" t="n">
        <v>0</v>
      </c>
      <c r="N781" t="n">
        <v>0</v>
      </c>
      <c r="O781" t="n">
        <v>0</v>
      </c>
      <c r="P781" t="n">
        <v>0</v>
      </c>
      <c r="Q781" t="n">
        <v>0</v>
      </c>
      <c r="R781" s="2" t="inlineStr"/>
    </row>
    <row r="782" ht="15" customHeight="1">
      <c r="A782" t="inlineStr">
        <is>
          <t>A 51882-2025</t>
        </is>
      </c>
      <c r="B782" s="1" t="n">
        <v>45952.40685185185</v>
      </c>
      <c r="C782" s="1" t="n">
        <v>46042</v>
      </c>
      <c r="D782" t="inlineStr">
        <is>
          <t>JÄMTLANDS LÄN</t>
        </is>
      </c>
      <c r="E782" t="inlineStr">
        <is>
          <t>RAGUNDA</t>
        </is>
      </c>
      <c r="F782" t="inlineStr">
        <is>
          <t>SCA</t>
        </is>
      </c>
      <c r="G782" t="n">
        <v>11.9</v>
      </c>
      <c r="H782" t="n">
        <v>0</v>
      </c>
      <c r="I782" t="n">
        <v>0</v>
      </c>
      <c r="J782" t="n">
        <v>0</v>
      </c>
      <c r="K782" t="n">
        <v>0</v>
      </c>
      <c r="L782" t="n">
        <v>0</v>
      </c>
      <c r="M782" t="n">
        <v>0</v>
      </c>
      <c r="N782" t="n">
        <v>0</v>
      </c>
      <c r="O782" t="n">
        <v>0</v>
      </c>
      <c r="P782" t="n">
        <v>0</v>
      </c>
      <c r="Q782" t="n">
        <v>0</v>
      </c>
      <c r="R782" s="2" t="inlineStr"/>
    </row>
    <row r="783" ht="15" customHeight="1">
      <c r="A783" t="inlineStr">
        <is>
          <t>A 51903-2025</t>
        </is>
      </c>
      <c r="B783" s="1" t="n">
        <v>45952.44857638889</v>
      </c>
      <c r="C783" s="1" t="n">
        <v>46042</v>
      </c>
      <c r="D783" t="inlineStr">
        <is>
          <t>JÄMTLANDS LÄN</t>
        </is>
      </c>
      <c r="E783" t="inlineStr">
        <is>
          <t>RAGUNDA</t>
        </is>
      </c>
      <c r="F783" t="inlineStr">
        <is>
          <t>SCA</t>
        </is>
      </c>
      <c r="G783" t="n">
        <v>20.8</v>
      </c>
      <c r="H783" t="n">
        <v>0</v>
      </c>
      <c r="I783" t="n">
        <v>0</v>
      </c>
      <c r="J783" t="n">
        <v>0</v>
      </c>
      <c r="K783" t="n">
        <v>0</v>
      </c>
      <c r="L783" t="n">
        <v>0</v>
      </c>
      <c r="M783" t="n">
        <v>0</v>
      </c>
      <c r="N783" t="n">
        <v>0</v>
      </c>
      <c r="O783" t="n">
        <v>0</v>
      </c>
      <c r="P783" t="n">
        <v>0</v>
      </c>
      <c r="Q783" t="n">
        <v>0</v>
      </c>
      <c r="R783" s="2" t="inlineStr"/>
    </row>
    <row r="784" ht="15" customHeight="1">
      <c r="A784" t="inlineStr">
        <is>
          <t>A 51932-2025</t>
        </is>
      </c>
      <c r="B784" s="1" t="n">
        <v>45952.51094907407</v>
      </c>
      <c r="C784" s="1" t="n">
        <v>46042</v>
      </c>
      <c r="D784" t="inlineStr">
        <is>
          <t>JÄMTLANDS LÄN</t>
        </is>
      </c>
      <c r="E784" t="inlineStr">
        <is>
          <t>RAGUNDA</t>
        </is>
      </c>
      <c r="F784" t="inlineStr">
        <is>
          <t>SCA</t>
        </is>
      </c>
      <c r="G784" t="n">
        <v>39.2</v>
      </c>
      <c r="H784" t="n">
        <v>0</v>
      </c>
      <c r="I784" t="n">
        <v>0</v>
      </c>
      <c r="J784" t="n">
        <v>0</v>
      </c>
      <c r="K784" t="n">
        <v>0</v>
      </c>
      <c r="L784" t="n">
        <v>0</v>
      </c>
      <c r="M784" t="n">
        <v>0</v>
      </c>
      <c r="N784" t="n">
        <v>0</v>
      </c>
      <c r="O784" t="n">
        <v>0</v>
      </c>
      <c r="P784" t="n">
        <v>0</v>
      </c>
      <c r="Q784" t="n">
        <v>0</v>
      </c>
      <c r="R784" s="2" t="inlineStr"/>
    </row>
    <row r="785" ht="15" customHeight="1">
      <c r="A785" t="inlineStr">
        <is>
          <t>A 51906-2025</t>
        </is>
      </c>
      <c r="B785" s="1" t="n">
        <v>45952.4615162037</v>
      </c>
      <c r="C785" s="1" t="n">
        <v>46042</v>
      </c>
      <c r="D785" t="inlineStr">
        <is>
          <t>JÄMTLANDS LÄN</t>
        </is>
      </c>
      <c r="E785" t="inlineStr">
        <is>
          <t>RAGUNDA</t>
        </is>
      </c>
      <c r="G785" t="n">
        <v>4.5</v>
      </c>
      <c r="H785" t="n">
        <v>0</v>
      </c>
      <c r="I785" t="n">
        <v>0</v>
      </c>
      <c r="J785" t="n">
        <v>0</v>
      </c>
      <c r="K785" t="n">
        <v>0</v>
      </c>
      <c r="L785" t="n">
        <v>0</v>
      </c>
      <c r="M785" t="n">
        <v>0</v>
      </c>
      <c r="N785" t="n">
        <v>0</v>
      </c>
      <c r="O785" t="n">
        <v>0</v>
      </c>
      <c r="P785" t="n">
        <v>0</v>
      </c>
      <c r="Q785" t="n">
        <v>0</v>
      </c>
      <c r="R785" s="2" t="inlineStr"/>
    </row>
    <row r="786" ht="15" customHeight="1">
      <c r="A786" t="inlineStr">
        <is>
          <t>A 52972-2025</t>
        </is>
      </c>
      <c r="B786" s="1" t="n">
        <v>45957.67783564814</v>
      </c>
      <c r="C786" s="1" t="n">
        <v>46042</v>
      </c>
      <c r="D786" t="inlineStr">
        <is>
          <t>JÄMTLANDS LÄN</t>
        </is>
      </c>
      <c r="E786" t="inlineStr">
        <is>
          <t>RAGUNDA</t>
        </is>
      </c>
      <c r="F786" t="inlineStr">
        <is>
          <t>SCA</t>
        </is>
      </c>
      <c r="G786" t="n">
        <v>53.4</v>
      </c>
      <c r="H786" t="n">
        <v>0</v>
      </c>
      <c r="I786" t="n">
        <v>0</v>
      </c>
      <c r="J786" t="n">
        <v>0</v>
      </c>
      <c r="K786" t="n">
        <v>0</v>
      </c>
      <c r="L786" t="n">
        <v>0</v>
      </c>
      <c r="M786" t="n">
        <v>0</v>
      </c>
      <c r="N786" t="n">
        <v>0</v>
      </c>
      <c r="O786" t="n">
        <v>0</v>
      </c>
      <c r="P786" t="n">
        <v>0</v>
      </c>
      <c r="Q786" t="n">
        <v>0</v>
      </c>
      <c r="R786" s="2" t="inlineStr"/>
    </row>
    <row r="787" ht="15" customHeight="1">
      <c r="A787" t="inlineStr">
        <is>
          <t>A 9504-2025</t>
        </is>
      </c>
      <c r="B787" s="1" t="n">
        <v>45714</v>
      </c>
      <c r="C787" s="1" t="n">
        <v>46042</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52430-2025</t>
        </is>
      </c>
      <c r="B788" s="1" t="n">
        <v>45954.38592592593</v>
      </c>
      <c r="C788" s="1" t="n">
        <v>46042</v>
      </c>
      <c r="D788" t="inlineStr">
        <is>
          <t>JÄMTLANDS LÄN</t>
        </is>
      </c>
      <c r="E788" t="inlineStr">
        <is>
          <t>RAGUNDA</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52875-2025</t>
        </is>
      </c>
      <c r="B789" s="1" t="n">
        <v>45957.53211805555</v>
      </c>
      <c r="C789" s="1" t="n">
        <v>46042</v>
      </c>
      <c r="D789" t="inlineStr">
        <is>
          <t>JÄMTLANDS LÄN</t>
        </is>
      </c>
      <c r="E789" t="inlineStr">
        <is>
          <t>RAGUNDA</t>
        </is>
      </c>
      <c r="F789" t="inlineStr">
        <is>
          <t>SCA</t>
        </is>
      </c>
      <c r="G789" t="n">
        <v>34.3</v>
      </c>
      <c r="H789" t="n">
        <v>0</v>
      </c>
      <c r="I789" t="n">
        <v>0</v>
      </c>
      <c r="J789" t="n">
        <v>0</v>
      </c>
      <c r="K789" t="n">
        <v>0</v>
      </c>
      <c r="L789" t="n">
        <v>0</v>
      </c>
      <c r="M789" t="n">
        <v>0</v>
      </c>
      <c r="N789" t="n">
        <v>0</v>
      </c>
      <c r="O789" t="n">
        <v>0</v>
      </c>
      <c r="P789" t="n">
        <v>0</v>
      </c>
      <c r="Q789" t="n">
        <v>0</v>
      </c>
      <c r="R789" s="2" t="inlineStr"/>
    </row>
    <row r="790" ht="15" customHeight="1">
      <c r="A790" t="inlineStr">
        <is>
          <t>A 69153-2021</t>
        </is>
      </c>
      <c r="B790" s="1" t="n">
        <v>44530.94694444445</v>
      </c>
      <c r="C790" s="1" t="n">
        <v>46042</v>
      </c>
      <c r="D790" t="inlineStr">
        <is>
          <t>JÄMTLANDS LÄN</t>
        </is>
      </c>
      <c r="E790" t="inlineStr">
        <is>
          <t>RAGUNDA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12585-2024</t>
        </is>
      </c>
      <c r="B791" s="1" t="n">
        <v>45379.93637731481</v>
      </c>
      <c r="C791" s="1" t="n">
        <v>46042</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55489-2024</t>
        </is>
      </c>
      <c r="B792" s="1" t="n">
        <v>45622.44774305556</v>
      </c>
      <c r="C792" s="1" t="n">
        <v>46042</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18631-2024</t>
        </is>
      </c>
      <c r="B793" s="1" t="n">
        <v>45425.96494212963</v>
      </c>
      <c r="C793" s="1" t="n">
        <v>46042</v>
      </c>
      <c r="D793" t="inlineStr">
        <is>
          <t>JÄMTLANDS LÄN</t>
        </is>
      </c>
      <c r="E793" t="inlineStr">
        <is>
          <t>RAGUNDA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52394-2025</t>
        </is>
      </c>
      <c r="B794" s="1" t="n">
        <v>45954.34466435185</v>
      </c>
      <c r="C794" s="1" t="n">
        <v>46042</v>
      </c>
      <c r="D794" t="inlineStr">
        <is>
          <t>JÄMTLANDS LÄN</t>
        </is>
      </c>
      <c r="E794" t="inlineStr">
        <is>
          <t>RAGUNDA</t>
        </is>
      </c>
      <c r="F794" t="inlineStr">
        <is>
          <t>SCA</t>
        </is>
      </c>
      <c r="G794" t="n">
        <v>53.8</v>
      </c>
      <c r="H794" t="n">
        <v>0</v>
      </c>
      <c r="I794" t="n">
        <v>0</v>
      </c>
      <c r="J794" t="n">
        <v>0</v>
      </c>
      <c r="K794" t="n">
        <v>0</v>
      </c>
      <c r="L794" t="n">
        <v>0</v>
      </c>
      <c r="M794" t="n">
        <v>0</v>
      </c>
      <c r="N794" t="n">
        <v>0</v>
      </c>
      <c r="O794" t="n">
        <v>0</v>
      </c>
      <c r="P794" t="n">
        <v>0</v>
      </c>
      <c r="Q794" t="n">
        <v>0</v>
      </c>
      <c r="R794" s="2" t="inlineStr"/>
    </row>
    <row r="795" ht="15" customHeight="1">
      <c r="A795" t="inlineStr">
        <is>
          <t>A 52395-2025</t>
        </is>
      </c>
      <c r="B795" s="1" t="n">
        <v>45954.34487268519</v>
      </c>
      <c r="C795" s="1" t="n">
        <v>46042</v>
      </c>
      <c r="D795" t="inlineStr">
        <is>
          <t>JÄMTLANDS LÄN</t>
        </is>
      </c>
      <c r="E795" t="inlineStr">
        <is>
          <t>RAGUNDA</t>
        </is>
      </c>
      <c r="F795" t="inlineStr">
        <is>
          <t>SCA</t>
        </is>
      </c>
      <c r="G795" t="n">
        <v>14.2</v>
      </c>
      <c r="H795" t="n">
        <v>0</v>
      </c>
      <c r="I795" t="n">
        <v>0</v>
      </c>
      <c r="J795" t="n">
        <v>0</v>
      </c>
      <c r="K795" t="n">
        <v>0</v>
      </c>
      <c r="L795" t="n">
        <v>0</v>
      </c>
      <c r="M795" t="n">
        <v>0</v>
      </c>
      <c r="N795" t="n">
        <v>0</v>
      </c>
      <c r="O795" t="n">
        <v>0</v>
      </c>
      <c r="P795" t="n">
        <v>0</v>
      </c>
      <c r="Q795" t="n">
        <v>0</v>
      </c>
      <c r="R795" s="2" t="inlineStr"/>
    </row>
    <row r="796" ht="15" customHeight="1">
      <c r="A796" t="inlineStr">
        <is>
          <t>A 26646-2023</t>
        </is>
      </c>
      <c r="B796" s="1" t="n">
        <v>45092</v>
      </c>
      <c r="C796" s="1" t="n">
        <v>46042</v>
      </c>
      <c r="D796" t="inlineStr">
        <is>
          <t>JÄMTLANDS LÄN</t>
        </is>
      </c>
      <c r="E796" t="inlineStr">
        <is>
          <t>RAGUNDA</t>
        </is>
      </c>
      <c r="G796" t="n">
        <v>1.4</v>
      </c>
      <c r="H796" t="n">
        <v>0</v>
      </c>
      <c r="I796" t="n">
        <v>0</v>
      </c>
      <c r="J796" t="n">
        <v>0</v>
      </c>
      <c r="K796" t="n">
        <v>0</v>
      </c>
      <c r="L796" t="n">
        <v>0</v>
      </c>
      <c r="M796" t="n">
        <v>0</v>
      </c>
      <c r="N796" t="n">
        <v>0</v>
      </c>
      <c r="O796" t="n">
        <v>0</v>
      </c>
      <c r="P796" t="n">
        <v>0</v>
      </c>
      <c r="Q796" t="n">
        <v>0</v>
      </c>
      <c r="R796" s="2" t="inlineStr"/>
    </row>
    <row r="797" ht="15" customHeight="1">
      <c r="A797" t="inlineStr">
        <is>
          <t>A 43405-2023</t>
        </is>
      </c>
      <c r="B797" s="1" t="n">
        <v>45183.95563657407</v>
      </c>
      <c r="C797" s="1" t="n">
        <v>46042</v>
      </c>
      <c r="D797" t="inlineStr">
        <is>
          <t>JÄMTLANDS LÄN</t>
        </is>
      </c>
      <c r="E797" t="inlineStr">
        <is>
          <t>RAGUNDA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53211-2025</t>
        </is>
      </c>
      <c r="B798" s="1" t="n">
        <v>45958.59490740741</v>
      </c>
      <c r="C798" s="1" t="n">
        <v>46042</v>
      </c>
      <c r="D798" t="inlineStr">
        <is>
          <t>JÄMTLANDS LÄN</t>
        </is>
      </c>
      <c r="E798" t="inlineStr">
        <is>
          <t>RAGUNDA</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59496-2024</t>
        </is>
      </c>
      <c r="B799" s="1" t="n">
        <v>45638</v>
      </c>
      <c r="C799" s="1" t="n">
        <v>46042</v>
      </c>
      <c r="D799" t="inlineStr">
        <is>
          <t>JÄMTLANDS LÄN</t>
        </is>
      </c>
      <c r="E799" t="inlineStr">
        <is>
          <t>RAGUNDA</t>
        </is>
      </c>
      <c r="G799" t="n">
        <v>13.1</v>
      </c>
      <c r="H799" t="n">
        <v>0</v>
      </c>
      <c r="I799" t="n">
        <v>0</v>
      </c>
      <c r="J799" t="n">
        <v>0</v>
      </c>
      <c r="K799" t="n">
        <v>0</v>
      </c>
      <c r="L799" t="n">
        <v>0</v>
      </c>
      <c r="M799" t="n">
        <v>0</v>
      </c>
      <c r="N799" t="n">
        <v>0</v>
      </c>
      <c r="O799" t="n">
        <v>0</v>
      </c>
      <c r="P799" t="n">
        <v>0</v>
      </c>
      <c r="Q799" t="n">
        <v>0</v>
      </c>
      <c r="R799" s="2" t="inlineStr"/>
    </row>
    <row r="800" ht="15" customHeight="1">
      <c r="A800" t="inlineStr">
        <is>
          <t>A 53032-2025</t>
        </is>
      </c>
      <c r="B800" s="1" t="n">
        <v>45958.34462962963</v>
      </c>
      <c r="C800" s="1" t="n">
        <v>46042</v>
      </c>
      <c r="D800" t="inlineStr">
        <is>
          <t>JÄMTLANDS LÄN</t>
        </is>
      </c>
      <c r="E800" t="inlineStr">
        <is>
          <t>RAGUNDA</t>
        </is>
      </c>
      <c r="G800" t="n">
        <v>2.6</v>
      </c>
      <c r="H800" t="n">
        <v>0</v>
      </c>
      <c r="I800" t="n">
        <v>0</v>
      </c>
      <c r="J800" t="n">
        <v>0</v>
      </c>
      <c r="K800" t="n">
        <v>0</v>
      </c>
      <c r="L800" t="n">
        <v>0</v>
      </c>
      <c r="M800" t="n">
        <v>0</v>
      </c>
      <c r="N800" t="n">
        <v>0</v>
      </c>
      <c r="O800" t="n">
        <v>0</v>
      </c>
      <c r="P800" t="n">
        <v>0</v>
      </c>
      <c r="Q800" t="n">
        <v>0</v>
      </c>
      <c r="R800" s="2" t="inlineStr"/>
    </row>
    <row r="801" ht="15" customHeight="1">
      <c r="A801" t="inlineStr">
        <is>
          <t>A 61509-2025</t>
        </is>
      </c>
      <c r="B801" s="1" t="n">
        <v>46001.68189814815</v>
      </c>
      <c r="C801" s="1" t="n">
        <v>46042</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62106-2023</t>
        </is>
      </c>
      <c r="B802" s="1" t="n">
        <v>45266.95082175926</v>
      </c>
      <c r="C802" s="1" t="n">
        <v>46042</v>
      </c>
      <c r="D802" t="inlineStr">
        <is>
          <t>JÄMTLANDS LÄN</t>
        </is>
      </c>
      <c r="E802" t="inlineStr">
        <is>
          <t>RAGUNDA</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53075-2025</t>
        </is>
      </c>
      <c r="B803" s="1" t="n">
        <v>45958.38584490741</v>
      </c>
      <c r="C803" s="1" t="n">
        <v>46042</v>
      </c>
      <c r="D803" t="inlineStr">
        <is>
          <t>JÄMTLANDS LÄN</t>
        </is>
      </c>
      <c r="E803" t="inlineStr">
        <is>
          <t>RAGUNDA</t>
        </is>
      </c>
      <c r="F803" t="inlineStr">
        <is>
          <t>SCA</t>
        </is>
      </c>
      <c r="G803" t="n">
        <v>28.9</v>
      </c>
      <c r="H803" t="n">
        <v>0</v>
      </c>
      <c r="I803" t="n">
        <v>0</v>
      </c>
      <c r="J803" t="n">
        <v>0</v>
      </c>
      <c r="K803" t="n">
        <v>0</v>
      </c>
      <c r="L803" t="n">
        <v>0</v>
      </c>
      <c r="M803" t="n">
        <v>0</v>
      </c>
      <c r="N803" t="n">
        <v>0</v>
      </c>
      <c r="O803" t="n">
        <v>0</v>
      </c>
      <c r="P803" t="n">
        <v>0</v>
      </c>
      <c r="Q803" t="n">
        <v>0</v>
      </c>
      <c r="R803" s="2" t="inlineStr"/>
    </row>
    <row r="804" ht="15" customHeight="1">
      <c r="A804" t="inlineStr">
        <is>
          <t>A 18781-2024</t>
        </is>
      </c>
      <c r="B804" s="1" t="n">
        <v>45426</v>
      </c>
      <c r="C804" s="1" t="n">
        <v>46042</v>
      </c>
      <c r="D804" t="inlineStr">
        <is>
          <t>JÄMTLANDS LÄN</t>
        </is>
      </c>
      <c r="E804" t="inlineStr">
        <is>
          <t>RAGUNDA</t>
        </is>
      </c>
      <c r="G804" t="n">
        <v>0.9</v>
      </c>
      <c r="H804" t="n">
        <v>0</v>
      </c>
      <c r="I804" t="n">
        <v>0</v>
      </c>
      <c r="J804" t="n">
        <v>0</v>
      </c>
      <c r="K804" t="n">
        <v>0</v>
      </c>
      <c r="L804" t="n">
        <v>0</v>
      </c>
      <c r="M804" t="n">
        <v>0</v>
      </c>
      <c r="N804" t="n">
        <v>0</v>
      </c>
      <c r="O804" t="n">
        <v>0</v>
      </c>
      <c r="P804" t="n">
        <v>0</v>
      </c>
      <c r="Q804" t="n">
        <v>0</v>
      </c>
      <c r="R804" s="2" t="inlineStr"/>
    </row>
    <row r="805" ht="15" customHeight="1">
      <c r="A805" t="inlineStr">
        <is>
          <t>A 62081-2022</t>
        </is>
      </c>
      <c r="B805" s="1" t="n">
        <v>44918</v>
      </c>
      <c r="C805" s="1" t="n">
        <v>46042</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52578-2025</t>
        </is>
      </c>
      <c r="B806" s="1" t="n">
        <v>45954.61508101852</v>
      </c>
      <c r="C806" s="1" t="n">
        <v>46042</v>
      </c>
      <c r="D806" t="inlineStr">
        <is>
          <t>JÄMTLANDS LÄN</t>
        </is>
      </c>
      <c r="E806" t="inlineStr">
        <is>
          <t>RAGUNDA</t>
        </is>
      </c>
      <c r="F806" t="inlineStr">
        <is>
          <t>SCA</t>
        </is>
      </c>
      <c r="G806" t="n">
        <v>25.2</v>
      </c>
      <c r="H806" t="n">
        <v>0</v>
      </c>
      <c r="I806" t="n">
        <v>0</v>
      </c>
      <c r="J806" t="n">
        <v>0</v>
      </c>
      <c r="K806" t="n">
        <v>0</v>
      </c>
      <c r="L806" t="n">
        <v>0</v>
      </c>
      <c r="M806" t="n">
        <v>0</v>
      </c>
      <c r="N806" t="n">
        <v>0</v>
      </c>
      <c r="O806" t="n">
        <v>0</v>
      </c>
      <c r="P806" t="n">
        <v>0</v>
      </c>
      <c r="Q806" t="n">
        <v>0</v>
      </c>
      <c r="R806" s="2" t="inlineStr"/>
    </row>
    <row r="807" ht="15" customHeight="1">
      <c r="A807" t="inlineStr">
        <is>
          <t>A 30826-2023</t>
        </is>
      </c>
      <c r="B807" s="1" t="n">
        <v>45112</v>
      </c>
      <c r="C807" s="1" t="n">
        <v>46042</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61266-2025</t>
        </is>
      </c>
      <c r="B808" s="1" t="n">
        <v>46000.67784722222</v>
      </c>
      <c r="C808" s="1" t="n">
        <v>46042</v>
      </c>
      <c r="D808" t="inlineStr">
        <is>
          <t>JÄMTLANDS LÄN</t>
        </is>
      </c>
      <c r="E808" t="inlineStr">
        <is>
          <t>RAGUNDA</t>
        </is>
      </c>
      <c r="G808" t="n">
        <v>7.9</v>
      </c>
      <c r="H808" t="n">
        <v>0</v>
      </c>
      <c r="I808" t="n">
        <v>0</v>
      </c>
      <c r="J808" t="n">
        <v>0</v>
      </c>
      <c r="K808" t="n">
        <v>0</v>
      </c>
      <c r="L808" t="n">
        <v>0</v>
      </c>
      <c r="M808" t="n">
        <v>0</v>
      </c>
      <c r="N808" t="n">
        <v>0</v>
      </c>
      <c r="O808" t="n">
        <v>0</v>
      </c>
      <c r="P808" t="n">
        <v>0</v>
      </c>
      <c r="Q808" t="n">
        <v>0</v>
      </c>
      <c r="R808" s="2" t="inlineStr"/>
    </row>
    <row r="809" ht="15" customHeight="1">
      <c r="A809" t="inlineStr">
        <is>
          <t>A 53263-2024</t>
        </is>
      </c>
      <c r="B809" s="1" t="n">
        <v>45614.34541666666</v>
      </c>
      <c r="C809" s="1" t="n">
        <v>46042</v>
      </c>
      <c r="D809" t="inlineStr">
        <is>
          <t>JÄMTLANDS LÄN</t>
        </is>
      </c>
      <c r="E809" t="inlineStr">
        <is>
          <t>RAGUNDA</t>
        </is>
      </c>
      <c r="G809" t="n">
        <v>1.9</v>
      </c>
      <c r="H809" t="n">
        <v>0</v>
      </c>
      <c r="I809" t="n">
        <v>0</v>
      </c>
      <c r="J809" t="n">
        <v>0</v>
      </c>
      <c r="K809" t="n">
        <v>0</v>
      </c>
      <c r="L809" t="n">
        <v>0</v>
      </c>
      <c r="M809" t="n">
        <v>0</v>
      </c>
      <c r="N809" t="n">
        <v>0</v>
      </c>
      <c r="O809" t="n">
        <v>0</v>
      </c>
      <c r="P809" t="n">
        <v>0</v>
      </c>
      <c r="Q809" t="n">
        <v>0</v>
      </c>
      <c r="R809" s="2" t="inlineStr"/>
    </row>
    <row r="810" ht="15" customHeight="1">
      <c r="A810" t="inlineStr">
        <is>
          <t>A 26645-2024</t>
        </is>
      </c>
      <c r="B810" s="1" t="n">
        <v>45469.94667824074</v>
      </c>
      <c r="C810" s="1" t="n">
        <v>46042</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61233-2025</t>
        </is>
      </c>
      <c r="B811" s="1" t="n">
        <v>46000.6359837963</v>
      </c>
      <c r="C811" s="1" t="n">
        <v>46042</v>
      </c>
      <c r="D811" t="inlineStr">
        <is>
          <t>JÄMTLANDS LÄN</t>
        </is>
      </c>
      <c r="E811" t="inlineStr">
        <is>
          <t>RAGUNDA</t>
        </is>
      </c>
      <c r="F811" t="inlineStr">
        <is>
          <t>SCA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893-2025</t>
        </is>
      </c>
      <c r="B812" s="1" t="n">
        <v>45665.65684027778</v>
      </c>
      <c r="C812" s="1" t="n">
        <v>46042</v>
      </c>
      <c r="D812" t="inlineStr">
        <is>
          <t>JÄMTLANDS LÄN</t>
        </is>
      </c>
      <c r="E812" t="inlineStr">
        <is>
          <t>RAGUNDA</t>
        </is>
      </c>
      <c r="F812" t="inlineStr">
        <is>
          <t>SCA</t>
        </is>
      </c>
      <c r="G812" t="n">
        <v>45.1</v>
      </c>
      <c r="H812" t="n">
        <v>0</v>
      </c>
      <c r="I812" t="n">
        <v>0</v>
      </c>
      <c r="J812" t="n">
        <v>0</v>
      </c>
      <c r="K812" t="n">
        <v>0</v>
      </c>
      <c r="L812" t="n">
        <v>0</v>
      </c>
      <c r="M812" t="n">
        <v>0</v>
      </c>
      <c r="N812" t="n">
        <v>0</v>
      </c>
      <c r="O812" t="n">
        <v>0</v>
      </c>
      <c r="P812" t="n">
        <v>0</v>
      </c>
      <c r="Q812" t="n">
        <v>0</v>
      </c>
      <c r="R812" s="2" t="inlineStr"/>
    </row>
    <row r="813" ht="15" customHeight="1">
      <c r="A813" t="inlineStr">
        <is>
          <t>A 31135-2023</t>
        </is>
      </c>
      <c r="B813" s="1" t="n">
        <v>45103</v>
      </c>
      <c r="C813" s="1" t="n">
        <v>46042</v>
      </c>
      <c r="D813" t="inlineStr">
        <is>
          <t>JÄMTLANDS LÄN</t>
        </is>
      </c>
      <c r="E813" t="inlineStr">
        <is>
          <t>RAGUNDA</t>
        </is>
      </c>
      <c r="G813" t="n">
        <v>0.9</v>
      </c>
      <c r="H813" t="n">
        <v>0</v>
      </c>
      <c r="I813" t="n">
        <v>0</v>
      </c>
      <c r="J813" t="n">
        <v>0</v>
      </c>
      <c r="K813" t="n">
        <v>0</v>
      </c>
      <c r="L813" t="n">
        <v>0</v>
      </c>
      <c r="M813" t="n">
        <v>0</v>
      </c>
      <c r="N813" t="n">
        <v>0</v>
      </c>
      <c r="O813" t="n">
        <v>0</v>
      </c>
      <c r="P813" t="n">
        <v>0</v>
      </c>
      <c r="Q813" t="n">
        <v>0</v>
      </c>
      <c r="R813" s="2" t="inlineStr"/>
    </row>
    <row r="814" ht="15" customHeight="1">
      <c r="A814" t="inlineStr">
        <is>
          <t>A 53076-2025</t>
        </is>
      </c>
      <c r="B814" s="1" t="n">
        <v>45958.38604166666</v>
      </c>
      <c r="C814" s="1" t="n">
        <v>46042</v>
      </c>
      <c r="D814" t="inlineStr">
        <is>
          <t>JÄMTLANDS LÄN</t>
        </is>
      </c>
      <c r="E814" t="inlineStr">
        <is>
          <t>RAGUNDA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25304-2023</t>
        </is>
      </c>
      <c r="B815" s="1" t="n">
        <v>45086</v>
      </c>
      <c r="C815" s="1" t="n">
        <v>46042</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53986-2025</t>
        </is>
      </c>
      <c r="B816" s="1" t="n">
        <v>45961.57381944444</v>
      </c>
      <c r="C816" s="1" t="n">
        <v>46042</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53973-2025</t>
        </is>
      </c>
      <c r="B817" s="1" t="n">
        <v>45961.55246527777</v>
      </c>
      <c r="C817" s="1" t="n">
        <v>46042</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53549-2025</t>
        </is>
      </c>
      <c r="B818" s="1" t="n">
        <v>45960.38576388889</v>
      </c>
      <c r="C818" s="1" t="n">
        <v>46042</v>
      </c>
      <c r="D818" t="inlineStr">
        <is>
          <t>JÄMTLANDS LÄN</t>
        </is>
      </c>
      <c r="E818" t="inlineStr">
        <is>
          <t>RAGUNDA</t>
        </is>
      </c>
      <c r="G818" t="n">
        <v>5.4</v>
      </c>
      <c r="H818" t="n">
        <v>0</v>
      </c>
      <c r="I818" t="n">
        <v>0</v>
      </c>
      <c r="J818" t="n">
        <v>0</v>
      </c>
      <c r="K818" t="n">
        <v>0</v>
      </c>
      <c r="L818" t="n">
        <v>0</v>
      </c>
      <c r="M818" t="n">
        <v>0</v>
      </c>
      <c r="N818" t="n">
        <v>0</v>
      </c>
      <c r="O818" t="n">
        <v>0</v>
      </c>
      <c r="P818" t="n">
        <v>0</v>
      </c>
      <c r="Q818" t="n">
        <v>0</v>
      </c>
      <c r="R818" s="2" t="inlineStr"/>
    </row>
    <row r="819" ht="15" customHeight="1">
      <c r="A819" t="inlineStr">
        <is>
          <t>A 53975-2025</t>
        </is>
      </c>
      <c r="B819" s="1" t="n">
        <v>45961.55277777778</v>
      </c>
      <c r="C819" s="1" t="n">
        <v>46042</v>
      </c>
      <c r="D819" t="inlineStr">
        <is>
          <t>JÄMTLANDS LÄN</t>
        </is>
      </c>
      <c r="E819" t="inlineStr">
        <is>
          <t>RAGUNDA</t>
        </is>
      </c>
      <c r="F819" t="inlineStr">
        <is>
          <t>SCA</t>
        </is>
      </c>
      <c r="G819" t="n">
        <v>21.9</v>
      </c>
      <c r="H819" t="n">
        <v>0</v>
      </c>
      <c r="I819" t="n">
        <v>0</v>
      </c>
      <c r="J819" t="n">
        <v>0</v>
      </c>
      <c r="K819" t="n">
        <v>0</v>
      </c>
      <c r="L819" t="n">
        <v>0</v>
      </c>
      <c r="M819" t="n">
        <v>0</v>
      </c>
      <c r="N819" t="n">
        <v>0</v>
      </c>
      <c r="O819" t="n">
        <v>0</v>
      </c>
      <c r="P819" t="n">
        <v>0</v>
      </c>
      <c r="Q819" t="n">
        <v>0</v>
      </c>
      <c r="R819" s="2" t="inlineStr"/>
    </row>
    <row r="820" ht="15" customHeight="1">
      <c r="A820" t="inlineStr">
        <is>
          <t>A 43132-2023</t>
        </is>
      </c>
      <c r="B820" s="1" t="n">
        <v>45182</v>
      </c>
      <c r="C820" s="1" t="n">
        <v>46042</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53726-2025</t>
        </is>
      </c>
      <c r="B821" s="1" t="n">
        <v>45960.63597222222</v>
      </c>
      <c r="C821" s="1" t="n">
        <v>46042</v>
      </c>
      <c r="D821" t="inlineStr">
        <is>
          <t>JÄMTLANDS LÄN</t>
        </is>
      </c>
      <c r="E821" t="inlineStr">
        <is>
          <t>RAGUNDA</t>
        </is>
      </c>
      <c r="F821" t="inlineStr">
        <is>
          <t>SCA</t>
        </is>
      </c>
      <c r="G821" t="n">
        <v>10.9</v>
      </c>
      <c r="H821" t="n">
        <v>0</v>
      </c>
      <c r="I821" t="n">
        <v>0</v>
      </c>
      <c r="J821" t="n">
        <v>0</v>
      </c>
      <c r="K821" t="n">
        <v>0</v>
      </c>
      <c r="L821" t="n">
        <v>0</v>
      </c>
      <c r="M821" t="n">
        <v>0</v>
      </c>
      <c r="N821" t="n">
        <v>0</v>
      </c>
      <c r="O821" t="n">
        <v>0</v>
      </c>
      <c r="P821" t="n">
        <v>0</v>
      </c>
      <c r="Q821" t="n">
        <v>0</v>
      </c>
      <c r="R821" s="2" t="inlineStr"/>
    </row>
    <row r="822" ht="15" customHeight="1">
      <c r="A822" t="inlineStr">
        <is>
          <t>A 53748-2025</t>
        </is>
      </c>
      <c r="B822" s="1" t="n">
        <v>45960.65673611111</v>
      </c>
      <c r="C822" s="1" t="n">
        <v>46042</v>
      </c>
      <c r="D822" t="inlineStr">
        <is>
          <t>JÄMTLANDS LÄN</t>
        </is>
      </c>
      <c r="E822" t="inlineStr">
        <is>
          <t>RAGUNDA</t>
        </is>
      </c>
      <c r="F822" t="inlineStr">
        <is>
          <t>SCA</t>
        </is>
      </c>
      <c r="G822" t="n">
        <v>14.9</v>
      </c>
      <c r="H822" t="n">
        <v>0</v>
      </c>
      <c r="I822" t="n">
        <v>0</v>
      </c>
      <c r="J822" t="n">
        <v>0</v>
      </c>
      <c r="K822" t="n">
        <v>0</v>
      </c>
      <c r="L822" t="n">
        <v>0</v>
      </c>
      <c r="M822" t="n">
        <v>0</v>
      </c>
      <c r="N822" t="n">
        <v>0</v>
      </c>
      <c r="O822" t="n">
        <v>0</v>
      </c>
      <c r="P822" t="n">
        <v>0</v>
      </c>
      <c r="Q822" t="n">
        <v>0</v>
      </c>
      <c r="R822" s="2" t="inlineStr"/>
    </row>
    <row r="823" ht="15" customHeight="1">
      <c r="A823" t="inlineStr">
        <is>
          <t>A 53727-2025</t>
        </is>
      </c>
      <c r="B823" s="1" t="n">
        <v>45960.63630787037</v>
      </c>
      <c r="C823" s="1" t="n">
        <v>46042</v>
      </c>
      <c r="D823" t="inlineStr">
        <is>
          <t>JÄMTLANDS LÄN</t>
        </is>
      </c>
      <c r="E823" t="inlineStr">
        <is>
          <t>RAGUNDA</t>
        </is>
      </c>
      <c r="F823" t="inlineStr">
        <is>
          <t>SCA</t>
        </is>
      </c>
      <c r="G823" t="n">
        <v>6.4</v>
      </c>
      <c r="H823" t="n">
        <v>0</v>
      </c>
      <c r="I823" t="n">
        <v>0</v>
      </c>
      <c r="J823" t="n">
        <v>0</v>
      </c>
      <c r="K823" t="n">
        <v>0</v>
      </c>
      <c r="L823" t="n">
        <v>0</v>
      </c>
      <c r="M823" t="n">
        <v>0</v>
      </c>
      <c r="N823" t="n">
        <v>0</v>
      </c>
      <c r="O823" t="n">
        <v>0</v>
      </c>
      <c r="P823" t="n">
        <v>0</v>
      </c>
      <c r="Q823" t="n">
        <v>0</v>
      </c>
      <c r="R823" s="2" t="inlineStr"/>
    </row>
    <row r="824" ht="15" customHeight="1">
      <c r="A824" t="inlineStr">
        <is>
          <t>A 56284-2023</t>
        </is>
      </c>
      <c r="B824" s="1" t="n">
        <v>45241.95724537037</v>
      </c>
      <c r="C824" s="1" t="n">
        <v>46042</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61697-2025</t>
        </is>
      </c>
      <c r="B825" s="1" t="n">
        <v>46002</v>
      </c>
      <c r="C825" s="1" t="n">
        <v>46042</v>
      </c>
      <c r="D825" t="inlineStr">
        <is>
          <t>JÄMTLANDS LÄN</t>
        </is>
      </c>
      <c r="E825" t="inlineStr">
        <is>
          <t>RAGUNDA</t>
        </is>
      </c>
      <c r="G825" t="n">
        <v>1.3</v>
      </c>
      <c r="H825" t="n">
        <v>0</v>
      </c>
      <c r="I825" t="n">
        <v>0</v>
      </c>
      <c r="J825" t="n">
        <v>0</v>
      </c>
      <c r="K825" t="n">
        <v>0</v>
      </c>
      <c r="L825" t="n">
        <v>0</v>
      </c>
      <c r="M825" t="n">
        <v>0</v>
      </c>
      <c r="N825" t="n">
        <v>0</v>
      </c>
      <c r="O825" t="n">
        <v>0</v>
      </c>
      <c r="P825" t="n">
        <v>0</v>
      </c>
      <c r="Q825" t="n">
        <v>0</v>
      </c>
      <c r="R825" s="2" t="inlineStr"/>
    </row>
    <row r="826" ht="15" customHeight="1">
      <c r="A826" t="inlineStr">
        <is>
          <t>A 53765-2025</t>
        </is>
      </c>
      <c r="B826" s="1" t="n">
        <v>45960.67753472222</v>
      </c>
      <c r="C826" s="1" t="n">
        <v>46042</v>
      </c>
      <c r="D826" t="inlineStr">
        <is>
          <t>JÄMTLANDS LÄN</t>
        </is>
      </c>
      <c r="E826" t="inlineStr">
        <is>
          <t>RAGUNDA</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53951-2025</t>
        </is>
      </c>
      <c r="B827" s="1" t="n">
        <v>45961.50200231482</v>
      </c>
      <c r="C827" s="1" t="n">
        <v>46042</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53948-2025</t>
        </is>
      </c>
      <c r="B828" s="1" t="n">
        <v>45961.50033564815</v>
      </c>
      <c r="C828" s="1" t="n">
        <v>46042</v>
      </c>
      <c r="D828" t="inlineStr">
        <is>
          <t>JÄMTLANDS LÄN</t>
        </is>
      </c>
      <c r="E828" t="inlineStr">
        <is>
          <t>RAGUNDA</t>
        </is>
      </c>
      <c r="G828" t="n">
        <v>7.9</v>
      </c>
      <c r="H828" t="n">
        <v>0</v>
      </c>
      <c r="I828" t="n">
        <v>0</v>
      </c>
      <c r="J828" t="n">
        <v>0</v>
      </c>
      <c r="K828" t="n">
        <v>0</v>
      </c>
      <c r="L828" t="n">
        <v>0</v>
      </c>
      <c r="M828" t="n">
        <v>0</v>
      </c>
      <c r="N828" t="n">
        <v>0</v>
      </c>
      <c r="O828" t="n">
        <v>0</v>
      </c>
      <c r="P828" t="n">
        <v>0</v>
      </c>
      <c r="Q828" t="n">
        <v>0</v>
      </c>
      <c r="R828" s="2" t="inlineStr"/>
    </row>
    <row r="829" ht="15" customHeight="1">
      <c r="A829" t="inlineStr">
        <is>
          <t>A 62432-2025</t>
        </is>
      </c>
      <c r="B829" s="1" t="n">
        <v>46007</v>
      </c>
      <c r="C829" s="1" t="n">
        <v>46042</v>
      </c>
      <c r="D829" t="inlineStr">
        <is>
          <t>JÄMTLANDS LÄN</t>
        </is>
      </c>
      <c r="E829" t="inlineStr">
        <is>
          <t>RAGUNDA</t>
        </is>
      </c>
      <c r="G829" t="n">
        <v>4.7</v>
      </c>
      <c r="H829" t="n">
        <v>0</v>
      </c>
      <c r="I829" t="n">
        <v>0</v>
      </c>
      <c r="J829" t="n">
        <v>0</v>
      </c>
      <c r="K829" t="n">
        <v>0</v>
      </c>
      <c r="L829" t="n">
        <v>0</v>
      </c>
      <c r="M829" t="n">
        <v>0</v>
      </c>
      <c r="N829" t="n">
        <v>0</v>
      </c>
      <c r="O829" t="n">
        <v>0</v>
      </c>
      <c r="P829" t="n">
        <v>0</v>
      </c>
      <c r="Q829" t="n">
        <v>0</v>
      </c>
      <c r="R829" s="2" t="inlineStr"/>
    </row>
    <row r="830" ht="15" customHeight="1">
      <c r="A830" t="inlineStr">
        <is>
          <t>A 62436-2025</t>
        </is>
      </c>
      <c r="B830" s="1" t="n">
        <v>46007</v>
      </c>
      <c r="C830" s="1" t="n">
        <v>46042</v>
      </c>
      <c r="D830" t="inlineStr">
        <is>
          <t>JÄMTLANDS LÄN</t>
        </is>
      </c>
      <c r="E830" t="inlineStr">
        <is>
          <t>RAGUNDA</t>
        </is>
      </c>
      <c r="G830" t="n">
        <v>0.7</v>
      </c>
      <c r="H830" t="n">
        <v>0</v>
      </c>
      <c r="I830" t="n">
        <v>0</v>
      </c>
      <c r="J830" t="n">
        <v>0</v>
      </c>
      <c r="K830" t="n">
        <v>0</v>
      </c>
      <c r="L830" t="n">
        <v>0</v>
      </c>
      <c r="M830" t="n">
        <v>0</v>
      </c>
      <c r="N830" t="n">
        <v>0</v>
      </c>
      <c r="O830" t="n">
        <v>0</v>
      </c>
      <c r="P830" t="n">
        <v>0</v>
      </c>
      <c r="Q830" t="n">
        <v>0</v>
      </c>
      <c r="R830" s="2" t="inlineStr"/>
    </row>
    <row r="831" ht="15" customHeight="1">
      <c r="A831" t="inlineStr">
        <is>
          <t>A 62467-2025</t>
        </is>
      </c>
      <c r="B831" s="1" t="n">
        <v>46007.5108912037</v>
      </c>
      <c r="C831" s="1" t="n">
        <v>46042</v>
      </c>
      <c r="D831" t="inlineStr">
        <is>
          <t>JÄMTLANDS LÄN</t>
        </is>
      </c>
      <c r="E831" t="inlineStr">
        <is>
          <t>RAGUNDA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50160-2023</t>
        </is>
      </c>
      <c r="B832" s="1" t="n">
        <v>45208</v>
      </c>
      <c r="C832" s="1" t="n">
        <v>46042</v>
      </c>
      <c r="D832" t="inlineStr">
        <is>
          <t>JÄMTLANDS LÄN</t>
        </is>
      </c>
      <c r="E832" t="inlineStr">
        <is>
          <t>RAGUNDA</t>
        </is>
      </c>
      <c r="G832" t="n">
        <v>4.6</v>
      </c>
      <c r="H832" t="n">
        <v>0</v>
      </c>
      <c r="I832" t="n">
        <v>0</v>
      </c>
      <c r="J832" t="n">
        <v>0</v>
      </c>
      <c r="K832" t="n">
        <v>0</v>
      </c>
      <c r="L832" t="n">
        <v>0</v>
      </c>
      <c r="M832" t="n">
        <v>0</v>
      </c>
      <c r="N832" t="n">
        <v>0</v>
      </c>
      <c r="O832" t="n">
        <v>0</v>
      </c>
      <c r="P832" t="n">
        <v>0</v>
      </c>
      <c r="Q832" t="n">
        <v>0</v>
      </c>
      <c r="R832" s="2" t="inlineStr"/>
    </row>
    <row r="833" ht="15" customHeight="1">
      <c r="A833" t="inlineStr">
        <is>
          <t>A 54195-2025</t>
        </is>
      </c>
      <c r="B833" s="1" t="n">
        <v>45964.57413194444</v>
      </c>
      <c r="C833" s="1" t="n">
        <v>46042</v>
      </c>
      <c r="D833" t="inlineStr">
        <is>
          <t>JÄMTLANDS LÄN</t>
        </is>
      </c>
      <c r="E833" t="inlineStr">
        <is>
          <t>RAGUNDA</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61045-2022</t>
        </is>
      </c>
      <c r="B834" s="1" t="n">
        <v>44914</v>
      </c>
      <c r="C834" s="1" t="n">
        <v>46042</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61197-2023</t>
        </is>
      </c>
      <c r="B835" s="1" t="n">
        <v>45260</v>
      </c>
      <c r="C835" s="1" t="n">
        <v>46042</v>
      </c>
      <c r="D835" t="inlineStr">
        <is>
          <t>JÄMTLANDS LÄN</t>
        </is>
      </c>
      <c r="E835" t="inlineStr">
        <is>
          <t>RAGUNDA</t>
        </is>
      </c>
      <c r="G835" t="n">
        <v>2.5</v>
      </c>
      <c r="H835" t="n">
        <v>0</v>
      </c>
      <c r="I835" t="n">
        <v>0</v>
      </c>
      <c r="J835" t="n">
        <v>0</v>
      </c>
      <c r="K835" t="n">
        <v>0</v>
      </c>
      <c r="L835" t="n">
        <v>0</v>
      </c>
      <c r="M835" t="n">
        <v>0</v>
      </c>
      <c r="N835" t="n">
        <v>0</v>
      </c>
      <c r="O835" t="n">
        <v>0</v>
      </c>
      <c r="P835" t="n">
        <v>0</v>
      </c>
      <c r="Q835" t="n">
        <v>0</v>
      </c>
      <c r="R835" s="2" t="inlineStr"/>
    </row>
    <row r="836" ht="15" customHeight="1">
      <c r="A836" t="inlineStr">
        <is>
          <t>A 13263-2025</t>
        </is>
      </c>
      <c r="B836" s="1" t="n">
        <v>45735.53177083333</v>
      </c>
      <c r="C836" s="1" t="n">
        <v>46042</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48066-2022</t>
        </is>
      </c>
      <c r="B837" s="1" t="n">
        <v>44855</v>
      </c>
      <c r="C837" s="1" t="n">
        <v>46042</v>
      </c>
      <c r="D837" t="inlineStr">
        <is>
          <t>JÄMTLANDS LÄN</t>
        </is>
      </c>
      <c r="E837" t="inlineStr">
        <is>
          <t>RAGUNDA</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54396-2025</t>
        </is>
      </c>
      <c r="B838" s="1" t="n">
        <v>45965.44849537037</v>
      </c>
      <c r="C838" s="1" t="n">
        <v>46042</v>
      </c>
      <c r="D838" t="inlineStr">
        <is>
          <t>JÄMTLANDS LÄN</t>
        </is>
      </c>
      <c r="E838" t="inlineStr">
        <is>
          <t>RAGUNDA</t>
        </is>
      </c>
      <c r="F838" t="inlineStr">
        <is>
          <t>SCA</t>
        </is>
      </c>
      <c r="G838" t="n">
        <v>35.2</v>
      </c>
      <c r="H838" t="n">
        <v>0</v>
      </c>
      <c r="I838" t="n">
        <v>0</v>
      </c>
      <c r="J838" t="n">
        <v>0</v>
      </c>
      <c r="K838" t="n">
        <v>0</v>
      </c>
      <c r="L838" t="n">
        <v>0</v>
      </c>
      <c r="M838" t="n">
        <v>0</v>
      </c>
      <c r="N838" t="n">
        <v>0</v>
      </c>
      <c r="O838" t="n">
        <v>0</v>
      </c>
      <c r="P838" t="n">
        <v>0</v>
      </c>
      <c r="Q838" t="n">
        <v>0</v>
      </c>
      <c r="R838" s="2" t="inlineStr"/>
    </row>
    <row r="839" ht="15" customHeight="1">
      <c r="A839" t="inlineStr">
        <is>
          <t>A 64415-2023</t>
        </is>
      </c>
      <c r="B839" s="1" t="n">
        <v>45280</v>
      </c>
      <c r="C839" s="1" t="n">
        <v>46042</v>
      </c>
      <c r="D839" t="inlineStr">
        <is>
          <t>JÄMTLANDS LÄN</t>
        </is>
      </c>
      <c r="E839" t="inlineStr">
        <is>
          <t>RAGUNDA</t>
        </is>
      </c>
      <c r="G839" t="n">
        <v>5.1</v>
      </c>
      <c r="H839" t="n">
        <v>0</v>
      </c>
      <c r="I839" t="n">
        <v>0</v>
      </c>
      <c r="J839" t="n">
        <v>0</v>
      </c>
      <c r="K839" t="n">
        <v>0</v>
      </c>
      <c r="L839" t="n">
        <v>0</v>
      </c>
      <c r="M839" t="n">
        <v>0</v>
      </c>
      <c r="N839" t="n">
        <v>0</v>
      </c>
      <c r="O839" t="n">
        <v>0</v>
      </c>
      <c r="P839" t="n">
        <v>0</v>
      </c>
      <c r="Q839" t="n">
        <v>0</v>
      </c>
      <c r="R839" s="2" t="inlineStr"/>
    </row>
    <row r="840" ht="15" customHeight="1">
      <c r="A840" t="inlineStr">
        <is>
          <t>A 60225-2022</t>
        </is>
      </c>
      <c r="B840" s="1" t="n">
        <v>44903</v>
      </c>
      <c r="C840" s="1" t="n">
        <v>46042</v>
      </c>
      <c r="D840" t="inlineStr">
        <is>
          <t>JÄMTLANDS LÄN</t>
        </is>
      </c>
      <c r="E840" t="inlineStr">
        <is>
          <t>RAGUNDA</t>
        </is>
      </c>
      <c r="G840" t="n">
        <v>1</v>
      </c>
      <c r="H840" t="n">
        <v>0</v>
      </c>
      <c r="I840" t="n">
        <v>0</v>
      </c>
      <c r="J840" t="n">
        <v>0</v>
      </c>
      <c r="K840" t="n">
        <v>0</v>
      </c>
      <c r="L840" t="n">
        <v>0</v>
      </c>
      <c r="M840" t="n">
        <v>0</v>
      </c>
      <c r="N840" t="n">
        <v>0</v>
      </c>
      <c r="O840" t="n">
        <v>0</v>
      </c>
      <c r="P840" t="n">
        <v>0</v>
      </c>
      <c r="Q840" t="n">
        <v>0</v>
      </c>
      <c r="R840" s="2" t="inlineStr"/>
    </row>
    <row r="841" ht="15" customHeight="1">
      <c r="A841" t="inlineStr">
        <is>
          <t>A 15864-2024</t>
        </is>
      </c>
      <c r="B841" s="1" t="n">
        <v>45404.99792824074</v>
      </c>
      <c r="C841" s="1" t="n">
        <v>46042</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c r="U841">
        <f>HYPERLINK("https://klasma.github.io/Logging_2303/knärot/A 15864-2024 karta knärot.png", "A 15864-2024")</f>
        <v/>
      </c>
      <c r="V841">
        <f>HYPERLINK("https://klasma.github.io/Logging_2303/klagomål/A 15864-2024 FSC-klagomål.docx", "A 15864-2024")</f>
        <v/>
      </c>
      <c r="W841">
        <f>HYPERLINK("https://klasma.github.io/Logging_2303/klagomålsmail/A 15864-2024 FSC-klagomål mail.docx", "A 15864-2024")</f>
        <v/>
      </c>
      <c r="X841">
        <f>HYPERLINK("https://klasma.github.io/Logging_2303/tillsyn/A 15864-2024 tillsynsbegäran.docx", "A 15864-2024")</f>
        <v/>
      </c>
      <c r="Y841">
        <f>HYPERLINK("https://klasma.github.io/Logging_2303/tillsynsmail/A 15864-2024 tillsynsbegäran mail.docx", "A 15864-2024")</f>
        <v/>
      </c>
    </row>
    <row r="842" ht="15" customHeight="1">
      <c r="A842" t="inlineStr">
        <is>
          <t>A 57749-2024</t>
        </is>
      </c>
      <c r="B842" s="1" t="n">
        <v>45630.7862037037</v>
      </c>
      <c r="C842" s="1" t="n">
        <v>46042</v>
      </c>
      <c r="D842" t="inlineStr">
        <is>
          <t>JÄMTLANDS LÄN</t>
        </is>
      </c>
      <c r="E842" t="inlineStr">
        <is>
          <t>RAGUNDA</t>
        </is>
      </c>
      <c r="G842" t="n">
        <v>1.3</v>
      </c>
      <c r="H842" t="n">
        <v>0</v>
      </c>
      <c r="I842" t="n">
        <v>0</v>
      </c>
      <c r="J842" t="n">
        <v>0</v>
      </c>
      <c r="K842" t="n">
        <v>0</v>
      </c>
      <c r="L842" t="n">
        <v>0</v>
      </c>
      <c r="M842" t="n">
        <v>0</v>
      </c>
      <c r="N842" t="n">
        <v>0</v>
      </c>
      <c r="O842" t="n">
        <v>0</v>
      </c>
      <c r="P842" t="n">
        <v>0</v>
      </c>
      <c r="Q842" t="n">
        <v>0</v>
      </c>
      <c r="R842" s="2" t="inlineStr"/>
    </row>
    <row r="843" ht="15" customHeight="1">
      <c r="A843" t="inlineStr">
        <is>
          <t>A 24280-2021</t>
        </is>
      </c>
      <c r="B843" s="1" t="n">
        <v>44336</v>
      </c>
      <c r="C843" s="1" t="n">
        <v>46042</v>
      </c>
      <c r="D843" t="inlineStr">
        <is>
          <t>JÄMTLANDS LÄN</t>
        </is>
      </c>
      <c r="E843" t="inlineStr">
        <is>
          <t>RAGUNDA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8886-2024</t>
        </is>
      </c>
      <c r="B844" s="1" t="n">
        <v>45357.05300925926</v>
      </c>
      <c r="C844" s="1" t="n">
        <v>46042</v>
      </c>
      <c r="D844" t="inlineStr">
        <is>
          <t>JÄMTLANDS LÄN</t>
        </is>
      </c>
      <c r="E844" t="inlineStr">
        <is>
          <t>RAGUNDA</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50157-2023</t>
        </is>
      </c>
      <c r="B845" s="1" t="n">
        <v>45208</v>
      </c>
      <c r="C845" s="1" t="n">
        <v>46042</v>
      </c>
      <c r="D845" t="inlineStr">
        <is>
          <t>JÄMTLANDS LÄN</t>
        </is>
      </c>
      <c r="E845" t="inlineStr">
        <is>
          <t>RAGUNDA</t>
        </is>
      </c>
      <c r="G845" t="n">
        <v>0.9</v>
      </c>
      <c r="H845" t="n">
        <v>0</v>
      </c>
      <c r="I845" t="n">
        <v>0</v>
      </c>
      <c r="J845" t="n">
        <v>0</v>
      </c>
      <c r="K845" t="n">
        <v>0</v>
      </c>
      <c r="L845" t="n">
        <v>0</v>
      </c>
      <c r="M845" t="n">
        <v>0</v>
      </c>
      <c r="N845" t="n">
        <v>0</v>
      </c>
      <c r="O845" t="n">
        <v>0</v>
      </c>
      <c r="P845" t="n">
        <v>0</v>
      </c>
      <c r="Q845" t="n">
        <v>0</v>
      </c>
      <c r="R845" s="2" t="inlineStr"/>
    </row>
    <row r="846" ht="15" customHeight="1">
      <c r="A846" t="inlineStr">
        <is>
          <t>A 28596-2021</t>
        </is>
      </c>
      <c r="B846" s="1" t="n">
        <v>44356</v>
      </c>
      <c r="C846" s="1" t="n">
        <v>46042</v>
      </c>
      <c r="D846" t="inlineStr">
        <is>
          <t>JÄMTLANDS LÄN</t>
        </is>
      </c>
      <c r="E846" t="inlineStr">
        <is>
          <t>RAGUNDA</t>
        </is>
      </c>
      <c r="G846" t="n">
        <v>5.4</v>
      </c>
      <c r="H846" t="n">
        <v>0</v>
      </c>
      <c r="I846" t="n">
        <v>0</v>
      </c>
      <c r="J846" t="n">
        <v>0</v>
      </c>
      <c r="K846" t="n">
        <v>0</v>
      </c>
      <c r="L846" t="n">
        <v>0</v>
      </c>
      <c r="M846" t="n">
        <v>0</v>
      </c>
      <c r="N846" t="n">
        <v>0</v>
      </c>
      <c r="O846" t="n">
        <v>0</v>
      </c>
      <c r="P846" t="n">
        <v>0</v>
      </c>
      <c r="Q846" t="n">
        <v>0</v>
      </c>
      <c r="R846" s="2" t="inlineStr"/>
    </row>
    <row r="847" ht="15" customHeight="1">
      <c r="A847" t="inlineStr">
        <is>
          <t>A 11058-2025</t>
        </is>
      </c>
      <c r="B847" s="1" t="n">
        <v>45723.51079861111</v>
      </c>
      <c r="C847" s="1" t="n">
        <v>46042</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38664-2022</t>
        </is>
      </c>
      <c r="B848" s="1" t="n">
        <v>44813</v>
      </c>
      <c r="C848" s="1" t="n">
        <v>46042</v>
      </c>
      <c r="D848" t="inlineStr">
        <is>
          <t>JÄMTLANDS LÄN</t>
        </is>
      </c>
      <c r="E848" t="inlineStr">
        <is>
          <t>RAGUNDA</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24441-2024</t>
        </is>
      </c>
      <c r="B849" s="1" t="n">
        <v>45457.96372685185</v>
      </c>
      <c r="C849" s="1" t="n">
        <v>46042</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40801-2023</t>
        </is>
      </c>
      <c r="B850" s="1" t="n">
        <v>45170</v>
      </c>
      <c r="C850" s="1" t="n">
        <v>46042</v>
      </c>
      <c r="D850" t="inlineStr">
        <is>
          <t>JÄMTLANDS LÄN</t>
        </is>
      </c>
      <c r="E850" t="inlineStr">
        <is>
          <t>RAGUNDA</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63060-2025</t>
        </is>
      </c>
      <c r="B851" s="1" t="n">
        <v>46009.64414351852</v>
      </c>
      <c r="C851" s="1" t="n">
        <v>46042</v>
      </c>
      <c r="D851" t="inlineStr">
        <is>
          <t>JÄMTLANDS LÄN</t>
        </is>
      </c>
      <c r="E851" t="inlineStr">
        <is>
          <t>RAGUNDA</t>
        </is>
      </c>
      <c r="G851" t="n">
        <v>6.5</v>
      </c>
      <c r="H851" t="n">
        <v>0</v>
      </c>
      <c r="I851" t="n">
        <v>0</v>
      </c>
      <c r="J851" t="n">
        <v>0</v>
      </c>
      <c r="K851" t="n">
        <v>0</v>
      </c>
      <c r="L851" t="n">
        <v>0</v>
      </c>
      <c r="M851" t="n">
        <v>0</v>
      </c>
      <c r="N851" t="n">
        <v>0</v>
      </c>
      <c r="O851" t="n">
        <v>0</v>
      </c>
      <c r="P851" t="n">
        <v>0</v>
      </c>
      <c r="Q851" t="n">
        <v>0</v>
      </c>
      <c r="R851" s="2" t="inlineStr"/>
    </row>
    <row r="852" ht="15" customHeight="1">
      <c r="A852" t="inlineStr">
        <is>
          <t>A 54794-2025</t>
        </is>
      </c>
      <c r="B852" s="1" t="n">
        <v>45966.63592592593</v>
      </c>
      <c r="C852" s="1" t="n">
        <v>46042</v>
      </c>
      <c r="D852" t="inlineStr">
        <is>
          <t>JÄMTLANDS LÄN</t>
        </is>
      </c>
      <c r="E852" t="inlineStr">
        <is>
          <t>RAGUNDA</t>
        </is>
      </c>
      <c r="G852" t="n">
        <v>4</v>
      </c>
      <c r="H852" t="n">
        <v>0</v>
      </c>
      <c r="I852" t="n">
        <v>0</v>
      </c>
      <c r="J852" t="n">
        <v>0</v>
      </c>
      <c r="K852" t="n">
        <v>0</v>
      </c>
      <c r="L852" t="n">
        <v>0</v>
      </c>
      <c r="M852" t="n">
        <v>0</v>
      </c>
      <c r="N852" t="n">
        <v>0</v>
      </c>
      <c r="O852" t="n">
        <v>0</v>
      </c>
      <c r="P852" t="n">
        <v>0</v>
      </c>
      <c r="Q852" t="n">
        <v>0</v>
      </c>
      <c r="R852" s="2" t="inlineStr"/>
    </row>
    <row r="853" ht="15" customHeight="1">
      <c r="A853" t="inlineStr">
        <is>
          <t>A 62638-2025</t>
        </is>
      </c>
      <c r="B853" s="1" t="n">
        <v>46008.36564814814</v>
      </c>
      <c r="C853" s="1" t="n">
        <v>46042</v>
      </c>
      <c r="D853" t="inlineStr">
        <is>
          <t>JÄMTLANDS LÄN</t>
        </is>
      </c>
      <c r="E853" t="inlineStr">
        <is>
          <t>RAGUNDA</t>
        </is>
      </c>
      <c r="G853" t="n">
        <v>0.9</v>
      </c>
      <c r="H853" t="n">
        <v>0</v>
      </c>
      <c r="I853" t="n">
        <v>0</v>
      </c>
      <c r="J853" t="n">
        <v>0</v>
      </c>
      <c r="K853" t="n">
        <v>0</v>
      </c>
      <c r="L853" t="n">
        <v>0</v>
      </c>
      <c r="M853" t="n">
        <v>0</v>
      </c>
      <c r="N853" t="n">
        <v>0</v>
      </c>
      <c r="O853" t="n">
        <v>0</v>
      </c>
      <c r="P853" t="n">
        <v>0</v>
      </c>
      <c r="Q853" t="n">
        <v>0</v>
      </c>
      <c r="R853" s="2" t="inlineStr"/>
    </row>
    <row r="854" ht="15" customHeight="1">
      <c r="A854" t="inlineStr">
        <is>
          <t>A 62691-2025</t>
        </is>
      </c>
      <c r="B854" s="1" t="n">
        <v>46008.4759837963</v>
      </c>
      <c r="C854" s="1" t="n">
        <v>46042</v>
      </c>
      <c r="D854" t="inlineStr">
        <is>
          <t>JÄMTLANDS LÄN</t>
        </is>
      </c>
      <c r="E854" t="inlineStr">
        <is>
          <t>RAGUNDA</t>
        </is>
      </c>
      <c r="G854" t="n">
        <v>2.6</v>
      </c>
      <c r="H854" t="n">
        <v>0</v>
      </c>
      <c r="I854" t="n">
        <v>0</v>
      </c>
      <c r="J854" t="n">
        <v>0</v>
      </c>
      <c r="K854" t="n">
        <v>0</v>
      </c>
      <c r="L854" t="n">
        <v>0</v>
      </c>
      <c r="M854" t="n">
        <v>0</v>
      </c>
      <c r="N854" t="n">
        <v>0</v>
      </c>
      <c r="O854" t="n">
        <v>0</v>
      </c>
      <c r="P854" t="n">
        <v>0</v>
      </c>
      <c r="Q854" t="n">
        <v>0</v>
      </c>
      <c r="R854" s="2" t="inlineStr"/>
    </row>
    <row r="855" ht="15" customHeight="1">
      <c r="A855" t="inlineStr">
        <is>
          <t>A 62927-2025</t>
        </is>
      </c>
      <c r="B855" s="1" t="n">
        <v>46009.38609953703</v>
      </c>
      <c r="C855" s="1" t="n">
        <v>46042</v>
      </c>
      <c r="D855" t="inlineStr">
        <is>
          <t>JÄMTLANDS LÄN</t>
        </is>
      </c>
      <c r="E855" t="inlineStr">
        <is>
          <t>RAGUNDA</t>
        </is>
      </c>
      <c r="G855" t="n">
        <v>6.3</v>
      </c>
      <c r="H855" t="n">
        <v>0</v>
      </c>
      <c r="I855" t="n">
        <v>0</v>
      </c>
      <c r="J855" t="n">
        <v>0</v>
      </c>
      <c r="K855" t="n">
        <v>0</v>
      </c>
      <c r="L855" t="n">
        <v>0</v>
      </c>
      <c r="M855" t="n">
        <v>0</v>
      </c>
      <c r="N855" t="n">
        <v>0</v>
      </c>
      <c r="O855" t="n">
        <v>0</v>
      </c>
      <c r="P855" t="n">
        <v>0</v>
      </c>
      <c r="Q855" t="n">
        <v>0</v>
      </c>
      <c r="R855" s="2" t="inlineStr"/>
      <c r="U855">
        <f>HYPERLINK("https://klasma.github.io/Logging_2303/knärot/A 62927-2025 karta knärot.png", "A 62927-2025")</f>
        <v/>
      </c>
      <c r="V855">
        <f>HYPERLINK("https://klasma.github.io/Logging_2303/klagomål/A 62927-2025 FSC-klagomål.docx", "A 62927-2025")</f>
        <v/>
      </c>
      <c r="W855">
        <f>HYPERLINK("https://klasma.github.io/Logging_2303/klagomålsmail/A 62927-2025 FSC-klagomål mail.docx", "A 62927-2025")</f>
        <v/>
      </c>
      <c r="X855">
        <f>HYPERLINK("https://klasma.github.io/Logging_2303/tillsyn/A 62927-2025 tillsynsbegäran.docx", "A 62927-2025")</f>
        <v/>
      </c>
      <c r="Y855">
        <f>HYPERLINK("https://klasma.github.io/Logging_2303/tillsynsmail/A 62927-2025 tillsynsbegäran mail.docx", "A 62927-2025")</f>
        <v/>
      </c>
    </row>
    <row r="856" ht="15" customHeight="1">
      <c r="A856" t="inlineStr">
        <is>
          <t>A 48065-2023</t>
        </is>
      </c>
      <c r="B856" s="1" t="n">
        <v>45204.94399305555</v>
      </c>
      <c r="C856" s="1" t="n">
        <v>46042</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62819-2025</t>
        </is>
      </c>
      <c r="B857" s="1" t="n">
        <v>46008</v>
      </c>
      <c r="C857" s="1" t="n">
        <v>46042</v>
      </c>
      <c r="D857" t="inlineStr">
        <is>
          <t>JÄMTLANDS LÄN</t>
        </is>
      </c>
      <c r="E857" t="inlineStr">
        <is>
          <t>RAGUNDA</t>
        </is>
      </c>
      <c r="G857" t="n">
        <v>3.5</v>
      </c>
      <c r="H857" t="n">
        <v>0</v>
      </c>
      <c r="I857" t="n">
        <v>0</v>
      </c>
      <c r="J857" t="n">
        <v>0</v>
      </c>
      <c r="K857" t="n">
        <v>0</v>
      </c>
      <c r="L857" t="n">
        <v>0</v>
      </c>
      <c r="M857" t="n">
        <v>0</v>
      </c>
      <c r="N857" t="n">
        <v>0</v>
      </c>
      <c r="O857" t="n">
        <v>0</v>
      </c>
      <c r="P857" t="n">
        <v>0</v>
      </c>
      <c r="Q857" t="n">
        <v>0</v>
      </c>
      <c r="R857" s="2" t="inlineStr"/>
    </row>
    <row r="858" ht="15" customHeight="1">
      <c r="A858" t="inlineStr">
        <is>
          <t>A 4592-2024</t>
        </is>
      </c>
      <c r="B858" s="1" t="n">
        <v>45327.94443287037</v>
      </c>
      <c r="C858" s="1" t="n">
        <v>46042</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54820-2025</t>
        </is>
      </c>
      <c r="B859" s="1" t="n">
        <v>45966.65728009259</v>
      </c>
      <c r="C859" s="1" t="n">
        <v>46042</v>
      </c>
      <c r="D859" t="inlineStr">
        <is>
          <t>JÄMTLANDS LÄN</t>
        </is>
      </c>
      <c r="E859" t="inlineStr">
        <is>
          <t>RAGUNDA</t>
        </is>
      </c>
      <c r="G859" t="n">
        <v>15.3</v>
      </c>
      <c r="H859" t="n">
        <v>0</v>
      </c>
      <c r="I859" t="n">
        <v>0</v>
      </c>
      <c r="J859" t="n">
        <v>0</v>
      </c>
      <c r="K859" t="n">
        <v>0</v>
      </c>
      <c r="L859" t="n">
        <v>0</v>
      </c>
      <c r="M859" t="n">
        <v>0</v>
      </c>
      <c r="N859" t="n">
        <v>0</v>
      </c>
      <c r="O859" t="n">
        <v>0</v>
      </c>
      <c r="P859" t="n">
        <v>0</v>
      </c>
      <c r="Q859" t="n">
        <v>0</v>
      </c>
      <c r="R859" s="2" t="inlineStr"/>
    </row>
    <row r="860" ht="15" customHeight="1">
      <c r="A860" t="inlineStr">
        <is>
          <t>A 60195-2023</t>
        </is>
      </c>
      <c r="B860" s="1" t="n">
        <v>45257</v>
      </c>
      <c r="C860" s="1" t="n">
        <v>46042</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58909-2025</t>
        </is>
      </c>
      <c r="B861" s="1" t="n">
        <v>45987</v>
      </c>
      <c r="C861" s="1" t="n">
        <v>46042</v>
      </c>
      <c r="D861" t="inlineStr">
        <is>
          <t>JÄMTLANDS LÄN</t>
        </is>
      </c>
      <c r="E861" t="inlineStr">
        <is>
          <t>RAGUNDA</t>
        </is>
      </c>
      <c r="G861" t="n">
        <v>9.5</v>
      </c>
      <c r="H861" t="n">
        <v>0</v>
      </c>
      <c r="I861" t="n">
        <v>0</v>
      </c>
      <c r="J861" t="n">
        <v>0</v>
      </c>
      <c r="K861" t="n">
        <v>0</v>
      </c>
      <c r="L861" t="n">
        <v>0</v>
      </c>
      <c r="M861" t="n">
        <v>0</v>
      </c>
      <c r="N861" t="n">
        <v>0</v>
      </c>
      <c r="O861" t="n">
        <v>0</v>
      </c>
      <c r="P861" t="n">
        <v>0</v>
      </c>
      <c r="Q861" t="n">
        <v>0</v>
      </c>
      <c r="R861" s="2" t="inlineStr"/>
    </row>
    <row r="862" ht="15" customHeight="1">
      <c r="A862" t="inlineStr">
        <is>
          <t>A 22981-2023</t>
        </is>
      </c>
      <c r="B862" s="1" t="n">
        <v>45072.92737268518</v>
      </c>
      <c r="C862" s="1" t="n">
        <v>46042</v>
      </c>
      <c r="D862" t="inlineStr">
        <is>
          <t>JÄMTLANDS LÄN</t>
        </is>
      </c>
      <c r="E862" t="inlineStr">
        <is>
          <t>RAGUNDA</t>
        </is>
      </c>
      <c r="G862" t="n">
        <v>3.8</v>
      </c>
      <c r="H862" t="n">
        <v>0</v>
      </c>
      <c r="I862" t="n">
        <v>0</v>
      </c>
      <c r="J862" t="n">
        <v>0</v>
      </c>
      <c r="K862" t="n">
        <v>0</v>
      </c>
      <c r="L862" t="n">
        <v>0</v>
      </c>
      <c r="M862" t="n">
        <v>0</v>
      </c>
      <c r="N862" t="n">
        <v>0</v>
      </c>
      <c r="O862" t="n">
        <v>0</v>
      </c>
      <c r="P862" t="n">
        <v>0</v>
      </c>
      <c r="Q862" t="n">
        <v>0</v>
      </c>
      <c r="R862" s="2" t="inlineStr"/>
    </row>
    <row r="863" ht="15" customHeight="1">
      <c r="A863" t="inlineStr">
        <is>
          <t>A 63057-2025</t>
        </is>
      </c>
      <c r="B863" s="1" t="n">
        <v>46009.63837962963</v>
      </c>
      <c r="C863" s="1" t="n">
        <v>46042</v>
      </c>
      <c r="D863" t="inlineStr">
        <is>
          <t>JÄMTLANDS LÄN</t>
        </is>
      </c>
      <c r="E863" t="inlineStr">
        <is>
          <t>RAGUNDA</t>
        </is>
      </c>
      <c r="G863" t="n">
        <v>13.7</v>
      </c>
      <c r="H863" t="n">
        <v>0</v>
      </c>
      <c r="I863" t="n">
        <v>0</v>
      </c>
      <c r="J863" t="n">
        <v>0</v>
      </c>
      <c r="K863" t="n">
        <v>0</v>
      </c>
      <c r="L863" t="n">
        <v>0</v>
      </c>
      <c r="M863" t="n">
        <v>0</v>
      </c>
      <c r="N863" t="n">
        <v>0</v>
      </c>
      <c r="O863" t="n">
        <v>0</v>
      </c>
      <c r="P863" t="n">
        <v>0</v>
      </c>
      <c r="Q863" t="n">
        <v>0</v>
      </c>
      <c r="R863" s="2" t="inlineStr"/>
    </row>
    <row r="864" ht="15" customHeight="1">
      <c r="A864" t="inlineStr">
        <is>
          <t>A 26942-2021</t>
        </is>
      </c>
      <c r="B864" s="1" t="n">
        <v>44349.91978009259</v>
      </c>
      <c r="C864" s="1" t="n">
        <v>46042</v>
      </c>
      <c r="D864" t="inlineStr">
        <is>
          <t>JÄMTLANDS LÄN</t>
        </is>
      </c>
      <c r="E864" t="inlineStr">
        <is>
          <t>RAGUNDA</t>
        </is>
      </c>
      <c r="G864" t="n">
        <v>6.2</v>
      </c>
      <c r="H864" t="n">
        <v>0</v>
      </c>
      <c r="I864" t="n">
        <v>0</v>
      </c>
      <c r="J864" t="n">
        <v>0</v>
      </c>
      <c r="K864" t="n">
        <v>0</v>
      </c>
      <c r="L864" t="n">
        <v>0</v>
      </c>
      <c r="M864" t="n">
        <v>0</v>
      </c>
      <c r="N864" t="n">
        <v>0</v>
      </c>
      <c r="O864" t="n">
        <v>0</v>
      </c>
      <c r="P864" t="n">
        <v>0</v>
      </c>
      <c r="Q864" t="n">
        <v>0</v>
      </c>
      <c r="R864" s="2" t="inlineStr"/>
    </row>
    <row r="865" ht="15" customHeight="1">
      <c r="A865" t="inlineStr">
        <is>
          <t>A 46546-2023</t>
        </is>
      </c>
      <c r="B865" s="1" t="n">
        <v>45197.94152777778</v>
      </c>
      <c r="C865" s="1" t="n">
        <v>46042</v>
      </c>
      <c r="D865" t="inlineStr">
        <is>
          <t>JÄMTLANDS LÄN</t>
        </is>
      </c>
      <c r="E865" t="inlineStr">
        <is>
          <t>RAGUNDA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19865-2023</t>
        </is>
      </c>
      <c r="B866" s="1" t="n">
        <v>45053.94305555556</v>
      </c>
      <c r="C866" s="1" t="n">
        <v>46042</v>
      </c>
      <c r="D866" t="inlineStr">
        <is>
          <t>JÄMTLANDS LÄN</t>
        </is>
      </c>
      <c r="E866" t="inlineStr">
        <is>
          <t>RAGUNDA</t>
        </is>
      </c>
      <c r="F866" t="inlineStr">
        <is>
          <t>SCA</t>
        </is>
      </c>
      <c r="G866" t="n">
        <v>3.6</v>
      </c>
      <c r="H866" t="n">
        <v>0</v>
      </c>
      <c r="I866" t="n">
        <v>0</v>
      </c>
      <c r="J866" t="n">
        <v>0</v>
      </c>
      <c r="K866" t="n">
        <v>0</v>
      </c>
      <c r="L866" t="n">
        <v>0</v>
      </c>
      <c r="M866" t="n">
        <v>0</v>
      </c>
      <c r="N866" t="n">
        <v>0</v>
      </c>
      <c r="O866" t="n">
        <v>0</v>
      </c>
      <c r="P866" t="n">
        <v>0</v>
      </c>
      <c r="Q866" t="n">
        <v>0</v>
      </c>
      <c r="R866" s="2" t="inlineStr"/>
    </row>
    <row r="867" ht="15" customHeight="1">
      <c r="A867" t="inlineStr">
        <is>
          <t>A 55547-2025</t>
        </is>
      </c>
      <c r="B867" s="1" t="n">
        <v>45971</v>
      </c>
      <c r="C867" s="1" t="n">
        <v>46042</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63141-2025</t>
        </is>
      </c>
      <c r="B868" s="1" t="n">
        <v>46010.34440972222</v>
      </c>
      <c r="C868" s="1" t="n">
        <v>46042</v>
      </c>
      <c r="D868" t="inlineStr">
        <is>
          <t>JÄMTLANDS LÄN</t>
        </is>
      </c>
      <c r="E868" t="inlineStr">
        <is>
          <t>RAGUNDA</t>
        </is>
      </c>
      <c r="F868" t="inlineStr">
        <is>
          <t>SCA</t>
        </is>
      </c>
      <c r="G868" t="n">
        <v>24.4</v>
      </c>
      <c r="H868" t="n">
        <v>0</v>
      </c>
      <c r="I868" t="n">
        <v>0</v>
      </c>
      <c r="J868" t="n">
        <v>0</v>
      </c>
      <c r="K868" t="n">
        <v>0</v>
      </c>
      <c r="L868" t="n">
        <v>0</v>
      </c>
      <c r="M868" t="n">
        <v>0</v>
      </c>
      <c r="N868" t="n">
        <v>0</v>
      </c>
      <c r="O868" t="n">
        <v>0</v>
      </c>
      <c r="P868" t="n">
        <v>0</v>
      </c>
      <c r="Q868" t="n">
        <v>0</v>
      </c>
      <c r="R868" s="2" t="inlineStr"/>
    </row>
    <row r="869" ht="15" customHeight="1">
      <c r="A869" t="inlineStr">
        <is>
          <t>A 63578-2025</t>
        </is>
      </c>
      <c r="B869" s="1" t="n">
        <v>46013.67690972222</v>
      </c>
      <c r="C869" s="1" t="n">
        <v>46042</v>
      </c>
      <c r="D869" t="inlineStr">
        <is>
          <t>JÄMTLANDS LÄN</t>
        </is>
      </c>
      <c r="E869" t="inlineStr">
        <is>
          <t>RAGUNDA</t>
        </is>
      </c>
      <c r="G869" t="n">
        <v>2.7</v>
      </c>
      <c r="H869" t="n">
        <v>0</v>
      </c>
      <c r="I869" t="n">
        <v>0</v>
      </c>
      <c r="J869" t="n">
        <v>0</v>
      </c>
      <c r="K869" t="n">
        <v>0</v>
      </c>
      <c r="L869" t="n">
        <v>0</v>
      </c>
      <c r="M869" t="n">
        <v>0</v>
      </c>
      <c r="N869" t="n">
        <v>0</v>
      </c>
      <c r="O869" t="n">
        <v>0</v>
      </c>
      <c r="P869" t="n">
        <v>0</v>
      </c>
      <c r="Q869" t="n">
        <v>0</v>
      </c>
      <c r="R869" s="2" t="inlineStr"/>
    </row>
    <row r="870" ht="15" customHeight="1">
      <c r="A870" t="inlineStr">
        <is>
          <t>A 564-2025</t>
        </is>
      </c>
      <c r="B870" s="1" t="n">
        <v>45664.55241898148</v>
      </c>
      <c r="C870" s="1" t="n">
        <v>46042</v>
      </c>
      <c r="D870" t="inlineStr">
        <is>
          <t>JÄMTLANDS LÄN</t>
        </is>
      </c>
      <c r="E870" t="inlineStr">
        <is>
          <t>RAGUNDA</t>
        </is>
      </c>
      <c r="F870" t="inlineStr">
        <is>
          <t>SCA</t>
        </is>
      </c>
      <c r="G870" t="n">
        <v>7</v>
      </c>
      <c r="H870" t="n">
        <v>0</v>
      </c>
      <c r="I870" t="n">
        <v>0</v>
      </c>
      <c r="J870" t="n">
        <v>0</v>
      </c>
      <c r="K870" t="n">
        <v>0</v>
      </c>
      <c r="L870" t="n">
        <v>0</v>
      </c>
      <c r="M870" t="n">
        <v>0</v>
      </c>
      <c r="N870" t="n">
        <v>0</v>
      </c>
      <c r="O870" t="n">
        <v>0</v>
      </c>
      <c r="P870" t="n">
        <v>0</v>
      </c>
      <c r="Q870" t="n">
        <v>0</v>
      </c>
      <c r="R870" s="2" t="inlineStr"/>
    </row>
    <row r="871" ht="15" customHeight="1">
      <c r="A871" t="inlineStr">
        <is>
          <t>A 50555-2024</t>
        </is>
      </c>
      <c r="B871" s="1" t="n">
        <v>45601.59518518519</v>
      </c>
      <c r="C871" s="1" t="n">
        <v>46042</v>
      </c>
      <c r="D871" t="inlineStr">
        <is>
          <t>JÄMTLANDS LÄN</t>
        </is>
      </c>
      <c r="E871" t="inlineStr">
        <is>
          <t>RAGUNDA</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59658-2023</t>
        </is>
      </c>
      <c r="B872" s="1" t="n">
        <v>45254.96402777778</v>
      </c>
      <c r="C872" s="1" t="n">
        <v>46042</v>
      </c>
      <c r="D872" t="inlineStr">
        <is>
          <t>JÄMTLANDS LÄN</t>
        </is>
      </c>
      <c r="E872" t="inlineStr">
        <is>
          <t>RAGUNDA</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55797-2025</t>
        </is>
      </c>
      <c r="B873" s="1" t="n">
        <v>45972.65693287037</v>
      </c>
      <c r="C873" s="1" t="n">
        <v>46042</v>
      </c>
      <c r="D873" t="inlineStr">
        <is>
          <t>JÄMTLANDS LÄN</t>
        </is>
      </c>
      <c r="E873" t="inlineStr">
        <is>
          <t>RAGUNDA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49649-2024</t>
        </is>
      </c>
      <c r="B874" s="1" t="n">
        <v>45596.61553240741</v>
      </c>
      <c r="C874" s="1" t="n">
        <v>46042</v>
      </c>
      <c r="D874" t="inlineStr">
        <is>
          <t>JÄMTLANDS LÄN</t>
        </is>
      </c>
      <c r="E874" t="inlineStr">
        <is>
          <t>RAGUNDA</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55671-2025</t>
        </is>
      </c>
      <c r="B875" s="1" t="n">
        <v>45972</v>
      </c>
      <c r="C875" s="1" t="n">
        <v>46042</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2831-2024</t>
        </is>
      </c>
      <c r="B876" s="1" t="n">
        <v>45314.92758101852</v>
      </c>
      <c r="C876" s="1" t="n">
        <v>46042</v>
      </c>
      <c r="D876" t="inlineStr">
        <is>
          <t>JÄMTLANDS LÄN</t>
        </is>
      </c>
      <c r="E876" t="inlineStr">
        <is>
          <t>RAGUNDA</t>
        </is>
      </c>
      <c r="G876" t="n">
        <v>0.6</v>
      </c>
      <c r="H876" t="n">
        <v>0</v>
      </c>
      <c r="I876" t="n">
        <v>0</v>
      </c>
      <c r="J876" t="n">
        <v>0</v>
      </c>
      <c r="K876" t="n">
        <v>0</v>
      </c>
      <c r="L876" t="n">
        <v>0</v>
      </c>
      <c r="M876" t="n">
        <v>0</v>
      </c>
      <c r="N876" t="n">
        <v>0</v>
      </c>
      <c r="O876" t="n">
        <v>0</v>
      </c>
      <c r="P876" t="n">
        <v>0</v>
      </c>
      <c r="Q876" t="n">
        <v>0</v>
      </c>
      <c r="R876" s="2" t="inlineStr"/>
    </row>
    <row r="877" ht="15" customHeight="1">
      <c r="A877" t="inlineStr">
        <is>
          <t>A 55897-2025</t>
        </is>
      </c>
      <c r="B877" s="1" t="n">
        <v>45973.38600694444</v>
      </c>
      <c r="C877" s="1" t="n">
        <v>46042</v>
      </c>
      <c r="D877" t="inlineStr">
        <is>
          <t>JÄMTLANDS LÄN</t>
        </is>
      </c>
      <c r="E877" t="inlineStr">
        <is>
          <t>RAGUNDA</t>
        </is>
      </c>
      <c r="F877" t="inlineStr">
        <is>
          <t>SCA</t>
        </is>
      </c>
      <c r="G877" t="n">
        <v>14.1</v>
      </c>
      <c r="H877" t="n">
        <v>0</v>
      </c>
      <c r="I877" t="n">
        <v>0</v>
      </c>
      <c r="J877" t="n">
        <v>0</v>
      </c>
      <c r="K877" t="n">
        <v>0</v>
      </c>
      <c r="L877" t="n">
        <v>0</v>
      </c>
      <c r="M877" t="n">
        <v>0</v>
      </c>
      <c r="N877" t="n">
        <v>0</v>
      </c>
      <c r="O877" t="n">
        <v>0</v>
      </c>
      <c r="P877" t="n">
        <v>0</v>
      </c>
      <c r="Q877" t="n">
        <v>0</v>
      </c>
      <c r="R877" s="2" t="inlineStr"/>
    </row>
    <row r="878" ht="15" customHeight="1">
      <c r="A878" t="inlineStr">
        <is>
          <t>A 63672-2025</t>
        </is>
      </c>
      <c r="B878" s="1" t="n">
        <v>46014.47575231481</v>
      </c>
      <c r="C878" s="1" t="n">
        <v>46042</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55633-2025</t>
        </is>
      </c>
      <c r="B879" s="1" t="n">
        <v>45972</v>
      </c>
      <c r="C879" s="1" t="n">
        <v>46042</v>
      </c>
      <c r="D879" t="inlineStr">
        <is>
          <t>JÄMTLANDS LÄN</t>
        </is>
      </c>
      <c r="E879" t="inlineStr">
        <is>
          <t>RAGUNDA</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63671-2025</t>
        </is>
      </c>
      <c r="B880" s="1" t="n">
        <v>46014.46555555556</v>
      </c>
      <c r="C880" s="1" t="n">
        <v>46042</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53740-2024</t>
        </is>
      </c>
      <c r="B881" s="1" t="n">
        <v>45615.47091435185</v>
      </c>
      <c r="C881" s="1" t="n">
        <v>46042</v>
      </c>
      <c r="D881" t="inlineStr">
        <is>
          <t>JÄMTLANDS LÄN</t>
        </is>
      </c>
      <c r="E881" t="inlineStr">
        <is>
          <t>RAGUNDA</t>
        </is>
      </c>
      <c r="G881" t="n">
        <v>2.7</v>
      </c>
      <c r="H881" t="n">
        <v>0</v>
      </c>
      <c r="I881" t="n">
        <v>0</v>
      </c>
      <c r="J881" t="n">
        <v>0</v>
      </c>
      <c r="K881" t="n">
        <v>0</v>
      </c>
      <c r="L881" t="n">
        <v>0</v>
      </c>
      <c r="M881" t="n">
        <v>0</v>
      </c>
      <c r="N881" t="n">
        <v>0</v>
      </c>
      <c r="O881" t="n">
        <v>0</v>
      </c>
      <c r="P881" t="n">
        <v>0</v>
      </c>
      <c r="Q881" t="n">
        <v>0</v>
      </c>
      <c r="R881" s="2" t="inlineStr"/>
    </row>
    <row r="882" ht="15" customHeight="1">
      <c r="A882" t="inlineStr">
        <is>
          <t>A 59372-2024</t>
        </is>
      </c>
      <c r="B882" s="1" t="n">
        <v>45638.34431712963</v>
      </c>
      <c r="C882" s="1" t="n">
        <v>46042</v>
      </c>
      <c r="D882" t="inlineStr">
        <is>
          <t>JÄMTLANDS LÄN</t>
        </is>
      </c>
      <c r="E882" t="inlineStr">
        <is>
          <t>RAGUNDA</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56435-2025</t>
        </is>
      </c>
      <c r="B883" s="1" t="n">
        <v>45975.34679398148</v>
      </c>
      <c r="C883" s="1" t="n">
        <v>46042</v>
      </c>
      <c r="D883" t="inlineStr">
        <is>
          <t>JÄMTLANDS LÄN</t>
        </is>
      </c>
      <c r="E883" t="inlineStr">
        <is>
          <t>RAGUNDA</t>
        </is>
      </c>
      <c r="F883" t="inlineStr">
        <is>
          <t>SCA</t>
        </is>
      </c>
      <c r="G883" t="n">
        <v>9.199999999999999</v>
      </c>
      <c r="H883" t="n">
        <v>0</v>
      </c>
      <c r="I883" t="n">
        <v>0</v>
      </c>
      <c r="J883" t="n">
        <v>0</v>
      </c>
      <c r="K883" t="n">
        <v>0</v>
      </c>
      <c r="L883" t="n">
        <v>0</v>
      </c>
      <c r="M883" t="n">
        <v>0</v>
      </c>
      <c r="N883" t="n">
        <v>0</v>
      </c>
      <c r="O883" t="n">
        <v>0</v>
      </c>
      <c r="P883" t="n">
        <v>0</v>
      </c>
      <c r="Q883" t="n">
        <v>0</v>
      </c>
      <c r="R883" s="2" t="inlineStr"/>
      <c r="U883">
        <f>HYPERLINK("https://klasma.github.io/Logging_2303/knärot/A 56435-2025 karta knärot.png", "A 56435-2025")</f>
        <v/>
      </c>
      <c r="V883">
        <f>HYPERLINK("https://klasma.github.io/Logging_2303/klagomål/A 56435-2025 FSC-klagomål.docx", "A 56435-2025")</f>
        <v/>
      </c>
      <c r="W883">
        <f>HYPERLINK("https://klasma.github.io/Logging_2303/klagomålsmail/A 56435-2025 FSC-klagomål mail.docx", "A 56435-2025")</f>
        <v/>
      </c>
      <c r="X883">
        <f>HYPERLINK("https://klasma.github.io/Logging_2303/tillsyn/A 56435-2025 tillsynsbegäran.docx", "A 56435-2025")</f>
        <v/>
      </c>
      <c r="Y883">
        <f>HYPERLINK("https://klasma.github.io/Logging_2303/tillsynsmail/A 56435-2025 tillsynsbegäran mail.docx", "A 56435-2025")</f>
        <v/>
      </c>
    </row>
    <row r="884" ht="15" customHeight="1">
      <c r="A884" t="inlineStr">
        <is>
          <t>A 56170-2025</t>
        </is>
      </c>
      <c r="B884" s="1" t="n">
        <v>45974.39398148148</v>
      </c>
      <c r="C884" s="1" t="n">
        <v>46042</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12522-2023</t>
        </is>
      </c>
      <c r="B885" s="1" t="n">
        <v>45000</v>
      </c>
      <c r="C885" s="1" t="n">
        <v>46042</v>
      </c>
      <c r="D885" t="inlineStr">
        <is>
          <t>JÄMTLANDS LÄN</t>
        </is>
      </c>
      <c r="E885" t="inlineStr">
        <is>
          <t>RAGUNDA</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12523-2023</t>
        </is>
      </c>
      <c r="B886" s="1" t="n">
        <v>45000</v>
      </c>
      <c r="C886" s="1" t="n">
        <v>46042</v>
      </c>
      <c r="D886" t="inlineStr">
        <is>
          <t>JÄMTLANDS LÄN</t>
        </is>
      </c>
      <c r="E886" t="inlineStr">
        <is>
          <t>RAGUNDA</t>
        </is>
      </c>
      <c r="F886" t="inlineStr">
        <is>
          <t>SCA</t>
        </is>
      </c>
      <c r="G886" t="n">
        <v>14.3</v>
      </c>
      <c r="H886" t="n">
        <v>0</v>
      </c>
      <c r="I886" t="n">
        <v>0</v>
      </c>
      <c r="J886" t="n">
        <v>0</v>
      </c>
      <c r="K886" t="n">
        <v>0</v>
      </c>
      <c r="L886" t="n">
        <v>0</v>
      </c>
      <c r="M886" t="n">
        <v>0</v>
      </c>
      <c r="N886" t="n">
        <v>0</v>
      </c>
      <c r="O886" t="n">
        <v>0</v>
      </c>
      <c r="P886" t="n">
        <v>0</v>
      </c>
      <c r="Q886" t="n">
        <v>0</v>
      </c>
      <c r="R886" s="2" t="inlineStr"/>
    </row>
    <row r="887" ht="15" customHeight="1">
      <c r="A887" t="inlineStr">
        <is>
          <t>A 24861-2023</t>
        </is>
      </c>
      <c r="B887" s="1" t="n">
        <v>45078</v>
      </c>
      <c r="C887" s="1" t="n">
        <v>46042</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63828-2025</t>
        </is>
      </c>
      <c r="B888" s="1" t="n">
        <v>46020.37814814815</v>
      </c>
      <c r="C888" s="1" t="n">
        <v>46042</v>
      </c>
      <c r="D888" t="inlineStr">
        <is>
          <t>JÄMTLANDS LÄN</t>
        </is>
      </c>
      <c r="E888" t="inlineStr">
        <is>
          <t>RAGUNDA</t>
        </is>
      </c>
      <c r="G888" t="n">
        <v>4.7</v>
      </c>
      <c r="H888" t="n">
        <v>0</v>
      </c>
      <c r="I888" t="n">
        <v>0</v>
      </c>
      <c r="J888" t="n">
        <v>0</v>
      </c>
      <c r="K888" t="n">
        <v>0</v>
      </c>
      <c r="L888" t="n">
        <v>0</v>
      </c>
      <c r="M888" t="n">
        <v>0</v>
      </c>
      <c r="N888" t="n">
        <v>0</v>
      </c>
      <c r="O888" t="n">
        <v>0</v>
      </c>
      <c r="P888" t="n">
        <v>0</v>
      </c>
      <c r="Q888" t="n">
        <v>0</v>
      </c>
      <c r="R888" s="2" t="inlineStr"/>
    </row>
    <row r="889" ht="15" customHeight="1">
      <c r="A889" t="inlineStr">
        <is>
          <t>A 13905-2025</t>
        </is>
      </c>
      <c r="B889" s="1" t="n">
        <v>45737.63574074074</v>
      </c>
      <c r="C889" s="1" t="n">
        <v>46042</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13941-2025</t>
        </is>
      </c>
      <c r="B890" s="1" t="n">
        <v>45737.69822916666</v>
      </c>
      <c r="C890" s="1" t="n">
        <v>46042</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57111-2025</t>
        </is>
      </c>
      <c r="B891" s="1" t="n">
        <v>45978</v>
      </c>
      <c r="C891" s="1" t="n">
        <v>46042</v>
      </c>
      <c r="D891" t="inlineStr">
        <is>
          <t>JÄMTLANDS LÄN</t>
        </is>
      </c>
      <c r="E891" t="inlineStr">
        <is>
          <t>RAGUNDA</t>
        </is>
      </c>
      <c r="G891" t="n">
        <v>2.3</v>
      </c>
      <c r="H891" t="n">
        <v>0</v>
      </c>
      <c r="I891" t="n">
        <v>0</v>
      </c>
      <c r="J891" t="n">
        <v>0</v>
      </c>
      <c r="K891" t="n">
        <v>0</v>
      </c>
      <c r="L891" t="n">
        <v>0</v>
      </c>
      <c r="M891" t="n">
        <v>0</v>
      </c>
      <c r="N891" t="n">
        <v>0</v>
      </c>
      <c r="O891" t="n">
        <v>0</v>
      </c>
      <c r="P891" t="n">
        <v>0</v>
      </c>
      <c r="Q891" t="n">
        <v>0</v>
      </c>
      <c r="R891" s="2" t="inlineStr"/>
    </row>
    <row r="892" ht="15" customHeight="1">
      <c r="A892" t="inlineStr">
        <is>
          <t>A 57117-2025</t>
        </is>
      </c>
      <c r="B892" s="1" t="n">
        <v>45978</v>
      </c>
      <c r="C892" s="1" t="n">
        <v>46042</v>
      </c>
      <c r="D892" t="inlineStr">
        <is>
          <t>JÄMTLANDS LÄN</t>
        </is>
      </c>
      <c r="E892" t="inlineStr">
        <is>
          <t>RAGUNDA</t>
        </is>
      </c>
      <c r="G892" t="n">
        <v>4.2</v>
      </c>
      <c r="H892" t="n">
        <v>0</v>
      </c>
      <c r="I892" t="n">
        <v>0</v>
      </c>
      <c r="J892" t="n">
        <v>0</v>
      </c>
      <c r="K892" t="n">
        <v>0</v>
      </c>
      <c r="L892" t="n">
        <v>0</v>
      </c>
      <c r="M892" t="n">
        <v>0</v>
      </c>
      <c r="N892" t="n">
        <v>0</v>
      </c>
      <c r="O892" t="n">
        <v>0</v>
      </c>
      <c r="P892" t="n">
        <v>0</v>
      </c>
      <c r="Q892" t="n">
        <v>0</v>
      </c>
      <c r="R892" s="2" t="inlineStr"/>
    </row>
    <row r="893" ht="15" customHeight="1">
      <c r="A893" t="inlineStr">
        <is>
          <t>A 56751-2025</t>
        </is>
      </c>
      <c r="B893" s="1" t="n">
        <v>45978.36538194444</v>
      </c>
      <c r="C893" s="1" t="n">
        <v>46042</v>
      </c>
      <c r="D893" t="inlineStr">
        <is>
          <t>JÄMTLANDS LÄN</t>
        </is>
      </c>
      <c r="E893" t="inlineStr">
        <is>
          <t>RAGUNDA</t>
        </is>
      </c>
      <c r="F893" t="inlineStr">
        <is>
          <t>SCA</t>
        </is>
      </c>
      <c r="G893" t="n">
        <v>34.5</v>
      </c>
      <c r="H893" t="n">
        <v>0</v>
      </c>
      <c r="I893" t="n">
        <v>0</v>
      </c>
      <c r="J893" t="n">
        <v>0</v>
      </c>
      <c r="K893" t="n">
        <v>0</v>
      </c>
      <c r="L893" t="n">
        <v>0</v>
      </c>
      <c r="M893" t="n">
        <v>0</v>
      </c>
      <c r="N893" t="n">
        <v>0</v>
      </c>
      <c r="O893" t="n">
        <v>0</v>
      </c>
      <c r="P893" t="n">
        <v>0</v>
      </c>
      <c r="Q893" t="n">
        <v>0</v>
      </c>
      <c r="R893" s="2" t="inlineStr"/>
    </row>
    <row r="894" ht="15" customHeight="1">
      <c r="A894" t="inlineStr">
        <is>
          <t>A 56806-2025</t>
        </is>
      </c>
      <c r="B894" s="1" t="n">
        <v>45978.44842592593</v>
      </c>
      <c r="C894" s="1" t="n">
        <v>46042</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63714-2025</t>
        </is>
      </c>
      <c r="B895" s="1" t="n">
        <v>46014</v>
      </c>
      <c r="C895" s="1" t="n">
        <v>46042</v>
      </c>
      <c r="D895" t="inlineStr">
        <is>
          <t>JÄMTLANDS LÄN</t>
        </is>
      </c>
      <c r="E895" t="inlineStr">
        <is>
          <t>RAGUNDA</t>
        </is>
      </c>
      <c r="F895" t="inlineStr">
        <is>
          <t>Sveaskog</t>
        </is>
      </c>
      <c r="G895" t="n">
        <v>8.5</v>
      </c>
      <c r="H895" t="n">
        <v>0</v>
      </c>
      <c r="I895" t="n">
        <v>0</v>
      </c>
      <c r="J895" t="n">
        <v>0</v>
      </c>
      <c r="K895" t="n">
        <v>0</v>
      </c>
      <c r="L895" t="n">
        <v>0</v>
      </c>
      <c r="M895" t="n">
        <v>0</v>
      </c>
      <c r="N895" t="n">
        <v>0</v>
      </c>
      <c r="O895" t="n">
        <v>0</v>
      </c>
      <c r="P895" t="n">
        <v>0</v>
      </c>
      <c r="Q895" t="n">
        <v>0</v>
      </c>
      <c r="R895" s="2" t="inlineStr"/>
    </row>
    <row r="896" ht="15" customHeight="1">
      <c r="A896" t="inlineStr">
        <is>
          <t>A 51245-2024</t>
        </is>
      </c>
      <c r="B896" s="1" t="n">
        <v>45603.67850694444</v>
      </c>
      <c r="C896" s="1" t="n">
        <v>46042</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57184-2025</t>
        </is>
      </c>
      <c r="B897" s="1" t="n">
        <v>45979.57361111111</v>
      </c>
      <c r="C897" s="1" t="n">
        <v>46042</v>
      </c>
      <c r="D897" t="inlineStr">
        <is>
          <t>JÄMTLANDS LÄN</t>
        </is>
      </c>
      <c r="E897" t="inlineStr">
        <is>
          <t>RAGUNDA</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57561-2025</t>
        </is>
      </c>
      <c r="B898" s="1" t="n">
        <v>45980.69885416667</v>
      </c>
      <c r="C898" s="1" t="n">
        <v>46042</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57332-2025</t>
        </is>
      </c>
      <c r="B899" s="1" t="n">
        <v>45980.34467592592</v>
      </c>
      <c r="C899" s="1" t="n">
        <v>46042</v>
      </c>
      <c r="D899" t="inlineStr">
        <is>
          <t>JÄMTLANDS LÄN</t>
        </is>
      </c>
      <c r="E899" t="inlineStr">
        <is>
          <t>RAGUNDA</t>
        </is>
      </c>
      <c r="F899" t="inlineStr">
        <is>
          <t>SCA</t>
        </is>
      </c>
      <c r="G899" t="n">
        <v>22.6</v>
      </c>
      <c r="H899" t="n">
        <v>0</v>
      </c>
      <c r="I899" t="n">
        <v>0</v>
      </c>
      <c r="J899" t="n">
        <v>0</v>
      </c>
      <c r="K899" t="n">
        <v>0</v>
      </c>
      <c r="L899" t="n">
        <v>0</v>
      </c>
      <c r="M899" t="n">
        <v>0</v>
      </c>
      <c r="N899" t="n">
        <v>0</v>
      </c>
      <c r="O899" t="n">
        <v>0</v>
      </c>
      <c r="P899" t="n">
        <v>0</v>
      </c>
      <c r="Q899" t="n">
        <v>0</v>
      </c>
      <c r="R899" s="2" t="inlineStr"/>
    </row>
    <row r="900" ht="15" customHeight="1">
      <c r="A900" t="inlineStr">
        <is>
          <t>A 57560-2025</t>
        </is>
      </c>
      <c r="B900" s="1" t="n">
        <v>45980.6987962963</v>
      </c>
      <c r="C900" s="1" t="n">
        <v>46042</v>
      </c>
      <c r="D900" t="inlineStr">
        <is>
          <t>JÄMTLANDS LÄN</t>
        </is>
      </c>
      <c r="E900" t="inlineStr">
        <is>
          <t>RAGUNDA</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53955-2022</t>
        </is>
      </c>
      <c r="B901" s="1" t="n">
        <v>44880.95741898148</v>
      </c>
      <c r="C901" s="1" t="n">
        <v>46042</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57916-2025</t>
        </is>
      </c>
      <c r="B902" s="1" t="n">
        <v>45981</v>
      </c>
      <c r="C902" s="1" t="n">
        <v>46042</v>
      </c>
      <c r="D902" t="inlineStr">
        <is>
          <t>JÄMTLANDS LÄN</t>
        </is>
      </c>
      <c r="E902" t="inlineStr">
        <is>
          <t>RAGUNDA</t>
        </is>
      </c>
      <c r="G902" t="n">
        <v>5.3</v>
      </c>
      <c r="H902" t="n">
        <v>0</v>
      </c>
      <c r="I902" t="n">
        <v>0</v>
      </c>
      <c r="J902" t="n">
        <v>0</v>
      </c>
      <c r="K902" t="n">
        <v>0</v>
      </c>
      <c r="L902" t="n">
        <v>0</v>
      </c>
      <c r="M902" t="n">
        <v>0</v>
      </c>
      <c r="N902" t="n">
        <v>0</v>
      </c>
      <c r="O902" t="n">
        <v>0</v>
      </c>
      <c r="P902" t="n">
        <v>0</v>
      </c>
      <c r="Q902" t="n">
        <v>0</v>
      </c>
      <c r="R902" s="2" t="inlineStr"/>
    </row>
    <row r="903" ht="15" customHeight="1">
      <c r="A903" t="inlineStr">
        <is>
          <t>A 57914-2025</t>
        </is>
      </c>
      <c r="B903" s="1" t="n">
        <v>45981</v>
      </c>
      <c r="C903" s="1" t="n">
        <v>46042</v>
      </c>
      <c r="D903" t="inlineStr">
        <is>
          <t>JÄMTLANDS LÄN</t>
        </is>
      </c>
      <c r="E903" t="inlineStr">
        <is>
          <t>RAGUNDA</t>
        </is>
      </c>
      <c r="G903" t="n">
        <v>3.2</v>
      </c>
      <c r="H903" t="n">
        <v>0</v>
      </c>
      <c r="I903" t="n">
        <v>0</v>
      </c>
      <c r="J903" t="n">
        <v>0</v>
      </c>
      <c r="K903" t="n">
        <v>0</v>
      </c>
      <c r="L903" t="n">
        <v>0</v>
      </c>
      <c r="M903" t="n">
        <v>0</v>
      </c>
      <c r="N903" t="n">
        <v>0</v>
      </c>
      <c r="O903" t="n">
        <v>0</v>
      </c>
      <c r="P903" t="n">
        <v>0</v>
      </c>
      <c r="Q903" t="n">
        <v>0</v>
      </c>
      <c r="R903" s="2" t="inlineStr"/>
    </row>
    <row r="904" ht="15" customHeight="1">
      <c r="A904" t="inlineStr">
        <is>
          <t>A 57915-2025</t>
        </is>
      </c>
      <c r="B904" s="1" t="n">
        <v>45981</v>
      </c>
      <c r="C904" s="1" t="n">
        <v>46042</v>
      </c>
      <c r="D904" t="inlineStr">
        <is>
          <t>JÄMTLANDS LÄN</t>
        </is>
      </c>
      <c r="E904" t="inlineStr">
        <is>
          <t>RAGUNDA</t>
        </is>
      </c>
      <c r="G904" t="n">
        <v>6.4</v>
      </c>
      <c r="H904" t="n">
        <v>0</v>
      </c>
      <c r="I904" t="n">
        <v>0</v>
      </c>
      <c r="J904" t="n">
        <v>0</v>
      </c>
      <c r="K904" t="n">
        <v>0</v>
      </c>
      <c r="L904" t="n">
        <v>0</v>
      </c>
      <c r="M904" t="n">
        <v>0</v>
      </c>
      <c r="N904" t="n">
        <v>0</v>
      </c>
      <c r="O904" t="n">
        <v>0</v>
      </c>
      <c r="P904" t="n">
        <v>0</v>
      </c>
      <c r="Q904" t="n">
        <v>0</v>
      </c>
      <c r="R904" s="2" t="inlineStr"/>
    </row>
    <row r="905" ht="15" customHeight="1">
      <c r="A905" t="inlineStr">
        <is>
          <t>A 41772-2024</t>
        </is>
      </c>
      <c r="B905" s="1" t="n">
        <v>45561.34663194444</v>
      </c>
      <c r="C905" s="1" t="n">
        <v>46042</v>
      </c>
      <c r="D905" t="inlineStr">
        <is>
          <t>JÄMTLANDS LÄN</t>
        </is>
      </c>
      <c r="E905" t="inlineStr">
        <is>
          <t>RAGUNDA</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57833-2025</t>
        </is>
      </c>
      <c r="B906" s="1" t="n">
        <v>45981.61541666667</v>
      </c>
      <c r="C906" s="1" t="n">
        <v>46042</v>
      </c>
      <c r="D906" t="inlineStr">
        <is>
          <t>JÄMTLANDS LÄN</t>
        </is>
      </c>
      <c r="E906" t="inlineStr">
        <is>
          <t>RAGUNDA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64108-2025</t>
        </is>
      </c>
      <c r="B907" s="1" t="n">
        <v>46013</v>
      </c>
      <c r="C907" s="1" t="n">
        <v>46042</v>
      </c>
      <c r="D907" t="inlineStr">
        <is>
          <t>JÄMTLANDS LÄN</t>
        </is>
      </c>
      <c r="E907" t="inlineStr">
        <is>
          <t>RAGUNDA</t>
        </is>
      </c>
      <c r="F907" t="inlineStr">
        <is>
          <t>Kyrkan</t>
        </is>
      </c>
      <c r="G907" t="n">
        <v>1.6</v>
      </c>
      <c r="H907" t="n">
        <v>0</v>
      </c>
      <c r="I907" t="n">
        <v>0</v>
      </c>
      <c r="J907" t="n">
        <v>0</v>
      </c>
      <c r="K907" t="n">
        <v>0</v>
      </c>
      <c r="L907" t="n">
        <v>0</v>
      </c>
      <c r="M907" t="n">
        <v>0</v>
      </c>
      <c r="N907" t="n">
        <v>0</v>
      </c>
      <c r="O907" t="n">
        <v>0</v>
      </c>
      <c r="P907" t="n">
        <v>0</v>
      </c>
      <c r="Q907" t="n">
        <v>0</v>
      </c>
      <c r="R907" s="2" t="inlineStr"/>
    </row>
    <row r="908" ht="15" customHeight="1">
      <c r="A908" t="inlineStr">
        <is>
          <t>A 57785-2025</t>
        </is>
      </c>
      <c r="B908" s="1" t="n">
        <v>45981.57393518519</v>
      </c>
      <c r="C908" s="1" t="n">
        <v>46042</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10972-2022</t>
        </is>
      </c>
      <c r="B909" s="1" t="n">
        <v>44628</v>
      </c>
      <c r="C909" s="1" t="n">
        <v>46042</v>
      </c>
      <c r="D909" t="inlineStr">
        <is>
          <t>JÄMTLANDS LÄN</t>
        </is>
      </c>
      <c r="E909" t="inlineStr">
        <is>
          <t>RAGUNDA</t>
        </is>
      </c>
      <c r="G909" t="n">
        <v>9.5</v>
      </c>
      <c r="H909" t="n">
        <v>0</v>
      </c>
      <c r="I909" t="n">
        <v>0</v>
      </c>
      <c r="J909" t="n">
        <v>0</v>
      </c>
      <c r="K909" t="n">
        <v>0</v>
      </c>
      <c r="L909" t="n">
        <v>0</v>
      </c>
      <c r="M909" t="n">
        <v>0</v>
      </c>
      <c r="N909" t="n">
        <v>0</v>
      </c>
      <c r="O909" t="n">
        <v>0</v>
      </c>
      <c r="P909" t="n">
        <v>0</v>
      </c>
      <c r="Q909" t="n">
        <v>0</v>
      </c>
      <c r="R909" s="2" t="inlineStr"/>
    </row>
    <row r="910" ht="15" customHeight="1">
      <c r="A910" t="inlineStr">
        <is>
          <t>A 58093-2025</t>
        </is>
      </c>
      <c r="B910" s="1" t="n">
        <v>45982.5741087963</v>
      </c>
      <c r="C910" s="1" t="n">
        <v>46042</v>
      </c>
      <c r="D910" t="inlineStr">
        <is>
          <t>JÄMTLANDS LÄN</t>
        </is>
      </c>
      <c r="E910" t="inlineStr">
        <is>
          <t>RAGUNDA</t>
        </is>
      </c>
      <c r="G910" t="n">
        <v>22.2</v>
      </c>
      <c r="H910" t="n">
        <v>0</v>
      </c>
      <c r="I910" t="n">
        <v>0</v>
      </c>
      <c r="J910" t="n">
        <v>0</v>
      </c>
      <c r="K910" t="n">
        <v>0</v>
      </c>
      <c r="L910" t="n">
        <v>0</v>
      </c>
      <c r="M910" t="n">
        <v>0</v>
      </c>
      <c r="N910" t="n">
        <v>0</v>
      </c>
      <c r="O910" t="n">
        <v>0</v>
      </c>
      <c r="P910" t="n">
        <v>0</v>
      </c>
      <c r="Q910" t="n">
        <v>0</v>
      </c>
      <c r="R910" s="2" t="inlineStr"/>
    </row>
    <row r="911" ht="15" customHeight="1">
      <c r="A911" t="inlineStr">
        <is>
          <t>A 11834-2023</t>
        </is>
      </c>
      <c r="B911" s="1" t="n">
        <v>44994.94296296296</v>
      </c>
      <c r="C911" s="1" t="n">
        <v>46042</v>
      </c>
      <c r="D911" t="inlineStr">
        <is>
          <t>JÄMTLANDS LÄN</t>
        </is>
      </c>
      <c r="E911" t="inlineStr">
        <is>
          <t>RAGUNDA</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222-2026</t>
        </is>
      </c>
      <c r="B912" s="1" t="n">
        <v>46026.84054398148</v>
      </c>
      <c r="C912" s="1" t="n">
        <v>46042</v>
      </c>
      <c r="D912" t="inlineStr">
        <is>
          <t>JÄMTLANDS LÄN</t>
        </is>
      </c>
      <c r="E912" t="inlineStr">
        <is>
          <t>RAGUNDA</t>
        </is>
      </c>
      <c r="G912" t="n">
        <v>10.6</v>
      </c>
      <c r="H912" t="n">
        <v>0</v>
      </c>
      <c r="I912" t="n">
        <v>0</v>
      </c>
      <c r="J912" t="n">
        <v>0</v>
      </c>
      <c r="K912" t="n">
        <v>0</v>
      </c>
      <c r="L912" t="n">
        <v>0</v>
      </c>
      <c r="M912" t="n">
        <v>0</v>
      </c>
      <c r="N912" t="n">
        <v>0</v>
      </c>
      <c r="O912" t="n">
        <v>0</v>
      </c>
      <c r="P912" t="n">
        <v>0</v>
      </c>
      <c r="Q912" t="n">
        <v>0</v>
      </c>
      <c r="R912" s="2" t="inlineStr"/>
    </row>
    <row r="913" ht="15" customHeight="1">
      <c r="A913" t="inlineStr">
        <is>
          <t>A 57970-2025</t>
        </is>
      </c>
      <c r="B913" s="1" t="n">
        <v>45982.38582175926</v>
      </c>
      <c r="C913" s="1" t="n">
        <v>46042</v>
      </c>
      <c r="D913" t="inlineStr">
        <is>
          <t>JÄMTLANDS LÄN</t>
        </is>
      </c>
      <c r="E913" t="inlineStr">
        <is>
          <t>RAGUNDA</t>
        </is>
      </c>
      <c r="G913" t="n">
        <v>4.9</v>
      </c>
      <c r="H913" t="n">
        <v>0</v>
      </c>
      <c r="I913" t="n">
        <v>0</v>
      </c>
      <c r="J913" t="n">
        <v>0</v>
      </c>
      <c r="K913" t="n">
        <v>0</v>
      </c>
      <c r="L913" t="n">
        <v>0</v>
      </c>
      <c r="M913" t="n">
        <v>0</v>
      </c>
      <c r="N913" t="n">
        <v>0</v>
      </c>
      <c r="O913" t="n">
        <v>0</v>
      </c>
      <c r="P913" t="n">
        <v>0</v>
      </c>
      <c r="Q913" t="n">
        <v>0</v>
      </c>
      <c r="R913" s="2" t="inlineStr"/>
    </row>
    <row r="914" ht="15" customHeight="1">
      <c r="A914" t="inlineStr">
        <is>
          <t>A 17559-2023</t>
        </is>
      </c>
      <c r="B914" s="1" t="n">
        <v>45034</v>
      </c>
      <c r="C914" s="1" t="n">
        <v>46042</v>
      </c>
      <c r="D914" t="inlineStr">
        <is>
          <t>JÄMTLANDS LÄN</t>
        </is>
      </c>
      <c r="E914" t="inlineStr">
        <is>
          <t>RAGUNDA</t>
        </is>
      </c>
      <c r="G914" t="n">
        <v>7.5</v>
      </c>
      <c r="H914" t="n">
        <v>0</v>
      </c>
      <c r="I914" t="n">
        <v>0</v>
      </c>
      <c r="J914" t="n">
        <v>0</v>
      </c>
      <c r="K914" t="n">
        <v>0</v>
      </c>
      <c r="L914" t="n">
        <v>0</v>
      </c>
      <c r="M914" t="n">
        <v>0</v>
      </c>
      <c r="N914" t="n">
        <v>0</v>
      </c>
      <c r="O914" t="n">
        <v>0</v>
      </c>
      <c r="P914" t="n">
        <v>0</v>
      </c>
      <c r="Q914" t="n">
        <v>0</v>
      </c>
      <c r="R914" s="2" t="inlineStr"/>
    </row>
    <row r="915" ht="15" customHeight="1">
      <c r="A915" t="inlineStr">
        <is>
          <t>A 38312-2024</t>
        </is>
      </c>
      <c r="B915" s="1" t="n">
        <v>45545.64957175926</v>
      </c>
      <c r="C915" s="1" t="n">
        <v>46042</v>
      </c>
      <c r="D915" t="inlineStr">
        <is>
          <t>JÄMTLANDS LÄN</t>
        </is>
      </c>
      <c r="E915" t="inlineStr">
        <is>
          <t>RAGUNDA</t>
        </is>
      </c>
      <c r="G915" t="n">
        <v>1.2</v>
      </c>
      <c r="H915" t="n">
        <v>0</v>
      </c>
      <c r="I915" t="n">
        <v>0</v>
      </c>
      <c r="J915" t="n">
        <v>0</v>
      </c>
      <c r="K915" t="n">
        <v>0</v>
      </c>
      <c r="L915" t="n">
        <v>0</v>
      </c>
      <c r="M915" t="n">
        <v>0</v>
      </c>
      <c r="N915" t="n">
        <v>0</v>
      </c>
      <c r="O915" t="n">
        <v>0</v>
      </c>
      <c r="P915" t="n">
        <v>0</v>
      </c>
      <c r="Q915" t="n">
        <v>0</v>
      </c>
      <c r="R915" s="2" t="inlineStr"/>
    </row>
    <row r="916" ht="15" customHeight="1">
      <c r="A916" t="inlineStr">
        <is>
          <t>A 58076-2025</t>
        </is>
      </c>
      <c r="B916" s="1" t="n">
        <v>45982.55273148148</v>
      </c>
      <c r="C916" s="1" t="n">
        <v>46042</v>
      </c>
      <c r="D916" t="inlineStr">
        <is>
          <t>JÄMTLANDS LÄN</t>
        </is>
      </c>
      <c r="E916" t="inlineStr">
        <is>
          <t>RAGUNDA</t>
        </is>
      </c>
      <c r="G916" t="n">
        <v>0.1</v>
      </c>
      <c r="H916" t="n">
        <v>0</v>
      </c>
      <c r="I916" t="n">
        <v>0</v>
      </c>
      <c r="J916" t="n">
        <v>0</v>
      </c>
      <c r="K916" t="n">
        <v>0</v>
      </c>
      <c r="L916" t="n">
        <v>0</v>
      </c>
      <c r="M916" t="n">
        <v>0</v>
      </c>
      <c r="N916" t="n">
        <v>0</v>
      </c>
      <c r="O916" t="n">
        <v>0</v>
      </c>
      <c r="P916" t="n">
        <v>0</v>
      </c>
      <c r="Q916" t="n">
        <v>0</v>
      </c>
      <c r="R916" s="2" t="inlineStr"/>
    </row>
    <row r="917" ht="15" customHeight="1">
      <c r="A917" t="inlineStr">
        <is>
          <t>A 57963-2025</t>
        </is>
      </c>
      <c r="B917" s="1" t="n">
        <v>45982.37800925926</v>
      </c>
      <c r="C917" s="1" t="n">
        <v>46042</v>
      </c>
      <c r="D917" t="inlineStr">
        <is>
          <t>JÄMTLANDS LÄN</t>
        </is>
      </c>
      <c r="E917" t="inlineStr">
        <is>
          <t>RAGUNDA</t>
        </is>
      </c>
      <c r="G917" t="n">
        <v>1.7</v>
      </c>
      <c r="H917" t="n">
        <v>0</v>
      </c>
      <c r="I917" t="n">
        <v>0</v>
      </c>
      <c r="J917" t="n">
        <v>0</v>
      </c>
      <c r="K917" t="n">
        <v>0</v>
      </c>
      <c r="L917" t="n">
        <v>0</v>
      </c>
      <c r="M917" t="n">
        <v>0</v>
      </c>
      <c r="N917" t="n">
        <v>0</v>
      </c>
      <c r="O917" t="n">
        <v>0</v>
      </c>
      <c r="P917" t="n">
        <v>0</v>
      </c>
      <c r="Q917" t="n">
        <v>0</v>
      </c>
      <c r="R917" s="2" t="inlineStr"/>
    </row>
    <row r="918" ht="15" customHeight="1">
      <c r="A918" t="inlineStr">
        <is>
          <t>A 32832-2021</t>
        </is>
      </c>
      <c r="B918" s="1" t="n">
        <v>44375</v>
      </c>
      <c r="C918" s="1" t="n">
        <v>46042</v>
      </c>
      <c r="D918" t="inlineStr">
        <is>
          <t>JÄMTLANDS LÄN</t>
        </is>
      </c>
      <c r="E918" t="inlineStr">
        <is>
          <t>RAGUNDA</t>
        </is>
      </c>
      <c r="G918" t="n">
        <v>3</v>
      </c>
      <c r="H918" t="n">
        <v>0</v>
      </c>
      <c r="I918" t="n">
        <v>0</v>
      </c>
      <c r="J918" t="n">
        <v>0</v>
      </c>
      <c r="K918" t="n">
        <v>0</v>
      </c>
      <c r="L918" t="n">
        <v>0</v>
      </c>
      <c r="M918" t="n">
        <v>0</v>
      </c>
      <c r="N918" t="n">
        <v>0</v>
      </c>
      <c r="O918" t="n">
        <v>0</v>
      </c>
      <c r="P918" t="n">
        <v>0</v>
      </c>
      <c r="Q918" t="n">
        <v>0</v>
      </c>
      <c r="R918" s="2" t="inlineStr"/>
    </row>
    <row r="919" ht="15" customHeight="1">
      <c r="A919" t="inlineStr">
        <is>
          <t>A 22011-2023</t>
        </is>
      </c>
      <c r="B919" s="1" t="n">
        <v>45068</v>
      </c>
      <c r="C919" s="1" t="n">
        <v>46042</v>
      </c>
      <c r="D919" t="inlineStr">
        <is>
          <t>JÄMTLANDS LÄN</t>
        </is>
      </c>
      <c r="E919" t="inlineStr">
        <is>
          <t>RAGUNDA</t>
        </is>
      </c>
      <c r="F919" t="inlineStr">
        <is>
          <t>SCA</t>
        </is>
      </c>
      <c r="G919" t="n">
        <v>12.2</v>
      </c>
      <c r="H919" t="n">
        <v>0</v>
      </c>
      <c r="I919" t="n">
        <v>0</v>
      </c>
      <c r="J919" t="n">
        <v>0</v>
      </c>
      <c r="K919" t="n">
        <v>0</v>
      </c>
      <c r="L919" t="n">
        <v>0</v>
      </c>
      <c r="M919" t="n">
        <v>0</v>
      </c>
      <c r="N919" t="n">
        <v>0</v>
      </c>
      <c r="O919" t="n">
        <v>0</v>
      </c>
      <c r="P919" t="n">
        <v>0</v>
      </c>
      <c r="Q919" t="n">
        <v>0</v>
      </c>
      <c r="R919" s="2" t="inlineStr"/>
    </row>
    <row r="920" ht="15" customHeight="1">
      <c r="A920" t="inlineStr">
        <is>
          <t>A 122-2026</t>
        </is>
      </c>
      <c r="B920" s="1" t="n">
        <v>46024.57335648148</v>
      </c>
      <c r="C920" s="1" t="n">
        <v>46042</v>
      </c>
      <c r="D920" t="inlineStr">
        <is>
          <t>JÄMTLANDS LÄN</t>
        </is>
      </c>
      <c r="E920" t="inlineStr">
        <is>
          <t>RAGUNDA</t>
        </is>
      </c>
      <c r="F920" t="inlineStr">
        <is>
          <t>SCA</t>
        </is>
      </c>
      <c r="G920" t="n">
        <v>15.3</v>
      </c>
      <c r="H920" t="n">
        <v>0</v>
      </c>
      <c r="I920" t="n">
        <v>0</v>
      </c>
      <c r="J920" t="n">
        <v>0</v>
      </c>
      <c r="K920" t="n">
        <v>0</v>
      </c>
      <c r="L920" t="n">
        <v>0</v>
      </c>
      <c r="M920" t="n">
        <v>0</v>
      </c>
      <c r="N920" t="n">
        <v>0</v>
      </c>
      <c r="O920" t="n">
        <v>0</v>
      </c>
      <c r="P920" t="n">
        <v>0</v>
      </c>
      <c r="Q920" t="n">
        <v>0</v>
      </c>
      <c r="R920" s="2" t="inlineStr"/>
    </row>
    <row r="921" ht="15" customHeight="1">
      <c r="A921" t="inlineStr">
        <is>
          <t>A 14158-2024</t>
        </is>
      </c>
      <c r="B921" s="1" t="n">
        <v>45392</v>
      </c>
      <c r="C921" s="1" t="n">
        <v>46042</v>
      </c>
      <c r="D921" t="inlineStr">
        <is>
          <t>JÄMTLANDS LÄN</t>
        </is>
      </c>
      <c r="E921" t="inlineStr">
        <is>
          <t>RAGUNDA</t>
        </is>
      </c>
      <c r="G921" t="n">
        <v>0.7</v>
      </c>
      <c r="H921" t="n">
        <v>0</v>
      </c>
      <c r="I921" t="n">
        <v>0</v>
      </c>
      <c r="J921" t="n">
        <v>0</v>
      </c>
      <c r="K921" t="n">
        <v>0</v>
      </c>
      <c r="L921" t="n">
        <v>0</v>
      </c>
      <c r="M921" t="n">
        <v>0</v>
      </c>
      <c r="N921" t="n">
        <v>0</v>
      </c>
      <c r="O921" t="n">
        <v>0</v>
      </c>
      <c r="P921" t="n">
        <v>0</v>
      </c>
      <c r="Q921" t="n">
        <v>0</v>
      </c>
      <c r="R921" s="2" t="inlineStr"/>
    </row>
    <row r="922" ht="15" customHeight="1">
      <c r="A922" t="inlineStr">
        <is>
          <t>A 265-2026</t>
        </is>
      </c>
      <c r="B922" s="1" t="n">
        <v>46027.44956018519</v>
      </c>
      <c r="C922" s="1" t="n">
        <v>46042</v>
      </c>
      <c r="D922" t="inlineStr">
        <is>
          <t>JÄMTLANDS LÄN</t>
        </is>
      </c>
      <c r="E922" t="inlineStr">
        <is>
          <t>RAGUNDA</t>
        </is>
      </c>
      <c r="G922" t="n">
        <v>3.8</v>
      </c>
      <c r="H922" t="n">
        <v>0</v>
      </c>
      <c r="I922" t="n">
        <v>0</v>
      </c>
      <c r="J922" t="n">
        <v>0</v>
      </c>
      <c r="K922" t="n">
        <v>0</v>
      </c>
      <c r="L922" t="n">
        <v>0</v>
      </c>
      <c r="M922" t="n">
        <v>0</v>
      </c>
      <c r="N922" t="n">
        <v>0</v>
      </c>
      <c r="O922" t="n">
        <v>0</v>
      </c>
      <c r="P922" t="n">
        <v>0</v>
      </c>
      <c r="Q922" t="n">
        <v>0</v>
      </c>
      <c r="R922" s="2" t="inlineStr"/>
    </row>
    <row r="923" ht="15" customHeight="1">
      <c r="A923" t="inlineStr">
        <is>
          <t>A 42508-2023</t>
        </is>
      </c>
      <c r="B923" s="1" t="n">
        <v>45180.95907407408</v>
      </c>
      <c r="C923" s="1" t="n">
        <v>46042</v>
      </c>
      <c r="D923" t="inlineStr">
        <is>
          <t>JÄMTLANDS LÄN</t>
        </is>
      </c>
      <c r="E923" t="inlineStr">
        <is>
          <t>RAGUNDA</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53109-2025</t>
        </is>
      </c>
      <c r="B924" s="1" t="n">
        <v>45958</v>
      </c>
      <c r="C924" s="1" t="n">
        <v>46042</v>
      </c>
      <c r="D924" t="inlineStr">
        <is>
          <t>JÄMTLANDS LÄN</t>
        </is>
      </c>
      <c r="E924" t="inlineStr">
        <is>
          <t>RAGUNDA</t>
        </is>
      </c>
      <c r="G924" t="n">
        <v>2.1</v>
      </c>
      <c r="H924" t="n">
        <v>0</v>
      </c>
      <c r="I924" t="n">
        <v>0</v>
      </c>
      <c r="J924" t="n">
        <v>0</v>
      </c>
      <c r="K924" t="n">
        <v>0</v>
      </c>
      <c r="L924" t="n">
        <v>0</v>
      </c>
      <c r="M924" t="n">
        <v>0</v>
      </c>
      <c r="N924" t="n">
        <v>0</v>
      </c>
      <c r="O924" t="n">
        <v>0</v>
      </c>
      <c r="P924" t="n">
        <v>0</v>
      </c>
      <c r="Q924" t="n">
        <v>0</v>
      </c>
      <c r="R924" s="2" t="inlineStr"/>
    </row>
    <row r="925" ht="15" customHeight="1">
      <c r="A925" t="inlineStr">
        <is>
          <t>A 35274-2023</t>
        </is>
      </c>
      <c r="B925" s="1" t="n">
        <v>45145</v>
      </c>
      <c r="C925" s="1" t="n">
        <v>46042</v>
      </c>
      <c r="D925" t="inlineStr">
        <is>
          <t>JÄMTLANDS LÄN</t>
        </is>
      </c>
      <c r="E925" t="inlineStr">
        <is>
          <t>RAGUNDA</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58918-2025</t>
        </is>
      </c>
      <c r="B926" s="1" t="n">
        <v>45987.52952546296</v>
      </c>
      <c r="C926" s="1" t="n">
        <v>46042</v>
      </c>
      <c r="D926" t="inlineStr">
        <is>
          <t>JÄMTLANDS LÄN</t>
        </is>
      </c>
      <c r="E926" t="inlineStr">
        <is>
          <t>RAGUNDA</t>
        </is>
      </c>
      <c r="G926" t="n">
        <v>2</v>
      </c>
      <c r="H926" t="n">
        <v>0</v>
      </c>
      <c r="I926" t="n">
        <v>0</v>
      </c>
      <c r="J926" t="n">
        <v>0</v>
      </c>
      <c r="K926" t="n">
        <v>0</v>
      </c>
      <c r="L926" t="n">
        <v>0</v>
      </c>
      <c r="M926" t="n">
        <v>0</v>
      </c>
      <c r="N926" t="n">
        <v>0</v>
      </c>
      <c r="O926" t="n">
        <v>0</v>
      </c>
      <c r="P926" t="n">
        <v>0</v>
      </c>
      <c r="Q926" t="n">
        <v>0</v>
      </c>
      <c r="R926" s="2" t="inlineStr"/>
    </row>
    <row r="927" ht="15" customHeight="1">
      <c r="A927" t="inlineStr">
        <is>
          <t>A 12983-2025</t>
        </is>
      </c>
      <c r="B927" s="1" t="n">
        <v>45734.4633912037</v>
      </c>
      <c r="C927" s="1" t="n">
        <v>46042</v>
      </c>
      <c r="D927" t="inlineStr">
        <is>
          <t>JÄMTLANDS LÄN</t>
        </is>
      </c>
      <c r="E927" t="inlineStr">
        <is>
          <t>RAGUNDA</t>
        </is>
      </c>
      <c r="G927" t="n">
        <v>5.2</v>
      </c>
      <c r="H927" t="n">
        <v>0</v>
      </c>
      <c r="I927" t="n">
        <v>0</v>
      </c>
      <c r="J927" t="n">
        <v>0</v>
      </c>
      <c r="K927" t="n">
        <v>0</v>
      </c>
      <c r="L927" t="n">
        <v>0</v>
      </c>
      <c r="M927" t="n">
        <v>0</v>
      </c>
      <c r="N927" t="n">
        <v>0</v>
      </c>
      <c r="O927" t="n">
        <v>0</v>
      </c>
      <c r="P927" t="n">
        <v>0</v>
      </c>
      <c r="Q927" t="n">
        <v>0</v>
      </c>
      <c r="R927" s="2" t="inlineStr"/>
    </row>
    <row r="928" ht="15" customHeight="1">
      <c r="A928" t="inlineStr">
        <is>
          <t>A 17598-2021</t>
        </is>
      </c>
      <c r="B928" s="1" t="n">
        <v>44299</v>
      </c>
      <c r="C928" s="1" t="n">
        <v>46042</v>
      </c>
      <c r="D928" t="inlineStr">
        <is>
          <t>JÄMTLANDS LÄN</t>
        </is>
      </c>
      <c r="E928" t="inlineStr">
        <is>
          <t>RAGUNDA</t>
        </is>
      </c>
      <c r="G928" t="n">
        <v>4.6</v>
      </c>
      <c r="H928" t="n">
        <v>0</v>
      </c>
      <c r="I928" t="n">
        <v>0</v>
      </c>
      <c r="J928" t="n">
        <v>0</v>
      </c>
      <c r="K928" t="n">
        <v>0</v>
      </c>
      <c r="L928" t="n">
        <v>0</v>
      </c>
      <c r="M928" t="n">
        <v>0</v>
      </c>
      <c r="N928" t="n">
        <v>0</v>
      </c>
      <c r="O928" t="n">
        <v>0</v>
      </c>
      <c r="P928" t="n">
        <v>0</v>
      </c>
      <c r="Q928" t="n">
        <v>0</v>
      </c>
      <c r="R928" s="2" t="inlineStr"/>
    </row>
    <row r="929" ht="15" customHeight="1">
      <c r="A929" t="inlineStr">
        <is>
          <t>A 647-2026</t>
        </is>
      </c>
      <c r="B929" s="1" t="n">
        <v>46029.57357638889</v>
      </c>
      <c r="C929" s="1" t="n">
        <v>46042</v>
      </c>
      <c r="D929" t="inlineStr">
        <is>
          <t>JÄMTLANDS LÄN</t>
        </is>
      </c>
      <c r="E929" t="inlineStr">
        <is>
          <t>RAGUNDA</t>
        </is>
      </c>
      <c r="F929" t="inlineStr">
        <is>
          <t>SCA</t>
        </is>
      </c>
      <c r="G929" t="n">
        <v>6</v>
      </c>
      <c r="H929" t="n">
        <v>0</v>
      </c>
      <c r="I929" t="n">
        <v>0</v>
      </c>
      <c r="J929" t="n">
        <v>0</v>
      </c>
      <c r="K929" t="n">
        <v>0</v>
      </c>
      <c r="L929" t="n">
        <v>0</v>
      </c>
      <c r="M929" t="n">
        <v>0</v>
      </c>
      <c r="N929" t="n">
        <v>0</v>
      </c>
      <c r="O929" t="n">
        <v>0</v>
      </c>
      <c r="P929" t="n">
        <v>0</v>
      </c>
      <c r="Q929" t="n">
        <v>0</v>
      </c>
      <c r="R929" s="2" t="inlineStr"/>
    </row>
    <row r="930" ht="15" customHeight="1">
      <c r="A930" t="inlineStr">
        <is>
          <t>A 58638-2025</t>
        </is>
      </c>
      <c r="B930" s="1" t="n">
        <v>45986.49016203704</v>
      </c>
      <c r="C930" s="1" t="n">
        <v>46042</v>
      </c>
      <c r="D930" t="inlineStr">
        <is>
          <t>JÄMTLANDS LÄN</t>
        </is>
      </c>
      <c r="E930" t="inlineStr">
        <is>
          <t>RAGUNDA</t>
        </is>
      </c>
      <c r="G930" t="n">
        <v>1.3</v>
      </c>
      <c r="H930" t="n">
        <v>0</v>
      </c>
      <c r="I930" t="n">
        <v>0</v>
      </c>
      <c r="J930" t="n">
        <v>0</v>
      </c>
      <c r="K930" t="n">
        <v>0</v>
      </c>
      <c r="L930" t="n">
        <v>0</v>
      </c>
      <c r="M930" t="n">
        <v>0</v>
      </c>
      <c r="N930" t="n">
        <v>0</v>
      </c>
      <c r="O930" t="n">
        <v>0</v>
      </c>
      <c r="P930" t="n">
        <v>0</v>
      </c>
      <c r="Q930" t="n">
        <v>0</v>
      </c>
      <c r="R930" s="2" t="inlineStr"/>
    </row>
    <row r="931" ht="15" customHeight="1">
      <c r="A931" t="inlineStr">
        <is>
          <t>A 557-2026</t>
        </is>
      </c>
      <c r="B931" s="1" t="n">
        <v>46021</v>
      </c>
      <c r="C931" s="1" t="n">
        <v>46042</v>
      </c>
      <c r="D931" t="inlineStr">
        <is>
          <t>JÄMTLANDS LÄN</t>
        </is>
      </c>
      <c r="E931" t="inlineStr">
        <is>
          <t>RAGUNDA</t>
        </is>
      </c>
      <c r="G931" t="n">
        <v>1.5</v>
      </c>
      <c r="H931" t="n">
        <v>0</v>
      </c>
      <c r="I931" t="n">
        <v>0</v>
      </c>
      <c r="J931" t="n">
        <v>0</v>
      </c>
      <c r="K931" t="n">
        <v>0</v>
      </c>
      <c r="L931" t="n">
        <v>0</v>
      </c>
      <c r="M931" t="n">
        <v>0</v>
      </c>
      <c r="N931" t="n">
        <v>0</v>
      </c>
      <c r="O931" t="n">
        <v>0</v>
      </c>
      <c r="P931" t="n">
        <v>0</v>
      </c>
      <c r="Q931" t="n">
        <v>0</v>
      </c>
      <c r="R931" s="2" t="inlineStr"/>
    </row>
    <row r="932" ht="15" customHeight="1">
      <c r="A932" t="inlineStr">
        <is>
          <t>A 3938-2024</t>
        </is>
      </c>
      <c r="B932" s="1" t="n">
        <v>45322</v>
      </c>
      <c r="C932" s="1" t="n">
        <v>46042</v>
      </c>
      <c r="D932" t="inlineStr">
        <is>
          <t>JÄMTLANDS LÄN</t>
        </is>
      </c>
      <c r="E932" t="inlineStr">
        <is>
          <t>RAGUNDA</t>
        </is>
      </c>
      <c r="G932" t="n">
        <v>3.2</v>
      </c>
      <c r="H932" t="n">
        <v>0</v>
      </c>
      <c r="I932" t="n">
        <v>0</v>
      </c>
      <c r="J932" t="n">
        <v>0</v>
      </c>
      <c r="K932" t="n">
        <v>0</v>
      </c>
      <c r="L932" t="n">
        <v>0</v>
      </c>
      <c r="M932" t="n">
        <v>0</v>
      </c>
      <c r="N932" t="n">
        <v>0</v>
      </c>
      <c r="O932" t="n">
        <v>0</v>
      </c>
      <c r="P932" t="n">
        <v>0</v>
      </c>
      <c r="Q932" t="n">
        <v>0</v>
      </c>
      <c r="R932" s="2" t="inlineStr"/>
    </row>
    <row r="933" ht="15" customHeight="1">
      <c r="A933" t="inlineStr">
        <is>
          <t>A 58559-2025</t>
        </is>
      </c>
      <c r="B933" s="1" t="n">
        <v>45986.34475694445</v>
      </c>
      <c r="C933" s="1" t="n">
        <v>46042</v>
      </c>
      <c r="D933" t="inlineStr">
        <is>
          <t>JÄMTLANDS LÄN</t>
        </is>
      </c>
      <c r="E933" t="inlineStr">
        <is>
          <t>RAGUNDA</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53144-2024</t>
        </is>
      </c>
      <c r="B934" s="1" t="n">
        <v>45611</v>
      </c>
      <c r="C934" s="1" t="n">
        <v>46042</v>
      </c>
      <c r="D934" t="inlineStr">
        <is>
          <t>JÄMTLANDS LÄN</t>
        </is>
      </c>
      <c r="E934" t="inlineStr">
        <is>
          <t>RAGUNDA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59214-2025</t>
        </is>
      </c>
      <c r="B935" s="1" t="n">
        <v>45988.61623842592</v>
      </c>
      <c r="C935" s="1" t="n">
        <v>46042</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59499-2025</t>
        </is>
      </c>
      <c r="B936" s="1" t="n">
        <v>45989.61846064815</v>
      </c>
      <c r="C936" s="1" t="n">
        <v>46042</v>
      </c>
      <c r="D936" t="inlineStr">
        <is>
          <t>JÄMTLANDS LÄN</t>
        </is>
      </c>
      <c r="E936" t="inlineStr">
        <is>
          <t>RAGUNDA</t>
        </is>
      </c>
      <c r="G936" t="n">
        <v>2</v>
      </c>
      <c r="H936" t="n">
        <v>0</v>
      </c>
      <c r="I936" t="n">
        <v>0</v>
      </c>
      <c r="J936" t="n">
        <v>0</v>
      </c>
      <c r="K936" t="n">
        <v>0</v>
      </c>
      <c r="L936" t="n">
        <v>0</v>
      </c>
      <c r="M936" t="n">
        <v>0</v>
      </c>
      <c r="N936" t="n">
        <v>0</v>
      </c>
      <c r="O936" t="n">
        <v>0</v>
      </c>
      <c r="P936" t="n">
        <v>0</v>
      </c>
      <c r="Q936" t="n">
        <v>0</v>
      </c>
      <c r="R936" s="2" t="inlineStr"/>
    </row>
    <row r="937" ht="15" customHeight="1">
      <c r="A937" t="inlineStr">
        <is>
          <t>A 22311-2024</t>
        </is>
      </c>
      <c r="B937" s="1" t="n">
        <v>45446.57052083333</v>
      </c>
      <c r="C937" s="1" t="n">
        <v>46042</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59491-2025</t>
        </is>
      </c>
      <c r="B938" s="1" t="n">
        <v>45989.60376157407</v>
      </c>
      <c r="C938" s="1" t="n">
        <v>46042</v>
      </c>
      <c r="D938" t="inlineStr">
        <is>
          <t>JÄMTLANDS LÄN</t>
        </is>
      </c>
      <c r="E938" t="inlineStr">
        <is>
          <t>RAGUNDA</t>
        </is>
      </c>
      <c r="G938" t="n">
        <v>0.9</v>
      </c>
      <c r="H938" t="n">
        <v>0</v>
      </c>
      <c r="I938" t="n">
        <v>0</v>
      </c>
      <c r="J938" t="n">
        <v>0</v>
      </c>
      <c r="K938" t="n">
        <v>0</v>
      </c>
      <c r="L938" t="n">
        <v>0</v>
      </c>
      <c r="M938" t="n">
        <v>0</v>
      </c>
      <c r="N938" t="n">
        <v>0</v>
      </c>
      <c r="O938" t="n">
        <v>0</v>
      </c>
      <c r="P938" t="n">
        <v>0</v>
      </c>
      <c r="Q938" t="n">
        <v>0</v>
      </c>
      <c r="R938" s="2" t="inlineStr"/>
    </row>
    <row r="939" ht="15" customHeight="1">
      <c r="A939" t="inlineStr">
        <is>
          <t>A 19403-2025</t>
        </is>
      </c>
      <c r="B939" s="1" t="n">
        <v>45769.67790509259</v>
      </c>
      <c r="C939" s="1" t="n">
        <v>46042</v>
      </c>
      <c r="D939" t="inlineStr">
        <is>
          <t>JÄMTLANDS LÄN</t>
        </is>
      </c>
      <c r="E939" t="inlineStr">
        <is>
          <t>RAGUNDA</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1333-2026</t>
        </is>
      </c>
      <c r="B940" s="1" t="n">
        <v>46031.57340277778</v>
      </c>
      <c r="C940" s="1" t="n">
        <v>46042</v>
      </c>
      <c r="D940" t="inlineStr">
        <is>
          <t>JÄMTLANDS LÄN</t>
        </is>
      </c>
      <c r="E940" t="inlineStr">
        <is>
          <t>RAGUNDA</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59503-2025</t>
        </is>
      </c>
      <c r="B941" s="1" t="n">
        <v>45989.62703703704</v>
      </c>
      <c r="C941" s="1" t="n">
        <v>46042</v>
      </c>
      <c r="D941" t="inlineStr">
        <is>
          <t>JÄMTLANDS LÄN</t>
        </is>
      </c>
      <c r="E941" t="inlineStr">
        <is>
          <t>RAGUNDA</t>
        </is>
      </c>
      <c r="G941" t="n">
        <v>0.6</v>
      </c>
      <c r="H941" t="n">
        <v>0</v>
      </c>
      <c r="I941" t="n">
        <v>0</v>
      </c>
      <c r="J941" t="n">
        <v>0</v>
      </c>
      <c r="K941" t="n">
        <v>0</v>
      </c>
      <c r="L941" t="n">
        <v>0</v>
      </c>
      <c r="M941" t="n">
        <v>0</v>
      </c>
      <c r="N941" t="n">
        <v>0</v>
      </c>
      <c r="O941" t="n">
        <v>0</v>
      </c>
      <c r="P941" t="n">
        <v>0</v>
      </c>
      <c r="Q941" t="n">
        <v>0</v>
      </c>
      <c r="R941" s="2" t="inlineStr"/>
    </row>
    <row r="942" ht="15" customHeight="1">
      <c r="A942" t="inlineStr">
        <is>
          <t>A 11147-2025</t>
        </is>
      </c>
      <c r="B942" s="1" t="n">
        <v>45723.67777777778</v>
      </c>
      <c r="C942" s="1" t="n">
        <v>46042</v>
      </c>
      <c r="D942" t="inlineStr">
        <is>
          <t>JÄMTLANDS LÄN</t>
        </is>
      </c>
      <c r="E942" t="inlineStr">
        <is>
          <t>RAGUNDA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9847-2025</t>
        </is>
      </c>
      <c r="B943" s="1" t="n">
        <v>45716.61487268518</v>
      </c>
      <c r="C943" s="1" t="n">
        <v>46042</v>
      </c>
      <c r="D943" t="inlineStr">
        <is>
          <t>JÄMTLANDS LÄN</t>
        </is>
      </c>
      <c r="E943" t="inlineStr">
        <is>
          <t>RAGUNDA</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59692-2025</t>
        </is>
      </c>
      <c r="B944" s="1" t="n">
        <v>45992.49001157407</v>
      </c>
      <c r="C944" s="1" t="n">
        <v>46042</v>
      </c>
      <c r="D944" t="inlineStr">
        <is>
          <t>JÄMTLANDS LÄN</t>
        </is>
      </c>
      <c r="E944" t="inlineStr">
        <is>
          <t>RAGUNDA</t>
        </is>
      </c>
      <c r="G944" t="n">
        <v>2.7</v>
      </c>
      <c r="H944" t="n">
        <v>0</v>
      </c>
      <c r="I944" t="n">
        <v>0</v>
      </c>
      <c r="J944" t="n">
        <v>0</v>
      </c>
      <c r="K944" t="n">
        <v>0</v>
      </c>
      <c r="L944" t="n">
        <v>0</v>
      </c>
      <c r="M944" t="n">
        <v>0</v>
      </c>
      <c r="N944" t="n">
        <v>0</v>
      </c>
      <c r="O944" t="n">
        <v>0</v>
      </c>
      <c r="P944" t="n">
        <v>0</v>
      </c>
      <c r="Q944" t="n">
        <v>0</v>
      </c>
      <c r="R944" s="2" t="inlineStr"/>
    </row>
    <row r="945" ht="15" customHeight="1">
      <c r="A945" t="inlineStr">
        <is>
          <t>A 59738-2025</t>
        </is>
      </c>
      <c r="B945" s="1" t="n">
        <v>45992.57408564815</v>
      </c>
      <c r="C945" s="1" t="n">
        <v>46042</v>
      </c>
      <c r="D945" t="inlineStr">
        <is>
          <t>JÄMTLANDS LÄN</t>
        </is>
      </c>
      <c r="E945" t="inlineStr">
        <is>
          <t>RAGUNDA</t>
        </is>
      </c>
      <c r="F945" t="inlineStr">
        <is>
          <t>SCA</t>
        </is>
      </c>
      <c r="G945" t="n">
        <v>12.5</v>
      </c>
      <c r="H945" t="n">
        <v>0</v>
      </c>
      <c r="I945" t="n">
        <v>0</v>
      </c>
      <c r="J945" t="n">
        <v>0</v>
      </c>
      <c r="K945" t="n">
        <v>0</v>
      </c>
      <c r="L945" t="n">
        <v>0</v>
      </c>
      <c r="M945" t="n">
        <v>0</v>
      </c>
      <c r="N945" t="n">
        <v>0</v>
      </c>
      <c r="O945" t="n">
        <v>0</v>
      </c>
      <c r="P945" t="n">
        <v>0</v>
      </c>
      <c r="Q945" t="n">
        <v>0</v>
      </c>
      <c r="R945" s="2" t="inlineStr"/>
    </row>
    <row r="946" ht="15" customHeight="1">
      <c r="A946" t="inlineStr">
        <is>
          <t>A 59739-2025</t>
        </is>
      </c>
      <c r="B946" s="1" t="n">
        <v>45992.57417824074</v>
      </c>
      <c r="C946" s="1" t="n">
        <v>46042</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59740-2025</t>
        </is>
      </c>
      <c r="B947" s="1" t="n">
        <v>45992.5743287037</v>
      </c>
      <c r="C947" s="1" t="n">
        <v>46042</v>
      </c>
      <c r="D947" t="inlineStr">
        <is>
          <t>JÄMTLANDS LÄN</t>
        </is>
      </c>
      <c r="E947" t="inlineStr">
        <is>
          <t>RAGUNDA</t>
        </is>
      </c>
      <c r="F947" t="inlineStr">
        <is>
          <t>SCA</t>
        </is>
      </c>
      <c r="G947" t="n">
        <v>14.1</v>
      </c>
      <c r="H947" t="n">
        <v>0</v>
      </c>
      <c r="I947" t="n">
        <v>0</v>
      </c>
      <c r="J947" t="n">
        <v>0</v>
      </c>
      <c r="K947" t="n">
        <v>0</v>
      </c>
      <c r="L947" t="n">
        <v>0</v>
      </c>
      <c r="M947" t="n">
        <v>0</v>
      </c>
      <c r="N947" t="n">
        <v>0</v>
      </c>
      <c r="O947" t="n">
        <v>0</v>
      </c>
      <c r="P947" t="n">
        <v>0</v>
      </c>
      <c r="Q947" t="n">
        <v>0</v>
      </c>
      <c r="R947" s="2" t="inlineStr"/>
    </row>
    <row r="948" ht="15" customHeight="1">
      <c r="A948" t="inlineStr">
        <is>
          <t>A 28173-2024</t>
        </is>
      </c>
      <c r="B948" s="1" t="n">
        <v>45476.94533564815</v>
      </c>
      <c r="C948" s="1" t="n">
        <v>46042</v>
      </c>
      <c r="D948" t="inlineStr">
        <is>
          <t>JÄMTLANDS LÄN</t>
        </is>
      </c>
      <c r="E948" t="inlineStr">
        <is>
          <t>RAGUNDA</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59931-2025</t>
        </is>
      </c>
      <c r="B949" s="1" t="n">
        <v>45993.40177083333</v>
      </c>
      <c r="C949" s="1" t="n">
        <v>46042</v>
      </c>
      <c r="D949" t="inlineStr">
        <is>
          <t>JÄMTLANDS LÄN</t>
        </is>
      </c>
      <c r="E949" t="inlineStr">
        <is>
          <t>RAGUNDA</t>
        </is>
      </c>
      <c r="G949" t="n">
        <v>4</v>
      </c>
      <c r="H949" t="n">
        <v>0</v>
      </c>
      <c r="I949" t="n">
        <v>0</v>
      </c>
      <c r="J949" t="n">
        <v>0</v>
      </c>
      <c r="K949" t="n">
        <v>0</v>
      </c>
      <c r="L949" t="n">
        <v>0</v>
      </c>
      <c r="M949" t="n">
        <v>0</v>
      </c>
      <c r="N949" t="n">
        <v>0</v>
      </c>
      <c r="O949" t="n">
        <v>0</v>
      </c>
      <c r="P949" t="n">
        <v>0</v>
      </c>
      <c r="Q949" t="n">
        <v>0</v>
      </c>
      <c r="R949" s="2" t="inlineStr"/>
    </row>
    <row r="950" ht="15" customHeight="1">
      <c r="A950" t="inlineStr">
        <is>
          <t>A 23734-2024</t>
        </is>
      </c>
      <c r="B950" s="1" t="n">
        <v>45454.95960648148</v>
      </c>
      <c r="C950" s="1" t="n">
        <v>46042</v>
      </c>
      <c r="D950" t="inlineStr">
        <is>
          <t>JÄMTLANDS LÄN</t>
        </is>
      </c>
      <c r="E950" t="inlineStr">
        <is>
          <t>RAGUNDA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38425-2022</t>
        </is>
      </c>
      <c r="B951" s="1" t="n">
        <v>44812.94709490741</v>
      </c>
      <c r="C951" s="1" t="n">
        <v>46042</v>
      </c>
      <c r="D951" t="inlineStr">
        <is>
          <t>JÄMTLANDS LÄN</t>
        </is>
      </c>
      <c r="E951" t="inlineStr">
        <is>
          <t>RAGUNDA</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12995-2023</t>
        </is>
      </c>
      <c r="B952" s="1" t="n">
        <v>45002.0328125</v>
      </c>
      <c r="C952" s="1" t="n">
        <v>46042</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59693-2025</t>
        </is>
      </c>
      <c r="B953" s="1" t="n">
        <v>45992.49009259259</v>
      </c>
      <c r="C953" s="1" t="n">
        <v>46042</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61755-2025</t>
        </is>
      </c>
      <c r="B954" s="1" t="n">
        <v>46002</v>
      </c>
      <c r="C954" s="1" t="n">
        <v>46042</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44755-2024</t>
        </is>
      </c>
      <c r="B955" s="1" t="n">
        <v>45574.61184027778</v>
      </c>
      <c r="C955" s="1" t="n">
        <v>46042</v>
      </c>
      <c r="D955" t="inlineStr">
        <is>
          <t>JÄMTLANDS LÄN</t>
        </is>
      </c>
      <c r="E955" t="inlineStr">
        <is>
          <t>RAGUNDA</t>
        </is>
      </c>
      <c r="G955" t="n">
        <v>4.4</v>
      </c>
      <c r="H955" t="n">
        <v>0</v>
      </c>
      <c r="I955" t="n">
        <v>0</v>
      </c>
      <c r="J955" t="n">
        <v>0</v>
      </c>
      <c r="K955" t="n">
        <v>0</v>
      </c>
      <c r="L955" t="n">
        <v>0</v>
      </c>
      <c r="M955" t="n">
        <v>0</v>
      </c>
      <c r="N955" t="n">
        <v>0</v>
      </c>
      <c r="O955" t="n">
        <v>0</v>
      </c>
      <c r="P955" t="n">
        <v>0</v>
      </c>
      <c r="Q955" t="n">
        <v>0</v>
      </c>
      <c r="R955" s="2" t="inlineStr"/>
    </row>
    <row r="956" ht="15" customHeight="1">
      <c r="A956" t="inlineStr">
        <is>
          <t>A 44766-2024</t>
        </is>
      </c>
      <c r="B956" s="1" t="n">
        <v>45574.62297453704</v>
      </c>
      <c r="C956" s="1" t="n">
        <v>46042</v>
      </c>
      <c r="D956" t="inlineStr">
        <is>
          <t>JÄMTLANDS LÄN</t>
        </is>
      </c>
      <c r="E956" t="inlineStr">
        <is>
          <t>RAGUNDA</t>
        </is>
      </c>
      <c r="G956" t="n">
        <v>3.2</v>
      </c>
      <c r="H956" t="n">
        <v>0</v>
      </c>
      <c r="I956" t="n">
        <v>0</v>
      </c>
      <c r="J956" t="n">
        <v>0</v>
      </c>
      <c r="K956" t="n">
        <v>0</v>
      </c>
      <c r="L956" t="n">
        <v>0</v>
      </c>
      <c r="M956" t="n">
        <v>0</v>
      </c>
      <c r="N956" t="n">
        <v>0</v>
      </c>
      <c r="O956" t="n">
        <v>0</v>
      </c>
      <c r="P956" t="n">
        <v>0</v>
      </c>
      <c r="Q956" t="n">
        <v>0</v>
      </c>
      <c r="R956" s="2" t="inlineStr"/>
    </row>
    <row r="957" ht="15" customHeight="1">
      <c r="A957" t="inlineStr">
        <is>
          <t>A 16676-2022</t>
        </is>
      </c>
      <c r="B957" s="1" t="n">
        <v>44672.94018518519</v>
      </c>
      <c r="C957" s="1" t="n">
        <v>46042</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55536-2024</t>
        </is>
      </c>
      <c r="B958" s="1" t="n">
        <v>45622</v>
      </c>
      <c r="C958" s="1" t="n">
        <v>46042</v>
      </c>
      <c r="D958" t="inlineStr">
        <is>
          <t>JÄMTLANDS LÄN</t>
        </is>
      </c>
      <c r="E958" t="inlineStr">
        <is>
          <t>RAGUNDA</t>
        </is>
      </c>
      <c r="G958" t="n">
        <v>0.8</v>
      </c>
      <c r="H958" t="n">
        <v>0</v>
      </c>
      <c r="I958" t="n">
        <v>0</v>
      </c>
      <c r="J958" t="n">
        <v>0</v>
      </c>
      <c r="K958" t="n">
        <v>0</v>
      </c>
      <c r="L958" t="n">
        <v>0</v>
      </c>
      <c r="M958" t="n">
        <v>0</v>
      </c>
      <c r="N958" t="n">
        <v>0</v>
      </c>
      <c r="O958" t="n">
        <v>0</v>
      </c>
      <c r="P958" t="n">
        <v>0</v>
      </c>
      <c r="Q958" t="n">
        <v>0</v>
      </c>
      <c r="R958" s="2" t="inlineStr"/>
    </row>
    <row r="959" ht="15" customHeight="1">
      <c r="A959" t="inlineStr">
        <is>
          <t>A 60062-2025</t>
        </is>
      </c>
      <c r="B959" s="1" t="n">
        <v>45993.65694444445</v>
      </c>
      <c r="C959" s="1" t="n">
        <v>46042</v>
      </c>
      <c r="D959" t="inlineStr">
        <is>
          <t>JÄMTLANDS LÄN</t>
        </is>
      </c>
      <c r="E959" t="inlineStr">
        <is>
          <t>RAGUNDA</t>
        </is>
      </c>
      <c r="F959" t="inlineStr">
        <is>
          <t>SCA</t>
        </is>
      </c>
      <c r="G959" t="n">
        <v>5.8</v>
      </c>
      <c r="H959" t="n">
        <v>0</v>
      </c>
      <c r="I959" t="n">
        <v>0</v>
      </c>
      <c r="J959" t="n">
        <v>0</v>
      </c>
      <c r="K959" t="n">
        <v>0</v>
      </c>
      <c r="L959" t="n">
        <v>0</v>
      </c>
      <c r="M959" t="n">
        <v>0</v>
      </c>
      <c r="N959" t="n">
        <v>0</v>
      </c>
      <c r="O959" t="n">
        <v>0</v>
      </c>
      <c r="P959" t="n">
        <v>0</v>
      </c>
      <c r="Q959" t="n">
        <v>0</v>
      </c>
      <c r="R959" s="2" t="inlineStr"/>
    </row>
    <row r="960" ht="15" customHeight="1">
      <c r="A960" t="inlineStr">
        <is>
          <t>A 44597-2024</t>
        </is>
      </c>
      <c r="B960" s="1" t="n">
        <v>45574.51087962963</v>
      </c>
      <c r="C960" s="1" t="n">
        <v>46042</v>
      </c>
      <c r="D960" t="inlineStr">
        <is>
          <t>JÄMTLANDS LÄN</t>
        </is>
      </c>
      <c r="E960" t="inlineStr">
        <is>
          <t>RAGUNDA</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44598-2024</t>
        </is>
      </c>
      <c r="B961" s="1" t="n">
        <v>45574.51090277778</v>
      </c>
      <c r="C961" s="1" t="n">
        <v>46042</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2123-2026</t>
        </is>
      </c>
      <c r="B962" s="1" t="n">
        <v>46036.38618055556</v>
      </c>
      <c r="C962" s="1" t="n">
        <v>46042</v>
      </c>
      <c r="D962" t="inlineStr">
        <is>
          <t>JÄMTLANDS LÄN</t>
        </is>
      </c>
      <c r="E962" t="inlineStr">
        <is>
          <t>RAGUNDA</t>
        </is>
      </c>
      <c r="F962" t="inlineStr">
        <is>
          <t>SCA</t>
        </is>
      </c>
      <c r="G962" t="n">
        <v>5.1</v>
      </c>
      <c r="H962" t="n">
        <v>0</v>
      </c>
      <c r="I962" t="n">
        <v>0</v>
      </c>
      <c r="J962" t="n">
        <v>0</v>
      </c>
      <c r="K962" t="n">
        <v>0</v>
      </c>
      <c r="L962" t="n">
        <v>0</v>
      </c>
      <c r="M962" t="n">
        <v>0</v>
      </c>
      <c r="N962" t="n">
        <v>0</v>
      </c>
      <c r="O962" t="n">
        <v>0</v>
      </c>
      <c r="P962" t="n">
        <v>0</v>
      </c>
      <c r="Q962" t="n">
        <v>0</v>
      </c>
      <c r="R962" s="2" t="inlineStr"/>
    </row>
    <row r="963" ht="15" customHeight="1">
      <c r="A963" t="inlineStr">
        <is>
          <t>A 18610-2024</t>
        </is>
      </c>
      <c r="B963" s="1" t="n">
        <v>45425.96230324074</v>
      </c>
      <c r="C963" s="1" t="n">
        <v>46042</v>
      </c>
      <c r="D963" t="inlineStr">
        <is>
          <t>JÄMTLANDS LÄN</t>
        </is>
      </c>
      <c r="E963" t="inlineStr">
        <is>
          <t>RAGUNDA</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60128-2025</t>
        </is>
      </c>
      <c r="B964" s="1" t="n">
        <v>45994.34456018519</v>
      </c>
      <c r="C964" s="1" t="n">
        <v>46042</v>
      </c>
      <c r="D964" t="inlineStr">
        <is>
          <t>JÄMTLANDS LÄN</t>
        </is>
      </c>
      <c r="E964" t="inlineStr">
        <is>
          <t>RAGUNDA</t>
        </is>
      </c>
      <c r="G964" t="n">
        <v>7.1</v>
      </c>
      <c r="H964" t="n">
        <v>0</v>
      </c>
      <c r="I964" t="n">
        <v>0</v>
      </c>
      <c r="J964" t="n">
        <v>0</v>
      </c>
      <c r="K964" t="n">
        <v>0</v>
      </c>
      <c r="L964" t="n">
        <v>0</v>
      </c>
      <c r="M964" t="n">
        <v>0</v>
      </c>
      <c r="N964" t="n">
        <v>0</v>
      </c>
      <c r="O964" t="n">
        <v>0</v>
      </c>
      <c r="P964" t="n">
        <v>0</v>
      </c>
      <c r="Q964" t="n">
        <v>0</v>
      </c>
      <c r="R964" s="2" t="inlineStr"/>
    </row>
    <row r="965" ht="15" customHeight="1">
      <c r="A965" t="inlineStr">
        <is>
          <t>A 57116-2024</t>
        </is>
      </c>
      <c r="B965" s="1" t="n">
        <v>45629.36513888889</v>
      </c>
      <c r="C965" s="1" t="n">
        <v>46042</v>
      </c>
      <c r="D965" t="inlineStr">
        <is>
          <t>JÄMTLANDS LÄN</t>
        </is>
      </c>
      <c r="E965" t="inlineStr">
        <is>
          <t>RAGUNDA</t>
        </is>
      </c>
      <c r="G965" t="n">
        <v>0.6</v>
      </c>
      <c r="H965" t="n">
        <v>0</v>
      </c>
      <c r="I965" t="n">
        <v>0</v>
      </c>
      <c r="J965" t="n">
        <v>0</v>
      </c>
      <c r="K965" t="n">
        <v>0</v>
      </c>
      <c r="L965" t="n">
        <v>0</v>
      </c>
      <c r="M965" t="n">
        <v>0</v>
      </c>
      <c r="N965" t="n">
        <v>0</v>
      </c>
      <c r="O965" t="n">
        <v>0</v>
      </c>
      <c r="P965" t="n">
        <v>0</v>
      </c>
      <c r="Q965" t="n">
        <v>0</v>
      </c>
      <c r="R965" s="2" t="inlineStr"/>
    </row>
    <row r="966" ht="15" customHeight="1">
      <c r="A966" t="inlineStr">
        <is>
          <t>A 2173-2026</t>
        </is>
      </c>
      <c r="B966" s="1" t="n">
        <v>46036.44984953704</v>
      </c>
      <c r="C966" s="1" t="n">
        <v>46042</v>
      </c>
      <c r="D966" t="inlineStr">
        <is>
          <t>JÄMTLANDS LÄN</t>
        </is>
      </c>
      <c r="E966" t="inlineStr">
        <is>
          <t>RAGUNDA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62490-2025</t>
        </is>
      </c>
      <c r="B967" s="1" t="n">
        <v>46007.5697337963</v>
      </c>
      <c r="C967" s="1" t="n">
        <v>46042</v>
      </c>
      <c r="D967" t="inlineStr">
        <is>
          <t>JÄMTLANDS LÄN</t>
        </is>
      </c>
      <c r="E967" t="inlineStr">
        <is>
          <t>RAGUNDA</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3104-2025</t>
        </is>
      </c>
      <c r="B968" s="1" t="n">
        <v>45678.67761574074</v>
      </c>
      <c r="C968" s="1" t="n">
        <v>46042</v>
      </c>
      <c r="D968" t="inlineStr">
        <is>
          <t>JÄMTLANDS LÄN</t>
        </is>
      </c>
      <c r="E968" t="inlineStr">
        <is>
          <t>RAGUNDA</t>
        </is>
      </c>
      <c r="F968" t="inlineStr">
        <is>
          <t>SCA</t>
        </is>
      </c>
      <c r="G968" t="n">
        <v>46.2</v>
      </c>
      <c r="H968" t="n">
        <v>0</v>
      </c>
      <c r="I968" t="n">
        <v>0</v>
      </c>
      <c r="J968" t="n">
        <v>0</v>
      </c>
      <c r="K968" t="n">
        <v>0</v>
      </c>
      <c r="L968" t="n">
        <v>0</v>
      </c>
      <c r="M968" t="n">
        <v>0</v>
      </c>
      <c r="N968" t="n">
        <v>0</v>
      </c>
      <c r="O968" t="n">
        <v>0</v>
      </c>
      <c r="P968" t="n">
        <v>0</v>
      </c>
      <c r="Q968" t="n">
        <v>0</v>
      </c>
      <c r="R968" s="2" t="inlineStr"/>
    </row>
    <row r="969" ht="15" customHeight="1">
      <c r="A969" t="inlineStr">
        <is>
          <t>A 2271-2026</t>
        </is>
      </c>
      <c r="B969" s="1" t="n">
        <v>46036.57347222222</v>
      </c>
      <c r="C969" s="1" t="n">
        <v>46042</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60389-2025</t>
        </is>
      </c>
      <c r="B970" s="1" t="n">
        <v>45995.38628472222</v>
      </c>
      <c r="C970" s="1" t="n">
        <v>46042</v>
      </c>
      <c r="D970" t="inlineStr">
        <is>
          <t>JÄMTLANDS LÄN</t>
        </is>
      </c>
      <c r="E970" t="inlineStr">
        <is>
          <t>RAGUNDA</t>
        </is>
      </c>
      <c r="G970" t="n">
        <v>3.3</v>
      </c>
      <c r="H970" t="n">
        <v>0</v>
      </c>
      <c r="I970" t="n">
        <v>0</v>
      </c>
      <c r="J970" t="n">
        <v>0</v>
      </c>
      <c r="K970" t="n">
        <v>0</v>
      </c>
      <c r="L970" t="n">
        <v>0</v>
      </c>
      <c r="M970" t="n">
        <v>0</v>
      </c>
      <c r="N970" t="n">
        <v>0</v>
      </c>
      <c r="O970" t="n">
        <v>0</v>
      </c>
      <c r="P970" t="n">
        <v>0</v>
      </c>
      <c r="Q970" t="n">
        <v>0</v>
      </c>
      <c r="R970" s="2" t="inlineStr"/>
    </row>
    <row r="971" ht="15" customHeight="1">
      <c r="A971" t="inlineStr">
        <is>
          <t>A 40246-2024</t>
        </is>
      </c>
      <c r="B971" s="1" t="n">
        <v>45554.61583333334</v>
      </c>
      <c r="C971" s="1" t="n">
        <v>46042</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2282-2026</t>
        </is>
      </c>
      <c r="B972" s="1" t="n">
        <v>46036.57798611111</v>
      </c>
      <c r="C972" s="1" t="n">
        <v>46042</v>
      </c>
      <c r="D972" t="inlineStr">
        <is>
          <t>JÄMTLANDS LÄN</t>
        </is>
      </c>
      <c r="E972" t="inlineStr">
        <is>
          <t>RAGUNDA</t>
        </is>
      </c>
      <c r="G972" t="n">
        <v>2</v>
      </c>
      <c r="H972" t="n">
        <v>0</v>
      </c>
      <c r="I972" t="n">
        <v>0</v>
      </c>
      <c r="J972" t="n">
        <v>0</v>
      </c>
      <c r="K972" t="n">
        <v>0</v>
      </c>
      <c r="L972" t="n">
        <v>0</v>
      </c>
      <c r="M972" t="n">
        <v>0</v>
      </c>
      <c r="N972" t="n">
        <v>0</v>
      </c>
      <c r="O972" t="n">
        <v>0</v>
      </c>
      <c r="P972" t="n">
        <v>0</v>
      </c>
      <c r="Q972" t="n">
        <v>0</v>
      </c>
      <c r="R972" s="2" t="inlineStr"/>
    </row>
    <row r="973" ht="15" customHeight="1">
      <c r="A973" t="inlineStr">
        <is>
          <t>A 4878-2022</t>
        </is>
      </c>
      <c r="B973" s="1" t="n">
        <v>44593</v>
      </c>
      <c r="C973" s="1" t="n">
        <v>46042</v>
      </c>
      <c r="D973" t="inlineStr">
        <is>
          <t>JÄMTLANDS LÄN</t>
        </is>
      </c>
      <c r="E973" t="inlineStr">
        <is>
          <t>RAGUNDA</t>
        </is>
      </c>
      <c r="G973" t="n">
        <v>21.7</v>
      </c>
      <c r="H973" t="n">
        <v>0</v>
      </c>
      <c r="I973" t="n">
        <v>0</v>
      </c>
      <c r="J973" t="n">
        <v>0</v>
      </c>
      <c r="K973" t="n">
        <v>0</v>
      </c>
      <c r="L973" t="n">
        <v>0</v>
      </c>
      <c r="M973" t="n">
        <v>0</v>
      </c>
      <c r="N973" t="n">
        <v>0</v>
      </c>
      <c r="O973" t="n">
        <v>0</v>
      </c>
      <c r="P973" t="n">
        <v>0</v>
      </c>
      <c r="Q973" t="n">
        <v>0</v>
      </c>
      <c r="R973" s="2" t="inlineStr"/>
    </row>
    <row r="974" ht="15" customHeight="1">
      <c r="A974" t="inlineStr">
        <is>
          <t>A 57237-2022</t>
        </is>
      </c>
      <c r="B974" s="1" t="n">
        <v>44889</v>
      </c>
      <c r="C974" s="1" t="n">
        <v>46042</v>
      </c>
      <c r="D974" t="inlineStr">
        <is>
          <t>JÄMTLANDS LÄN</t>
        </is>
      </c>
      <c r="E974" t="inlineStr">
        <is>
          <t>RAGUNDA</t>
        </is>
      </c>
      <c r="G974" t="n">
        <v>2.2</v>
      </c>
      <c r="H974" t="n">
        <v>0</v>
      </c>
      <c r="I974" t="n">
        <v>0</v>
      </c>
      <c r="J974" t="n">
        <v>0</v>
      </c>
      <c r="K974" t="n">
        <v>0</v>
      </c>
      <c r="L974" t="n">
        <v>0</v>
      </c>
      <c r="M974" t="n">
        <v>0</v>
      </c>
      <c r="N974" t="n">
        <v>0</v>
      </c>
      <c r="O974" t="n">
        <v>0</v>
      </c>
      <c r="P974" t="n">
        <v>0</v>
      </c>
      <c r="Q974" t="n">
        <v>0</v>
      </c>
      <c r="R974" s="2" t="inlineStr"/>
    </row>
    <row r="975" ht="15" customHeight="1">
      <c r="A975" t="inlineStr">
        <is>
          <t>A 60387-2025</t>
        </is>
      </c>
      <c r="B975" s="1" t="n">
        <v>45995.38611111111</v>
      </c>
      <c r="C975" s="1" t="n">
        <v>46042</v>
      </c>
      <c r="D975" t="inlineStr">
        <is>
          <t>JÄMTLANDS LÄN</t>
        </is>
      </c>
      <c r="E975" t="inlineStr">
        <is>
          <t>RAGUNDA</t>
        </is>
      </c>
      <c r="G975" t="n">
        <v>8.5</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46042</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19419-2024</t>
        </is>
      </c>
      <c r="B977" s="1" t="n">
        <v>45429</v>
      </c>
      <c r="C977" s="1" t="n">
        <v>46042</v>
      </c>
      <c r="D977" t="inlineStr">
        <is>
          <t>JÄMTLANDS LÄN</t>
        </is>
      </c>
      <c r="E977" t="inlineStr">
        <is>
          <t>RAGUNDA</t>
        </is>
      </c>
      <c r="G977" t="n">
        <v>3.5</v>
      </c>
      <c r="H977" t="n">
        <v>0</v>
      </c>
      <c r="I977" t="n">
        <v>0</v>
      </c>
      <c r="J977" t="n">
        <v>0</v>
      </c>
      <c r="K977" t="n">
        <v>0</v>
      </c>
      <c r="L977" t="n">
        <v>0</v>
      </c>
      <c r="M977" t="n">
        <v>0</v>
      </c>
      <c r="N977" t="n">
        <v>0</v>
      </c>
      <c r="O977" t="n">
        <v>0</v>
      </c>
      <c r="P977" t="n">
        <v>0</v>
      </c>
      <c r="Q977" t="n">
        <v>0</v>
      </c>
      <c r="R977" s="2" t="inlineStr"/>
    </row>
    <row r="978" ht="15" customHeight="1">
      <c r="A978" t="inlineStr">
        <is>
          <t>A 2316-2026</t>
        </is>
      </c>
      <c r="B978" s="1" t="n">
        <v>46036.59826388889</v>
      </c>
      <c r="C978" s="1" t="n">
        <v>46042</v>
      </c>
      <c r="D978" t="inlineStr">
        <is>
          <t>JÄMTLANDS LÄN</t>
        </is>
      </c>
      <c r="E978" t="inlineStr">
        <is>
          <t>RAGUNDA</t>
        </is>
      </c>
      <c r="G978" t="n">
        <v>5.1</v>
      </c>
      <c r="H978" t="n">
        <v>0</v>
      </c>
      <c r="I978" t="n">
        <v>0</v>
      </c>
      <c r="J978" t="n">
        <v>0</v>
      </c>
      <c r="K978" t="n">
        <v>0</v>
      </c>
      <c r="L978" t="n">
        <v>0</v>
      </c>
      <c r="M978" t="n">
        <v>0</v>
      </c>
      <c r="N978" t="n">
        <v>0</v>
      </c>
      <c r="O978" t="n">
        <v>0</v>
      </c>
      <c r="P978" t="n">
        <v>0</v>
      </c>
      <c r="Q978" t="n">
        <v>0</v>
      </c>
      <c r="R978" s="2" t="inlineStr"/>
    </row>
    <row r="979" ht="15" customHeight="1">
      <c r="A979" t="inlineStr">
        <is>
          <t>A 2156-2026</t>
        </is>
      </c>
      <c r="B979" s="1" t="n">
        <v>46036.42771990741</v>
      </c>
      <c r="C979" s="1" t="n">
        <v>46042</v>
      </c>
      <c r="D979" t="inlineStr">
        <is>
          <t>JÄMTLANDS LÄN</t>
        </is>
      </c>
      <c r="E979" t="inlineStr">
        <is>
          <t>RAGUNDA</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60307-2025</t>
        </is>
      </c>
      <c r="B980" s="1" t="n">
        <v>45994.6842824074</v>
      </c>
      <c r="C980" s="1" t="n">
        <v>46042</v>
      </c>
      <c r="D980" t="inlineStr">
        <is>
          <t>JÄMTLANDS LÄN</t>
        </is>
      </c>
      <c r="E980" t="inlineStr">
        <is>
          <t>RAGUNDA</t>
        </is>
      </c>
      <c r="G980" t="n">
        <v>4</v>
      </c>
      <c r="H980" t="n">
        <v>0</v>
      </c>
      <c r="I980" t="n">
        <v>0</v>
      </c>
      <c r="J980" t="n">
        <v>0</v>
      </c>
      <c r="K980" t="n">
        <v>0</v>
      </c>
      <c r="L980" t="n">
        <v>0</v>
      </c>
      <c r="M980" t="n">
        <v>0</v>
      </c>
      <c r="N980" t="n">
        <v>0</v>
      </c>
      <c r="O980" t="n">
        <v>0</v>
      </c>
      <c r="P980" t="n">
        <v>0</v>
      </c>
      <c r="Q980" t="n">
        <v>0</v>
      </c>
      <c r="R980" s="2" t="inlineStr"/>
    </row>
    <row r="981" ht="15" customHeight="1">
      <c r="A981" t="inlineStr">
        <is>
          <t>A 2233-2026</t>
        </is>
      </c>
      <c r="B981" s="1" t="n">
        <v>46036.53207175926</v>
      </c>
      <c r="C981" s="1" t="n">
        <v>46042</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60130-2025</t>
        </is>
      </c>
      <c r="B982" s="1" t="n">
        <v>45994.34467592592</v>
      </c>
      <c r="C982" s="1" t="n">
        <v>46042</v>
      </c>
      <c r="D982" t="inlineStr">
        <is>
          <t>JÄMTLANDS LÄN</t>
        </is>
      </c>
      <c r="E982" t="inlineStr">
        <is>
          <t>RAGUNDA</t>
        </is>
      </c>
      <c r="G982" t="n">
        <v>4.9</v>
      </c>
      <c r="H982" t="n">
        <v>0</v>
      </c>
      <c r="I982" t="n">
        <v>0</v>
      </c>
      <c r="J982" t="n">
        <v>0</v>
      </c>
      <c r="K982" t="n">
        <v>0</v>
      </c>
      <c r="L982" t="n">
        <v>0</v>
      </c>
      <c r="M982" t="n">
        <v>0</v>
      </c>
      <c r="N982" t="n">
        <v>0</v>
      </c>
      <c r="O982" t="n">
        <v>0</v>
      </c>
      <c r="P982" t="n">
        <v>0</v>
      </c>
      <c r="Q982" t="n">
        <v>0</v>
      </c>
      <c r="R982" s="2" t="inlineStr"/>
    </row>
    <row r="983" ht="15" customHeight="1">
      <c r="A983" t="inlineStr">
        <is>
          <t>A 19383-2025</t>
        </is>
      </c>
      <c r="B983" s="1" t="n">
        <v>45769.65688657408</v>
      </c>
      <c r="C983" s="1" t="n">
        <v>46042</v>
      </c>
      <c r="D983" t="inlineStr">
        <is>
          <t>JÄMTLANDS LÄN</t>
        </is>
      </c>
      <c r="E983" t="inlineStr">
        <is>
          <t>RAGUNDA</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49229-2024</t>
        </is>
      </c>
      <c r="B984" s="1" t="n">
        <v>45595.42738425926</v>
      </c>
      <c r="C984" s="1" t="n">
        <v>46042</v>
      </c>
      <c r="D984" t="inlineStr">
        <is>
          <t>JÄMTLANDS LÄN</t>
        </is>
      </c>
      <c r="E984" t="inlineStr">
        <is>
          <t>RAGUNDA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13700-2023</t>
        </is>
      </c>
      <c r="B985" s="1" t="n">
        <v>45006</v>
      </c>
      <c r="C985" s="1" t="n">
        <v>46042</v>
      </c>
      <c r="D985" t="inlineStr">
        <is>
          <t>JÄMTLANDS LÄN</t>
        </is>
      </c>
      <c r="E985" t="inlineStr">
        <is>
          <t>RAGUNDA</t>
        </is>
      </c>
      <c r="F985" t="inlineStr">
        <is>
          <t>SCA</t>
        </is>
      </c>
      <c r="G985" t="n">
        <v>50.3</v>
      </c>
      <c r="H985" t="n">
        <v>0</v>
      </c>
      <c r="I985" t="n">
        <v>0</v>
      </c>
      <c r="J985" t="n">
        <v>0</v>
      </c>
      <c r="K985" t="n">
        <v>0</v>
      </c>
      <c r="L985" t="n">
        <v>0</v>
      </c>
      <c r="M985" t="n">
        <v>0</v>
      </c>
      <c r="N985" t="n">
        <v>0</v>
      </c>
      <c r="O985" t="n">
        <v>0</v>
      </c>
      <c r="P985" t="n">
        <v>0</v>
      </c>
      <c r="Q985" t="n">
        <v>0</v>
      </c>
      <c r="R985" s="2" t="inlineStr"/>
    </row>
    <row r="986" ht="15" customHeight="1">
      <c r="A986" t="inlineStr">
        <is>
          <t>A 51389-2024</t>
        </is>
      </c>
      <c r="B986" s="1" t="n">
        <v>45604.40540509259</v>
      </c>
      <c r="C986" s="1" t="n">
        <v>46042</v>
      </c>
      <c r="D986" t="inlineStr">
        <is>
          <t>JÄMTLANDS LÄN</t>
        </is>
      </c>
      <c r="E986" t="inlineStr">
        <is>
          <t>RAGUNDA</t>
        </is>
      </c>
      <c r="G986" t="n">
        <v>1.7</v>
      </c>
      <c r="H986" t="n">
        <v>0</v>
      </c>
      <c r="I986" t="n">
        <v>0</v>
      </c>
      <c r="J986" t="n">
        <v>0</v>
      </c>
      <c r="K986" t="n">
        <v>0</v>
      </c>
      <c r="L986" t="n">
        <v>0</v>
      </c>
      <c r="M986" t="n">
        <v>0</v>
      </c>
      <c r="N986" t="n">
        <v>0</v>
      </c>
      <c r="O986" t="n">
        <v>0</v>
      </c>
      <c r="P986" t="n">
        <v>0</v>
      </c>
      <c r="Q986" t="n">
        <v>0</v>
      </c>
      <c r="R986" s="2" t="inlineStr"/>
    </row>
    <row r="987" ht="15" customHeight="1">
      <c r="A987" t="inlineStr">
        <is>
          <t>A 51393-2024</t>
        </is>
      </c>
      <c r="B987" s="1" t="n">
        <v>45604.41625</v>
      </c>
      <c r="C987" s="1" t="n">
        <v>46042</v>
      </c>
      <c r="D987" t="inlineStr">
        <is>
          <t>JÄMTLANDS LÄN</t>
        </is>
      </c>
      <c r="E987" t="inlineStr">
        <is>
          <t>RAGUNDA</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60775-2025</t>
        </is>
      </c>
      <c r="B988" s="1" t="n">
        <v>45999.3905787037</v>
      </c>
      <c r="C988" s="1" t="n">
        <v>46042</v>
      </c>
      <c r="D988" t="inlineStr">
        <is>
          <t>JÄMTLANDS LÄN</t>
        </is>
      </c>
      <c r="E988" t="inlineStr">
        <is>
          <t>RAGUNDA</t>
        </is>
      </c>
      <c r="G988" t="n">
        <v>15.7</v>
      </c>
      <c r="H988" t="n">
        <v>0</v>
      </c>
      <c r="I988" t="n">
        <v>0</v>
      </c>
      <c r="J988" t="n">
        <v>0</v>
      </c>
      <c r="K988" t="n">
        <v>0</v>
      </c>
      <c r="L988" t="n">
        <v>0</v>
      </c>
      <c r="M988" t="n">
        <v>0</v>
      </c>
      <c r="N988" t="n">
        <v>0</v>
      </c>
      <c r="O988" t="n">
        <v>0</v>
      </c>
      <c r="P988" t="n">
        <v>0</v>
      </c>
      <c r="Q988" t="n">
        <v>0</v>
      </c>
      <c r="R988" s="2" t="inlineStr"/>
    </row>
    <row r="989" ht="15" customHeight="1">
      <c r="A989" t="inlineStr">
        <is>
          <t>A 20987-2023</t>
        </is>
      </c>
      <c r="B989" s="1" t="n">
        <v>45056</v>
      </c>
      <c r="C989" s="1" t="n">
        <v>46042</v>
      </c>
      <c r="D989" t="inlineStr">
        <is>
          <t>JÄMTLANDS LÄN</t>
        </is>
      </c>
      <c r="E989" t="inlineStr">
        <is>
          <t>RAGUNDA</t>
        </is>
      </c>
      <c r="G989" t="n">
        <v>1.1</v>
      </c>
      <c r="H989" t="n">
        <v>0</v>
      </c>
      <c r="I989" t="n">
        <v>0</v>
      </c>
      <c r="J989" t="n">
        <v>0</v>
      </c>
      <c r="K989" t="n">
        <v>0</v>
      </c>
      <c r="L989" t="n">
        <v>0</v>
      </c>
      <c r="M989" t="n">
        <v>0</v>
      </c>
      <c r="N989" t="n">
        <v>0</v>
      </c>
      <c r="O989" t="n">
        <v>0</v>
      </c>
      <c r="P989" t="n">
        <v>0</v>
      </c>
      <c r="Q989" t="n">
        <v>0</v>
      </c>
      <c r="R989" s="2" t="inlineStr"/>
    </row>
    <row r="990" ht="15" customHeight="1">
      <c r="A990" t="inlineStr">
        <is>
          <t>A 20994-2023</t>
        </is>
      </c>
      <c r="B990" s="1" t="n">
        <v>45056</v>
      </c>
      <c r="C990" s="1" t="n">
        <v>46042</v>
      </c>
      <c r="D990" t="inlineStr">
        <is>
          <t>JÄMTLANDS LÄN</t>
        </is>
      </c>
      <c r="E990" t="inlineStr">
        <is>
          <t>RAGUNDA</t>
        </is>
      </c>
      <c r="G990" t="n">
        <v>1.3</v>
      </c>
      <c r="H990" t="n">
        <v>0</v>
      </c>
      <c r="I990" t="n">
        <v>0</v>
      </c>
      <c r="J990" t="n">
        <v>0</v>
      </c>
      <c r="K990" t="n">
        <v>0</v>
      </c>
      <c r="L990" t="n">
        <v>0</v>
      </c>
      <c r="M990" t="n">
        <v>0</v>
      </c>
      <c r="N990" t="n">
        <v>0</v>
      </c>
      <c r="O990" t="n">
        <v>0</v>
      </c>
      <c r="P990" t="n">
        <v>0</v>
      </c>
      <c r="Q990" t="n">
        <v>0</v>
      </c>
      <c r="R990" s="2" t="inlineStr"/>
    </row>
    <row r="991" ht="15" customHeight="1">
      <c r="A991" t="inlineStr">
        <is>
          <t>A 60760-2025</t>
        </is>
      </c>
      <c r="B991" s="1" t="n">
        <v>45999.38597222222</v>
      </c>
      <c r="C991" s="1" t="n">
        <v>46042</v>
      </c>
      <c r="D991" t="inlineStr">
        <is>
          <t>JÄMTLANDS LÄN</t>
        </is>
      </c>
      <c r="E991" t="inlineStr">
        <is>
          <t>RAGUNDA</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55669-2023</t>
        </is>
      </c>
      <c r="B992" s="1" t="n">
        <v>45238.96797453704</v>
      </c>
      <c r="C992" s="1" t="n">
        <v>46042</v>
      </c>
      <c r="D992" t="inlineStr">
        <is>
          <t>JÄMTLANDS LÄN</t>
        </is>
      </c>
      <c r="E992" t="inlineStr">
        <is>
          <t>RAGUNDA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32063-2024</t>
        </is>
      </c>
      <c r="B993" s="1" t="n">
        <v>45510</v>
      </c>
      <c r="C993" s="1" t="n">
        <v>46042</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10641-2024</t>
        </is>
      </c>
      <c r="B994" s="1" t="n">
        <v>45367.69850694444</v>
      </c>
      <c r="C994" s="1" t="n">
        <v>46042</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10644-2024</t>
        </is>
      </c>
      <c r="B995" s="1" t="n">
        <v>45367.71348379629</v>
      </c>
      <c r="C995" s="1" t="n">
        <v>46042</v>
      </c>
      <c r="D995" t="inlineStr">
        <is>
          <t>JÄMTLANDS LÄN</t>
        </is>
      </c>
      <c r="E995" t="inlineStr">
        <is>
          <t>RAGUNDA</t>
        </is>
      </c>
      <c r="G995" t="n">
        <v>2</v>
      </c>
      <c r="H995" t="n">
        <v>0</v>
      </c>
      <c r="I995" t="n">
        <v>0</v>
      </c>
      <c r="J995" t="n">
        <v>0</v>
      </c>
      <c r="K995" t="n">
        <v>0</v>
      </c>
      <c r="L995" t="n">
        <v>0</v>
      </c>
      <c r="M995" t="n">
        <v>0</v>
      </c>
      <c r="N995" t="n">
        <v>0</v>
      </c>
      <c r="O995" t="n">
        <v>0</v>
      </c>
      <c r="P995" t="n">
        <v>0</v>
      </c>
      <c r="Q995" t="n">
        <v>0</v>
      </c>
      <c r="R995" s="2" t="inlineStr"/>
    </row>
    <row r="996" ht="15" customHeight="1">
      <c r="A996" t="inlineStr">
        <is>
          <t>A 20426-2024</t>
        </is>
      </c>
      <c r="B996" s="1" t="n">
        <v>45435</v>
      </c>
      <c r="C996" s="1" t="n">
        <v>46042</v>
      </c>
      <c r="D996" t="inlineStr">
        <is>
          <t>JÄMTLANDS LÄN</t>
        </is>
      </c>
      <c r="E996" t="inlineStr">
        <is>
          <t>RAGUNDA</t>
        </is>
      </c>
      <c r="G996" t="n">
        <v>2.1</v>
      </c>
      <c r="H996" t="n">
        <v>0</v>
      </c>
      <c r="I996" t="n">
        <v>0</v>
      </c>
      <c r="J996" t="n">
        <v>0</v>
      </c>
      <c r="K996" t="n">
        <v>0</v>
      </c>
      <c r="L996" t="n">
        <v>0</v>
      </c>
      <c r="M996" t="n">
        <v>0</v>
      </c>
      <c r="N996" t="n">
        <v>0</v>
      </c>
      <c r="O996" t="n">
        <v>0</v>
      </c>
      <c r="P996" t="n">
        <v>0</v>
      </c>
      <c r="Q996" t="n">
        <v>0</v>
      </c>
      <c r="R996" s="2" t="inlineStr"/>
    </row>
    <row r="997" ht="15" customHeight="1">
      <c r="A997" t="inlineStr">
        <is>
          <t>A 17742-2022</t>
        </is>
      </c>
      <c r="B997" s="1" t="n">
        <v>44680.95246527778</v>
      </c>
      <c r="C997" s="1" t="n">
        <v>46042</v>
      </c>
      <c r="D997" t="inlineStr">
        <is>
          <t>JÄMTLANDS LÄN</t>
        </is>
      </c>
      <c r="E997" t="inlineStr">
        <is>
          <t>RAGUNDA</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3065-2026</t>
        </is>
      </c>
      <c r="B998" s="1" t="n">
        <v>46040.47866898148</v>
      </c>
      <c r="C998" s="1" t="n">
        <v>46042</v>
      </c>
      <c r="D998" t="inlineStr">
        <is>
          <t>JÄMTLANDS LÄN</t>
        </is>
      </c>
      <c r="E998" t="inlineStr">
        <is>
          <t>RAGUNDA</t>
        </is>
      </c>
      <c r="G998" t="n">
        <v>2</v>
      </c>
      <c r="H998" t="n">
        <v>0</v>
      </c>
      <c r="I998" t="n">
        <v>0</v>
      </c>
      <c r="J998" t="n">
        <v>0</v>
      </c>
      <c r="K998" t="n">
        <v>0</v>
      </c>
      <c r="L998" t="n">
        <v>0</v>
      </c>
      <c r="M998" t="n">
        <v>0</v>
      </c>
      <c r="N998" t="n">
        <v>0</v>
      </c>
      <c r="O998" t="n">
        <v>0</v>
      </c>
      <c r="P998" t="n">
        <v>0</v>
      </c>
      <c r="Q998" t="n">
        <v>0</v>
      </c>
      <c r="R998" s="2" t="inlineStr"/>
    </row>
    <row r="999" ht="15" customHeight="1">
      <c r="A999" t="inlineStr">
        <is>
          <t>A 30825-2023</t>
        </is>
      </c>
      <c r="B999" s="1" t="n">
        <v>45112.94310185185</v>
      </c>
      <c r="C999" s="1" t="n">
        <v>46042</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60630-2025</t>
        </is>
      </c>
      <c r="B1000" s="1" t="n">
        <v>45996.42120370371</v>
      </c>
      <c r="C1000" s="1" t="n">
        <v>46042</v>
      </c>
      <c r="D1000" t="inlineStr">
        <is>
          <t>JÄMTLANDS LÄN</t>
        </is>
      </c>
      <c r="E1000" t="inlineStr">
        <is>
          <t>RAGUNDA</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9084-2023</t>
        </is>
      </c>
      <c r="B1001" s="1" t="n">
        <v>44979</v>
      </c>
      <c r="C1001" s="1" t="n">
        <v>46042</v>
      </c>
      <c r="D1001" t="inlineStr">
        <is>
          <t>JÄMTLANDS LÄN</t>
        </is>
      </c>
      <c r="E1001" t="inlineStr">
        <is>
          <t>RAGUNDA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9326-2024</t>
        </is>
      </c>
      <c r="B1002" s="1" t="n">
        <v>45358.95818287037</v>
      </c>
      <c r="C1002" s="1" t="n">
        <v>46042</v>
      </c>
      <c r="D1002" t="inlineStr">
        <is>
          <t>JÄMTLANDS LÄN</t>
        </is>
      </c>
      <c r="E1002" t="inlineStr">
        <is>
          <t>RAGUNDA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7520-2023</t>
        </is>
      </c>
      <c r="B1003" s="1" t="n">
        <v>44971</v>
      </c>
      <c r="C1003" s="1" t="n">
        <v>46042</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21662-2023</t>
        </is>
      </c>
      <c r="B1004" s="1" t="n">
        <v>45063</v>
      </c>
      <c r="C1004" s="1" t="n">
        <v>46042</v>
      </c>
      <c r="D1004" t="inlineStr">
        <is>
          <t>JÄMTLANDS LÄN</t>
        </is>
      </c>
      <c r="E1004" t="inlineStr">
        <is>
          <t>RAGUNDA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44727-2024</t>
        </is>
      </c>
      <c r="B1005" s="1" t="n">
        <v>45574.57967592592</v>
      </c>
      <c r="C1005" s="1" t="n">
        <v>46042</v>
      </c>
      <c r="D1005" t="inlineStr">
        <is>
          <t>JÄMTLANDS LÄN</t>
        </is>
      </c>
      <c r="E1005" t="inlineStr">
        <is>
          <t>RAGUNDA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21083-2024</t>
        </is>
      </c>
      <c r="B1006" s="1" t="n">
        <v>45439.92752314815</v>
      </c>
      <c r="C1006" s="1" t="n">
        <v>46042</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462-2023</t>
        </is>
      </c>
      <c r="B1007" s="1" t="n">
        <v>44929</v>
      </c>
      <c r="C1007" s="1" t="n">
        <v>46042</v>
      </c>
      <c r="D1007" t="inlineStr">
        <is>
          <t>JÄMTLANDS LÄN</t>
        </is>
      </c>
      <c r="E1007" t="inlineStr">
        <is>
          <t>RAGUNDA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12050-2023</t>
        </is>
      </c>
      <c r="B1008" s="1" t="n">
        <v>44995.98644675926</v>
      </c>
      <c r="C1008" s="1" t="n">
        <v>46042</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62358-2023</t>
        </is>
      </c>
      <c r="B1009" s="1" t="n">
        <v>45267</v>
      </c>
      <c r="C1009" s="1" t="n">
        <v>46042</v>
      </c>
      <c r="D1009" t="inlineStr">
        <is>
          <t>JÄMTLANDS LÄN</t>
        </is>
      </c>
      <c r="E1009" t="inlineStr">
        <is>
          <t>RAGUNDA</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18820-2023</t>
        </is>
      </c>
      <c r="B1010" s="1" t="n">
        <v>45042</v>
      </c>
      <c r="C1010" s="1" t="n">
        <v>46042</v>
      </c>
      <c r="D1010" t="inlineStr">
        <is>
          <t>JÄMTLANDS LÄN</t>
        </is>
      </c>
      <c r="E1010" t="inlineStr">
        <is>
          <t>RAGUNDA</t>
        </is>
      </c>
      <c r="G1010" t="n">
        <v>18.8</v>
      </c>
      <c r="H1010" t="n">
        <v>0</v>
      </c>
      <c r="I1010" t="n">
        <v>0</v>
      </c>
      <c r="J1010" t="n">
        <v>0</v>
      </c>
      <c r="K1010" t="n">
        <v>0</v>
      </c>
      <c r="L1010" t="n">
        <v>0</v>
      </c>
      <c r="M1010" t="n">
        <v>0</v>
      </c>
      <c r="N1010" t="n">
        <v>0</v>
      </c>
      <c r="O1010" t="n">
        <v>0</v>
      </c>
      <c r="P1010" t="n">
        <v>0</v>
      </c>
      <c r="Q1010" t="n">
        <v>0</v>
      </c>
      <c r="R1010" s="2" t="inlineStr"/>
    </row>
    <row r="1011" ht="15" customHeight="1">
      <c r="A1011" t="inlineStr">
        <is>
          <t>A 49648-2023</t>
        </is>
      </c>
      <c r="B1011" s="1" t="n">
        <v>45211.95061342593</v>
      </c>
      <c r="C1011" s="1" t="n">
        <v>46042</v>
      </c>
      <c r="D1011" t="inlineStr">
        <is>
          <t>JÄMTLANDS LÄN</t>
        </is>
      </c>
      <c r="E1011" t="inlineStr">
        <is>
          <t>RAGUNDA</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51537-2022</t>
        </is>
      </c>
      <c r="B1012" s="1" t="n">
        <v>44869</v>
      </c>
      <c r="C1012" s="1" t="n">
        <v>46042</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59044-2022</t>
        </is>
      </c>
      <c r="B1013" s="1" t="n">
        <v>44903</v>
      </c>
      <c r="C1013" s="1" t="n">
        <v>46042</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46042</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8779-2025</t>
        </is>
      </c>
      <c r="B1015" s="1" t="n">
        <v>45712.61552083334</v>
      </c>
      <c r="C1015" s="1" t="n">
        <v>46042</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61400-2022</t>
        </is>
      </c>
      <c r="B1016" s="1" t="n">
        <v>44915</v>
      </c>
      <c r="C1016" s="1" t="n">
        <v>46042</v>
      </c>
      <c r="D1016" t="inlineStr">
        <is>
          <t>JÄMTLANDS LÄN</t>
        </is>
      </c>
      <c r="E1016" t="inlineStr">
        <is>
          <t>RAGUNDA</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4348-2023</t>
        </is>
      </c>
      <c r="B1017" s="1" t="n">
        <v>44953</v>
      </c>
      <c r="C1017" s="1" t="n">
        <v>46042</v>
      </c>
      <c r="D1017" t="inlineStr">
        <is>
          <t>JÄMTLANDS LÄN</t>
        </is>
      </c>
      <c r="E1017" t="inlineStr">
        <is>
          <t>RAGUNDA</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56286-2023</t>
        </is>
      </c>
      <c r="B1018" s="1" t="n">
        <v>45241.95741898148</v>
      </c>
      <c r="C1018" s="1" t="n">
        <v>46042</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56287-2023</t>
        </is>
      </c>
      <c r="B1019" s="1" t="n">
        <v>45241</v>
      </c>
      <c r="C1019" s="1" t="n">
        <v>46042</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62135-2024</t>
        </is>
      </c>
      <c r="B1020" s="1" t="n">
        <v>45656.64223379629</v>
      </c>
      <c r="C1020" s="1" t="n">
        <v>46042</v>
      </c>
      <c r="D1020" t="inlineStr">
        <is>
          <t>JÄMTLANDS LÄN</t>
        </is>
      </c>
      <c r="E1020" t="inlineStr">
        <is>
          <t>RAGUNDA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18248-2023</t>
        </is>
      </c>
      <c r="B1021" s="1" t="n">
        <v>45040</v>
      </c>
      <c r="C1021" s="1" t="n">
        <v>46042</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8802-2022</t>
        </is>
      </c>
      <c r="B1022" s="1" t="n">
        <v>44614</v>
      </c>
      <c r="C1022" s="1" t="n">
        <v>46042</v>
      </c>
      <c r="D1022" t="inlineStr">
        <is>
          <t>JÄMTLANDS LÄN</t>
        </is>
      </c>
      <c r="E1022" t="inlineStr">
        <is>
          <t>RAGUNDA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39489-2023</t>
        </is>
      </c>
      <c r="B1023" s="1" t="n">
        <v>45166</v>
      </c>
      <c r="C1023" s="1" t="n">
        <v>46042</v>
      </c>
      <c r="D1023" t="inlineStr">
        <is>
          <t>JÄMTLANDS LÄN</t>
        </is>
      </c>
      <c r="E1023" t="inlineStr">
        <is>
          <t>RAGUNDA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55214-2022</t>
        </is>
      </c>
      <c r="B1024" s="1" t="n">
        <v>44886</v>
      </c>
      <c r="C1024" s="1" t="n">
        <v>46042</v>
      </c>
      <c r="D1024" t="inlineStr">
        <is>
          <t>JÄMTLANDS LÄN</t>
        </is>
      </c>
      <c r="E1024" t="inlineStr">
        <is>
          <t>RAGUNDA</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44972.94140046297</v>
      </c>
      <c r="C1025" s="1" t="n">
        <v>46042</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12204-2025</t>
        </is>
      </c>
      <c r="B1026" s="1" t="n">
        <v>45729.51074074074</v>
      </c>
      <c r="C1026" s="1" t="n">
        <v>46042</v>
      </c>
      <c r="D1026" t="inlineStr">
        <is>
          <t>JÄMTLANDS LÄN</t>
        </is>
      </c>
      <c r="E1026" t="inlineStr">
        <is>
          <t>RAGUNDA</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13299-2024</t>
        </is>
      </c>
      <c r="B1027" s="1" t="n">
        <v>45386.68003472222</v>
      </c>
      <c r="C1027" s="1" t="n">
        <v>46042</v>
      </c>
      <c r="D1027" t="inlineStr">
        <is>
          <t>JÄMTLANDS LÄN</t>
        </is>
      </c>
      <c r="E1027" t="inlineStr">
        <is>
          <t>RAGUNDA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15024-2022</t>
        </is>
      </c>
      <c r="B1028" s="1" t="n">
        <v>44657</v>
      </c>
      <c r="C1028" s="1" t="n">
        <v>46042</v>
      </c>
      <c r="D1028" t="inlineStr">
        <is>
          <t>JÄMTLANDS LÄN</t>
        </is>
      </c>
      <c r="E1028" t="inlineStr">
        <is>
          <t>RAGUNDA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891-2022</t>
        </is>
      </c>
      <c r="B1029" s="1" t="n">
        <v>44571</v>
      </c>
      <c r="C1029" s="1" t="n">
        <v>46042</v>
      </c>
      <c r="D1029" t="inlineStr">
        <is>
          <t>JÄMTLANDS LÄN</t>
        </is>
      </c>
      <c r="E1029" t="inlineStr">
        <is>
          <t>RAGUNDA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36371-2023</t>
        </is>
      </c>
      <c r="B1030" s="1" t="n">
        <v>45149</v>
      </c>
      <c r="C1030" s="1" t="n">
        <v>46042</v>
      </c>
      <c r="D1030" t="inlineStr">
        <is>
          <t>JÄMTLANDS LÄN</t>
        </is>
      </c>
      <c r="E1030" t="inlineStr">
        <is>
          <t>RAGUNDA</t>
        </is>
      </c>
      <c r="G1030" t="n">
        <v>25.7</v>
      </c>
      <c r="H1030" t="n">
        <v>0</v>
      </c>
      <c r="I1030" t="n">
        <v>0</v>
      </c>
      <c r="J1030" t="n">
        <v>0</v>
      </c>
      <c r="K1030" t="n">
        <v>0</v>
      </c>
      <c r="L1030" t="n">
        <v>0</v>
      </c>
      <c r="M1030" t="n">
        <v>0</v>
      </c>
      <c r="N1030" t="n">
        <v>0</v>
      </c>
      <c r="O1030" t="n">
        <v>0</v>
      </c>
      <c r="P1030" t="n">
        <v>0</v>
      </c>
      <c r="Q1030" t="n">
        <v>0</v>
      </c>
      <c r="R1030" s="2" t="inlineStr"/>
    </row>
    <row r="1031" ht="15" customHeight="1">
      <c r="A1031" t="inlineStr">
        <is>
          <t>A 56702-2023</t>
        </is>
      </c>
      <c r="B1031" s="1" t="n">
        <v>45243</v>
      </c>
      <c r="C1031" s="1" t="n">
        <v>46042</v>
      </c>
      <c r="D1031" t="inlineStr">
        <is>
          <t>JÄMTLANDS LÄN</t>
        </is>
      </c>
      <c r="E1031" t="inlineStr">
        <is>
          <t>RAGUNDA</t>
        </is>
      </c>
      <c r="F1031" t="inlineStr">
        <is>
          <t>SCA</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32259-2024</t>
        </is>
      </c>
      <c r="B1032" s="1" t="n">
        <v>45511</v>
      </c>
      <c r="C1032" s="1" t="n">
        <v>46042</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5313-2025</t>
        </is>
      </c>
      <c r="B1033" s="1" t="n">
        <v>45692.51069444444</v>
      </c>
      <c r="C1033" s="1" t="n">
        <v>46042</v>
      </c>
      <c r="D1033" t="inlineStr">
        <is>
          <t>JÄMTLANDS LÄN</t>
        </is>
      </c>
      <c r="E1033" t="inlineStr">
        <is>
          <t>RAGUNDA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5357-2025</t>
        </is>
      </c>
      <c r="B1034" s="1" t="n">
        <v>45692.57326388889</v>
      </c>
      <c r="C1034" s="1" t="n">
        <v>46042</v>
      </c>
      <c r="D1034" t="inlineStr">
        <is>
          <t>JÄMTLANDS LÄN</t>
        </is>
      </c>
      <c r="E1034" t="inlineStr">
        <is>
          <t>RAGUNDA</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3018-2024</t>
        </is>
      </c>
      <c r="B1035" s="1" t="n">
        <v>45315.9492824074</v>
      </c>
      <c r="C1035" s="1" t="n">
        <v>46042</v>
      </c>
      <c r="D1035" t="inlineStr">
        <is>
          <t>JÄMTLANDS LÄN</t>
        </is>
      </c>
      <c r="E1035" t="inlineStr">
        <is>
          <t>RAGUNDA</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44605-2024</t>
        </is>
      </c>
      <c r="B1036" s="1" t="n">
        <v>45574.51185185185</v>
      </c>
      <c r="C1036" s="1" t="n">
        <v>46042</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20773-2024</t>
        </is>
      </c>
      <c r="B1037" s="1" t="n">
        <v>45436.94636574074</v>
      </c>
      <c r="C1037" s="1" t="n">
        <v>46042</v>
      </c>
      <c r="D1037" t="inlineStr">
        <is>
          <t>JÄMTLANDS LÄN</t>
        </is>
      </c>
      <c r="E1037" t="inlineStr">
        <is>
          <t>RAGUNDA</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34323-2023</t>
        </is>
      </c>
      <c r="B1038" s="1" t="n">
        <v>45138.94925925926</v>
      </c>
      <c r="C1038" s="1" t="n">
        <v>46042</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50486-2023</t>
        </is>
      </c>
      <c r="B1039" s="1" t="n">
        <v>45216.92424768519</v>
      </c>
      <c r="C1039" s="1" t="n">
        <v>46042</v>
      </c>
      <c r="D1039" t="inlineStr">
        <is>
          <t>JÄMTLANDS LÄN</t>
        </is>
      </c>
      <c r="E1039" t="inlineStr">
        <is>
          <t>RAGUNDA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51538-2022</t>
        </is>
      </c>
      <c r="B1040" s="1" t="n">
        <v>44869</v>
      </c>
      <c r="C1040" s="1" t="n">
        <v>46042</v>
      </c>
      <c r="D1040" t="inlineStr">
        <is>
          <t>JÄMTLANDS LÄN</t>
        </is>
      </c>
      <c r="E1040" t="inlineStr">
        <is>
          <t>RAGUNDA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19854-2025</t>
        </is>
      </c>
      <c r="B1041" s="1" t="n">
        <v>45771.51074074074</v>
      </c>
      <c r="C1041" s="1" t="n">
        <v>46042</v>
      </c>
      <c r="D1041" t="inlineStr">
        <is>
          <t>JÄMTLANDS LÄN</t>
        </is>
      </c>
      <c r="E1041" t="inlineStr">
        <is>
          <t>RAGUNDA</t>
        </is>
      </c>
      <c r="F1041" t="inlineStr">
        <is>
          <t>SCA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50503-2024</t>
        </is>
      </c>
      <c r="B1042" s="1" t="n">
        <v>45601.5315625</v>
      </c>
      <c r="C1042" s="1" t="n">
        <v>46042</v>
      </c>
      <c r="D1042" t="inlineStr">
        <is>
          <t>JÄMTLANDS LÄN</t>
        </is>
      </c>
      <c r="E1042" t="inlineStr">
        <is>
          <t>RAGUNDA</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10610-2024</t>
        </is>
      </c>
      <c r="B1043" s="1" t="n">
        <v>45367.04693287037</v>
      </c>
      <c r="C1043" s="1" t="n">
        <v>46042</v>
      </c>
      <c r="D1043" t="inlineStr">
        <is>
          <t>JÄMTLANDS LÄN</t>
        </is>
      </c>
      <c r="E1043" t="inlineStr">
        <is>
          <t>RAGUNDA</t>
        </is>
      </c>
      <c r="F1043" t="inlineStr">
        <is>
          <t>SCA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10706-2023</t>
        </is>
      </c>
      <c r="B1044" s="1" t="n">
        <v>44984</v>
      </c>
      <c r="C1044" s="1" t="n">
        <v>46042</v>
      </c>
      <c r="D1044" t="inlineStr">
        <is>
          <t>JÄMTLANDS LÄN</t>
        </is>
      </c>
      <c r="E1044" t="inlineStr">
        <is>
          <t>RAGUNDA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63708-2023</t>
        </is>
      </c>
      <c r="B1045" s="1" t="n">
        <v>45275.95060185185</v>
      </c>
      <c r="C1045" s="1" t="n">
        <v>46042</v>
      </c>
      <c r="D1045" t="inlineStr">
        <is>
          <t>JÄMTLANDS LÄN</t>
        </is>
      </c>
      <c r="E1045" t="inlineStr">
        <is>
          <t>RAGUNDA</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16250-2022</t>
        </is>
      </c>
      <c r="B1046" s="1" t="n">
        <v>44670</v>
      </c>
      <c r="C1046" s="1" t="n">
        <v>46042</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60663-2022</t>
        </is>
      </c>
      <c r="B1047" s="1" t="n">
        <v>44911.93846064815</v>
      </c>
      <c r="C1047" s="1" t="n">
        <v>46042</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58847-2024</t>
        </is>
      </c>
      <c r="B1048" s="1" t="n">
        <v>45636.3864699074</v>
      </c>
      <c r="C1048" s="1" t="n">
        <v>46042</v>
      </c>
      <c r="D1048" t="inlineStr">
        <is>
          <t>JÄMTLANDS LÄN</t>
        </is>
      </c>
      <c r="E1048" t="inlineStr">
        <is>
          <t>RAGUNDA</t>
        </is>
      </c>
      <c r="F1048" t="inlineStr">
        <is>
          <t>SCA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27777-2022</t>
        </is>
      </c>
      <c r="B1049" s="1" t="n">
        <v>44743</v>
      </c>
      <c r="C1049" s="1" t="n">
        <v>46042</v>
      </c>
      <c r="D1049" t="inlineStr">
        <is>
          <t>JÄMTLANDS LÄN</t>
        </is>
      </c>
      <c r="E1049" t="inlineStr">
        <is>
          <t>RAGUNDA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42875-2024</t>
        </is>
      </c>
      <c r="B1050" s="1" t="n">
        <v>45566.68125</v>
      </c>
      <c r="C1050" s="1" t="n">
        <v>46042</v>
      </c>
      <c r="D1050" t="inlineStr">
        <is>
          <t>JÄMTLANDS LÄN</t>
        </is>
      </c>
      <c r="E1050" t="inlineStr">
        <is>
          <t>RAGUNDA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53935-2022</t>
        </is>
      </c>
      <c r="B1051" s="1" t="n">
        <v>44880</v>
      </c>
      <c r="C1051" s="1" t="n">
        <v>46042</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41262-2021</t>
        </is>
      </c>
      <c r="B1052" s="1" t="n">
        <v>44424</v>
      </c>
      <c r="C1052" s="1" t="n">
        <v>46042</v>
      </c>
      <c r="D1052" t="inlineStr">
        <is>
          <t>JÄMTLANDS LÄN</t>
        </is>
      </c>
      <c r="E1052" t="inlineStr">
        <is>
          <t>RAGUNDA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20221-2025</t>
        </is>
      </c>
      <c r="B1053" s="1" t="n">
        <v>45772.6565625</v>
      </c>
      <c r="C1053" s="1" t="n">
        <v>46042</v>
      </c>
      <c r="D1053" t="inlineStr">
        <is>
          <t>JÄMTLANDS LÄN</t>
        </is>
      </c>
      <c r="E1053" t="inlineStr">
        <is>
          <t>RAGUNDA</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4015-2022</t>
        </is>
      </c>
      <c r="B1054" s="1" t="n">
        <v>44587.92149305555</v>
      </c>
      <c r="C1054" s="1" t="n">
        <v>46042</v>
      </c>
      <c r="D1054" t="inlineStr">
        <is>
          <t>JÄMTLANDS LÄN</t>
        </is>
      </c>
      <c r="E1054" t="inlineStr">
        <is>
          <t>RAGUNDA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8416-2023</t>
        </is>
      </c>
      <c r="B1055" s="1" t="n">
        <v>44977.44373842593</v>
      </c>
      <c r="C1055" s="1" t="n">
        <v>46042</v>
      </c>
      <c r="D1055" t="inlineStr">
        <is>
          <t>JÄMTLANDS LÄN</t>
        </is>
      </c>
      <c r="E1055" t="inlineStr">
        <is>
          <t>RAGUNDA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45253-2023</t>
        </is>
      </c>
      <c r="B1056" s="1" t="n">
        <v>45187</v>
      </c>
      <c r="C1056" s="1" t="n">
        <v>46042</v>
      </c>
      <c r="D1056" t="inlineStr">
        <is>
          <t>JÄMTLANDS LÄN</t>
        </is>
      </c>
      <c r="E1056" t="inlineStr">
        <is>
          <t>RAGUNDA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14369-2024</t>
        </is>
      </c>
      <c r="B1057" s="1" t="n">
        <v>45393.94459490741</v>
      </c>
      <c r="C1057" s="1" t="n">
        <v>46042</v>
      </c>
      <c r="D1057" t="inlineStr">
        <is>
          <t>JÄMTLANDS LÄN</t>
        </is>
      </c>
      <c r="E1057" t="inlineStr">
        <is>
          <t>RAGUNDA</t>
        </is>
      </c>
      <c r="F1057" t="inlineStr">
        <is>
          <t>Naturvårdsverket</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182-2023</t>
        </is>
      </c>
      <c r="B1058" s="1" t="n">
        <v>44922</v>
      </c>
      <c r="C1058" s="1" t="n">
        <v>46042</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6490-2022</t>
        </is>
      </c>
      <c r="B1059" s="1" t="n">
        <v>44601</v>
      </c>
      <c r="C1059" s="1" t="n">
        <v>46042</v>
      </c>
      <c r="D1059" t="inlineStr">
        <is>
          <t>JÄMTLANDS LÄN</t>
        </is>
      </c>
      <c r="E1059" t="inlineStr">
        <is>
          <t>RAGUNDA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6802-2021</t>
        </is>
      </c>
      <c r="B1060" s="1" t="n">
        <v>44236</v>
      </c>
      <c r="C1060" s="1" t="n">
        <v>46042</v>
      </c>
      <c r="D1060" t="inlineStr">
        <is>
          <t>JÄMTLANDS LÄN</t>
        </is>
      </c>
      <c r="E1060" t="inlineStr">
        <is>
          <t>RAGUNDA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6477-2024</t>
        </is>
      </c>
      <c r="B1061" s="1" t="n">
        <v>45338.95405092592</v>
      </c>
      <c r="C1061" s="1" t="n">
        <v>46042</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18193-2022</t>
        </is>
      </c>
      <c r="B1062" s="1" t="n">
        <v>44684.94032407407</v>
      </c>
      <c r="C1062" s="1" t="n">
        <v>46042</v>
      </c>
      <c r="D1062" t="inlineStr">
        <is>
          <t>JÄMTLANDS LÄN</t>
        </is>
      </c>
      <c r="E1062" t="inlineStr">
        <is>
          <t>RAGUNDA</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11551-2024</t>
        </is>
      </c>
      <c r="B1063" s="1" t="n">
        <v>45372.95762731481</v>
      </c>
      <c r="C1063" s="1" t="n">
        <v>46042</v>
      </c>
      <c r="D1063" t="inlineStr">
        <is>
          <t>JÄMTLANDS LÄN</t>
        </is>
      </c>
      <c r="E1063" t="inlineStr">
        <is>
          <t>RAGUNDA</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49647-2024</t>
        </is>
      </c>
      <c r="B1064" s="1" t="n">
        <v>45596.61533564814</v>
      </c>
      <c r="C1064" s="1" t="n">
        <v>46042</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53264-2024</t>
        </is>
      </c>
      <c r="B1065" s="1" t="n">
        <v>45614.34545138889</v>
      </c>
      <c r="C1065" s="1" t="n">
        <v>46042</v>
      </c>
      <c r="D1065" t="inlineStr">
        <is>
          <t>JÄMTLANDS LÄN</t>
        </is>
      </c>
      <c r="E1065" t="inlineStr">
        <is>
          <t>RAGUNDA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13389-2025</t>
        </is>
      </c>
      <c r="B1066" s="1" t="n">
        <v>45735.69842592593</v>
      </c>
      <c r="C1066" s="1" t="n">
        <v>46042</v>
      </c>
      <c r="D1066" t="inlineStr">
        <is>
          <t>JÄMTLANDS LÄN</t>
        </is>
      </c>
      <c r="E1066" t="inlineStr">
        <is>
          <t>RAGUNDA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45631-2024</t>
        </is>
      </c>
      <c r="B1067" s="1" t="n">
        <v>45579.47052083333</v>
      </c>
      <c r="C1067" s="1" t="n">
        <v>46042</v>
      </c>
      <c r="D1067" t="inlineStr">
        <is>
          <t>JÄMTLANDS LÄN</t>
        </is>
      </c>
      <c r="E1067" t="inlineStr">
        <is>
          <t>RAGUNDA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55701-2021</t>
        </is>
      </c>
      <c r="B1068" s="1" t="n">
        <v>44475</v>
      </c>
      <c r="C1068" s="1" t="n">
        <v>46042</v>
      </c>
      <c r="D1068" t="inlineStr">
        <is>
          <t>JÄMTLANDS LÄN</t>
        </is>
      </c>
      <c r="E1068" t="inlineStr">
        <is>
          <t>RAGUNDA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30484-2024</t>
        </is>
      </c>
      <c r="B1069" s="1" t="n">
        <v>45491</v>
      </c>
      <c r="C1069" s="1" t="n">
        <v>46042</v>
      </c>
      <c r="D1069" t="inlineStr">
        <is>
          <t>JÄMTLANDS LÄN</t>
        </is>
      </c>
      <c r="E1069" t="inlineStr">
        <is>
          <t>RAGUNDA</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14513-2025</t>
        </is>
      </c>
      <c r="B1070" s="1" t="n">
        <v>45741.63675925926</v>
      </c>
      <c r="C1070" s="1" t="n">
        <v>46042</v>
      </c>
      <c r="D1070" t="inlineStr">
        <is>
          <t>JÄMTLANDS LÄN</t>
        </is>
      </c>
      <c r="E1070" t="inlineStr">
        <is>
          <t>RAGUNDA</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55904-2022</t>
        </is>
      </c>
      <c r="B1071" s="1" t="n">
        <v>44888</v>
      </c>
      <c r="C1071" s="1" t="n">
        <v>46042</v>
      </c>
      <c r="D1071" t="inlineStr">
        <is>
          <t>JÄMTLANDS LÄN</t>
        </is>
      </c>
      <c r="E1071" t="inlineStr">
        <is>
          <t>RAGUNDA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7281-2025</t>
        </is>
      </c>
      <c r="B1072" s="1" t="n">
        <v>45702.63572916666</v>
      </c>
      <c r="C1072" s="1" t="n">
        <v>46042</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48192-2024</t>
        </is>
      </c>
      <c r="B1073" s="1" t="n">
        <v>45590</v>
      </c>
      <c r="C1073" s="1" t="n">
        <v>46042</v>
      </c>
      <c r="D1073" t="inlineStr">
        <is>
          <t>JÄMTLANDS LÄN</t>
        </is>
      </c>
      <c r="E1073" t="inlineStr">
        <is>
          <t>RAGUNDA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2599-2023</t>
        </is>
      </c>
      <c r="B1074" s="1" t="n">
        <v>44943.94802083333</v>
      </c>
      <c r="C1074" s="1" t="n">
        <v>46042</v>
      </c>
      <c r="D1074" t="inlineStr">
        <is>
          <t>JÄMTLANDS LÄN</t>
        </is>
      </c>
      <c r="E1074" t="inlineStr">
        <is>
          <t>RAGUNDA</t>
        </is>
      </c>
      <c r="F1074" t="inlineStr">
        <is>
          <t>SCA</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48249-2024</t>
        </is>
      </c>
      <c r="B1075" s="1" t="n">
        <v>45590.40675925926</v>
      </c>
      <c r="C1075" s="1" t="n">
        <v>46042</v>
      </c>
      <c r="D1075" t="inlineStr">
        <is>
          <t>JÄMTLANDS LÄN</t>
        </is>
      </c>
      <c r="E1075" t="inlineStr">
        <is>
          <t>RAGUNDA</t>
        </is>
      </c>
      <c r="F1075" t="inlineStr">
        <is>
          <t>SCA</t>
        </is>
      </c>
      <c r="G1075" t="n">
        <v>14.4</v>
      </c>
      <c r="H1075" t="n">
        <v>0</v>
      </c>
      <c r="I1075" t="n">
        <v>0</v>
      </c>
      <c r="J1075" t="n">
        <v>0</v>
      </c>
      <c r="K1075" t="n">
        <v>0</v>
      </c>
      <c r="L1075" t="n">
        <v>0</v>
      </c>
      <c r="M1075" t="n">
        <v>0</v>
      </c>
      <c r="N1075" t="n">
        <v>0</v>
      </c>
      <c r="O1075" t="n">
        <v>0</v>
      </c>
      <c r="P1075" t="n">
        <v>0</v>
      </c>
      <c r="Q1075" t="n">
        <v>0</v>
      </c>
      <c r="R1075" s="2" t="inlineStr"/>
    </row>
    <row r="1076" ht="15" customHeight="1">
      <c r="A1076" t="inlineStr">
        <is>
          <t>A 64265-2023</t>
        </is>
      </c>
      <c r="B1076" s="1" t="n">
        <v>45279.94572916667</v>
      </c>
      <c r="C1076" s="1" t="n">
        <v>46042</v>
      </c>
      <c r="D1076" t="inlineStr">
        <is>
          <t>JÄMTLANDS LÄN</t>
        </is>
      </c>
      <c r="E1076" t="inlineStr">
        <is>
          <t>RAGUNDA</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66706-2021</t>
        </is>
      </c>
      <c r="B1077" s="1" t="n">
        <v>44519.94440972222</v>
      </c>
      <c r="C1077" s="1" t="n">
        <v>46042</v>
      </c>
      <c r="D1077" t="inlineStr">
        <is>
          <t>JÄMTLANDS LÄN</t>
        </is>
      </c>
      <c r="E1077" t="inlineStr">
        <is>
          <t>RAGUNDA</t>
        </is>
      </c>
      <c r="F1077" t="inlineStr">
        <is>
          <t>SCA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55222-2024</t>
        </is>
      </c>
      <c r="B1078" s="1" t="n">
        <v>45621.57395833333</v>
      </c>
      <c r="C1078" s="1" t="n">
        <v>46042</v>
      </c>
      <c r="D1078" t="inlineStr">
        <is>
          <t>JÄMTLANDS LÄN</t>
        </is>
      </c>
      <c r="E1078" t="inlineStr">
        <is>
          <t>RAGUNDA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46211-2024</t>
        </is>
      </c>
      <c r="B1079" s="1" t="n">
        <v>45581.55260416667</v>
      </c>
      <c r="C1079" s="1" t="n">
        <v>46042</v>
      </c>
      <c r="D1079" t="inlineStr">
        <is>
          <t>JÄMTLANDS LÄN</t>
        </is>
      </c>
      <c r="E1079" t="inlineStr">
        <is>
          <t>RAGUNDA</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31435-2022</t>
        </is>
      </c>
      <c r="B1080" s="1" t="n">
        <v>44774</v>
      </c>
      <c r="C1080" s="1" t="n">
        <v>46042</v>
      </c>
      <c r="D1080" t="inlineStr">
        <is>
          <t>JÄMTLANDS LÄN</t>
        </is>
      </c>
      <c r="E1080" t="inlineStr">
        <is>
          <t>RAGUNDA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39608-2024</t>
        </is>
      </c>
      <c r="B1081" s="1" t="n">
        <v>45552.39113425926</v>
      </c>
      <c r="C1081" s="1" t="n">
        <v>46042</v>
      </c>
      <c r="D1081" t="inlineStr">
        <is>
          <t>JÄMTLANDS LÄN</t>
        </is>
      </c>
      <c r="E1081" t="inlineStr">
        <is>
          <t>RAGUNDA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39626-2024</t>
        </is>
      </c>
      <c r="B1082" s="1" t="n">
        <v>45552.44096064815</v>
      </c>
      <c r="C1082" s="1" t="n">
        <v>46042</v>
      </c>
      <c r="D1082" t="inlineStr">
        <is>
          <t>JÄMTLANDS LÄN</t>
        </is>
      </c>
      <c r="E1082" t="inlineStr">
        <is>
          <t>RAGUNDA</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56984-2022</t>
        </is>
      </c>
      <c r="B1083" s="1" t="n">
        <v>44894.79018518519</v>
      </c>
      <c r="C1083" s="1" t="n">
        <v>46042</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13264-2025</t>
        </is>
      </c>
      <c r="B1084" s="1" t="n">
        <v>45735</v>
      </c>
      <c r="C1084" s="1" t="n">
        <v>46042</v>
      </c>
      <c r="D1084" t="inlineStr">
        <is>
          <t>JÄMTLANDS LÄN</t>
        </is>
      </c>
      <c r="E1084" t="inlineStr">
        <is>
          <t>RAGUNDA</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5307-2025</t>
        </is>
      </c>
      <c r="B1085" s="1" t="n">
        <v>45692.48993055556</v>
      </c>
      <c r="C1085" s="1" t="n">
        <v>46042</v>
      </c>
      <c r="D1085" t="inlineStr">
        <is>
          <t>JÄMTLANDS LÄN</t>
        </is>
      </c>
      <c r="E1085" t="inlineStr">
        <is>
          <t>RAGUNDA</t>
        </is>
      </c>
      <c r="F1085" t="inlineStr">
        <is>
          <t>SCA</t>
        </is>
      </c>
      <c r="G1085" t="n">
        <v>20.9</v>
      </c>
      <c r="H1085" t="n">
        <v>0</v>
      </c>
      <c r="I1085" t="n">
        <v>0</v>
      </c>
      <c r="J1085" t="n">
        <v>0</v>
      </c>
      <c r="K1085" t="n">
        <v>0</v>
      </c>
      <c r="L1085" t="n">
        <v>0</v>
      </c>
      <c r="M1085" t="n">
        <v>0</v>
      </c>
      <c r="N1085" t="n">
        <v>0</v>
      </c>
      <c r="O1085" t="n">
        <v>0</v>
      </c>
      <c r="P1085" t="n">
        <v>0</v>
      </c>
      <c r="Q1085" t="n">
        <v>0</v>
      </c>
      <c r="R1085" s="2" t="inlineStr"/>
    </row>
    <row r="1086" ht="15" customHeight="1">
      <c r="A1086" t="inlineStr">
        <is>
          <t>A 38548-2024</t>
        </is>
      </c>
      <c r="B1086" s="1" t="n">
        <v>45546</v>
      </c>
      <c r="C1086" s="1" t="n">
        <v>46042</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2411-2023</t>
        </is>
      </c>
      <c r="B1087" s="1" t="n">
        <v>44942</v>
      </c>
      <c r="C1087" s="1" t="n">
        <v>46042</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13935-2024</t>
        </is>
      </c>
      <c r="B1088" s="1" t="n">
        <v>45391.95329861111</v>
      </c>
      <c r="C1088" s="1" t="n">
        <v>46042</v>
      </c>
      <c r="D1088" t="inlineStr">
        <is>
          <t>JÄMTLANDS LÄN</t>
        </is>
      </c>
      <c r="E1088" t="inlineStr">
        <is>
          <t>RAGUNDA</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5308-2025</t>
        </is>
      </c>
      <c r="B1089" s="1" t="n">
        <v>45692.49008101852</v>
      </c>
      <c r="C1089" s="1" t="n">
        <v>46042</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58194-2022</t>
        </is>
      </c>
      <c r="B1090" s="1" t="n">
        <v>44900</v>
      </c>
      <c r="C1090" s="1" t="n">
        <v>46042</v>
      </c>
      <c r="D1090" t="inlineStr">
        <is>
          <t>JÄMTLANDS LÄN</t>
        </is>
      </c>
      <c r="E1090" t="inlineStr">
        <is>
          <t>RAGUNDA</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24171-2021</t>
        </is>
      </c>
      <c r="B1091" s="1" t="n">
        <v>44336</v>
      </c>
      <c r="C1091" s="1" t="n">
        <v>46042</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58843-2024</t>
        </is>
      </c>
      <c r="B1092" s="1" t="n">
        <v>45636.38599537037</v>
      </c>
      <c r="C1092" s="1" t="n">
        <v>46042</v>
      </c>
      <c r="D1092" t="inlineStr">
        <is>
          <t>JÄMTLANDS LÄN</t>
        </is>
      </c>
      <c r="E1092" t="inlineStr">
        <is>
          <t>RAGUNDA</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53287-2022</t>
        </is>
      </c>
      <c r="B1093" s="1" t="n">
        <v>44876</v>
      </c>
      <c r="C1093" s="1" t="n">
        <v>46042</v>
      </c>
      <c r="D1093" t="inlineStr">
        <is>
          <t>JÄMTLANDS LÄN</t>
        </is>
      </c>
      <c r="E1093" t="inlineStr">
        <is>
          <t>RAGUNDA</t>
        </is>
      </c>
      <c r="F1093" t="inlineStr">
        <is>
          <t>SCA</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16320-2025</t>
        </is>
      </c>
      <c r="B1094" s="1" t="n">
        <v>45751.34859953704</v>
      </c>
      <c r="C1094" s="1" t="n">
        <v>46042</v>
      </c>
      <c r="D1094" t="inlineStr">
        <is>
          <t>JÄMTLANDS LÄN</t>
        </is>
      </c>
      <c r="E1094" t="inlineStr">
        <is>
          <t>RAGUNDA</t>
        </is>
      </c>
      <c r="F1094" t="inlineStr">
        <is>
          <t>SCA</t>
        </is>
      </c>
      <c r="G1094" t="n">
        <v>16.2</v>
      </c>
      <c r="H1094" t="n">
        <v>0</v>
      </c>
      <c r="I1094" t="n">
        <v>0</v>
      </c>
      <c r="J1094" t="n">
        <v>0</v>
      </c>
      <c r="K1094" t="n">
        <v>0</v>
      </c>
      <c r="L1094" t="n">
        <v>0</v>
      </c>
      <c r="M1094" t="n">
        <v>0</v>
      </c>
      <c r="N1094" t="n">
        <v>0</v>
      </c>
      <c r="O1094" t="n">
        <v>0</v>
      </c>
      <c r="P1094" t="n">
        <v>0</v>
      </c>
      <c r="Q1094" t="n">
        <v>0</v>
      </c>
      <c r="R1094" s="2" t="inlineStr"/>
    </row>
    <row r="1095" ht="15" customHeight="1">
      <c r="A1095" t="inlineStr">
        <is>
          <t>A 16321-2025</t>
        </is>
      </c>
      <c r="B1095" s="1" t="n">
        <v>45751.34873842593</v>
      </c>
      <c r="C1095" s="1" t="n">
        <v>46042</v>
      </c>
      <c r="D1095" t="inlineStr">
        <is>
          <t>JÄMTLANDS LÄN</t>
        </is>
      </c>
      <c r="E1095" t="inlineStr">
        <is>
          <t>RAGUNDA</t>
        </is>
      </c>
      <c r="F1095" t="inlineStr">
        <is>
          <t>SCA</t>
        </is>
      </c>
      <c r="G1095" t="n">
        <v>63.3</v>
      </c>
      <c r="H1095" t="n">
        <v>0</v>
      </c>
      <c r="I1095" t="n">
        <v>0</v>
      </c>
      <c r="J1095" t="n">
        <v>0</v>
      </c>
      <c r="K1095" t="n">
        <v>0</v>
      </c>
      <c r="L1095" t="n">
        <v>0</v>
      </c>
      <c r="M1095" t="n">
        <v>0</v>
      </c>
      <c r="N1095" t="n">
        <v>0</v>
      </c>
      <c r="O1095" t="n">
        <v>0</v>
      </c>
      <c r="P1095" t="n">
        <v>0</v>
      </c>
      <c r="Q1095" t="n">
        <v>0</v>
      </c>
      <c r="R1095" s="2" t="inlineStr"/>
    </row>
    <row r="1096" ht="15" customHeight="1">
      <c r="A1096" t="inlineStr">
        <is>
          <t>A 14696-2022</t>
        </is>
      </c>
      <c r="B1096" s="1" t="n">
        <v>44655</v>
      </c>
      <c r="C1096" s="1" t="n">
        <v>46042</v>
      </c>
      <c r="D1096" t="inlineStr">
        <is>
          <t>JÄMTLANDS LÄN</t>
        </is>
      </c>
      <c r="E1096" t="inlineStr">
        <is>
          <t>RAGUNDA</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55514-2024</t>
        </is>
      </c>
      <c r="B1097" s="1" t="n">
        <v>45622.46910879629</v>
      </c>
      <c r="C1097" s="1" t="n">
        <v>46042</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18375-2022</t>
        </is>
      </c>
      <c r="B1098" s="1" t="n">
        <v>44685</v>
      </c>
      <c r="C1098" s="1" t="n">
        <v>46042</v>
      </c>
      <c r="D1098" t="inlineStr">
        <is>
          <t>JÄMTLANDS LÄN</t>
        </is>
      </c>
      <c r="E1098" t="inlineStr">
        <is>
          <t>RAGUNDA</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17248-2023</t>
        </is>
      </c>
      <c r="B1099" s="1" t="n">
        <v>45033</v>
      </c>
      <c r="C1099" s="1" t="n">
        <v>46042</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62011-2022</t>
        </is>
      </c>
      <c r="B1100" s="1" t="n">
        <v>44914</v>
      </c>
      <c r="C1100" s="1" t="n">
        <v>46042</v>
      </c>
      <c r="D1100" t="inlineStr">
        <is>
          <t>JÄMTLANDS LÄN</t>
        </is>
      </c>
      <c r="E1100" t="inlineStr">
        <is>
          <t>RAGUNDA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11557-2023</t>
        </is>
      </c>
      <c r="B1101" s="1" t="n">
        <v>44993.94950231481</v>
      </c>
      <c r="C1101" s="1" t="n">
        <v>46042</v>
      </c>
      <c r="D1101" t="inlineStr">
        <is>
          <t>JÄMTLANDS LÄN</t>
        </is>
      </c>
      <c r="E1101" t="inlineStr">
        <is>
          <t>RAGUNDA</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11562-2023</t>
        </is>
      </c>
      <c r="B1102" s="1" t="n">
        <v>44993</v>
      </c>
      <c r="C1102" s="1" t="n">
        <v>46042</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22131-2021</t>
        </is>
      </c>
      <c r="B1103" s="1" t="n">
        <v>44323</v>
      </c>
      <c r="C1103" s="1" t="n">
        <v>46042</v>
      </c>
      <c r="D1103" t="inlineStr">
        <is>
          <t>JÄMTLANDS LÄN</t>
        </is>
      </c>
      <c r="E1103" t="inlineStr">
        <is>
          <t>RAGUNDA</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5971-2025</t>
        </is>
      </c>
      <c r="B1104" s="1" t="n">
        <v>45695.51070601852</v>
      </c>
      <c r="C1104" s="1" t="n">
        <v>46042</v>
      </c>
      <c r="D1104" t="inlineStr">
        <is>
          <t>JÄMTLANDS LÄN</t>
        </is>
      </c>
      <c r="E1104" t="inlineStr">
        <is>
          <t>RAGUNDA</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30563-2023</t>
        </is>
      </c>
      <c r="B1105" s="1" t="n">
        <v>45111.92793981481</v>
      </c>
      <c r="C1105" s="1" t="n">
        <v>46042</v>
      </c>
      <c r="D1105" t="inlineStr">
        <is>
          <t>JÄMTLANDS LÄN</t>
        </is>
      </c>
      <c r="E1105" t="inlineStr">
        <is>
          <t>RAGUNDA</t>
        </is>
      </c>
      <c r="F1105" t="inlineStr">
        <is>
          <t>Övriga Aktiebolag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36212-2023</t>
        </is>
      </c>
      <c r="B1106" s="1" t="n">
        <v>45149.95241898148</v>
      </c>
      <c r="C1106" s="1" t="n">
        <v>46042</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12768-2022</t>
        </is>
      </c>
      <c r="B1107" s="1" t="n">
        <v>44641</v>
      </c>
      <c r="C1107" s="1" t="n">
        <v>46042</v>
      </c>
      <c r="D1107" t="inlineStr">
        <is>
          <t>JÄMTLANDS LÄN</t>
        </is>
      </c>
      <c r="E1107" t="inlineStr">
        <is>
          <t>RAGUNDA</t>
        </is>
      </c>
      <c r="F1107" t="inlineStr">
        <is>
          <t>SCA</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12773-2022</t>
        </is>
      </c>
      <c r="B1108" s="1" t="n">
        <v>44641</v>
      </c>
      <c r="C1108" s="1" t="n">
        <v>46042</v>
      </c>
      <c r="D1108" t="inlineStr">
        <is>
          <t>JÄMTLANDS LÄN</t>
        </is>
      </c>
      <c r="E1108" t="inlineStr">
        <is>
          <t>RAGUNDA</t>
        </is>
      </c>
      <c r="F1108" t="inlineStr">
        <is>
          <t>SCA</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5067-2024</t>
        </is>
      </c>
      <c r="B1109" s="1" t="n">
        <v>45329.95806712963</v>
      </c>
      <c r="C1109" s="1" t="n">
        <v>46042</v>
      </c>
      <c r="D1109" t="inlineStr">
        <is>
          <t>JÄMTLANDS LÄN</t>
        </is>
      </c>
      <c r="E1109" t="inlineStr">
        <is>
          <t>RAGUNDA</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14905-2022</t>
        </is>
      </c>
      <c r="B1110" s="1" t="n">
        <v>44656.94708333333</v>
      </c>
      <c r="C1110" s="1" t="n">
        <v>46042</v>
      </c>
      <c r="D1110" t="inlineStr">
        <is>
          <t>JÄMTLANDS LÄN</t>
        </is>
      </c>
      <c r="E1110" t="inlineStr">
        <is>
          <t>RAGUNDA</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29766-2023</t>
        </is>
      </c>
      <c r="B1111" s="1" t="n">
        <v>45098</v>
      </c>
      <c r="C1111" s="1" t="n">
        <v>46042</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61107-2024</t>
        </is>
      </c>
      <c r="B1112" s="1" t="n">
        <v>45645.55665509259</v>
      </c>
      <c r="C1112" s="1" t="n">
        <v>46042</v>
      </c>
      <c r="D1112" t="inlineStr">
        <is>
          <t>JÄMTLANDS LÄN</t>
        </is>
      </c>
      <c r="E1112" t="inlineStr">
        <is>
          <t>RAGUNDA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23287-2024</t>
        </is>
      </c>
      <c r="B1113" s="1" t="n">
        <v>45453.42041666667</v>
      </c>
      <c r="C1113" s="1" t="n">
        <v>46042</v>
      </c>
      <c r="D1113" t="inlineStr">
        <is>
          <t>JÄMTLANDS LÄN</t>
        </is>
      </c>
      <c r="E1113" t="inlineStr">
        <is>
          <t>RAGUNDA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36922-2022</t>
        </is>
      </c>
      <c r="B1114" s="1" t="n">
        <v>44805.94592592592</v>
      </c>
      <c r="C1114" s="1" t="n">
        <v>46042</v>
      </c>
      <c r="D1114" t="inlineStr">
        <is>
          <t>JÄMTLANDS LÄN</t>
        </is>
      </c>
      <c r="E1114" t="inlineStr">
        <is>
          <t>RAGUNDA</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46042</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34483-2023</t>
        </is>
      </c>
      <c r="B1116" s="1" t="n">
        <v>45139.94681712963</v>
      </c>
      <c r="C1116" s="1" t="n">
        <v>46042</v>
      </c>
      <c r="D1116" t="inlineStr">
        <is>
          <t>JÄMTLANDS LÄN</t>
        </is>
      </c>
      <c r="E1116" t="inlineStr">
        <is>
          <t>RAGUNDA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22948-2024</t>
        </is>
      </c>
      <c r="B1117" s="1" t="n">
        <v>45448.94600694445</v>
      </c>
      <c r="C1117" s="1" t="n">
        <v>46042</v>
      </c>
      <c r="D1117" t="inlineStr">
        <is>
          <t>JÄMTLANDS LÄN</t>
        </is>
      </c>
      <c r="E1117" t="inlineStr">
        <is>
          <t>RAGUNDA</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23304-2023</t>
        </is>
      </c>
      <c r="B1118" s="1" t="n">
        <v>45075.945</v>
      </c>
      <c r="C1118" s="1" t="n">
        <v>46042</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36226-2023</t>
        </is>
      </c>
      <c r="B1119" s="1" t="n">
        <v>45149.95372685185</v>
      </c>
      <c r="C1119" s="1" t="n">
        <v>46042</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18615-2024</t>
        </is>
      </c>
      <c r="B1120" s="1" t="n">
        <v>45425.96275462963</v>
      </c>
      <c r="C1120" s="1" t="n">
        <v>46042</v>
      </c>
      <c r="D1120" t="inlineStr">
        <is>
          <t>JÄMTLANDS LÄN</t>
        </is>
      </c>
      <c r="E1120" t="inlineStr">
        <is>
          <t>RAGUNDA</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40269-2022</t>
        </is>
      </c>
      <c r="B1121" s="1" t="n">
        <v>44820</v>
      </c>
      <c r="C1121" s="1" t="n">
        <v>46042</v>
      </c>
      <c r="D1121" t="inlineStr">
        <is>
          <t>JÄMTLANDS LÄN</t>
        </is>
      </c>
      <c r="E1121" t="inlineStr">
        <is>
          <t>RAGUNDA</t>
        </is>
      </c>
      <c r="F1121" t="inlineStr">
        <is>
          <t>SCA</t>
        </is>
      </c>
      <c r="G1121" t="n">
        <v>77.8</v>
      </c>
      <c r="H1121" t="n">
        <v>0</v>
      </c>
      <c r="I1121" t="n">
        <v>0</v>
      </c>
      <c r="J1121" t="n">
        <v>0</v>
      </c>
      <c r="K1121" t="n">
        <v>0</v>
      </c>
      <c r="L1121" t="n">
        <v>0</v>
      </c>
      <c r="M1121" t="n">
        <v>0</v>
      </c>
      <c r="N1121" t="n">
        <v>0</v>
      </c>
      <c r="O1121" t="n">
        <v>0</v>
      </c>
      <c r="P1121" t="n">
        <v>0</v>
      </c>
      <c r="Q1121" t="n">
        <v>0</v>
      </c>
      <c r="R1121" s="2" t="inlineStr"/>
    </row>
    <row r="1122" ht="15" customHeight="1">
      <c r="A1122" t="inlineStr">
        <is>
          <t>A 37242-2024</t>
        </is>
      </c>
      <c r="B1122" s="1" t="n">
        <v>45540.34428240741</v>
      </c>
      <c r="C1122" s="1" t="n">
        <v>46042</v>
      </c>
      <c r="D1122" t="inlineStr">
        <is>
          <t>JÄMTLANDS LÄN</t>
        </is>
      </c>
      <c r="E1122" t="inlineStr">
        <is>
          <t>RAGUNDA</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45438-2022</t>
        </is>
      </c>
      <c r="B1123" s="1" t="n">
        <v>44844.95368055555</v>
      </c>
      <c r="C1123" s="1" t="n">
        <v>46042</v>
      </c>
      <c r="D1123" t="inlineStr">
        <is>
          <t>JÄMTLANDS LÄN</t>
        </is>
      </c>
      <c r="E1123" t="inlineStr">
        <is>
          <t>RAGUNDA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56191-2022</t>
        </is>
      </c>
      <c r="B1124" s="1" t="n">
        <v>44889.95015046297</v>
      </c>
      <c r="C1124" s="1" t="n">
        <v>46042</v>
      </c>
      <c r="D1124" t="inlineStr">
        <is>
          <t>JÄMTLANDS LÄN</t>
        </is>
      </c>
      <c r="E1124" t="inlineStr">
        <is>
          <t>RAGUNDA</t>
        </is>
      </c>
      <c r="F1124" t="inlineStr">
        <is>
          <t>Sveaskog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30823-2023</t>
        </is>
      </c>
      <c r="B1125" s="1" t="n">
        <v>45112</v>
      </c>
      <c r="C1125" s="1" t="n">
        <v>46042</v>
      </c>
      <c r="D1125" t="inlineStr">
        <is>
          <t>JÄMTLANDS LÄN</t>
        </is>
      </c>
      <c r="E1125" t="inlineStr">
        <is>
          <t>RAGUNDA</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43339-2024</t>
        </is>
      </c>
      <c r="B1126" s="1" t="n">
        <v>45568.51075231482</v>
      </c>
      <c r="C1126" s="1" t="n">
        <v>46042</v>
      </c>
      <c r="D1126" t="inlineStr">
        <is>
          <t>JÄMTLANDS LÄN</t>
        </is>
      </c>
      <c r="E1126" t="inlineStr">
        <is>
          <t>RAGUNDA</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43102-2023</t>
        </is>
      </c>
      <c r="B1127" s="1" t="n">
        <v>45182</v>
      </c>
      <c r="C1127" s="1" t="n">
        <v>46042</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9823-2025</t>
        </is>
      </c>
      <c r="B1128" s="1" t="n">
        <v>45716</v>
      </c>
      <c r="C1128" s="1" t="n">
        <v>46042</v>
      </c>
      <c r="D1128" t="inlineStr">
        <is>
          <t>JÄMTLANDS LÄN</t>
        </is>
      </c>
      <c r="E1128" t="inlineStr">
        <is>
          <t>RAGUNDA</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13917-2023</t>
        </is>
      </c>
      <c r="B1129" s="1" t="n">
        <v>45007</v>
      </c>
      <c r="C1129" s="1" t="n">
        <v>46042</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53019-2023</t>
        </is>
      </c>
      <c r="B1130" s="1" t="n">
        <v>45222</v>
      </c>
      <c r="C1130" s="1" t="n">
        <v>46042</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14212-2023</t>
        </is>
      </c>
      <c r="B1131" s="1" t="n">
        <v>45009</v>
      </c>
      <c r="C1131" s="1" t="n">
        <v>46042</v>
      </c>
      <c r="D1131" t="inlineStr">
        <is>
          <t>JÄMTLANDS LÄN</t>
        </is>
      </c>
      <c r="E1131" t="inlineStr">
        <is>
          <t>RAGUNDA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59996-2023</t>
        </is>
      </c>
      <c r="B1132" s="1" t="n">
        <v>45257.92826388889</v>
      </c>
      <c r="C1132" s="1" t="n">
        <v>46042</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44980-2023</t>
        </is>
      </c>
      <c r="B1133" s="1" t="n">
        <v>45190</v>
      </c>
      <c r="C1133" s="1" t="n">
        <v>46042</v>
      </c>
      <c r="D1133" t="inlineStr">
        <is>
          <t>JÄMTLANDS LÄN</t>
        </is>
      </c>
      <c r="E1133" t="inlineStr">
        <is>
          <t>RAGUNDA</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14076-2023</t>
        </is>
      </c>
      <c r="B1134" s="1" t="n">
        <v>45009.0897337963</v>
      </c>
      <c r="C1134" s="1" t="n">
        <v>46042</v>
      </c>
      <c r="D1134" t="inlineStr">
        <is>
          <t>JÄMTLANDS LÄN</t>
        </is>
      </c>
      <c r="E1134" t="inlineStr">
        <is>
          <t>RAGUNDA</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12805-2025</t>
        </is>
      </c>
      <c r="B1135" s="1" t="n">
        <v>45733.61497685185</v>
      </c>
      <c r="C1135" s="1" t="n">
        <v>46042</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12808-2025</t>
        </is>
      </c>
      <c r="B1136" s="1" t="n">
        <v>45733.61554398148</v>
      </c>
      <c r="C1136" s="1" t="n">
        <v>46042</v>
      </c>
      <c r="D1136" t="inlineStr">
        <is>
          <t>JÄMTLANDS LÄN</t>
        </is>
      </c>
      <c r="E1136" t="inlineStr">
        <is>
          <t>RAGUNDA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4615-2023</t>
        </is>
      </c>
      <c r="B1137" s="1" t="n">
        <v>44956.93924768519</v>
      </c>
      <c r="C1137" s="1" t="n">
        <v>46042</v>
      </c>
      <c r="D1137" t="inlineStr">
        <is>
          <t>JÄMTLANDS LÄN</t>
        </is>
      </c>
      <c r="E1137" t="inlineStr">
        <is>
          <t>RAGUNDA</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5938-2025</t>
        </is>
      </c>
      <c r="B1138" s="1" t="n">
        <v>45695.45868055556</v>
      </c>
      <c r="C1138" s="1" t="n">
        <v>46042</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4125-2024</t>
        </is>
      </c>
      <c r="B1139" s="1" t="n">
        <v>45323</v>
      </c>
      <c r="C1139" s="1" t="n">
        <v>46042</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53549-2024</t>
        </is>
      </c>
      <c r="B1140" s="1" t="n">
        <v>45614.63869212963</v>
      </c>
      <c r="C1140" s="1" t="n">
        <v>46042</v>
      </c>
      <c r="D1140" t="inlineStr">
        <is>
          <t>JÄMTLANDS LÄN</t>
        </is>
      </c>
      <c r="E1140" t="inlineStr">
        <is>
          <t>RAGUNDA</t>
        </is>
      </c>
      <c r="F1140" t="inlineStr">
        <is>
          <t>Kyrkan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7284-2025</t>
        </is>
      </c>
      <c r="B1141" s="1" t="n">
        <v>45702.63604166666</v>
      </c>
      <c r="C1141" s="1" t="n">
        <v>46042</v>
      </c>
      <c r="D1141" t="inlineStr">
        <is>
          <t>JÄMTLANDS LÄN</t>
        </is>
      </c>
      <c r="E1141" t="inlineStr">
        <is>
          <t>RAGUNDA</t>
        </is>
      </c>
      <c r="F1141" t="inlineStr">
        <is>
          <t>SCA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31506-2024</t>
        </is>
      </c>
      <c r="B1142" s="1" t="n">
        <v>45505</v>
      </c>
      <c r="C1142" s="1" t="n">
        <v>46042</v>
      </c>
      <c r="D1142" t="inlineStr">
        <is>
          <t>JÄMTLANDS LÄN</t>
        </is>
      </c>
      <c r="E1142" t="inlineStr">
        <is>
          <t>RAGUNDA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19382-2025</t>
        </is>
      </c>
      <c r="B1143" s="1" t="n">
        <v>45769.65659722222</v>
      </c>
      <c r="C1143" s="1" t="n">
        <v>46042</v>
      </c>
      <c r="D1143" t="inlineStr">
        <is>
          <t>JÄMTLANDS LÄN</t>
        </is>
      </c>
      <c r="E1143" t="inlineStr">
        <is>
          <t>RAGUNDA</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37479-2023</t>
        </is>
      </c>
      <c r="B1144" s="1" t="n">
        <v>45156</v>
      </c>
      <c r="C1144" s="1" t="n">
        <v>46042</v>
      </c>
      <c r="D1144" t="inlineStr">
        <is>
          <t>JÄMTLANDS LÄN</t>
        </is>
      </c>
      <c r="E1144" t="inlineStr">
        <is>
          <t>RAGUNDA</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5958-2021</t>
        </is>
      </c>
      <c r="B1145" s="1" t="n">
        <v>44231</v>
      </c>
      <c r="C1145" s="1" t="n">
        <v>46042</v>
      </c>
      <c r="D1145" t="inlineStr">
        <is>
          <t>JÄMTLANDS LÄN</t>
        </is>
      </c>
      <c r="E1145" t="inlineStr">
        <is>
          <t>RAGUNDA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4866-2025</t>
        </is>
      </c>
      <c r="B1146" s="1" t="n">
        <v>45688.67542824074</v>
      </c>
      <c r="C1146" s="1" t="n">
        <v>46042</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11780-2024</t>
        </is>
      </c>
      <c r="B1147" s="1" t="n">
        <v>45374</v>
      </c>
      <c r="C1147" s="1" t="n">
        <v>46042</v>
      </c>
      <c r="D1147" t="inlineStr">
        <is>
          <t>JÄMTLANDS LÄN</t>
        </is>
      </c>
      <c r="E1147" t="inlineStr">
        <is>
          <t>RAGUNDA</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11288-2022</t>
        </is>
      </c>
      <c r="B1148" s="1" t="n">
        <v>44629</v>
      </c>
      <c r="C1148" s="1" t="n">
        <v>46042</v>
      </c>
      <c r="D1148" t="inlineStr">
        <is>
          <t>JÄMTLANDS LÄN</t>
        </is>
      </c>
      <c r="E1148" t="inlineStr">
        <is>
          <t>RAGUNDA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18984-2023</t>
        </is>
      </c>
      <c r="B1149" s="1" t="n">
        <v>45044</v>
      </c>
      <c r="C1149" s="1" t="n">
        <v>46042</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66011-2021</t>
        </is>
      </c>
      <c r="B1150" s="1" t="n">
        <v>44517.58137731482</v>
      </c>
      <c r="C1150" s="1" t="n">
        <v>46042</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42509-2023</t>
        </is>
      </c>
      <c r="B1151" s="1" t="n">
        <v>45180</v>
      </c>
      <c r="C1151" s="1" t="n">
        <v>46042</v>
      </c>
      <c r="D1151" t="inlineStr">
        <is>
          <t>JÄMTLANDS LÄN</t>
        </is>
      </c>
      <c r="E1151" t="inlineStr">
        <is>
          <t>RAGUNDA</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33615-2023</t>
        </is>
      </c>
      <c r="B1152" s="1" t="n">
        <v>45119</v>
      </c>
      <c r="C1152" s="1" t="n">
        <v>46042</v>
      </c>
      <c r="D1152" t="inlineStr">
        <is>
          <t>JÄMTLANDS LÄN</t>
        </is>
      </c>
      <c r="E1152" t="inlineStr">
        <is>
          <t>RAGUNDA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42510-2023</t>
        </is>
      </c>
      <c r="B1153" s="1" t="n">
        <v>45180.95927083334</v>
      </c>
      <c r="C1153" s="1" t="n">
        <v>46042</v>
      </c>
      <c r="D1153" t="inlineStr">
        <is>
          <t>JÄMTLANDS LÄN</t>
        </is>
      </c>
      <c r="E1153" t="inlineStr">
        <is>
          <t>RAGUNDA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53860-2023</t>
        </is>
      </c>
      <c r="B1154" s="1" t="n">
        <v>45224</v>
      </c>
      <c r="C1154" s="1" t="n">
        <v>46042</v>
      </c>
      <c r="D1154" t="inlineStr">
        <is>
          <t>JÄMTLANDS LÄN</t>
        </is>
      </c>
      <c r="E1154" t="inlineStr">
        <is>
          <t>RAGUNDA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12039-2023</t>
        </is>
      </c>
      <c r="B1155" s="1" t="n">
        <v>44995.98341435185</v>
      </c>
      <c r="C1155" s="1" t="n">
        <v>46042</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45093.92207175926</v>
      </c>
      <c r="C1156" s="1" t="n">
        <v>46042</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13302-2022</t>
        </is>
      </c>
      <c r="B1157" s="1" t="n">
        <v>44644</v>
      </c>
      <c r="C1157" s="1" t="n">
        <v>46042</v>
      </c>
      <c r="D1157" t="inlineStr">
        <is>
          <t>JÄMTLANDS LÄN</t>
        </is>
      </c>
      <c r="E1157" t="inlineStr">
        <is>
          <t>RAGUNDA</t>
        </is>
      </c>
      <c r="F1157" t="inlineStr">
        <is>
          <t>SCA</t>
        </is>
      </c>
      <c r="G1157" t="n">
        <v>35.6</v>
      </c>
      <c r="H1157" t="n">
        <v>0</v>
      </c>
      <c r="I1157" t="n">
        <v>0</v>
      </c>
      <c r="J1157" t="n">
        <v>0</v>
      </c>
      <c r="K1157" t="n">
        <v>0</v>
      </c>
      <c r="L1157" t="n">
        <v>0</v>
      </c>
      <c r="M1157" t="n">
        <v>0</v>
      </c>
      <c r="N1157" t="n">
        <v>0</v>
      </c>
      <c r="O1157" t="n">
        <v>0</v>
      </c>
      <c r="P1157" t="n">
        <v>0</v>
      </c>
      <c r="Q1157" t="n">
        <v>0</v>
      </c>
      <c r="R1157" s="2" t="inlineStr"/>
    </row>
    <row r="1158" ht="15" customHeight="1">
      <c r="A1158" t="inlineStr">
        <is>
          <t>A 26651-2024</t>
        </is>
      </c>
      <c r="B1158" s="1" t="n">
        <v>45469.94876157407</v>
      </c>
      <c r="C1158" s="1" t="n">
        <v>46042</v>
      </c>
      <c r="D1158" t="inlineStr">
        <is>
          <t>JÄMTLANDS LÄN</t>
        </is>
      </c>
      <c r="E1158" t="inlineStr">
        <is>
          <t>RAGUNDA</t>
        </is>
      </c>
      <c r="F1158" t="inlineStr">
        <is>
          <t>SCA</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40919-2024</t>
        </is>
      </c>
      <c r="B1159" s="1" t="n">
        <v>45558.63575231482</v>
      </c>
      <c r="C1159" s="1" t="n">
        <v>46042</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3186-2025</t>
        </is>
      </c>
      <c r="B1160" s="1" t="n">
        <v>45679.40362268518</v>
      </c>
      <c r="C1160" s="1" t="n">
        <v>46042</v>
      </c>
      <c r="D1160" t="inlineStr">
        <is>
          <t>JÄMTLANDS LÄN</t>
        </is>
      </c>
      <c r="E1160" t="inlineStr">
        <is>
          <t>RAGUNDA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465-2023</t>
        </is>
      </c>
      <c r="B1161" s="1" t="n">
        <v>44929</v>
      </c>
      <c r="C1161" s="1" t="n">
        <v>46042</v>
      </c>
      <c r="D1161" t="inlineStr">
        <is>
          <t>JÄMTLANDS LÄN</t>
        </is>
      </c>
      <c r="E1161" t="inlineStr">
        <is>
          <t>RAGUNDA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26455-2023</t>
        </is>
      </c>
      <c r="B1162" s="1" t="n">
        <v>45092</v>
      </c>
      <c r="C1162" s="1" t="n">
        <v>46042</v>
      </c>
      <c r="D1162" t="inlineStr">
        <is>
          <t>JÄMTLANDS LÄN</t>
        </is>
      </c>
      <c r="E1162" t="inlineStr">
        <is>
          <t>RAGUNDA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10639-2024</t>
        </is>
      </c>
      <c r="B1163" s="1" t="n">
        <v>45367.67256944445</v>
      </c>
      <c r="C1163" s="1" t="n">
        <v>46042</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2751-2024</t>
        </is>
      </c>
      <c r="B1164" s="1" t="n">
        <v>45314</v>
      </c>
      <c r="C1164" s="1" t="n">
        <v>46042</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36317-2024</t>
        </is>
      </c>
      <c r="B1165" s="1" t="n">
        <v>45534.63537037037</v>
      </c>
      <c r="C1165" s="1" t="n">
        <v>46042</v>
      </c>
      <c r="D1165" t="inlineStr">
        <is>
          <t>JÄMTLANDS LÄN</t>
        </is>
      </c>
      <c r="E1165" t="inlineStr">
        <is>
          <t>RAGUNDA</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18614-2024</t>
        </is>
      </c>
      <c r="B1166" s="1" t="n">
        <v>45425.96263888889</v>
      </c>
      <c r="C1166" s="1" t="n">
        <v>46042</v>
      </c>
      <c r="D1166" t="inlineStr">
        <is>
          <t>JÄMTLANDS LÄN</t>
        </is>
      </c>
      <c r="E1166" t="inlineStr">
        <is>
          <t>RAGUNDA</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8787-2022</t>
        </is>
      </c>
      <c r="B1167" s="1" t="n">
        <v>44614</v>
      </c>
      <c r="C1167" s="1" t="n">
        <v>46042</v>
      </c>
      <c r="D1167" t="inlineStr">
        <is>
          <t>JÄMTLANDS LÄN</t>
        </is>
      </c>
      <c r="E1167" t="inlineStr">
        <is>
          <t>RAGUNDA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5967-2021</t>
        </is>
      </c>
      <c r="B1168" s="1" t="n">
        <v>44231</v>
      </c>
      <c r="C1168" s="1" t="n">
        <v>46042</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50431-2024</t>
        </is>
      </c>
      <c r="B1169" s="1" t="n">
        <v>45601.40686342592</v>
      </c>
      <c r="C1169" s="1" t="n">
        <v>46042</v>
      </c>
      <c r="D1169" t="inlineStr">
        <is>
          <t>JÄMTLANDS LÄN</t>
        </is>
      </c>
      <c r="E1169" t="inlineStr">
        <is>
          <t>RAGUNDA</t>
        </is>
      </c>
      <c r="F1169" t="inlineStr">
        <is>
          <t>SCA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60936-2024</t>
        </is>
      </c>
      <c r="B1170" s="1" t="n">
        <v>45645.36743055555</v>
      </c>
      <c r="C1170" s="1" t="n">
        <v>46042</v>
      </c>
      <c r="D1170" t="inlineStr">
        <is>
          <t>JÄMTLANDS LÄN</t>
        </is>
      </c>
      <c r="E1170" t="inlineStr">
        <is>
          <t>RAGUNDA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4212-2024</t>
        </is>
      </c>
      <c r="B1171" s="1" t="n">
        <v>45324</v>
      </c>
      <c r="C1171" s="1" t="n">
        <v>46042</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9262-2025</t>
        </is>
      </c>
      <c r="B1172" s="1" t="n">
        <v>45714.60649305556</v>
      </c>
      <c r="C1172" s="1" t="n">
        <v>46042</v>
      </c>
      <c r="D1172" t="inlineStr">
        <is>
          <t>JÄMTLANDS LÄN</t>
        </is>
      </c>
      <c r="E1172" t="inlineStr">
        <is>
          <t>RAGUNDA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60012-2023</t>
        </is>
      </c>
      <c r="B1173" s="1" t="n">
        <v>45257</v>
      </c>
      <c r="C1173" s="1" t="n">
        <v>46042</v>
      </c>
      <c r="D1173" t="inlineStr">
        <is>
          <t>JÄMTLANDS LÄN</t>
        </is>
      </c>
      <c r="E1173" t="inlineStr">
        <is>
          <t>RAGUNDA</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53676-2022</t>
        </is>
      </c>
      <c r="B1174" s="1" t="n">
        <v>44879</v>
      </c>
      <c r="C1174" s="1" t="n">
        <v>46042</v>
      </c>
      <c r="D1174" t="inlineStr">
        <is>
          <t>JÄMTLANDS LÄN</t>
        </is>
      </c>
      <c r="E1174" t="inlineStr">
        <is>
          <t>RAGUNDA</t>
        </is>
      </c>
      <c r="F1174" t="inlineStr">
        <is>
          <t>Sveaskog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56504-2024</t>
        </is>
      </c>
      <c r="B1175" s="1" t="n">
        <v>45625.51068287037</v>
      </c>
      <c r="C1175" s="1" t="n">
        <v>46042</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934-2023</t>
        </is>
      </c>
      <c r="B1176" s="1" t="n">
        <v>44932.93927083333</v>
      </c>
      <c r="C1176" s="1" t="n">
        <v>46042</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36106-2022</t>
        </is>
      </c>
      <c r="B1177" s="1" t="n">
        <v>44802.94811342593</v>
      </c>
      <c r="C1177" s="1" t="n">
        <v>46042</v>
      </c>
      <c r="D1177" t="inlineStr">
        <is>
          <t>JÄMTLANDS LÄN</t>
        </is>
      </c>
      <c r="E1177" t="inlineStr">
        <is>
          <t>RAGUNDA</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57839-2022</t>
        </is>
      </c>
      <c r="B1178" s="1" t="n">
        <v>44897</v>
      </c>
      <c r="C1178" s="1" t="n">
        <v>46042</v>
      </c>
      <c r="D1178" t="inlineStr">
        <is>
          <t>JÄMTLANDS LÄN</t>
        </is>
      </c>
      <c r="E1178" t="inlineStr">
        <is>
          <t>RAGUNDA</t>
        </is>
      </c>
      <c r="F1178" t="inlineStr">
        <is>
          <t>SCA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41693-2023</t>
        </is>
      </c>
      <c r="B1179" s="1" t="n">
        <v>45176</v>
      </c>
      <c r="C1179" s="1" t="n">
        <v>46042</v>
      </c>
      <c r="D1179" t="inlineStr">
        <is>
          <t>JÄMTLANDS LÄN</t>
        </is>
      </c>
      <c r="E1179" t="inlineStr">
        <is>
          <t>RAGUNDA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53678-2022</t>
        </is>
      </c>
      <c r="B1180" s="1" t="n">
        <v>44879.95768518518</v>
      </c>
      <c r="C1180" s="1" t="n">
        <v>46042</v>
      </c>
      <c r="D1180" t="inlineStr">
        <is>
          <t>JÄMTLANDS LÄN</t>
        </is>
      </c>
      <c r="E1180" t="inlineStr">
        <is>
          <t>RAGUNDA</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23305-2023</t>
        </is>
      </c>
      <c r="B1181" s="1" t="n">
        <v>45075.94506944445</v>
      </c>
      <c r="C1181" s="1" t="n">
        <v>46042</v>
      </c>
      <c r="D1181" t="inlineStr">
        <is>
          <t>JÄMTLANDS LÄN</t>
        </is>
      </c>
      <c r="E1181" t="inlineStr">
        <is>
          <t>RAGUNDA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18194-2025</t>
        </is>
      </c>
      <c r="B1182" s="1" t="n">
        <v>45761.67744212963</v>
      </c>
      <c r="C1182" s="1" t="n">
        <v>46042</v>
      </c>
      <c r="D1182" t="inlineStr">
        <is>
          <t>JÄMTLANDS LÄN</t>
        </is>
      </c>
      <c r="E1182" t="inlineStr">
        <is>
          <t>RAGUNDA</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18225-2024</t>
        </is>
      </c>
      <c r="B1183" s="1" t="n">
        <v>45420</v>
      </c>
      <c r="C1183" s="1" t="n">
        <v>46042</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54764-2024</t>
        </is>
      </c>
      <c r="B1184" s="1" t="n">
        <v>45618.46921296296</v>
      </c>
      <c r="C1184" s="1" t="n">
        <v>46042</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32904-2024</t>
        </is>
      </c>
      <c r="B1185" s="1" t="n">
        <v>45516.94732638889</v>
      </c>
      <c r="C1185" s="1" t="n">
        <v>46042</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12976-2025</t>
        </is>
      </c>
      <c r="B1186" s="1" t="n">
        <v>45734.45268518518</v>
      </c>
      <c r="C1186" s="1" t="n">
        <v>46042</v>
      </c>
      <c r="D1186" t="inlineStr">
        <is>
          <t>JÄMTLANDS LÄN</t>
        </is>
      </c>
      <c r="E1186" t="inlineStr">
        <is>
          <t>RAGUNDA</t>
        </is>
      </c>
      <c r="G1186" t="n">
        <v>24.2</v>
      </c>
      <c r="H1186" t="n">
        <v>0</v>
      </c>
      <c r="I1186" t="n">
        <v>0</v>
      </c>
      <c r="J1186" t="n">
        <v>0</v>
      </c>
      <c r="K1186" t="n">
        <v>0</v>
      </c>
      <c r="L1186" t="n">
        <v>0</v>
      </c>
      <c r="M1186" t="n">
        <v>0</v>
      </c>
      <c r="N1186" t="n">
        <v>0</v>
      </c>
      <c r="O1186" t="n">
        <v>0</v>
      </c>
      <c r="P1186" t="n">
        <v>0</v>
      </c>
      <c r="Q1186" t="n">
        <v>0</v>
      </c>
      <c r="R1186" s="2" t="inlineStr"/>
    </row>
    <row r="1187" ht="15" customHeight="1">
      <c r="A1187" t="inlineStr">
        <is>
          <t>A 59286-2023</t>
        </is>
      </c>
      <c r="B1187" s="1" t="n">
        <v>45253</v>
      </c>
      <c r="C1187" s="1" t="n">
        <v>46042</v>
      </c>
      <c r="D1187" t="inlineStr">
        <is>
          <t>JÄMTLANDS LÄN</t>
        </is>
      </c>
      <c r="E1187" t="inlineStr">
        <is>
          <t>RAGUNDA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15672-2021</t>
        </is>
      </c>
      <c r="B1188" s="1" t="n">
        <v>44286</v>
      </c>
      <c r="C1188" s="1" t="n">
        <v>46042</v>
      </c>
      <c r="D1188" t="inlineStr">
        <is>
          <t>JÄMTLANDS LÄN</t>
        </is>
      </c>
      <c r="E1188" t="inlineStr">
        <is>
          <t>RAGUNDA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6688-2024</t>
        </is>
      </c>
      <c r="B1189" s="1" t="n">
        <v>45341</v>
      </c>
      <c r="C1189" s="1" t="n">
        <v>46042</v>
      </c>
      <c r="D1189" t="inlineStr">
        <is>
          <t>JÄMTLANDS LÄN</t>
        </is>
      </c>
      <c r="E1189" t="inlineStr">
        <is>
          <t>RAGUNDA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50650-2023</t>
        </is>
      </c>
      <c r="B1190" s="1" t="n">
        <v>45210</v>
      </c>
      <c r="C1190" s="1" t="n">
        <v>46042</v>
      </c>
      <c r="D1190" t="inlineStr">
        <is>
          <t>JÄMTLANDS LÄN</t>
        </is>
      </c>
      <c r="E1190" t="inlineStr">
        <is>
          <t>RAGUNDA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41344-2024</t>
        </is>
      </c>
      <c r="B1191" s="1" t="n">
        <v>45559.67759259259</v>
      </c>
      <c r="C1191" s="1" t="n">
        <v>46042</v>
      </c>
      <c r="D1191" t="inlineStr">
        <is>
          <t>JÄMTLANDS LÄN</t>
        </is>
      </c>
      <c r="E1191" t="inlineStr">
        <is>
          <t>RAGUNDA</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59670-2023</t>
        </is>
      </c>
      <c r="B1192" s="1" t="n">
        <v>45254.96516203704</v>
      </c>
      <c r="C1192" s="1" t="n">
        <v>46042</v>
      </c>
      <c r="D1192" t="inlineStr">
        <is>
          <t>JÄMTLANDS LÄN</t>
        </is>
      </c>
      <c r="E1192" t="inlineStr">
        <is>
          <t>RAGUNDA</t>
        </is>
      </c>
      <c r="F1192" t="inlineStr">
        <is>
          <t>SCA</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55508-2024</t>
        </is>
      </c>
      <c r="B1193" s="1" t="n">
        <v>45622.46200231482</v>
      </c>
      <c r="C1193" s="1" t="n">
        <v>46042</v>
      </c>
      <c r="D1193" t="inlineStr">
        <is>
          <t>JÄMTLANDS LÄN</t>
        </is>
      </c>
      <c r="E1193" t="inlineStr">
        <is>
          <t>RAGUNDA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59492-2024</t>
        </is>
      </c>
      <c r="B1194" s="1" t="n">
        <v>45638</v>
      </c>
      <c r="C1194" s="1" t="n">
        <v>46042</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20772-2024</t>
        </is>
      </c>
      <c r="B1195" s="1" t="n">
        <v>45436.94628472222</v>
      </c>
      <c r="C1195" s="1" t="n">
        <v>46042</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53757-2024</t>
        </is>
      </c>
      <c r="B1196" s="1" t="n">
        <v>45615.50034722222</v>
      </c>
      <c r="C1196" s="1" t="n">
        <v>46042</v>
      </c>
      <c r="D1196" t="inlineStr">
        <is>
          <t>JÄMTLANDS LÄN</t>
        </is>
      </c>
      <c r="E1196" t="inlineStr">
        <is>
          <t>RAGUNDA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6716-2025</t>
        </is>
      </c>
      <c r="B1197" s="1" t="n">
        <v>45700.57324074074</v>
      </c>
      <c r="C1197" s="1" t="n">
        <v>46042</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19866-2023</t>
        </is>
      </c>
      <c r="B1198" s="1" t="n">
        <v>45053.94313657407</v>
      </c>
      <c r="C1198" s="1" t="n">
        <v>46042</v>
      </c>
      <c r="D1198" t="inlineStr">
        <is>
          <t>JÄMTLANDS LÄN</t>
        </is>
      </c>
      <c r="E1198" t="inlineStr">
        <is>
          <t>RAGUNDA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21853-2024</t>
        </is>
      </c>
      <c r="B1199" s="1" t="n">
        <v>45442.96296296296</v>
      </c>
      <c r="C1199" s="1" t="n">
        <v>46042</v>
      </c>
      <c r="D1199" t="inlineStr">
        <is>
          <t>JÄMTLANDS LÄN</t>
        </is>
      </c>
      <c r="E1199" t="inlineStr">
        <is>
          <t>RAGUNDA</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8241-2024</t>
        </is>
      </c>
      <c r="B1200" s="1" t="n">
        <v>45351.98496527778</v>
      </c>
      <c r="C1200" s="1" t="n">
        <v>46042</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40365-2024</t>
        </is>
      </c>
      <c r="B1201" s="1" t="n">
        <v>45555.38509259259</v>
      </c>
      <c r="C1201" s="1" t="n">
        <v>46042</v>
      </c>
      <c r="D1201" t="inlineStr">
        <is>
          <t>JÄMTLANDS LÄN</t>
        </is>
      </c>
      <c r="E1201" t="inlineStr">
        <is>
          <t>RAGUNDA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20770-2024</t>
        </is>
      </c>
      <c r="B1202" s="1" t="n">
        <v>45436.94613425926</v>
      </c>
      <c r="C1202" s="1" t="n">
        <v>46042</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7281-2024</t>
        </is>
      </c>
      <c r="B1203" s="1" t="n">
        <v>45344</v>
      </c>
      <c r="C1203" s="1" t="n">
        <v>46042</v>
      </c>
      <c r="D1203" t="inlineStr">
        <is>
          <t>JÄMTLANDS LÄN</t>
        </is>
      </c>
      <c r="E1203" t="inlineStr">
        <is>
          <t>RAGUNDA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7284-2024</t>
        </is>
      </c>
      <c r="B1204" s="1" t="n">
        <v>45344.92865740741</v>
      </c>
      <c r="C1204" s="1" t="n">
        <v>46042</v>
      </c>
      <c r="D1204" t="inlineStr">
        <is>
          <t>JÄMTLANDS LÄN</t>
        </is>
      </c>
      <c r="E1204" t="inlineStr">
        <is>
          <t>RAGUNDA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7285-2024</t>
        </is>
      </c>
      <c r="B1205" s="1" t="n">
        <v>45344.92873842592</v>
      </c>
      <c r="C1205" s="1" t="n">
        <v>46042</v>
      </c>
      <c r="D1205" t="inlineStr">
        <is>
          <t>JÄMTLANDS LÄN</t>
        </is>
      </c>
      <c r="E1205" t="inlineStr">
        <is>
          <t>RAGUNDA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53347-2023</t>
        </is>
      </c>
      <c r="B1206" s="1" t="n">
        <v>45223</v>
      </c>
      <c r="C1206" s="1" t="n">
        <v>46042</v>
      </c>
      <c r="D1206" t="inlineStr">
        <is>
          <t>JÄMTLANDS LÄN</t>
        </is>
      </c>
      <c r="E1206" t="inlineStr">
        <is>
          <t>RAGUNDA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60838-2023</t>
        </is>
      </c>
      <c r="B1207" s="1" t="n">
        <v>45260.92561342593</v>
      </c>
      <c r="C1207" s="1" t="n">
        <v>46042</v>
      </c>
      <c r="D1207" t="inlineStr">
        <is>
          <t>JÄMTLANDS LÄN</t>
        </is>
      </c>
      <c r="E1207" t="inlineStr">
        <is>
          <t>RAGUNDA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9548-2025</t>
        </is>
      </c>
      <c r="B1208" s="1" t="n">
        <v>45715.59405092592</v>
      </c>
      <c r="C1208" s="1" t="n">
        <v>46042</v>
      </c>
      <c r="D1208" t="inlineStr">
        <is>
          <t>JÄMTLANDS LÄN</t>
        </is>
      </c>
      <c r="E1208" t="inlineStr">
        <is>
          <t>RAGUNDA</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53989-2024</t>
        </is>
      </c>
      <c r="B1209" s="1" t="n">
        <v>45616.34479166667</v>
      </c>
      <c r="C1209" s="1" t="n">
        <v>46042</v>
      </c>
      <c r="D1209" t="inlineStr">
        <is>
          <t>JÄMTLANDS LÄN</t>
        </is>
      </c>
      <c r="E1209" t="inlineStr">
        <is>
          <t>RAGUNDA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15581-2024</t>
        </is>
      </c>
      <c r="B1210" s="1" t="n">
        <v>45401</v>
      </c>
      <c r="C1210" s="1" t="n">
        <v>46042</v>
      </c>
      <c r="D1210" t="inlineStr">
        <is>
          <t>JÄMTLANDS LÄN</t>
        </is>
      </c>
      <c r="E1210" t="inlineStr">
        <is>
          <t>RAGUNDA</t>
        </is>
      </c>
      <c r="F1210" t="inlineStr">
        <is>
          <t>Kommuner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15611-2024</t>
        </is>
      </c>
      <c r="B1211" s="1" t="n">
        <v>45401</v>
      </c>
      <c r="C1211" s="1" t="n">
        <v>46042</v>
      </c>
      <c r="D1211" t="inlineStr">
        <is>
          <t>JÄMTLANDS LÄN</t>
        </is>
      </c>
      <c r="E1211" t="inlineStr">
        <is>
          <t>RAGUNDA</t>
        </is>
      </c>
      <c r="F1211" t="inlineStr">
        <is>
          <t>SCA</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23528-2024</t>
        </is>
      </c>
      <c r="B1212" s="1" t="n">
        <v>45453.95016203704</v>
      </c>
      <c r="C1212" s="1" t="n">
        <v>46042</v>
      </c>
      <c r="D1212" t="inlineStr">
        <is>
          <t>JÄMTLANDS LÄN</t>
        </is>
      </c>
      <c r="E1212" t="inlineStr">
        <is>
          <t>RAGUNDA</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4594-2024</t>
        </is>
      </c>
      <c r="B1213" s="1" t="n">
        <v>45327.94459490741</v>
      </c>
      <c r="C1213" s="1" t="n">
        <v>46042</v>
      </c>
      <c r="D1213" t="inlineStr">
        <is>
          <t>JÄMTLANDS LÄN</t>
        </is>
      </c>
      <c r="E1213" t="inlineStr">
        <is>
          <t>RAGUNDA</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30824-2023</t>
        </is>
      </c>
      <c r="B1214" s="1" t="n">
        <v>45112.94303240741</v>
      </c>
      <c r="C1214" s="1" t="n">
        <v>46042</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16635-2025</t>
        </is>
      </c>
      <c r="B1215" s="1" t="n">
        <v>45754</v>
      </c>
      <c r="C1215" s="1" t="n">
        <v>46042</v>
      </c>
      <c r="D1215" t="inlineStr">
        <is>
          <t>JÄMTLANDS LÄN</t>
        </is>
      </c>
      <c r="E1215" t="inlineStr">
        <is>
          <t>RAGUNDA</t>
        </is>
      </c>
      <c r="F1215" t="inlineStr">
        <is>
          <t>SCA</t>
        </is>
      </c>
      <c r="G1215" t="n">
        <v>55.4</v>
      </c>
      <c r="H1215" t="n">
        <v>0</v>
      </c>
      <c r="I1215" t="n">
        <v>0</v>
      </c>
      <c r="J1215" t="n">
        <v>0</v>
      </c>
      <c r="K1215" t="n">
        <v>0</v>
      </c>
      <c r="L1215" t="n">
        <v>0</v>
      </c>
      <c r="M1215" t="n">
        <v>0</v>
      </c>
      <c r="N1215" t="n">
        <v>0</v>
      </c>
      <c r="O1215" t="n">
        <v>0</v>
      </c>
      <c r="P1215" t="n">
        <v>0</v>
      </c>
      <c r="Q1215" t="n">
        <v>0</v>
      </c>
      <c r="R1215" s="2" t="inlineStr"/>
    </row>
    <row r="1216" ht="15" customHeight="1">
      <c r="A1216" t="inlineStr">
        <is>
          <t>A 4014-2022</t>
        </is>
      </c>
      <c r="B1216" s="1" t="n">
        <v>44587.92144675926</v>
      </c>
      <c r="C1216" s="1" t="n">
        <v>46042</v>
      </c>
      <c r="D1216" t="inlineStr">
        <is>
          <t>JÄMTLANDS LÄN</t>
        </is>
      </c>
      <c r="E1216" t="inlineStr">
        <is>
          <t>RAGUNDA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1554-2024</t>
        </is>
      </c>
      <c r="B1217" s="1" t="n">
        <v>45306</v>
      </c>
      <c r="C1217" s="1" t="n">
        <v>46042</v>
      </c>
      <c r="D1217" t="inlineStr">
        <is>
          <t>JÄMTLANDS LÄN</t>
        </is>
      </c>
      <c r="E1217" t="inlineStr">
        <is>
          <t>RAGUNDA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38782-2021</t>
        </is>
      </c>
      <c r="B1218" s="1" t="n">
        <v>44410</v>
      </c>
      <c r="C1218" s="1" t="n">
        <v>46042</v>
      </c>
      <c r="D1218" t="inlineStr">
        <is>
          <t>JÄMTLANDS LÄN</t>
        </is>
      </c>
      <c r="E1218" t="inlineStr">
        <is>
          <t>RAGUNDA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20728-2025</t>
        </is>
      </c>
      <c r="B1219" s="1" t="n">
        <v>45776.51130787037</v>
      </c>
      <c r="C1219" s="1" t="n">
        <v>46042</v>
      </c>
      <c r="D1219" t="inlineStr">
        <is>
          <t>JÄMTLANDS LÄN</t>
        </is>
      </c>
      <c r="E1219" t="inlineStr">
        <is>
          <t>RAGUNDA</t>
        </is>
      </c>
      <c r="F1219" t="inlineStr">
        <is>
          <t>Kommuner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20653-2025</t>
        </is>
      </c>
      <c r="B1220" s="1" t="n">
        <v>45776.40311342593</v>
      </c>
      <c r="C1220" s="1" t="n">
        <v>46042</v>
      </c>
      <c r="D1220" t="inlineStr">
        <is>
          <t>JÄMTLANDS LÄN</t>
        </is>
      </c>
      <c r="E1220" t="inlineStr">
        <is>
          <t>RAGUNDA</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20722-2025</t>
        </is>
      </c>
      <c r="B1221" s="1" t="n">
        <v>45776.50651620371</v>
      </c>
      <c r="C1221" s="1" t="n">
        <v>46042</v>
      </c>
      <c r="D1221" t="inlineStr">
        <is>
          <t>JÄMTLANDS LÄN</t>
        </is>
      </c>
      <c r="E1221" t="inlineStr">
        <is>
          <t>RAGUNDA</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20777-2025</t>
        </is>
      </c>
      <c r="B1222" s="1" t="n">
        <v>45776.59422453704</v>
      </c>
      <c r="C1222" s="1" t="n">
        <v>46042</v>
      </c>
      <c r="D1222" t="inlineStr">
        <is>
          <t>JÄMTLANDS LÄN</t>
        </is>
      </c>
      <c r="E1222" t="inlineStr">
        <is>
          <t>RAGUNDA</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21150-2025</t>
        </is>
      </c>
      <c r="B1223" s="1" t="n">
        <v>45779.34417824074</v>
      </c>
      <c r="C1223" s="1" t="n">
        <v>46042</v>
      </c>
      <c r="D1223" t="inlineStr">
        <is>
          <t>JÄMTLANDS LÄN</t>
        </is>
      </c>
      <c r="E1223" t="inlineStr">
        <is>
          <t>RAGUNDA</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21214-2025</t>
        </is>
      </c>
      <c r="B1224" s="1" t="n">
        <v>45779.49025462963</v>
      </c>
      <c r="C1224" s="1" t="n">
        <v>46042</v>
      </c>
      <c r="D1224" t="inlineStr">
        <is>
          <t>JÄMTLANDS LÄN</t>
        </is>
      </c>
      <c r="E1224" t="inlineStr">
        <is>
          <t>RAGUNDA</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22941-2024</t>
        </is>
      </c>
      <c r="B1225" s="1" t="n">
        <v>45448.94520833333</v>
      </c>
      <c r="C1225" s="1" t="n">
        <v>46042</v>
      </c>
      <c r="D1225" t="inlineStr">
        <is>
          <t>JÄMTLANDS LÄN</t>
        </is>
      </c>
      <c r="E1225" t="inlineStr">
        <is>
          <t>RAGUNDA</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21430-2025</t>
        </is>
      </c>
      <c r="B1226" s="1" t="n">
        <v>45782.51099537037</v>
      </c>
      <c r="C1226" s="1" t="n">
        <v>46042</v>
      </c>
      <c r="D1226" t="inlineStr">
        <is>
          <t>JÄMTLANDS LÄN</t>
        </is>
      </c>
      <c r="E1226" t="inlineStr">
        <is>
          <t>RAGUNDA</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44881-2023</t>
        </is>
      </c>
      <c r="B1227" s="1" t="n">
        <v>45187</v>
      </c>
      <c r="C1227" s="1" t="n">
        <v>46042</v>
      </c>
      <c r="D1227" t="inlineStr">
        <is>
          <t>JÄMTLANDS LÄN</t>
        </is>
      </c>
      <c r="E1227" t="inlineStr">
        <is>
          <t>RAGUNDA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21451-2025</t>
        </is>
      </c>
      <c r="B1228" s="1" t="n">
        <v>45782.55287037037</v>
      </c>
      <c r="C1228" s="1" t="n">
        <v>46042</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21432-2025</t>
        </is>
      </c>
      <c r="B1229" s="1" t="n">
        <v>45782.51109953703</v>
      </c>
      <c r="C1229" s="1" t="n">
        <v>46042</v>
      </c>
      <c r="D1229" t="inlineStr">
        <is>
          <t>JÄMTLANDS LÄN</t>
        </is>
      </c>
      <c r="E1229" t="inlineStr">
        <is>
          <t>RAGUNDA</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21331-2025</t>
        </is>
      </c>
      <c r="B1230" s="1" t="n">
        <v>45782.36494212963</v>
      </c>
      <c r="C1230" s="1" t="n">
        <v>46042</v>
      </c>
      <c r="D1230" t="inlineStr">
        <is>
          <t>JÄMTLANDS LÄN</t>
        </is>
      </c>
      <c r="E1230" t="inlineStr">
        <is>
          <t>RAGUNDA</t>
        </is>
      </c>
      <c r="F1230" t="inlineStr">
        <is>
          <t>SCA</t>
        </is>
      </c>
      <c r="G1230" t="n">
        <v>23.1</v>
      </c>
      <c r="H1230" t="n">
        <v>0</v>
      </c>
      <c r="I1230" t="n">
        <v>0</v>
      </c>
      <c r="J1230" t="n">
        <v>0</v>
      </c>
      <c r="K1230" t="n">
        <v>0</v>
      </c>
      <c r="L1230" t="n">
        <v>0</v>
      </c>
      <c r="M1230" t="n">
        <v>0</v>
      </c>
      <c r="N1230" t="n">
        <v>0</v>
      </c>
      <c r="O1230" t="n">
        <v>0</v>
      </c>
      <c r="P1230" t="n">
        <v>0</v>
      </c>
      <c r="Q1230" t="n">
        <v>0</v>
      </c>
      <c r="R1230" s="2" t="inlineStr"/>
      <c r="U1230">
        <f>HYPERLINK("https://klasma.github.io/Logging_2303/knärot/A 21331-2025 karta knärot.png", "A 21331-2025")</f>
        <v/>
      </c>
      <c r="V1230">
        <f>HYPERLINK("https://klasma.github.io/Logging_2303/klagomål/A 21331-2025 FSC-klagomål.docx", "A 21331-2025")</f>
        <v/>
      </c>
      <c r="W1230">
        <f>HYPERLINK("https://klasma.github.io/Logging_2303/klagomålsmail/A 21331-2025 FSC-klagomål mail.docx", "A 21331-2025")</f>
        <v/>
      </c>
      <c r="X1230">
        <f>HYPERLINK("https://klasma.github.io/Logging_2303/tillsyn/A 21331-2025 tillsynsbegäran.docx", "A 21331-2025")</f>
        <v/>
      </c>
      <c r="Y1230">
        <f>HYPERLINK("https://klasma.github.io/Logging_2303/tillsynsmail/A 21331-2025 tillsynsbegäran mail.docx", "A 21331-2025")</f>
        <v/>
      </c>
    </row>
    <row r="1231" ht="15" customHeight="1">
      <c r="A1231" t="inlineStr">
        <is>
          <t>A 21550-2025</t>
        </is>
      </c>
      <c r="B1231" s="1" t="n">
        <v>45782.67758101852</v>
      </c>
      <c r="C1231" s="1" t="n">
        <v>46042</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57889-2024</t>
        </is>
      </c>
      <c r="B1232" s="1" t="n">
        <v>45631.46665509259</v>
      </c>
      <c r="C1232" s="1" t="n">
        <v>46042</v>
      </c>
      <c r="D1232" t="inlineStr">
        <is>
          <t>JÄMTLANDS LÄN</t>
        </is>
      </c>
      <c r="E1232" t="inlineStr">
        <is>
          <t>RAGUNDA</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60629-2023</t>
        </is>
      </c>
      <c r="B1233" s="1" t="n">
        <v>45259</v>
      </c>
      <c r="C1233" s="1" t="n">
        <v>46042</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22388-2025</t>
        </is>
      </c>
      <c r="B1234" s="1" t="n">
        <v>45786.51077546296</v>
      </c>
      <c r="C1234" s="1" t="n">
        <v>46042</v>
      </c>
      <c r="D1234" t="inlineStr">
        <is>
          <t>JÄMTLANDS LÄN</t>
        </is>
      </c>
      <c r="E1234" t="inlineStr">
        <is>
          <t>RAGUNDA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22898-2025</t>
        </is>
      </c>
      <c r="B1235" s="1" t="n">
        <v>45790.40670138889</v>
      </c>
      <c r="C1235" s="1" t="n">
        <v>46042</v>
      </c>
      <c r="D1235" t="inlineStr">
        <is>
          <t>JÄMTLANDS LÄN</t>
        </is>
      </c>
      <c r="E1235" t="inlineStr">
        <is>
          <t>RAGUNDA</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23253-2025</t>
        </is>
      </c>
      <c r="B1236" s="1" t="n">
        <v>45791.53238425926</v>
      </c>
      <c r="C1236" s="1" t="n">
        <v>46042</v>
      </c>
      <c r="D1236" t="inlineStr">
        <is>
          <t>JÄMTLANDS LÄN</t>
        </is>
      </c>
      <c r="E1236" t="inlineStr">
        <is>
          <t>RAGUNDA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23413-2025</t>
        </is>
      </c>
      <c r="B1237" s="1" t="n">
        <v>45792.34606481482</v>
      </c>
      <c r="C1237" s="1" t="n">
        <v>46042</v>
      </c>
      <c r="D1237" t="inlineStr">
        <is>
          <t>JÄMTLANDS LÄN</t>
        </is>
      </c>
      <c r="E1237" t="inlineStr">
        <is>
          <t>RAGUNDA</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23586-2025</t>
        </is>
      </c>
      <c r="B1238" s="1" t="n">
        <v>45792.63584490741</v>
      </c>
      <c r="C1238" s="1" t="n">
        <v>46042</v>
      </c>
      <c r="D1238" t="inlineStr">
        <is>
          <t>JÄMTLANDS LÄN</t>
        </is>
      </c>
      <c r="E1238" t="inlineStr">
        <is>
          <t>RAGUNDA</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23841-2025</t>
        </is>
      </c>
      <c r="B1239" s="1" t="n">
        <v>45793.61523148148</v>
      </c>
      <c r="C1239" s="1" t="n">
        <v>46042</v>
      </c>
      <c r="D1239" t="inlineStr">
        <is>
          <t>JÄMTLANDS LÄN</t>
        </is>
      </c>
      <c r="E1239" t="inlineStr">
        <is>
          <t>RAGUNDA</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23507-2025</t>
        </is>
      </c>
      <c r="B1240" s="1" t="n">
        <v>45792.49023148148</v>
      </c>
      <c r="C1240" s="1" t="n">
        <v>46042</v>
      </c>
      <c r="D1240" t="inlineStr">
        <is>
          <t>JÄMTLANDS LÄN</t>
        </is>
      </c>
      <c r="E1240" t="inlineStr">
        <is>
          <t>RAGUNDA</t>
        </is>
      </c>
      <c r="F1240" t="inlineStr">
        <is>
          <t>SCA</t>
        </is>
      </c>
      <c r="G1240" t="n">
        <v>16.4</v>
      </c>
      <c r="H1240" t="n">
        <v>0</v>
      </c>
      <c r="I1240" t="n">
        <v>0</v>
      </c>
      <c r="J1240" t="n">
        <v>0</v>
      </c>
      <c r="K1240" t="n">
        <v>0</v>
      </c>
      <c r="L1240" t="n">
        <v>0</v>
      </c>
      <c r="M1240" t="n">
        <v>0</v>
      </c>
      <c r="N1240" t="n">
        <v>0</v>
      </c>
      <c r="O1240" t="n">
        <v>0</v>
      </c>
      <c r="P1240" t="n">
        <v>0</v>
      </c>
      <c r="Q1240" t="n">
        <v>0</v>
      </c>
      <c r="R1240" s="2" t="inlineStr"/>
    </row>
    <row r="1241" ht="15" customHeight="1">
      <c r="A1241" t="inlineStr">
        <is>
          <t>A 23840-2025</t>
        </is>
      </c>
      <c r="B1241" s="1" t="n">
        <v>45793</v>
      </c>
      <c r="C1241" s="1" t="n">
        <v>46042</v>
      </c>
      <c r="D1241" t="inlineStr">
        <is>
          <t>JÄMTLANDS LÄN</t>
        </is>
      </c>
      <c r="E1241" t="inlineStr">
        <is>
          <t>RAGUNDA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23654-2025</t>
        </is>
      </c>
      <c r="B1242" s="1" t="n">
        <v>45792.71905092592</v>
      </c>
      <c r="C1242" s="1" t="n">
        <v>46042</v>
      </c>
      <c r="D1242" t="inlineStr">
        <is>
          <t>JÄMTLANDS LÄN</t>
        </is>
      </c>
      <c r="E1242" t="inlineStr">
        <is>
          <t>RAGUNDA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23405-2025</t>
        </is>
      </c>
      <c r="B1243" s="1" t="n">
        <v>45792.34527777778</v>
      </c>
      <c r="C1243" s="1" t="n">
        <v>46042</v>
      </c>
      <c r="D1243" t="inlineStr">
        <is>
          <t>JÄMTLANDS LÄN</t>
        </is>
      </c>
      <c r="E1243" t="inlineStr">
        <is>
          <t>RAGUNDA</t>
        </is>
      </c>
      <c r="F1243" t="inlineStr">
        <is>
          <t>SCA</t>
        </is>
      </c>
      <c r="G1243" t="n">
        <v>0.6</v>
      </c>
      <c r="H1243" t="n">
        <v>0</v>
      </c>
      <c r="I1243" t="n">
        <v>0</v>
      </c>
      <c r="J1243" t="n">
        <v>0</v>
      </c>
      <c r="K1243" t="n">
        <v>0</v>
      </c>
      <c r="L1243" t="n">
        <v>0</v>
      </c>
      <c r="M1243" t="n">
        <v>0</v>
      </c>
      <c r="N1243" t="n">
        <v>0</v>
      </c>
      <c r="O1243" t="n">
        <v>0</v>
      </c>
      <c r="P1243" t="n">
        <v>0</v>
      </c>
      <c r="Q1243" t="n">
        <v>0</v>
      </c>
      <c r="R1243" s="2" t="inlineStr"/>
    </row>
    <row r="1244">
      <c r="A1244" t="inlineStr">
        <is>
          <t>A 18284-2025</t>
        </is>
      </c>
      <c r="B1244" s="1" t="n">
        <v>45762.39876157408</v>
      </c>
      <c r="C1244" s="1" t="n">
        <v>46042</v>
      </c>
      <c r="D1244" t="inlineStr">
        <is>
          <t>JÄMTLANDS LÄN</t>
        </is>
      </c>
      <c r="E1244" t="inlineStr">
        <is>
          <t>RAGUNDA</t>
        </is>
      </c>
      <c r="G1244" t="n">
        <v>0.2</v>
      </c>
      <c r="H1244" t="n">
        <v>0</v>
      </c>
      <c r="I1244" t="n">
        <v>0</v>
      </c>
      <c r="J1244" t="n">
        <v>0</v>
      </c>
      <c r="K1244" t="n">
        <v>0</v>
      </c>
      <c r="L1244" t="n">
        <v>0</v>
      </c>
      <c r="M1244" t="n">
        <v>0</v>
      </c>
      <c r="N1244" t="n">
        <v>0</v>
      </c>
      <c r="O1244" t="n">
        <v>0</v>
      </c>
      <c r="P1244" t="n">
        <v>0</v>
      </c>
      <c r="Q1244" t="n">
        <v>0</v>
      </c>
      <c r="R1244" s="2" t="inlineStr"/>
      <c r="U1244">
        <f>HYPERLINK("https://klasma.github.io/Logging_2303/knärot/A 18284-2025 karta knärot.png", "A 18284-2025")</f>
        <v/>
      </c>
      <c r="V1244">
        <f>HYPERLINK("https://klasma.github.io/Logging_2303/klagomål/A 18284-2025 FSC-klagomål.docx", "A 18284-2025")</f>
        <v/>
      </c>
      <c r="W1244">
        <f>HYPERLINK("https://klasma.github.io/Logging_2303/klagomålsmail/A 18284-2025 FSC-klagomål mail.docx", "A 18284-2025")</f>
        <v/>
      </c>
      <c r="X1244">
        <f>HYPERLINK("https://klasma.github.io/Logging_2303/tillsyn/A 18284-2025 tillsynsbegäran.docx", "A 18284-2025")</f>
        <v/>
      </c>
      <c r="Y1244">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2026-01-20T10:57:03Z</dcterms:created>
  <dcterms:modified xmlns:dcterms="http://purl.org/dc/terms/" xmlns:xsi="http://www.w3.org/2001/XMLSchema-instance" xsi:type="dcterms:W3CDTF">2026-01-20T10:57:04Z</dcterms:modified>
</cp:coreProperties>
</file>