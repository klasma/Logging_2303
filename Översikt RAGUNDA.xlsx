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45753</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45753</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45753</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45753</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45753</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45753</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45753</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45753</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45753</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45753</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45753</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45753</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45753</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45753</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45753</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45753</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45753</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45753</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45753</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45753</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45753</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45753</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45753</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45753</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45753</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45753</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45753</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45753</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45753</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45753</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45753</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45753</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45753</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45753</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45753</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45753</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45753</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45753</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45753</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45753</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45753</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45753</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45753</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45753</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45753</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45753</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45753</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45753</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45753</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45753</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45753</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45753</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45753</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45753</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45753</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45753</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45753</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45753</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45753</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45753</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45753</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45753</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45753</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45753</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45753</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45753</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45753</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45753</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45753</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45753</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45753</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45753</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45753</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45753</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45753</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45753</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45753</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45753</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45753</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45753</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45753</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45753</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45753</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45753</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45753</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45753</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45753</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45753</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45753</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45753</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45753</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45753</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45753</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45753</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45753</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45753</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45753</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45753</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45753</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45753</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45753</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45753</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45753</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45753</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45753</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45753</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45753</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45753</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45753</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45753</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45753</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45753</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45753</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45753</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45753</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45753</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45753</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45753</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45753</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45753</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45753</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45753</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45753</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45753</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45753</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45753</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45753</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45753</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45753</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45753</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45753</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45753</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45753</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45753</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45753</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45753</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45753</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45753</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45753</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45753</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45753</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45753</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45753</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45753</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45753</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45753</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45753</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45753</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45753</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45753</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45753</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45753</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45753</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45753</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45753</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45753</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45753</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45753</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45753</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45753</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45753</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45753</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45753</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45753</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45753</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45753</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45753</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45753</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45753</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45753</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45753</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45753</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45753</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45753</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45753</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45753</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45753</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45753</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45753</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45753</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45753</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45753</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45753</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45753</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45753</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45753</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45753</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45753</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45753</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45753</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45753</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45753</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45753</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45753</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45753</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45753</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45753</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45753</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45753</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45753</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45753</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45753</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45753</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45753</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45753</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45753</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45753</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45753</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45753</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45753</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45753</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45753</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45753</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45753</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45753</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45753</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45753</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45753</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45753</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45753</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45753</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45753</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45753</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45753</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45753</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45753</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45753</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45753</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45753</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45753</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45753</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45753</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45753</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45753</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45753</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45753</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45753</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45753</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45753</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45753</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45753</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45753</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45753</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45753</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45753</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45753</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45753</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45753</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45753</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45753</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45753</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45753</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45753</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45753</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45753</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45753</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45753</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45753</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45753</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45753</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45753</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45753</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45753</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45753</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45753</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45753</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45753</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45753</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45753</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45753</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45753</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45753</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45753</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45753</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45753</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45753</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45753</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45753</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45753</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45753</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45753</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45753</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45753</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45753</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45753</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45753</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45753</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45753</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45753</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45753</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45753</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45753</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45753</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45753</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45753</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45753</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45753</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45753</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45753</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45753</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45753</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45753</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45753</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45753</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45753</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45753</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45753</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45753</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45753</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45753</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45753</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45753</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45753</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45753</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45753</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45753</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45753</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45753</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45753</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45753</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45753</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16318-2025</t>
        </is>
      </c>
      <c r="B331" s="1" t="n">
        <v>45751</v>
      </c>
      <c r="C331" s="1" t="n">
        <v>45753</v>
      </c>
      <c r="D331" t="inlineStr">
        <is>
          <t>JÄMTLANDS LÄN</t>
        </is>
      </c>
      <c r="E331" t="inlineStr">
        <is>
          <t>RAGUNDA</t>
        </is>
      </c>
      <c r="F331" t="inlineStr">
        <is>
          <t>SCA</t>
        </is>
      </c>
      <c r="G331" t="n">
        <v>6.8</v>
      </c>
      <c r="H331" t="n">
        <v>1</v>
      </c>
      <c r="I331" t="n">
        <v>0</v>
      </c>
      <c r="J331" t="n">
        <v>1</v>
      </c>
      <c r="K331" t="n">
        <v>0</v>
      </c>
      <c r="L331" t="n">
        <v>0</v>
      </c>
      <c r="M331" t="n">
        <v>0</v>
      </c>
      <c r="N331" t="n">
        <v>0</v>
      </c>
      <c r="O331" t="n">
        <v>1</v>
      </c>
      <c r="P331" t="n">
        <v>0</v>
      </c>
      <c r="Q331" t="n">
        <v>1</v>
      </c>
      <c r="R331" s="2" t="inlineStr">
        <is>
          <t>Järpe</t>
        </is>
      </c>
      <c r="S331">
        <f>HYPERLINK("https://klasma.github.io/Logging_232303/artfynd/A 16318-2025 artfynd.xlsx", "A 16318-2025")</f>
        <v/>
      </c>
      <c r="T331">
        <f>HYPERLINK("https://klasma.github.io/Logging_232303/kartor/A 16318-2025 karta.png", "A 16318-2025")</f>
        <v/>
      </c>
      <c r="U331">
        <f>HYPERLINK("https://klasma.github.io/Logging_232303/knärot/A 16318-2025 karta knärot.png", "A 16318-2025")</f>
        <v/>
      </c>
      <c r="V331">
        <f>HYPERLINK("https://klasma.github.io/Logging_232303/klagomål/A 16318-2025 FSC-klagomål.docx", "A 16318-2025")</f>
        <v/>
      </c>
      <c r="W331">
        <f>HYPERLINK("https://klasma.github.io/Logging_232303/klagomålsmail/A 16318-2025 FSC-klagomål mail.docx", "A 16318-2025")</f>
        <v/>
      </c>
      <c r="X331">
        <f>HYPERLINK("https://klasma.github.io/Logging_232303/tillsyn/A 16318-2025 tillsynsbegäran.docx", "A 16318-2025")</f>
        <v/>
      </c>
      <c r="Y331">
        <f>HYPERLINK("https://klasma.github.io/Logging_232303/tillsynsmail/A 16318-2025 tillsynsbegäran mail.docx", "A 16318-2025")</f>
        <v/>
      </c>
      <c r="Z331">
        <f>HYPERLINK("https://klasma.github.io/Logging_232303/fåglar/A 16318-2025 prioriterade fågelarter.docx", "A 16318-2025")</f>
        <v/>
      </c>
    </row>
    <row r="332" ht="15" customHeight="1">
      <c r="A332" t="inlineStr">
        <is>
          <t>A 16316-2025</t>
        </is>
      </c>
      <c r="B332" s="1" t="n">
        <v>45751</v>
      </c>
      <c r="C332" s="1" t="n">
        <v>45753</v>
      </c>
      <c r="D332" t="inlineStr">
        <is>
          <t>JÄMTLANDS LÄN</t>
        </is>
      </c>
      <c r="E332" t="inlineStr">
        <is>
          <t>RAGUNDA</t>
        </is>
      </c>
      <c r="F332" t="inlineStr">
        <is>
          <t>SCA</t>
        </is>
      </c>
      <c r="G332" t="n">
        <v>1.7</v>
      </c>
      <c r="H332" t="n">
        <v>1</v>
      </c>
      <c r="I332" t="n">
        <v>0</v>
      </c>
      <c r="J332" t="n">
        <v>0</v>
      </c>
      <c r="K332" t="n">
        <v>0</v>
      </c>
      <c r="L332" t="n">
        <v>0</v>
      </c>
      <c r="M332" t="n">
        <v>0</v>
      </c>
      <c r="N332" t="n">
        <v>0</v>
      </c>
      <c r="O332" t="n">
        <v>0</v>
      </c>
      <c r="P332" t="n">
        <v>0</v>
      </c>
      <c r="Q332" t="n">
        <v>1</v>
      </c>
      <c r="R332" s="2" t="inlineStr">
        <is>
          <t>Dactylorhiza incarnata subsp. incarnata</t>
        </is>
      </c>
      <c r="S332">
        <f>HYPERLINK("https://klasma.github.io/Logging_232303/artfynd/A 16316-2025 artfynd.xlsx", "A 16316-2025")</f>
        <v/>
      </c>
      <c r="T332">
        <f>HYPERLINK("https://klasma.github.io/Logging_232303/kartor/A 16316-2025 karta.png", "A 16316-2025")</f>
        <v/>
      </c>
      <c r="V332">
        <f>HYPERLINK("https://klasma.github.io/Logging_232303/klagomål/A 16316-2025 FSC-klagomål.docx", "A 16316-2025")</f>
        <v/>
      </c>
      <c r="W332">
        <f>HYPERLINK("https://klasma.github.io/Logging_232303/klagomålsmail/A 16316-2025 FSC-klagomål mail.docx", "A 16316-2025")</f>
        <v/>
      </c>
      <c r="X332">
        <f>HYPERLINK("https://klasma.github.io/Logging_232303/tillsyn/A 16316-2025 tillsynsbegäran.docx", "A 16316-2025")</f>
        <v/>
      </c>
      <c r="Y332">
        <f>HYPERLINK("https://klasma.github.io/Logging_232303/tillsynsmail/A 16316-2025 tillsynsbegäran mail.docx", "A 16316-2025")</f>
        <v/>
      </c>
    </row>
    <row r="333" ht="15" customHeight="1">
      <c r="A333" t="inlineStr">
        <is>
          <t>A 19077-2019</t>
        </is>
      </c>
      <c r="B333" s="1" t="n">
        <v>43563</v>
      </c>
      <c r="C333" s="1" t="n">
        <v>45753</v>
      </c>
      <c r="D333" t="inlineStr">
        <is>
          <t>JÄMTLANDS LÄN</t>
        </is>
      </c>
      <c r="E333" t="inlineStr">
        <is>
          <t>RAGUNDA</t>
        </is>
      </c>
      <c r="G333" t="n">
        <v>11.5</v>
      </c>
      <c r="H333" t="n">
        <v>0</v>
      </c>
      <c r="I333" t="n">
        <v>0</v>
      </c>
      <c r="J333" t="n">
        <v>0</v>
      </c>
      <c r="K333" t="n">
        <v>0</v>
      </c>
      <c r="L333" t="n">
        <v>0</v>
      </c>
      <c r="M333" t="n">
        <v>0</v>
      </c>
      <c r="N333" t="n">
        <v>0</v>
      </c>
      <c r="O333" t="n">
        <v>0</v>
      </c>
      <c r="P333" t="n">
        <v>0</v>
      </c>
      <c r="Q333" t="n">
        <v>0</v>
      </c>
      <c r="R333" s="2" t="inlineStr"/>
    </row>
    <row r="334" ht="15" customHeight="1">
      <c r="A334" t="inlineStr">
        <is>
          <t>A 19543-2019</t>
        </is>
      </c>
      <c r="B334" s="1" t="n">
        <v>43565</v>
      </c>
      <c r="C334" s="1" t="n">
        <v>45753</v>
      </c>
      <c r="D334" t="inlineStr">
        <is>
          <t>JÄMTLANDS LÄN</t>
        </is>
      </c>
      <c r="E334" t="inlineStr">
        <is>
          <t>RAGUNDA</t>
        </is>
      </c>
      <c r="G334" t="n">
        <v>2.3</v>
      </c>
      <c r="H334" t="n">
        <v>0</v>
      </c>
      <c r="I334" t="n">
        <v>0</v>
      </c>
      <c r="J334" t="n">
        <v>0</v>
      </c>
      <c r="K334" t="n">
        <v>0</v>
      </c>
      <c r="L334" t="n">
        <v>0</v>
      </c>
      <c r="M334" t="n">
        <v>0</v>
      </c>
      <c r="N334" t="n">
        <v>0</v>
      </c>
      <c r="O334" t="n">
        <v>0</v>
      </c>
      <c r="P334" t="n">
        <v>0</v>
      </c>
      <c r="Q334" t="n">
        <v>0</v>
      </c>
      <c r="R334" s="2" t="inlineStr"/>
    </row>
    <row r="335" ht="15" customHeight="1">
      <c r="A335" t="inlineStr">
        <is>
          <t>A 21122-2019</t>
        </is>
      </c>
      <c r="B335" s="1" t="n">
        <v>43578</v>
      </c>
      <c r="C335" s="1" t="n">
        <v>45753</v>
      </c>
      <c r="D335" t="inlineStr">
        <is>
          <t>JÄMTLANDS LÄN</t>
        </is>
      </c>
      <c r="E335" t="inlineStr">
        <is>
          <t>RAGUNDA</t>
        </is>
      </c>
      <c r="F335" t="inlineStr">
        <is>
          <t>SCA</t>
        </is>
      </c>
      <c r="G335" t="n">
        <v>72.09999999999999</v>
      </c>
      <c r="H335" t="n">
        <v>0</v>
      </c>
      <c r="I335" t="n">
        <v>0</v>
      </c>
      <c r="J335" t="n">
        <v>0</v>
      </c>
      <c r="K335" t="n">
        <v>0</v>
      </c>
      <c r="L335" t="n">
        <v>0</v>
      </c>
      <c r="M335" t="n">
        <v>0</v>
      </c>
      <c r="N335" t="n">
        <v>0</v>
      </c>
      <c r="O335" t="n">
        <v>0</v>
      </c>
      <c r="P335" t="n">
        <v>0</v>
      </c>
      <c r="Q335" t="n">
        <v>0</v>
      </c>
      <c r="R335" s="2" t="inlineStr"/>
    </row>
    <row r="336" ht="15" customHeight="1">
      <c r="A336" t="inlineStr">
        <is>
          <t>A 21914-2019</t>
        </is>
      </c>
      <c r="B336" s="1" t="n">
        <v>43584</v>
      </c>
      <c r="C336" s="1" t="n">
        <v>45753</v>
      </c>
      <c r="D336" t="inlineStr">
        <is>
          <t>JÄMTLANDS LÄN</t>
        </is>
      </c>
      <c r="E336" t="inlineStr">
        <is>
          <t>RAGUNDA</t>
        </is>
      </c>
      <c r="G336" t="n">
        <v>3.1</v>
      </c>
      <c r="H336" t="n">
        <v>0</v>
      </c>
      <c r="I336" t="n">
        <v>0</v>
      </c>
      <c r="J336" t="n">
        <v>0</v>
      </c>
      <c r="K336" t="n">
        <v>0</v>
      </c>
      <c r="L336" t="n">
        <v>0</v>
      </c>
      <c r="M336" t="n">
        <v>0</v>
      </c>
      <c r="N336" t="n">
        <v>0</v>
      </c>
      <c r="O336" t="n">
        <v>0</v>
      </c>
      <c r="P336" t="n">
        <v>0</v>
      </c>
      <c r="Q336" t="n">
        <v>0</v>
      </c>
      <c r="R336" s="2" t="inlineStr"/>
    </row>
    <row r="337" ht="15" customHeight="1">
      <c r="A337" t="inlineStr">
        <is>
          <t>A 22799-2019</t>
        </is>
      </c>
      <c r="B337" s="1" t="n">
        <v>43589</v>
      </c>
      <c r="C337" s="1" t="n">
        <v>45753</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23740-2019</t>
        </is>
      </c>
      <c r="B338" s="1" t="n">
        <v>43594</v>
      </c>
      <c r="C338" s="1" t="n">
        <v>45753</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23821-2019</t>
        </is>
      </c>
      <c r="B339" s="1" t="n">
        <v>43594</v>
      </c>
      <c r="C339" s="1" t="n">
        <v>45753</v>
      </c>
      <c r="D339" t="inlineStr">
        <is>
          <t>JÄMTLANDS LÄN</t>
        </is>
      </c>
      <c r="E339" t="inlineStr">
        <is>
          <t>RAGUNDA</t>
        </is>
      </c>
      <c r="G339" t="n">
        <v>0.9</v>
      </c>
      <c r="H339" t="n">
        <v>0</v>
      </c>
      <c r="I339" t="n">
        <v>0</v>
      </c>
      <c r="J339" t="n">
        <v>0</v>
      </c>
      <c r="K339" t="n">
        <v>0</v>
      </c>
      <c r="L339" t="n">
        <v>0</v>
      </c>
      <c r="M339" t="n">
        <v>0</v>
      </c>
      <c r="N339" t="n">
        <v>0</v>
      </c>
      <c r="O339" t="n">
        <v>0</v>
      </c>
      <c r="P339" t="n">
        <v>0</v>
      </c>
      <c r="Q339" t="n">
        <v>0</v>
      </c>
      <c r="R339" s="2" t="inlineStr"/>
    </row>
    <row r="340" ht="15" customHeight="1">
      <c r="A340" t="inlineStr">
        <is>
          <t>A 28251-2019</t>
        </is>
      </c>
      <c r="B340" s="1" t="n">
        <v>43622</v>
      </c>
      <c r="C340" s="1" t="n">
        <v>45753</v>
      </c>
      <c r="D340" t="inlineStr">
        <is>
          <t>JÄMTLANDS LÄN</t>
        </is>
      </c>
      <c r="E340" t="inlineStr">
        <is>
          <t>RAGUNDA</t>
        </is>
      </c>
      <c r="F340" t="inlineStr">
        <is>
          <t>SCA</t>
        </is>
      </c>
      <c r="G340" t="n">
        <v>25.7</v>
      </c>
      <c r="H340" t="n">
        <v>0</v>
      </c>
      <c r="I340" t="n">
        <v>0</v>
      </c>
      <c r="J340" t="n">
        <v>0</v>
      </c>
      <c r="K340" t="n">
        <v>0</v>
      </c>
      <c r="L340" t="n">
        <v>0</v>
      </c>
      <c r="M340" t="n">
        <v>0</v>
      </c>
      <c r="N340" t="n">
        <v>0</v>
      </c>
      <c r="O340" t="n">
        <v>0</v>
      </c>
      <c r="P340" t="n">
        <v>0</v>
      </c>
      <c r="Q340" t="n">
        <v>0</v>
      </c>
      <c r="R340" s="2" t="inlineStr"/>
    </row>
    <row r="341" ht="15" customHeight="1">
      <c r="A341" t="inlineStr">
        <is>
          <t>A 30030-2019</t>
        </is>
      </c>
      <c r="B341" s="1" t="n">
        <v>43633</v>
      </c>
      <c r="C341" s="1" t="n">
        <v>45753</v>
      </c>
      <c r="D341" t="inlineStr">
        <is>
          <t>JÄMTLANDS LÄN</t>
        </is>
      </c>
      <c r="E341" t="inlineStr">
        <is>
          <t>RAGUNDA</t>
        </is>
      </c>
      <c r="G341" t="n">
        <v>10.6</v>
      </c>
      <c r="H341" t="n">
        <v>0</v>
      </c>
      <c r="I341" t="n">
        <v>0</v>
      </c>
      <c r="J341" t="n">
        <v>0</v>
      </c>
      <c r="K341" t="n">
        <v>0</v>
      </c>
      <c r="L341" t="n">
        <v>0</v>
      </c>
      <c r="M341" t="n">
        <v>0</v>
      </c>
      <c r="N341" t="n">
        <v>0</v>
      </c>
      <c r="O341" t="n">
        <v>0</v>
      </c>
      <c r="P341" t="n">
        <v>0</v>
      </c>
      <c r="Q341" t="n">
        <v>0</v>
      </c>
      <c r="R341" s="2" t="inlineStr"/>
    </row>
    <row r="342" ht="15" customHeight="1">
      <c r="A342" t="inlineStr">
        <is>
          <t>A 30034-2019</t>
        </is>
      </c>
      <c r="B342" s="1" t="n">
        <v>43633</v>
      </c>
      <c r="C342" s="1" t="n">
        <v>45753</v>
      </c>
      <c r="D342" t="inlineStr">
        <is>
          <t>JÄMTLANDS LÄN</t>
        </is>
      </c>
      <c r="E342" t="inlineStr">
        <is>
          <t>RAGUNDA</t>
        </is>
      </c>
      <c r="G342" t="n">
        <v>5.6</v>
      </c>
      <c r="H342" t="n">
        <v>0</v>
      </c>
      <c r="I342" t="n">
        <v>0</v>
      </c>
      <c r="J342" t="n">
        <v>0</v>
      </c>
      <c r="K342" t="n">
        <v>0</v>
      </c>
      <c r="L342" t="n">
        <v>0</v>
      </c>
      <c r="M342" t="n">
        <v>0</v>
      </c>
      <c r="N342" t="n">
        <v>0</v>
      </c>
      <c r="O342" t="n">
        <v>0</v>
      </c>
      <c r="P342" t="n">
        <v>0</v>
      </c>
      <c r="Q342" t="n">
        <v>0</v>
      </c>
      <c r="R342" s="2" t="inlineStr"/>
    </row>
    <row r="343" ht="15" customHeight="1">
      <c r="A343" t="inlineStr">
        <is>
          <t>A 31299-2019</t>
        </is>
      </c>
      <c r="B343" s="1" t="n">
        <v>43640</v>
      </c>
      <c r="C343" s="1" t="n">
        <v>45753</v>
      </c>
      <c r="D343" t="inlineStr">
        <is>
          <t>JÄMTLANDS LÄN</t>
        </is>
      </c>
      <c r="E343" t="inlineStr">
        <is>
          <t>RAGUNDA</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31562-2019</t>
        </is>
      </c>
      <c r="B344" s="1" t="n">
        <v>43641</v>
      </c>
      <c r="C344" s="1" t="n">
        <v>45753</v>
      </c>
      <c r="D344" t="inlineStr">
        <is>
          <t>JÄMTLANDS LÄN</t>
        </is>
      </c>
      <c r="E344" t="inlineStr">
        <is>
          <t>RAGUNDA</t>
        </is>
      </c>
      <c r="F344" t="inlineStr">
        <is>
          <t>SCA</t>
        </is>
      </c>
      <c r="G344" t="n">
        <v>10.1</v>
      </c>
      <c r="H344" t="n">
        <v>0</v>
      </c>
      <c r="I344" t="n">
        <v>0</v>
      </c>
      <c r="J344" t="n">
        <v>0</v>
      </c>
      <c r="K344" t="n">
        <v>0</v>
      </c>
      <c r="L344" t="n">
        <v>0</v>
      </c>
      <c r="M344" t="n">
        <v>0</v>
      </c>
      <c r="N344" t="n">
        <v>0</v>
      </c>
      <c r="O344" t="n">
        <v>0</v>
      </c>
      <c r="P344" t="n">
        <v>0</v>
      </c>
      <c r="Q344" t="n">
        <v>0</v>
      </c>
      <c r="R344" s="2" t="inlineStr"/>
    </row>
    <row r="345" ht="15" customHeight="1">
      <c r="A345" t="inlineStr">
        <is>
          <t>A 31563-2019</t>
        </is>
      </c>
      <c r="B345" s="1" t="n">
        <v>43641</v>
      </c>
      <c r="C345" s="1" t="n">
        <v>45753</v>
      </c>
      <c r="D345" t="inlineStr">
        <is>
          <t>JÄMTLANDS LÄN</t>
        </is>
      </c>
      <c r="E345" t="inlineStr">
        <is>
          <t>RAGUNDA</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32211-2019</t>
        </is>
      </c>
      <c r="B346" s="1" t="n">
        <v>43643</v>
      </c>
      <c r="C346" s="1" t="n">
        <v>45753</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33341-2019</t>
        </is>
      </c>
      <c r="B347" s="1" t="n">
        <v>43650</v>
      </c>
      <c r="C347" s="1" t="n">
        <v>45753</v>
      </c>
      <c r="D347" t="inlineStr">
        <is>
          <t>JÄMTLANDS LÄN</t>
        </is>
      </c>
      <c r="E347" t="inlineStr">
        <is>
          <t>RAGUNDA</t>
        </is>
      </c>
      <c r="F347" t="inlineStr">
        <is>
          <t>Kommuner</t>
        </is>
      </c>
      <c r="G347" t="n">
        <v>1.3</v>
      </c>
      <c r="H347" t="n">
        <v>0</v>
      </c>
      <c r="I347" t="n">
        <v>0</v>
      </c>
      <c r="J347" t="n">
        <v>0</v>
      </c>
      <c r="K347" t="n">
        <v>0</v>
      </c>
      <c r="L347" t="n">
        <v>0</v>
      </c>
      <c r="M347" t="n">
        <v>0</v>
      </c>
      <c r="N347" t="n">
        <v>0</v>
      </c>
      <c r="O347" t="n">
        <v>0</v>
      </c>
      <c r="P347" t="n">
        <v>0</v>
      </c>
      <c r="Q347" t="n">
        <v>0</v>
      </c>
      <c r="R347" s="2" t="inlineStr"/>
    </row>
    <row r="348" ht="15" customHeight="1">
      <c r="A348" t="inlineStr">
        <is>
          <t>A 35466-2019</t>
        </is>
      </c>
      <c r="B348" s="1" t="n">
        <v>43651</v>
      </c>
      <c r="C348" s="1" t="n">
        <v>45753</v>
      </c>
      <c r="D348" t="inlineStr">
        <is>
          <t>JÄMTLANDS LÄN</t>
        </is>
      </c>
      <c r="E348" t="inlineStr">
        <is>
          <t>RAGUNDA</t>
        </is>
      </c>
      <c r="G348" t="n">
        <v>1.7</v>
      </c>
      <c r="H348" t="n">
        <v>0</v>
      </c>
      <c r="I348" t="n">
        <v>0</v>
      </c>
      <c r="J348" t="n">
        <v>0</v>
      </c>
      <c r="K348" t="n">
        <v>0</v>
      </c>
      <c r="L348" t="n">
        <v>0</v>
      </c>
      <c r="M348" t="n">
        <v>0</v>
      </c>
      <c r="N348" t="n">
        <v>0</v>
      </c>
      <c r="O348" t="n">
        <v>0</v>
      </c>
      <c r="P348" t="n">
        <v>0</v>
      </c>
      <c r="Q348" t="n">
        <v>0</v>
      </c>
      <c r="R348" s="2" t="inlineStr"/>
    </row>
    <row r="349" ht="15" customHeight="1">
      <c r="A349" t="inlineStr">
        <is>
          <t>A 34119-2019</t>
        </is>
      </c>
      <c r="B349" s="1" t="n">
        <v>43654</v>
      </c>
      <c r="C349" s="1" t="n">
        <v>45753</v>
      </c>
      <c r="D349" t="inlineStr">
        <is>
          <t>JÄMTLANDS LÄN</t>
        </is>
      </c>
      <c r="E349" t="inlineStr">
        <is>
          <t>RAGUNDA</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34121-2019</t>
        </is>
      </c>
      <c r="B350" s="1" t="n">
        <v>43654</v>
      </c>
      <c r="C350" s="1" t="n">
        <v>45753</v>
      </c>
      <c r="D350" t="inlineStr">
        <is>
          <t>JÄMTLANDS LÄN</t>
        </is>
      </c>
      <c r="E350" t="inlineStr">
        <is>
          <t>RAGUNDA</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34490-2019</t>
        </is>
      </c>
      <c r="B351" s="1" t="n">
        <v>43656</v>
      </c>
      <c r="C351" s="1" t="n">
        <v>45753</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36230-2019</t>
        </is>
      </c>
      <c r="B352" s="1" t="n">
        <v>43669</v>
      </c>
      <c r="C352" s="1" t="n">
        <v>45753</v>
      </c>
      <c r="D352" t="inlineStr">
        <is>
          <t>JÄMTLANDS LÄN</t>
        </is>
      </c>
      <c r="E352" t="inlineStr">
        <is>
          <t>RAGUNDA</t>
        </is>
      </c>
      <c r="G352" t="n">
        <v>4.4</v>
      </c>
      <c r="H352" t="n">
        <v>0</v>
      </c>
      <c r="I352" t="n">
        <v>0</v>
      </c>
      <c r="J352" t="n">
        <v>0</v>
      </c>
      <c r="K352" t="n">
        <v>0</v>
      </c>
      <c r="L352" t="n">
        <v>0</v>
      </c>
      <c r="M352" t="n">
        <v>0</v>
      </c>
      <c r="N352" t="n">
        <v>0</v>
      </c>
      <c r="O352" t="n">
        <v>0</v>
      </c>
      <c r="P352" t="n">
        <v>0</v>
      </c>
      <c r="Q352" t="n">
        <v>0</v>
      </c>
      <c r="R352" s="2" t="inlineStr"/>
    </row>
    <row r="353" ht="15" customHeight="1">
      <c r="A353" t="inlineStr">
        <is>
          <t>A 37086-2019</t>
        </is>
      </c>
      <c r="B353" s="1" t="n">
        <v>43676</v>
      </c>
      <c r="C353" s="1" t="n">
        <v>45753</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37441-2019</t>
        </is>
      </c>
      <c r="B354" s="1" t="n">
        <v>43678</v>
      </c>
      <c r="C354" s="1" t="n">
        <v>45753</v>
      </c>
      <c r="D354" t="inlineStr">
        <is>
          <t>JÄMTLANDS LÄN</t>
        </is>
      </c>
      <c r="E354" t="inlineStr">
        <is>
          <t>RAGUNDA</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38757-2019</t>
        </is>
      </c>
      <c r="B355" s="1" t="n">
        <v>43686</v>
      </c>
      <c r="C355" s="1" t="n">
        <v>45753</v>
      </c>
      <c r="D355" t="inlineStr">
        <is>
          <t>JÄMTLANDS LÄN</t>
        </is>
      </c>
      <c r="E355" t="inlineStr">
        <is>
          <t>RAGUNDA</t>
        </is>
      </c>
      <c r="G355" t="n">
        <v>10.2</v>
      </c>
      <c r="H355" t="n">
        <v>0</v>
      </c>
      <c r="I355" t="n">
        <v>0</v>
      </c>
      <c r="J355" t="n">
        <v>0</v>
      </c>
      <c r="K355" t="n">
        <v>0</v>
      </c>
      <c r="L355" t="n">
        <v>0</v>
      </c>
      <c r="M355" t="n">
        <v>0</v>
      </c>
      <c r="N355" t="n">
        <v>0</v>
      </c>
      <c r="O355" t="n">
        <v>0</v>
      </c>
      <c r="P355" t="n">
        <v>0</v>
      </c>
      <c r="Q355" t="n">
        <v>0</v>
      </c>
      <c r="R355" s="2" t="inlineStr"/>
    </row>
    <row r="356" ht="15" customHeight="1">
      <c r="A356" t="inlineStr">
        <is>
          <t>A 42786-2019</t>
        </is>
      </c>
      <c r="B356" s="1" t="n">
        <v>43704</v>
      </c>
      <c r="C356" s="1" t="n">
        <v>45753</v>
      </c>
      <c r="D356" t="inlineStr">
        <is>
          <t>JÄMTLANDS LÄN</t>
        </is>
      </c>
      <c r="E356" t="inlineStr">
        <is>
          <t>RAGUNDA</t>
        </is>
      </c>
      <c r="F356" t="inlineStr">
        <is>
          <t>SCA</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42788-2019</t>
        </is>
      </c>
      <c r="B357" s="1" t="n">
        <v>43704</v>
      </c>
      <c r="C357" s="1" t="n">
        <v>45753</v>
      </c>
      <c r="D357" t="inlineStr">
        <is>
          <t>JÄMTLANDS LÄN</t>
        </is>
      </c>
      <c r="E357" t="inlineStr">
        <is>
          <t>RAGUNDA</t>
        </is>
      </c>
      <c r="F357" t="inlineStr">
        <is>
          <t>SCA</t>
        </is>
      </c>
      <c r="G357" t="n">
        <v>20.3</v>
      </c>
      <c r="H357" t="n">
        <v>0</v>
      </c>
      <c r="I357" t="n">
        <v>0</v>
      </c>
      <c r="J357" t="n">
        <v>0</v>
      </c>
      <c r="K357" t="n">
        <v>0</v>
      </c>
      <c r="L357" t="n">
        <v>0</v>
      </c>
      <c r="M357" t="n">
        <v>0</v>
      </c>
      <c r="N357" t="n">
        <v>0</v>
      </c>
      <c r="O357" t="n">
        <v>0</v>
      </c>
      <c r="P357" t="n">
        <v>0</v>
      </c>
      <c r="Q357" t="n">
        <v>0</v>
      </c>
      <c r="R357" s="2" t="inlineStr"/>
    </row>
    <row r="358" ht="15" customHeight="1">
      <c r="A358" t="inlineStr">
        <is>
          <t>A 42785-2019</t>
        </is>
      </c>
      <c r="B358" s="1" t="n">
        <v>43704</v>
      </c>
      <c r="C358" s="1" t="n">
        <v>45753</v>
      </c>
      <c r="D358" t="inlineStr">
        <is>
          <t>JÄMTLANDS LÄN</t>
        </is>
      </c>
      <c r="E358" t="inlineStr">
        <is>
          <t>RAGUNDA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43412-2019</t>
        </is>
      </c>
      <c r="B359" s="1" t="n">
        <v>43706</v>
      </c>
      <c r="C359" s="1" t="n">
        <v>45753</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45075-2019</t>
        </is>
      </c>
      <c r="B360" s="1" t="n">
        <v>43713</v>
      </c>
      <c r="C360" s="1" t="n">
        <v>45753</v>
      </c>
      <c r="D360" t="inlineStr">
        <is>
          <t>JÄMTLANDS LÄN</t>
        </is>
      </c>
      <c r="E360" t="inlineStr">
        <is>
          <t>RAGUNDA</t>
        </is>
      </c>
      <c r="G360" t="n">
        <v>1</v>
      </c>
      <c r="H360" t="n">
        <v>0</v>
      </c>
      <c r="I360" t="n">
        <v>0</v>
      </c>
      <c r="J360" t="n">
        <v>0</v>
      </c>
      <c r="K360" t="n">
        <v>0</v>
      </c>
      <c r="L360" t="n">
        <v>0</v>
      </c>
      <c r="M360" t="n">
        <v>0</v>
      </c>
      <c r="N360" t="n">
        <v>0</v>
      </c>
      <c r="O360" t="n">
        <v>0</v>
      </c>
      <c r="P360" t="n">
        <v>0</v>
      </c>
      <c r="Q360" t="n">
        <v>0</v>
      </c>
      <c r="R360" s="2" t="inlineStr"/>
    </row>
    <row r="361" ht="15" customHeight="1">
      <c r="A361" t="inlineStr">
        <is>
          <t>A 45061-2019</t>
        </is>
      </c>
      <c r="B361" s="1" t="n">
        <v>43713</v>
      </c>
      <c r="C361" s="1" t="n">
        <v>45753</v>
      </c>
      <c r="D361" t="inlineStr">
        <is>
          <t>JÄMTLANDS LÄN</t>
        </is>
      </c>
      <c r="E361" t="inlineStr">
        <is>
          <t>RAGUNDA</t>
        </is>
      </c>
      <c r="G361" t="n">
        <v>3.3</v>
      </c>
      <c r="H361" t="n">
        <v>0</v>
      </c>
      <c r="I361" t="n">
        <v>0</v>
      </c>
      <c r="J361" t="n">
        <v>0</v>
      </c>
      <c r="K361" t="n">
        <v>0</v>
      </c>
      <c r="L361" t="n">
        <v>0</v>
      </c>
      <c r="M361" t="n">
        <v>0</v>
      </c>
      <c r="N361" t="n">
        <v>0</v>
      </c>
      <c r="O361" t="n">
        <v>0</v>
      </c>
      <c r="P361" t="n">
        <v>0</v>
      </c>
      <c r="Q361" t="n">
        <v>0</v>
      </c>
      <c r="R361" s="2" t="inlineStr"/>
    </row>
    <row r="362" ht="15" customHeight="1">
      <c r="A362" t="inlineStr">
        <is>
          <t>A 48961-2019</t>
        </is>
      </c>
      <c r="B362" s="1" t="n">
        <v>43728</v>
      </c>
      <c r="C362" s="1" t="n">
        <v>45753</v>
      </c>
      <c r="D362" t="inlineStr">
        <is>
          <t>JÄMTLANDS LÄN</t>
        </is>
      </c>
      <c r="E362" t="inlineStr">
        <is>
          <t>RAGUNDA</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49875-2019</t>
        </is>
      </c>
      <c r="B363" s="1" t="n">
        <v>43733</v>
      </c>
      <c r="C363" s="1" t="n">
        <v>45753</v>
      </c>
      <c r="D363" t="inlineStr">
        <is>
          <t>JÄMTLANDS LÄN</t>
        </is>
      </c>
      <c r="E363" t="inlineStr">
        <is>
          <t>RAGUNDA</t>
        </is>
      </c>
      <c r="G363" t="n">
        <v>1.3</v>
      </c>
      <c r="H363" t="n">
        <v>0</v>
      </c>
      <c r="I363" t="n">
        <v>0</v>
      </c>
      <c r="J363" t="n">
        <v>0</v>
      </c>
      <c r="K363" t="n">
        <v>0</v>
      </c>
      <c r="L363" t="n">
        <v>0</v>
      </c>
      <c r="M363" t="n">
        <v>0</v>
      </c>
      <c r="N363" t="n">
        <v>0</v>
      </c>
      <c r="O363" t="n">
        <v>0</v>
      </c>
      <c r="P363" t="n">
        <v>0</v>
      </c>
      <c r="Q363" t="n">
        <v>0</v>
      </c>
      <c r="R363" s="2" t="inlineStr"/>
    </row>
    <row r="364" ht="15" customHeight="1">
      <c r="A364" t="inlineStr">
        <is>
          <t>A 49945-2019</t>
        </is>
      </c>
      <c r="B364" s="1" t="n">
        <v>43733</v>
      </c>
      <c r="C364" s="1" t="n">
        <v>45753</v>
      </c>
      <c r="D364" t="inlineStr">
        <is>
          <t>JÄMTLANDS LÄN</t>
        </is>
      </c>
      <c r="E364" t="inlineStr">
        <is>
          <t>RAGUNDA</t>
        </is>
      </c>
      <c r="G364" t="n">
        <v>1.5</v>
      </c>
      <c r="H364" t="n">
        <v>0</v>
      </c>
      <c r="I364" t="n">
        <v>0</v>
      </c>
      <c r="J364" t="n">
        <v>0</v>
      </c>
      <c r="K364" t="n">
        <v>0</v>
      </c>
      <c r="L364" t="n">
        <v>0</v>
      </c>
      <c r="M364" t="n">
        <v>0</v>
      </c>
      <c r="N364" t="n">
        <v>0</v>
      </c>
      <c r="O364" t="n">
        <v>0</v>
      </c>
      <c r="P364" t="n">
        <v>0</v>
      </c>
      <c r="Q364" t="n">
        <v>0</v>
      </c>
      <c r="R364" s="2" t="inlineStr"/>
    </row>
    <row r="365" ht="15" customHeight="1">
      <c r="A365" t="inlineStr">
        <is>
          <t>A 52098-2019</t>
        </is>
      </c>
      <c r="B365" s="1" t="n">
        <v>43735</v>
      </c>
      <c r="C365" s="1" t="n">
        <v>45753</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51661-2019</t>
        </is>
      </c>
      <c r="B366" s="1" t="n">
        <v>43740</v>
      </c>
      <c r="C366" s="1" t="n">
        <v>45753</v>
      </c>
      <c r="D366" t="inlineStr">
        <is>
          <t>JÄMTLANDS LÄN</t>
        </is>
      </c>
      <c r="E366" t="inlineStr">
        <is>
          <t>RAGUNDA</t>
        </is>
      </c>
      <c r="G366" t="n">
        <v>1.4</v>
      </c>
      <c r="H366" t="n">
        <v>0</v>
      </c>
      <c r="I366" t="n">
        <v>0</v>
      </c>
      <c r="J366" t="n">
        <v>0</v>
      </c>
      <c r="K366" t="n">
        <v>0</v>
      </c>
      <c r="L366" t="n">
        <v>0</v>
      </c>
      <c r="M366" t="n">
        <v>0</v>
      </c>
      <c r="N366" t="n">
        <v>0</v>
      </c>
      <c r="O366" t="n">
        <v>0</v>
      </c>
      <c r="P366" t="n">
        <v>0</v>
      </c>
      <c r="Q366" t="n">
        <v>0</v>
      </c>
      <c r="R366" s="2" t="inlineStr"/>
    </row>
    <row r="367" ht="15" customHeight="1">
      <c r="A367" t="inlineStr">
        <is>
          <t>A 53849-2019</t>
        </is>
      </c>
      <c r="B367" s="1" t="n">
        <v>43742</v>
      </c>
      <c r="C367" s="1" t="n">
        <v>45753</v>
      </c>
      <c r="D367" t="inlineStr">
        <is>
          <t>JÄMTLANDS LÄN</t>
        </is>
      </c>
      <c r="E367" t="inlineStr">
        <is>
          <t>RAGUNDA</t>
        </is>
      </c>
      <c r="G367" t="n">
        <v>0.3</v>
      </c>
      <c r="H367" t="n">
        <v>0</v>
      </c>
      <c r="I367" t="n">
        <v>0</v>
      </c>
      <c r="J367" t="n">
        <v>0</v>
      </c>
      <c r="K367" t="n">
        <v>0</v>
      </c>
      <c r="L367" t="n">
        <v>0</v>
      </c>
      <c r="M367" t="n">
        <v>0</v>
      </c>
      <c r="N367" t="n">
        <v>0</v>
      </c>
      <c r="O367" t="n">
        <v>0</v>
      </c>
      <c r="P367" t="n">
        <v>0</v>
      </c>
      <c r="Q367" t="n">
        <v>0</v>
      </c>
      <c r="R367" s="2" t="inlineStr"/>
    </row>
    <row r="368" ht="15" customHeight="1">
      <c r="A368" t="inlineStr">
        <is>
          <t>A 52728-2019</t>
        </is>
      </c>
      <c r="B368" s="1" t="n">
        <v>43746</v>
      </c>
      <c r="C368" s="1" t="n">
        <v>45753</v>
      </c>
      <c r="D368" t="inlineStr">
        <is>
          <t>JÄMTLANDS LÄN</t>
        </is>
      </c>
      <c r="E368" t="inlineStr">
        <is>
          <t>RAGUNDA</t>
        </is>
      </c>
      <c r="G368" t="n">
        <v>1.6</v>
      </c>
      <c r="H368" t="n">
        <v>0</v>
      </c>
      <c r="I368" t="n">
        <v>0</v>
      </c>
      <c r="J368" t="n">
        <v>0</v>
      </c>
      <c r="K368" t="n">
        <v>0</v>
      </c>
      <c r="L368" t="n">
        <v>0</v>
      </c>
      <c r="M368" t="n">
        <v>0</v>
      </c>
      <c r="N368" t="n">
        <v>0</v>
      </c>
      <c r="O368" t="n">
        <v>0</v>
      </c>
      <c r="P368" t="n">
        <v>0</v>
      </c>
      <c r="Q368" t="n">
        <v>0</v>
      </c>
      <c r="R368" s="2" t="inlineStr"/>
    </row>
    <row r="369" ht="15" customHeight="1">
      <c r="A369" t="inlineStr">
        <is>
          <t>A 55353-2019</t>
        </is>
      </c>
      <c r="B369" s="1" t="n">
        <v>43756</v>
      </c>
      <c r="C369" s="1" t="n">
        <v>45753</v>
      </c>
      <c r="D369" t="inlineStr">
        <is>
          <t>JÄMTLANDS LÄN</t>
        </is>
      </c>
      <c r="E369" t="inlineStr">
        <is>
          <t>RAGUNDA</t>
        </is>
      </c>
      <c r="G369" t="n">
        <v>2.1</v>
      </c>
      <c r="H369" t="n">
        <v>0</v>
      </c>
      <c r="I369" t="n">
        <v>0</v>
      </c>
      <c r="J369" t="n">
        <v>0</v>
      </c>
      <c r="K369" t="n">
        <v>0</v>
      </c>
      <c r="L369" t="n">
        <v>0</v>
      </c>
      <c r="M369" t="n">
        <v>0</v>
      </c>
      <c r="N369" t="n">
        <v>0</v>
      </c>
      <c r="O369" t="n">
        <v>0</v>
      </c>
      <c r="P369" t="n">
        <v>0</v>
      </c>
      <c r="Q369" t="n">
        <v>0</v>
      </c>
      <c r="R369" s="2" t="inlineStr"/>
    </row>
    <row r="370" ht="15" customHeight="1">
      <c r="A370" t="inlineStr">
        <is>
          <t>A 55875-2019</t>
        </is>
      </c>
      <c r="B370" s="1" t="n">
        <v>43759</v>
      </c>
      <c r="C370" s="1" t="n">
        <v>45753</v>
      </c>
      <c r="D370" t="inlineStr">
        <is>
          <t>JÄMTLANDS LÄN</t>
        </is>
      </c>
      <c r="E370" t="inlineStr">
        <is>
          <t>RAGUNDA</t>
        </is>
      </c>
      <c r="G370" t="n">
        <v>2.8</v>
      </c>
      <c r="H370" t="n">
        <v>0</v>
      </c>
      <c r="I370" t="n">
        <v>0</v>
      </c>
      <c r="J370" t="n">
        <v>0</v>
      </c>
      <c r="K370" t="n">
        <v>0</v>
      </c>
      <c r="L370" t="n">
        <v>0</v>
      </c>
      <c r="M370" t="n">
        <v>0</v>
      </c>
      <c r="N370" t="n">
        <v>0</v>
      </c>
      <c r="O370" t="n">
        <v>0</v>
      </c>
      <c r="P370" t="n">
        <v>0</v>
      </c>
      <c r="Q370" t="n">
        <v>0</v>
      </c>
      <c r="R370" s="2" t="inlineStr"/>
    </row>
    <row r="371" ht="15" customHeight="1">
      <c r="A371" t="inlineStr">
        <is>
          <t>A 55653-2019</t>
        </is>
      </c>
      <c r="B371" s="1" t="n">
        <v>43760</v>
      </c>
      <c r="C371" s="1" t="n">
        <v>45753</v>
      </c>
      <c r="D371" t="inlineStr">
        <is>
          <t>JÄMTLANDS LÄN</t>
        </is>
      </c>
      <c r="E371" t="inlineStr">
        <is>
          <t>RAGUNDA</t>
        </is>
      </c>
      <c r="G371" t="n">
        <v>4.2</v>
      </c>
      <c r="H371" t="n">
        <v>0</v>
      </c>
      <c r="I371" t="n">
        <v>0</v>
      </c>
      <c r="J371" t="n">
        <v>0</v>
      </c>
      <c r="K371" t="n">
        <v>0</v>
      </c>
      <c r="L371" t="n">
        <v>0</v>
      </c>
      <c r="M371" t="n">
        <v>0</v>
      </c>
      <c r="N371" t="n">
        <v>0</v>
      </c>
      <c r="O371" t="n">
        <v>0</v>
      </c>
      <c r="P371" t="n">
        <v>0</v>
      </c>
      <c r="Q371" t="n">
        <v>0</v>
      </c>
      <c r="R371" s="2" t="inlineStr"/>
    </row>
    <row r="372" ht="15" customHeight="1">
      <c r="A372" t="inlineStr">
        <is>
          <t>A 57860-2019</t>
        </is>
      </c>
      <c r="B372" s="1" t="n">
        <v>43768</v>
      </c>
      <c r="C372" s="1" t="n">
        <v>45753</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57783-2019</t>
        </is>
      </c>
      <c r="B373" s="1" t="n">
        <v>43768</v>
      </c>
      <c r="C373" s="1" t="n">
        <v>45753</v>
      </c>
      <c r="D373" t="inlineStr">
        <is>
          <t>JÄMTLANDS LÄN</t>
        </is>
      </c>
      <c r="E373" t="inlineStr">
        <is>
          <t>RAGUNDA</t>
        </is>
      </c>
      <c r="G373" t="n">
        <v>2.9</v>
      </c>
      <c r="H373" t="n">
        <v>0</v>
      </c>
      <c r="I373" t="n">
        <v>0</v>
      </c>
      <c r="J373" t="n">
        <v>0</v>
      </c>
      <c r="K373" t="n">
        <v>0</v>
      </c>
      <c r="L373" t="n">
        <v>0</v>
      </c>
      <c r="M373" t="n">
        <v>0</v>
      </c>
      <c r="N373" t="n">
        <v>0</v>
      </c>
      <c r="O373" t="n">
        <v>0</v>
      </c>
      <c r="P373" t="n">
        <v>0</v>
      </c>
      <c r="Q373" t="n">
        <v>0</v>
      </c>
      <c r="R373" s="2" t="inlineStr"/>
    </row>
    <row r="374" ht="15" customHeight="1">
      <c r="A374" t="inlineStr">
        <is>
          <t>A 58348-2019</t>
        </is>
      </c>
      <c r="B374" s="1" t="n">
        <v>43770</v>
      </c>
      <c r="C374" s="1" t="n">
        <v>45753</v>
      </c>
      <c r="D374" t="inlineStr">
        <is>
          <t>JÄMTLANDS LÄN</t>
        </is>
      </c>
      <c r="E374" t="inlineStr">
        <is>
          <t>RAGUNDA</t>
        </is>
      </c>
      <c r="F374" t="inlineStr">
        <is>
          <t>SCA</t>
        </is>
      </c>
      <c r="G374" t="n">
        <v>5.8</v>
      </c>
      <c r="H374" t="n">
        <v>0</v>
      </c>
      <c r="I374" t="n">
        <v>0</v>
      </c>
      <c r="J374" t="n">
        <v>0</v>
      </c>
      <c r="K374" t="n">
        <v>0</v>
      </c>
      <c r="L374" t="n">
        <v>0</v>
      </c>
      <c r="M374" t="n">
        <v>0</v>
      </c>
      <c r="N374" t="n">
        <v>0</v>
      </c>
      <c r="O374" t="n">
        <v>0</v>
      </c>
      <c r="P374" t="n">
        <v>0</v>
      </c>
      <c r="Q374" t="n">
        <v>0</v>
      </c>
      <c r="R374" s="2" t="inlineStr"/>
    </row>
    <row r="375" ht="15" customHeight="1">
      <c r="A375" t="inlineStr">
        <is>
          <t>A 58355-2019</t>
        </is>
      </c>
      <c r="B375" s="1" t="n">
        <v>43770</v>
      </c>
      <c r="C375" s="1" t="n">
        <v>45753</v>
      </c>
      <c r="D375" t="inlineStr">
        <is>
          <t>JÄMTLANDS LÄN</t>
        </is>
      </c>
      <c r="E375" t="inlineStr">
        <is>
          <t>RAGUNDA</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59484-2019</t>
        </is>
      </c>
      <c r="B376" s="1" t="n">
        <v>43773</v>
      </c>
      <c r="C376" s="1" t="n">
        <v>45753</v>
      </c>
      <c r="D376" t="inlineStr">
        <is>
          <t>JÄMTLANDS LÄN</t>
        </is>
      </c>
      <c r="E376" t="inlineStr">
        <is>
          <t>RAGUNDA</t>
        </is>
      </c>
      <c r="G376" t="n">
        <v>0.5</v>
      </c>
      <c r="H376" t="n">
        <v>0</v>
      </c>
      <c r="I376" t="n">
        <v>0</v>
      </c>
      <c r="J376" t="n">
        <v>0</v>
      </c>
      <c r="K376" t="n">
        <v>0</v>
      </c>
      <c r="L376" t="n">
        <v>0</v>
      </c>
      <c r="M376" t="n">
        <v>0</v>
      </c>
      <c r="N376" t="n">
        <v>0</v>
      </c>
      <c r="O376" t="n">
        <v>0</v>
      </c>
      <c r="P376" t="n">
        <v>0</v>
      </c>
      <c r="Q376" t="n">
        <v>0</v>
      </c>
      <c r="R376" s="2" t="inlineStr"/>
    </row>
    <row r="377" ht="15" customHeight="1">
      <c r="A377" t="inlineStr">
        <is>
          <t>A 58795-2019</t>
        </is>
      </c>
      <c r="B377" s="1" t="n">
        <v>43773</v>
      </c>
      <c r="C377" s="1" t="n">
        <v>45753</v>
      </c>
      <c r="D377" t="inlineStr">
        <is>
          <t>JÄMTLANDS LÄN</t>
        </is>
      </c>
      <c r="E377" t="inlineStr">
        <is>
          <t>RAGUNDA</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59501-2019</t>
        </is>
      </c>
      <c r="B378" s="1" t="n">
        <v>43773</v>
      </c>
      <c r="C378" s="1" t="n">
        <v>45753</v>
      </c>
      <c r="D378" t="inlineStr">
        <is>
          <t>JÄMTLANDS LÄN</t>
        </is>
      </c>
      <c r="E378" t="inlineStr">
        <is>
          <t>RAGUNDA</t>
        </is>
      </c>
      <c r="G378" t="n">
        <v>0.5</v>
      </c>
      <c r="H378" t="n">
        <v>0</v>
      </c>
      <c r="I378" t="n">
        <v>0</v>
      </c>
      <c r="J378" t="n">
        <v>0</v>
      </c>
      <c r="K378" t="n">
        <v>0</v>
      </c>
      <c r="L378" t="n">
        <v>0</v>
      </c>
      <c r="M378" t="n">
        <v>0</v>
      </c>
      <c r="N378" t="n">
        <v>0</v>
      </c>
      <c r="O378" t="n">
        <v>0</v>
      </c>
      <c r="P378" t="n">
        <v>0</v>
      </c>
      <c r="Q378" t="n">
        <v>0</v>
      </c>
      <c r="R378" s="2" t="inlineStr"/>
    </row>
    <row r="379" ht="15" customHeight="1">
      <c r="A379" t="inlineStr">
        <is>
          <t>A 59194-2019</t>
        </is>
      </c>
      <c r="B379" s="1" t="n">
        <v>43775</v>
      </c>
      <c r="C379" s="1" t="n">
        <v>45753</v>
      </c>
      <c r="D379" t="inlineStr">
        <is>
          <t>JÄMTLANDS LÄN</t>
        </is>
      </c>
      <c r="E379" t="inlineStr">
        <is>
          <t>RAGUNDA</t>
        </is>
      </c>
      <c r="G379" t="n">
        <v>2.7</v>
      </c>
      <c r="H379" t="n">
        <v>0</v>
      </c>
      <c r="I379" t="n">
        <v>0</v>
      </c>
      <c r="J379" t="n">
        <v>0</v>
      </c>
      <c r="K379" t="n">
        <v>0</v>
      </c>
      <c r="L379" t="n">
        <v>0</v>
      </c>
      <c r="M379" t="n">
        <v>0</v>
      </c>
      <c r="N379" t="n">
        <v>0</v>
      </c>
      <c r="O379" t="n">
        <v>0</v>
      </c>
      <c r="P379" t="n">
        <v>0</v>
      </c>
      <c r="Q379" t="n">
        <v>0</v>
      </c>
      <c r="R379" s="2" t="inlineStr"/>
    </row>
    <row r="380" ht="15" customHeight="1">
      <c r="A380" t="inlineStr">
        <is>
          <t>A 60119-2019</t>
        </is>
      </c>
      <c r="B380" s="1" t="n">
        <v>43777</v>
      </c>
      <c r="C380" s="1" t="n">
        <v>45753</v>
      </c>
      <c r="D380" t="inlineStr">
        <is>
          <t>JÄMTLANDS LÄN</t>
        </is>
      </c>
      <c r="E380" t="inlineStr">
        <is>
          <t>RAGUNDA</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62340-2019</t>
        </is>
      </c>
      <c r="B381" s="1" t="n">
        <v>43782</v>
      </c>
      <c r="C381" s="1" t="n">
        <v>45753</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61514-2019</t>
        </is>
      </c>
      <c r="B382" s="1" t="n">
        <v>43783</v>
      </c>
      <c r="C382" s="1" t="n">
        <v>45753</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62129-2019</t>
        </is>
      </c>
      <c r="B383" s="1" t="n">
        <v>43787</v>
      </c>
      <c r="C383" s="1" t="n">
        <v>45753</v>
      </c>
      <c r="D383" t="inlineStr">
        <is>
          <t>JÄMTLANDS LÄN</t>
        </is>
      </c>
      <c r="E383" t="inlineStr">
        <is>
          <t>RAGUNDA</t>
        </is>
      </c>
      <c r="G383" t="n">
        <v>1.1</v>
      </c>
      <c r="H383" t="n">
        <v>0</v>
      </c>
      <c r="I383" t="n">
        <v>0</v>
      </c>
      <c r="J383" t="n">
        <v>0</v>
      </c>
      <c r="K383" t="n">
        <v>0</v>
      </c>
      <c r="L383" t="n">
        <v>0</v>
      </c>
      <c r="M383" t="n">
        <v>0</v>
      </c>
      <c r="N383" t="n">
        <v>0</v>
      </c>
      <c r="O383" t="n">
        <v>0</v>
      </c>
      <c r="P383" t="n">
        <v>0</v>
      </c>
      <c r="Q383" t="n">
        <v>0</v>
      </c>
      <c r="R383" s="2" t="inlineStr"/>
    </row>
    <row r="384" ht="15" customHeight="1">
      <c r="A384" t="inlineStr">
        <is>
          <t>A 62484-2019</t>
        </is>
      </c>
      <c r="B384" s="1" t="n">
        <v>43788</v>
      </c>
      <c r="C384" s="1" t="n">
        <v>45753</v>
      </c>
      <c r="D384" t="inlineStr">
        <is>
          <t>JÄMTLANDS LÄN</t>
        </is>
      </c>
      <c r="E384" t="inlineStr">
        <is>
          <t>RAGUNDA</t>
        </is>
      </c>
      <c r="G384" t="n">
        <v>11.9</v>
      </c>
      <c r="H384" t="n">
        <v>0</v>
      </c>
      <c r="I384" t="n">
        <v>0</v>
      </c>
      <c r="J384" t="n">
        <v>0</v>
      </c>
      <c r="K384" t="n">
        <v>0</v>
      </c>
      <c r="L384" t="n">
        <v>0</v>
      </c>
      <c r="M384" t="n">
        <v>0</v>
      </c>
      <c r="N384" t="n">
        <v>0</v>
      </c>
      <c r="O384" t="n">
        <v>0</v>
      </c>
      <c r="P384" t="n">
        <v>0</v>
      </c>
      <c r="Q384" t="n">
        <v>0</v>
      </c>
      <c r="R384" s="2" t="inlineStr"/>
      <c r="U384">
        <f>HYPERLINK("https://klasma.github.io/Logging_2303/knärot/A 62484-2019 karta knärot.png", "A 62484-2019")</f>
        <v/>
      </c>
      <c r="V384">
        <f>HYPERLINK("https://klasma.github.io/Logging_2303/klagomål/A 62484-2019 FSC-klagomål.docx", "A 62484-2019")</f>
        <v/>
      </c>
      <c r="W384">
        <f>HYPERLINK("https://klasma.github.io/Logging_2303/klagomålsmail/A 62484-2019 FSC-klagomål mail.docx", "A 62484-2019")</f>
        <v/>
      </c>
      <c r="X384">
        <f>HYPERLINK("https://klasma.github.io/Logging_2303/tillsyn/A 62484-2019 tillsynsbegäran.docx", "A 62484-2019")</f>
        <v/>
      </c>
      <c r="Y384">
        <f>HYPERLINK("https://klasma.github.io/Logging_2303/tillsynsmail/A 62484-2019 tillsynsbegäran mail.docx", "A 62484-2019")</f>
        <v/>
      </c>
    </row>
    <row r="385" ht="15" customHeight="1">
      <c r="A385" t="inlineStr">
        <is>
          <t>A 64097-2019</t>
        </is>
      </c>
      <c r="B385" s="1" t="n">
        <v>43791</v>
      </c>
      <c r="C385" s="1" t="n">
        <v>45753</v>
      </c>
      <c r="D385" t="inlineStr">
        <is>
          <t>JÄMTLANDS LÄN</t>
        </is>
      </c>
      <c r="E385" t="inlineStr">
        <is>
          <t>RAGUNDA</t>
        </is>
      </c>
      <c r="G385" t="n">
        <v>1.3</v>
      </c>
      <c r="H385" t="n">
        <v>0</v>
      </c>
      <c r="I385" t="n">
        <v>0</v>
      </c>
      <c r="J385" t="n">
        <v>0</v>
      </c>
      <c r="K385" t="n">
        <v>0</v>
      </c>
      <c r="L385" t="n">
        <v>0</v>
      </c>
      <c r="M385" t="n">
        <v>0</v>
      </c>
      <c r="N385" t="n">
        <v>0</v>
      </c>
      <c r="O385" t="n">
        <v>0</v>
      </c>
      <c r="P385" t="n">
        <v>0</v>
      </c>
      <c r="Q385" t="n">
        <v>0</v>
      </c>
      <c r="R385" s="2" t="inlineStr"/>
    </row>
    <row r="386" ht="15" customHeight="1">
      <c r="A386" t="inlineStr">
        <is>
          <t>A 63841-2019</t>
        </is>
      </c>
      <c r="B386" s="1" t="n">
        <v>43795</v>
      </c>
      <c r="C386" s="1" t="n">
        <v>45753</v>
      </c>
      <c r="D386" t="inlineStr">
        <is>
          <t>JÄMTLANDS LÄN</t>
        </is>
      </c>
      <c r="E386" t="inlineStr">
        <is>
          <t>RAGUNDA</t>
        </is>
      </c>
      <c r="F386" t="inlineStr">
        <is>
          <t>SCA</t>
        </is>
      </c>
      <c r="G386" t="n">
        <v>7</v>
      </c>
      <c r="H386" t="n">
        <v>0</v>
      </c>
      <c r="I386" t="n">
        <v>0</v>
      </c>
      <c r="J386" t="n">
        <v>0</v>
      </c>
      <c r="K386" t="n">
        <v>0</v>
      </c>
      <c r="L386" t="n">
        <v>0</v>
      </c>
      <c r="M386" t="n">
        <v>0</v>
      </c>
      <c r="N386" t="n">
        <v>0</v>
      </c>
      <c r="O386" t="n">
        <v>0</v>
      </c>
      <c r="P386" t="n">
        <v>0</v>
      </c>
      <c r="Q386" t="n">
        <v>0</v>
      </c>
      <c r="R386" s="2" t="inlineStr"/>
    </row>
    <row r="387" ht="15" customHeight="1">
      <c r="A387" t="inlineStr">
        <is>
          <t>A 64316-2019</t>
        </is>
      </c>
      <c r="B387" s="1" t="n">
        <v>43797</v>
      </c>
      <c r="C387" s="1" t="n">
        <v>45753</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64432-2019</t>
        </is>
      </c>
      <c r="B388" s="1" t="n">
        <v>43797</v>
      </c>
      <c r="C388" s="1" t="n">
        <v>45753</v>
      </c>
      <c r="D388" t="inlineStr">
        <is>
          <t>JÄMTLANDS LÄN</t>
        </is>
      </c>
      <c r="E388" t="inlineStr">
        <is>
          <t>RAGUNDA</t>
        </is>
      </c>
      <c r="G388" t="n">
        <v>3.1</v>
      </c>
      <c r="H388" t="n">
        <v>0</v>
      </c>
      <c r="I388" t="n">
        <v>0</v>
      </c>
      <c r="J388" t="n">
        <v>0</v>
      </c>
      <c r="K388" t="n">
        <v>0</v>
      </c>
      <c r="L388" t="n">
        <v>0</v>
      </c>
      <c r="M388" t="n">
        <v>0</v>
      </c>
      <c r="N388" t="n">
        <v>0</v>
      </c>
      <c r="O388" t="n">
        <v>0</v>
      </c>
      <c r="P388" t="n">
        <v>0</v>
      </c>
      <c r="Q388" t="n">
        <v>0</v>
      </c>
      <c r="R388" s="2" t="inlineStr"/>
    </row>
    <row r="389" ht="15" customHeight="1">
      <c r="A389" t="inlineStr">
        <is>
          <t>A 66475-2019</t>
        </is>
      </c>
      <c r="B389" s="1" t="n">
        <v>43803</v>
      </c>
      <c r="C389" s="1" t="n">
        <v>45753</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67122-2019</t>
        </is>
      </c>
      <c r="B390" s="1" t="n">
        <v>43805</v>
      </c>
      <c r="C390" s="1" t="n">
        <v>45753</v>
      </c>
      <c r="D390" t="inlineStr">
        <is>
          <t>JÄMTLANDS LÄN</t>
        </is>
      </c>
      <c r="E390" t="inlineStr">
        <is>
          <t>RAGUNDA</t>
        </is>
      </c>
      <c r="G390" t="n">
        <v>0.2</v>
      </c>
      <c r="H390" t="n">
        <v>0</v>
      </c>
      <c r="I390" t="n">
        <v>0</v>
      </c>
      <c r="J390" t="n">
        <v>0</v>
      </c>
      <c r="K390" t="n">
        <v>0</v>
      </c>
      <c r="L390" t="n">
        <v>0</v>
      </c>
      <c r="M390" t="n">
        <v>0</v>
      </c>
      <c r="N390" t="n">
        <v>0</v>
      </c>
      <c r="O390" t="n">
        <v>0</v>
      </c>
      <c r="P390" t="n">
        <v>0</v>
      </c>
      <c r="Q390" t="n">
        <v>0</v>
      </c>
      <c r="R390" s="2" t="inlineStr"/>
    </row>
    <row r="391" ht="15" customHeight="1">
      <c r="A391" t="inlineStr">
        <is>
          <t>A 67285-2019</t>
        </is>
      </c>
      <c r="B391" s="1" t="n">
        <v>43812</v>
      </c>
      <c r="C391" s="1" t="n">
        <v>45753</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68600-2019</t>
        </is>
      </c>
      <c r="B392" s="1" t="n">
        <v>43818</v>
      </c>
      <c r="C392" s="1" t="n">
        <v>45753</v>
      </c>
      <c r="D392" t="inlineStr">
        <is>
          <t>JÄMTLANDS LÄN</t>
        </is>
      </c>
      <c r="E392" t="inlineStr">
        <is>
          <t>RAGUNDA</t>
        </is>
      </c>
      <c r="G392" t="n">
        <v>0.2</v>
      </c>
      <c r="H392" t="n">
        <v>0</v>
      </c>
      <c r="I392" t="n">
        <v>0</v>
      </c>
      <c r="J392" t="n">
        <v>0</v>
      </c>
      <c r="K392" t="n">
        <v>0</v>
      </c>
      <c r="L392" t="n">
        <v>0</v>
      </c>
      <c r="M392" t="n">
        <v>0</v>
      </c>
      <c r="N392" t="n">
        <v>0</v>
      </c>
      <c r="O392" t="n">
        <v>0</v>
      </c>
      <c r="P392" t="n">
        <v>0</v>
      </c>
      <c r="Q392" t="n">
        <v>0</v>
      </c>
      <c r="R392" s="2" t="inlineStr"/>
    </row>
    <row r="393" ht="15" customHeight="1">
      <c r="A393" t="inlineStr">
        <is>
          <t>A 68601-2019</t>
        </is>
      </c>
      <c r="B393" s="1" t="n">
        <v>43818</v>
      </c>
      <c r="C393" s="1" t="n">
        <v>45753</v>
      </c>
      <c r="D393" t="inlineStr">
        <is>
          <t>JÄMTLANDS LÄN</t>
        </is>
      </c>
      <c r="E393" t="inlineStr">
        <is>
          <t>RAGUNDA</t>
        </is>
      </c>
      <c r="G393" t="n">
        <v>1.9</v>
      </c>
      <c r="H393" t="n">
        <v>0</v>
      </c>
      <c r="I393" t="n">
        <v>0</v>
      </c>
      <c r="J393" t="n">
        <v>0</v>
      </c>
      <c r="K393" t="n">
        <v>0</v>
      </c>
      <c r="L393" t="n">
        <v>0</v>
      </c>
      <c r="M393" t="n">
        <v>0</v>
      </c>
      <c r="N393" t="n">
        <v>0</v>
      </c>
      <c r="O393" t="n">
        <v>0</v>
      </c>
      <c r="P393" t="n">
        <v>0</v>
      </c>
      <c r="Q393" t="n">
        <v>0</v>
      </c>
      <c r="R393" s="2" t="inlineStr"/>
    </row>
    <row r="394" ht="15" customHeight="1">
      <c r="A394" t="inlineStr">
        <is>
          <t>A 68840-2019</t>
        </is>
      </c>
      <c r="B394" s="1" t="n">
        <v>43819</v>
      </c>
      <c r="C394" s="1" t="n">
        <v>45753</v>
      </c>
      <c r="D394" t="inlineStr">
        <is>
          <t>JÄMTLANDS LÄN</t>
        </is>
      </c>
      <c r="E394" t="inlineStr">
        <is>
          <t>RAGUNDA</t>
        </is>
      </c>
      <c r="G394" t="n">
        <v>2.2</v>
      </c>
      <c r="H394" t="n">
        <v>0</v>
      </c>
      <c r="I394" t="n">
        <v>0</v>
      </c>
      <c r="J394" t="n">
        <v>0</v>
      </c>
      <c r="K394" t="n">
        <v>0</v>
      </c>
      <c r="L394" t="n">
        <v>0</v>
      </c>
      <c r="M394" t="n">
        <v>0</v>
      </c>
      <c r="N394" t="n">
        <v>0</v>
      </c>
      <c r="O394" t="n">
        <v>0</v>
      </c>
      <c r="P394" t="n">
        <v>0</v>
      </c>
      <c r="Q394" t="n">
        <v>0</v>
      </c>
      <c r="R394" s="2" t="inlineStr"/>
    </row>
    <row r="395" ht="15" customHeight="1">
      <c r="A395" t="inlineStr">
        <is>
          <t>A 1784-2020</t>
        </is>
      </c>
      <c r="B395" s="1" t="n">
        <v>43833</v>
      </c>
      <c r="C395" s="1" t="n">
        <v>45753</v>
      </c>
      <c r="D395" t="inlineStr">
        <is>
          <t>JÄMTLANDS LÄN</t>
        </is>
      </c>
      <c r="E395" t="inlineStr">
        <is>
          <t>RAGUNDA</t>
        </is>
      </c>
      <c r="G395" t="n">
        <v>15.5</v>
      </c>
      <c r="H395" t="n">
        <v>0</v>
      </c>
      <c r="I395" t="n">
        <v>0</v>
      </c>
      <c r="J395" t="n">
        <v>0</v>
      </c>
      <c r="K395" t="n">
        <v>0</v>
      </c>
      <c r="L395" t="n">
        <v>0</v>
      </c>
      <c r="M395" t="n">
        <v>0</v>
      </c>
      <c r="N395" t="n">
        <v>0</v>
      </c>
      <c r="O395" t="n">
        <v>0</v>
      </c>
      <c r="P395" t="n">
        <v>0</v>
      </c>
      <c r="Q395" t="n">
        <v>0</v>
      </c>
      <c r="R395" s="2" t="inlineStr"/>
    </row>
    <row r="396" ht="15" customHeight="1">
      <c r="A396" t="inlineStr">
        <is>
          <t>A 2636-2020</t>
        </is>
      </c>
      <c r="B396" s="1" t="n">
        <v>43847</v>
      </c>
      <c r="C396" s="1" t="n">
        <v>45753</v>
      </c>
      <c r="D396" t="inlineStr">
        <is>
          <t>JÄMTLANDS LÄN</t>
        </is>
      </c>
      <c r="E396" t="inlineStr">
        <is>
          <t>RAGUNDA</t>
        </is>
      </c>
      <c r="G396" t="n">
        <v>2.9</v>
      </c>
      <c r="H396" t="n">
        <v>0</v>
      </c>
      <c r="I396" t="n">
        <v>0</v>
      </c>
      <c r="J396" t="n">
        <v>0</v>
      </c>
      <c r="K396" t="n">
        <v>0</v>
      </c>
      <c r="L396" t="n">
        <v>0</v>
      </c>
      <c r="M396" t="n">
        <v>0</v>
      </c>
      <c r="N396" t="n">
        <v>0</v>
      </c>
      <c r="O396" t="n">
        <v>0</v>
      </c>
      <c r="P396" t="n">
        <v>0</v>
      </c>
      <c r="Q396" t="n">
        <v>0</v>
      </c>
      <c r="R396" s="2" t="inlineStr"/>
    </row>
    <row r="397" ht="15" customHeight="1">
      <c r="A397" t="inlineStr">
        <is>
          <t>A 2791-2020</t>
        </is>
      </c>
      <c r="B397" s="1" t="n">
        <v>43850</v>
      </c>
      <c r="C397" s="1" t="n">
        <v>45753</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6051-2020</t>
        </is>
      </c>
      <c r="B398" s="1" t="n">
        <v>43861</v>
      </c>
      <c r="C398" s="1" t="n">
        <v>45753</v>
      </c>
      <c r="D398" t="inlineStr">
        <is>
          <t>JÄMTLANDS LÄN</t>
        </is>
      </c>
      <c r="E398" t="inlineStr">
        <is>
          <t>RAGUNDA</t>
        </is>
      </c>
      <c r="G398" t="n">
        <v>3.4</v>
      </c>
      <c r="H398" t="n">
        <v>0</v>
      </c>
      <c r="I398" t="n">
        <v>0</v>
      </c>
      <c r="J398" t="n">
        <v>0</v>
      </c>
      <c r="K398" t="n">
        <v>0</v>
      </c>
      <c r="L398" t="n">
        <v>0</v>
      </c>
      <c r="M398" t="n">
        <v>0</v>
      </c>
      <c r="N398" t="n">
        <v>0</v>
      </c>
      <c r="O398" t="n">
        <v>0</v>
      </c>
      <c r="P398" t="n">
        <v>0</v>
      </c>
      <c r="Q398" t="n">
        <v>0</v>
      </c>
      <c r="R398" s="2" t="inlineStr"/>
    </row>
    <row r="399" ht="15" customHeight="1">
      <c r="A399" t="inlineStr">
        <is>
          <t>A 7071-2020</t>
        </is>
      </c>
      <c r="B399" s="1" t="n">
        <v>43868</v>
      </c>
      <c r="C399" s="1" t="n">
        <v>45753</v>
      </c>
      <c r="D399" t="inlineStr">
        <is>
          <t>JÄMTLANDS LÄN</t>
        </is>
      </c>
      <c r="E399" t="inlineStr">
        <is>
          <t>RAGUNDA</t>
        </is>
      </c>
      <c r="G399" t="n">
        <v>2.1</v>
      </c>
      <c r="H399" t="n">
        <v>0</v>
      </c>
      <c r="I399" t="n">
        <v>0</v>
      </c>
      <c r="J399" t="n">
        <v>0</v>
      </c>
      <c r="K399" t="n">
        <v>0</v>
      </c>
      <c r="L399" t="n">
        <v>0</v>
      </c>
      <c r="M399" t="n">
        <v>0</v>
      </c>
      <c r="N399" t="n">
        <v>0</v>
      </c>
      <c r="O399" t="n">
        <v>0</v>
      </c>
      <c r="P399" t="n">
        <v>0</v>
      </c>
      <c r="Q399" t="n">
        <v>0</v>
      </c>
      <c r="R399" s="2" t="inlineStr"/>
    </row>
    <row r="400" ht="15" customHeight="1">
      <c r="A400" t="inlineStr">
        <is>
          <t>A 7720-2020</t>
        </is>
      </c>
      <c r="B400" s="1" t="n">
        <v>43872</v>
      </c>
      <c r="C400" s="1" t="n">
        <v>45753</v>
      </c>
      <c r="D400" t="inlineStr">
        <is>
          <t>JÄMTLANDS LÄN</t>
        </is>
      </c>
      <c r="E400" t="inlineStr">
        <is>
          <t>RAGUNDA</t>
        </is>
      </c>
      <c r="G400" t="n">
        <v>1.5</v>
      </c>
      <c r="H400" t="n">
        <v>0</v>
      </c>
      <c r="I400" t="n">
        <v>0</v>
      </c>
      <c r="J400" t="n">
        <v>0</v>
      </c>
      <c r="K400" t="n">
        <v>0</v>
      </c>
      <c r="L400" t="n">
        <v>0</v>
      </c>
      <c r="M400" t="n">
        <v>0</v>
      </c>
      <c r="N400" t="n">
        <v>0</v>
      </c>
      <c r="O400" t="n">
        <v>0</v>
      </c>
      <c r="P400" t="n">
        <v>0</v>
      </c>
      <c r="Q400" t="n">
        <v>0</v>
      </c>
      <c r="R400" s="2" t="inlineStr"/>
    </row>
    <row r="401" ht="15" customHeight="1">
      <c r="A401" t="inlineStr">
        <is>
          <t>A 8040-2020</t>
        </is>
      </c>
      <c r="B401" s="1" t="n">
        <v>43873</v>
      </c>
      <c r="C401" s="1" t="n">
        <v>45753</v>
      </c>
      <c r="D401" t="inlineStr">
        <is>
          <t>JÄMTLANDS LÄN</t>
        </is>
      </c>
      <c r="E401" t="inlineStr">
        <is>
          <t>RAGUNDA</t>
        </is>
      </c>
      <c r="G401" t="n">
        <v>14</v>
      </c>
      <c r="H401" t="n">
        <v>0</v>
      </c>
      <c r="I401" t="n">
        <v>0</v>
      </c>
      <c r="J401" t="n">
        <v>0</v>
      </c>
      <c r="K401" t="n">
        <v>0</v>
      </c>
      <c r="L401" t="n">
        <v>0</v>
      </c>
      <c r="M401" t="n">
        <v>0</v>
      </c>
      <c r="N401" t="n">
        <v>0</v>
      </c>
      <c r="O401" t="n">
        <v>0</v>
      </c>
      <c r="P401" t="n">
        <v>0</v>
      </c>
      <c r="Q401" t="n">
        <v>0</v>
      </c>
      <c r="R401" s="2" t="inlineStr"/>
    </row>
    <row r="402" ht="15" customHeight="1">
      <c r="A402" t="inlineStr">
        <is>
          <t>A 9527-2020</t>
        </is>
      </c>
      <c r="B402" s="1" t="n">
        <v>43880</v>
      </c>
      <c r="C402" s="1" t="n">
        <v>45753</v>
      </c>
      <c r="D402" t="inlineStr">
        <is>
          <t>JÄMTLANDS LÄN</t>
        </is>
      </c>
      <c r="E402" t="inlineStr">
        <is>
          <t>RAGUNDA</t>
        </is>
      </c>
      <c r="G402" t="n">
        <v>4.7</v>
      </c>
      <c r="H402" t="n">
        <v>0</v>
      </c>
      <c r="I402" t="n">
        <v>0</v>
      </c>
      <c r="J402" t="n">
        <v>0</v>
      </c>
      <c r="K402" t="n">
        <v>0</v>
      </c>
      <c r="L402" t="n">
        <v>0</v>
      </c>
      <c r="M402" t="n">
        <v>0</v>
      </c>
      <c r="N402" t="n">
        <v>0</v>
      </c>
      <c r="O402" t="n">
        <v>0</v>
      </c>
      <c r="P402" t="n">
        <v>0</v>
      </c>
      <c r="Q402" t="n">
        <v>0</v>
      </c>
      <c r="R402" s="2" t="inlineStr"/>
    </row>
    <row r="403" ht="15" customHeight="1">
      <c r="A403" t="inlineStr">
        <is>
          <t>A 9823-2020</t>
        </is>
      </c>
      <c r="B403" s="1" t="n">
        <v>43881</v>
      </c>
      <c r="C403" s="1" t="n">
        <v>45753</v>
      </c>
      <c r="D403" t="inlineStr">
        <is>
          <t>JÄMTLANDS LÄN</t>
        </is>
      </c>
      <c r="E403" t="inlineStr">
        <is>
          <t>RAGUNDA</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9962-2020</t>
        </is>
      </c>
      <c r="B404" s="1" t="n">
        <v>43882</v>
      </c>
      <c r="C404" s="1" t="n">
        <v>45753</v>
      </c>
      <c r="D404" t="inlineStr">
        <is>
          <t>JÄMTLANDS LÄN</t>
        </is>
      </c>
      <c r="E404" t="inlineStr">
        <is>
          <t>RAGUNDA</t>
        </is>
      </c>
      <c r="G404" t="n">
        <v>1.2</v>
      </c>
      <c r="H404" t="n">
        <v>0</v>
      </c>
      <c r="I404" t="n">
        <v>0</v>
      </c>
      <c r="J404" t="n">
        <v>0</v>
      </c>
      <c r="K404" t="n">
        <v>0</v>
      </c>
      <c r="L404" t="n">
        <v>0</v>
      </c>
      <c r="M404" t="n">
        <v>0</v>
      </c>
      <c r="N404" t="n">
        <v>0</v>
      </c>
      <c r="O404" t="n">
        <v>0</v>
      </c>
      <c r="P404" t="n">
        <v>0</v>
      </c>
      <c r="Q404" t="n">
        <v>0</v>
      </c>
      <c r="R404" s="2" t="inlineStr"/>
    </row>
    <row r="405" ht="15" customHeight="1">
      <c r="A405" t="inlineStr">
        <is>
          <t>A 10642-2020</t>
        </is>
      </c>
      <c r="B405" s="1" t="n">
        <v>43887</v>
      </c>
      <c r="C405" s="1" t="n">
        <v>45753</v>
      </c>
      <c r="D405" t="inlineStr">
        <is>
          <t>JÄMTLANDS LÄN</t>
        </is>
      </c>
      <c r="E405" t="inlineStr">
        <is>
          <t>RAGUNDA</t>
        </is>
      </c>
      <c r="G405" t="n">
        <v>4.6</v>
      </c>
      <c r="H405" t="n">
        <v>0</v>
      </c>
      <c r="I405" t="n">
        <v>0</v>
      </c>
      <c r="J405" t="n">
        <v>0</v>
      </c>
      <c r="K405" t="n">
        <v>0</v>
      </c>
      <c r="L405" t="n">
        <v>0</v>
      </c>
      <c r="M405" t="n">
        <v>0</v>
      </c>
      <c r="N405" t="n">
        <v>0</v>
      </c>
      <c r="O405" t="n">
        <v>0</v>
      </c>
      <c r="P405" t="n">
        <v>0</v>
      </c>
      <c r="Q405" t="n">
        <v>0</v>
      </c>
      <c r="R405" s="2" t="inlineStr"/>
    </row>
    <row r="406" ht="15" customHeight="1">
      <c r="A406" t="inlineStr">
        <is>
          <t>A 13057-2020</t>
        </is>
      </c>
      <c r="B406" s="1" t="n">
        <v>43900</v>
      </c>
      <c r="C406" s="1" t="n">
        <v>45753</v>
      </c>
      <c r="D406" t="inlineStr">
        <is>
          <t>JÄMTLANDS LÄN</t>
        </is>
      </c>
      <c r="E406" t="inlineStr">
        <is>
          <t>RAGUNDA</t>
        </is>
      </c>
      <c r="G406" t="n">
        <v>10.8</v>
      </c>
      <c r="H406" t="n">
        <v>0</v>
      </c>
      <c r="I406" t="n">
        <v>0</v>
      </c>
      <c r="J406" t="n">
        <v>0</v>
      </c>
      <c r="K406" t="n">
        <v>0</v>
      </c>
      <c r="L406" t="n">
        <v>0</v>
      </c>
      <c r="M406" t="n">
        <v>0</v>
      </c>
      <c r="N406" t="n">
        <v>0</v>
      </c>
      <c r="O406" t="n">
        <v>0</v>
      </c>
      <c r="P406" t="n">
        <v>0</v>
      </c>
      <c r="Q406" t="n">
        <v>0</v>
      </c>
      <c r="R406" s="2" t="inlineStr"/>
    </row>
    <row r="407" ht="15" customHeight="1">
      <c r="A407" t="inlineStr">
        <is>
          <t>A 13202-2020</t>
        </is>
      </c>
      <c r="B407" s="1" t="n">
        <v>43901</v>
      </c>
      <c r="C407" s="1" t="n">
        <v>45753</v>
      </c>
      <c r="D407" t="inlineStr">
        <is>
          <t>JÄMTLANDS LÄN</t>
        </is>
      </c>
      <c r="E407" t="inlineStr">
        <is>
          <t>RAGUNDA</t>
        </is>
      </c>
      <c r="G407" t="n">
        <v>6.9</v>
      </c>
      <c r="H407" t="n">
        <v>0</v>
      </c>
      <c r="I407" t="n">
        <v>0</v>
      </c>
      <c r="J407" t="n">
        <v>0</v>
      </c>
      <c r="K407" t="n">
        <v>0</v>
      </c>
      <c r="L407" t="n">
        <v>0</v>
      </c>
      <c r="M407" t="n">
        <v>0</v>
      </c>
      <c r="N407" t="n">
        <v>0</v>
      </c>
      <c r="O407" t="n">
        <v>0</v>
      </c>
      <c r="P407" t="n">
        <v>0</v>
      </c>
      <c r="Q407" t="n">
        <v>0</v>
      </c>
      <c r="R407" s="2" t="inlineStr"/>
    </row>
    <row r="408" ht="15" customHeight="1">
      <c r="A408" t="inlineStr">
        <is>
          <t>A 13563-2020</t>
        </is>
      </c>
      <c r="B408" s="1" t="n">
        <v>43902</v>
      </c>
      <c r="C408" s="1" t="n">
        <v>45753</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14293-2020</t>
        </is>
      </c>
      <c r="B409" s="1" t="n">
        <v>43907</v>
      </c>
      <c r="C409" s="1" t="n">
        <v>45753</v>
      </c>
      <c r="D409" t="inlineStr">
        <is>
          <t>JÄMTLANDS LÄN</t>
        </is>
      </c>
      <c r="E409" t="inlineStr">
        <is>
          <t>RAGUNDA</t>
        </is>
      </c>
      <c r="G409" t="n">
        <v>2.7</v>
      </c>
      <c r="H409" t="n">
        <v>0</v>
      </c>
      <c r="I409" t="n">
        <v>0</v>
      </c>
      <c r="J409" t="n">
        <v>0</v>
      </c>
      <c r="K409" t="n">
        <v>0</v>
      </c>
      <c r="L409" t="n">
        <v>0</v>
      </c>
      <c r="M409" t="n">
        <v>0</v>
      </c>
      <c r="N409" t="n">
        <v>0</v>
      </c>
      <c r="O409" t="n">
        <v>0</v>
      </c>
      <c r="P409" t="n">
        <v>0</v>
      </c>
      <c r="Q409" t="n">
        <v>0</v>
      </c>
      <c r="R409" s="2" t="inlineStr"/>
    </row>
    <row r="410" ht="15" customHeight="1">
      <c r="A410" t="inlineStr">
        <is>
          <t>A 15117-2020</t>
        </is>
      </c>
      <c r="B410" s="1" t="n">
        <v>43910</v>
      </c>
      <c r="C410" s="1" t="n">
        <v>45753</v>
      </c>
      <c r="D410" t="inlineStr">
        <is>
          <t>JÄMTLANDS LÄN</t>
        </is>
      </c>
      <c r="E410" t="inlineStr">
        <is>
          <t>RAGUNDA</t>
        </is>
      </c>
      <c r="G410" t="n">
        <v>0.6</v>
      </c>
      <c r="H410" t="n">
        <v>0</v>
      </c>
      <c r="I410" t="n">
        <v>0</v>
      </c>
      <c r="J410" t="n">
        <v>0</v>
      </c>
      <c r="K410" t="n">
        <v>0</v>
      </c>
      <c r="L410" t="n">
        <v>0</v>
      </c>
      <c r="M410" t="n">
        <v>0</v>
      </c>
      <c r="N410" t="n">
        <v>0</v>
      </c>
      <c r="O410" t="n">
        <v>0</v>
      </c>
      <c r="P410" t="n">
        <v>0</v>
      </c>
      <c r="Q410" t="n">
        <v>0</v>
      </c>
      <c r="R410" s="2" t="inlineStr"/>
    </row>
    <row r="411" ht="15" customHeight="1">
      <c r="A411" t="inlineStr">
        <is>
          <t>A 15118-2020</t>
        </is>
      </c>
      <c r="B411" s="1" t="n">
        <v>43910</v>
      </c>
      <c r="C411" s="1" t="n">
        <v>45753</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15345-2020</t>
        </is>
      </c>
      <c r="B412" s="1" t="n">
        <v>43913</v>
      </c>
      <c r="C412" s="1" t="n">
        <v>45753</v>
      </c>
      <c r="D412" t="inlineStr">
        <is>
          <t>JÄMTLANDS LÄN</t>
        </is>
      </c>
      <c r="E412" t="inlineStr">
        <is>
          <t>RAGUNDA</t>
        </is>
      </c>
      <c r="G412" t="n">
        <v>1.9</v>
      </c>
      <c r="H412" t="n">
        <v>0</v>
      </c>
      <c r="I412" t="n">
        <v>0</v>
      </c>
      <c r="J412" t="n">
        <v>0</v>
      </c>
      <c r="K412" t="n">
        <v>0</v>
      </c>
      <c r="L412" t="n">
        <v>0</v>
      </c>
      <c r="M412" t="n">
        <v>0</v>
      </c>
      <c r="N412" t="n">
        <v>0</v>
      </c>
      <c r="O412" t="n">
        <v>0</v>
      </c>
      <c r="P412" t="n">
        <v>0</v>
      </c>
      <c r="Q412" t="n">
        <v>0</v>
      </c>
      <c r="R412" s="2" t="inlineStr"/>
    </row>
    <row r="413" ht="15" customHeight="1">
      <c r="A413" t="inlineStr">
        <is>
          <t>A 17845-2020</t>
        </is>
      </c>
      <c r="B413" s="1" t="n">
        <v>43923</v>
      </c>
      <c r="C413" s="1" t="n">
        <v>45753</v>
      </c>
      <c r="D413" t="inlineStr">
        <is>
          <t>JÄMTLANDS LÄN</t>
        </is>
      </c>
      <c r="E413" t="inlineStr">
        <is>
          <t>RAGUNDA</t>
        </is>
      </c>
      <c r="G413" t="n">
        <v>12.1</v>
      </c>
      <c r="H413" t="n">
        <v>0</v>
      </c>
      <c r="I413" t="n">
        <v>0</v>
      </c>
      <c r="J413" t="n">
        <v>0</v>
      </c>
      <c r="K413" t="n">
        <v>0</v>
      </c>
      <c r="L413" t="n">
        <v>0</v>
      </c>
      <c r="M413" t="n">
        <v>0</v>
      </c>
      <c r="N413" t="n">
        <v>0</v>
      </c>
      <c r="O413" t="n">
        <v>0</v>
      </c>
      <c r="P413" t="n">
        <v>0</v>
      </c>
      <c r="Q413" t="n">
        <v>0</v>
      </c>
      <c r="R413" s="2" t="inlineStr"/>
    </row>
    <row r="414" ht="15" customHeight="1">
      <c r="A414" t="inlineStr">
        <is>
          <t>A 19918-2020</t>
        </is>
      </c>
      <c r="B414" s="1" t="n">
        <v>43943</v>
      </c>
      <c r="C414" s="1" t="n">
        <v>45753</v>
      </c>
      <c r="D414" t="inlineStr">
        <is>
          <t>JÄMTLANDS LÄN</t>
        </is>
      </c>
      <c r="E414" t="inlineStr">
        <is>
          <t>RAGUNDA</t>
        </is>
      </c>
      <c r="G414" t="n">
        <v>6.2</v>
      </c>
      <c r="H414" t="n">
        <v>0</v>
      </c>
      <c r="I414" t="n">
        <v>0</v>
      </c>
      <c r="J414" t="n">
        <v>0</v>
      </c>
      <c r="K414" t="n">
        <v>0</v>
      </c>
      <c r="L414" t="n">
        <v>0</v>
      </c>
      <c r="M414" t="n">
        <v>0</v>
      </c>
      <c r="N414" t="n">
        <v>0</v>
      </c>
      <c r="O414" t="n">
        <v>0</v>
      </c>
      <c r="P414" t="n">
        <v>0</v>
      </c>
      <c r="Q414" t="n">
        <v>0</v>
      </c>
      <c r="R414" s="2" t="inlineStr"/>
    </row>
    <row r="415" ht="15" customHeight="1">
      <c r="A415" t="inlineStr">
        <is>
          <t>A 20616-2020</t>
        </is>
      </c>
      <c r="B415" s="1" t="n">
        <v>43948</v>
      </c>
      <c r="C415" s="1" t="n">
        <v>45753</v>
      </c>
      <c r="D415" t="inlineStr">
        <is>
          <t>JÄMTLANDS LÄN</t>
        </is>
      </c>
      <c r="E415" t="inlineStr">
        <is>
          <t>RAGUNDA</t>
        </is>
      </c>
      <c r="G415" t="n">
        <v>4.1</v>
      </c>
      <c r="H415" t="n">
        <v>0</v>
      </c>
      <c r="I415" t="n">
        <v>0</v>
      </c>
      <c r="J415" t="n">
        <v>0</v>
      </c>
      <c r="K415" t="n">
        <v>0</v>
      </c>
      <c r="L415" t="n">
        <v>0</v>
      </c>
      <c r="M415" t="n">
        <v>0</v>
      </c>
      <c r="N415" t="n">
        <v>0</v>
      </c>
      <c r="O415" t="n">
        <v>0</v>
      </c>
      <c r="P415" t="n">
        <v>0</v>
      </c>
      <c r="Q415" t="n">
        <v>0</v>
      </c>
      <c r="R415" s="2" t="inlineStr"/>
    </row>
    <row r="416" ht="15" customHeight="1">
      <c r="A416" t="inlineStr">
        <is>
          <t>A 20815-2020</t>
        </is>
      </c>
      <c r="B416" s="1" t="n">
        <v>43949</v>
      </c>
      <c r="C416" s="1" t="n">
        <v>45753</v>
      </c>
      <c r="D416" t="inlineStr">
        <is>
          <t>JÄMTLANDS LÄN</t>
        </is>
      </c>
      <c r="E416" t="inlineStr">
        <is>
          <t>RAGUNDA</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21172-2020</t>
        </is>
      </c>
      <c r="B417" s="1" t="n">
        <v>43951</v>
      </c>
      <c r="C417" s="1" t="n">
        <v>45753</v>
      </c>
      <c r="D417" t="inlineStr">
        <is>
          <t>JÄMTLANDS LÄN</t>
        </is>
      </c>
      <c r="E417" t="inlineStr">
        <is>
          <t>RAGUNDA</t>
        </is>
      </c>
      <c r="G417" t="n">
        <v>3.6</v>
      </c>
      <c r="H417" t="n">
        <v>0</v>
      </c>
      <c r="I417" t="n">
        <v>0</v>
      </c>
      <c r="J417" t="n">
        <v>0</v>
      </c>
      <c r="K417" t="n">
        <v>0</v>
      </c>
      <c r="L417" t="n">
        <v>0</v>
      </c>
      <c r="M417" t="n">
        <v>0</v>
      </c>
      <c r="N417" t="n">
        <v>0</v>
      </c>
      <c r="O417" t="n">
        <v>0</v>
      </c>
      <c r="P417" t="n">
        <v>0</v>
      </c>
      <c r="Q417" t="n">
        <v>0</v>
      </c>
      <c r="R417" s="2" t="inlineStr"/>
    </row>
    <row r="418" ht="15" customHeight="1">
      <c r="A418" t="inlineStr">
        <is>
          <t>A 21419-2020</t>
        </is>
      </c>
      <c r="B418" s="1" t="n">
        <v>43955</v>
      </c>
      <c r="C418" s="1" t="n">
        <v>45753</v>
      </c>
      <c r="D418" t="inlineStr">
        <is>
          <t>JÄMTLANDS LÄN</t>
        </is>
      </c>
      <c r="E418" t="inlineStr">
        <is>
          <t>RAGUNDA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21418-2020</t>
        </is>
      </c>
      <c r="B419" s="1" t="n">
        <v>43955</v>
      </c>
      <c r="C419" s="1" t="n">
        <v>45753</v>
      </c>
      <c r="D419" t="inlineStr">
        <is>
          <t>JÄMTLANDS LÄN</t>
        </is>
      </c>
      <c r="E419" t="inlineStr">
        <is>
          <t>RAGUNDA</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21420-2020</t>
        </is>
      </c>
      <c r="B420" s="1" t="n">
        <v>43955</v>
      </c>
      <c r="C420" s="1" t="n">
        <v>45753</v>
      </c>
      <c r="D420" t="inlineStr">
        <is>
          <t>JÄMTLANDS LÄN</t>
        </is>
      </c>
      <c r="E420" t="inlineStr">
        <is>
          <t>RAGUNDA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21416-2020</t>
        </is>
      </c>
      <c r="B421" s="1" t="n">
        <v>43955</v>
      </c>
      <c r="C421" s="1" t="n">
        <v>45753</v>
      </c>
      <c r="D421" t="inlineStr">
        <is>
          <t>JÄMTLANDS LÄN</t>
        </is>
      </c>
      <c r="E421" t="inlineStr">
        <is>
          <t>RAGUNDA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21593-2020</t>
        </is>
      </c>
      <c r="B422" s="1" t="n">
        <v>43956</v>
      </c>
      <c r="C422" s="1" t="n">
        <v>45753</v>
      </c>
      <c r="D422" t="inlineStr">
        <is>
          <t>JÄMTLANDS LÄN</t>
        </is>
      </c>
      <c r="E422" t="inlineStr">
        <is>
          <t>RAGUNDA</t>
        </is>
      </c>
      <c r="F422" t="inlineStr">
        <is>
          <t>SCA</t>
        </is>
      </c>
      <c r="G422" t="n">
        <v>5.9</v>
      </c>
      <c r="H422" t="n">
        <v>0</v>
      </c>
      <c r="I422" t="n">
        <v>0</v>
      </c>
      <c r="J422" t="n">
        <v>0</v>
      </c>
      <c r="K422" t="n">
        <v>0</v>
      </c>
      <c r="L422" t="n">
        <v>0</v>
      </c>
      <c r="M422" t="n">
        <v>0</v>
      </c>
      <c r="N422" t="n">
        <v>0</v>
      </c>
      <c r="O422" t="n">
        <v>0</v>
      </c>
      <c r="P422" t="n">
        <v>0</v>
      </c>
      <c r="Q422" t="n">
        <v>0</v>
      </c>
      <c r="R422" s="2" t="inlineStr"/>
    </row>
    <row r="423" ht="15" customHeight="1">
      <c r="A423" t="inlineStr">
        <is>
          <t>A 21681-2020</t>
        </is>
      </c>
      <c r="B423" s="1" t="n">
        <v>43957</v>
      </c>
      <c r="C423" s="1" t="n">
        <v>45753</v>
      </c>
      <c r="D423" t="inlineStr">
        <is>
          <t>JÄMTLANDS LÄN</t>
        </is>
      </c>
      <c r="E423" t="inlineStr">
        <is>
          <t>RAGUNDA</t>
        </is>
      </c>
      <c r="G423" t="n">
        <v>0.8</v>
      </c>
      <c r="H423" t="n">
        <v>0</v>
      </c>
      <c r="I423" t="n">
        <v>0</v>
      </c>
      <c r="J423" t="n">
        <v>0</v>
      </c>
      <c r="K423" t="n">
        <v>0</v>
      </c>
      <c r="L423" t="n">
        <v>0</v>
      </c>
      <c r="M423" t="n">
        <v>0</v>
      </c>
      <c r="N423" t="n">
        <v>0</v>
      </c>
      <c r="O423" t="n">
        <v>0</v>
      </c>
      <c r="P423" t="n">
        <v>0</v>
      </c>
      <c r="Q423" t="n">
        <v>0</v>
      </c>
      <c r="R423" s="2" t="inlineStr"/>
    </row>
    <row r="424" ht="15" customHeight="1">
      <c r="A424" t="inlineStr">
        <is>
          <t>A 22108-2020</t>
        </is>
      </c>
      <c r="B424" s="1" t="n">
        <v>43960</v>
      </c>
      <c r="C424" s="1" t="n">
        <v>45753</v>
      </c>
      <c r="D424" t="inlineStr">
        <is>
          <t>JÄMTLANDS LÄN</t>
        </is>
      </c>
      <c r="E424" t="inlineStr">
        <is>
          <t>RAGUNDA</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22115-2020</t>
        </is>
      </c>
      <c r="B425" s="1" t="n">
        <v>43960</v>
      </c>
      <c r="C425" s="1" t="n">
        <v>45753</v>
      </c>
      <c r="D425" t="inlineStr">
        <is>
          <t>JÄMTLANDS LÄN</t>
        </is>
      </c>
      <c r="E425" t="inlineStr">
        <is>
          <t>RAGUNDA</t>
        </is>
      </c>
      <c r="F425" t="inlineStr">
        <is>
          <t>SCA</t>
        </is>
      </c>
      <c r="G425" t="n">
        <v>8.6</v>
      </c>
      <c r="H425" t="n">
        <v>0</v>
      </c>
      <c r="I425" t="n">
        <v>0</v>
      </c>
      <c r="J425" t="n">
        <v>0</v>
      </c>
      <c r="K425" t="n">
        <v>0</v>
      </c>
      <c r="L425" t="n">
        <v>0</v>
      </c>
      <c r="M425" t="n">
        <v>0</v>
      </c>
      <c r="N425" t="n">
        <v>0</v>
      </c>
      <c r="O425" t="n">
        <v>0</v>
      </c>
      <c r="P425" t="n">
        <v>0</v>
      </c>
      <c r="Q425" t="n">
        <v>0</v>
      </c>
      <c r="R425" s="2" t="inlineStr"/>
    </row>
    <row r="426" ht="15" customHeight="1">
      <c r="A426" t="inlineStr">
        <is>
          <t>A 22948-2020</t>
        </is>
      </c>
      <c r="B426" s="1" t="n">
        <v>43965</v>
      </c>
      <c r="C426" s="1" t="n">
        <v>45753</v>
      </c>
      <c r="D426" t="inlineStr">
        <is>
          <t>JÄMTLANDS LÄN</t>
        </is>
      </c>
      <c r="E426" t="inlineStr">
        <is>
          <t>RAGUNDA</t>
        </is>
      </c>
      <c r="G426" t="n">
        <v>1.7</v>
      </c>
      <c r="H426" t="n">
        <v>0</v>
      </c>
      <c r="I426" t="n">
        <v>0</v>
      </c>
      <c r="J426" t="n">
        <v>0</v>
      </c>
      <c r="K426" t="n">
        <v>0</v>
      </c>
      <c r="L426" t="n">
        <v>0</v>
      </c>
      <c r="M426" t="n">
        <v>0</v>
      </c>
      <c r="N426" t="n">
        <v>0</v>
      </c>
      <c r="O426" t="n">
        <v>0</v>
      </c>
      <c r="P426" t="n">
        <v>0</v>
      </c>
      <c r="Q426" t="n">
        <v>0</v>
      </c>
      <c r="R426" s="2" t="inlineStr"/>
    </row>
    <row r="427" ht="15" customHeight="1">
      <c r="A427" t="inlineStr">
        <is>
          <t>A 23633-2020</t>
        </is>
      </c>
      <c r="B427" s="1" t="n">
        <v>43969</v>
      </c>
      <c r="C427" s="1" t="n">
        <v>45753</v>
      </c>
      <c r="D427" t="inlineStr">
        <is>
          <t>JÄMTLANDS LÄN</t>
        </is>
      </c>
      <c r="E427" t="inlineStr">
        <is>
          <t>RAGUNDA</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24033-2020</t>
        </is>
      </c>
      <c r="B428" s="1" t="n">
        <v>43971</v>
      </c>
      <c r="C428" s="1" t="n">
        <v>45753</v>
      </c>
      <c r="D428" t="inlineStr">
        <is>
          <t>JÄMTLANDS LÄN</t>
        </is>
      </c>
      <c r="E428" t="inlineStr">
        <is>
          <t>RAGUNDA</t>
        </is>
      </c>
      <c r="G428" t="n">
        <v>3.9</v>
      </c>
      <c r="H428" t="n">
        <v>0</v>
      </c>
      <c r="I428" t="n">
        <v>0</v>
      </c>
      <c r="J428" t="n">
        <v>0</v>
      </c>
      <c r="K428" t="n">
        <v>0</v>
      </c>
      <c r="L428" t="n">
        <v>0</v>
      </c>
      <c r="M428" t="n">
        <v>0</v>
      </c>
      <c r="N428" t="n">
        <v>0</v>
      </c>
      <c r="O428" t="n">
        <v>0</v>
      </c>
      <c r="P428" t="n">
        <v>0</v>
      </c>
      <c r="Q428" t="n">
        <v>0</v>
      </c>
      <c r="R428" s="2" t="inlineStr"/>
    </row>
    <row r="429" ht="15" customHeight="1">
      <c r="A429" t="inlineStr">
        <is>
          <t>A 24032-2020</t>
        </is>
      </c>
      <c r="B429" s="1" t="n">
        <v>43971</v>
      </c>
      <c r="C429" s="1" t="n">
        <v>45753</v>
      </c>
      <c r="D429" t="inlineStr">
        <is>
          <t>JÄMTLANDS LÄN</t>
        </is>
      </c>
      <c r="E429" t="inlineStr">
        <is>
          <t>RAGUNDA</t>
        </is>
      </c>
      <c r="G429" t="n">
        <v>6.9</v>
      </c>
      <c r="H429" t="n">
        <v>0</v>
      </c>
      <c r="I429" t="n">
        <v>0</v>
      </c>
      <c r="J429" t="n">
        <v>0</v>
      </c>
      <c r="K429" t="n">
        <v>0</v>
      </c>
      <c r="L429" t="n">
        <v>0</v>
      </c>
      <c r="M429" t="n">
        <v>0</v>
      </c>
      <c r="N429" t="n">
        <v>0</v>
      </c>
      <c r="O429" t="n">
        <v>0</v>
      </c>
      <c r="P429" t="n">
        <v>0</v>
      </c>
      <c r="Q429" t="n">
        <v>0</v>
      </c>
      <c r="R429" s="2" t="inlineStr"/>
    </row>
    <row r="430" ht="15" customHeight="1">
      <c r="A430" t="inlineStr">
        <is>
          <t>A 24640-2020</t>
        </is>
      </c>
      <c r="B430" s="1" t="n">
        <v>43977</v>
      </c>
      <c r="C430" s="1" t="n">
        <v>45753</v>
      </c>
      <c r="D430" t="inlineStr">
        <is>
          <t>JÄMTLANDS LÄN</t>
        </is>
      </c>
      <c r="E430" t="inlineStr">
        <is>
          <t>RAGUNDA</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25115-2020</t>
        </is>
      </c>
      <c r="B431" s="1" t="n">
        <v>43979</v>
      </c>
      <c r="C431" s="1" t="n">
        <v>45753</v>
      </c>
      <c r="D431" t="inlineStr">
        <is>
          <t>JÄMTLANDS LÄN</t>
        </is>
      </c>
      <c r="E431" t="inlineStr">
        <is>
          <t>RAGUNDA</t>
        </is>
      </c>
      <c r="G431" t="n">
        <v>1</v>
      </c>
      <c r="H431" t="n">
        <v>0</v>
      </c>
      <c r="I431" t="n">
        <v>0</v>
      </c>
      <c r="J431" t="n">
        <v>0</v>
      </c>
      <c r="K431" t="n">
        <v>0</v>
      </c>
      <c r="L431" t="n">
        <v>0</v>
      </c>
      <c r="M431" t="n">
        <v>0</v>
      </c>
      <c r="N431" t="n">
        <v>0</v>
      </c>
      <c r="O431" t="n">
        <v>0</v>
      </c>
      <c r="P431" t="n">
        <v>0</v>
      </c>
      <c r="Q431" t="n">
        <v>0</v>
      </c>
      <c r="R431" s="2" t="inlineStr"/>
    </row>
    <row r="432" ht="15" customHeight="1">
      <c r="A432" t="inlineStr">
        <is>
          <t>A 25927-2020</t>
        </is>
      </c>
      <c r="B432" s="1" t="n">
        <v>43984</v>
      </c>
      <c r="C432" s="1" t="n">
        <v>45753</v>
      </c>
      <c r="D432" t="inlineStr">
        <is>
          <t>JÄMTLANDS LÄN</t>
        </is>
      </c>
      <c r="E432" t="inlineStr">
        <is>
          <t>RAGUNDA</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25934-2020</t>
        </is>
      </c>
      <c r="B433" s="1" t="n">
        <v>43984</v>
      </c>
      <c r="C433" s="1" t="n">
        <v>45753</v>
      </c>
      <c r="D433" t="inlineStr">
        <is>
          <t>JÄMTLANDS LÄN</t>
        </is>
      </c>
      <c r="E433" t="inlineStr">
        <is>
          <t>RAGUNDA</t>
        </is>
      </c>
      <c r="F433" t="inlineStr">
        <is>
          <t>SCA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26264-2020</t>
        </is>
      </c>
      <c r="B434" s="1" t="n">
        <v>43986</v>
      </c>
      <c r="C434" s="1" t="n">
        <v>45753</v>
      </c>
      <c r="D434" t="inlineStr">
        <is>
          <t>JÄMTLANDS LÄN</t>
        </is>
      </c>
      <c r="E434" t="inlineStr">
        <is>
          <t>RAGUNDA</t>
        </is>
      </c>
      <c r="F434" t="inlineStr">
        <is>
          <t>Kommuner</t>
        </is>
      </c>
      <c r="G434" t="n">
        <v>5.5</v>
      </c>
      <c r="H434" t="n">
        <v>0</v>
      </c>
      <c r="I434" t="n">
        <v>0</v>
      </c>
      <c r="J434" t="n">
        <v>0</v>
      </c>
      <c r="K434" t="n">
        <v>0</v>
      </c>
      <c r="L434" t="n">
        <v>0</v>
      </c>
      <c r="M434" t="n">
        <v>0</v>
      </c>
      <c r="N434" t="n">
        <v>0</v>
      </c>
      <c r="O434" t="n">
        <v>0</v>
      </c>
      <c r="P434" t="n">
        <v>0</v>
      </c>
      <c r="Q434" t="n">
        <v>0</v>
      </c>
      <c r="R434" s="2" t="inlineStr"/>
    </row>
    <row r="435" ht="15" customHeight="1">
      <c r="A435" t="inlineStr">
        <is>
          <t>A 26262-2020</t>
        </is>
      </c>
      <c r="B435" s="1" t="n">
        <v>43986</v>
      </c>
      <c r="C435" s="1" t="n">
        <v>45753</v>
      </c>
      <c r="D435" t="inlineStr">
        <is>
          <t>JÄMTLANDS LÄN</t>
        </is>
      </c>
      <c r="E435" t="inlineStr">
        <is>
          <t>RAGUNDA</t>
        </is>
      </c>
      <c r="F435" t="inlineStr">
        <is>
          <t>Kommuner</t>
        </is>
      </c>
      <c r="G435" t="n">
        <v>3.3</v>
      </c>
      <c r="H435" t="n">
        <v>0</v>
      </c>
      <c r="I435" t="n">
        <v>0</v>
      </c>
      <c r="J435" t="n">
        <v>0</v>
      </c>
      <c r="K435" t="n">
        <v>0</v>
      </c>
      <c r="L435" t="n">
        <v>0</v>
      </c>
      <c r="M435" t="n">
        <v>0</v>
      </c>
      <c r="N435" t="n">
        <v>0</v>
      </c>
      <c r="O435" t="n">
        <v>0</v>
      </c>
      <c r="P435" t="n">
        <v>0</v>
      </c>
      <c r="Q435" t="n">
        <v>0</v>
      </c>
      <c r="R435" s="2" t="inlineStr"/>
    </row>
    <row r="436" ht="15" customHeight="1">
      <c r="A436" t="inlineStr">
        <is>
          <t>A 26966-2020</t>
        </is>
      </c>
      <c r="B436" s="1" t="n">
        <v>43990</v>
      </c>
      <c r="C436" s="1" t="n">
        <v>45753</v>
      </c>
      <c r="D436" t="inlineStr">
        <is>
          <t>JÄMTLANDS LÄN</t>
        </is>
      </c>
      <c r="E436" t="inlineStr">
        <is>
          <t>RAGUNDA</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27366-2020</t>
        </is>
      </c>
      <c r="B437" s="1" t="n">
        <v>43992</v>
      </c>
      <c r="C437" s="1" t="n">
        <v>45753</v>
      </c>
      <c r="D437" t="inlineStr">
        <is>
          <t>JÄMTLANDS LÄN</t>
        </is>
      </c>
      <c r="E437" t="inlineStr">
        <is>
          <t>RAGUNDA</t>
        </is>
      </c>
      <c r="G437" t="n">
        <v>2.5</v>
      </c>
      <c r="H437" t="n">
        <v>0</v>
      </c>
      <c r="I437" t="n">
        <v>0</v>
      </c>
      <c r="J437" t="n">
        <v>0</v>
      </c>
      <c r="K437" t="n">
        <v>0</v>
      </c>
      <c r="L437" t="n">
        <v>0</v>
      </c>
      <c r="M437" t="n">
        <v>0</v>
      </c>
      <c r="N437" t="n">
        <v>0</v>
      </c>
      <c r="O437" t="n">
        <v>0</v>
      </c>
      <c r="P437" t="n">
        <v>0</v>
      </c>
      <c r="Q437" t="n">
        <v>0</v>
      </c>
      <c r="R437" s="2" t="inlineStr"/>
    </row>
    <row r="438" ht="15" customHeight="1">
      <c r="A438" t="inlineStr">
        <is>
          <t>A 28776-2020</t>
        </is>
      </c>
      <c r="B438" s="1" t="n">
        <v>43999</v>
      </c>
      <c r="C438" s="1" t="n">
        <v>45753</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29382-2020</t>
        </is>
      </c>
      <c r="B439" s="1" t="n">
        <v>44000</v>
      </c>
      <c r="C439" s="1" t="n">
        <v>45753</v>
      </c>
      <c r="D439" t="inlineStr">
        <is>
          <t>JÄMTLANDS LÄN</t>
        </is>
      </c>
      <c r="E439" t="inlineStr">
        <is>
          <t>RAGUNDA</t>
        </is>
      </c>
      <c r="G439" t="n">
        <v>46.1</v>
      </c>
      <c r="H439" t="n">
        <v>0</v>
      </c>
      <c r="I439" t="n">
        <v>0</v>
      </c>
      <c r="J439" t="n">
        <v>0</v>
      </c>
      <c r="K439" t="n">
        <v>0</v>
      </c>
      <c r="L439" t="n">
        <v>0</v>
      </c>
      <c r="M439" t="n">
        <v>0</v>
      </c>
      <c r="N439" t="n">
        <v>0</v>
      </c>
      <c r="O439" t="n">
        <v>0</v>
      </c>
      <c r="P439" t="n">
        <v>0</v>
      </c>
      <c r="Q439" t="n">
        <v>0</v>
      </c>
      <c r="R439" s="2" t="inlineStr"/>
    </row>
    <row r="440" ht="15" customHeight="1">
      <c r="A440" t="inlineStr">
        <is>
          <t>A 29499-2020</t>
        </is>
      </c>
      <c r="B440" s="1" t="n">
        <v>44004</v>
      </c>
      <c r="C440" s="1" t="n">
        <v>45753</v>
      </c>
      <c r="D440" t="inlineStr">
        <is>
          <t>JÄMTLANDS LÄN</t>
        </is>
      </c>
      <c r="E440" t="inlineStr">
        <is>
          <t>RAGUNDA</t>
        </is>
      </c>
      <c r="F440" t="inlineStr">
        <is>
          <t>SCA</t>
        </is>
      </c>
      <c r="G440" t="n">
        <v>0.3</v>
      </c>
      <c r="H440" t="n">
        <v>0</v>
      </c>
      <c r="I440" t="n">
        <v>0</v>
      </c>
      <c r="J440" t="n">
        <v>0</v>
      </c>
      <c r="K440" t="n">
        <v>0</v>
      </c>
      <c r="L440" t="n">
        <v>0</v>
      </c>
      <c r="M440" t="n">
        <v>0</v>
      </c>
      <c r="N440" t="n">
        <v>0</v>
      </c>
      <c r="O440" t="n">
        <v>0</v>
      </c>
      <c r="P440" t="n">
        <v>0</v>
      </c>
      <c r="Q440" t="n">
        <v>0</v>
      </c>
      <c r="R440" s="2" t="inlineStr"/>
    </row>
    <row r="441" ht="15" customHeight="1">
      <c r="A441" t="inlineStr">
        <is>
          <t>A 30110-2020</t>
        </is>
      </c>
      <c r="B441" s="1" t="n">
        <v>44006</v>
      </c>
      <c r="C441" s="1" t="n">
        <v>45753</v>
      </c>
      <c r="D441" t="inlineStr">
        <is>
          <t>JÄMTLANDS LÄN</t>
        </is>
      </c>
      <c r="E441" t="inlineStr">
        <is>
          <t>RAGUNDA</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31043-2020</t>
        </is>
      </c>
      <c r="B442" s="1" t="n">
        <v>44011</v>
      </c>
      <c r="C442" s="1" t="n">
        <v>45753</v>
      </c>
      <c r="D442" t="inlineStr">
        <is>
          <t>JÄMTLANDS LÄN</t>
        </is>
      </c>
      <c r="E442" t="inlineStr">
        <is>
          <t>RAGUNDA</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31649-2020</t>
        </is>
      </c>
      <c r="B443" s="1" t="n">
        <v>44013</v>
      </c>
      <c r="C443" s="1" t="n">
        <v>45753</v>
      </c>
      <c r="D443" t="inlineStr">
        <is>
          <t>JÄMTLANDS LÄN</t>
        </is>
      </c>
      <c r="E443" t="inlineStr">
        <is>
          <t>RAGUNDA</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31651-2020</t>
        </is>
      </c>
      <c r="B444" s="1" t="n">
        <v>44013</v>
      </c>
      <c r="C444" s="1" t="n">
        <v>45753</v>
      </c>
      <c r="D444" t="inlineStr">
        <is>
          <t>JÄMTLANDS LÄN</t>
        </is>
      </c>
      <c r="E444" t="inlineStr">
        <is>
          <t>RAGUNDA</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31652-2020</t>
        </is>
      </c>
      <c r="B445" s="1" t="n">
        <v>44013</v>
      </c>
      <c r="C445" s="1" t="n">
        <v>45753</v>
      </c>
      <c r="D445" t="inlineStr">
        <is>
          <t>JÄMTLANDS LÄN</t>
        </is>
      </c>
      <c r="E445" t="inlineStr">
        <is>
          <t>RAGUNDA</t>
        </is>
      </c>
      <c r="F445" t="inlineStr">
        <is>
          <t>SCA</t>
        </is>
      </c>
      <c r="G445" t="n">
        <v>22.1</v>
      </c>
      <c r="H445" t="n">
        <v>0</v>
      </c>
      <c r="I445" t="n">
        <v>0</v>
      </c>
      <c r="J445" t="n">
        <v>0</v>
      </c>
      <c r="K445" t="n">
        <v>0</v>
      </c>
      <c r="L445" t="n">
        <v>0</v>
      </c>
      <c r="M445" t="n">
        <v>0</v>
      </c>
      <c r="N445" t="n">
        <v>0</v>
      </c>
      <c r="O445" t="n">
        <v>0</v>
      </c>
      <c r="P445" t="n">
        <v>0</v>
      </c>
      <c r="Q445" t="n">
        <v>0</v>
      </c>
      <c r="R445" s="2" t="inlineStr"/>
    </row>
    <row r="446" ht="15" customHeight="1">
      <c r="A446" t="inlineStr">
        <is>
          <t>A 32780-2020</t>
        </is>
      </c>
      <c r="B446" s="1" t="n">
        <v>44019</v>
      </c>
      <c r="C446" s="1" t="n">
        <v>45753</v>
      </c>
      <c r="D446" t="inlineStr">
        <is>
          <t>JÄMTLANDS LÄN</t>
        </is>
      </c>
      <c r="E446" t="inlineStr">
        <is>
          <t>RAGUNDA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33644-2020</t>
        </is>
      </c>
      <c r="B447" s="1" t="n">
        <v>44026</v>
      </c>
      <c r="C447" s="1" t="n">
        <v>45753</v>
      </c>
      <c r="D447" t="inlineStr">
        <is>
          <t>JÄMTLANDS LÄN</t>
        </is>
      </c>
      <c r="E447" t="inlineStr">
        <is>
          <t>RAGUNDA</t>
        </is>
      </c>
      <c r="G447" t="n">
        <v>4.8</v>
      </c>
      <c r="H447" t="n">
        <v>0</v>
      </c>
      <c r="I447" t="n">
        <v>0</v>
      </c>
      <c r="J447" t="n">
        <v>0</v>
      </c>
      <c r="K447" t="n">
        <v>0</v>
      </c>
      <c r="L447" t="n">
        <v>0</v>
      </c>
      <c r="M447" t="n">
        <v>0</v>
      </c>
      <c r="N447" t="n">
        <v>0</v>
      </c>
      <c r="O447" t="n">
        <v>0</v>
      </c>
      <c r="P447" t="n">
        <v>0</v>
      </c>
      <c r="Q447" t="n">
        <v>0</v>
      </c>
      <c r="R447" s="2" t="inlineStr"/>
    </row>
    <row r="448" ht="15" customHeight="1">
      <c r="A448" t="inlineStr">
        <is>
          <t>A 33932-2020</t>
        </is>
      </c>
      <c r="B448" s="1" t="n">
        <v>44027</v>
      </c>
      <c r="C448" s="1" t="n">
        <v>45753</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34204-2020</t>
        </is>
      </c>
      <c r="B449" s="1" t="n">
        <v>44029</v>
      </c>
      <c r="C449" s="1" t="n">
        <v>45753</v>
      </c>
      <c r="D449" t="inlineStr">
        <is>
          <t>JÄMTLANDS LÄN</t>
        </is>
      </c>
      <c r="E449" t="inlineStr">
        <is>
          <t>RAGUNDA</t>
        </is>
      </c>
      <c r="G449" t="n">
        <v>22.5</v>
      </c>
      <c r="H449" t="n">
        <v>0</v>
      </c>
      <c r="I449" t="n">
        <v>0</v>
      </c>
      <c r="J449" t="n">
        <v>0</v>
      </c>
      <c r="K449" t="n">
        <v>0</v>
      </c>
      <c r="L449" t="n">
        <v>0</v>
      </c>
      <c r="M449" t="n">
        <v>0</v>
      </c>
      <c r="N449" t="n">
        <v>0</v>
      </c>
      <c r="O449" t="n">
        <v>0</v>
      </c>
      <c r="P449" t="n">
        <v>0</v>
      </c>
      <c r="Q449" t="n">
        <v>0</v>
      </c>
      <c r="R449" s="2" t="inlineStr"/>
    </row>
    <row r="450" ht="15" customHeight="1">
      <c r="A450" t="inlineStr">
        <is>
          <t>A 34251-2020</t>
        </is>
      </c>
      <c r="B450" s="1" t="n">
        <v>44029</v>
      </c>
      <c r="C450" s="1" t="n">
        <v>45753</v>
      </c>
      <c r="D450" t="inlineStr">
        <is>
          <t>JÄMTLANDS LÄN</t>
        </is>
      </c>
      <c r="E450" t="inlineStr">
        <is>
          <t>RAGUNDA</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35193-2020</t>
        </is>
      </c>
      <c r="B451" s="1" t="n">
        <v>44040</v>
      </c>
      <c r="C451" s="1" t="n">
        <v>45753</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35365-2020</t>
        </is>
      </c>
      <c r="B452" s="1" t="n">
        <v>44041</v>
      </c>
      <c r="C452" s="1" t="n">
        <v>45753</v>
      </c>
      <c r="D452" t="inlineStr">
        <is>
          <t>JÄMTLANDS LÄN</t>
        </is>
      </c>
      <c r="E452" t="inlineStr">
        <is>
          <t>RAGUNDA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36674-2020</t>
        </is>
      </c>
      <c r="B453" s="1" t="n">
        <v>44051</v>
      </c>
      <c r="C453" s="1" t="n">
        <v>45753</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36676-2020</t>
        </is>
      </c>
      <c r="B454" s="1" t="n">
        <v>44051</v>
      </c>
      <c r="C454" s="1" t="n">
        <v>45753</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37498-2020</t>
        </is>
      </c>
      <c r="B455" s="1" t="n">
        <v>44055</v>
      </c>
      <c r="C455" s="1" t="n">
        <v>45753</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39474-2020</t>
        </is>
      </c>
      <c r="B456" s="1" t="n">
        <v>44056</v>
      </c>
      <c r="C456" s="1" t="n">
        <v>45753</v>
      </c>
      <c r="D456" t="inlineStr">
        <is>
          <t>JÄMTLANDS LÄN</t>
        </is>
      </c>
      <c r="E456" t="inlineStr">
        <is>
          <t>RAGUNDA</t>
        </is>
      </c>
      <c r="G456" t="n">
        <v>1.2</v>
      </c>
      <c r="H456" t="n">
        <v>0</v>
      </c>
      <c r="I456" t="n">
        <v>0</v>
      </c>
      <c r="J456" t="n">
        <v>0</v>
      </c>
      <c r="K456" t="n">
        <v>0</v>
      </c>
      <c r="L456" t="n">
        <v>0</v>
      </c>
      <c r="M456" t="n">
        <v>0</v>
      </c>
      <c r="N456" t="n">
        <v>0</v>
      </c>
      <c r="O456" t="n">
        <v>0</v>
      </c>
      <c r="P456" t="n">
        <v>0</v>
      </c>
      <c r="Q456" t="n">
        <v>0</v>
      </c>
      <c r="R456" s="2" t="inlineStr"/>
    </row>
    <row r="457" ht="15" customHeight="1">
      <c r="A457" t="inlineStr">
        <is>
          <t>A 38106-2020</t>
        </is>
      </c>
      <c r="B457" s="1" t="n">
        <v>44057</v>
      </c>
      <c r="C457" s="1" t="n">
        <v>45753</v>
      </c>
      <c r="D457" t="inlineStr">
        <is>
          <t>JÄMTLANDS LÄN</t>
        </is>
      </c>
      <c r="E457" t="inlineStr">
        <is>
          <t>RAGUNDA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38098-2020</t>
        </is>
      </c>
      <c r="B458" s="1" t="n">
        <v>44057</v>
      </c>
      <c r="C458" s="1" t="n">
        <v>45753</v>
      </c>
      <c r="D458" t="inlineStr">
        <is>
          <t>JÄMTLANDS LÄN</t>
        </is>
      </c>
      <c r="E458" t="inlineStr">
        <is>
          <t>RAGUNDA</t>
        </is>
      </c>
      <c r="G458" t="n">
        <v>1.2</v>
      </c>
      <c r="H458" t="n">
        <v>0</v>
      </c>
      <c r="I458" t="n">
        <v>0</v>
      </c>
      <c r="J458" t="n">
        <v>0</v>
      </c>
      <c r="K458" t="n">
        <v>0</v>
      </c>
      <c r="L458" t="n">
        <v>0</v>
      </c>
      <c r="M458" t="n">
        <v>0</v>
      </c>
      <c r="N458" t="n">
        <v>0</v>
      </c>
      <c r="O458" t="n">
        <v>0</v>
      </c>
      <c r="P458" t="n">
        <v>0</v>
      </c>
      <c r="Q458" t="n">
        <v>0</v>
      </c>
      <c r="R458" s="2" t="inlineStr"/>
    </row>
    <row r="459" ht="15" customHeight="1">
      <c r="A459" t="inlineStr">
        <is>
          <t>A 39040-2020</t>
        </is>
      </c>
      <c r="B459" s="1" t="n">
        <v>44062</v>
      </c>
      <c r="C459" s="1" t="n">
        <v>45753</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39340-2020</t>
        </is>
      </c>
      <c r="B460" s="1" t="n">
        <v>44063</v>
      </c>
      <c r="C460" s="1" t="n">
        <v>45753</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40051-2020</t>
        </is>
      </c>
      <c r="B461" s="1" t="n">
        <v>44067</v>
      </c>
      <c r="C461" s="1" t="n">
        <v>45753</v>
      </c>
      <c r="D461" t="inlineStr">
        <is>
          <t>JÄMTLANDS LÄN</t>
        </is>
      </c>
      <c r="E461" t="inlineStr">
        <is>
          <t>RAGUNDA</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40316-2020</t>
        </is>
      </c>
      <c r="B462" s="1" t="n">
        <v>44068</v>
      </c>
      <c r="C462" s="1" t="n">
        <v>45753</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40742-2020</t>
        </is>
      </c>
      <c r="B463" s="1" t="n">
        <v>44069</v>
      </c>
      <c r="C463" s="1" t="n">
        <v>45753</v>
      </c>
      <c r="D463" t="inlineStr">
        <is>
          <t>JÄMTLANDS LÄN</t>
        </is>
      </c>
      <c r="E463" t="inlineStr">
        <is>
          <t>RAGUNDA</t>
        </is>
      </c>
      <c r="F463" t="inlineStr">
        <is>
          <t>SCA</t>
        </is>
      </c>
      <c r="G463" t="n">
        <v>5.6</v>
      </c>
      <c r="H463" t="n">
        <v>0</v>
      </c>
      <c r="I463" t="n">
        <v>0</v>
      </c>
      <c r="J463" t="n">
        <v>0</v>
      </c>
      <c r="K463" t="n">
        <v>0</v>
      </c>
      <c r="L463" t="n">
        <v>0</v>
      </c>
      <c r="M463" t="n">
        <v>0</v>
      </c>
      <c r="N463" t="n">
        <v>0</v>
      </c>
      <c r="O463" t="n">
        <v>0</v>
      </c>
      <c r="P463" t="n">
        <v>0</v>
      </c>
      <c r="Q463" t="n">
        <v>0</v>
      </c>
      <c r="R463" s="2" t="inlineStr"/>
    </row>
    <row r="464" ht="15" customHeight="1">
      <c r="A464" t="inlineStr">
        <is>
          <t>A 41346-2020</t>
        </is>
      </c>
      <c r="B464" s="1" t="n">
        <v>44071</v>
      </c>
      <c r="C464" s="1" t="n">
        <v>45753</v>
      </c>
      <c r="D464" t="inlineStr">
        <is>
          <t>JÄMTLANDS LÄN</t>
        </is>
      </c>
      <c r="E464" t="inlineStr">
        <is>
          <t>RAGUNDA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41889-2020</t>
        </is>
      </c>
      <c r="B465" s="1" t="n">
        <v>44075</v>
      </c>
      <c r="C465" s="1" t="n">
        <v>45753</v>
      </c>
      <c r="D465" t="inlineStr">
        <is>
          <t>JÄMTLANDS LÄN</t>
        </is>
      </c>
      <c r="E465" t="inlineStr">
        <is>
          <t>RAGUNDA</t>
        </is>
      </c>
      <c r="F465" t="inlineStr">
        <is>
          <t>SCA</t>
        </is>
      </c>
      <c r="G465" t="n">
        <v>11.4</v>
      </c>
      <c r="H465" t="n">
        <v>0</v>
      </c>
      <c r="I465" t="n">
        <v>0</v>
      </c>
      <c r="J465" t="n">
        <v>0</v>
      </c>
      <c r="K465" t="n">
        <v>0</v>
      </c>
      <c r="L465" t="n">
        <v>0</v>
      </c>
      <c r="M465" t="n">
        <v>0</v>
      </c>
      <c r="N465" t="n">
        <v>0</v>
      </c>
      <c r="O465" t="n">
        <v>0</v>
      </c>
      <c r="P465" t="n">
        <v>0</v>
      </c>
      <c r="Q465" t="n">
        <v>0</v>
      </c>
      <c r="R465" s="2" t="inlineStr"/>
    </row>
    <row r="466" ht="15" customHeight="1">
      <c r="A466" t="inlineStr">
        <is>
          <t>A 41875-2020</t>
        </is>
      </c>
      <c r="B466" s="1" t="n">
        <v>44074</v>
      </c>
      <c r="C466" s="1" t="n">
        <v>45753</v>
      </c>
      <c r="D466" t="inlineStr">
        <is>
          <t>JÄMTLANDS LÄN</t>
        </is>
      </c>
      <c r="E466" t="inlineStr">
        <is>
          <t>RAGUNDA</t>
        </is>
      </c>
      <c r="F466" t="inlineStr">
        <is>
          <t>Naturvårdsverket</t>
        </is>
      </c>
      <c r="G466" t="n">
        <v>3.3</v>
      </c>
      <c r="H466" t="n">
        <v>0</v>
      </c>
      <c r="I466" t="n">
        <v>0</v>
      </c>
      <c r="J466" t="n">
        <v>0</v>
      </c>
      <c r="K466" t="n">
        <v>0</v>
      </c>
      <c r="L466" t="n">
        <v>0</v>
      </c>
      <c r="M466" t="n">
        <v>0</v>
      </c>
      <c r="N466" t="n">
        <v>0</v>
      </c>
      <c r="O466" t="n">
        <v>0</v>
      </c>
      <c r="P466" t="n">
        <v>0</v>
      </c>
      <c r="Q466" t="n">
        <v>0</v>
      </c>
      <c r="R466" s="2" t="inlineStr"/>
    </row>
    <row r="467" ht="15" customHeight="1">
      <c r="A467" t="inlineStr">
        <is>
          <t>A 41887-2020</t>
        </is>
      </c>
      <c r="B467" s="1" t="n">
        <v>44074</v>
      </c>
      <c r="C467" s="1" t="n">
        <v>45753</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41885-2020</t>
        </is>
      </c>
      <c r="B468" s="1" t="n">
        <v>44074</v>
      </c>
      <c r="C468" s="1" t="n">
        <v>45753</v>
      </c>
      <c r="D468" t="inlineStr">
        <is>
          <t>JÄMTLANDS LÄN</t>
        </is>
      </c>
      <c r="E468" t="inlineStr">
        <is>
          <t>RAGUNDA</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42208-2020</t>
        </is>
      </c>
      <c r="B469" s="1" t="n">
        <v>44075</v>
      </c>
      <c r="C469" s="1" t="n">
        <v>45753</v>
      </c>
      <c r="D469" t="inlineStr">
        <is>
          <t>JÄMTLANDS LÄN</t>
        </is>
      </c>
      <c r="E469" t="inlineStr">
        <is>
          <t>RAGUNDA</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42899-2020</t>
        </is>
      </c>
      <c r="B470" s="1" t="n">
        <v>44078</v>
      </c>
      <c r="C470" s="1" t="n">
        <v>45753</v>
      </c>
      <c r="D470" t="inlineStr">
        <is>
          <t>JÄMTLANDS LÄN</t>
        </is>
      </c>
      <c r="E470" t="inlineStr">
        <is>
          <t>RAGUNDA</t>
        </is>
      </c>
      <c r="G470" t="n">
        <v>0.6</v>
      </c>
      <c r="H470" t="n">
        <v>0</v>
      </c>
      <c r="I470" t="n">
        <v>0</v>
      </c>
      <c r="J470" t="n">
        <v>0</v>
      </c>
      <c r="K470" t="n">
        <v>0</v>
      </c>
      <c r="L470" t="n">
        <v>0</v>
      </c>
      <c r="M470" t="n">
        <v>0</v>
      </c>
      <c r="N470" t="n">
        <v>0</v>
      </c>
      <c r="O470" t="n">
        <v>0</v>
      </c>
      <c r="P470" t="n">
        <v>0</v>
      </c>
      <c r="Q470" t="n">
        <v>0</v>
      </c>
      <c r="R470" s="2" t="inlineStr"/>
    </row>
    <row r="471" ht="15" customHeight="1">
      <c r="A471" t="inlineStr">
        <is>
          <t>A 43828-2020</t>
        </is>
      </c>
      <c r="B471" s="1" t="n">
        <v>44082</v>
      </c>
      <c r="C471" s="1" t="n">
        <v>45753</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44511-2020</t>
        </is>
      </c>
      <c r="B472" s="1" t="n">
        <v>44084</v>
      </c>
      <c r="C472" s="1" t="n">
        <v>45753</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44498-2020</t>
        </is>
      </c>
      <c r="B473" s="1" t="n">
        <v>44084</v>
      </c>
      <c r="C473" s="1" t="n">
        <v>45753</v>
      </c>
      <c r="D473" t="inlineStr">
        <is>
          <t>JÄMTLANDS LÄN</t>
        </is>
      </c>
      <c r="E473" t="inlineStr">
        <is>
          <t>RAGUNDA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45272-2020</t>
        </is>
      </c>
      <c r="B474" s="1" t="n">
        <v>44084</v>
      </c>
      <c r="C474" s="1" t="n">
        <v>45753</v>
      </c>
      <c r="D474" t="inlineStr">
        <is>
          <t>JÄMTLANDS LÄN</t>
        </is>
      </c>
      <c r="E474" t="inlineStr">
        <is>
          <t>RAGUNDA</t>
        </is>
      </c>
      <c r="G474" t="n">
        <v>4.7</v>
      </c>
      <c r="H474" t="n">
        <v>0</v>
      </c>
      <c r="I474" t="n">
        <v>0</v>
      </c>
      <c r="J474" t="n">
        <v>0</v>
      </c>
      <c r="K474" t="n">
        <v>0</v>
      </c>
      <c r="L474" t="n">
        <v>0</v>
      </c>
      <c r="M474" t="n">
        <v>0</v>
      </c>
      <c r="N474" t="n">
        <v>0</v>
      </c>
      <c r="O474" t="n">
        <v>0</v>
      </c>
      <c r="P474" t="n">
        <v>0</v>
      </c>
      <c r="Q474" t="n">
        <v>0</v>
      </c>
      <c r="R474" s="2" t="inlineStr"/>
    </row>
    <row r="475" ht="15" customHeight="1">
      <c r="A475" t="inlineStr">
        <is>
          <t>A 46920-2020</t>
        </is>
      </c>
      <c r="B475" s="1" t="n">
        <v>44090</v>
      </c>
      <c r="C475" s="1" t="n">
        <v>45753</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46496-2020</t>
        </is>
      </c>
      <c r="B476" s="1" t="n">
        <v>44095</v>
      </c>
      <c r="C476" s="1" t="n">
        <v>45753</v>
      </c>
      <c r="D476" t="inlineStr">
        <is>
          <t>JÄMTLANDS LÄN</t>
        </is>
      </c>
      <c r="E476" t="inlineStr">
        <is>
          <t>RAGUNDA</t>
        </is>
      </c>
      <c r="G476" t="n">
        <v>2</v>
      </c>
      <c r="H476" t="n">
        <v>0</v>
      </c>
      <c r="I476" t="n">
        <v>0</v>
      </c>
      <c r="J476" t="n">
        <v>0</v>
      </c>
      <c r="K476" t="n">
        <v>0</v>
      </c>
      <c r="L476" t="n">
        <v>0</v>
      </c>
      <c r="M476" t="n">
        <v>0</v>
      </c>
      <c r="N476" t="n">
        <v>0</v>
      </c>
      <c r="O476" t="n">
        <v>0</v>
      </c>
      <c r="P476" t="n">
        <v>0</v>
      </c>
      <c r="Q476" t="n">
        <v>0</v>
      </c>
      <c r="R476" s="2" t="inlineStr"/>
    </row>
    <row r="477" ht="15" customHeight="1">
      <c r="A477" t="inlineStr">
        <is>
          <t>A 47122-2020</t>
        </is>
      </c>
      <c r="B477" s="1" t="n">
        <v>44096</v>
      </c>
      <c r="C477" s="1" t="n">
        <v>45753</v>
      </c>
      <c r="D477" t="inlineStr">
        <is>
          <t>JÄMTLANDS LÄN</t>
        </is>
      </c>
      <c r="E477" t="inlineStr">
        <is>
          <t>RAGUNDA</t>
        </is>
      </c>
      <c r="F477" t="inlineStr">
        <is>
          <t>SCA</t>
        </is>
      </c>
      <c r="G477" t="n">
        <v>4.4</v>
      </c>
      <c r="H477" t="n">
        <v>0</v>
      </c>
      <c r="I477" t="n">
        <v>0</v>
      </c>
      <c r="J477" t="n">
        <v>0</v>
      </c>
      <c r="K477" t="n">
        <v>0</v>
      </c>
      <c r="L477" t="n">
        <v>0</v>
      </c>
      <c r="M477" t="n">
        <v>0</v>
      </c>
      <c r="N477" t="n">
        <v>0</v>
      </c>
      <c r="O477" t="n">
        <v>0</v>
      </c>
      <c r="P477" t="n">
        <v>0</v>
      </c>
      <c r="Q477" t="n">
        <v>0</v>
      </c>
      <c r="R477" s="2" t="inlineStr"/>
    </row>
    <row r="478" ht="15" customHeight="1">
      <c r="A478" t="inlineStr">
        <is>
          <t>A 47131-2020</t>
        </is>
      </c>
      <c r="B478" s="1" t="n">
        <v>44096</v>
      </c>
      <c r="C478" s="1" t="n">
        <v>45753</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47825-2020</t>
        </is>
      </c>
      <c r="B479" s="1" t="n">
        <v>44098</v>
      </c>
      <c r="C479" s="1" t="n">
        <v>45753</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48056-2020</t>
        </is>
      </c>
      <c r="B480" s="1" t="n">
        <v>44099</v>
      </c>
      <c r="C480" s="1" t="n">
        <v>45753</v>
      </c>
      <c r="D480" t="inlineStr">
        <is>
          <t>JÄMTLANDS LÄN</t>
        </is>
      </c>
      <c r="E480" t="inlineStr">
        <is>
          <t>RAGUNDA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48806-2020</t>
        </is>
      </c>
      <c r="B481" s="1" t="n">
        <v>44103</v>
      </c>
      <c r="C481" s="1" t="n">
        <v>45753</v>
      </c>
      <c r="D481" t="inlineStr">
        <is>
          <t>JÄMTLANDS LÄN</t>
        </is>
      </c>
      <c r="E481" t="inlineStr">
        <is>
          <t>RAGUNDA</t>
        </is>
      </c>
      <c r="F481" t="inlineStr">
        <is>
          <t>Naturvårdsverket</t>
        </is>
      </c>
      <c r="G481" t="n">
        <v>3</v>
      </c>
      <c r="H481" t="n">
        <v>0</v>
      </c>
      <c r="I481" t="n">
        <v>0</v>
      </c>
      <c r="J481" t="n">
        <v>0</v>
      </c>
      <c r="K481" t="n">
        <v>0</v>
      </c>
      <c r="L481" t="n">
        <v>0</v>
      </c>
      <c r="M481" t="n">
        <v>0</v>
      </c>
      <c r="N481" t="n">
        <v>0</v>
      </c>
      <c r="O481" t="n">
        <v>0</v>
      </c>
      <c r="P481" t="n">
        <v>0</v>
      </c>
      <c r="Q481" t="n">
        <v>0</v>
      </c>
      <c r="R481" s="2" t="inlineStr"/>
    </row>
    <row r="482" ht="15" customHeight="1">
      <c r="A482" t="inlineStr">
        <is>
          <t>A 51481-2020</t>
        </is>
      </c>
      <c r="B482" s="1" t="n">
        <v>44106</v>
      </c>
      <c r="C482" s="1" t="n">
        <v>45753</v>
      </c>
      <c r="D482" t="inlineStr">
        <is>
          <t>JÄMTLANDS LÄN</t>
        </is>
      </c>
      <c r="E482" t="inlineStr">
        <is>
          <t>RAGUNDA</t>
        </is>
      </c>
      <c r="G482" t="n">
        <v>4</v>
      </c>
      <c r="H482" t="n">
        <v>0</v>
      </c>
      <c r="I482" t="n">
        <v>0</v>
      </c>
      <c r="J482" t="n">
        <v>0</v>
      </c>
      <c r="K482" t="n">
        <v>0</v>
      </c>
      <c r="L482" t="n">
        <v>0</v>
      </c>
      <c r="M482" t="n">
        <v>0</v>
      </c>
      <c r="N482" t="n">
        <v>0</v>
      </c>
      <c r="O482" t="n">
        <v>0</v>
      </c>
      <c r="P482" t="n">
        <v>0</v>
      </c>
      <c r="Q482" t="n">
        <v>0</v>
      </c>
      <c r="R482" s="2" t="inlineStr"/>
    </row>
    <row r="483" ht="15" customHeight="1">
      <c r="A483" t="inlineStr">
        <is>
          <t>A 50988-2020</t>
        </is>
      </c>
      <c r="B483" s="1" t="n">
        <v>44111</v>
      </c>
      <c r="C483" s="1" t="n">
        <v>45753</v>
      </c>
      <c r="D483" t="inlineStr">
        <is>
          <t>JÄMTLANDS LÄN</t>
        </is>
      </c>
      <c r="E483" t="inlineStr">
        <is>
          <t>RAGUNDA</t>
        </is>
      </c>
      <c r="G483" t="n">
        <v>2.6</v>
      </c>
      <c r="H483" t="n">
        <v>0</v>
      </c>
      <c r="I483" t="n">
        <v>0</v>
      </c>
      <c r="J483" t="n">
        <v>0</v>
      </c>
      <c r="K483" t="n">
        <v>0</v>
      </c>
      <c r="L483" t="n">
        <v>0</v>
      </c>
      <c r="M483" t="n">
        <v>0</v>
      </c>
      <c r="N483" t="n">
        <v>0</v>
      </c>
      <c r="O483" t="n">
        <v>0</v>
      </c>
      <c r="P483" t="n">
        <v>0</v>
      </c>
      <c r="Q483" t="n">
        <v>0</v>
      </c>
      <c r="R483" s="2" t="inlineStr"/>
    </row>
    <row r="484" ht="15" customHeight="1">
      <c r="A484" t="inlineStr">
        <is>
          <t>A 51016-2020</t>
        </is>
      </c>
      <c r="B484" s="1" t="n">
        <v>44111</v>
      </c>
      <c r="C484" s="1" t="n">
        <v>45753</v>
      </c>
      <c r="D484" t="inlineStr">
        <is>
          <t>JÄMTLANDS LÄN</t>
        </is>
      </c>
      <c r="E484" t="inlineStr">
        <is>
          <t>RAGUNDA</t>
        </is>
      </c>
      <c r="G484" t="n">
        <v>1</v>
      </c>
      <c r="H484" t="n">
        <v>0</v>
      </c>
      <c r="I484" t="n">
        <v>0</v>
      </c>
      <c r="J484" t="n">
        <v>0</v>
      </c>
      <c r="K484" t="n">
        <v>0</v>
      </c>
      <c r="L484" t="n">
        <v>0</v>
      </c>
      <c r="M484" t="n">
        <v>0</v>
      </c>
      <c r="N484" t="n">
        <v>0</v>
      </c>
      <c r="O484" t="n">
        <v>0</v>
      </c>
      <c r="P484" t="n">
        <v>0</v>
      </c>
      <c r="Q484" t="n">
        <v>0</v>
      </c>
      <c r="R484" s="2" t="inlineStr"/>
    </row>
    <row r="485" ht="15" customHeight="1">
      <c r="A485" t="inlineStr">
        <is>
          <t>A 51004-2020</t>
        </is>
      </c>
      <c r="B485" s="1" t="n">
        <v>44111</v>
      </c>
      <c r="C485" s="1" t="n">
        <v>45753</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51685-2020</t>
        </is>
      </c>
      <c r="B486" s="1" t="n">
        <v>44113</v>
      </c>
      <c r="C486" s="1" t="n">
        <v>45753</v>
      </c>
      <c r="D486" t="inlineStr">
        <is>
          <t>JÄMTLANDS LÄN</t>
        </is>
      </c>
      <c r="E486" t="inlineStr">
        <is>
          <t>RAGUNDA</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53522-2020</t>
        </is>
      </c>
      <c r="B487" s="1" t="n">
        <v>44124</v>
      </c>
      <c r="C487" s="1" t="n">
        <v>45753</v>
      </c>
      <c r="D487" t="inlineStr">
        <is>
          <t>JÄMTLANDS LÄN</t>
        </is>
      </c>
      <c r="E487" t="inlineStr">
        <is>
          <t>RAGUNDA</t>
        </is>
      </c>
      <c r="G487" t="n">
        <v>1.3</v>
      </c>
      <c r="H487" t="n">
        <v>0</v>
      </c>
      <c r="I487" t="n">
        <v>0</v>
      </c>
      <c r="J487" t="n">
        <v>0</v>
      </c>
      <c r="K487" t="n">
        <v>0</v>
      </c>
      <c r="L487" t="n">
        <v>0</v>
      </c>
      <c r="M487" t="n">
        <v>0</v>
      </c>
      <c r="N487" t="n">
        <v>0</v>
      </c>
      <c r="O487" t="n">
        <v>0</v>
      </c>
      <c r="P487" t="n">
        <v>0</v>
      </c>
      <c r="Q487" t="n">
        <v>0</v>
      </c>
      <c r="R487" s="2" t="inlineStr"/>
    </row>
    <row r="488" ht="15" customHeight="1">
      <c r="A488" t="inlineStr">
        <is>
          <t>A 54199-2020</t>
        </is>
      </c>
      <c r="B488" s="1" t="n">
        <v>44126</v>
      </c>
      <c r="C488" s="1" t="n">
        <v>45753</v>
      </c>
      <c r="D488" t="inlineStr">
        <is>
          <t>JÄMTLANDS LÄN</t>
        </is>
      </c>
      <c r="E488" t="inlineStr">
        <is>
          <t>RAGUNDA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54580-2020</t>
        </is>
      </c>
      <c r="B489" s="1" t="n">
        <v>44126</v>
      </c>
      <c r="C489" s="1" t="n">
        <v>45753</v>
      </c>
      <c r="D489" t="inlineStr">
        <is>
          <t>JÄMTLANDS LÄN</t>
        </is>
      </c>
      <c r="E489" t="inlineStr">
        <is>
          <t>RAGUNDA</t>
        </is>
      </c>
      <c r="G489" t="n">
        <v>2.8</v>
      </c>
      <c r="H489" t="n">
        <v>0</v>
      </c>
      <c r="I489" t="n">
        <v>0</v>
      </c>
      <c r="J489" t="n">
        <v>0</v>
      </c>
      <c r="K489" t="n">
        <v>0</v>
      </c>
      <c r="L489" t="n">
        <v>0</v>
      </c>
      <c r="M489" t="n">
        <v>0</v>
      </c>
      <c r="N489" t="n">
        <v>0</v>
      </c>
      <c r="O489" t="n">
        <v>0</v>
      </c>
      <c r="P489" t="n">
        <v>0</v>
      </c>
      <c r="Q489" t="n">
        <v>0</v>
      </c>
      <c r="R489" s="2" t="inlineStr"/>
    </row>
    <row r="490" ht="15" customHeight="1">
      <c r="A490" t="inlineStr">
        <is>
          <t>A 55309-2020</t>
        </is>
      </c>
      <c r="B490" s="1" t="n">
        <v>44130</v>
      </c>
      <c r="C490" s="1" t="n">
        <v>45753</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55926-2020</t>
        </is>
      </c>
      <c r="B491" s="1" t="n">
        <v>44132</v>
      </c>
      <c r="C491" s="1" t="n">
        <v>45753</v>
      </c>
      <c r="D491" t="inlineStr">
        <is>
          <t>JÄMTLANDS LÄN</t>
        </is>
      </c>
      <c r="E491" t="inlineStr">
        <is>
          <t>RAGUNDA</t>
        </is>
      </c>
      <c r="F491" t="inlineStr">
        <is>
          <t>SCA</t>
        </is>
      </c>
      <c r="G491" t="n">
        <v>11.5</v>
      </c>
      <c r="H491" t="n">
        <v>0</v>
      </c>
      <c r="I491" t="n">
        <v>0</v>
      </c>
      <c r="J491" t="n">
        <v>0</v>
      </c>
      <c r="K491" t="n">
        <v>0</v>
      </c>
      <c r="L491" t="n">
        <v>0</v>
      </c>
      <c r="M491" t="n">
        <v>0</v>
      </c>
      <c r="N491" t="n">
        <v>0</v>
      </c>
      <c r="O491" t="n">
        <v>0</v>
      </c>
      <c r="P491" t="n">
        <v>0</v>
      </c>
      <c r="Q491" t="n">
        <v>0</v>
      </c>
      <c r="R491" s="2" t="inlineStr"/>
    </row>
    <row r="492" ht="15" customHeight="1">
      <c r="A492" t="inlineStr">
        <is>
          <t>A 56339-2020</t>
        </is>
      </c>
      <c r="B492" s="1" t="n">
        <v>44134</v>
      </c>
      <c r="C492" s="1" t="n">
        <v>45753</v>
      </c>
      <c r="D492" t="inlineStr">
        <is>
          <t>JÄMTLANDS LÄN</t>
        </is>
      </c>
      <c r="E492" t="inlineStr">
        <is>
          <t>RAGUNDA</t>
        </is>
      </c>
      <c r="G492" t="n">
        <v>2.9</v>
      </c>
      <c r="H492" t="n">
        <v>0</v>
      </c>
      <c r="I492" t="n">
        <v>0</v>
      </c>
      <c r="J492" t="n">
        <v>0</v>
      </c>
      <c r="K492" t="n">
        <v>0</v>
      </c>
      <c r="L492" t="n">
        <v>0</v>
      </c>
      <c r="M492" t="n">
        <v>0</v>
      </c>
      <c r="N492" t="n">
        <v>0</v>
      </c>
      <c r="O492" t="n">
        <v>0</v>
      </c>
      <c r="P492" t="n">
        <v>0</v>
      </c>
      <c r="Q492" t="n">
        <v>0</v>
      </c>
      <c r="R492" s="2" t="inlineStr"/>
    </row>
    <row r="493" ht="15" customHeight="1">
      <c r="A493" t="inlineStr">
        <is>
          <t>A 56760-2020</t>
        </is>
      </c>
      <c r="B493" s="1" t="n">
        <v>44137</v>
      </c>
      <c r="C493" s="1" t="n">
        <v>45753</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57246-2020</t>
        </is>
      </c>
      <c r="B494" s="1" t="n">
        <v>44138</v>
      </c>
      <c r="C494" s="1" t="n">
        <v>45753</v>
      </c>
      <c r="D494" t="inlineStr">
        <is>
          <t>JÄMTLANDS LÄN</t>
        </is>
      </c>
      <c r="E494" t="inlineStr">
        <is>
          <t>RAGUNDA</t>
        </is>
      </c>
      <c r="G494" t="n">
        <v>3.1</v>
      </c>
      <c r="H494" t="n">
        <v>0</v>
      </c>
      <c r="I494" t="n">
        <v>0</v>
      </c>
      <c r="J494" t="n">
        <v>0</v>
      </c>
      <c r="K494" t="n">
        <v>0</v>
      </c>
      <c r="L494" t="n">
        <v>0</v>
      </c>
      <c r="M494" t="n">
        <v>0</v>
      </c>
      <c r="N494" t="n">
        <v>0</v>
      </c>
      <c r="O494" t="n">
        <v>0</v>
      </c>
      <c r="P494" t="n">
        <v>0</v>
      </c>
      <c r="Q494" t="n">
        <v>0</v>
      </c>
      <c r="R494" s="2" t="inlineStr"/>
    </row>
    <row r="495" ht="15" customHeight="1">
      <c r="A495" t="inlineStr">
        <is>
          <t>A 57731-2020</t>
        </is>
      </c>
      <c r="B495" s="1" t="n">
        <v>44140</v>
      </c>
      <c r="C495" s="1" t="n">
        <v>45753</v>
      </c>
      <c r="D495" t="inlineStr">
        <is>
          <t>JÄMTLANDS LÄN</t>
        </is>
      </c>
      <c r="E495" t="inlineStr">
        <is>
          <t>RAGUNDA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57717-2020</t>
        </is>
      </c>
      <c r="B496" s="1" t="n">
        <v>44140</v>
      </c>
      <c r="C496" s="1" t="n">
        <v>45753</v>
      </c>
      <c r="D496" t="inlineStr">
        <is>
          <t>JÄMTLANDS LÄN</t>
        </is>
      </c>
      <c r="E496" t="inlineStr">
        <is>
          <t>RAGUNDA</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57730-2020</t>
        </is>
      </c>
      <c r="B497" s="1" t="n">
        <v>44140</v>
      </c>
      <c r="C497" s="1" t="n">
        <v>45753</v>
      </c>
      <c r="D497" t="inlineStr">
        <is>
          <t>JÄMTLANDS LÄN</t>
        </is>
      </c>
      <c r="E497" t="inlineStr">
        <is>
          <t>RAGUNDA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57713-2020</t>
        </is>
      </c>
      <c r="B498" s="1" t="n">
        <v>44140</v>
      </c>
      <c r="C498" s="1" t="n">
        <v>45753</v>
      </c>
      <c r="D498" t="inlineStr">
        <is>
          <t>JÄMTLANDS LÄN</t>
        </is>
      </c>
      <c r="E498" t="inlineStr">
        <is>
          <t>RAGUNDA</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57941-2020</t>
        </is>
      </c>
      <c r="B499" s="1" t="n">
        <v>44141</v>
      </c>
      <c r="C499" s="1" t="n">
        <v>45753</v>
      </c>
      <c r="D499" t="inlineStr">
        <is>
          <t>JÄMTLANDS LÄN</t>
        </is>
      </c>
      <c r="E499" t="inlineStr">
        <is>
          <t>RAGUNDA</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60744-2020</t>
        </is>
      </c>
      <c r="B500" s="1" t="n">
        <v>44153</v>
      </c>
      <c r="C500" s="1" t="n">
        <v>45753</v>
      </c>
      <c r="D500" t="inlineStr">
        <is>
          <t>JÄMTLANDS LÄN</t>
        </is>
      </c>
      <c r="E500" t="inlineStr">
        <is>
          <t>RAGUNDA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61088-2020</t>
        </is>
      </c>
      <c r="B501" s="1" t="n">
        <v>44153</v>
      </c>
      <c r="C501" s="1" t="n">
        <v>45753</v>
      </c>
      <c r="D501" t="inlineStr">
        <is>
          <t>JÄMTLANDS LÄN</t>
        </is>
      </c>
      <c r="E501" t="inlineStr">
        <is>
          <t>RAGUNDA</t>
        </is>
      </c>
      <c r="G501" t="n">
        <v>1.2</v>
      </c>
      <c r="H501" t="n">
        <v>0</v>
      </c>
      <c r="I501" t="n">
        <v>0</v>
      </c>
      <c r="J501" t="n">
        <v>0</v>
      </c>
      <c r="K501" t="n">
        <v>0</v>
      </c>
      <c r="L501" t="n">
        <v>0</v>
      </c>
      <c r="M501" t="n">
        <v>0</v>
      </c>
      <c r="N501" t="n">
        <v>0</v>
      </c>
      <c r="O501" t="n">
        <v>0</v>
      </c>
      <c r="P501" t="n">
        <v>0</v>
      </c>
      <c r="Q501" t="n">
        <v>0</v>
      </c>
      <c r="R501" s="2" t="inlineStr"/>
    </row>
    <row r="502" ht="15" customHeight="1">
      <c r="A502" t="inlineStr">
        <is>
          <t>A 61395-2020</t>
        </is>
      </c>
      <c r="B502" s="1" t="n">
        <v>44155</v>
      </c>
      <c r="C502" s="1" t="n">
        <v>45753</v>
      </c>
      <c r="D502" t="inlineStr">
        <is>
          <t>JÄMTLANDS LÄN</t>
        </is>
      </c>
      <c r="E502" t="inlineStr">
        <is>
          <t>RAGUNDA</t>
        </is>
      </c>
      <c r="G502" t="n">
        <v>4.7</v>
      </c>
      <c r="H502" t="n">
        <v>0</v>
      </c>
      <c r="I502" t="n">
        <v>0</v>
      </c>
      <c r="J502" t="n">
        <v>0</v>
      </c>
      <c r="K502" t="n">
        <v>0</v>
      </c>
      <c r="L502" t="n">
        <v>0</v>
      </c>
      <c r="M502" t="n">
        <v>0</v>
      </c>
      <c r="N502" t="n">
        <v>0</v>
      </c>
      <c r="O502" t="n">
        <v>0</v>
      </c>
      <c r="P502" t="n">
        <v>0</v>
      </c>
      <c r="Q502" t="n">
        <v>0</v>
      </c>
      <c r="R502" s="2" t="inlineStr"/>
    </row>
    <row r="503" ht="15" customHeight="1">
      <c r="A503" t="inlineStr">
        <is>
          <t>A 61441-2020</t>
        </is>
      </c>
      <c r="B503" s="1" t="n">
        <v>44157</v>
      </c>
      <c r="C503" s="1" t="n">
        <v>45753</v>
      </c>
      <c r="D503" t="inlineStr">
        <is>
          <t>JÄMTLANDS LÄN</t>
        </is>
      </c>
      <c r="E503" t="inlineStr">
        <is>
          <t>RAGUNDA</t>
        </is>
      </c>
      <c r="G503" t="n">
        <v>0.4</v>
      </c>
      <c r="H503" t="n">
        <v>0</v>
      </c>
      <c r="I503" t="n">
        <v>0</v>
      </c>
      <c r="J503" t="n">
        <v>0</v>
      </c>
      <c r="K503" t="n">
        <v>0</v>
      </c>
      <c r="L503" t="n">
        <v>0</v>
      </c>
      <c r="M503" t="n">
        <v>0</v>
      </c>
      <c r="N503" t="n">
        <v>0</v>
      </c>
      <c r="O503" t="n">
        <v>0</v>
      </c>
      <c r="P503" t="n">
        <v>0</v>
      </c>
      <c r="Q503" t="n">
        <v>0</v>
      </c>
      <c r="R503" s="2" t="inlineStr"/>
    </row>
    <row r="504" ht="15" customHeight="1">
      <c r="A504" t="inlineStr">
        <is>
          <t>A 62228-2020</t>
        </is>
      </c>
      <c r="B504" s="1" t="n">
        <v>44159</v>
      </c>
      <c r="C504" s="1" t="n">
        <v>45753</v>
      </c>
      <c r="D504" t="inlineStr">
        <is>
          <t>JÄMTLANDS LÄN</t>
        </is>
      </c>
      <c r="E504" t="inlineStr">
        <is>
          <t>RAGUNDA</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63606-2020</t>
        </is>
      </c>
      <c r="B505" s="1" t="n">
        <v>44165</v>
      </c>
      <c r="C505" s="1" t="n">
        <v>45753</v>
      </c>
      <c r="D505" t="inlineStr">
        <is>
          <t>JÄMTLANDS LÄN</t>
        </is>
      </c>
      <c r="E505" t="inlineStr">
        <is>
          <t>RAGUNDA</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63597-2020</t>
        </is>
      </c>
      <c r="B506" s="1" t="n">
        <v>44165</v>
      </c>
      <c r="C506" s="1" t="n">
        <v>45753</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64187-2020</t>
        </is>
      </c>
      <c r="B507" s="1" t="n">
        <v>44167</v>
      </c>
      <c r="C507" s="1" t="n">
        <v>45753</v>
      </c>
      <c r="D507" t="inlineStr">
        <is>
          <t>JÄMTLANDS LÄN</t>
        </is>
      </c>
      <c r="E507" t="inlineStr">
        <is>
          <t>RAGUNDA</t>
        </is>
      </c>
      <c r="F507" t="inlineStr">
        <is>
          <t>SCA</t>
        </is>
      </c>
      <c r="G507" t="n">
        <v>7.8</v>
      </c>
      <c r="H507" t="n">
        <v>0</v>
      </c>
      <c r="I507" t="n">
        <v>0</v>
      </c>
      <c r="J507" t="n">
        <v>0</v>
      </c>
      <c r="K507" t="n">
        <v>0</v>
      </c>
      <c r="L507" t="n">
        <v>0</v>
      </c>
      <c r="M507" t="n">
        <v>0</v>
      </c>
      <c r="N507" t="n">
        <v>0</v>
      </c>
      <c r="O507" t="n">
        <v>0</v>
      </c>
      <c r="P507" t="n">
        <v>0</v>
      </c>
      <c r="Q507" t="n">
        <v>0</v>
      </c>
      <c r="R507" s="2" t="inlineStr"/>
    </row>
    <row r="508" ht="15" customHeight="1">
      <c r="A508" t="inlineStr">
        <is>
          <t>A 64386-2020</t>
        </is>
      </c>
      <c r="B508" s="1" t="n">
        <v>44168</v>
      </c>
      <c r="C508" s="1" t="n">
        <v>45753</v>
      </c>
      <c r="D508" t="inlineStr">
        <is>
          <t>JÄMTLANDS LÄN</t>
        </is>
      </c>
      <c r="E508" t="inlineStr">
        <is>
          <t>RAGUNDA</t>
        </is>
      </c>
      <c r="G508" t="n">
        <v>2.5</v>
      </c>
      <c r="H508" t="n">
        <v>0</v>
      </c>
      <c r="I508" t="n">
        <v>0</v>
      </c>
      <c r="J508" t="n">
        <v>0</v>
      </c>
      <c r="K508" t="n">
        <v>0</v>
      </c>
      <c r="L508" t="n">
        <v>0</v>
      </c>
      <c r="M508" t="n">
        <v>0</v>
      </c>
      <c r="N508" t="n">
        <v>0</v>
      </c>
      <c r="O508" t="n">
        <v>0</v>
      </c>
      <c r="P508" t="n">
        <v>0</v>
      </c>
      <c r="Q508" t="n">
        <v>0</v>
      </c>
      <c r="R508" s="2" t="inlineStr"/>
    </row>
    <row r="509" ht="15" customHeight="1">
      <c r="A509" t="inlineStr">
        <is>
          <t>A 65260-2020</t>
        </is>
      </c>
      <c r="B509" s="1" t="n">
        <v>44172</v>
      </c>
      <c r="C509" s="1" t="n">
        <v>45753</v>
      </c>
      <c r="D509" t="inlineStr">
        <is>
          <t>JÄMTLANDS LÄN</t>
        </is>
      </c>
      <c r="E509" t="inlineStr">
        <is>
          <t>RAGUNDA</t>
        </is>
      </c>
      <c r="F509" t="inlineStr">
        <is>
          <t>SCA</t>
        </is>
      </c>
      <c r="G509" t="n">
        <v>7.8</v>
      </c>
      <c r="H509" t="n">
        <v>0</v>
      </c>
      <c r="I509" t="n">
        <v>0</v>
      </c>
      <c r="J509" t="n">
        <v>0</v>
      </c>
      <c r="K509" t="n">
        <v>0</v>
      </c>
      <c r="L509" t="n">
        <v>0</v>
      </c>
      <c r="M509" t="n">
        <v>0</v>
      </c>
      <c r="N509" t="n">
        <v>0</v>
      </c>
      <c r="O509" t="n">
        <v>0</v>
      </c>
      <c r="P509" t="n">
        <v>0</v>
      </c>
      <c r="Q509" t="n">
        <v>0</v>
      </c>
      <c r="R509" s="2" t="inlineStr"/>
    </row>
    <row r="510" ht="15" customHeight="1">
      <c r="A510" t="inlineStr">
        <is>
          <t>A 65341-2020</t>
        </is>
      </c>
      <c r="B510" s="1" t="n">
        <v>44173</v>
      </c>
      <c r="C510" s="1" t="n">
        <v>45753</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65898-2020</t>
        </is>
      </c>
      <c r="B511" s="1" t="n">
        <v>44174</v>
      </c>
      <c r="C511" s="1" t="n">
        <v>45753</v>
      </c>
      <c r="D511" t="inlineStr">
        <is>
          <t>JÄMTLANDS LÄN</t>
        </is>
      </c>
      <c r="E511" t="inlineStr">
        <is>
          <t>RAGUNDA</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66248-2020</t>
        </is>
      </c>
      <c r="B512" s="1" t="n">
        <v>44175</v>
      </c>
      <c r="C512" s="1" t="n">
        <v>45753</v>
      </c>
      <c r="D512" t="inlineStr">
        <is>
          <t>JÄMTLANDS LÄN</t>
        </is>
      </c>
      <c r="E512" t="inlineStr">
        <is>
          <t>RAGUNDA</t>
        </is>
      </c>
      <c r="F512" t="inlineStr">
        <is>
          <t>SCA</t>
        </is>
      </c>
      <c r="G512" t="n">
        <v>5.6</v>
      </c>
      <c r="H512" t="n">
        <v>0</v>
      </c>
      <c r="I512" t="n">
        <v>0</v>
      </c>
      <c r="J512" t="n">
        <v>0</v>
      </c>
      <c r="K512" t="n">
        <v>0</v>
      </c>
      <c r="L512" t="n">
        <v>0</v>
      </c>
      <c r="M512" t="n">
        <v>0</v>
      </c>
      <c r="N512" t="n">
        <v>0</v>
      </c>
      <c r="O512" t="n">
        <v>0</v>
      </c>
      <c r="P512" t="n">
        <v>0</v>
      </c>
      <c r="Q512" t="n">
        <v>0</v>
      </c>
      <c r="R512" s="2" t="inlineStr"/>
    </row>
    <row r="513" ht="15" customHeight="1">
      <c r="A513" t="inlineStr">
        <is>
          <t>A 69174-2020</t>
        </is>
      </c>
      <c r="B513" s="1" t="n">
        <v>44188</v>
      </c>
      <c r="C513" s="1" t="n">
        <v>45753</v>
      </c>
      <c r="D513" t="inlineStr">
        <is>
          <t>JÄMTLANDS LÄN</t>
        </is>
      </c>
      <c r="E513" t="inlineStr">
        <is>
          <t>RAGUNDA</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69481-2020</t>
        </is>
      </c>
      <c r="B514" s="1" t="n">
        <v>44194</v>
      </c>
      <c r="C514" s="1" t="n">
        <v>45753</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69618-2020</t>
        </is>
      </c>
      <c r="B515" s="1" t="n">
        <v>44195</v>
      </c>
      <c r="C515" s="1" t="n">
        <v>45753</v>
      </c>
      <c r="D515" t="inlineStr">
        <is>
          <t>JÄMTLANDS LÄN</t>
        </is>
      </c>
      <c r="E515" t="inlineStr">
        <is>
          <t>RAGUNDA</t>
        </is>
      </c>
      <c r="G515" t="n">
        <v>2.4</v>
      </c>
      <c r="H515" t="n">
        <v>0</v>
      </c>
      <c r="I515" t="n">
        <v>0</v>
      </c>
      <c r="J515" t="n">
        <v>0</v>
      </c>
      <c r="K515" t="n">
        <v>0</v>
      </c>
      <c r="L515" t="n">
        <v>0</v>
      </c>
      <c r="M515" t="n">
        <v>0</v>
      </c>
      <c r="N515" t="n">
        <v>0</v>
      </c>
      <c r="O515" t="n">
        <v>0</v>
      </c>
      <c r="P515" t="n">
        <v>0</v>
      </c>
      <c r="Q515" t="n">
        <v>0</v>
      </c>
      <c r="R515" s="2" t="inlineStr"/>
    </row>
    <row r="516" ht="15" customHeight="1">
      <c r="A516" t="inlineStr">
        <is>
          <t>A 1990-2021</t>
        </is>
      </c>
      <c r="B516" s="1" t="n">
        <v>44210</v>
      </c>
      <c r="C516" s="1" t="n">
        <v>45753</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2469-2021</t>
        </is>
      </c>
      <c r="B517" s="1" t="n">
        <v>44214</v>
      </c>
      <c r="C517" s="1" t="n">
        <v>45753</v>
      </c>
      <c r="D517" t="inlineStr">
        <is>
          <t>JÄMTLANDS LÄN</t>
        </is>
      </c>
      <c r="E517" t="inlineStr">
        <is>
          <t>RAGUNDA</t>
        </is>
      </c>
      <c r="G517" t="n">
        <v>1.1</v>
      </c>
      <c r="H517" t="n">
        <v>0</v>
      </c>
      <c r="I517" t="n">
        <v>0</v>
      </c>
      <c r="J517" t="n">
        <v>0</v>
      </c>
      <c r="K517" t="n">
        <v>0</v>
      </c>
      <c r="L517" t="n">
        <v>0</v>
      </c>
      <c r="M517" t="n">
        <v>0</v>
      </c>
      <c r="N517" t="n">
        <v>0</v>
      </c>
      <c r="O517" t="n">
        <v>0</v>
      </c>
      <c r="P517" t="n">
        <v>0</v>
      </c>
      <c r="Q517" t="n">
        <v>0</v>
      </c>
      <c r="R517" s="2" t="inlineStr"/>
    </row>
    <row r="518" ht="15" customHeight="1">
      <c r="A518" t="inlineStr">
        <is>
          <t>A 3571-2021</t>
        </is>
      </c>
      <c r="B518" s="1" t="n">
        <v>44218</v>
      </c>
      <c r="C518" s="1" t="n">
        <v>45753</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4826-2021</t>
        </is>
      </c>
      <c r="B519" s="1" t="n">
        <v>44225</v>
      </c>
      <c r="C519" s="1" t="n">
        <v>45753</v>
      </c>
      <c r="D519" t="inlineStr">
        <is>
          <t>JÄMTLANDS LÄN</t>
        </is>
      </c>
      <c r="E519" t="inlineStr">
        <is>
          <t>RAGUNDA</t>
        </is>
      </c>
      <c r="G519" t="n">
        <v>2.2</v>
      </c>
      <c r="H519" t="n">
        <v>0</v>
      </c>
      <c r="I519" t="n">
        <v>0</v>
      </c>
      <c r="J519" t="n">
        <v>0</v>
      </c>
      <c r="K519" t="n">
        <v>0</v>
      </c>
      <c r="L519" t="n">
        <v>0</v>
      </c>
      <c r="M519" t="n">
        <v>0</v>
      </c>
      <c r="N519" t="n">
        <v>0</v>
      </c>
      <c r="O519" t="n">
        <v>0</v>
      </c>
      <c r="P519" t="n">
        <v>0</v>
      </c>
      <c r="Q519" t="n">
        <v>0</v>
      </c>
      <c r="R519" s="2" t="inlineStr"/>
    </row>
    <row r="520" ht="15" customHeight="1">
      <c r="A520" t="inlineStr">
        <is>
          <t>A 5130-2021</t>
        </is>
      </c>
      <c r="B520" s="1" t="n">
        <v>44228</v>
      </c>
      <c r="C520" s="1" t="n">
        <v>45753</v>
      </c>
      <c r="D520" t="inlineStr">
        <is>
          <t>JÄMTLANDS LÄN</t>
        </is>
      </c>
      <c r="E520" t="inlineStr">
        <is>
          <t>RAGUNDA</t>
        </is>
      </c>
      <c r="G520" t="n">
        <v>1.6</v>
      </c>
      <c r="H520" t="n">
        <v>0</v>
      </c>
      <c r="I520" t="n">
        <v>0</v>
      </c>
      <c r="J520" t="n">
        <v>0</v>
      </c>
      <c r="K520" t="n">
        <v>0</v>
      </c>
      <c r="L520" t="n">
        <v>0</v>
      </c>
      <c r="M520" t="n">
        <v>0</v>
      </c>
      <c r="N520" t="n">
        <v>0</v>
      </c>
      <c r="O520" t="n">
        <v>0</v>
      </c>
      <c r="P520" t="n">
        <v>0</v>
      </c>
      <c r="Q520" t="n">
        <v>0</v>
      </c>
      <c r="R520" s="2" t="inlineStr"/>
    </row>
    <row r="521" ht="15" customHeight="1">
      <c r="A521" t="inlineStr">
        <is>
          <t>A 5462-2021</t>
        </is>
      </c>
      <c r="B521" s="1" t="n">
        <v>44229</v>
      </c>
      <c r="C521" s="1" t="n">
        <v>45753</v>
      </c>
      <c r="D521" t="inlineStr">
        <is>
          <t>JÄMTLANDS LÄN</t>
        </is>
      </c>
      <c r="E521" t="inlineStr">
        <is>
          <t>RAGUNDA</t>
        </is>
      </c>
      <c r="G521" t="n">
        <v>1.8</v>
      </c>
      <c r="H521" t="n">
        <v>0</v>
      </c>
      <c r="I521" t="n">
        <v>0</v>
      </c>
      <c r="J521" t="n">
        <v>0</v>
      </c>
      <c r="K521" t="n">
        <v>0</v>
      </c>
      <c r="L521" t="n">
        <v>0</v>
      </c>
      <c r="M521" t="n">
        <v>0</v>
      </c>
      <c r="N521" t="n">
        <v>0</v>
      </c>
      <c r="O521" t="n">
        <v>0</v>
      </c>
      <c r="P521" t="n">
        <v>0</v>
      </c>
      <c r="Q521" t="n">
        <v>0</v>
      </c>
      <c r="R521" s="2" t="inlineStr"/>
    </row>
    <row r="522" ht="15" customHeight="1">
      <c r="A522" t="inlineStr">
        <is>
          <t>A 5803-2021</t>
        </is>
      </c>
      <c r="B522" s="1" t="n">
        <v>44230</v>
      </c>
      <c r="C522" s="1" t="n">
        <v>45753</v>
      </c>
      <c r="D522" t="inlineStr">
        <is>
          <t>JÄMTLANDS LÄN</t>
        </is>
      </c>
      <c r="E522" t="inlineStr">
        <is>
          <t>RAGUNDA</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5967-2021</t>
        </is>
      </c>
      <c r="B523" s="1" t="n">
        <v>44231</v>
      </c>
      <c r="C523" s="1" t="n">
        <v>45753</v>
      </c>
      <c r="D523" t="inlineStr">
        <is>
          <t>JÄMTLANDS LÄN</t>
        </is>
      </c>
      <c r="E523" t="inlineStr">
        <is>
          <t>RAGUNDA</t>
        </is>
      </c>
      <c r="G523" t="n">
        <v>3.6</v>
      </c>
      <c r="H523" t="n">
        <v>0</v>
      </c>
      <c r="I523" t="n">
        <v>0</v>
      </c>
      <c r="J523" t="n">
        <v>0</v>
      </c>
      <c r="K523" t="n">
        <v>0</v>
      </c>
      <c r="L523" t="n">
        <v>0</v>
      </c>
      <c r="M523" t="n">
        <v>0</v>
      </c>
      <c r="N523" t="n">
        <v>0</v>
      </c>
      <c r="O523" t="n">
        <v>0</v>
      </c>
      <c r="P523" t="n">
        <v>0</v>
      </c>
      <c r="Q523" t="n">
        <v>0</v>
      </c>
      <c r="R523" s="2" t="inlineStr"/>
    </row>
    <row r="524" ht="15" customHeight="1">
      <c r="A524" t="inlineStr">
        <is>
          <t>A 5958-2021</t>
        </is>
      </c>
      <c r="B524" s="1" t="n">
        <v>44231</v>
      </c>
      <c r="C524" s="1" t="n">
        <v>45753</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6802-2021</t>
        </is>
      </c>
      <c r="B525" s="1" t="n">
        <v>44236</v>
      </c>
      <c r="C525" s="1" t="n">
        <v>45753</v>
      </c>
      <c r="D525" t="inlineStr">
        <is>
          <t>JÄMTLANDS LÄN</t>
        </is>
      </c>
      <c r="E525" t="inlineStr">
        <is>
          <t>RAGUNDA</t>
        </is>
      </c>
      <c r="G525" t="n">
        <v>11.2</v>
      </c>
      <c r="H525" t="n">
        <v>0</v>
      </c>
      <c r="I525" t="n">
        <v>0</v>
      </c>
      <c r="J525" t="n">
        <v>0</v>
      </c>
      <c r="K525" t="n">
        <v>0</v>
      </c>
      <c r="L525" t="n">
        <v>0</v>
      </c>
      <c r="M525" t="n">
        <v>0</v>
      </c>
      <c r="N525" t="n">
        <v>0</v>
      </c>
      <c r="O525" t="n">
        <v>0</v>
      </c>
      <c r="P525" t="n">
        <v>0</v>
      </c>
      <c r="Q525" t="n">
        <v>0</v>
      </c>
      <c r="R525" s="2" t="inlineStr"/>
    </row>
    <row r="526" ht="15" customHeight="1">
      <c r="A526" t="inlineStr">
        <is>
          <t>A 7575-2021</t>
        </is>
      </c>
      <c r="B526" s="1" t="n">
        <v>44239</v>
      </c>
      <c r="C526" s="1" t="n">
        <v>45753</v>
      </c>
      <c r="D526" t="inlineStr">
        <is>
          <t>JÄMTLANDS LÄN</t>
        </is>
      </c>
      <c r="E526" t="inlineStr">
        <is>
          <t>RAGUNDA</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7886-2021</t>
        </is>
      </c>
      <c r="B527" s="1" t="n">
        <v>44242</v>
      </c>
      <c r="C527" s="1" t="n">
        <v>45753</v>
      </c>
      <c r="D527" t="inlineStr">
        <is>
          <t>JÄMTLANDS LÄN</t>
        </is>
      </c>
      <c r="E527" t="inlineStr">
        <is>
          <t>RAGUNDA</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8033-2021</t>
        </is>
      </c>
      <c r="B528" s="1" t="n">
        <v>44243</v>
      </c>
      <c r="C528" s="1" t="n">
        <v>45753</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8626-2021</t>
        </is>
      </c>
      <c r="B529" s="1" t="n">
        <v>44245</v>
      </c>
      <c r="C529" s="1" t="n">
        <v>45753</v>
      </c>
      <c r="D529" t="inlineStr">
        <is>
          <t>JÄMTLANDS LÄN</t>
        </is>
      </c>
      <c r="E529" t="inlineStr">
        <is>
          <t>RAGUNDA</t>
        </is>
      </c>
      <c r="G529" t="n">
        <v>3.3</v>
      </c>
      <c r="H529" t="n">
        <v>0</v>
      </c>
      <c r="I529" t="n">
        <v>0</v>
      </c>
      <c r="J529" t="n">
        <v>0</v>
      </c>
      <c r="K529" t="n">
        <v>0</v>
      </c>
      <c r="L529" t="n">
        <v>0</v>
      </c>
      <c r="M529" t="n">
        <v>0</v>
      </c>
      <c r="N529" t="n">
        <v>0</v>
      </c>
      <c r="O529" t="n">
        <v>0</v>
      </c>
      <c r="P529" t="n">
        <v>0</v>
      </c>
      <c r="Q529" t="n">
        <v>0</v>
      </c>
      <c r="R529" s="2" t="inlineStr"/>
    </row>
    <row r="530" ht="15" customHeight="1">
      <c r="A530" t="inlineStr">
        <is>
          <t>A 10938-2021</t>
        </is>
      </c>
      <c r="B530" s="1" t="n">
        <v>44259</v>
      </c>
      <c r="C530" s="1" t="n">
        <v>45753</v>
      </c>
      <c r="D530" t="inlineStr">
        <is>
          <t>JÄMTLANDS LÄN</t>
        </is>
      </c>
      <c r="E530" t="inlineStr">
        <is>
          <t>RAGUNDA</t>
        </is>
      </c>
      <c r="G530" t="n">
        <v>10.4</v>
      </c>
      <c r="H530" t="n">
        <v>0</v>
      </c>
      <c r="I530" t="n">
        <v>0</v>
      </c>
      <c r="J530" t="n">
        <v>0</v>
      </c>
      <c r="K530" t="n">
        <v>0</v>
      </c>
      <c r="L530" t="n">
        <v>0</v>
      </c>
      <c r="M530" t="n">
        <v>0</v>
      </c>
      <c r="N530" t="n">
        <v>0</v>
      </c>
      <c r="O530" t="n">
        <v>0</v>
      </c>
      <c r="P530" t="n">
        <v>0</v>
      </c>
      <c r="Q530" t="n">
        <v>0</v>
      </c>
      <c r="R530" s="2" t="inlineStr"/>
    </row>
    <row r="531" ht="15" customHeight="1">
      <c r="A531" t="inlineStr">
        <is>
          <t>A 10937-2021</t>
        </is>
      </c>
      <c r="B531" s="1" t="n">
        <v>44259</v>
      </c>
      <c r="C531" s="1" t="n">
        <v>45753</v>
      </c>
      <c r="D531" t="inlineStr">
        <is>
          <t>JÄMTLANDS LÄN</t>
        </is>
      </c>
      <c r="E531" t="inlineStr">
        <is>
          <t>RAGUNDA</t>
        </is>
      </c>
      <c r="G531" t="n">
        <v>10.8</v>
      </c>
      <c r="H531" t="n">
        <v>0</v>
      </c>
      <c r="I531" t="n">
        <v>0</v>
      </c>
      <c r="J531" t="n">
        <v>0</v>
      </c>
      <c r="K531" t="n">
        <v>0</v>
      </c>
      <c r="L531" t="n">
        <v>0</v>
      </c>
      <c r="M531" t="n">
        <v>0</v>
      </c>
      <c r="N531" t="n">
        <v>0</v>
      </c>
      <c r="O531" t="n">
        <v>0</v>
      </c>
      <c r="P531" t="n">
        <v>0</v>
      </c>
      <c r="Q531" t="n">
        <v>0</v>
      </c>
      <c r="R531" s="2" t="inlineStr"/>
    </row>
    <row r="532" ht="15" customHeight="1">
      <c r="A532" t="inlineStr">
        <is>
          <t>A 13571-2021</t>
        </is>
      </c>
      <c r="B532" s="1" t="n">
        <v>44273</v>
      </c>
      <c r="C532" s="1" t="n">
        <v>45753</v>
      </c>
      <c r="D532" t="inlineStr">
        <is>
          <t>JÄMTLANDS LÄN</t>
        </is>
      </c>
      <c r="E532" t="inlineStr">
        <is>
          <t>RAGUNDA</t>
        </is>
      </c>
      <c r="G532" t="n">
        <v>1.9</v>
      </c>
      <c r="H532" t="n">
        <v>0</v>
      </c>
      <c r="I532" t="n">
        <v>0</v>
      </c>
      <c r="J532" t="n">
        <v>0</v>
      </c>
      <c r="K532" t="n">
        <v>0</v>
      </c>
      <c r="L532" t="n">
        <v>0</v>
      </c>
      <c r="M532" t="n">
        <v>0</v>
      </c>
      <c r="N532" t="n">
        <v>0</v>
      </c>
      <c r="O532" t="n">
        <v>0</v>
      </c>
      <c r="P532" t="n">
        <v>0</v>
      </c>
      <c r="Q532" t="n">
        <v>0</v>
      </c>
      <c r="R532" s="2" t="inlineStr"/>
    </row>
    <row r="533" ht="15" customHeight="1">
      <c r="A533" t="inlineStr">
        <is>
          <t>A 13570-2021</t>
        </is>
      </c>
      <c r="B533" s="1" t="n">
        <v>44273</v>
      </c>
      <c r="C533" s="1" t="n">
        <v>45753</v>
      </c>
      <c r="D533" t="inlineStr">
        <is>
          <t>JÄMTLANDS LÄN</t>
        </is>
      </c>
      <c r="E533" t="inlineStr">
        <is>
          <t>RAGUNDA</t>
        </is>
      </c>
      <c r="G533" t="n">
        <v>1.6</v>
      </c>
      <c r="H533" t="n">
        <v>0</v>
      </c>
      <c r="I533" t="n">
        <v>0</v>
      </c>
      <c r="J533" t="n">
        <v>0</v>
      </c>
      <c r="K533" t="n">
        <v>0</v>
      </c>
      <c r="L533" t="n">
        <v>0</v>
      </c>
      <c r="M533" t="n">
        <v>0</v>
      </c>
      <c r="N533" t="n">
        <v>0</v>
      </c>
      <c r="O533" t="n">
        <v>0</v>
      </c>
      <c r="P533" t="n">
        <v>0</v>
      </c>
      <c r="Q533" t="n">
        <v>0</v>
      </c>
      <c r="R533" s="2" t="inlineStr"/>
    </row>
    <row r="534" ht="15" customHeight="1">
      <c r="A534" t="inlineStr">
        <is>
          <t>A 13569-2021</t>
        </is>
      </c>
      <c r="B534" s="1" t="n">
        <v>44273</v>
      </c>
      <c r="C534" s="1" t="n">
        <v>45753</v>
      </c>
      <c r="D534" t="inlineStr">
        <is>
          <t>JÄMTLANDS LÄN</t>
        </is>
      </c>
      <c r="E534" t="inlineStr">
        <is>
          <t>RAGUNDA</t>
        </is>
      </c>
      <c r="G534" t="n">
        <v>2.6</v>
      </c>
      <c r="H534" t="n">
        <v>0</v>
      </c>
      <c r="I534" t="n">
        <v>0</v>
      </c>
      <c r="J534" t="n">
        <v>0</v>
      </c>
      <c r="K534" t="n">
        <v>0</v>
      </c>
      <c r="L534" t="n">
        <v>0</v>
      </c>
      <c r="M534" t="n">
        <v>0</v>
      </c>
      <c r="N534" t="n">
        <v>0</v>
      </c>
      <c r="O534" t="n">
        <v>0</v>
      </c>
      <c r="P534" t="n">
        <v>0</v>
      </c>
      <c r="Q534" t="n">
        <v>0</v>
      </c>
      <c r="R534" s="2" t="inlineStr"/>
    </row>
    <row r="535" ht="15" customHeight="1">
      <c r="A535" t="inlineStr">
        <is>
          <t>A 14790-2021</t>
        </is>
      </c>
      <c r="B535" s="1" t="n">
        <v>44280</v>
      </c>
      <c r="C535" s="1" t="n">
        <v>45753</v>
      </c>
      <c r="D535" t="inlineStr">
        <is>
          <t>JÄMTLANDS LÄN</t>
        </is>
      </c>
      <c r="E535" t="inlineStr">
        <is>
          <t>RAGUNDA</t>
        </is>
      </c>
      <c r="G535" t="n">
        <v>1</v>
      </c>
      <c r="H535" t="n">
        <v>0</v>
      </c>
      <c r="I535" t="n">
        <v>0</v>
      </c>
      <c r="J535" t="n">
        <v>0</v>
      </c>
      <c r="K535" t="n">
        <v>0</v>
      </c>
      <c r="L535" t="n">
        <v>0</v>
      </c>
      <c r="M535" t="n">
        <v>0</v>
      </c>
      <c r="N535" t="n">
        <v>0</v>
      </c>
      <c r="O535" t="n">
        <v>0</v>
      </c>
      <c r="P535" t="n">
        <v>0</v>
      </c>
      <c r="Q535" t="n">
        <v>0</v>
      </c>
      <c r="R535" s="2" t="inlineStr"/>
    </row>
    <row r="536" ht="15" customHeight="1">
      <c r="A536" t="inlineStr">
        <is>
          <t>A 14776-2021</t>
        </is>
      </c>
      <c r="B536" s="1" t="n">
        <v>44280</v>
      </c>
      <c r="C536" s="1" t="n">
        <v>45753</v>
      </c>
      <c r="D536" t="inlineStr">
        <is>
          <t>JÄMTLANDS LÄN</t>
        </is>
      </c>
      <c r="E536" t="inlineStr">
        <is>
          <t>RAGUNDA</t>
        </is>
      </c>
      <c r="G536" t="n">
        <v>0.8</v>
      </c>
      <c r="H536" t="n">
        <v>0</v>
      </c>
      <c r="I536" t="n">
        <v>0</v>
      </c>
      <c r="J536" t="n">
        <v>0</v>
      </c>
      <c r="K536" t="n">
        <v>0</v>
      </c>
      <c r="L536" t="n">
        <v>0</v>
      </c>
      <c r="M536" t="n">
        <v>0</v>
      </c>
      <c r="N536" t="n">
        <v>0</v>
      </c>
      <c r="O536" t="n">
        <v>0</v>
      </c>
      <c r="P536" t="n">
        <v>0</v>
      </c>
      <c r="Q536" t="n">
        <v>0</v>
      </c>
      <c r="R536" s="2" t="inlineStr"/>
    </row>
    <row r="537" ht="15" customHeight="1">
      <c r="A537" t="inlineStr">
        <is>
          <t>A 15102-2021</t>
        </is>
      </c>
      <c r="B537" s="1" t="n">
        <v>44281</v>
      </c>
      <c r="C537" s="1" t="n">
        <v>45753</v>
      </c>
      <c r="D537" t="inlineStr">
        <is>
          <t>JÄMTLANDS LÄN</t>
        </is>
      </c>
      <c r="E537" t="inlineStr">
        <is>
          <t>RAGUNDA</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15720-2021</t>
        </is>
      </c>
      <c r="B538" s="1" t="n">
        <v>44286</v>
      </c>
      <c r="C538" s="1" t="n">
        <v>45753</v>
      </c>
      <c r="D538" t="inlineStr">
        <is>
          <t>JÄMTLANDS LÄN</t>
        </is>
      </c>
      <c r="E538" t="inlineStr">
        <is>
          <t>RAGUNDA</t>
        </is>
      </c>
      <c r="G538" t="n">
        <v>0.5</v>
      </c>
      <c r="H538" t="n">
        <v>0</v>
      </c>
      <c r="I538" t="n">
        <v>0</v>
      </c>
      <c r="J538" t="n">
        <v>0</v>
      </c>
      <c r="K538" t="n">
        <v>0</v>
      </c>
      <c r="L538" t="n">
        <v>0</v>
      </c>
      <c r="M538" t="n">
        <v>0</v>
      </c>
      <c r="N538" t="n">
        <v>0</v>
      </c>
      <c r="O538" t="n">
        <v>0</v>
      </c>
      <c r="P538" t="n">
        <v>0</v>
      </c>
      <c r="Q538" t="n">
        <v>0</v>
      </c>
      <c r="R538" s="2" t="inlineStr"/>
    </row>
    <row r="539" ht="15" customHeight="1">
      <c r="A539" t="inlineStr">
        <is>
          <t>A 15672-2021</t>
        </is>
      </c>
      <c r="B539" s="1" t="n">
        <v>44286</v>
      </c>
      <c r="C539" s="1" t="n">
        <v>45753</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16002-2021</t>
        </is>
      </c>
      <c r="B540" s="1" t="n">
        <v>44287</v>
      </c>
      <c r="C540" s="1" t="n">
        <v>45753</v>
      </c>
      <c r="D540" t="inlineStr">
        <is>
          <t>JÄMTLANDS LÄN</t>
        </is>
      </c>
      <c r="E540" t="inlineStr">
        <is>
          <t>RAGUNDA</t>
        </is>
      </c>
      <c r="G540" t="n">
        <v>3.6</v>
      </c>
      <c r="H540" t="n">
        <v>0</v>
      </c>
      <c r="I540" t="n">
        <v>0</v>
      </c>
      <c r="J540" t="n">
        <v>0</v>
      </c>
      <c r="K540" t="n">
        <v>0</v>
      </c>
      <c r="L540" t="n">
        <v>0</v>
      </c>
      <c r="M540" t="n">
        <v>0</v>
      </c>
      <c r="N540" t="n">
        <v>0</v>
      </c>
      <c r="O540" t="n">
        <v>0</v>
      </c>
      <c r="P540" t="n">
        <v>0</v>
      </c>
      <c r="Q540" t="n">
        <v>0</v>
      </c>
      <c r="R540" s="2" t="inlineStr"/>
    </row>
    <row r="541" ht="15" customHeight="1">
      <c r="A541" t="inlineStr">
        <is>
          <t>A 16379-2021</t>
        </is>
      </c>
      <c r="B541" s="1" t="n">
        <v>44292</v>
      </c>
      <c r="C541" s="1" t="n">
        <v>45753</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17315-2021</t>
        </is>
      </c>
      <c r="B542" s="1" t="n">
        <v>44298</v>
      </c>
      <c r="C542" s="1" t="n">
        <v>45753</v>
      </c>
      <c r="D542" t="inlineStr">
        <is>
          <t>JÄMTLANDS LÄN</t>
        </is>
      </c>
      <c r="E542" t="inlineStr">
        <is>
          <t>RAGUNDA</t>
        </is>
      </c>
      <c r="G542" t="n">
        <v>0.6</v>
      </c>
      <c r="H542" t="n">
        <v>0</v>
      </c>
      <c r="I542" t="n">
        <v>0</v>
      </c>
      <c r="J542" t="n">
        <v>0</v>
      </c>
      <c r="K542" t="n">
        <v>0</v>
      </c>
      <c r="L542" t="n">
        <v>0</v>
      </c>
      <c r="M542" t="n">
        <v>0</v>
      </c>
      <c r="N542" t="n">
        <v>0</v>
      </c>
      <c r="O542" t="n">
        <v>0</v>
      </c>
      <c r="P542" t="n">
        <v>0</v>
      </c>
      <c r="Q542" t="n">
        <v>0</v>
      </c>
      <c r="R542" s="2" t="inlineStr"/>
    </row>
    <row r="543" ht="15" customHeight="1">
      <c r="A543" t="inlineStr">
        <is>
          <t>A 17598-2021</t>
        </is>
      </c>
      <c r="B543" s="1" t="n">
        <v>44299</v>
      </c>
      <c r="C543" s="1" t="n">
        <v>45753</v>
      </c>
      <c r="D543" t="inlineStr">
        <is>
          <t>JÄMTLANDS LÄN</t>
        </is>
      </c>
      <c r="E543" t="inlineStr">
        <is>
          <t>RAGUNDA</t>
        </is>
      </c>
      <c r="G543" t="n">
        <v>4.6</v>
      </c>
      <c r="H543" t="n">
        <v>0</v>
      </c>
      <c r="I543" t="n">
        <v>0</v>
      </c>
      <c r="J543" t="n">
        <v>0</v>
      </c>
      <c r="K543" t="n">
        <v>0</v>
      </c>
      <c r="L543" t="n">
        <v>0</v>
      </c>
      <c r="M543" t="n">
        <v>0</v>
      </c>
      <c r="N543" t="n">
        <v>0</v>
      </c>
      <c r="O543" t="n">
        <v>0</v>
      </c>
      <c r="P543" t="n">
        <v>0</v>
      </c>
      <c r="Q543" t="n">
        <v>0</v>
      </c>
      <c r="R543" s="2" t="inlineStr"/>
    </row>
    <row r="544" ht="15" customHeight="1">
      <c r="A544" t="inlineStr">
        <is>
          <t>A 18454-2021</t>
        </is>
      </c>
      <c r="B544" s="1" t="n">
        <v>44306</v>
      </c>
      <c r="C544" s="1" t="n">
        <v>45753</v>
      </c>
      <c r="D544" t="inlineStr">
        <is>
          <t>JÄMTLANDS LÄN</t>
        </is>
      </c>
      <c r="E544" t="inlineStr">
        <is>
          <t>RAGUNDA</t>
        </is>
      </c>
      <c r="G544" t="n">
        <v>1.3</v>
      </c>
      <c r="H544" t="n">
        <v>0</v>
      </c>
      <c r="I544" t="n">
        <v>0</v>
      </c>
      <c r="J544" t="n">
        <v>0</v>
      </c>
      <c r="K544" t="n">
        <v>0</v>
      </c>
      <c r="L544" t="n">
        <v>0</v>
      </c>
      <c r="M544" t="n">
        <v>0</v>
      </c>
      <c r="N544" t="n">
        <v>0</v>
      </c>
      <c r="O544" t="n">
        <v>0</v>
      </c>
      <c r="P544" t="n">
        <v>0</v>
      </c>
      <c r="Q544" t="n">
        <v>0</v>
      </c>
      <c r="R544" s="2" t="inlineStr"/>
    </row>
    <row r="545" ht="15" customHeight="1">
      <c r="A545" t="inlineStr">
        <is>
          <t>A 19615-2021</t>
        </is>
      </c>
      <c r="B545" s="1" t="n">
        <v>44308</v>
      </c>
      <c r="C545" s="1" t="n">
        <v>45753</v>
      </c>
      <c r="D545" t="inlineStr">
        <is>
          <t>JÄMTLANDS LÄN</t>
        </is>
      </c>
      <c r="E545" t="inlineStr">
        <is>
          <t>RAGUNDA</t>
        </is>
      </c>
      <c r="G545" t="n">
        <v>1.4</v>
      </c>
      <c r="H545" t="n">
        <v>0</v>
      </c>
      <c r="I545" t="n">
        <v>0</v>
      </c>
      <c r="J545" t="n">
        <v>0</v>
      </c>
      <c r="K545" t="n">
        <v>0</v>
      </c>
      <c r="L545" t="n">
        <v>0</v>
      </c>
      <c r="M545" t="n">
        <v>0</v>
      </c>
      <c r="N545" t="n">
        <v>0</v>
      </c>
      <c r="O545" t="n">
        <v>0</v>
      </c>
      <c r="P545" t="n">
        <v>0</v>
      </c>
      <c r="Q545" t="n">
        <v>0</v>
      </c>
      <c r="R545" s="2" t="inlineStr"/>
    </row>
    <row r="546" ht="15" customHeight="1">
      <c r="A546" t="inlineStr">
        <is>
          <t>A 19612-2021</t>
        </is>
      </c>
      <c r="B546" s="1" t="n">
        <v>44308</v>
      </c>
      <c r="C546" s="1" t="n">
        <v>45753</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19600-2021</t>
        </is>
      </c>
      <c r="B547" s="1" t="n">
        <v>44308</v>
      </c>
      <c r="C547" s="1" t="n">
        <v>45753</v>
      </c>
      <c r="D547" t="inlineStr">
        <is>
          <t>JÄMTLANDS LÄN</t>
        </is>
      </c>
      <c r="E547" t="inlineStr">
        <is>
          <t>RAGUNDA</t>
        </is>
      </c>
      <c r="G547" t="n">
        <v>4.3</v>
      </c>
      <c r="H547" t="n">
        <v>0</v>
      </c>
      <c r="I547" t="n">
        <v>0</v>
      </c>
      <c r="J547" t="n">
        <v>0</v>
      </c>
      <c r="K547" t="n">
        <v>0</v>
      </c>
      <c r="L547" t="n">
        <v>0</v>
      </c>
      <c r="M547" t="n">
        <v>0</v>
      </c>
      <c r="N547" t="n">
        <v>0</v>
      </c>
      <c r="O547" t="n">
        <v>0</v>
      </c>
      <c r="P547" t="n">
        <v>0</v>
      </c>
      <c r="Q547" t="n">
        <v>0</v>
      </c>
      <c r="R547" s="2" t="inlineStr"/>
    </row>
    <row r="548" ht="15" customHeight="1">
      <c r="A548" t="inlineStr">
        <is>
          <t>A 19595-2021</t>
        </is>
      </c>
      <c r="B548" s="1" t="n">
        <v>44308</v>
      </c>
      <c r="C548" s="1" t="n">
        <v>45753</v>
      </c>
      <c r="D548" t="inlineStr">
        <is>
          <t>JÄMTLANDS LÄN</t>
        </is>
      </c>
      <c r="E548" t="inlineStr">
        <is>
          <t>RAGUNDA</t>
        </is>
      </c>
      <c r="G548" t="n">
        <v>5.4</v>
      </c>
      <c r="H548" t="n">
        <v>0</v>
      </c>
      <c r="I548" t="n">
        <v>0</v>
      </c>
      <c r="J548" t="n">
        <v>0</v>
      </c>
      <c r="K548" t="n">
        <v>0</v>
      </c>
      <c r="L548" t="n">
        <v>0</v>
      </c>
      <c r="M548" t="n">
        <v>0</v>
      </c>
      <c r="N548" t="n">
        <v>0</v>
      </c>
      <c r="O548" t="n">
        <v>0</v>
      </c>
      <c r="P548" t="n">
        <v>0</v>
      </c>
      <c r="Q548" t="n">
        <v>0</v>
      </c>
      <c r="R548" s="2" t="inlineStr"/>
    </row>
    <row r="549" ht="15" customHeight="1">
      <c r="A549" t="inlineStr">
        <is>
          <t>A 20548-2021</t>
        </is>
      </c>
      <c r="B549" s="1" t="n">
        <v>44315</v>
      </c>
      <c r="C549" s="1" t="n">
        <v>45753</v>
      </c>
      <c r="D549" t="inlineStr">
        <is>
          <t>JÄMTLANDS LÄN</t>
        </is>
      </c>
      <c r="E549" t="inlineStr">
        <is>
          <t>RAGUNDA</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22655-2021</t>
        </is>
      </c>
      <c r="B550" s="1" t="n">
        <v>44322</v>
      </c>
      <c r="C550" s="1" t="n">
        <v>45753</v>
      </c>
      <c r="D550" t="inlineStr">
        <is>
          <t>JÄMTLANDS LÄN</t>
        </is>
      </c>
      <c r="E550" t="inlineStr">
        <is>
          <t>RAGUNDA</t>
        </is>
      </c>
      <c r="G550" t="n">
        <v>5.8</v>
      </c>
      <c r="H550" t="n">
        <v>0</v>
      </c>
      <c r="I550" t="n">
        <v>0</v>
      </c>
      <c r="J550" t="n">
        <v>0</v>
      </c>
      <c r="K550" t="n">
        <v>0</v>
      </c>
      <c r="L550" t="n">
        <v>0</v>
      </c>
      <c r="M550" t="n">
        <v>0</v>
      </c>
      <c r="N550" t="n">
        <v>0</v>
      </c>
      <c r="O550" t="n">
        <v>0</v>
      </c>
      <c r="P550" t="n">
        <v>0</v>
      </c>
      <c r="Q550" t="n">
        <v>0</v>
      </c>
      <c r="R550" s="2" t="inlineStr"/>
    </row>
    <row r="551" ht="15" customHeight="1">
      <c r="A551" t="inlineStr">
        <is>
          <t>A 22131-2021</t>
        </is>
      </c>
      <c r="B551" s="1" t="n">
        <v>44323</v>
      </c>
      <c r="C551" s="1" t="n">
        <v>45753</v>
      </c>
      <c r="D551" t="inlineStr">
        <is>
          <t>JÄMTLANDS LÄN</t>
        </is>
      </c>
      <c r="E551" t="inlineStr">
        <is>
          <t>RAGUNDA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23169-2021</t>
        </is>
      </c>
      <c r="B552" s="1" t="n">
        <v>44332</v>
      </c>
      <c r="C552" s="1" t="n">
        <v>45753</v>
      </c>
      <c r="D552" t="inlineStr">
        <is>
          <t>JÄMTLANDS LÄN</t>
        </is>
      </c>
      <c r="E552" t="inlineStr">
        <is>
          <t>RAGUNDA</t>
        </is>
      </c>
      <c r="F552" t="inlineStr">
        <is>
          <t>SCA</t>
        </is>
      </c>
      <c r="G552" t="n">
        <v>59.9</v>
      </c>
      <c r="H552" t="n">
        <v>0</v>
      </c>
      <c r="I552" t="n">
        <v>0</v>
      </c>
      <c r="J552" t="n">
        <v>0</v>
      </c>
      <c r="K552" t="n">
        <v>0</v>
      </c>
      <c r="L552" t="n">
        <v>0</v>
      </c>
      <c r="M552" t="n">
        <v>0</v>
      </c>
      <c r="N552" t="n">
        <v>0</v>
      </c>
      <c r="O552" t="n">
        <v>0</v>
      </c>
      <c r="P552" t="n">
        <v>0</v>
      </c>
      <c r="Q552" t="n">
        <v>0</v>
      </c>
      <c r="R552" s="2" t="inlineStr"/>
    </row>
    <row r="553" ht="15" customHeight="1">
      <c r="A553" t="inlineStr">
        <is>
          <t>A 24171-2021</t>
        </is>
      </c>
      <c r="B553" s="1" t="n">
        <v>44336</v>
      </c>
      <c r="C553" s="1" t="n">
        <v>45753</v>
      </c>
      <c r="D553" t="inlineStr">
        <is>
          <t>JÄMTLANDS LÄN</t>
        </is>
      </c>
      <c r="E553" t="inlineStr">
        <is>
          <t>RAGUNDA</t>
        </is>
      </c>
      <c r="G553" t="n">
        <v>3.6</v>
      </c>
      <c r="H553" t="n">
        <v>0</v>
      </c>
      <c r="I553" t="n">
        <v>0</v>
      </c>
      <c r="J553" t="n">
        <v>0</v>
      </c>
      <c r="K553" t="n">
        <v>0</v>
      </c>
      <c r="L553" t="n">
        <v>0</v>
      </c>
      <c r="M553" t="n">
        <v>0</v>
      </c>
      <c r="N553" t="n">
        <v>0</v>
      </c>
      <c r="O553" t="n">
        <v>0</v>
      </c>
      <c r="P553" t="n">
        <v>0</v>
      </c>
      <c r="Q553" t="n">
        <v>0</v>
      </c>
      <c r="R553" s="2" t="inlineStr"/>
    </row>
    <row r="554" ht="15" customHeight="1">
      <c r="A554" t="inlineStr">
        <is>
          <t>A 24280-2021</t>
        </is>
      </c>
      <c r="B554" s="1" t="n">
        <v>44336</v>
      </c>
      <c r="C554" s="1" t="n">
        <v>45753</v>
      </c>
      <c r="D554" t="inlineStr">
        <is>
          <t>JÄMTLANDS LÄN</t>
        </is>
      </c>
      <c r="E554" t="inlineStr">
        <is>
          <t>RAGUNDA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25811-2021</t>
        </is>
      </c>
      <c r="B555" s="1" t="n">
        <v>44344</v>
      </c>
      <c r="C555" s="1" t="n">
        <v>45753</v>
      </c>
      <c r="D555" t="inlineStr">
        <is>
          <t>JÄMTLANDS LÄN</t>
        </is>
      </c>
      <c r="E555" t="inlineStr">
        <is>
          <t>RAGUNDA</t>
        </is>
      </c>
      <c r="F555" t="inlineStr">
        <is>
          <t>SCA</t>
        </is>
      </c>
      <c r="G555" t="n">
        <v>6.5</v>
      </c>
      <c r="H555" t="n">
        <v>0</v>
      </c>
      <c r="I555" t="n">
        <v>0</v>
      </c>
      <c r="J555" t="n">
        <v>0</v>
      </c>
      <c r="K555" t="n">
        <v>0</v>
      </c>
      <c r="L555" t="n">
        <v>0</v>
      </c>
      <c r="M555" t="n">
        <v>0</v>
      </c>
      <c r="N555" t="n">
        <v>0</v>
      </c>
      <c r="O555" t="n">
        <v>0</v>
      </c>
      <c r="P555" t="n">
        <v>0</v>
      </c>
      <c r="Q555" t="n">
        <v>0</v>
      </c>
      <c r="R555" s="2" t="inlineStr"/>
    </row>
    <row r="556" ht="15" customHeight="1">
      <c r="A556" t="inlineStr">
        <is>
          <t>A 26942-2021</t>
        </is>
      </c>
      <c r="B556" s="1" t="n">
        <v>44350</v>
      </c>
      <c r="C556" s="1" t="n">
        <v>45753</v>
      </c>
      <c r="D556" t="inlineStr">
        <is>
          <t>JÄMTLANDS LÄN</t>
        </is>
      </c>
      <c r="E556" t="inlineStr">
        <is>
          <t>RAGUNDA</t>
        </is>
      </c>
      <c r="G556" t="n">
        <v>6.2</v>
      </c>
      <c r="H556" t="n">
        <v>0</v>
      </c>
      <c r="I556" t="n">
        <v>0</v>
      </c>
      <c r="J556" t="n">
        <v>0</v>
      </c>
      <c r="K556" t="n">
        <v>0</v>
      </c>
      <c r="L556" t="n">
        <v>0</v>
      </c>
      <c r="M556" t="n">
        <v>0</v>
      </c>
      <c r="N556" t="n">
        <v>0</v>
      </c>
      <c r="O556" t="n">
        <v>0</v>
      </c>
      <c r="P556" t="n">
        <v>0</v>
      </c>
      <c r="Q556" t="n">
        <v>0</v>
      </c>
      <c r="R556" s="2" t="inlineStr"/>
    </row>
    <row r="557" ht="15" customHeight="1">
      <c r="A557" t="inlineStr">
        <is>
          <t>A 26948-2021</t>
        </is>
      </c>
      <c r="B557" s="1" t="n">
        <v>44350</v>
      </c>
      <c r="C557" s="1" t="n">
        <v>45753</v>
      </c>
      <c r="D557" t="inlineStr">
        <is>
          <t>JÄMTLANDS LÄN</t>
        </is>
      </c>
      <c r="E557" t="inlineStr">
        <is>
          <t>RAGUNDA</t>
        </is>
      </c>
      <c r="G557" t="n">
        <v>2.5</v>
      </c>
      <c r="H557" t="n">
        <v>0</v>
      </c>
      <c r="I557" t="n">
        <v>0</v>
      </c>
      <c r="J557" t="n">
        <v>0</v>
      </c>
      <c r="K557" t="n">
        <v>0</v>
      </c>
      <c r="L557" t="n">
        <v>0</v>
      </c>
      <c r="M557" t="n">
        <v>0</v>
      </c>
      <c r="N557" t="n">
        <v>0</v>
      </c>
      <c r="O557" t="n">
        <v>0</v>
      </c>
      <c r="P557" t="n">
        <v>0</v>
      </c>
      <c r="Q557" t="n">
        <v>0</v>
      </c>
      <c r="R557" s="2" t="inlineStr"/>
    </row>
    <row r="558" ht="15" customHeight="1">
      <c r="A558" t="inlineStr">
        <is>
          <t>A 26945-2021</t>
        </is>
      </c>
      <c r="B558" s="1" t="n">
        <v>44350</v>
      </c>
      <c r="C558" s="1" t="n">
        <v>45753</v>
      </c>
      <c r="D558" t="inlineStr">
        <is>
          <t>JÄMTLANDS LÄN</t>
        </is>
      </c>
      <c r="E558" t="inlineStr">
        <is>
          <t>RAGUNDA</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26946-2021</t>
        </is>
      </c>
      <c r="B559" s="1" t="n">
        <v>44349</v>
      </c>
      <c r="C559" s="1" t="n">
        <v>45753</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27399-2021</t>
        </is>
      </c>
      <c r="B560" s="1" t="n">
        <v>44351</v>
      </c>
      <c r="C560" s="1" t="n">
        <v>45753</v>
      </c>
      <c r="D560" t="inlineStr">
        <is>
          <t>JÄMTLANDS LÄN</t>
        </is>
      </c>
      <c r="E560" t="inlineStr">
        <is>
          <t>RAGUNDA</t>
        </is>
      </c>
      <c r="F560" t="inlineStr">
        <is>
          <t>Kommuner</t>
        </is>
      </c>
      <c r="G560" t="n">
        <v>3.1</v>
      </c>
      <c r="H560" t="n">
        <v>0</v>
      </c>
      <c r="I560" t="n">
        <v>0</v>
      </c>
      <c r="J560" t="n">
        <v>0</v>
      </c>
      <c r="K560" t="n">
        <v>0</v>
      </c>
      <c r="L560" t="n">
        <v>0</v>
      </c>
      <c r="M560" t="n">
        <v>0</v>
      </c>
      <c r="N560" t="n">
        <v>0</v>
      </c>
      <c r="O560" t="n">
        <v>0</v>
      </c>
      <c r="P560" t="n">
        <v>0</v>
      </c>
      <c r="Q560" t="n">
        <v>0</v>
      </c>
      <c r="R560" s="2" t="inlineStr"/>
    </row>
    <row r="561" ht="15" customHeight="1">
      <c r="A561" t="inlineStr">
        <is>
          <t>A 27371-2021</t>
        </is>
      </c>
      <c r="B561" s="1" t="n">
        <v>44351</v>
      </c>
      <c r="C561" s="1" t="n">
        <v>45753</v>
      </c>
      <c r="D561" t="inlineStr">
        <is>
          <t>JÄMTLANDS LÄN</t>
        </is>
      </c>
      <c r="E561" t="inlineStr">
        <is>
          <t>RAGUNDA</t>
        </is>
      </c>
      <c r="F561" t="inlineStr">
        <is>
          <t>Kommuner</t>
        </is>
      </c>
      <c r="G561" t="n">
        <v>2.5</v>
      </c>
      <c r="H561" t="n">
        <v>0</v>
      </c>
      <c r="I561" t="n">
        <v>0</v>
      </c>
      <c r="J561" t="n">
        <v>0</v>
      </c>
      <c r="K561" t="n">
        <v>0</v>
      </c>
      <c r="L561" t="n">
        <v>0</v>
      </c>
      <c r="M561" t="n">
        <v>0</v>
      </c>
      <c r="N561" t="n">
        <v>0</v>
      </c>
      <c r="O561" t="n">
        <v>0</v>
      </c>
      <c r="P561" t="n">
        <v>0</v>
      </c>
      <c r="Q561" t="n">
        <v>0</v>
      </c>
      <c r="R561" s="2" t="inlineStr"/>
    </row>
    <row r="562" ht="15" customHeight="1">
      <c r="A562" t="inlineStr">
        <is>
          <t>A 28596-2021</t>
        </is>
      </c>
      <c r="B562" s="1" t="n">
        <v>44356</v>
      </c>
      <c r="C562" s="1" t="n">
        <v>45753</v>
      </c>
      <c r="D562" t="inlineStr">
        <is>
          <t>JÄMTLANDS LÄN</t>
        </is>
      </c>
      <c r="E562" t="inlineStr">
        <is>
          <t>RAGUNDA</t>
        </is>
      </c>
      <c r="G562" t="n">
        <v>5.4</v>
      </c>
      <c r="H562" t="n">
        <v>0</v>
      </c>
      <c r="I562" t="n">
        <v>0</v>
      </c>
      <c r="J562" t="n">
        <v>0</v>
      </c>
      <c r="K562" t="n">
        <v>0</v>
      </c>
      <c r="L562" t="n">
        <v>0</v>
      </c>
      <c r="M562" t="n">
        <v>0</v>
      </c>
      <c r="N562" t="n">
        <v>0</v>
      </c>
      <c r="O562" t="n">
        <v>0</v>
      </c>
      <c r="P562" t="n">
        <v>0</v>
      </c>
      <c r="Q562" t="n">
        <v>0</v>
      </c>
      <c r="R562" s="2" t="inlineStr"/>
    </row>
    <row r="563" ht="15" customHeight="1">
      <c r="A563" t="inlineStr">
        <is>
          <t>A 28597-2021</t>
        </is>
      </c>
      <c r="B563" s="1" t="n">
        <v>44357</v>
      </c>
      <c r="C563" s="1" t="n">
        <v>45753</v>
      </c>
      <c r="D563" t="inlineStr">
        <is>
          <t>JÄMTLANDS LÄN</t>
        </is>
      </c>
      <c r="E563" t="inlineStr">
        <is>
          <t>RAGUNDA</t>
        </is>
      </c>
      <c r="G563" t="n">
        <v>3.1</v>
      </c>
      <c r="H563" t="n">
        <v>0</v>
      </c>
      <c r="I563" t="n">
        <v>0</v>
      </c>
      <c r="J563" t="n">
        <v>0</v>
      </c>
      <c r="K563" t="n">
        <v>0</v>
      </c>
      <c r="L563" t="n">
        <v>0</v>
      </c>
      <c r="M563" t="n">
        <v>0</v>
      </c>
      <c r="N563" t="n">
        <v>0</v>
      </c>
      <c r="O563" t="n">
        <v>0</v>
      </c>
      <c r="P563" t="n">
        <v>0</v>
      </c>
      <c r="Q563" t="n">
        <v>0</v>
      </c>
      <c r="R563" s="2" t="inlineStr"/>
    </row>
    <row r="564" ht="15" customHeight="1">
      <c r="A564" t="inlineStr">
        <is>
          <t>A 28887-2021</t>
        </is>
      </c>
      <c r="B564" s="1" t="n">
        <v>44357</v>
      </c>
      <c r="C564" s="1" t="n">
        <v>45753</v>
      </c>
      <c r="D564" t="inlineStr">
        <is>
          <t>JÄMTLANDS LÄN</t>
        </is>
      </c>
      <c r="E564" t="inlineStr">
        <is>
          <t>RAGUNDA</t>
        </is>
      </c>
      <c r="G564" t="n">
        <v>1.8</v>
      </c>
      <c r="H564" t="n">
        <v>0</v>
      </c>
      <c r="I564" t="n">
        <v>0</v>
      </c>
      <c r="J564" t="n">
        <v>0</v>
      </c>
      <c r="K564" t="n">
        <v>0</v>
      </c>
      <c r="L564" t="n">
        <v>0</v>
      </c>
      <c r="M564" t="n">
        <v>0</v>
      </c>
      <c r="N564" t="n">
        <v>0</v>
      </c>
      <c r="O564" t="n">
        <v>0</v>
      </c>
      <c r="P564" t="n">
        <v>0</v>
      </c>
      <c r="Q564" t="n">
        <v>0</v>
      </c>
      <c r="R564" s="2" t="inlineStr"/>
    </row>
    <row r="565" ht="15" customHeight="1">
      <c r="A565" t="inlineStr">
        <is>
          <t>A 29409-2021</t>
        </is>
      </c>
      <c r="B565" s="1" t="n">
        <v>44361</v>
      </c>
      <c r="C565" s="1" t="n">
        <v>45753</v>
      </c>
      <c r="D565" t="inlineStr">
        <is>
          <t>JÄMTLANDS LÄN</t>
        </is>
      </c>
      <c r="E565" t="inlineStr">
        <is>
          <t>RAGUNDA</t>
        </is>
      </c>
      <c r="G565" t="n">
        <v>0.3</v>
      </c>
      <c r="H565" t="n">
        <v>0</v>
      </c>
      <c r="I565" t="n">
        <v>0</v>
      </c>
      <c r="J565" t="n">
        <v>0</v>
      </c>
      <c r="K565" t="n">
        <v>0</v>
      </c>
      <c r="L565" t="n">
        <v>0</v>
      </c>
      <c r="M565" t="n">
        <v>0</v>
      </c>
      <c r="N565" t="n">
        <v>0</v>
      </c>
      <c r="O565" t="n">
        <v>0</v>
      </c>
      <c r="P565" t="n">
        <v>0</v>
      </c>
      <c r="Q565" t="n">
        <v>0</v>
      </c>
      <c r="R565" s="2" t="inlineStr"/>
    </row>
    <row r="566" ht="15" customHeight="1">
      <c r="A566" t="inlineStr">
        <is>
          <t>A 30438-2021</t>
        </is>
      </c>
      <c r="B566" s="1" t="n">
        <v>44362</v>
      </c>
      <c r="C566" s="1" t="n">
        <v>45753</v>
      </c>
      <c r="D566" t="inlineStr">
        <is>
          <t>JÄMTLANDS LÄN</t>
        </is>
      </c>
      <c r="E566" t="inlineStr">
        <is>
          <t>RAGUNDA</t>
        </is>
      </c>
      <c r="G566" t="n">
        <v>5</v>
      </c>
      <c r="H566" t="n">
        <v>0</v>
      </c>
      <c r="I566" t="n">
        <v>0</v>
      </c>
      <c r="J566" t="n">
        <v>0</v>
      </c>
      <c r="K566" t="n">
        <v>0</v>
      </c>
      <c r="L566" t="n">
        <v>0</v>
      </c>
      <c r="M566" t="n">
        <v>0</v>
      </c>
      <c r="N566" t="n">
        <v>0</v>
      </c>
      <c r="O566" t="n">
        <v>0</v>
      </c>
      <c r="P566" t="n">
        <v>0</v>
      </c>
      <c r="Q566" t="n">
        <v>0</v>
      </c>
      <c r="R566" s="2" t="inlineStr"/>
    </row>
    <row r="567" ht="15" customHeight="1">
      <c r="A567" t="inlineStr">
        <is>
          <t>A 30459-2021</t>
        </is>
      </c>
      <c r="B567" s="1" t="n">
        <v>44362</v>
      </c>
      <c r="C567" s="1" t="n">
        <v>45753</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30581-2021</t>
        </is>
      </c>
      <c r="B568" s="1" t="n">
        <v>44365</v>
      </c>
      <c r="C568" s="1" t="n">
        <v>45753</v>
      </c>
      <c r="D568" t="inlineStr">
        <is>
          <t>JÄMTLANDS LÄN</t>
        </is>
      </c>
      <c r="E568" t="inlineStr">
        <is>
          <t>RAGUNDA</t>
        </is>
      </c>
      <c r="G568" t="n">
        <v>4.2</v>
      </c>
      <c r="H568" t="n">
        <v>0</v>
      </c>
      <c r="I568" t="n">
        <v>0</v>
      </c>
      <c r="J568" t="n">
        <v>0</v>
      </c>
      <c r="K568" t="n">
        <v>0</v>
      </c>
      <c r="L568" t="n">
        <v>0</v>
      </c>
      <c r="M568" t="n">
        <v>0</v>
      </c>
      <c r="N568" t="n">
        <v>0</v>
      </c>
      <c r="O568" t="n">
        <v>0</v>
      </c>
      <c r="P568" t="n">
        <v>0</v>
      </c>
      <c r="Q568" t="n">
        <v>0</v>
      </c>
      <c r="R568" s="2" t="inlineStr"/>
    </row>
    <row r="569" ht="15" customHeight="1">
      <c r="A569" t="inlineStr">
        <is>
          <t>A 31158-2021</t>
        </is>
      </c>
      <c r="B569" s="1" t="n">
        <v>44368</v>
      </c>
      <c r="C569" s="1" t="n">
        <v>45753</v>
      </c>
      <c r="D569" t="inlineStr">
        <is>
          <t>JÄMTLANDS LÄN</t>
        </is>
      </c>
      <c r="E569" t="inlineStr">
        <is>
          <t>RAGUNDA</t>
        </is>
      </c>
      <c r="G569" t="n">
        <v>0.5</v>
      </c>
      <c r="H569" t="n">
        <v>0</v>
      </c>
      <c r="I569" t="n">
        <v>0</v>
      </c>
      <c r="J569" t="n">
        <v>0</v>
      </c>
      <c r="K569" t="n">
        <v>0</v>
      </c>
      <c r="L569" t="n">
        <v>0</v>
      </c>
      <c r="M569" t="n">
        <v>0</v>
      </c>
      <c r="N569" t="n">
        <v>0</v>
      </c>
      <c r="O569" t="n">
        <v>0</v>
      </c>
      <c r="P569" t="n">
        <v>0</v>
      </c>
      <c r="Q569" t="n">
        <v>0</v>
      </c>
      <c r="R569" s="2" t="inlineStr"/>
    </row>
    <row r="570" ht="15" customHeight="1">
      <c r="A570" t="inlineStr">
        <is>
          <t>A 31727-2021</t>
        </is>
      </c>
      <c r="B570" s="1" t="n">
        <v>44370</v>
      </c>
      <c r="C570" s="1" t="n">
        <v>45753</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32832-2021</t>
        </is>
      </c>
      <c r="B571" s="1" t="n">
        <v>44375</v>
      </c>
      <c r="C571" s="1" t="n">
        <v>45753</v>
      </c>
      <c r="D571" t="inlineStr">
        <is>
          <t>JÄMTLANDS LÄN</t>
        </is>
      </c>
      <c r="E571" t="inlineStr">
        <is>
          <t>RAGUNDA</t>
        </is>
      </c>
      <c r="G571" t="n">
        <v>3</v>
      </c>
      <c r="H571" t="n">
        <v>0</v>
      </c>
      <c r="I571" t="n">
        <v>0</v>
      </c>
      <c r="J571" t="n">
        <v>0</v>
      </c>
      <c r="K571" t="n">
        <v>0</v>
      </c>
      <c r="L571" t="n">
        <v>0</v>
      </c>
      <c r="M571" t="n">
        <v>0</v>
      </c>
      <c r="N571" t="n">
        <v>0</v>
      </c>
      <c r="O571" t="n">
        <v>0</v>
      </c>
      <c r="P571" t="n">
        <v>0</v>
      </c>
      <c r="Q571" t="n">
        <v>0</v>
      </c>
      <c r="R571" s="2" t="inlineStr"/>
    </row>
    <row r="572" ht="15" customHeight="1">
      <c r="A572" t="inlineStr">
        <is>
          <t>A 34348-2021</t>
        </is>
      </c>
      <c r="B572" s="1" t="n">
        <v>44379</v>
      </c>
      <c r="C572" s="1" t="n">
        <v>45753</v>
      </c>
      <c r="D572" t="inlineStr">
        <is>
          <t>JÄMTLANDS LÄN</t>
        </is>
      </c>
      <c r="E572" t="inlineStr">
        <is>
          <t>RAGUNDA</t>
        </is>
      </c>
      <c r="G572" t="n">
        <v>8.1</v>
      </c>
      <c r="H572" t="n">
        <v>0</v>
      </c>
      <c r="I572" t="n">
        <v>0</v>
      </c>
      <c r="J572" t="n">
        <v>0</v>
      </c>
      <c r="K572" t="n">
        <v>0</v>
      </c>
      <c r="L572" t="n">
        <v>0</v>
      </c>
      <c r="M572" t="n">
        <v>0</v>
      </c>
      <c r="N572" t="n">
        <v>0</v>
      </c>
      <c r="O572" t="n">
        <v>0</v>
      </c>
      <c r="P572" t="n">
        <v>0</v>
      </c>
      <c r="Q572" t="n">
        <v>0</v>
      </c>
      <c r="R572" s="2" t="inlineStr"/>
    </row>
    <row r="573" ht="15" customHeight="1">
      <c r="A573" t="inlineStr">
        <is>
          <t>A 35537-2021</t>
        </is>
      </c>
      <c r="B573" s="1" t="n">
        <v>44384</v>
      </c>
      <c r="C573" s="1" t="n">
        <v>45753</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35386-2021</t>
        </is>
      </c>
      <c r="B574" s="1" t="n">
        <v>44385</v>
      </c>
      <c r="C574" s="1" t="n">
        <v>45753</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35988-2021</t>
        </is>
      </c>
      <c r="B575" s="1" t="n">
        <v>44385</v>
      </c>
      <c r="C575" s="1" t="n">
        <v>45753</v>
      </c>
      <c r="D575" t="inlineStr">
        <is>
          <t>JÄMTLANDS LÄN</t>
        </is>
      </c>
      <c r="E575" t="inlineStr">
        <is>
          <t>RAGUNDA</t>
        </is>
      </c>
      <c r="G575" t="n">
        <v>4.1</v>
      </c>
      <c r="H575" t="n">
        <v>0</v>
      </c>
      <c r="I575" t="n">
        <v>0</v>
      </c>
      <c r="J575" t="n">
        <v>0</v>
      </c>
      <c r="K575" t="n">
        <v>0</v>
      </c>
      <c r="L575" t="n">
        <v>0</v>
      </c>
      <c r="M575" t="n">
        <v>0</v>
      </c>
      <c r="N575" t="n">
        <v>0</v>
      </c>
      <c r="O575" t="n">
        <v>0</v>
      </c>
      <c r="P575" t="n">
        <v>0</v>
      </c>
      <c r="Q575" t="n">
        <v>0</v>
      </c>
      <c r="R575" s="2" t="inlineStr"/>
    </row>
    <row r="576" ht="15" customHeight="1">
      <c r="A576" t="inlineStr">
        <is>
          <t>A 36227-2021</t>
        </is>
      </c>
      <c r="B576" s="1" t="n">
        <v>44390</v>
      </c>
      <c r="C576" s="1" t="n">
        <v>45753</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36228-2021</t>
        </is>
      </c>
      <c r="B577" s="1" t="n">
        <v>44390</v>
      </c>
      <c r="C577" s="1" t="n">
        <v>45753</v>
      </c>
      <c r="D577" t="inlineStr">
        <is>
          <t>JÄMTLANDS LÄN</t>
        </is>
      </c>
      <c r="E577" t="inlineStr">
        <is>
          <t>RAGUNDA</t>
        </is>
      </c>
      <c r="G577" t="n">
        <v>1.7</v>
      </c>
      <c r="H577" t="n">
        <v>0</v>
      </c>
      <c r="I577" t="n">
        <v>0</v>
      </c>
      <c r="J577" t="n">
        <v>0</v>
      </c>
      <c r="K577" t="n">
        <v>0</v>
      </c>
      <c r="L577" t="n">
        <v>0</v>
      </c>
      <c r="M577" t="n">
        <v>0</v>
      </c>
      <c r="N577" t="n">
        <v>0</v>
      </c>
      <c r="O577" t="n">
        <v>0</v>
      </c>
      <c r="P577" t="n">
        <v>0</v>
      </c>
      <c r="Q577" t="n">
        <v>0</v>
      </c>
      <c r="R577" s="2" t="inlineStr"/>
    </row>
    <row r="578" ht="15" customHeight="1">
      <c r="A578" t="inlineStr">
        <is>
          <t>A 36230-2021</t>
        </is>
      </c>
      <c r="B578" s="1" t="n">
        <v>44390</v>
      </c>
      <c r="C578" s="1" t="n">
        <v>45753</v>
      </c>
      <c r="D578" t="inlineStr">
        <is>
          <t>JÄMTLANDS LÄN</t>
        </is>
      </c>
      <c r="E578" t="inlineStr">
        <is>
          <t>RAGUNDA</t>
        </is>
      </c>
      <c r="G578" t="n">
        <v>1.1</v>
      </c>
      <c r="H578" t="n">
        <v>0</v>
      </c>
      <c r="I578" t="n">
        <v>0</v>
      </c>
      <c r="J578" t="n">
        <v>0</v>
      </c>
      <c r="K578" t="n">
        <v>0</v>
      </c>
      <c r="L578" t="n">
        <v>0</v>
      </c>
      <c r="M578" t="n">
        <v>0</v>
      </c>
      <c r="N578" t="n">
        <v>0</v>
      </c>
      <c r="O578" t="n">
        <v>0</v>
      </c>
      <c r="P578" t="n">
        <v>0</v>
      </c>
      <c r="Q578" t="n">
        <v>0</v>
      </c>
      <c r="R578" s="2" t="inlineStr"/>
    </row>
    <row r="579" ht="15" customHeight="1">
      <c r="A579" t="inlineStr">
        <is>
          <t>A 37227-2021</t>
        </is>
      </c>
      <c r="B579" s="1" t="n">
        <v>44396</v>
      </c>
      <c r="C579" s="1" t="n">
        <v>45753</v>
      </c>
      <c r="D579" t="inlineStr">
        <is>
          <t>JÄMTLANDS LÄN</t>
        </is>
      </c>
      <c r="E579" t="inlineStr">
        <is>
          <t>RAGUNDA</t>
        </is>
      </c>
      <c r="G579" t="n">
        <v>10.1</v>
      </c>
      <c r="H579" t="n">
        <v>0</v>
      </c>
      <c r="I579" t="n">
        <v>0</v>
      </c>
      <c r="J579" t="n">
        <v>0</v>
      </c>
      <c r="K579" t="n">
        <v>0</v>
      </c>
      <c r="L579" t="n">
        <v>0</v>
      </c>
      <c r="M579" t="n">
        <v>0</v>
      </c>
      <c r="N579" t="n">
        <v>0</v>
      </c>
      <c r="O579" t="n">
        <v>0</v>
      </c>
      <c r="P579" t="n">
        <v>0</v>
      </c>
      <c r="Q579" t="n">
        <v>0</v>
      </c>
      <c r="R579" s="2" t="inlineStr"/>
    </row>
    <row r="580" ht="15" customHeight="1">
      <c r="A580" t="inlineStr">
        <is>
          <t>A 37806-2021</t>
        </is>
      </c>
      <c r="B580" s="1" t="n">
        <v>44402</v>
      </c>
      <c r="C580" s="1" t="n">
        <v>45753</v>
      </c>
      <c r="D580" t="inlineStr">
        <is>
          <t>JÄMTLANDS LÄN</t>
        </is>
      </c>
      <c r="E580" t="inlineStr">
        <is>
          <t>RAGUNDA</t>
        </is>
      </c>
      <c r="G580" t="n">
        <v>0.3</v>
      </c>
      <c r="H580" t="n">
        <v>0</v>
      </c>
      <c r="I580" t="n">
        <v>0</v>
      </c>
      <c r="J580" t="n">
        <v>0</v>
      </c>
      <c r="K580" t="n">
        <v>0</v>
      </c>
      <c r="L580" t="n">
        <v>0</v>
      </c>
      <c r="M580" t="n">
        <v>0</v>
      </c>
      <c r="N580" t="n">
        <v>0</v>
      </c>
      <c r="O580" t="n">
        <v>0</v>
      </c>
      <c r="P580" t="n">
        <v>0</v>
      </c>
      <c r="Q580" t="n">
        <v>0</v>
      </c>
      <c r="R580" s="2" t="inlineStr"/>
    </row>
    <row r="581" ht="15" customHeight="1">
      <c r="A581" t="inlineStr">
        <is>
          <t>A 38212-2021</t>
        </is>
      </c>
      <c r="B581" s="1" t="n">
        <v>44405</v>
      </c>
      <c r="C581" s="1" t="n">
        <v>45753</v>
      </c>
      <c r="D581" t="inlineStr">
        <is>
          <t>JÄMTLANDS LÄN</t>
        </is>
      </c>
      <c r="E581" t="inlineStr">
        <is>
          <t>RAGUNDA</t>
        </is>
      </c>
      <c r="G581" t="n">
        <v>5.5</v>
      </c>
      <c r="H581" t="n">
        <v>0</v>
      </c>
      <c r="I581" t="n">
        <v>0</v>
      </c>
      <c r="J581" t="n">
        <v>0</v>
      </c>
      <c r="K581" t="n">
        <v>0</v>
      </c>
      <c r="L581" t="n">
        <v>0</v>
      </c>
      <c r="M581" t="n">
        <v>0</v>
      </c>
      <c r="N581" t="n">
        <v>0</v>
      </c>
      <c r="O581" t="n">
        <v>0</v>
      </c>
      <c r="P581" t="n">
        <v>0</v>
      </c>
      <c r="Q581" t="n">
        <v>0</v>
      </c>
      <c r="R581" s="2" t="inlineStr"/>
    </row>
    <row r="582" ht="15" customHeight="1">
      <c r="A582" t="inlineStr">
        <is>
          <t>A 38270-2021</t>
        </is>
      </c>
      <c r="B582" s="1" t="n">
        <v>44406</v>
      </c>
      <c r="C582" s="1" t="n">
        <v>45753</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38269-2021</t>
        </is>
      </c>
      <c r="B583" s="1" t="n">
        <v>44406</v>
      </c>
      <c r="C583" s="1" t="n">
        <v>45753</v>
      </c>
      <c r="D583" t="inlineStr">
        <is>
          <t>JÄMTLANDS LÄN</t>
        </is>
      </c>
      <c r="E583" t="inlineStr">
        <is>
          <t>RAGUNDA</t>
        </is>
      </c>
      <c r="G583" t="n">
        <v>2</v>
      </c>
      <c r="H583" t="n">
        <v>0</v>
      </c>
      <c r="I583" t="n">
        <v>0</v>
      </c>
      <c r="J583" t="n">
        <v>0</v>
      </c>
      <c r="K583" t="n">
        <v>0</v>
      </c>
      <c r="L583" t="n">
        <v>0</v>
      </c>
      <c r="M583" t="n">
        <v>0</v>
      </c>
      <c r="N583" t="n">
        <v>0</v>
      </c>
      <c r="O583" t="n">
        <v>0</v>
      </c>
      <c r="P583" t="n">
        <v>0</v>
      </c>
      <c r="Q583" t="n">
        <v>0</v>
      </c>
      <c r="R583" s="2" t="inlineStr"/>
    </row>
    <row r="584" ht="15" customHeight="1">
      <c r="A584" t="inlineStr">
        <is>
          <t>A 38782-2021</t>
        </is>
      </c>
      <c r="B584" s="1" t="n">
        <v>44410</v>
      </c>
      <c r="C584" s="1" t="n">
        <v>45753</v>
      </c>
      <c r="D584" t="inlineStr">
        <is>
          <t>JÄMTLANDS LÄN</t>
        </is>
      </c>
      <c r="E584" t="inlineStr">
        <is>
          <t>RAGUNDA</t>
        </is>
      </c>
      <c r="G584" t="n">
        <v>3.2</v>
      </c>
      <c r="H584" t="n">
        <v>0</v>
      </c>
      <c r="I584" t="n">
        <v>0</v>
      </c>
      <c r="J584" t="n">
        <v>0</v>
      </c>
      <c r="K584" t="n">
        <v>0</v>
      </c>
      <c r="L584" t="n">
        <v>0</v>
      </c>
      <c r="M584" t="n">
        <v>0</v>
      </c>
      <c r="N584" t="n">
        <v>0</v>
      </c>
      <c r="O584" t="n">
        <v>0</v>
      </c>
      <c r="P584" t="n">
        <v>0</v>
      </c>
      <c r="Q584" t="n">
        <v>0</v>
      </c>
      <c r="R584" s="2" t="inlineStr"/>
    </row>
    <row r="585" ht="15" customHeight="1">
      <c r="A585" t="inlineStr">
        <is>
          <t>A 39258-2021</t>
        </is>
      </c>
      <c r="B585" s="1" t="n">
        <v>44413</v>
      </c>
      <c r="C585" s="1" t="n">
        <v>45753</v>
      </c>
      <c r="D585" t="inlineStr">
        <is>
          <t>JÄMTLANDS LÄN</t>
        </is>
      </c>
      <c r="E585" t="inlineStr">
        <is>
          <t>RAGUNDA</t>
        </is>
      </c>
      <c r="G585" t="n">
        <v>4.2</v>
      </c>
      <c r="H585" t="n">
        <v>0</v>
      </c>
      <c r="I585" t="n">
        <v>0</v>
      </c>
      <c r="J585" t="n">
        <v>0</v>
      </c>
      <c r="K585" t="n">
        <v>0</v>
      </c>
      <c r="L585" t="n">
        <v>0</v>
      </c>
      <c r="M585" t="n">
        <v>0</v>
      </c>
      <c r="N585" t="n">
        <v>0</v>
      </c>
      <c r="O585" t="n">
        <v>0</v>
      </c>
      <c r="P585" t="n">
        <v>0</v>
      </c>
      <c r="Q585" t="n">
        <v>0</v>
      </c>
      <c r="R585" s="2" t="inlineStr"/>
    </row>
    <row r="586" ht="15" customHeight="1">
      <c r="A586" t="inlineStr">
        <is>
          <t>A 40213-2021</t>
        </is>
      </c>
      <c r="B586" s="1" t="n">
        <v>44419</v>
      </c>
      <c r="C586" s="1" t="n">
        <v>45753</v>
      </c>
      <c r="D586" t="inlineStr">
        <is>
          <t>JÄMTLANDS LÄN</t>
        </is>
      </c>
      <c r="E586" t="inlineStr">
        <is>
          <t>RAGUNDA</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40770-2021</t>
        </is>
      </c>
      <c r="B587" s="1" t="n">
        <v>44421</v>
      </c>
      <c r="C587" s="1" t="n">
        <v>45753</v>
      </c>
      <c r="D587" t="inlineStr">
        <is>
          <t>JÄMTLANDS LÄN</t>
        </is>
      </c>
      <c r="E587" t="inlineStr">
        <is>
          <t>RAGUNDA</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41062-2021</t>
        </is>
      </c>
      <c r="B588" s="1" t="n">
        <v>44422</v>
      </c>
      <c r="C588" s="1" t="n">
        <v>45753</v>
      </c>
      <c r="D588" t="inlineStr">
        <is>
          <t>JÄMTLANDS LÄN</t>
        </is>
      </c>
      <c r="E588" t="inlineStr">
        <is>
          <t>RAGUNDA</t>
        </is>
      </c>
      <c r="F588" t="inlineStr">
        <is>
          <t>SCA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41262-2021</t>
        </is>
      </c>
      <c r="B589" s="1" t="n">
        <v>44424</v>
      </c>
      <c r="C589" s="1" t="n">
        <v>45753</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41613-2021</t>
        </is>
      </c>
      <c r="B590" s="1" t="n">
        <v>44425</v>
      </c>
      <c r="C590" s="1" t="n">
        <v>45753</v>
      </c>
      <c r="D590" t="inlineStr">
        <is>
          <t>JÄMTLANDS LÄN</t>
        </is>
      </c>
      <c r="E590" t="inlineStr">
        <is>
          <t>RAGUNDA</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41609-2021</t>
        </is>
      </c>
      <c r="B591" s="1" t="n">
        <v>44425</v>
      </c>
      <c r="C591" s="1" t="n">
        <v>45753</v>
      </c>
      <c r="D591" t="inlineStr">
        <is>
          <t>JÄMTLANDS LÄN</t>
        </is>
      </c>
      <c r="E591" t="inlineStr">
        <is>
          <t>RAGUNDA</t>
        </is>
      </c>
      <c r="F591" t="inlineStr">
        <is>
          <t>Kommuner</t>
        </is>
      </c>
      <c r="G591" t="n">
        <v>2.8</v>
      </c>
      <c r="H591" t="n">
        <v>0</v>
      </c>
      <c r="I591" t="n">
        <v>0</v>
      </c>
      <c r="J591" t="n">
        <v>0</v>
      </c>
      <c r="K591" t="n">
        <v>0</v>
      </c>
      <c r="L591" t="n">
        <v>0</v>
      </c>
      <c r="M591" t="n">
        <v>0</v>
      </c>
      <c r="N591" t="n">
        <v>0</v>
      </c>
      <c r="O591" t="n">
        <v>0</v>
      </c>
      <c r="P591" t="n">
        <v>0</v>
      </c>
      <c r="Q591" t="n">
        <v>0</v>
      </c>
      <c r="R591" s="2" t="inlineStr"/>
    </row>
    <row r="592" ht="15" customHeight="1">
      <c r="A592" t="inlineStr">
        <is>
          <t>A 41606-2021</t>
        </is>
      </c>
      <c r="B592" s="1" t="n">
        <v>44425</v>
      </c>
      <c r="C592" s="1" t="n">
        <v>45753</v>
      </c>
      <c r="D592" t="inlineStr">
        <is>
          <t>JÄMTLANDS LÄN</t>
        </is>
      </c>
      <c r="E592" t="inlineStr">
        <is>
          <t>RAGUNDA</t>
        </is>
      </c>
      <c r="F592" t="inlineStr">
        <is>
          <t>Kommuner</t>
        </is>
      </c>
      <c r="G592" t="n">
        <v>3.5</v>
      </c>
      <c r="H592" t="n">
        <v>0</v>
      </c>
      <c r="I592" t="n">
        <v>0</v>
      </c>
      <c r="J592" t="n">
        <v>0</v>
      </c>
      <c r="K592" t="n">
        <v>0</v>
      </c>
      <c r="L592" t="n">
        <v>0</v>
      </c>
      <c r="M592" t="n">
        <v>0</v>
      </c>
      <c r="N592" t="n">
        <v>0</v>
      </c>
      <c r="O592" t="n">
        <v>0</v>
      </c>
      <c r="P592" t="n">
        <v>0</v>
      </c>
      <c r="Q592" t="n">
        <v>0</v>
      </c>
      <c r="R592" s="2" t="inlineStr"/>
    </row>
    <row r="593" ht="15" customHeight="1">
      <c r="A593" t="inlineStr">
        <is>
          <t>A 42260-2021</t>
        </is>
      </c>
      <c r="B593" s="1" t="n">
        <v>44427</v>
      </c>
      <c r="C593" s="1" t="n">
        <v>45753</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42537-2021</t>
        </is>
      </c>
      <c r="B594" s="1" t="n">
        <v>44428</v>
      </c>
      <c r="C594" s="1" t="n">
        <v>45753</v>
      </c>
      <c r="D594" t="inlineStr">
        <is>
          <t>JÄMTLANDS LÄN</t>
        </is>
      </c>
      <c r="E594" t="inlineStr">
        <is>
          <t>RAGUNDA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43040-2021</t>
        </is>
      </c>
      <c r="B595" s="1" t="n">
        <v>44431</v>
      </c>
      <c r="C595" s="1" t="n">
        <v>45753</v>
      </c>
      <c r="D595" t="inlineStr">
        <is>
          <t>JÄMTLANDS LÄN</t>
        </is>
      </c>
      <c r="E595" t="inlineStr">
        <is>
          <t>RAGUNDA</t>
        </is>
      </c>
      <c r="G595" t="n">
        <v>4.9</v>
      </c>
      <c r="H595" t="n">
        <v>0</v>
      </c>
      <c r="I595" t="n">
        <v>0</v>
      </c>
      <c r="J595" t="n">
        <v>0</v>
      </c>
      <c r="K595" t="n">
        <v>0</v>
      </c>
      <c r="L595" t="n">
        <v>0</v>
      </c>
      <c r="M595" t="n">
        <v>0</v>
      </c>
      <c r="N595" t="n">
        <v>0</v>
      </c>
      <c r="O595" t="n">
        <v>0</v>
      </c>
      <c r="P595" t="n">
        <v>0</v>
      </c>
      <c r="Q595" t="n">
        <v>0</v>
      </c>
      <c r="R595" s="2" t="inlineStr"/>
    </row>
    <row r="596" ht="15" customHeight="1">
      <c r="A596" t="inlineStr">
        <is>
          <t>A 44163-2021</t>
        </is>
      </c>
      <c r="B596" s="1" t="n">
        <v>44434</v>
      </c>
      <c r="C596" s="1" t="n">
        <v>45753</v>
      </c>
      <c r="D596" t="inlineStr">
        <is>
          <t>JÄMTLANDS LÄN</t>
        </is>
      </c>
      <c r="E596" t="inlineStr">
        <is>
          <t>RAGUNDA</t>
        </is>
      </c>
      <c r="G596" t="n">
        <v>0.8</v>
      </c>
      <c r="H596" t="n">
        <v>0</v>
      </c>
      <c r="I596" t="n">
        <v>0</v>
      </c>
      <c r="J596" t="n">
        <v>0</v>
      </c>
      <c r="K596" t="n">
        <v>0</v>
      </c>
      <c r="L596" t="n">
        <v>0</v>
      </c>
      <c r="M596" t="n">
        <v>0</v>
      </c>
      <c r="N596" t="n">
        <v>0</v>
      </c>
      <c r="O596" t="n">
        <v>0</v>
      </c>
      <c r="P596" t="n">
        <v>0</v>
      </c>
      <c r="Q596" t="n">
        <v>0</v>
      </c>
      <c r="R596" s="2" t="inlineStr"/>
    </row>
    <row r="597" ht="15" customHeight="1">
      <c r="A597" t="inlineStr">
        <is>
          <t>A 44241-2021</t>
        </is>
      </c>
      <c r="B597" s="1" t="n">
        <v>44435</v>
      </c>
      <c r="C597" s="1" t="n">
        <v>45753</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44247-2021</t>
        </is>
      </c>
      <c r="B598" s="1" t="n">
        <v>44435</v>
      </c>
      <c r="C598" s="1" t="n">
        <v>45753</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46228-2021</t>
        </is>
      </c>
      <c r="B599" s="1" t="n">
        <v>44441</v>
      </c>
      <c r="C599" s="1" t="n">
        <v>45753</v>
      </c>
      <c r="D599" t="inlineStr">
        <is>
          <t>JÄMTLANDS LÄN</t>
        </is>
      </c>
      <c r="E599" t="inlineStr">
        <is>
          <t>RAGUNDA</t>
        </is>
      </c>
      <c r="G599" t="n">
        <v>0.8</v>
      </c>
      <c r="H599" t="n">
        <v>0</v>
      </c>
      <c r="I599" t="n">
        <v>0</v>
      </c>
      <c r="J599" t="n">
        <v>0</v>
      </c>
      <c r="K599" t="n">
        <v>0</v>
      </c>
      <c r="L599" t="n">
        <v>0</v>
      </c>
      <c r="M599" t="n">
        <v>0</v>
      </c>
      <c r="N599" t="n">
        <v>0</v>
      </c>
      <c r="O599" t="n">
        <v>0</v>
      </c>
      <c r="P599" t="n">
        <v>0</v>
      </c>
      <c r="Q599" t="n">
        <v>0</v>
      </c>
      <c r="R599" s="2" t="inlineStr"/>
    </row>
    <row r="600" ht="15" customHeight="1">
      <c r="A600" t="inlineStr">
        <is>
          <t>A 46368-2021</t>
        </is>
      </c>
      <c r="B600" s="1" t="n">
        <v>44443</v>
      </c>
      <c r="C600" s="1" t="n">
        <v>45753</v>
      </c>
      <c r="D600" t="inlineStr">
        <is>
          <t>JÄMTLANDS LÄN</t>
        </is>
      </c>
      <c r="E600" t="inlineStr">
        <is>
          <t>RAGUNDA</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46401-2021</t>
        </is>
      </c>
      <c r="B601" s="1" t="n">
        <v>44443</v>
      </c>
      <c r="C601" s="1" t="n">
        <v>45753</v>
      </c>
      <c r="D601" t="inlineStr">
        <is>
          <t>JÄMTLANDS LÄN</t>
        </is>
      </c>
      <c r="E601" t="inlineStr">
        <is>
          <t>RAGUNDA</t>
        </is>
      </c>
      <c r="G601" t="n">
        <v>7</v>
      </c>
      <c r="H601" t="n">
        <v>0</v>
      </c>
      <c r="I601" t="n">
        <v>0</v>
      </c>
      <c r="J601" t="n">
        <v>0</v>
      </c>
      <c r="K601" t="n">
        <v>0</v>
      </c>
      <c r="L601" t="n">
        <v>0</v>
      </c>
      <c r="M601" t="n">
        <v>0</v>
      </c>
      <c r="N601" t="n">
        <v>0</v>
      </c>
      <c r="O601" t="n">
        <v>0</v>
      </c>
      <c r="P601" t="n">
        <v>0</v>
      </c>
      <c r="Q601" t="n">
        <v>0</v>
      </c>
      <c r="R601" s="2" t="inlineStr"/>
    </row>
    <row r="602" ht="15" customHeight="1">
      <c r="A602" t="inlineStr">
        <is>
          <t>A 47548-2021</t>
        </is>
      </c>
      <c r="B602" s="1" t="n">
        <v>44448</v>
      </c>
      <c r="C602" s="1" t="n">
        <v>45753</v>
      </c>
      <c r="D602" t="inlineStr">
        <is>
          <t>JÄMTLANDS LÄN</t>
        </is>
      </c>
      <c r="E602" t="inlineStr">
        <is>
          <t>RAGUNDA</t>
        </is>
      </c>
      <c r="G602" t="n">
        <v>0.4</v>
      </c>
      <c r="H602" t="n">
        <v>0</v>
      </c>
      <c r="I602" t="n">
        <v>0</v>
      </c>
      <c r="J602" t="n">
        <v>0</v>
      </c>
      <c r="K602" t="n">
        <v>0</v>
      </c>
      <c r="L602" t="n">
        <v>0</v>
      </c>
      <c r="M602" t="n">
        <v>0</v>
      </c>
      <c r="N602" t="n">
        <v>0</v>
      </c>
      <c r="O602" t="n">
        <v>0</v>
      </c>
      <c r="P602" t="n">
        <v>0</v>
      </c>
      <c r="Q602" t="n">
        <v>0</v>
      </c>
      <c r="R602" s="2" t="inlineStr"/>
    </row>
    <row r="603" ht="15" customHeight="1">
      <c r="A603" t="inlineStr">
        <is>
          <t>A 47546-2021</t>
        </is>
      </c>
      <c r="B603" s="1" t="n">
        <v>44448</v>
      </c>
      <c r="C603" s="1" t="n">
        <v>45753</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47996-2021</t>
        </is>
      </c>
      <c r="B604" s="1" t="n">
        <v>44448</v>
      </c>
      <c r="C604" s="1" t="n">
        <v>45753</v>
      </c>
      <c r="D604" t="inlineStr">
        <is>
          <t>JÄMTLANDS LÄN</t>
        </is>
      </c>
      <c r="E604" t="inlineStr">
        <is>
          <t>RAGUNDA</t>
        </is>
      </c>
      <c r="G604" t="n">
        <v>1.3</v>
      </c>
      <c r="H604" t="n">
        <v>0</v>
      </c>
      <c r="I604" t="n">
        <v>0</v>
      </c>
      <c r="J604" t="n">
        <v>0</v>
      </c>
      <c r="K604" t="n">
        <v>0</v>
      </c>
      <c r="L604" t="n">
        <v>0</v>
      </c>
      <c r="M604" t="n">
        <v>0</v>
      </c>
      <c r="N604" t="n">
        <v>0</v>
      </c>
      <c r="O604" t="n">
        <v>0</v>
      </c>
      <c r="P604" t="n">
        <v>0</v>
      </c>
      <c r="Q604" t="n">
        <v>0</v>
      </c>
      <c r="R604" s="2" t="inlineStr"/>
    </row>
    <row r="605" ht="15" customHeight="1">
      <c r="A605" t="inlineStr">
        <is>
          <t>A 48832-2021</t>
        </is>
      </c>
      <c r="B605" s="1" t="n">
        <v>44452</v>
      </c>
      <c r="C605" s="1" t="n">
        <v>45753</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49202-2021</t>
        </is>
      </c>
      <c r="B606" s="1" t="n">
        <v>44453</v>
      </c>
      <c r="C606" s="1" t="n">
        <v>45753</v>
      </c>
      <c r="D606" t="inlineStr">
        <is>
          <t>JÄMTLANDS LÄN</t>
        </is>
      </c>
      <c r="E606" t="inlineStr">
        <is>
          <t>RAGUNDA</t>
        </is>
      </c>
      <c r="G606" t="n">
        <v>23.4</v>
      </c>
      <c r="H606" t="n">
        <v>0</v>
      </c>
      <c r="I606" t="n">
        <v>0</v>
      </c>
      <c r="J606" t="n">
        <v>0</v>
      </c>
      <c r="K606" t="n">
        <v>0</v>
      </c>
      <c r="L606" t="n">
        <v>0</v>
      </c>
      <c r="M606" t="n">
        <v>0</v>
      </c>
      <c r="N606" t="n">
        <v>0</v>
      </c>
      <c r="O606" t="n">
        <v>0</v>
      </c>
      <c r="P606" t="n">
        <v>0</v>
      </c>
      <c r="Q606" t="n">
        <v>0</v>
      </c>
      <c r="R606" s="2" t="inlineStr"/>
    </row>
    <row r="607" ht="15" customHeight="1">
      <c r="A607" t="inlineStr">
        <is>
          <t>A 50168-2021</t>
        </is>
      </c>
      <c r="B607" s="1" t="n">
        <v>44457</v>
      </c>
      <c r="C607" s="1" t="n">
        <v>45753</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52334-2021</t>
        </is>
      </c>
      <c r="B608" s="1" t="n">
        <v>44464</v>
      </c>
      <c r="C608" s="1" t="n">
        <v>45753</v>
      </c>
      <c r="D608" t="inlineStr">
        <is>
          <t>JÄMTLANDS LÄN</t>
        </is>
      </c>
      <c r="E608" t="inlineStr">
        <is>
          <t>RAGUNDA</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52333-2021</t>
        </is>
      </c>
      <c r="B609" s="1" t="n">
        <v>44464</v>
      </c>
      <c r="C609" s="1" t="n">
        <v>45753</v>
      </c>
      <c r="D609" t="inlineStr">
        <is>
          <t>JÄMTLANDS LÄN</t>
        </is>
      </c>
      <c r="E609" t="inlineStr">
        <is>
          <t>RAGUNDA</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55701-2021</t>
        </is>
      </c>
      <c r="B610" s="1" t="n">
        <v>44475</v>
      </c>
      <c r="C610" s="1" t="n">
        <v>45753</v>
      </c>
      <c r="D610" t="inlineStr">
        <is>
          <t>JÄMTLANDS LÄN</t>
        </is>
      </c>
      <c r="E610" t="inlineStr">
        <is>
          <t>RAGUNDA</t>
        </is>
      </c>
      <c r="G610" t="n">
        <v>5.6</v>
      </c>
      <c r="H610" t="n">
        <v>0</v>
      </c>
      <c r="I610" t="n">
        <v>0</v>
      </c>
      <c r="J610" t="n">
        <v>0</v>
      </c>
      <c r="K610" t="n">
        <v>0</v>
      </c>
      <c r="L610" t="n">
        <v>0</v>
      </c>
      <c r="M610" t="n">
        <v>0</v>
      </c>
      <c r="N610" t="n">
        <v>0</v>
      </c>
      <c r="O610" t="n">
        <v>0</v>
      </c>
      <c r="P610" t="n">
        <v>0</v>
      </c>
      <c r="Q610" t="n">
        <v>0</v>
      </c>
      <c r="R610" s="2" t="inlineStr"/>
    </row>
    <row r="611" ht="15" customHeight="1">
      <c r="A611" t="inlineStr">
        <is>
          <t>A 55932-2021</t>
        </is>
      </c>
      <c r="B611" s="1" t="n">
        <v>44476</v>
      </c>
      <c r="C611" s="1" t="n">
        <v>45753</v>
      </c>
      <c r="D611" t="inlineStr">
        <is>
          <t>JÄMTLANDS LÄN</t>
        </is>
      </c>
      <c r="E611" t="inlineStr">
        <is>
          <t>RAGUNDA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56055-2021</t>
        </is>
      </c>
      <c r="B612" s="1" t="n">
        <v>44477</v>
      </c>
      <c r="C612" s="1" t="n">
        <v>45753</v>
      </c>
      <c r="D612" t="inlineStr">
        <is>
          <t>JÄMTLANDS LÄN</t>
        </is>
      </c>
      <c r="E612" t="inlineStr">
        <is>
          <t>RAGUNDA</t>
        </is>
      </c>
      <c r="G612" t="n">
        <v>3.9</v>
      </c>
      <c r="H612" t="n">
        <v>0</v>
      </c>
      <c r="I612" t="n">
        <v>0</v>
      </c>
      <c r="J612" t="n">
        <v>0</v>
      </c>
      <c r="K612" t="n">
        <v>0</v>
      </c>
      <c r="L612" t="n">
        <v>0</v>
      </c>
      <c r="M612" t="n">
        <v>0</v>
      </c>
      <c r="N612" t="n">
        <v>0</v>
      </c>
      <c r="O612" t="n">
        <v>0</v>
      </c>
      <c r="P612" t="n">
        <v>0</v>
      </c>
      <c r="Q612" t="n">
        <v>0</v>
      </c>
      <c r="R612" s="2" t="inlineStr"/>
    </row>
    <row r="613" ht="15" customHeight="1">
      <c r="A613" t="inlineStr">
        <is>
          <t>A 56594-2021</t>
        </is>
      </c>
      <c r="B613" s="1" t="n">
        <v>44480</v>
      </c>
      <c r="C613" s="1" t="n">
        <v>45753</v>
      </c>
      <c r="D613" t="inlineStr">
        <is>
          <t>JÄMTLANDS LÄN</t>
        </is>
      </c>
      <c r="E613" t="inlineStr">
        <is>
          <t>RAGUNDA</t>
        </is>
      </c>
      <c r="G613" t="n">
        <v>5.4</v>
      </c>
      <c r="H613" t="n">
        <v>0</v>
      </c>
      <c r="I613" t="n">
        <v>0</v>
      </c>
      <c r="J613" t="n">
        <v>0</v>
      </c>
      <c r="K613" t="n">
        <v>0</v>
      </c>
      <c r="L613" t="n">
        <v>0</v>
      </c>
      <c r="M613" t="n">
        <v>0</v>
      </c>
      <c r="N613" t="n">
        <v>0</v>
      </c>
      <c r="O613" t="n">
        <v>0</v>
      </c>
      <c r="P613" t="n">
        <v>0</v>
      </c>
      <c r="Q613" t="n">
        <v>0</v>
      </c>
      <c r="R613" s="2" t="inlineStr"/>
    </row>
    <row r="614" ht="15" customHeight="1">
      <c r="A614" t="inlineStr">
        <is>
          <t>A 57194-2021</t>
        </is>
      </c>
      <c r="B614" s="1" t="n">
        <v>44483</v>
      </c>
      <c r="C614" s="1" t="n">
        <v>45753</v>
      </c>
      <c r="D614" t="inlineStr">
        <is>
          <t>JÄMTLANDS LÄN</t>
        </is>
      </c>
      <c r="E614" t="inlineStr">
        <is>
          <t>RAGUNDA</t>
        </is>
      </c>
      <c r="G614" t="n">
        <v>7.3</v>
      </c>
      <c r="H614" t="n">
        <v>0</v>
      </c>
      <c r="I614" t="n">
        <v>0</v>
      </c>
      <c r="J614" t="n">
        <v>0</v>
      </c>
      <c r="K614" t="n">
        <v>0</v>
      </c>
      <c r="L614" t="n">
        <v>0</v>
      </c>
      <c r="M614" t="n">
        <v>0</v>
      </c>
      <c r="N614" t="n">
        <v>0</v>
      </c>
      <c r="O614" t="n">
        <v>0</v>
      </c>
      <c r="P614" t="n">
        <v>0</v>
      </c>
      <c r="Q614" t="n">
        <v>0</v>
      </c>
      <c r="R614" s="2" t="inlineStr"/>
    </row>
    <row r="615" ht="15" customHeight="1">
      <c r="A615" t="inlineStr">
        <is>
          <t>A 58960-2021</t>
        </is>
      </c>
      <c r="B615" s="1" t="n">
        <v>44490</v>
      </c>
      <c r="C615" s="1" t="n">
        <v>45753</v>
      </c>
      <c r="D615" t="inlineStr">
        <is>
          <t>JÄMTLANDS LÄN</t>
        </is>
      </c>
      <c r="E615" t="inlineStr">
        <is>
          <t>RAGUNDA</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58984-2021</t>
        </is>
      </c>
      <c r="B616" s="1" t="n">
        <v>44490</v>
      </c>
      <c r="C616" s="1" t="n">
        <v>45753</v>
      </c>
      <c r="D616" t="inlineStr">
        <is>
          <t>JÄMTLANDS LÄN</t>
        </is>
      </c>
      <c r="E616" t="inlineStr">
        <is>
          <t>RAGUNDA</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59321-2021</t>
        </is>
      </c>
      <c r="B617" s="1" t="n">
        <v>44491</v>
      </c>
      <c r="C617" s="1" t="n">
        <v>45753</v>
      </c>
      <c r="D617" t="inlineStr">
        <is>
          <t>JÄMTLANDS LÄN</t>
        </is>
      </c>
      <c r="E617" t="inlineStr">
        <is>
          <t>RAGUNDA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59996-2021</t>
        </is>
      </c>
      <c r="B618" s="1" t="n">
        <v>44495</v>
      </c>
      <c r="C618" s="1" t="n">
        <v>45753</v>
      </c>
      <c r="D618" t="inlineStr">
        <is>
          <t>JÄMTLANDS LÄN</t>
        </is>
      </c>
      <c r="E618" t="inlineStr">
        <is>
          <t>RAGUNDA</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60313-2021</t>
        </is>
      </c>
      <c r="B619" s="1" t="n">
        <v>44495</v>
      </c>
      <c r="C619" s="1" t="n">
        <v>45753</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60312-2021</t>
        </is>
      </c>
      <c r="B620" s="1" t="n">
        <v>44496</v>
      </c>
      <c r="C620" s="1" t="n">
        <v>45753</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60957-2021</t>
        </is>
      </c>
      <c r="B621" s="1" t="n">
        <v>44496</v>
      </c>
      <c r="C621" s="1" t="n">
        <v>45753</v>
      </c>
      <c r="D621" t="inlineStr">
        <is>
          <t>JÄMTLANDS LÄN</t>
        </is>
      </c>
      <c r="E621" t="inlineStr">
        <is>
          <t>RAGUNDA</t>
        </is>
      </c>
      <c r="G621" t="n">
        <v>1.6</v>
      </c>
      <c r="H621" t="n">
        <v>0</v>
      </c>
      <c r="I621" t="n">
        <v>0</v>
      </c>
      <c r="J621" t="n">
        <v>0</v>
      </c>
      <c r="K621" t="n">
        <v>0</v>
      </c>
      <c r="L621" t="n">
        <v>0</v>
      </c>
      <c r="M621" t="n">
        <v>0</v>
      </c>
      <c r="N621" t="n">
        <v>0</v>
      </c>
      <c r="O621" t="n">
        <v>0</v>
      </c>
      <c r="P621" t="n">
        <v>0</v>
      </c>
      <c r="Q621" t="n">
        <v>0</v>
      </c>
      <c r="R621" s="2" t="inlineStr"/>
    </row>
    <row r="622" ht="15" customHeight="1">
      <c r="A622" t="inlineStr">
        <is>
          <t>A 61442-2021</t>
        </is>
      </c>
      <c r="B622" s="1" t="n">
        <v>44500</v>
      </c>
      <c r="C622" s="1" t="n">
        <v>45753</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62956-2021</t>
        </is>
      </c>
      <c r="B623" s="1" t="n">
        <v>44504</v>
      </c>
      <c r="C623" s="1" t="n">
        <v>45753</v>
      </c>
      <c r="D623" t="inlineStr">
        <is>
          <t>JÄMTLANDS LÄN</t>
        </is>
      </c>
      <c r="E623" t="inlineStr">
        <is>
          <t>RAGUNDA</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63169-2021</t>
        </is>
      </c>
      <c r="B624" s="1" t="n">
        <v>44505</v>
      </c>
      <c r="C624" s="1" t="n">
        <v>45753</v>
      </c>
      <c r="D624" t="inlineStr">
        <is>
          <t>JÄMTLANDS LÄN</t>
        </is>
      </c>
      <c r="E624" t="inlineStr">
        <is>
          <t>RAGUNDA</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63168-2021</t>
        </is>
      </c>
      <c r="B625" s="1" t="n">
        <v>44505</v>
      </c>
      <c r="C625" s="1" t="n">
        <v>45753</v>
      </c>
      <c r="D625" t="inlineStr">
        <is>
          <t>JÄMTLANDS LÄN</t>
        </is>
      </c>
      <c r="E625" t="inlineStr">
        <is>
          <t>RAGUNDA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64511-2021</t>
        </is>
      </c>
      <c r="B626" s="1" t="n">
        <v>44511</v>
      </c>
      <c r="C626" s="1" t="n">
        <v>45753</v>
      </c>
      <c r="D626" t="inlineStr">
        <is>
          <t>JÄMTLANDS LÄN</t>
        </is>
      </c>
      <c r="E626" t="inlineStr">
        <is>
          <t>RAGUNDA</t>
        </is>
      </c>
      <c r="G626" t="n">
        <v>19.4</v>
      </c>
      <c r="H626" t="n">
        <v>0</v>
      </c>
      <c r="I626" t="n">
        <v>0</v>
      </c>
      <c r="J626" t="n">
        <v>0</v>
      </c>
      <c r="K626" t="n">
        <v>0</v>
      </c>
      <c r="L626" t="n">
        <v>0</v>
      </c>
      <c r="M626" t="n">
        <v>0</v>
      </c>
      <c r="N626" t="n">
        <v>0</v>
      </c>
      <c r="O626" t="n">
        <v>0</v>
      </c>
      <c r="P626" t="n">
        <v>0</v>
      </c>
      <c r="Q626" t="n">
        <v>0</v>
      </c>
      <c r="R626" s="2" t="inlineStr"/>
    </row>
    <row r="627" ht="15" customHeight="1">
      <c r="A627" t="inlineStr">
        <is>
          <t>A 64629-2021</t>
        </is>
      </c>
      <c r="B627" s="1" t="n">
        <v>44511</v>
      </c>
      <c r="C627" s="1" t="n">
        <v>45753</v>
      </c>
      <c r="D627" t="inlineStr">
        <is>
          <t>JÄMTLANDS LÄN</t>
        </is>
      </c>
      <c r="E627" t="inlineStr">
        <is>
          <t>RAGUNDA</t>
        </is>
      </c>
      <c r="G627" t="n">
        <v>1.6</v>
      </c>
      <c r="H627" t="n">
        <v>0</v>
      </c>
      <c r="I627" t="n">
        <v>0</v>
      </c>
      <c r="J627" t="n">
        <v>0</v>
      </c>
      <c r="K627" t="n">
        <v>0</v>
      </c>
      <c r="L627" t="n">
        <v>0</v>
      </c>
      <c r="M627" t="n">
        <v>0</v>
      </c>
      <c r="N627" t="n">
        <v>0</v>
      </c>
      <c r="O627" t="n">
        <v>0</v>
      </c>
      <c r="P627" t="n">
        <v>0</v>
      </c>
      <c r="Q627" t="n">
        <v>0</v>
      </c>
      <c r="R627" s="2" t="inlineStr"/>
    </row>
    <row r="628" ht="15" customHeight="1">
      <c r="A628" t="inlineStr">
        <is>
          <t>A 64959-2021</t>
        </is>
      </c>
      <c r="B628" s="1" t="n">
        <v>44512</v>
      </c>
      <c r="C628" s="1" t="n">
        <v>45753</v>
      </c>
      <c r="D628" t="inlineStr">
        <is>
          <t>JÄMTLANDS LÄN</t>
        </is>
      </c>
      <c r="E628" t="inlineStr">
        <is>
          <t>RAGUNDA</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65017-2021</t>
        </is>
      </c>
      <c r="B629" s="1" t="n">
        <v>44512</v>
      </c>
      <c r="C629" s="1" t="n">
        <v>45753</v>
      </c>
      <c r="D629" t="inlineStr">
        <is>
          <t>JÄMTLANDS LÄN</t>
        </is>
      </c>
      <c r="E629" t="inlineStr">
        <is>
          <t>RAGUNDA</t>
        </is>
      </c>
      <c r="G629" t="n">
        <v>2.3</v>
      </c>
      <c r="H629" t="n">
        <v>0</v>
      </c>
      <c r="I629" t="n">
        <v>0</v>
      </c>
      <c r="J629" t="n">
        <v>0</v>
      </c>
      <c r="K629" t="n">
        <v>0</v>
      </c>
      <c r="L629" t="n">
        <v>0</v>
      </c>
      <c r="M629" t="n">
        <v>0</v>
      </c>
      <c r="N629" t="n">
        <v>0</v>
      </c>
      <c r="O629" t="n">
        <v>0</v>
      </c>
      <c r="P629" t="n">
        <v>0</v>
      </c>
      <c r="Q629" t="n">
        <v>0</v>
      </c>
      <c r="R629" s="2" t="inlineStr"/>
    </row>
    <row r="630" ht="15" customHeight="1">
      <c r="A630" t="inlineStr">
        <is>
          <t>A 65424-2021</t>
        </is>
      </c>
      <c r="B630" s="1" t="n">
        <v>44515</v>
      </c>
      <c r="C630" s="1" t="n">
        <v>45753</v>
      </c>
      <c r="D630" t="inlineStr">
        <is>
          <t>JÄMTLANDS LÄN</t>
        </is>
      </c>
      <c r="E630" t="inlineStr">
        <is>
          <t>RAGUNDA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66147-2021</t>
        </is>
      </c>
      <c r="B631" s="1" t="n">
        <v>44517</v>
      </c>
      <c r="C631" s="1" t="n">
        <v>45753</v>
      </c>
      <c r="D631" t="inlineStr">
        <is>
          <t>JÄMTLANDS LÄN</t>
        </is>
      </c>
      <c r="E631" t="inlineStr">
        <is>
          <t>RAGUNDA</t>
        </is>
      </c>
      <c r="G631" t="n">
        <v>1.2</v>
      </c>
      <c r="H631" t="n">
        <v>0</v>
      </c>
      <c r="I631" t="n">
        <v>0</v>
      </c>
      <c r="J631" t="n">
        <v>0</v>
      </c>
      <c r="K631" t="n">
        <v>0</v>
      </c>
      <c r="L631" t="n">
        <v>0</v>
      </c>
      <c r="M631" t="n">
        <v>0</v>
      </c>
      <c r="N631" t="n">
        <v>0</v>
      </c>
      <c r="O631" t="n">
        <v>0</v>
      </c>
      <c r="P631" t="n">
        <v>0</v>
      </c>
      <c r="Q631" t="n">
        <v>0</v>
      </c>
      <c r="R631" s="2" t="inlineStr"/>
    </row>
    <row r="632" ht="15" customHeight="1">
      <c r="A632" t="inlineStr">
        <is>
          <t>A 66059-2021</t>
        </is>
      </c>
      <c r="B632" s="1" t="n">
        <v>44517</v>
      </c>
      <c r="C632" s="1" t="n">
        <v>45753</v>
      </c>
      <c r="D632" t="inlineStr">
        <is>
          <t>JÄMTLANDS LÄN</t>
        </is>
      </c>
      <c r="E632" t="inlineStr">
        <is>
          <t>RAGUNDA</t>
        </is>
      </c>
      <c r="G632" t="n">
        <v>0.6</v>
      </c>
      <c r="H632" t="n">
        <v>0</v>
      </c>
      <c r="I632" t="n">
        <v>0</v>
      </c>
      <c r="J632" t="n">
        <v>0</v>
      </c>
      <c r="K632" t="n">
        <v>0</v>
      </c>
      <c r="L632" t="n">
        <v>0</v>
      </c>
      <c r="M632" t="n">
        <v>0</v>
      </c>
      <c r="N632" t="n">
        <v>0</v>
      </c>
      <c r="O632" t="n">
        <v>0</v>
      </c>
      <c r="P632" t="n">
        <v>0</v>
      </c>
      <c r="Q632" t="n">
        <v>0</v>
      </c>
      <c r="R632" s="2" t="inlineStr"/>
    </row>
    <row r="633" ht="15" customHeight="1">
      <c r="A633" t="inlineStr">
        <is>
          <t>A 66472-2021</t>
        </is>
      </c>
      <c r="B633" s="1" t="n">
        <v>44518</v>
      </c>
      <c r="C633" s="1" t="n">
        <v>45753</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66471-2021</t>
        </is>
      </c>
      <c r="B634" s="1" t="n">
        <v>44518</v>
      </c>
      <c r="C634" s="1" t="n">
        <v>45753</v>
      </c>
      <c r="D634" t="inlineStr">
        <is>
          <t>JÄMTLANDS LÄN</t>
        </is>
      </c>
      <c r="E634" t="inlineStr">
        <is>
          <t>RAGUNDA</t>
        </is>
      </c>
      <c r="G634" t="n">
        <v>13.4</v>
      </c>
      <c r="H634" t="n">
        <v>0</v>
      </c>
      <c r="I634" t="n">
        <v>0</v>
      </c>
      <c r="J634" t="n">
        <v>0</v>
      </c>
      <c r="K634" t="n">
        <v>0</v>
      </c>
      <c r="L634" t="n">
        <v>0</v>
      </c>
      <c r="M634" t="n">
        <v>0</v>
      </c>
      <c r="N634" t="n">
        <v>0</v>
      </c>
      <c r="O634" t="n">
        <v>0</v>
      </c>
      <c r="P634" t="n">
        <v>0</v>
      </c>
      <c r="Q634" t="n">
        <v>0</v>
      </c>
      <c r="R634" s="2" t="inlineStr"/>
    </row>
    <row r="635" ht="15" customHeight="1">
      <c r="A635" t="inlineStr">
        <is>
          <t>A 66489-2021</t>
        </is>
      </c>
      <c r="B635" s="1" t="n">
        <v>44518</v>
      </c>
      <c r="C635" s="1" t="n">
        <v>45753</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66707-2021</t>
        </is>
      </c>
      <c r="B636" s="1" t="n">
        <v>44519</v>
      </c>
      <c r="C636" s="1" t="n">
        <v>45753</v>
      </c>
      <c r="D636" t="inlineStr">
        <is>
          <t>JÄMTLANDS LÄN</t>
        </is>
      </c>
      <c r="E636" t="inlineStr">
        <is>
          <t>RAGUNDA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66706-2021</t>
        </is>
      </c>
      <c r="B637" s="1" t="n">
        <v>44519</v>
      </c>
      <c r="C637" s="1" t="n">
        <v>45753</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66715-2021</t>
        </is>
      </c>
      <c r="B638" s="1" t="n">
        <v>44519</v>
      </c>
      <c r="C638" s="1" t="n">
        <v>45753</v>
      </c>
      <c r="D638" t="inlineStr">
        <is>
          <t>JÄMTLANDS LÄN</t>
        </is>
      </c>
      <c r="E638" t="inlineStr">
        <is>
          <t>RAGUNDA</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69164-2021</t>
        </is>
      </c>
      <c r="B639" s="1" t="n">
        <v>44530</v>
      </c>
      <c r="C639" s="1" t="n">
        <v>45753</v>
      </c>
      <c r="D639" t="inlineStr">
        <is>
          <t>JÄMTLANDS LÄN</t>
        </is>
      </c>
      <c r="E639" t="inlineStr">
        <is>
          <t>RAGUNDA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69316-2021</t>
        </is>
      </c>
      <c r="B640" s="1" t="n">
        <v>44530</v>
      </c>
      <c r="C640" s="1" t="n">
        <v>45753</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69153-2021</t>
        </is>
      </c>
      <c r="B641" s="1" t="n">
        <v>44530</v>
      </c>
      <c r="C641" s="1" t="n">
        <v>45753</v>
      </c>
      <c r="D641" t="inlineStr">
        <is>
          <t>JÄMTLANDS LÄN</t>
        </is>
      </c>
      <c r="E641" t="inlineStr">
        <is>
          <t>RAGUNDA</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70609-2021</t>
        </is>
      </c>
      <c r="B642" s="1" t="n">
        <v>44537</v>
      </c>
      <c r="C642" s="1" t="n">
        <v>45753</v>
      </c>
      <c r="D642" t="inlineStr">
        <is>
          <t>JÄMTLANDS LÄN</t>
        </is>
      </c>
      <c r="E642" t="inlineStr">
        <is>
          <t>RAGUNDA</t>
        </is>
      </c>
      <c r="G642" t="n">
        <v>4.5</v>
      </c>
      <c r="H642" t="n">
        <v>0</v>
      </c>
      <c r="I642" t="n">
        <v>0</v>
      </c>
      <c r="J642" t="n">
        <v>0</v>
      </c>
      <c r="K642" t="n">
        <v>0</v>
      </c>
      <c r="L642" t="n">
        <v>0</v>
      </c>
      <c r="M642" t="n">
        <v>0</v>
      </c>
      <c r="N642" t="n">
        <v>0</v>
      </c>
      <c r="O642" t="n">
        <v>0</v>
      </c>
      <c r="P642" t="n">
        <v>0</v>
      </c>
      <c r="Q642" t="n">
        <v>0</v>
      </c>
      <c r="R642" s="2" t="inlineStr"/>
    </row>
    <row r="643" ht="15" customHeight="1">
      <c r="A643" t="inlineStr">
        <is>
          <t>A 71209-2021</t>
        </is>
      </c>
      <c r="B643" s="1" t="n">
        <v>44538</v>
      </c>
      <c r="C643" s="1" t="n">
        <v>45753</v>
      </c>
      <c r="D643" t="inlineStr">
        <is>
          <t>JÄMTLANDS LÄN</t>
        </is>
      </c>
      <c r="E643" t="inlineStr">
        <is>
          <t>RAGUNDA</t>
        </is>
      </c>
      <c r="G643" t="n">
        <v>8</v>
      </c>
      <c r="H643" t="n">
        <v>0</v>
      </c>
      <c r="I643" t="n">
        <v>0</v>
      </c>
      <c r="J643" t="n">
        <v>0</v>
      </c>
      <c r="K643" t="n">
        <v>0</v>
      </c>
      <c r="L643" t="n">
        <v>0</v>
      </c>
      <c r="M643" t="n">
        <v>0</v>
      </c>
      <c r="N643" t="n">
        <v>0</v>
      </c>
      <c r="O643" t="n">
        <v>0</v>
      </c>
      <c r="P643" t="n">
        <v>0</v>
      </c>
      <c r="Q643" t="n">
        <v>0</v>
      </c>
      <c r="R643" s="2" t="inlineStr"/>
    </row>
    <row r="644" ht="15" customHeight="1">
      <c r="A644" t="inlineStr">
        <is>
          <t>A 73278-2021</t>
        </is>
      </c>
      <c r="B644" s="1" t="n">
        <v>44550</v>
      </c>
      <c r="C644" s="1" t="n">
        <v>45753</v>
      </c>
      <c r="D644" t="inlineStr">
        <is>
          <t>JÄMTLANDS LÄN</t>
        </is>
      </c>
      <c r="E644" t="inlineStr">
        <is>
          <t>RAGUNDA</t>
        </is>
      </c>
      <c r="G644" t="n">
        <v>4.4</v>
      </c>
      <c r="H644" t="n">
        <v>0</v>
      </c>
      <c r="I644" t="n">
        <v>0</v>
      </c>
      <c r="J644" t="n">
        <v>0</v>
      </c>
      <c r="K644" t="n">
        <v>0</v>
      </c>
      <c r="L644" t="n">
        <v>0</v>
      </c>
      <c r="M644" t="n">
        <v>0</v>
      </c>
      <c r="N644" t="n">
        <v>0</v>
      </c>
      <c r="O644" t="n">
        <v>0</v>
      </c>
      <c r="P644" t="n">
        <v>0</v>
      </c>
      <c r="Q644" t="n">
        <v>0</v>
      </c>
      <c r="R644" s="2" t="inlineStr"/>
    </row>
    <row r="645" ht="15" customHeight="1">
      <c r="A645" t="inlineStr">
        <is>
          <t>A 891-2022</t>
        </is>
      </c>
      <c r="B645" s="1" t="n">
        <v>44571</v>
      </c>
      <c r="C645" s="1" t="n">
        <v>45753</v>
      </c>
      <c r="D645" t="inlineStr">
        <is>
          <t>JÄMTLANDS LÄN</t>
        </is>
      </c>
      <c r="E645" t="inlineStr">
        <is>
          <t>RAGUNDA</t>
        </is>
      </c>
      <c r="G645" t="n">
        <v>1.7</v>
      </c>
      <c r="H645" t="n">
        <v>0</v>
      </c>
      <c r="I645" t="n">
        <v>0</v>
      </c>
      <c r="J645" t="n">
        <v>0</v>
      </c>
      <c r="K645" t="n">
        <v>0</v>
      </c>
      <c r="L645" t="n">
        <v>0</v>
      </c>
      <c r="M645" t="n">
        <v>0</v>
      </c>
      <c r="N645" t="n">
        <v>0</v>
      </c>
      <c r="O645" t="n">
        <v>0</v>
      </c>
      <c r="P645" t="n">
        <v>0</v>
      </c>
      <c r="Q645" t="n">
        <v>0</v>
      </c>
      <c r="R645" s="2" t="inlineStr"/>
    </row>
    <row r="646" ht="15" customHeight="1">
      <c r="A646" t="inlineStr">
        <is>
          <t>A 1540-2022</t>
        </is>
      </c>
      <c r="B646" s="1" t="n">
        <v>44573</v>
      </c>
      <c r="C646" s="1" t="n">
        <v>45753</v>
      </c>
      <c r="D646" t="inlineStr">
        <is>
          <t>JÄMTLANDS LÄN</t>
        </is>
      </c>
      <c r="E646" t="inlineStr">
        <is>
          <t>RAGUNDA</t>
        </is>
      </c>
      <c r="G646" t="n">
        <v>1.6</v>
      </c>
      <c r="H646" t="n">
        <v>0</v>
      </c>
      <c r="I646" t="n">
        <v>0</v>
      </c>
      <c r="J646" t="n">
        <v>0</v>
      </c>
      <c r="K646" t="n">
        <v>0</v>
      </c>
      <c r="L646" t="n">
        <v>0</v>
      </c>
      <c r="M646" t="n">
        <v>0</v>
      </c>
      <c r="N646" t="n">
        <v>0</v>
      </c>
      <c r="O646" t="n">
        <v>0</v>
      </c>
      <c r="P646" t="n">
        <v>0</v>
      </c>
      <c r="Q646" t="n">
        <v>0</v>
      </c>
      <c r="R646" s="2" t="inlineStr"/>
    </row>
    <row r="647" ht="15" customHeight="1">
      <c r="A647" t="inlineStr">
        <is>
          <t>A 1782-2022</t>
        </is>
      </c>
      <c r="B647" s="1" t="n">
        <v>44574</v>
      </c>
      <c r="C647" s="1" t="n">
        <v>45753</v>
      </c>
      <c r="D647" t="inlineStr">
        <is>
          <t>JÄMTLANDS LÄN</t>
        </is>
      </c>
      <c r="E647" t="inlineStr">
        <is>
          <t>RAGUNDA</t>
        </is>
      </c>
      <c r="G647" t="n">
        <v>3.7</v>
      </c>
      <c r="H647" t="n">
        <v>0</v>
      </c>
      <c r="I647" t="n">
        <v>0</v>
      </c>
      <c r="J647" t="n">
        <v>0</v>
      </c>
      <c r="K647" t="n">
        <v>0</v>
      </c>
      <c r="L647" t="n">
        <v>0</v>
      </c>
      <c r="M647" t="n">
        <v>0</v>
      </c>
      <c r="N647" t="n">
        <v>0</v>
      </c>
      <c r="O647" t="n">
        <v>0</v>
      </c>
      <c r="P647" t="n">
        <v>0</v>
      </c>
      <c r="Q647" t="n">
        <v>0</v>
      </c>
      <c r="R647" s="2" t="inlineStr"/>
    </row>
    <row r="648" ht="15" customHeight="1">
      <c r="A648" t="inlineStr">
        <is>
          <t>A 1858-2022</t>
        </is>
      </c>
      <c r="B648" s="1" t="n">
        <v>44574</v>
      </c>
      <c r="C648" s="1" t="n">
        <v>45753</v>
      </c>
      <c r="D648" t="inlineStr">
        <is>
          <t>JÄMTLANDS LÄN</t>
        </is>
      </c>
      <c r="E648" t="inlineStr">
        <is>
          <t>RAGUNDA</t>
        </is>
      </c>
      <c r="G648" t="n">
        <v>5.7</v>
      </c>
      <c r="H648" t="n">
        <v>0</v>
      </c>
      <c r="I648" t="n">
        <v>0</v>
      </c>
      <c r="J648" t="n">
        <v>0</v>
      </c>
      <c r="K648" t="n">
        <v>0</v>
      </c>
      <c r="L648" t="n">
        <v>0</v>
      </c>
      <c r="M648" t="n">
        <v>0</v>
      </c>
      <c r="N648" t="n">
        <v>0</v>
      </c>
      <c r="O648" t="n">
        <v>0</v>
      </c>
      <c r="P648" t="n">
        <v>0</v>
      </c>
      <c r="Q648" t="n">
        <v>0</v>
      </c>
      <c r="R648" s="2" t="inlineStr"/>
    </row>
    <row r="649" ht="15" customHeight="1">
      <c r="A649" t="inlineStr">
        <is>
          <t>A 2336-2022</t>
        </is>
      </c>
      <c r="B649" s="1" t="n">
        <v>44578</v>
      </c>
      <c r="C649" s="1" t="n">
        <v>45753</v>
      </c>
      <c r="D649" t="inlineStr">
        <is>
          <t>JÄMTLANDS LÄN</t>
        </is>
      </c>
      <c r="E649" t="inlineStr">
        <is>
          <t>RAGUNDA</t>
        </is>
      </c>
      <c r="G649" t="n">
        <v>0.5</v>
      </c>
      <c r="H649" t="n">
        <v>0</v>
      </c>
      <c r="I649" t="n">
        <v>0</v>
      </c>
      <c r="J649" t="n">
        <v>0</v>
      </c>
      <c r="K649" t="n">
        <v>0</v>
      </c>
      <c r="L649" t="n">
        <v>0</v>
      </c>
      <c r="M649" t="n">
        <v>0</v>
      </c>
      <c r="N649" t="n">
        <v>0</v>
      </c>
      <c r="O649" t="n">
        <v>0</v>
      </c>
      <c r="P649" t="n">
        <v>0</v>
      </c>
      <c r="Q649" t="n">
        <v>0</v>
      </c>
      <c r="R649" s="2" t="inlineStr"/>
    </row>
    <row r="650" ht="15" customHeight="1">
      <c r="A650" t="inlineStr">
        <is>
          <t>A 2337-2022</t>
        </is>
      </c>
      <c r="B650" s="1" t="n">
        <v>44578</v>
      </c>
      <c r="C650" s="1" t="n">
        <v>45753</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2338-2022</t>
        </is>
      </c>
      <c r="B651" s="1" t="n">
        <v>44578</v>
      </c>
      <c r="C651" s="1" t="n">
        <v>45753</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2494-2022</t>
        </is>
      </c>
      <c r="B652" s="1" t="n">
        <v>44579</v>
      </c>
      <c r="C652" s="1" t="n">
        <v>45753</v>
      </c>
      <c r="D652" t="inlineStr">
        <is>
          <t>JÄMTLANDS LÄN</t>
        </is>
      </c>
      <c r="E652" t="inlineStr">
        <is>
          <t>RAGUNDA</t>
        </is>
      </c>
      <c r="G652" t="n">
        <v>0.6</v>
      </c>
      <c r="H652" t="n">
        <v>0</v>
      </c>
      <c r="I652" t="n">
        <v>0</v>
      </c>
      <c r="J652" t="n">
        <v>0</v>
      </c>
      <c r="K652" t="n">
        <v>0</v>
      </c>
      <c r="L652" t="n">
        <v>0</v>
      </c>
      <c r="M652" t="n">
        <v>0</v>
      </c>
      <c r="N652" t="n">
        <v>0</v>
      </c>
      <c r="O652" t="n">
        <v>0</v>
      </c>
      <c r="P652" t="n">
        <v>0</v>
      </c>
      <c r="Q652" t="n">
        <v>0</v>
      </c>
      <c r="R652" s="2" t="inlineStr"/>
    </row>
    <row r="653" ht="15" customHeight="1">
      <c r="A653" t="inlineStr">
        <is>
          <t>A 3796-2022</t>
        </is>
      </c>
      <c r="B653" s="1" t="n">
        <v>44586</v>
      </c>
      <c r="C653" s="1" t="n">
        <v>45753</v>
      </c>
      <c r="D653" t="inlineStr">
        <is>
          <t>JÄMTLANDS LÄN</t>
        </is>
      </c>
      <c r="E653" t="inlineStr">
        <is>
          <t>RAGUNDA</t>
        </is>
      </c>
      <c r="G653" t="n">
        <v>1.2</v>
      </c>
      <c r="H653" t="n">
        <v>0</v>
      </c>
      <c r="I653" t="n">
        <v>0</v>
      </c>
      <c r="J653" t="n">
        <v>0</v>
      </c>
      <c r="K653" t="n">
        <v>0</v>
      </c>
      <c r="L653" t="n">
        <v>0</v>
      </c>
      <c r="M653" t="n">
        <v>0</v>
      </c>
      <c r="N653" t="n">
        <v>0</v>
      </c>
      <c r="O653" t="n">
        <v>0</v>
      </c>
      <c r="P653" t="n">
        <v>0</v>
      </c>
      <c r="Q653" t="n">
        <v>0</v>
      </c>
      <c r="R653" s="2" t="inlineStr"/>
    </row>
    <row r="654" ht="15" customHeight="1">
      <c r="A654" t="inlineStr">
        <is>
          <t>A 4014-2022</t>
        </is>
      </c>
      <c r="B654" s="1" t="n">
        <v>44587</v>
      </c>
      <c r="C654" s="1" t="n">
        <v>45753</v>
      </c>
      <c r="D654" t="inlineStr">
        <is>
          <t>JÄMTLANDS LÄN</t>
        </is>
      </c>
      <c r="E654" t="inlineStr">
        <is>
          <t>RAGUNDA</t>
        </is>
      </c>
      <c r="G654" t="n">
        <v>3.6</v>
      </c>
      <c r="H654" t="n">
        <v>0</v>
      </c>
      <c r="I654" t="n">
        <v>0</v>
      </c>
      <c r="J654" t="n">
        <v>0</v>
      </c>
      <c r="K654" t="n">
        <v>0</v>
      </c>
      <c r="L654" t="n">
        <v>0</v>
      </c>
      <c r="M654" t="n">
        <v>0</v>
      </c>
      <c r="N654" t="n">
        <v>0</v>
      </c>
      <c r="O654" t="n">
        <v>0</v>
      </c>
      <c r="P654" t="n">
        <v>0</v>
      </c>
      <c r="Q654" t="n">
        <v>0</v>
      </c>
      <c r="R654" s="2" t="inlineStr"/>
    </row>
    <row r="655" ht="15" customHeight="1">
      <c r="A655" t="inlineStr">
        <is>
          <t>A 4015-2022</t>
        </is>
      </c>
      <c r="B655" s="1" t="n">
        <v>44587</v>
      </c>
      <c r="C655" s="1" t="n">
        <v>45753</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4878-2022</t>
        </is>
      </c>
      <c r="B656" s="1" t="n">
        <v>44593</v>
      </c>
      <c r="C656" s="1" t="n">
        <v>45753</v>
      </c>
      <c r="D656" t="inlineStr">
        <is>
          <t>JÄMTLANDS LÄN</t>
        </is>
      </c>
      <c r="E656" t="inlineStr">
        <is>
          <t>RAGUNDA</t>
        </is>
      </c>
      <c r="G656" t="n">
        <v>21.7</v>
      </c>
      <c r="H656" t="n">
        <v>0</v>
      </c>
      <c r="I656" t="n">
        <v>0</v>
      </c>
      <c r="J656" t="n">
        <v>0</v>
      </c>
      <c r="K656" t="n">
        <v>0</v>
      </c>
      <c r="L656" t="n">
        <v>0</v>
      </c>
      <c r="M656" t="n">
        <v>0</v>
      </c>
      <c r="N656" t="n">
        <v>0</v>
      </c>
      <c r="O656" t="n">
        <v>0</v>
      </c>
      <c r="P656" t="n">
        <v>0</v>
      </c>
      <c r="Q656" t="n">
        <v>0</v>
      </c>
      <c r="R656" s="2" t="inlineStr"/>
    </row>
    <row r="657" ht="15" customHeight="1">
      <c r="A657" t="inlineStr">
        <is>
          <t>A 5515-2022</t>
        </is>
      </c>
      <c r="B657" s="1" t="n">
        <v>44595</v>
      </c>
      <c r="C657" s="1" t="n">
        <v>45753</v>
      </c>
      <c r="D657" t="inlineStr">
        <is>
          <t>JÄMTLANDS LÄN</t>
        </is>
      </c>
      <c r="E657" t="inlineStr">
        <is>
          <t>RAGUNDA</t>
        </is>
      </c>
      <c r="G657" t="n">
        <v>1</v>
      </c>
      <c r="H657" t="n">
        <v>0</v>
      </c>
      <c r="I657" t="n">
        <v>0</v>
      </c>
      <c r="J657" t="n">
        <v>0</v>
      </c>
      <c r="K657" t="n">
        <v>0</v>
      </c>
      <c r="L657" t="n">
        <v>0</v>
      </c>
      <c r="M657" t="n">
        <v>0</v>
      </c>
      <c r="N657" t="n">
        <v>0</v>
      </c>
      <c r="O657" t="n">
        <v>0</v>
      </c>
      <c r="P657" t="n">
        <v>0</v>
      </c>
      <c r="Q657" t="n">
        <v>0</v>
      </c>
      <c r="R657" s="2" t="inlineStr"/>
    </row>
    <row r="658" ht="15" customHeight="1">
      <c r="A658" t="inlineStr">
        <is>
          <t>A 5644-2022</t>
        </is>
      </c>
      <c r="B658" s="1" t="n">
        <v>44595</v>
      </c>
      <c r="C658" s="1" t="n">
        <v>45753</v>
      </c>
      <c r="D658" t="inlineStr">
        <is>
          <t>JÄMTLANDS LÄN</t>
        </is>
      </c>
      <c r="E658" t="inlineStr">
        <is>
          <t>RAGUNDA</t>
        </is>
      </c>
      <c r="G658" t="n">
        <v>0.7</v>
      </c>
      <c r="H658" t="n">
        <v>0</v>
      </c>
      <c r="I658" t="n">
        <v>0</v>
      </c>
      <c r="J658" t="n">
        <v>0</v>
      </c>
      <c r="K658" t="n">
        <v>0</v>
      </c>
      <c r="L658" t="n">
        <v>0</v>
      </c>
      <c r="M658" t="n">
        <v>0</v>
      </c>
      <c r="N658" t="n">
        <v>0</v>
      </c>
      <c r="O658" t="n">
        <v>0</v>
      </c>
      <c r="P658" t="n">
        <v>0</v>
      </c>
      <c r="Q658" t="n">
        <v>0</v>
      </c>
      <c r="R658" s="2" t="inlineStr"/>
    </row>
    <row r="659" ht="15" customHeight="1">
      <c r="A659" t="inlineStr">
        <is>
          <t>A 5652-2022</t>
        </is>
      </c>
      <c r="B659" s="1" t="n">
        <v>44595</v>
      </c>
      <c r="C659" s="1" t="n">
        <v>45753</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6177-2022</t>
        </is>
      </c>
      <c r="B660" s="1" t="n">
        <v>44600</v>
      </c>
      <c r="C660" s="1" t="n">
        <v>45753</v>
      </c>
      <c r="D660" t="inlineStr">
        <is>
          <t>JÄMTLANDS LÄN</t>
        </is>
      </c>
      <c r="E660" t="inlineStr">
        <is>
          <t>RAGUNDA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6492-2022</t>
        </is>
      </c>
      <c r="B661" s="1" t="n">
        <v>44601</v>
      </c>
      <c r="C661" s="1" t="n">
        <v>45753</v>
      </c>
      <c r="D661" t="inlineStr">
        <is>
          <t>JÄMTLANDS LÄN</t>
        </is>
      </c>
      <c r="E661" t="inlineStr">
        <is>
          <t>RAGUNDA</t>
        </is>
      </c>
      <c r="G661" t="n">
        <v>0.8</v>
      </c>
      <c r="H661" t="n">
        <v>0</v>
      </c>
      <c r="I661" t="n">
        <v>0</v>
      </c>
      <c r="J661" t="n">
        <v>0</v>
      </c>
      <c r="K661" t="n">
        <v>0</v>
      </c>
      <c r="L661" t="n">
        <v>0</v>
      </c>
      <c r="M661" t="n">
        <v>0</v>
      </c>
      <c r="N661" t="n">
        <v>0</v>
      </c>
      <c r="O661" t="n">
        <v>0</v>
      </c>
      <c r="P661" t="n">
        <v>0</v>
      </c>
      <c r="Q661" t="n">
        <v>0</v>
      </c>
      <c r="R661" s="2" t="inlineStr"/>
    </row>
    <row r="662" ht="15" customHeight="1">
      <c r="A662" t="inlineStr">
        <is>
          <t>A 6490-2022</t>
        </is>
      </c>
      <c r="B662" s="1" t="n">
        <v>44601</v>
      </c>
      <c r="C662" s="1" t="n">
        <v>45753</v>
      </c>
      <c r="D662" t="inlineStr">
        <is>
          <t>JÄMTLANDS LÄN</t>
        </is>
      </c>
      <c r="E662" t="inlineStr">
        <is>
          <t>RAGUNDA</t>
        </is>
      </c>
      <c r="G662" t="n">
        <v>3.8</v>
      </c>
      <c r="H662" t="n">
        <v>0</v>
      </c>
      <c r="I662" t="n">
        <v>0</v>
      </c>
      <c r="J662" t="n">
        <v>0</v>
      </c>
      <c r="K662" t="n">
        <v>0</v>
      </c>
      <c r="L662" t="n">
        <v>0</v>
      </c>
      <c r="M662" t="n">
        <v>0</v>
      </c>
      <c r="N662" t="n">
        <v>0</v>
      </c>
      <c r="O662" t="n">
        <v>0</v>
      </c>
      <c r="P662" t="n">
        <v>0</v>
      </c>
      <c r="Q662" t="n">
        <v>0</v>
      </c>
      <c r="R662" s="2" t="inlineStr"/>
    </row>
    <row r="663" ht="15" customHeight="1">
      <c r="A663" t="inlineStr">
        <is>
          <t>A 7448-2022</t>
        </is>
      </c>
      <c r="B663" s="1" t="n">
        <v>44606</v>
      </c>
      <c r="C663" s="1" t="n">
        <v>45753</v>
      </c>
      <c r="D663" t="inlineStr">
        <is>
          <t>JÄMTLANDS LÄN</t>
        </is>
      </c>
      <c r="E663" t="inlineStr">
        <is>
          <t>RAGUNDA</t>
        </is>
      </c>
      <c r="G663" t="n">
        <v>2.6</v>
      </c>
      <c r="H663" t="n">
        <v>0</v>
      </c>
      <c r="I663" t="n">
        <v>0</v>
      </c>
      <c r="J663" t="n">
        <v>0</v>
      </c>
      <c r="K663" t="n">
        <v>0</v>
      </c>
      <c r="L663" t="n">
        <v>0</v>
      </c>
      <c r="M663" t="n">
        <v>0</v>
      </c>
      <c r="N663" t="n">
        <v>0</v>
      </c>
      <c r="O663" t="n">
        <v>0</v>
      </c>
      <c r="P663" t="n">
        <v>0</v>
      </c>
      <c r="Q663" t="n">
        <v>0</v>
      </c>
      <c r="R663" s="2" t="inlineStr"/>
    </row>
    <row r="664" ht="15" customHeight="1">
      <c r="A664" t="inlineStr">
        <is>
          <t>A 7668-2022</t>
        </is>
      </c>
      <c r="B664" s="1" t="n">
        <v>44607</v>
      </c>
      <c r="C664" s="1" t="n">
        <v>45753</v>
      </c>
      <c r="D664" t="inlineStr">
        <is>
          <t>JÄMTLANDS LÄN</t>
        </is>
      </c>
      <c r="E664" t="inlineStr">
        <is>
          <t>RAGUNDA</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7695-2022</t>
        </is>
      </c>
      <c r="B665" s="1" t="n">
        <v>44607</v>
      </c>
      <c r="C665" s="1" t="n">
        <v>45753</v>
      </c>
      <c r="D665" t="inlineStr">
        <is>
          <t>JÄMTLANDS LÄN</t>
        </is>
      </c>
      <c r="E665" t="inlineStr">
        <is>
          <t>RAGUNDA</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8231-2022</t>
        </is>
      </c>
      <c r="B666" s="1" t="n">
        <v>44609</v>
      </c>
      <c r="C666" s="1" t="n">
        <v>45753</v>
      </c>
      <c r="D666" t="inlineStr">
        <is>
          <t>JÄMTLANDS LÄN</t>
        </is>
      </c>
      <c r="E666" t="inlineStr">
        <is>
          <t>RAGUNDA</t>
        </is>
      </c>
      <c r="F666" t="inlineStr">
        <is>
          <t>SCA</t>
        </is>
      </c>
      <c r="G666" t="n">
        <v>24.1</v>
      </c>
      <c r="H666" t="n">
        <v>0</v>
      </c>
      <c r="I666" t="n">
        <v>0</v>
      </c>
      <c r="J666" t="n">
        <v>0</v>
      </c>
      <c r="K666" t="n">
        <v>0</v>
      </c>
      <c r="L666" t="n">
        <v>0</v>
      </c>
      <c r="M666" t="n">
        <v>0</v>
      </c>
      <c r="N666" t="n">
        <v>0</v>
      </c>
      <c r="O666" t="n">
        <v>0</v>
      </c>
      <c r="P666" t="n">
        <v>0</v>
      </c>
      <c r="Q666" t="n">
        <v>0</v>
      </c>
      <c r="R666" s="2" t="inlineStr"/>
    </row>
    <row r="667" ht="15" customHeight="1">
      <c r="A667" t="inlineStr">
        <is>
          <t>A 8237-2022</t>
        </is>
      </c>
      <c r="B667" s="1" t="n">
        <v>44609</v>
      </c>
      <c r="C667" s="1" t="n">
        <v>45753</v>
      </c>
      <c r="D667" t="inlineStr">
        <is>
          <t>JÄMTLANDS LÄN</t>
        </is>
      </c>
      <c r="E667" t="inlineStr">
        <is>
          <t>RAGUNDA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8795-2022</t>
        </is>
      </c>
      <c r="B668" s="1" t="n">
        <v>44614</v>
      </c>
      <c r="C668" s="1" t="n">
        <v>45753</v>
      </c>
      <c r="D668" t="inlineStr">
        <is>
          <t>JÄMTLANDS LÄN</t>
        </is>
      </c>
      <c r="E668" t="inlineStr">
        <is>
          <t>RAGUNDA</t>
        </is>
      </c>
      <c r="G668" t="n">
        <v>3.9</v>
      </c>
      <c r="H668" t="n">
        <v>0</v>
      </c>
      <c r="I668" t="n">
        <v>0</v>
      </c>
      <c r="J668" t="n">
        <v>0</v>
      </c>
      <c r="K668" t="n">
        <v>0</v>
      </c>
      <c r="L668" t="n">
        <v>0</v>
      </c>
      <c r="M668" t="n">
        <v>0</v>
      </c>
      <c r="N668" t="n">
        <v>0</v>
      </c>
      <c r="O668" t="n">
        <v>0</v>
      </c>
      <c r="P668" t="n">
        <v>0</v>
      </c>
      <c r="Q668" t="n">
        <v>0</v>
      </c>
      <c r="R668" s="2" t="inlineStr"/>
    </row>
    <row r="669" ht="15" customHeight="1">
      <c r="A669" t="inlineStr">
        <is>
          <t>A 8808-2022</t>
        </is>
      </c>
      <c r="B669" s="1" t="n">
        <v>44614</v>
      </c>
      <c r="C669" s="1" t="n">
        <v>45753</v>
      </c>
      <c r="D669" t="inlineStr">
        <is>
          <t>JÄMTLANDS LÄN</t>
        </is>
      </c>
      <c r="E669" t="inlineStr">
        <is>
          <t>RAGUNDA</t>
        </is>
      </c>
      <c r="G669" t="n">
        <v>3.3</v>
      </c>
      <c r="H669" t="n">
        <v>0</v>
      </c>
      <c r="I669" t="n">
        <v>0</v>
      </c>
      <c r="J669" t="n">
        <v>0</v>
      </c>
      <c r="K669" t="n">
        <v>0</v>
      </c>
      <c r="L669" t="n">
        <v>0</v>
      </c>
      <c r="M669" t="n">
        <v>0</v>
      </c>
      <c r="N669" t="n">
        <v>0</v>
      </c>
      <c r="O669" t="n">
        <v>0</v>
      </c>
      <c r="P669" t="n">
        <v>0</v>
      </c>
      <c r="Q669" t="n">
        <v>0</v>
      </c>
      <c r="R669" s="2" t="inlineStr"/>
    </row>
    <row r="670" ht="15" customHeight="1">
      <c r="A670" t="inlineStr">
        <is>
          <t>A 8802-2022</t>
        </is>
      </c>
      <c r="B670" s="1" t="n">
        <v>44614</v>
      </c>
      <c r="C670" s="1" t="n">
        <v>45753</v>
      </c>
      <c r="D670" t="inlineStr">
        <is>
          <t>JÄMTLANDS LÄN</t>
        </is>
      </c>
      <c r="E670" t="inlineStr">
        <is>
          <t>RAGUNDA</t>
        </is>
      </c>
      <c r="G670" t="n">
        <v>2.8</v>
      </c>
      <c r="H670" t="n">
        <v>0</v>
      </c>
      <c r="I670" t="n">
        <v>0</v>
      </c>
      <c r="J670" t="n">
        <v>0</v>
      </c>
      <c r="K670" t="n">
        <v>0</v>
      </c>
      <c r="L670" t="n">
        <v>0</v>
      </c>
      <c r="M670" t="n">
        <v>0</v>
      </c>
      <c r="N670" t="n">
        <v>0</v>
      </c>
      <c r="O670" t="n">
        <v>0</v>
      </c>
      <c r="P670" t="n">
        <v>0</v>
      </c>
      <c r="Q670" t="n">
        <v>0</v>
      </c>
      <c r="R670" s="2" t="inlineStr"/>
    </row>
    <row r="671" ht="15" customHeight="1">
      <c r="A671" t="inlineStr">
        <is>
          <t>A 8811-2022</t>
        </is>
      </c>
      <c r="B671" s="1" t="n">
        <v>44614</v>
      </c>
      <c r="C671" s="1" t="n">
        <v>45753</v>
      </c>
      <c r="D671" t="inlineStr">
        <is>
          <t>JÄMTLANDS LÄN</t>
        </is>
      </c>
      <c r="E671" t="inlineStr">
        <is>
          <t>RAGUNDA</t>
        </is>
      </c>
      <c r="G671" t="n">
        <v>1.4</v>
      </c>
      <c r="H671" t="n">
        <v>0</v>
      </c>
      <c r="I671" t="n">
        <v>0</v>
      </c>
      <c r="J671" t="n">
        <v>0</v>
      </c>
      <c r="K671" t="n">
        <v>0</v>
      </c>
      <c r="L671" t="n">
        <v>0</v>
      </c>
      <c r="M671" t="n">
        <v>0</v>
      </c>
      <c r="N671" t="n">
        <v>0</v>
      </c>
      <c r="O671" t="n">
        <v>0</v>
      </c>
      <c r="P671" t="n">
        <v>0</v>
      </c>
      <c r="Q671" t="n">
        <v>0</v>
      </c>
      <c r="R671" s="2" t="inlineStr"/>
    </row>
    <row r="672" ht="15" customHeight="1">
      <c r="A672" t="inlineStr">
        <is>
          <t>A 8787-2022</t>
        </is>
      </c>
      <c r="B672" s="1" t="n">
        <v>44614</v>
      </c>
      <c r="C672" s="1" t="n">
        <v>45753</v>
      </c>
      <c r="D672" t="inlineStr">
        <is>
          <t>JÄMTLANDS LÄN</t>
        </is>
      </c>
      <c r="E672" t="inlineStr">
        <is>
          <t>RAGUNDA</t>
        </is>
      </c>
      <c r="G672" t="n">
        <v>6.4</v>
      </c>
      <c r="H672" t="n">
        <v>0</v>
      </c>
      <c r="I672" t="n">
        <v>0</v>
      </c>
      <c r="J672" t="n">
        <v>0</v>
      </c>
      <c r="K672" t="n">
        <v>0</v>
      </c>
      <c r="L672" t="n">
        <v>0</v>
      </c>
      <c r="M672" t="n">
        <v>0</v>
      </c>
      <c r="N672" t="n">
        <v>0</v>
      </c>
      <c r="O672" t="n">
        <v>0</v>
      </c>
      <c r="P672" t="n">
        <v>0</v>
      </c>
      <c r="Q672" t="n">
        <v>0</v>
      </c>
      <c r="R672" s="2" t="inlineStr"/>
    </row>
    <row r="673" ht="15" customHeight="1">
      <c r="A673" t="inlineStr">
        <is>
          <t>A 9187-2022</t>
        </is>
      </c>
      <c r="B673" s="1" t="n">
        <v>44615</v>
      </c>
      <c r="C673" s="1" t="n">
        <v>45753</v>
      </c>
      <c r="D673" t="inlineStr">
        <is>
          <t>JÄMTLANDS LÄN</t>
        </is>
      </c>
      <c r="E673" t="inlineStr">
        <is>
          <t>RAGUNDA</t>
        </is>
      </c>
      <c r="G673" t="n">
        <v>2</v>
      </c>
      <c r="H673" t="n">
        <v>0</v>
      </c>
      <c r="I673" t="n">
        <v>0</v>
      </c>
      <c r="J673" t="n">
        <v>0</v>
      </c>
      <c r="K673" t="n">
        <v>0</v>
      </c>
      <c r="L673" t="n">
        <v>0</v>
      </c>
      <c r="M673" t="n">
        <v>0</v>
      </c>
      <c r="N673" t="n">
        <v>0</v>
      </c>
      <c r="O673" t="n">
        <v>0</v>
      </c>
      <c r="P673" t="n">
        <v>0</v>
      </c>
      <c r="Q673" t="n">
        <v>0</v>
      </c>
      <c r="R673" s="2" t="inlineStr"/>
    </row>
    <row r="674" ht="15" customHeight="1">
      <c r="A674" t="inlineStr">
        <is>
          <t>A 9199-2022</t>
        </is>
      </c>
      <c r="B674" s="1" t="n">
        <v>44615</v>
      </c>
      <c r="C674" s="1" t="n">
        <v>45753</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9185-2022</t>
        </is>
      </c>
      <c r="B675" s="1" t="n">
        <v>44615</v>
      </c>
      <c r="C675" s="1" t="n">
        <v>45753</v>
      </c>
      <c r="D675" t="inlineStr">
        <is>
          <t>JÄMTLANDS LÄN</t>
        </is>
      </c>
      <c r="E675" t="inlineStr">
        <is>
          <t>RAGUNDA</t>
        </is>
      </c>
      <c r="G675" t="n">
        <v>1.1</v>
      </c>
      <c r="H675" t="n">
        <v>0</v>
      </c>
      <c r="I675" t="n">
        <v>0</v>
      </c>
      <c r="J675" t="n">
        <v>0</v>
      </c>
      <c r="K675" t="n">
        <v>0</v>
      </c>
      <c r="L675" t="n">
        <v>0</v>
      </c>
      <c r="M675" t="n">
        <v>0</v>
      </c>
      <c r="N675" t="n">
        <v>0</v>
      </c>
      <c r="O675" t="n">
        <v>0</v>
      </c>
      <c r="P675" t="n">
        <v>0</v>
      </c>
      <c r="Q675" t="n">
        <v>0</v>
      </c>
      <c r="R675" s="2" t="inlineStr"/>
    </row>
    <row r="676" ht="15" customHeight="1">
      <c r="A676" t="inlineStr">
        <is>
          <t>A 10120-2022</t>
        </is>
      </c>
      <c r="B676" s="1" t="n">
        <v>44621</v>
      </c>
      <c r="C676" s="1" t="n">
        <v>45753</v>
      </c>
      <c r="D676" t="inlineStr">
        <is>
          <t>JÄMTLANDS LÄN</t>
        </is>
      </c>
      <c r="E676" t="inlineStr">
        <is>
          <t>RAGUNDA</t>
        </is>
      </c>
      <c r="G676" t="n">
        <v>0.4</v>
      </c>
      <c r="H676" t="n">
        <v>0</v>
      </c>
      <c r="I676" t="n">
        <v>0</v>
      </c>
      <c r="J676" t="n">
        <v>0</v>
      </c>
      <c r="K676" t="n">
        <v>0</v>
      </c>
      <c r="L676" t="n">
        <v>0</v>
      </c>
      <c r="M676" t="n">
        <v>0</v>
      </c>
      <c r="N676" t="n">
        <v>0</v>
      </c>
      <c r="O676" t="n">
        <v>0</v>
      </c>
      <c r="P676" t="n">
        <v>0</v>
      </c>
      <c r="Q676" t="n">
        <v>0</v>
      </c>
      <c r="R676" s="2" t="inlineStr"/>
    </row>
    <row r="677" ht="15" customHeight="1">
      <c r="A677" t="inlineStr">
        <is>
          <t>A 10905-2022</t>
        </is>
      </c>
      <c r="B677" s="1" t="n">
        <v>44627</v>
      </c>
      <c r="C677" s="1" t="n">
        <v>45753</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10972-2022</t>
        </is>
      </c>
      <c r="B678" s="1" t="n">
        <v>44628</v>
      </c>
      <c r="C678" s="1" t="n">
        <v>45753</v>
      </c>
      <c r="D678" t="inlineStr">
        <is>
          <t>JÄMTLANDS LÄN</t>
        </is>
      </c>
      <c r="E678" t="inlineStr">
        <is>
          <t>RAGUNDA</t>
        </is>
      </c>
      <c r="G678" t="n">
        <v>9.5</v>
      </c>
      <c r="H678" t="n">
        <v>0</v>
      </c>
      <c r="I678" t="n">
        <v>0</v>
      </c>
      <c r="J678" t="n">
        <v>0</v>
      </c>
      <c r="K678" t="n">
        <v>0</v>
      </c>
      <c r="L678" t="n">
        <v>0</v>
      </c>
      <c r="M678" t="n">
        <v>0</v>
      </c>
      <c r="N678" t="n">
        <v>0</v>
      </c>
      <c r="O678" t="n">
        <v>0</v>
      </c>
      <c r="P678" t="n">
        <v>0</v>
      </c>
      <c r="Q678" t="n">
        <v>0</v>
      </c>
      <c r="R678" s="2" t="inlineStr"/>
    </row>
    <row r="679" ht="15" customHeight="1">
      <c r="A679" t="inlineStr">
        <is>
          <t>A 11217-2022</t>
        </is>
      </c>
      <c r="B679" s="1" t="n">
        <v>44629</v>
      </c>
      <c r="C679" s="1" t="n">
        <v>45753</v>
      </c>
      <c r="D679" t="inlineStr">
        <is>
          <t>JÄMTLANDS LÄN</t>
        </is>
      </c>
      <c r="E679" t="inlineStr">
        <is>
          <t>RAGUNDA</t>
        </is>
      </c>
      <c r="G679" t="n">
        <v>10.2</v>
      </c>
      <c r="H679" t="n">
        <v>0</v>
      </c>
      <c r="I679" t="n">
        <v>0</v>
      </c>
      <c r="J679" t="n">
        <v>0</v>
      </c>
      <c r="K679" t="n">
        <v>0</v>
      </c>
      <c r="L679" t="n">
        <v>0</v>
      </c>
      <c r="M679" t="n">
        <v>0</v>
      </c>
      <c r="N679" t="n">
        <v>0</v>
      </c>
      <c r="O679" t="n">
        <v>0</v>
      </c>
      <c r="P679" t="n">
        <v>0</v>
      </c>
      <c r="Q679" t="n">
        <v>0</v>
      </c>
      <c r="R679" s="2" t="inlineStr"/>
    </row>
    <row r="680" ht="15" customHeight="1">
      <c r="A680" t="inlineStr">
        <is>
          <t>A 11288-2022</t>
        </is>
      </c>
      <c r="B680" s="1" t="n">
        <v>44629</v>
      </c>
      <c r="C680" s="1" t="n">
        <v>45753</v>
      </c>
      <c r="D680" t="inlineStr">
        <is>
          <t>JÄMTLANDS LÄN</t>
        </is>
      </c>
      <c r="E680" t="inlineStr">
        <is>
          <t>RAGUNDA</t>
        </is>
      </c>
      <c r="G680" t="n">
        <v>4.9</v>
      </c>
      <c r="H680" t="n">
        <v>0</v>
      </c>
      <c r="I680" t="n">
        <v>0</v>
      </c>
      <c r="J680" t="n">
        <v>0</v>
      </c>
      <c r="K680" t="n">
        <v>0</v>
      </c>
      <c r="L680" t="n">
        <v>0</v>
      </c>
      <c r="M680" t="n">
        <v>0</v>
      </c>
      <c r="N680" t="n">
        <v>0</v>
      </c>
      <c r="O680" t="n">
        <v>0</v>
      </c>
      <c r="P680" t="n">
        <v>0</v>
      </c>
      <c r="Q680" t="n">
        <v>0</v>
      </c>
      <c r="R680" s="2" t="inlineStr"/>
    </row>
    <row r="681" ht="15" customHeight="1">
      <c r="A681" t="inlineStr">
        <is>
          <t>A 11487-2022</t>
        </is>
      </c>
      <c r="B681" s="1" t="n">
        <v>44630</v>
      </c>
      <c r="C681" s="1" t="n">
        <v>45753</v>
      </c>
      <c r="D681" t="inlineStr">
        <is>
          <t>JÄMTLANDS LÄN</t>
        </is>
      </c>
      <c r="E681" t="inlineStr">
        <is>
          <t>RAGUNDA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12024-2022</t>
        </is>
      </c>
      <c r="B682" s="1" t="n">
        <v>44635</v>
      </c>
      <c r="C682" s="1" t="n">
        <v>45753</v>
      </c>
      <c r="D682" t="inlineStr">
        <is>
          <t>JÄMTLANDS LÄN</t>
        </is>
      </c>
      <c r="E682" t="inlineStr">
        <is>
          <t>RAGUNDA</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12559-2022</t>
        </is>
      </c>
      <c r="B683" s="1" t="n">
        <v>44638</v>
      </c>
      <c r="C683" s="1" t="n">
        <v>45753</v>
      </c>
      <c r="D683" t="inlineStr">
        <is>
          <t>JÄMTLANDS LÄN</t>
        </is>
      </c>
      <c r="E683" t="inlineStr">
        <is>
          <t>RAGUNDA</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12773-2022</t>
        </is>
      </c>
      <c r="B684" s="1" t="n">
        <v>44641</v>
      </c>
      <c r="C684" s="1" t="n">
        <v>45753</v>
      </c>
      <c r="D684" t="inlineStr">
        <is>
          <t>JÄMTLANDS LÄN</t>
        </is>
      </c>
      <c r="E684" t="inlineStr">
        <is>
          <t>RAGUNDA</t>
        </is>
      </c>
      <c r="F684" t="inlineStr">
        <is>
          <t>SCA</t>
        </is>
      </c>
      <c r="G684" t="n">
        <v>14.7</v>
      </c>
      <c r="H684" t="n">
        <v>0</v>
      </c>
      <c r="I684" t="n">
        <v>0</v>
      </c>
      <c r="J684" t="n">
        <v>0</v>
      </c>
      <c r="K684" t="n">
        <v>0</v>
      </c>
      <c r="L684" t="n">
        <v>0</v>
      </c>
      <c r="M684" t="n">
        <v>0</v>
      </c>
      <c r="N684" t="n">
        <v>0</v>
      </c>
      <c r="O684" t="n">
        <v>0</v>
      </c>
      <c r="P684" t="n">
        <v>0</v>
      </c>
      <c r="Q684" t="n">
        <v>0</v>
      </c>
      <c r="R684" s="2" t="inlineStr"/>
    </row>
    <row r="685" ht="15" customHeight="1">
      <c r="A685" t="inlineStr">
        <is>
          <t>A 12768-2022</t>
        </is>
      </c>
      <c r="B685" s="1" t="n">
        <v>44641</v>
      </c>
      <c r="C685" s="1" t="n">
        <v>45753</v>
      </c>
      <c r="D685" t="inlineStr">
        <is>
          <t>JÄMTLANDS LÄN</t>
        </is>
      </c>
      <c r="E685" t="inlineStr">
        <is>
          <t>RAGUNDA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13302-2022</t>
        </is>
      </c>
      <c r="B686" s="1" t="n">
        <v>44644</v>
      </c>
      <c r="C686" s="1" t="n">
        <v>45753</v>
      </c>
      <c r="D686" t="inlineStr">
        <is>
          <t>JÄMTLANDS LÄN</t>
        </is>
      </c>
      <c r="E686" t="inlineStr">
        <is>
          <t>RAGUNDA</t>
        </is>
      </c>
      <c r="F686" t="inlineStr">
        <is>
          <t>SCA</t>
        </is>
      </c>
      <c r="G686" t="n">
        <v>35.6</v>
      </c>
      <c r="H686" t="n">
        <v>0</v>
      </c>
      <c r="I686" t="n">
        <v>0</v>
      </c>
      <c r="J686" t="n">
        <v>0</v>
      </c>
      <c r="K686" t="n">
        <v>0</v>
      </c>
      <c r="L686" t="n">
        <v>0</v>
      </c>
      <c r="M686" t="n">
        <v>0</v>
      </c>
      <c r="N686" t="n">
        <v>0</v>
      </c>
      <c r="O686" t="n">
        <v>0</v>
      </c>
      <c r="P686" t="n">
        <v>0</v>
      </c>
      <c r="Q686" t="n">
        <v>0</v>
      </c>
      <c r="R686" s="2" t="inlineStr"/>
    </row>
    <row r="687" ht="15" customHeight="1">
      <c r="A687" t="inlineStr">
        <is>
          <t>A 13303-2022</t>
        </is>
      </c>
      <c r="B687" s="1" t="n">
        <v>44644</v>
      </c>
      <c r="C687" s="1" t="n">
        <v>45753</v>
      </c>
      <c r="D687" t="inlineStr">
        <is>
          <t>JÄMTLANDS LÄN</t>
        </is>
      </c>
      <c r="E687" t="inlineStr">
        <is>
          <t>RAGUNDA</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13769-2022</t>
        </is>
      </c>
      <c r="B688" s="1" t="n">
        <v>44649</v>
      </c>
      <c r="C688" s="1" t="n">
        <v>45753</v>
      </c>
      <c r="D688" t="inlineStr">
        <is>
          <t>JÄMTLANDS LÄN</t>
        </is>
      </c>
      <c r="E688" t="inlineStr">
        <is>
          <t>RAGUNDA</t>
        </is>
      </c>
      <c r="F688" t="inlineStr">
        <is>
          <t>Kommuner</t>
        </is>
      </c>
      <c r="G688" t="n">
        <v>2.5</v>
      </c>
      <c r="H688" t="n">
        <v>0</v>
      </c>
      <c r="I688" t="n">
        <v>0</v>
      </c>
      <c r="J688" t="n">
        <v>0</v>
      </c>
      <c r="K688" t="n">
        <v>0</v>
      </c>
      <c r="L688" t="n">
        <v>0</v>
      </c>
      <c r="M688" t="n">
        <v>0</v>
      </c>
      <c r="N688" t="n">
        <v>0</v>
      </c>
      <c r="O688" t="n">
        <v>0</v>
      </c>
      <c r="P688" t="n">
        <v>0</v>
      </c>
      <c r="Q688" t="n">
        <v>0</v>
      </c>
      <c r="R688" s="2" t="inlineStr"/>
    </row>
    <row r="689" ht="15" customHeight="1">
      <c r="A689" t="inlineStr">
        <is>
          <t>A 13767-2022</t>
        </is>
      </c>
      <c r="B689" s="1" t="n">
        <v>44649</v>
      </c>
      <c r="C689" s="1" t="n">
        <v>45753</v>
      </c>
      <c r="D689" t="inlineStr">
        <is>
          <t>JÄMTLANDS LÄN</t>
        </is>
      </c>
      <c r="E689" t="inlineStr">
        <is>
          <t>RAGUNDA</t>
        </is>
      </c>
      <c r="F689" t="inlineStr">
        <is>
          <t>Kommuner</t>
        </is>
      </c>
      <c r="G689" t="n">
        <v>3.1</v>
      </c>
      <c r="H689" t="n">
        <v>0</v>
      </c>
      <c r="I689" t="n">
        <v>0</v>
      </c>
      <c r="J689" t="n">
        <v>0</v>
      </c>
      <c r="K689" t="n">
        <v>0</v>
      </c>
      <c r="L689" t="n">
        <v>0</v>
      </c>
      <c r="M689" t="n">
        <v>0</v>
      </c>
      <c r="N689" t="n">
        <v>0</v>
      </c>
      <c r="O689" t="n">
        <v>0</v>
      </c>
      <c r="P689" t="n">
        <v>0</v>
      </c>
      <c r="Q689" t="n">
        <v>0</v>
      </c>
      <c r="R689" s="2" t="inlineStr"/>
    </row>
    <row r="690" ht="15" customHeight="1">
      <c r="A690" t="inlineStr">
        <is>
          <t>A 13768-2022</t>
        </is>
      </c>
      <c r="B690" s="1" t="n">
        <v>44649</v>
      </c>
      <c r="C690" s="1" t="n">
        <v>45753</v>
      </c>
      <c r="D690" t="inlineStr">
        <is>
          <t>JÄMTLANDS LÄN</t>
        </is>
      </c>
      <c r="E690" t="inlineStr">
        <is>
          <t>RAGUNDA</t>
        </is>
      </c>
      <c r="F690" t="inlineStr">
        <is>
          <t>Kommuner</t>
        </is>
      </c>
      <c r="G690" t="n">
        <v>2.6</v>
      </c>
      <c r="H690" t="n">
        <v>0</v>
      </c>
      <c r="I690" t="n">
        <v>0</v>
      </c>
      <c r="J690" t="n">
        <v>0</v>
      </c>
      <c r="K690" t="n">
        <v>0</v>
      </c>
      <c r="L690" t="n">
        <v>0</v>
      </c>
      <c r="M690" t="n">
        <v>0</v>
      </c>
      <c r="N690" t="n">
        <v>0</v>
      </c>
      <c r="O690" t="n">
        <v>0</v>
      </c>
      <c r="P690" t="n">
        <v>0</v>
      </c>
      <c r="Q690" t="n">
        <v>0</v>
      </c>
      <c r="R690" s="2" t="inlineStr"/>
    </row>
    <row r="691" ht="15" customHeight="1">
      <c r="A691" t="inlineStr">
        <is>
          <t>A 13964-2022</t>
        </is>
      </c>
      <c r="B691" s="1" t="n">
        <v>44650</v>
      </c>
      <c r="C691" s="1" t="n">
        <v>45753</v>
      </c>
      <c r="D691" t="inlineStr">
        <is>
          <t>JÄMTLANDS LÄN</t>
        </is>
      </c>
      <c r="E691" t="inlineStr">
        <is>
          <t>RAGUNDA</t>
        </is>
      </c>
      <c r="G691" t="n">
        <v>2.6</v>
      </c>
      <c r="H691" t="n">
        <v>0</v>
      </c>
      <c r="I691" t="n">
        <v>0</v>
      </c>
      <c r="J691" t="n">
        <v>0</v>
      </c>
      <c r="K691" t="n">
        <v>0</v>
      </c>
      <c r="L691" t="n">
        <v>0</v>
      </c>
      <c r="M691" t="n">
        <v>0</v>
      </c>
      <c r="N691" t="n">
        <v>0</v>
      </c>
      <c r="O691" t="n">
        <v>0</v>
      </c>
      <c r="P691" t="n">
        <v>0</v>
      </c>
      <c r="Q691" t="n">
        <v>0</v>
      </c>
      <c r="R691" s="2" t="inlineStr"/>
    </row>
    <row r="692" ht="15" customHeight="1">
      <c r="A692" t="inlineStr">
        <is>
          <t>A 13911-2022</t>
        </is>
      </c>
      <c r="B692" s="1" t="n">
        <v>44650</v>
      </c>
      <c r="C692" s="1" t="n">
        <v>45753</v>
      </c>
      <c r="D692" t="inlineStr">
        <is>
          <t>JÄMTLANDS LÄN</t>
        </is>
      </c>
      <c r="E692" t="inlineStr">
        <is>
          <t>RAGUNDA</t>
        </is>
      </c>
      <c r="G692" t="n">
        <v>0.6</v>
      </c>
      <c r="H692" t="n">
        <v>0</v>
      </c>
      <c r="I692" t="n">
        <v>0</v>
      </c>
      <c r="J692" t="n">
        <v>0</v>
      </c>
      <c r="K692" t="n">
        <v>0</v>
      </c>
      <c r="L692" t="n">
        <v>0</v>
      </c>
      <c r="M692" t="n">
        <v>0</v>
      </c>
      <c r="N692" t="n">
        <v>0</v>
      </c>
      <c r="O692" t="n">
        <v>0</v>
      </c>
      <c r="P692" t="n">
        <v>0</v>
      </c>
      <c r="Q692" t="n">
        <v>0</v>
      </c>
      <c r="R692" s="2" t="inlineStr"/>
    </row>
    <row r="693" ht="15" customHeight="1">
      <c r="A693" t="inlineStr">
        <is>
          <t>A 14435-2022</t>
        </is>
      </c>
      <c r="B693" s="1" t="n">
        <v>44652</v>
      </c>
      <c r="C693" s="1" t="n">
        <v>45753</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14696-2022</t>
        </is>
      </c>
      <c r="B694" s="1" t="n">
        <v>44655</v>
      </c>
      <c r="C694" s="1" t="n">
        <v>45753</v>
      </c>
      <c r="D694" t="inlineStr">
        <is>
          <t>JÄMTLANDS LÄN</t>
        </is>
      </c>
      <c r="E694" t="inlineStr">
        <is>
          <t>RAGUNDA</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14697-2022</t>
        </is>
      </c>
      <c r="B695" s="1" t="n">
        <v>44655</v>
      </c>
      <c r="C695" s="1" t="n">
        <v>45753</v>
      </c>
      <c r="D695" t="inlineStr">
        <is>
          <t>JÄMTLANDS LÄN</t>
        </is>
      </c>
      <c r="E695" t="inlineStr">
        <is>
          <t>RAGUNDA</t>
        </is>
      </c>
      <c r="F695" t="inlineStr">
        <is>
          <t>SCA</t>
        </is>
      </c>
      <c r="G695" t="n">
        <v>6.7</v>
      </c>
      <c r="H695" t="n">
        <v>0</v>
      </c>
      <c r="I695" t="n">
        <v>0</v>
      </c>
      <c r="J695" t="n">
        <v>0</v>
      </c>
      <c r="K695" t="n">
        <v>0</v>
      </c>
      <c r="L695" t="n">
        <v>0</v>
      </c>
      <c r="M695" t="n">
        <v>0</v>
      </c>
      <c r="N695" t="n">
        <v>0</v>
      </c>
      <c r="O695" t="n">
        <v>0</v>
      </c>
      <c r="P695" t="n">
        <v>0</v>
      </c>
      <c r="Q695" t="n">
        <v>0</v>
      </c>
      <c r="R695" s="2" t="inlineStr"/>
    </row>
    <row r="696" ht="15" customHeight="1">
      <c r="A696" t="inlineStr">
        <is>
          <t>A 14898-2022</t>
        </is>
      </c>
      <c r="B696" s="1" t="n">
        <v>44656</v>
      </c>
      <c r="C696" s="1" t="n">
        <v>45753</v>
      </c>
      <c r="D696" t="inlineStr">
        <is>
          <t>JÄMTLANDS LÄN</t>
        </is>
      </c>
      <c r="E696" t="inlineStr">
        <is>
          <t>RAGUNDA</t>
        </is>
      </c>
      <c r="F696" t="inlineStr">
        <is>
          <t>SCA</t>
        </is>
      </c>
      <c r="G696" t="n">
        <v>7</v>
      </c>
      <c r="H696" t="n">
        <v>0</v>
      </c>
      <c r="I696" t="n">
        <v>0</v>
      </c>
      <c r="J696" t="n">
        <v>0</v>
      </c>
      <c r="K696" t="n">
        <v>0</v>
      </c>
      <c r="L696" t="n">
        <v>0</v>
      </c>
      <c r="M696" t="n">
        <v>0</v>
      </c>
      <c r="N696" t="n">
        <v>0</v>
      </c>
      <c r="O696" t="n">
        <v>0</v>
      </c>
      <c r="P696" t="n">
        <v>0</v>
      </c>
      <c r="Q696" t="n">
        <v>0</v>
      </c>
      <c r="R696" s="2" t="inlineStr"/>
    </row>
    <row r="697" ht="15" customHeight="1">
      <c r="A697" t="inlineStr">
        <is>
          <t>A 14907-2022</t>
        </is>
      </c>
      <c r="B697" s="1" t="n">
        <v>44657</v>
      </c>
      <c r="C697" s="1" t="n">
        <v>45753</v>
      </c>
      <c r="D697" t="inlineStr">
        <is>
          <t>JÄMTLANDS LÄN</t>
        </is>
      </c>
      <c r="E697" t="inlineStr">
        <is>
          <t>RAGUNDA</t>
        </is>
      </c>
      <c r="F697" t="inlineStr">
        <is>
          <t>SCA</t>
        </is>
      </c>
      <c r="G697" t="n">
        <v>5.5</v>
      </c>
      <c r="H697" t="n">
        <v>0</v>
      </c>
      <c r="I697" t="n">
        <v>0</v>
      </c>
      <c r="J697" t="n">
        <v>0</v>
      </c>
      <c r="K697" t="n">
        <v>0</v>
      </c>
      <c r="L697" t="n">
        <v>0</v>
      </c>
      <c r="M697" t="n">
        <v>0</v>
      </c>
      <c r="N697" t="n">
        <v>0</v>
      </c>
      <c r="O697" t="n">
        <v>0</v>
      </c>
      <c r="P697" t="n">
        <v>0</v>
      </c>
      <c r="Q697" t="n">
        <v>0</v>
      </c>
      <c r="R697" s="2" t="inlineStr"/>
    </row>
    <row r="698" ht="15" customHeight="1">
      <c r="A698" t="inlineStr">
        <is>
          <t>A 14896-2022</t>
        </is>
      </c>
      <c r="B698" s="1" t="n">
        <v>44656</v>
      </c>
      <c r="C698" s="1" t="n">
        <v>45753</v>
      </c>
      <c r="D698" t="inlineStr">
        <is>
          <t>JÄMTLANDS LÄN</t>
        </is>
      </c>
      <c r="E698" t="inlineStr">
        <is>
          <t>RAGUNDA</t>
        </is>
      </c>
      <c r="F698" t="inlineStr">
        <is>
          <t>SCA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14906-2022</t>
        </is>
      </c>
      <c r="B699" s="1" t="n">
        <v>44657</v>
      </c>
      <c r="C699" s="1" t="n">
        <v>45753</v>
      </c>
      <c r="D699" t="inlineStr">
        <is>
          <t>JÄMTLANDS LÄN</t>
        </is>
      </c>
      <c r="E699" t="inlineStr">
        <is>
          <t>RAGUNDA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14905-2022</t>
        </is>
      </c>
      <c r="B700" s="1" t="n">
        <v>44657</v>
      </c>
      <c r="C700" s="1" t="n">
        <v>45753</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15024-2022</t>
        </is>
      </c>
      <c r="B701" s="1" t="n">
        <v>44657</v>
      </c>
      <c r="C701" s="1" t="n">
        <v>45753</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15664-2022</t>
        </is>
      </c>
      <c r="B702" s="1" t="n">
        <v>44662</v>
      </c>
      <c r="C702" s="1" t="n">
        <v>45753</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15808-2022</t>
        </is>
      </c>
      <c r="B703" s="1" t="n">
        <v>44663</v>
      </c>
      <c r="C703" s="1" t="n">
        <v>45753</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15969-2022</t>
        </is>
      </c>
      <c r="B704" s="1" t="n">
        <v>44665</v>
      </c>
      <c r="C704" s="1" t="n">
        <v>45753</v>
      </c>
      <c r="D704" t="inlineStr">
        <is>
          <t>JÄMTLANDS LÄN</t>
        </is>
      </c>
      <c r="E704" t="inlineStr">
        <is>
          <t>RAGUNDA</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16246-2022</t>
        </is>
      </c>
      <c r="B705" s="1" t="n">
        <v>44670</v>
      </c>
      <c r="C705" s="1" t="n">
        <v>45753</v>
      </c>
      <c r="D705" t="inlineStr">
        <is>
          <t>JÄMTLANDS LÄN</t>
        </is>
      </c>
      <c r="E705" t="inlineStr">
        <is>
          <t>RAGUNDA</t>
        </is>
      </c>
      <c r="G705" t="n">
        <v>4.1</v>
      </c>
      <c r="H705" t="n">
        <v>0</v>
      </c>
      <c r="I705" t="n">
        <v>0</v>
      </c>
      <c r="J705" t="n">
        <v>0</v>
      </c>
      <c r="K705" t="n">
        <v>0</v>
      </c>
      <c r="L705" t="n">
        <v>0</v>
      </c>
      <c r="M705" t="n">
        <v>0</v>
      </c>
      <c r="N705" t="n">
        <v>0</v>
      </c>
      <c r="O705" t="n">
        <v>0</v>
      </c>
      <c r="P705" t="n">
        <v>0</v>
      </c>
      <c r="Q705" t="n">
        <v>0</v>
      </c>
      <c r="R705" s="2" t="inlineStr"/>
    </row>
    <row r="706" ht="15" customHeight="1">
      <c r="A706" t="inlineStr">
        <is>
          <t>A 16250-2022</t>
        </is>
      </c>
      <c r="B706" s="1" t="n">
        <v>44670</v>
      </c>
      <c r="C706" s="1" t="n">
        <v>45753</v>
      </c>
      <c r="D706" t="inlineStr">
        <is>
          <t>JÄMTLANDS LÄN</t>
        </is>
      </c>
      <c r="E706" t="inlineStr">
        <is>
          <t>RAGUNDA</t>
        </is>
      </c>
      <c r="G706" t="n">
        <v>1</v>
      </c>
      <c r="H706" t="n">
        <v>0</v>
      </c>
      <c r="I706" t="n">
        <v>0</v>
      </c>
      <c r="J706" t="n">
        <v>0</v>
      </c>
      <c r="K706" t="n">
        <v>0</v>
      </c>
      <c r="L706" t="n">
        <v>0</v>
      </c>
      <c r="M706" t="n">
        <v>0</v>
      </c>
      <c r="N706" t="n">
        <v>0</v>
      </c>
      <c r="O706" t="n">
        <v>0</v>
      </c>
      <c r="P706" t="n">
        <v>0</v>
      </c>
      <c r="Q706" t="n">
        <v>0</v>
      </c>
      <c r="R706" s="2" t="inlineStr"/>
    </row>
    <row r="707" ht="15" customHeight="1">
      <c r="A707" t="inlineStr">
        <is>
          <t>A 16361-2022</t>
        </is>
      </c>
      <c r="B707" s="1" t="n">
        <v>44670</v>
      </c>
      <c r="C707" s="1" t="n">
        <v>45753</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16460-2022</t>
        </is>
      </c>
      <c r="B708" s="1" t="n">
        <v>44671</v>
      </c>
      <c r="C708" s="1" t="n">
        <v>45753</v>
      </c>
      <c r="D708" t="inlineStr">
        <is>
          <t>JÄMTLANDS LÄN</t>
        </is>
      </c>
      <c r="E708" t="inlineStr">
        <is>
          <t>RAGUNDA</t>
        </is>
      </c>
      <c r="G708" t="n">
        <v>1.7</v>
      </c>
      <c r="H708" t="n">
        <v>0</v>
      </c>
      <c r="I708" t="n">
        <v>0</v>
      </c>
      <c r="J708" t="n">
        <v>0</v>
      </c>
      <c r="K708" t="n">
        <v>0</v>
      </c>
      <c r="L708" t="n">
        <v>0</v>
      </c>
      <c r="M708" t="n">
        <v>0</v>
      </c>
      <c r="N708" t="n">
        <v>0</v>
      </c>
      <c r="O708" t="n">
        <v>0</v>
      </c>
      <c r="P708" t="n">
        <v>0</v>
      </c>
      <c r="Q708" t="n">
        <v>0</v>
      </c>
      <c r="R708" s="2" t="inlineStr"/>
    </row>
    <row r="709" ht="15" customHeight="1">
      <c r="A709" t="inlineStr">
        <is>
          <t>A 16529-2022</t>
        </is>
      </c>
      <c r="B709" s="1" t="n">
        <v>44671</v>
      </c>
      <c r="C709" s="1" t="n">
        <v>45753</v>
      </c>
      <c r="D709" t="inlineStr">
        <is>
          <t>JÄMTLANDS LÄN</t>
        </is>
      </c>
      <c r="E709" t="inlineStr">
        <is>
          <t>RAGUNDA</t>
        </is>
      </c>
      <c r="G709" t="n">
        <v>1.5</v>
      </c>
      <c r="H709" t="n">
        <v>0</v>
      </c>
      <c r="I709" t="n">
        <v>0</v>
      </c>
      <c r="J709" t="n">
        <v>0</v>
      </c>
      <c r="K709" t="n">
        <v>0</v>
      </c>
      <c r="L709" t="n">
        <v>0</v>
      </c>
      <c r="M709" t="n">
        <v>0</v>
      </c>
      <c r="N709" t="n">
        <v>0</v>
      </c>
      <c r="O709" t="n">
        <v>0</v>
      </c>
      <c r="P709" t="n">
        <v>0</v>
      </c>
      <c r="Q709" t="n">
        <v>0</v>
      </c>
      <c r="R709" s="2" t="inlineStr"/>
    </row>
    <row r="710" ht="15" customHeight="1">
      <c r="A710" t="inlineStr">
        <is>
          <t>A 16676-2022</t>
        </is>
      </c>
      <c r="B710" s="1" t="n">
        <v>44673</v>
      </c>
      <c r="C710" s="1" t="n">
        <v>45753</v>
      </c>
      <c r="D710" t="inlineStr">
        <is>
          <t>JÄMTLANDS LÄN</t>
        </is>
      </c>
      <c r="E710" t="inlineStr">
        <is>
          <t>RAGUNDA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17058-2022</t>
        </is>
      </c>
      <c r="B711" s="1" t="n">
        <v>44677</v>
      </c>
      <c r="C711" s="1" t="n">
        <v>45753</v>
      </c>
      <c r="D711" t="inlineStr">
        <is>
          <t>JÄMTLANDS LÄN</t>
        </is>
      </c>
      <c r="E711" t="inlineStr">
        <is>
          <t>RAGUNDA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17573-2022</t>
        </is>
      </c>
      <c r="B712" s="1" t="n">
        <v>44679</v>
      </c>
      <c r="C712" s="1" t="n">
        <v>45753</v>
      </c>
      <c r="D712" t="inlineStr">
        <is>
          <t>JÄMTLANDS LÄN</t>
        </is>
      </c>
      <c r="E712" t="inlineStr">
        <is>
          <t>RAGUNDA</t>
        </is>
      </c>
      <c r="G712" t="n">
        <v>6.9</v>
      </c>
      <c r="H712" t="n">
        <v>0</v>
      </c>
      <c r="I712" t="n">
        <v>0</v>
      </c>
      <c r="J712" t="n">
        <v>0</v>
      </c>
      <c r="K712" t="n">
        <v>0</v>
      </c>
      <c r="L712" t="n">
        <v>0</v>
      </c>
      <c r="M712" t="n">
        <v>0</v>
      </c>
      <c r="N712" t="n">
        <v>0</v>
      </c>
      <c r="O712" t="n">
        <v>0</v>
      </c>
      <c r="P712" t="n">
        <v>0</v>
      </c>
      <c r="Q712" t="n">
        <v>0</v>
      </c>
      <c r="R712" s="2" t="inlineStr"/>
    </row>
    <row r="713" ht="15" customHeight="1">
      <c r="A713" t="inlineStr">
        <is>
          <t>A 17730-2022</t>
        </is>
      </c>
      <c r="B713" s="1" t="n">
        <v>44680</v>
      </c>
      <c r="C713" s="1" t="n">
        <v>45753</v>
      </c>
      <c r="D713" t="inlineStr">
        <is>
          <t>JÄMTLANDS LÄN</t>
        </is>
      </c>
      <c r="E713" t="inlineStr">
        <is>
          <t>RAGUNDA</t>
        </is>
      </c>
      <c r="G713" t="n">
        <v>3.4</v>
      </c>
      <c r="H713" t="n">
        <v>0</v>
      </c>
      <c r="I713" t="n">
        <v>0</v>
      </c>
      <c r="J713" t="n">
        <v>0</v>
      </c>
      <c r="K713" t="n">
        <v>0</v>
      </c>
      <c r="L713" t="n">
        <v>0</v>
      </c>
      <c r="M713" t="n">
        <v>0</v>
      </c>
      <c r="N713" t="n">
        <v>0</v>
      </c>
      <c r="O713" t="n">
        <v>0</v>
      </c>
      <c r="P713" t="n">
        <v>0</v>
      </c>
      <c r="Q713" t="n">
        <v>0</v>
      </c>
      <c r="R713" s="2" t="inlineStr"/>
    </row>
    <row r="714" ht="15" customHeight="1">
      <c r="A714" t="inlineStr">
        <is>
          <t>A 17742-2022</t>
        </is>
      </c>
      <c r="B714" s="1" t="n">
        <v>44681</v>
      </c>
      <c r="C714" s="1" t="n">
        <v>45753</v>
      </c>
      <c r="D714" t="inlineStr">
        <is>
          <t>JÄMTLANDS LÄN</t>
        </is>
      </c>
      <c r="E714" t="inlineStr">
        <is>
          <t>RAGUNDA</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18008-2022</t>
        </is>
      </c>
      <c r="B715" s="1" t="n">
        <v>44684</v>
      </c>
      <c r="C715" s="1" t="n">
        <v>45753</v>
      </c>
      <c r="D715" t="inlineStr">
        <is>
          <t>JÄMTLANDS LÄN</t>
        </is>
      </c>
      <c r="E715" t="inlineStr">
        <is>
          <t>RAGUNDA</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18193-2022</t>
        </is>
      </c>
      <c r="B716" s="1" t="n">
        <v>44685</v>
      </c>
      <c r="C716" s="1" t="n">
        <v>45753</v>
      </c>
      <c r="D716" t="inlineStr">
        <is>
          <t>JÄMTLANDS LÄN</t>
        </is>
      </c>
      <c r="E716" t="inlineStr">
        <is>
          <t>RAGUNDA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18290-2022</t>
        </is>
      </c>
      <c r="B717" s="1" t="n">
        <v>44685</v>
      </c>
      <c r="C717" s="1" t="n">
        <v>45753</v>
      </c>
      <c r="D717" t="inlineStr">
        <is>
          <t>JÄMTLANDS LÄN</t>
        </is>
      </c>
      <c r="E717" t="inlineStr">
        <is>
          <t>RAGUNDA</t>
        </is>
      </c>
      <c r="G717" t="n">
        <v>7.7</v>
      </c>
      <c r="H717" t="n">
        <v>0</v>
      </c>
      <c r="I717" t="n">
        <v>0</v>
      </c>
      <c r="J717" t="n">
        <v>0</v>
      </c>
      <c r="K717" t="n">
        <v>0</v>
      </c>
      <c r="L717" t="n">
        <v>0</v>
      </c>
      <c r="M717" t="n">
        <v>0</v>
      </c>
      <c r="N717" t="n">
        <v>0</v>
      </c>
      <c r="O717" t="n">
        <v>0</v>
      </c>
      <c r="P717" t="n">
        <v>0</v>
      </c>
      <c r="Q717" t="n">
        <v>0</v>
      </c>
      <c r="R717" s="2" t="inlineStr"/>
    </row>
    <row r="718" ht="15" customHeight="1">
      <c r="A718" t="inlineStr">
        <is>
          <t>A 18341-2022</t>
        </is>
      </c>
      <c r="B718" s="1" t="n">
        <v>44685</v>
      </c>
      <c r="C718" s="1" t="n">
        <v>45753</v>
      </c>
      <c r="D718" t="inlineStr">
        <is>
          <t>JÄMTLANDS LÄN</t>
        </is>
      </c>
      <c r="E718" t="inlineStr">
        <is>
          <t>RAGUNDA</t>
        </is>
      </c>
      <c r="G718" t="n">
        <v>0.2</v>
      </c>
      <c r="H718" t="n">
        <v>0</v>
      </c>
      <c r="I718" t="n">
        <v>0</v>
      </c>
      <c r="J718" t="n">
        <v>0</v>
      </c>
      <c r="K718" t="n">
        <v>0</v>
      </c>
      <c r="L718" t="n">
        <v>0</v>
      </c>
      <c r="M718" t="n">
        <v>0</v>
      </c>
      <c r="N718" t="n">
        <v>0</v>
      </c>
      <c r="O718" t="n">
        <v>0</v>
      </c>
      <c r="P718" t="n">
        <v>0</v>
      </c>
      <c r="Q718" t="n">
        <v>0</v>
      </c>
      <c r="R718" s="2" t="inlineStr"/>
    </row>
    <row r="719" ht="15" customHeight="1">
      <c r="A719" t="inlineStr">
        <is>
          <t>A 18375-2022</t>
        </is>
      </c>
      <c r="B719" s="1" t="n">
        <v>44685</v>
      </c>
      <c r="C719" s="1" t="n">
        <v>45753</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18548-2022</t>
        </is>
      </c>
      <c r="B720" s="1" t="n">
        <v>44687</v>
      </c>
      <c r="C720" s="1" t="n">
        <v>45753</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18974-2022</t>
        </is>
      </c>
      <c r="B721" s="1" t="n">
        <v>44690</v>
      </c>
      <c r="C721" s="1" t="n">
        <v>45753</v>
      </c>
      <c r="D721" t="inlineStr">
        <is>
          <t>JÄMTLANDS LÄN</t>
        </is>
      </c>
      <c r="E721" t="inlineStr">
        <is>
          <t>RAGUNDA</t>
        </is>
      </c>
      <c r="G721" t="n">
        <v>2.6</v>
      </c>
      <c r="H721" t="n">
        <v>0</v>
      </c>
      <c r="I721" t="n">
        <v>0</v>
      </c>
      <c r="J721" t="n">
        <v>0</v>
      </c>
      <c r="K721" t="n">
        <v>0</v>
      </c>
      <c r="L721" t="n">
        <v>0</v>
      </c>
      <c r="M721" t="n">
        <v>0</v>
      </c>
      <c r="N721" t="n">
        <v>0</v>
      </c>
      <c r="O721" t="n">
        <v>0</v>
      </c>
      <c r="P721" t="n">
        <v>0</v>
      </c>
      <c r="Q721" t="n">
        <v>0</v>
      </c>
      <c r="R721" s="2" t="inlineStr"/>
    </row>
    <row r="722" ht="15" customHeight="1">
      <c r="A722" t="inlineStr">
        <is>
          <t>A 18980-2022</t>
        </is>
      </c>
      <c r="B722" s="1" t="n">
        <v>44690</v>
      </c>
      <c r="C722" s="1" t="n">
        <v>45753</v>
      </c>
      <c r="D722" t="inlineStr">
        <is>
          <t>JÄMTLANDS LÄN</t>
        </is>
      </c>
      <c r="E722" t="inlineStr">
        <is>
          <t>RAGUNDA</t>
        </is>
      </c>
      <c r="G722" t="n">
        <v>3.9</v>
      </c>
      <c r="H722" t="n">
        <v>0</v>
      </c>
      <c r="I722" t="n">
        <v>0</v>
      </c>
      <c r="J722" t="n">
        <v>0</v>
      </c>
      <c r="K722" t="n">
        <v>0</v>
      </c>
      <c r="L722" t="n">
        <v>0</v>
      </c>
      <c r="M722" t="n">
        <v>0</v>
      </c>
      <c r="N722" t="n">
        <v>0</v>
      </c>
      <c r="O722" t="n">
        <v>0</v>
      </c>
      <c r="P722" t="n">
        <v>0</v>
      </c>
      <c r="Q722" t="n">
        <v>0</v>
      </c>
      <c r="R722" s="2" t="inlineStr"/>
    </row>
    <row r="723" ht="15" customHeight="1">
      <c r="A723" t="inlineStr">
        <is>
          <t>A 19005-2022</t>
        </is>
      </c>
      <c r="B723" s="1" t="n">
        <v>44690</v>
      </c>
      <c r="C723" s="1" t="n">
        <v>45753</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19011-2022</t>
        </is>
      </c>
      <c r="B724" s="1" t="n">
        <v>44690</v>
      </c>
      <c r="C724" s="1" t="n">
        <v>45753</v>
      </c>
      <c r="D724" t="inlineStr">
        <is>
          <t>JÄMTLANDS LÄN</t>
        </is>
      </c>
      <c r="E724" t="inlineStr">
        <is>
          <t>RAGUNDA</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19010-2022</t>
        </is>
      </c>
      <c r="B725" s="1" t="n">
        <v>44690</v>
      </c>
      <c r="C725" s="1" t="n">
        <v>45753</v>
      </c>
      <c r="D725" t="inlineStr">
        <is>
          <t>JÄMTLANDS LÄN</t>
        </is>
      </c>
      <c r="E725" t="inlineStr">
        <is>
          <t>RAGUNDA</t>
        </is>
      </c>
      <c r="F725" t="inlineStr">
        <is>
          <t>SCA</t>
        </is>
      </c>
      <c r="G725" t="n">
        <v>19.6</v>
      </c>
      <c r="H725" t="n">
        <v>0</v>
      </c>
      <c r="I725" t="n">
        <v>0</v>
      </c>
      <c r="J725" t="n">
        <v>0</v>
      </c>
      <c r="K725" t="n">
        <v>0</v>
      </c>
      <c r="L725" t="n">
        <v>0</v>
      </c>
      <c r="M725" t="n">
        <v>0</v>
      </c>
      <c r="N725" t="n">
        <v>0</v>
      </c>
      <c r="O725" t="n">
        <v>0</v>
      </c>
      <c r="P725" t="n">
        <v>0</v>
      </c>
      <c r="Q725" t="n">
        <v>0</v>
      </c>
      <c r="R725" s="2" t="inlineStr"/>
    </row>
    <row r="726" ht="15" customHeight="1">
      <c r="A726" t="inlineStr">
        <is>
          <t>A 19006-2022</t>
        </is>
      </c>
      <c r="B726" s="1" t="n">
        <v>44690</v>
      </c>
      <c r="C726" s="1" t="n">
        <v>45753</v>
      </c>
      <c r="D726" t="inlineStr">
        <is>
          <t>JÄMTLANDS LÄN</t>
        </is>
      </c>
      <c r="E726" t="inlineStr">
        <is>
          <t>RAGUNDA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19596-2022</t>
        </is>
      </c>
      <c r="B727" s="1" t="n">
        <v>44694</v>
      </c>
      <c r="C727" s="1" t="n">
        <v>45753</v>
      </c>
      <c r="D727" t="inlineStr">
        <is>
          <t>JÄMTLANDS LÄN</t>
        </is>
      </c>
      <c r="E727" t="inlineStr">
        <is>
          <t>RAGUNDA</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19801-2022</t>
        </is>
      </c>
      <c r="B728" s="1" t="n">
        <v>44695</v>
      </c>
      <c r="C728" s="1" t="n">
        <v>45753</v>
      </c>
      <c r="D728" t="inlineStr">
        <is>
          <t>JÄMTLANDS LÄN</t>
        </is>
      </c>
      <c r="E728" t="inlineStr">
        <is>
          <t>RAGUNDA</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19850-2022</t>
        </is>
      </c>
      <c r="B729" s="1" t="n">
        <v>44697</v>
      </c>
      <c r="C729" s="1" t="n">
        <v>45753</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20967-2022</t>
        </is>
      </c>
      <c r="B730" s="1" t="n">
        <v>44702</v>
      </c>
      <c r="C730" s="1" t="n">
        <v>45753</v>
      </c>
      <c r="D730" t="inlineStr">
        <is>
          <t>JÄMTLANDS LÄN</t>
        </is>
      </c>
      <c r="E730" t="inlineStr">
        <is>
          <t>RAGUNDA</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20961-2022</t>
        </is>
      </c>
      <c r="B731" s="1" t="n">
        <v>44702</v>
      </c>
      <c r="C731" s="1" t="n">
        <v>45753</v>
      </c>
      <c r="D731" t="inlineStr">
        <is>
          <t>JÄMTLANDS LÄN</t>
        </is>
      </c>
      <c r="E731" t="inlineStr">
        <is>
          <t>RAGUNDA</t>
        </is>
      </c>
      <c r="F731" t="inlineStr">
        <is>
          <t>SCA</t>
        </is>
      </c>
      <c r="G731" t="n">
        <v>9.4</v>
      </c>
      <c r="H731" t="n">
        <v>0</v>
      </c>
      <c r="I731" t="n">
        <v>0</v>
      </c>
      <c r="J731" t="n">
        <v>0</v>
      </c>
      <c r="K731" t="n">
        <v>0</v>
      </c>
      <c r="L731" t="n">
        <v>0</v>
      </c>
      <c r="M731" t="n">
        <v>0</v>
      </c>
      <c r="N731" t="n">
        <v>0</v>
      </c>
      <c r="O731" t="n">
        <v>0</v>
      </c>
      <c r="P731" t="n">
        <v>0</v>
      </c>
      <c r="Q731" t="n">
        <v>0</v>
      </c>
      <c r="R731" s="2" t="inlineStr"/>
    </row>
    <row r="732" ht="15" customHeight="1">
      <c r="A732" t="inlineStr">
        <is>
          <t>A 21194-2022</t>
        </is>
      </c>
      <c r="B732" s="1" t="n">
        <v>44705</v>
      </c>
      <c r="C732" s="1" t="n">
        <v>45753</v>
      </c>
      <c r="D732" t="inlineStr">
        <is>
          <t>JÄMTLANDS LÄN</t>
        </is>
      </c>
      <c r="E732" t="inlineStr">
        <is>
          <t>RAGUNDA</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21196-2022</t>
        </is>
      </c>
      <c r="B733" s="1" t="n">
        <v>44705</v>
      </c>
      <c r="C733" s="1" t="n">
        <v>45753</v>
      </c>
      <c r="D733" t="inlineStr">
        <is>
          <t>JÄMTLANDS LÄN</t>
        </is>
      </c>
      <c r="E733" t="inlineStr">
        <is>
          <t>RAGUNDA</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21195-2022</t>
        </is>
      </c>
      <c r="B734" s="1" t="n">
        <v>44705</v>
      </c>
      <c r="C734" s="1" t="n">
        <v>45753</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21193-2022</t>
        </is>
      </c>
      <c r="B735" s="1" t="n">
        <v>44705</v>
      </c>
      <c r="C735" s="1" t="n">
        <v>45753</v>
      </c>
      <c r="D735" t="inlineStr">
        <is>
          <t>JÄMTLANDS LÄN</t>
        </is>
      </c>
      <c r="E735" t="inlineStr">
        <is>
          <t>RAGUNDA</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21984-2022</t>
        </is>
      </c>
      <c r="B736" s="1" t="n">
        <v>44704</v>
      </c>
      <c r="C736" s="1" t="n">
        <v>45753</v>
      </c>
      <c r="D736" t="inlineStr">
        <is>
          <t>JÄMTLANDS LÄN</t>
        </is>
      </c>
      <c r="E736" t="inlineStr">
        <is>
          <t>RAGUNDA</t>
        </is>
      </c>
      <c r="G736" t="n">
        <v>0.5</v>
      </c>
      <c r="H736" t="n">
        <v>0</v>
      </c>
      <c r="I736" t="n">
        <v>0</v>
      </c>
      <c r="J736" t="n">
        <v>0</v>
      </c>
      <c r="K736" t="n">
        <v>0</v>
      </c>
      <c r="L736" t="n">
        <v>0</v>
      </c>
      <c r="M736" t="n">
        <v>0</v>
      </c>
      <c r="N736" t="n">
        <v>0</v>
      </c>
      <c r="O736" t="n">
        <v>0</v>
      </c>
      <c r="P736" t="n">
        <v>0</v>
      </c>
      <c r="Q736" t="n">
        <v>0</v>
      </c>
      <c r="R736" s="2" t="inlineStr"/>
    </row>
    <row r="737" ht="15" customHeight="1">
      <c r="A737" t="inlineStr">
        <is>
          <t>A 21413-2022</t>
        </is>
      </c>
      <c r="B737" s="1" t="n">
        <v>44705</v>
      </c>
      <c r="C737" s="1" t="n">
        <v>45753</v>
      </c>
      <c r="D737" t="inlineStr">
        <is>
          <t>JÄMTLANDS LÄN</t>
        </is>
      </c>
      <c r="E737" t="inlineStr">
        <is>
          <t>RAGUNDA</t>
        </is>
      </c>
      <c r="G737" t="n">
        <v>2.4</v>
      </c>
      <c r="H737" t="n">
        <v>0</v>
      </c>
      <c r="I737" t="n">
        <v>0</v>
      </c>
      <c r="J737" t="n">
        <v>0</v>
      </c>
      <c r="K737" t="n">
        <v>0</v>
      </c>
      <c r="L737" t="n">
        <v>0</v>
      </c>
      <c r="M737" t="n">
        <v>0</v>
      </c>
      <c r="N737" t="n">
        <v>0</v>
      </c>
      <c r="O737" t="n">
        <v>0</v>
      </c>
      <c r="P737" t="n">
        <v>0</v>
      </c>
      <c r="Q737" t="n">
        <v>0</v>
      </c>
      <c r="R737" s="2" t="inlineStr"/>
    </row>
    <row r="738" ht="15" customHeight="1">
      <c r="A738" t="inlineStr">
        <is>
          <t>A 21500-2022</t>
        </is>
      </c>
      <c r="B738" s="1" t="n">
        <v>44706</v>
      </c>
      <c r="C738" s="1" t="n">
        <v>45753</v>
      </c>
      <c r="D738" t="inlineStr">
        <is>
          <t>JÄMTLANDS LÄN</t>
        </is>
      </c>
      <c r="E738" t="inlineStr">
        <is>
          <t>RAGUNDA</t>
        </is>
      </c>
      <c r="G738" t="n">
        <v>1</v>
      </c>
      <c r="H738" t="n">
        <v>0</v>
      </c>
      <c r="I738" t="n">
        <v>0</v>
      </c>
      <c r="J738" t="n">
        <v>0</v>
      </c>
      <c r="K738" t="n">
        <v>0</v>
      </c>
      <c r="L738" t="n">
        <v>0</v>
      </c>
      <c r="M738" t="n">
        <v>0</v>
      </c>
      <c r="N738" t="n">
        <v>0</v>
      </c>
      <c r="O738" t="n">
        <v>0</v>
      </c>
      <c r="P738" t="n">
        <v>0</v>
      </c>
      <c r="Q738" t="n">
        <v>0</v>
      </c>
      <c r="R738" s="2" t="inlineStr"/>
    </row>
    <row r="739" ht="15" customHeight="1">
      <c r="A739" t="inlineStr">
        <is>
          <t>A 22329-2022</t>
        </is>
      </c>
      <c r="B739" s="1" t="n">
        <v>44713</v>
      </c>
      <c r="C739" s="1" t="n">
        <v>45753</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22327-2022</t>
        </is>
      </c>
      <c r="B740" s="1" t="n">
        <v>44713</v>
      </c>
      <c r="C740" s="1" t="n">
        <v>45753</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22686-2022</t>
        </is>
      </c>
      <c r="B741" s="1" t="n">
        <v>44714</v>
      </c>
      <c r="C741" s="1" t="n">
        <v>45753</v>
      </c>
      <c r="D741" t="inlineStr">
        <is>
          <t>JÄMTLANDS LÄN</t>
        </is>
      </c>
      <c r="E741" t="inlineStr">
        <is>
          <t>RAGUNDA</t>
        </is>
      </c>
      <c r="G741" t="n">
        <v>2.8</v>
      </c>
      <c r="H741" t="n">
        <v>0</v>
      </c>
      <c r="I741" t="n">
        <v>0</v>
      </c>
      <c r="J741" t="n">
        <v>0</v>
      </c>
      <c r="K741" t="n">
        <v>0</v>
      </c>
      <c r="L741" t="n">
        <v>0</v>
      </c>
      <c r="M741" t="n">
        <v>0</v>
      </c>
      <c r="N741" t="n">
        <v>0</v>
      </c>
      <c r="O741" t="n">
        <v>0</v>
      </c>
      <c r="P741" t="n">
        <v>0</v>
      </c>
      <c r="Q741" t="n">
        <v>0</v>
      </c>
      <c r="R741" s="2" t="inlineStr"/>
    </row>
    <row r="742" ht="15" customHeight="1">
      <c r="A742" t="inlineStr">
        <is>
          <t>A 22772-2022</t>
        </is>
      </c>
      <c r="B742" s="1" t="n">
        <v>44715</v>
      </c>
      <c r="C742" s="1" t="n">
        <v>45753</v>
      </c>
      <c r="D742" t="inlineStr">
        <is>
          <t>JÄMTLANDS LÄN</t>
        </is>
      </c>
      <c r="E742" t="inlineStr">
        <is>
          <t>RAGUNDA</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22695-2022</t>
        </is>
      </c>
      <c r="B743" s="1" t="n">
        <v>44714</v>
      </c>
      <c r="C743" s="1" t="n">
        <v>45753</v>
      </c>
      <c r="D743" t="inlineStr">
        <is>
          <t>JÄMTLANDS LÄN</t>
        </is>
      </c>
      <c r="E743" t="inlineStr">
        <is>
          <t>RAGUNDA</t>
        </is>
      </c>
      <c r="G743" t="n">
        <v>1.8</v>
      </c>
      <c r="H743" t="n">
        <v>0</v>
      </c>
      <c r="I743" t="n">
        <v>0</v>
      </c>
      <c r="J743" t="n">
        <v>0</v>
      </c>
      <c r="K743" t="n">
        <v>0</v>
      </c>
      <c r="L743" t="n">
        <v>0</v>
      </c>
      <c r="M743" t="n">
        <v>0</v>
      </c>
      <c r="N743" t="n">
        <v>0</v>
      </c>
      <c r="O743" t="n">
        <v>0</v>
      </c>
      <c r="P743" t="n">
        <v>0</v>
      </c>
      <c r="Q743" t="n">
        <v>0</v>
      </c>
      <c r="R743" s="2" t="inlineStr"/>
    </row>
    <row r="744" ht="15" customHeight="1">
      <c r="A744" t="inlineStr">
        <is>
          <t>A 22770-2022</t>
        </is>
      </c>
      <c r="B744" s="1" t="n">
        <v>44714</v>
      </c>
      <c r="C744" s="1" t="n">
        <v>45753</v>
      </c>
      <c r="D744" t="inlineStr">
        <is>
          <t>JÄMTLANDS LÄN</t>
        </is>
      </c>
      <c r="E744" t="inlineStr">
        <is>
          <t>RAGUNDA</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23668-2022</t>
        </is>
      </c>
      <c r="B745" s="1" t="n">
        <v>44722</v>
      </c>
      <c r="C745" s="1" t="n">
        <v>45753</v>
      </c>
      <c r="D745" t="inlineStr">
        <is>
          <t>JÄMTLANDS LÄN</t>
        </is>
      </c>
      <c r="E745" t="inlineStr">
        <is>
          <t>RAGUNDA</t>
        </is>
      </c>
      <c r="G745" t="n">
        <v>3.9</v>
      </c>
      <c r="H745" t="n">
        <v>0</v>
      </c>
      <c r="I745" t="n">
        <v>0</v>
      </c>
      <c r="J745" t="n">
        <v>0</v>
      </c>
      <c r="K745" t="n">
        <v>0</v>
      </c>
      <c r="L745" t="n">
        <v>0</v>
      </c>
      <c r="M745" t="n">
        <v>0</v>
      </c>
      <c r="N745" t="n">
        <v>0</v>
      </c>
      <c r="O745" t="n">
        <v>0</v>
      </c>
      <c r="P745" t="n">
        <v>0</v>
      </c>
      <c r="Q745" t="n">
        <v>0</v>
      </c>
      <c r="R745" s="2" t="inlineStr"/>
    </row>
    <row r="746" ht="15" customHeight="1">
      <c r="A746" t="inlineStr">
        <is>
          <t>A 24359-2022</t>
        </is>
      </c>
      <c r="B746" s="1" t="n">
        <v>44725</v>
      </c>
      <c r="C746" s="1" t="n">
        <v>45753</v>
      </c>
      <c r="D746" t="inlineStr">
        <is>
          <t>JÄMTLANDS LÄN</t>
        </is>
      </c>
      <c r="E746" t="inlineStr">
        <is>
          <t>RAGUNDA</t>
        </is>
      </c>
      <c r="G746" t="n">
        <v>11.4</v>
      </c>
      <c r="H746" t="n">
        <v>0</v>
      </c>
      <c r="I746" t="n">
        <v>0</v>
      </c>
      <c r="J746" t="n">
        <v>0</v>
      </c>
      <c r="K746" t="n">
        <v>0</v>
      </c>
      <c r="L746" t="n">
        <v>0</v>
      </c>
      <c r="M746" t="n">
        <v>0</v>
      </c>
      <c r="N746" t="n">
        <v>0</v>
      </c>
      <c r="O746" t="n">
        <v>0</v>
      </c>
      <c r="P746" t="n">
        <v>0</v>
      </c>
      <c r="Q746" t="n">
        <v>0</v>
      </c>
      <c r="R746" s="2" t="inlineStr"/>
    </row>
    <row r="747" ht="15" customHeight="1">
      <c r="A747" t="inlineStr">
        <is>
          <t>A 24720-2022</t>
        </is>
      </c>
      <c r="B747" s="1" t="n">
        <v>44728</v>
      </c>
      <c r="C747" s="1" t="n">
        <v>45753</v>
      </c>
      <c r="D747" t="inlineStr">
        <is>
          <t>JÄMTLANDS LÄN</t>
        </is>
      </c>
      <c r="E747" t="inlineStr">
        <is>
          <t>RAGUNDA</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24741-2022</t>
        </is>
      </c>
      <c r="B748" s="1" t="n">
        <v>44727</v>
      </c>
      <c r="C748" s="1" t="n">
        <v>45753</v>
      </c>
      <c r="D748" t="inlineStr">
        <is>
          <t>JÄMTLANDS LÄN</t>
        </is>
      </c>
      <c r="E748" t="inlineStr">
        <is>
          <t>RAGUNDA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25028-2022</t>
        </is>
      </c>
      <c r="B749" s="1" t="n">
        <v>44729</v>
      </c>
      <c r="C749" s="1" t="n">
        <v>45753</v>
      </c>
      <c r="D749" t="inlineStr">
        <is>
          <t>JÄMTLANDS LÄN</t>
        </is>
      </c>
      <c r="E749" t="inlineStr">
        <is>
          <t>RAGUNDA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25027-2022</t>
        </is>
      </c>
      <c r="B750" s="1" t="n">
        <v>44729</v>
      </c>
      <c r="C750" s="1" t="n">
        <v>45753</v>
      </c>
      <c r="D750" t="inlineStr">
        <is>
          <t>JÄMTLANDS LÄN</t>
        </is>
      </c>
      <c r="E750" t="inlineStr">
        <is>
          <t>RAGUNDA</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25253-2022</t>
        </is>
      </c>
      <c r="B751" s="1" t="n">
        <v>44730</v>
      </c>
      <c r="C751" s="1" t="n">
        <v>45753</v>
      </c>
      <c r="D751" t="inlineStr">
        <is>
          <t>JÄMTLANDS LÄN</t>
        </is>
      </c>
      <c r="E751" t="inlineStr">
        <is>
          <t>RAGUNDA</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25342-2022</t>
        </is>
      </c>
      <c r="B752" s="1" t="n">
        <v>44732</v>
      </c>
      <c r="C752" s="1" t="n">
        <v>45753</v>
      </c>
      <c r="D752" t="inlineStr">
        <is>
          <t>JÄMTLANDS LÄN</t>
        </is>
      </c>
      <c r="E752" t="inlineStr">
        <is>
          <t>RAGUNDA</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25433-2022</t>
        </is>
      </c>
      <c r="B753" s="1" t="n">
        <v>44732</v>
      </c>
      <c r="C753" s="1" t="n">
        <v>45753</v>
      </c>
      <c r="D753" t="inlineStr">
        <is>
          <t>JÄMTLANDS LÄN</t>
        </is>
      </c>
      <c r="E753" t="inlineStr">
        <is>
          <t>RAGUNDA</t>
        </is>
      </c>
      <c r="G753" t="n">
        <v>1.7</v>
      </c>
      <c r="H753" t="n">
        <v>0</v>
      </c>
      <c r="I753" t="n">
        <v>0</v>
      </c>
      <c r="J753" t="n">
        <v>0</v>
      </c>
      <c r="K753" t="n">
        <v>0</v>
      </c>
      <c r="L753" t="n">
        <v>0</v>
      </c>
      <c r="M753" t="n">
        <v>0</v>
      </c>
      <c r="N753" t="n">
        <v>0</v>
      </c>
      <c r="O753" t="n">
        <v>0</v>
      </c>
      <c r="P753" t="n">
        <v>0</v>
      </c>
      <c r="Q753" t="n">
        <v>0</v>
      </c>
      <c r="R753" s="2" t="inlineStr"/>
    </row>
    <row r="754" ht="15" customHeight="1">
      <c r="A754" t="inlineStr">
        <is>
          <t>A 25962-2022</t>
        </is>
      </c>
      <c r="B754" s="1" t="n">
        <v>44734</v>
      </c>
      <c r="C754" s="1" t="n">
        <v>45753</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26122-2022</t>
        </is>
      </c>
      <c r="B755" s="1" t="n">
        <v>44735</v>
      </c>
      <c r="C755" s="1" t="n">
        <v>45753</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26123-2022</t>
        </is>
      </c>
      <c r="B756" s="1" t="n">
        <v>44735</v>
      </c>
      <c r="C756" s="1" t="n">
        <v>45753</v>
      </c>
      <c r="D756" t="inlineStr">
        <is>
          <t>JÄMTLANDS LÄN</t>
        </is>
      </c>
      <c r="E756" t="inlineStr">
        <is>
          <t>RAGUNDA</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27291-2022</t>
        </is>
      </c>
      <c r="B757" s="1" t="n">
        <v>44742</v>
      </c>
      <c r="C757" s="1" t="n">
        <v>45753</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27302-2022</t>
        </is>
      </c>
      <c r="B758" s="1" t="n">
        <v>44741</v>
      </c>
      <c r="C758" s="1" t="n">
        <v>45753</v>
      </c>
      <c r="D758" t="inlineStr">
        <is>
          <t>JÄMTLANDS LÄN</t>
        </is>
      </c>
      <c r="E758" t="inlineStr">
        <is>
          <t>RAGUNDA</t>
        </is>
      </c>
      <c r="G758" t="n">
        <v>1.6</v>
      </c>
      <c r="H758" t="n">
        <v>0</v>
      </c>
      <c r="I758" t="n">
        <v>0</v>
      </c>
      <c r="J758" t="n">
        <v>0</v>
      </c>
      <c r="K758" t="n">
        <v>0</v>
      </c>
      <c r="L758" t="n">
        <v>0</v>
      </c>
      <c r="M758" t="n">
        <v>0</v>
      </c>
      <c r="N758" t="n">
        <v>0</v>
      </c>
      <c r="O758" t="n">
        <v>0</v>
      </c>
      <c r="P758" t="n">
        <v>0</v>
      </c>
      <c r="Q758" t="n">
        <v>0</v>
      </c>
      <c r="R758" s="2" t="inlineStr"/>
    </row>
    <row r="759" ht="15" customHeight="1">
      <c r="A759" t="inlineStr">
        <is>
          <t>A 27292-2022</t>
        </is>
      </c>
      <c r="B759" s="1" t="n">
        <v>44742</v>
      </c>
      <c r="C759" s="1" t="n">
        <v>45753</v>
      </c>
      <c r="D759" t="inlineStr">
        <is>
          <t>JÄMTLANDS LÄN</t>
        </is>
      </c>
      <c r="E759" t="inlineStr">
        <is>
          <t>RAGUNDA</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27777-2022</t>
        </is>
      </c>
      <c r="B760" s="1" t="n">
        <v>44743</v>
      </c>
      <c r="C760" s="1" t="n">
        <v>45753</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27939-2022</t>
        </is>
      </c>
      <c r="B761" s="1" t="n">
        <v>44744</v>
      </c>
      <c r="C761" s="1" t="n">
        <v>45753</v>
      </c>
      <c r="D761" t="inlineStr">
        <is>
          <t>JÄMTLANDS LÄN</t>
        </is>
      </c>
      <c r="E761" t="inlineStr">
        <is>
          <t>RAGUNDA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28081-2022</t>
        </is>
      </c>
      <c r="B762" s="1" t="n">
        <v>44746</v>
      </c>
      <c r="C762" s="1" t="n">
        <v>45753</v>
      </c>
      <c r="D762" t="inlineStr">
        <is>
          <t>JÄMTLANDS LÄN</t>
        </is>
      </c>
      <c r="E762" t="inlineStr">
        <is>
          <t>RAGUNDA</t>
        </is>
      </c>
      <c r="G762" t="n">
        <v>7</v>
      </c>
      <c r="H762" t="n">
        <v>0</v>
      </c>
      <c r="I762" t="n">
        <v>0</v>
      </c>
      <c r="J762" t="n">
        <v>0</v>
      </c>
      <c r="K762" t="n">
        <v>0</v>
      </c>
      <c r="L762" t="n">
        <v>0</v>
      </c>
      <c r="M762" t="n">
        <v>0</v>
      </c>
      <c r="N762" t="n">
        <v>0</v>
      </c>
      <c r="O762" t="n">
        <v>0</v>
      </c>
      <c r="P762" t="n">
        <v>0</v>
      </c>
      <c r="Q762" t="n">
        <v>0</v>
      </c>
      <c r="R762" s="2" t="inlineStr"/>
    </row>
    <row r="763" ht="15" customHeight="1">
      <c r="A763" t="inlineStr">
        <is>
          <t>A 28283-2022</t>
        </is>
      </c>
      <c r="B763" s="1" t="n">
        <v>44746</v>
      </c>
      <c r="C763" s="1" t="n">
        <v>45753</v>
      </c>
      <c r="D763" t="inlineStr">
        <is>
          <t>JÄMTLANDS LÄN</t>
        </is>
      </c>
      <c r="E763" t="inlineStr">
        <is>
          <t>RAGUNDA</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28277-2022</t>
        </is>
      </c>
      <c r="B764" s="1" t="n">
        <v>44747</v>
      </c>
      <c r="C764" s="1" t="n">
        <v>45753</v>
      </c>
      <c r="D764" t="inlineStr">
        <is>
          <t>JÄMTLANDS LÄN</t>
        </is>
      </c>
      <c r="E764" t="inlineStr">
        <is>
          <t>RAGUNDA</t>
        </is>
      </c>
      <c r="G764" t="n">
        <v>4</v>
      </c>
      <c r="H764" t="n">
        <v>0</v>
      </c>
      <c r="I764" t="n">
        <v>0</v>
      </c>
      <c r="J764" t="n">
        <v>0</v>
      </c>
      <c r="K764" t="n">
        <v>0</v>
      </c>
      <c r="L764" t="n">
        <v>0</v>
      </c>
      <c r="M764" t="n">
        <v>0</v>
      </c>
      <c r="N764" t="n">
        <v>0</v>
      </c>
      <c r="O764" t="n">
        <v>0</v>
      </c>
      <c r="P764" t="n">
        <v>0</v>
      </c>
      <c r="Q764" t="n">
        <v>0</v>
      </c>
      <c r="R764" s="2" t="inlineStr"/>
    </row>
    <row r="765" ht="15" customHeight="1">
      <c r="A765" t="inlineStr">
        <is>
          <t>A 28292-2022</t>
        </is>
      </c>
      <c r="B765" s="1" t="n">
        <v>44747</v>
      </c>
      <c r="C765" s="1" t="n">
        <v>45753</v>
      </c>
      <c r="D765" t="inlineStr">
        <is>
          <t>JÄMTLANDS LÄN</t>
        </is>
      </c>
      <c r="E765" t="inlineStr">
        <is>
          <t>RAGUNDA</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28737-2022</t>
        </is>
      </c>
      <c r="B766" s="1" t="n">
        <v>44749</v>
      </c>
      <c r="C766" s="1" t="n">
        <v>45753</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29537-2022</t>
        </is>
      </c>
      <c r="B767" s="1" t="n">
        <v>44754</v>
      </c>
      <c r="C767" s="1" t="n">
        <v>45753</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30609-2022</t>
        </is>
      </c>
      <c r="B768" s="1" t="n">
        <v>44761</v>
      </c>
      <c r="C768" s="1" t="n">
        <v>45753</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c r="U768">
        <f>HYPERLINK("https://klasma.github.io/Logging_2303/knärot/A 30609-2022 karta knärot.png", "A 30609-2022")</f>
        <v/>
      </c>
      <c r="V768">
        <f>HYPERLINK("https://klasma.github.io/Logging_2303/klagomål/A 30609-2022 FSC-klagomål.docx", "A 30609-2022")</f>
        <v/>
      </c>
      <c r="W768">
        <f>HYPERLINK("https://klasma.github.io/Logging_2303/klagomålsmail/A 30609-2022 FSC-klagomål mail.docx", "A 30609-2022")</f>
        <v/>
      </c>
      <c r="X768">
        <f>HYPERLINK("https://klasma.github.io/Logging_2303/tillsyn/A 30609-2022 tillsynsbegäran.docx", "A 30609-2022")</f>
        <v/>
      </c>
      <c r="Y768">
        <f>HYPERLINK("https://klasma.github.io/Logging_2303/tillsynsmail/A 30609-2022 tillsynsbegäran mail.docx", "A 30609-2022")</f>
        <v/>
      </c>
    </row>
    <row r="769" ht="15" customHeight="1">
      <c r="A769" t="inlineStr">
        <is>
          <t>A 30931-2022</t>
        </is>
      </c>
      <c r="B769" s="1" t="n">
        <v>44768</v>
      </c>
      <c r="C769" s="1" t="n">
        <v>45753</v>
      </c>
      <c r="D769" t="inlineStr">
        <is>
          <t>JÄMTLANDS LÄN</t>
        </is>
      </c>
      <c r="E769" t="inlineStr">
        <is>
          <t>RAGUNDA</t>
        </is>
      </c>
      <c r="G769" t="n">
        <v>6</v>
      </c>
      <c r="H769" t="n">
        <v>0</v>
      </c>
      <c r="I769" t="n">
        <v>0</v>
      </c>
      <c r="J769" t="n">
        <v>0</v>
      </c>
      <c r="K769" t="n">
        <v>0</v>
      </c>
      <c r="L769" t="n">
        <v>0</v>
      </c>
      <c r="M769" t="n">
        <v>0</v>
      </c>
      <c r="N769" t="n">
        <v>0</v>
      </c>
      <c r="O769" t="n">
        <v>0</v>
      </c>
      <c r="P769" t="n">
        <v>0</v>
      </c>
      <c r="Q769" t="n">
        <v>0</v>
      </c>
      <c r="R769" s="2" t="inlineStr"/>
    </row>
    <row r="770" ht="15" customHeight="1">
      <c r="A770" t="inlineStr">
        <is>
          <t>A 31436-2022</t>
        </is>
      </c>
      <c r="B770" s="1" t="n">
        <v>44774</v>
      </c>
      <c r="C770" s="1" t="n">
        <v>45753</v>
      </c>
      <c r="D770" t="inlineStr">
        <is>
          <t>JÄMTLANDS LÄN</t>
        </is>
      </c>
      <c r="E770" t="inlineStr">
        <is>
          <t>RAGUNDA</t>
        </is>
      </c>
      <c r="G770" t="n">
        <v>2</v>
      </c>
      <c r="H770" t="n">
        <v>0</v>
      </c>
      <c r="I770" t="n">
        <v>0</v>
      </c>
      <c r="J770" t="n">
        <v>0</v>
      </c>
      <c r="K770" t="n">
        <v>0</v>
      </c>
      <c r="L770" t="n">
        <v>0</v>
      </c>
      <c r="M770" t="n">
        <v>0</v>
      </c>
      <c r="N770" t="n">
        <v>0</v>
      </c>
      <c r="O770" t="n">
        <v>0</v>
      </c>
      <c r="P770" t="n">
        <v>0</v>
      </c>
      <c r="Q770" t="n">
        <v>0</v>
      </c>
      <c r="R770" s="2" t="inlineStr"/>
    </row>
    <row r="771" ht="15" customHeight="1">
      <c r="A771" t="inlineStr">
        <is>
          <t>A 31484-2022</t>
        </is>
      </c>
      <c r="B771" s="1" t="n">
        <v>44775</v>
      </c>
      <c r="C771" s="1" t="n">
        <v>45753</v>
      </c>
      <c r="D771" t="inlineStr">
        <is>
          <t>JÄMTLANDS LÄN</t>
        </is>
      </c>
      <c r="E771" t="inlineStr">
        <is>
          <t>RAGUNDA</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31435-2022</t>
        </is>
      </c>
      <c r="B772" s="1" t="n">
        <v>44774</v>
      </c>
      <c r="C772" s="1" t="n">
        <v>45753</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31854-2022</t>
        </is>
      </c>
      <c r="B773" s="1" t="n">
        <v>44776</v>
      </c>
      <c r="C773" s="1" t="n">
        <v>45753</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31841-2022</t>
        </is>
      </c>
      <c r="B774" s="1" t="n">
        <v>44776</v>
      </c>
      <c r="C774" s="1" t="n">
        <v>45753</v>
      </c>
      <c r="D774" t="inlineStr">
        <is>
          <t>JÄMTLANDS LÄN</t>
        </is>
      </c>
      <c r="E774" t="inlineStr">
        <is>
          <t>RAGUNDA</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31970-2022</t>
        </is>
      </c>
      <c r="B775" s="1" t="n">
        <v>44777</v>
      </c>
      <c r="C775" s="1" t="n">
        <v>45753</v>
      </c>
      <c r="D775" t="inlineStr">
        <is>
          <t>JÄMTLANDS LÄN</t>
        </is>
      </c>
      <c r="E775" t="inlineStr">
        <is>
          <t>RAGUNDA</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31972-2022</t>
        </is>
      </c>
      <c r="B776" s="1" t="n">
        <v>44778</v>
      </c>
      <c r="C776" s="1" t="n">
        <v>45753</v>
      </c>
      <c r="D776" t="inlineStr">
        <is>
          <t>JÄMTLANDS LÄN</t>
        </is>
      </c>
      <c r="E776" t="inlineStr">
        <is>
          <t>RAGUNDA</t>
        </is>
      </c>
      <c r="F776" t="inlineStr">
        <is>
          <t>Naturvårdsverket</t>
        </is>
      </c>
      <c r="G776" t="n">
        <v>0.8</v>
      </c>
      <c r="H776" t="n">
        <v>0</v>
      </c>
      <c r="I776" t="n">
        <v>0</v>
      </c>
      <c r="J776" t="n">
        <v>0</v>
      </c>
      <c r="K776" t="n">
        <v>0</v>
      </c>
      <c r="L776" t="n">
        <v>0</v>
      </c>
      <c r="M776" t="n">
        <v>0</v>
      </c>
      <c r="N776" t="n">
        <v>0</v>
      </c>
      <c r="O776" t="n">
        <v>0</v>
      </c>
      <c r="P776" t="n">
        <v>0</v>
      </c>
      <c r="Q776" t="n">
        <v>0</v>
      </c>
      <c r="R776" s="2" t="inlineStr"/>
    </row>
    <row r="777" ht="15" customHeight="1">
      <c r="A777" t="inlineStr">
        <is>
          <t>A 32135-2022</t>
        </is>
      </c>
      <c r="B777" s="1" t="n">
        <v>44778</v>
      </c>
      <c r="C777" s="1" t="n">
        <v>45753</v>
      </c>
      <c r="D777" t="inlineStr">
        <is>
          <t>JÄMTLANDS LÄN</t>
        </is>
      </c>
      <c r="E777" t="inlineStr">
        <is>
          <t>RAGUNDA</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32288-2022</t>
        </is>
      </c>
      <c r="B778" s="1" t="n">
        <v>44781</v>
      </c>
      <c r="C778" s="1" t="n">
        <v>45753</v>
      </c>
      <c r="D778" t="inlineStr">
        <is>
          <t>JÄMTLANDS LÄN</t>
        </is>
      </c>
      <c r="E778" t="inlineStr">
        <is>
          <t>RAGUNDA</t>
        </is>
      </c>
      <c r="G778" t="n">
        <v>0.8</v>
      </c>
      <c r="H778" t="n">
        <v>0</v>
      </c>
      <c r="I778" t="n">
        <v>0</v>
      </c>
      <c r="J778" t="n">
        <v>0</v>
      </c>
      <c r="K778" t="n">
        <v>0</v>
      </c>
      <c r="L778" t="n">
        <v>0</v>
      </c>
      <c r="M778" t="n">
        <v>0</v>
      </c>
      <c r="N778" t="n">
        <v>0</v>
      </c>
      <c r="O778" t="n">
        <v>0</v>
      </c>
      <c r="P778" t="n">
        <v>0</v>
      </c>
      <c r="Q778" t="n">
        <v>0</v>
      </c>
      <c r="R778" s="2" t="inlineStr"/>
    </row>
    <row r="779" ht="15" customHeight="1">
      <c r="A779" t="inlineStr">
        <is>
          <t>A 32526-2022</t>
        </is>
      </c>
      <c r="B779" s="1" t="n">
        <v>44782</v>
      </c>
      <c r="C779" s="1" t="n">
        <v>45753</v>
      </c>
      <c r="D779" t="inlineStr">
        <is>
          <t>JÄMTLANDS LÄN</t>
        </is>
      </c>
      <c r="E779" t="inlineStr">
        <is>
          <t>RAGUNDA</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32780-2022</t>
        </is>
      </c>
      <c r="B780" s="1" t="n">
        <v>44783</v>
      </c>
      <c r="C780" s="1" t="n">
        <v>45753</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32979-2022</t>
        </is>
      </c>
      <c r="B781" s="1" t="n">
        <v>44785</v>
      </c>
      <c r="C781" s="1" t="n">
        <v>45753</v>
      </c>
      <c r="D781" t="inlineStr">
        <is>
          <t>JÄMTLANDS LÄN</t>
        </is>
      </c>
      <c r="E781" t="inlineStr">
        <is>
          <t>RAGUNDA</t>
        </is>
      </c>
      <c r="F781" t="inlineStr">
        <is>
          <t>SCA</t>
        </is>
      </c>
      <c r="G781" t="n">
        <v>4.3</v>
      </c>
      <c r="H781" t="n">
        <v>0</v>
      </c>
      <c r="I781" t="n">
        <v>0</v>
      </c>
      <c r="J781" t="n">
        <v>0</v>
      </c>
      <c r="K781" t="n">
        <v>0</v>
      </c>
      <c r="L781" t="n">
        <v>0</v>
      </c>
      <c r="M781" t="n">
        <v>0</v>
      </c>
      <c r="N781" t="n">
        <v>0</v>
      </c>
      <c r="O781" t="n">
        <v>0</v>
      </c>
      <c r="P781" t="n">
        <v>0</v>
      </c>
      <c r="Q781" t="n">
        <v>0</v>
      </c>
      <c r="R781" s="2" t="inlineStr"/>
    </row>
    <row r="782" ht="15" customHeight="1">
      <c r="A782" t="inlineStr">
        <is>
          <t>A 32986-2022</t>
        </is>
      </c>
      <c r="B782" s="1" t="n">
        <v>44785</v>
      </c>
      <c r="C782" s="1" t="n">
        <v>45753</v>
      </c>
      <c r="D782" t="inlineStr">
        <is>
          <t>JÄMTLANDS LÄN</t>
        </is>
      </c>
      <c r="E782" t="inlineStr">
        <is>
          <t>RAGUNDA</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33218-2022</t>
        </is>
      </c>
      <c r="B783" s="1" t="n">
        <v>44786</v>
      </c>
      <c r="C783" s="1" t="n">
        <v>45753</v>
      </c>
      <c r="D783" t="inlineStr">
        <is>
          <t>JÄMTLANDS LÄN</t>
        </is>
      </c>
      <c r="E783" t="inlineStr">
        <is>
          <t>RAGUNDA</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33278-2022</t>
        </is>
      </c>
      <c r="B784" s="1" t="n">
        <v>44788</v>
      </c>
      <c r="C784" s="1" t="n">
        <v>45753</v>
      </c>
      <c r="D784" t="inlineStr">
        <is>
          <t>JÄMTLANDS LÄN</t>
        </is>
      </c>
      <c r="E784" t="inlineStr">
        <is>
          <t>RAGUNDA</t>
        </is>
      </c>
      <c r="G784" t="n">
        <v>3.2</v>
      </c>
      <c r="H784" t="n">
        <v>0</v>
      </c>
      <c r="I784" t="n">
        <v>0</v>
      </c>
      <c r="J784" t="n">
        <v>0</v>
      </c>
      <c r="K784" t="n">
        <v>0</v>
      </c>
      <c r="L784" t="n">
        <v>0</v>
      </c>
      <c r="M784" t="n">
        <v>0</v>
      </c>
      <c r="N784" t="n">
        <v>0</v>
      </c>
      <c r="O784" t="n">
        <v>0</v>
      </c>
      <c r="P784" t="n">
        <v>0</v>
      </c>
      <c r="Q784" t="n">
        <v>0</v>
      </c>
      <c r="R784" s="2" t="inlineStr"/>
    </row>
    <row r="785" ht="15" customHeight="1">
      <c r="A785" t="inlineStr">
        <is>
          <t>A 33279-2022</t>
        </is>
      </c>
      <c r="B785" s="1" t="n">
        <v>44788</v>
      </c>
      <c r="C785" s="1" t="n">
        <v>45753</v>
      </c>
      <c r="D785" t="inlineStr">
        <is>
          <t>JÄMTLANDS LÄN</t>
        </is>
      </c>
      <c r="E785" t="inlineStr">
        <is>
          <t>RAGUNDA</t>
        </is>
      </c>
      <c r="G785" t="n">
        <v>17</v>
      </c>
      <c r="H785" t="n">
        <v>0</v>
      </c>
      <c r="I785" t="n">
        <v>0</v>
      </c>
      <c r="J785" t="n">
        <v>0</v>
      </c>
      <c r="K785" t="n">
        <v>0</v>
      </c>
      <c r="L785" t="n">
        <v>0</v>
      </c>
      <c r="M785" t="n">
        <v>0</v>
      </c>
      <c r="N785" t="n">
        <v>0</v>
      </c>
      <c r="O785" t="n">
        <v>0</v>
      </c>
      <c r="P785" t="n">
        <v>0</v>
      </c>
      <c r="Q785" t="n">
        <v>0</v>
      </c>
      <c r="R785" s="2" t="inlineStr"/>
    </row>
    <row r="786" ht="15" customHeight="1">
      <c r="A786" t="inlineStr">
        <is>
          <t>A 35018-2022</t>
        </is>
      </c>
      <c r="B786" s="1" t="n">
        <v>44797</v>
      </c>
      <c r="C786" s="1" t="n">
        <v>45753</v>
      </c>
      <c r="D786" t="inlineStr">
        <is>
          <t>JÄMTLANDS LÄN</t>
        </is>
      </c>
      <c r="E786" t="inlineStr">
        <is>
          <t>RAGUNDA</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35235-2022</t>
        </is>
      </c>
      <c r="B787" s="1" t="n">
        <v>44797</v>
      </c>
      <c r="C787" s="1" t="n">
        <v>45753</v>
      </c>
      <c r="D787" t="inlineStr">
        <is>
          <t>JÄMTLANDS LÄN</t>
        </is>
      </c>
      <c r="E787" t="inlineStr">
        <is>
          <t>RAGUNDA</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35495-2022</t>
        </is>
      </c>
      <c r="B788" s="1" t="n">
        <v>44798</v>
      </c>
      <c r="C788" s="1" t="n">
        <v>45753</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35492-2022</t>
        </is>
      </c>
      <c r="B789" s="1" t="n">
        <v>44799</v>
      </c>
      <c r="C789" s="1" t="n">
        <v>45753</v>
      </c>
      <c r="D789" t="inlineStr">
        <is>
          <t>JÄMTLANDS LÄN</t>
        </is>
      </c>
      <c r="E789" t="inlineStr">
        <is>
          <t>RAGUNDA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35757-2022</t>
        </is>
      </c>
      <c r="B790" s="1" t="n">
        <v>44799</v>
      </c>
      <c r="C790" s="1" t="n">
        <v>45753</v>
      </c>
      <c r="D790" t="inlineStr">
        <is>
          <t>JÄMTLANDS LÄN</t>
        </is>
      </c>
      <c r="E790" t="inlineStr">
        <is>
          <t>RAGUNDA</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35749-2022</t>
        </is>
      </c>
      <c r="B791" s="1" t="n">
        <v>44800</v>
      </c>
      <c r="C791" s="1" t="n">
        <v>45753</v>
      </c>
      <c r="D791" t="inlineStr">
        <is>
          <t>JÄMTLANDS LÄN</t>
        </is>
      </c>
      <c r="E791" t="inlineStr">
        <is>
          <t>RAGUNDA</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35998-2022</t>
        </is>
      </c>
      <c r="B792" s="1" t="n">
        <v>44802</v>
      </c>
      <c r="C792" s="1" t="n">
        <v>45753</v>
      </c>
      <c r="D792" t="inlineStr">
        <is>
          <t>JÄMTLANDS LÄN</t>
        </is>
      </c>
      <c r="E792" t="inlineStr">
        <is>
          <t>RAGUNDA</t>
        </is>
      </c>
      <c r="G792" t="n">
        <v>25.4</v>
      </c>
      <c r="H792" t="n">
        <v>0</v>
      </c>
      <c r="I792" t="n">
        <v>0</v>
      </c>
      <c r="J792" t="n">
        <v>0</v>
      </c>
      <c r="K792" t="n">
        <v>0</v>
      </c>
      <c r="L792" t="n">
        <v>0</v>
      </c>
      <c r="M792" t="n">
        <v>0</v>
      </c>
      <c r="N792" t="n">
        <v>0</v>
      </c>
      <c r="O792" t="n">
        <v>0</v>
      </c>
      <c r="P792" t="n">
        <v>0</v>
      </c>
      <c r="Q792" t="n">
        <v>0</v>
      </c>
      <c r="R792" s="2" t="inlineStr"/>
    </row>
    <row r="793" ht="15" customHeight="1">
      <c r="A793" t="inlineStr">
        <is>
          <t>A 36084-2022</t>
        </is>
      </c>
      <c r="B793" s="1" t="n">
        <v>44802</v>
      </c>
      <c r="C793" s="1" t="n">
        <v>45753</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36106-2022</t>
        </is>
      </c>
      <c r="B794" s="1" t="n">
        <v>44803</v>
      </c>
      <c r="C794" s="1" t="n">
        <v>45753</v>
      </c>
      <c r="D794" t="inlineStr">
        <is>
          <t>JÄMTLANDS LÄN</t>
        </is>
      </c>
      <c r="E794" t="inlineStr">
        <is>
          <t>RAGUNDA</t>
        </is>
      </c>
      <c r="F794" t="inlineStr">
        <is>
          <t>SCA</t>
        </is>
      </c>
      <c r="G794" t="n">
        <v>7.3</v>
      </c>
      <c r="H794" t="n">
        <v>0</v>
      </c>
      <c r="I794" t="n">
        <v>0</v>
      </c>
      <c r="J794" t="n">
        <v>0</v>
      </c>
      <c r="K794" t="n">
        <v>0</v>
      </c>
      <c r="L794" t="n">
        <v>0</v>
      </c>
      <c r="M794" t="n">
        <v>0</v>
      </c>
      <c r="N794" t="n">
        <v>0</v>
      </c>
      <c r="O794" t="n">
        <v>0</v>
      </c>
      <c r="P794" t="n">
        <v>0</v>
      </c>
      <c r="Q794" t="n">
        <v>0</v>
      </c>
      <c r="R794" s="2" t="inlineStr"/>
    </row>
    <row r="795" ht="15" customHeight="1">
      <c r="A795" t="inlineStr">
        <is>
          <t>A 36375-2022</t>
        </is>
      </c>
      <c r="B795" s="1" t="n">
        <v>44804</v>
      </c>
      <c r="C795" s="1" t="n">
        <v>45753</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36612-2022</t>
        </is>
      </c>
      <c r="B796" s="1" t="n">
        <v>44804</v>
      </c>
      <c r="C796" s="1" t="n">
        <v>45753</v>
      </c>
      <c r="D796" t="inlineStr">
        <is>
          <t>JÄMTLANDS LÄN</t>
        </is>
      </c>
      <c r="E796" t="inlineStr">
        <is>
          <t>RAGUNDA</t>
        </is>
      </c>
      <c r="G796" t="n">
        <v>2.1</v>
      </c>
      <c r="H796" t="n">
        <v>0</v>
      </c>
      <c r="I796" t="n">
        <v>0</v>
      </c>
      <c r="J796" t="n">
        <v>0</v>
      </c>
      <c r="K796" t="n">
        <v>0</v>
      </c>
      <c r="L796" t="n">
        <v>0</v>
      </c>
      <c r="M796" t="n">
        <v>0</v>
      </c>
      <c r="N796" t="n">
        <v>0</v>
      </c>
      <c r="O796" t="n">
        <v>0</v>
      </c>
      <c r="P796" t="n">
        <v>0</v>
      </c>
      <c r="Q796" t="n">
        <v>0</v>
      </c>
      <c r="R796" s="2" t="inlineStr"/>
    </row>
    <row r="797" ht="15" customHeight="1">
      <c r="A797" t="inlineStr">
        <is>
          <t>A 36692-2022</t>
        </is>
      </c>
      <c r="B797" s="1" t="n">
        <v>44804</v>
      </c>
      <c r="C797" s="1" t="n">
        <v>45753</v>
      </c>
      <c r="D797" t="inlineStr">
        <is>
          <t>JÄMTLANDS LÄN</t>
        </is>
      </c>
      <c r="E797" t="inlineStr">
        <is>
          <t>RAGUNDA</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36696-2022</t>
        </is>
      </c>
      <c r="B798" s="1" t="n">
        <v>44805</v>
      </c>
      <c r="C798" s="1" t="n">
        <v>45753</v>
      </c>
      <c r="D798" t="inlineStr">
        <is>
          <t>JÄMTLANDS LÄN</t>
        </is>
      </c>
      <c r="E798" t="inlineStr">
        <is>
          <t>RAGUNDA</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36922-2022</t>
        </is>
      </c>
      <c r="B799" s="1" t="n">
        <v>44806</v>
      </c>
      <c r="C799" s="1" t="n">
        <v>45753</v>
      </c>
      <c r="D799" t="inlineStr">
        <is>
          <t>JÄMTLANDS LÄN</t>
        </is>
      </c>
      <c r="E799" t="inlineStr">
        <is>
          <t>RAGUNDA</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36941-2022</t>
        </is>
      </c>
      <c r="B800" s="1" t="n">
        <v>44805</v>
      </c>
      <c r="C800" s="1" t="n">
        <v>45753</v>
      </c>
      <c r="D800" t="inlineStr">
        <is>
          <t>JÄMTLANDS LÄN</t>
        </is>
      </c>
      <c r="E800" t="inlineStr">
        <is>
          <t>RAGUNDA</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37324-2022</t>
        </is>
      </c>
      <c r="B801" s="1" t="n">
        <v>44806</v>
      </c>
      <c r="C801" s="1" t="n">
        <v>45753</v>
      </c>
      <c r="D801" t="inlineStr">
        <is>
          <t>JÄMTLANDS LÄN</t>
        </is>
      </c>
      <c r="E801" t="inlineStr">
        <is>
          <t>RAGUNDA</t>
        </is>
      </c>
      <c r="G801" t="n">
        <v>2.3</v>
      </c>
      <c r="H801" t="n">
        <v>0</v>
      </c>
      <c r="I801" t="n">
        <v>0</v>
      </c>
      <c r="J801" t="n">
        <v>0</v>
      </c>
      <c r="K801" t="n">
        <v>0</v>
      </c>
      <c r="L801" t="n">
        <v>0</v>
      </c>
      <c r="M801" t="n">
        <v>0</v>
      </c>
      <c r="N801" t="n">
        <v>0</v>
      </c>
      <c r="O801" t="n">
        <v>0</v>
      </c>
      <c r="P801" t="n">
        <v>0</v>
      </c>
      <c r="Q801" t="n">
        <v>0</v>
      </c>
      <c r="R801" s="2" t="inlineStr"/>
    </row>
    <row r="802" ht="15" customHeight="1">
      <c r="A802" t="inlineStr">
        <is>
          <t>A 38426-2022</t>
        </is>
      </c>
      <c r="B802" s="1" t="n">
        <v>44812</v>
      </c>
      <c r="C802" s="1" t="n">
        <v>45753</v>
      </c>
      <c r="D802" t="inlineStr">
        <is>
          <t>JÄMTLANDS LÄN</t>
        </is>
      </c>
      <c r="E802" t="inlineStr">
        <is>
          <t>RAGUNDA</t>
        </is>
      </c>
      <c r="F802" t="inlineStr">
        <is>
          <t>SCA</t>
        </is>
      </c>
      <c r="G802" t="n">
        <v>11.3</v>
      </c>
      <c r="H802" t="n">
        <v>0</v>
      </c>
      <c r="I802" t="n">
        <v>0</v>
      </c>
      <c r="J802" t="n">
        <v>0</v>
      </c>
      <c r="K802" t="n">
        <v>0</v>
      </c>
      <c r="L802" t="n">
        <v>0</v>
      </c>
      <c r="M802" t="n">
        <v>0</v>
      </c>
      <c r="N802" t="n">
        <v>0</v>
      </c>
      <c r="O802" t="n">
        <v>0</v>
      </c>
      <c r="P802" t="n">
        <v>0</v>
      </c>
      <c r="Q802" t="n">
        <v>0</v>
      </c>
      <c r="R802" s="2" t="inlineStr"/>
    </row>
    <row r="803" ht="15" customHeight="1">
      <c r="A803" t="inlineStr">
        <is>
          <t>A 38425-2022</t>
        </is>
      </c>
      <c r="B803" s="1" t="n">
        <v>44813</v>
      </c>
      <c r="C803" s="1" t="n">
        <v>45753</v>
      </c>
      <c r="D803" t="inlineStr">
        <is>
          <t>JÄMTLANDS LÄN</t>
        </is>
      </c>
      <c r="E803" t="inlineStr">
        <is>
          <t>RAGUNDA</t>
        </is>
      </c>
      <c r="F803" t="inlineStr">
        <is>
          <t>SCA</t>
        </is>
      </c>
      <c r="G803" t="n">
        <v>6.1</v>
      </c>
      <c r="H803" t="n">
        <v>0</v>
      </c>
      <c r="I803" t="n">
        <v>0</v>
      </c>
      <c r="J803" t="n">
        <v>0</v>
      </c>
      <c r="K803" t="n">
        <v>0</v>
      </c>
      <c r="L803" t="n">
        <v>0</v>
      </c>
      <c r="M803" t="n">
        <v>0</v>
      </c>
      <c r="N803" t="n">
        <v>0</v>
      </c>
      <c r="O803" t="n">
        <v>0</v>
      </c>
      <c r="P803" t="n">
        <v>0</v>
      </c>
      <c r="Q803" t="n">
        <v>0</v>
      </c>
      <c r="R803" s="2" t="inlineStr"/>
    </row>
    <row r="804" ht="15" customHeight="1">
      <c r="A804" t="inlineStr">
        <is>
          <t>A 38683-2022</t>
        </is>
      </c>
      <c r="B804" s="1" t="n">
        <v>44813</v>
      </c>
      <c r="C804" s="1" t="n">
        <v>45753</v>
      </c>
      <c r="D804" t="inlineStr">
        <is>
          <t>JÄMTLANDS LÄN</t>
        </is>
      </c>
      <c r="E804" t="inlineStr">
        <is>
          <t>RAGUNDA</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38664-2022</t>
        </is>
      </c>
      <c r="B805" s="1" t="n">
        <v>44813</v>
      </c>
      <c r="C805" s="1" t="n">
        <v>45753</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38733-2022</t>
        </is>
      </c>
      <c r="B806" s="1" t="n">
        <v>44815</v>
      </c>
      <c r="C806" s="1" t="n">
        <v>45753</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39003-2022</t>
        </is>
      </c>
      <c r="B807" s="1" t="n">
        <v>44817</v>
      </c>
      <c r="C807" s="1" t="n">
        <v>45753</v>
      </c>
      <c r="D807" t="inlineStr">
        <is>
          <t>JÄMTLANDS LÄN</t>
        </is>
      </c>
      <c r="E807" t="inlineStr">
        <is>
          <t>RAGUNDA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39011-2022</t>
        </is>
      </c>
      <c r="B808" s="1" t="n">
        <v>44816</v>
      </c>
      <c r="C808" s="1" t="n">
        <v>45753</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39004-2022</t>
        </is>
      </c>
      <c r="B809" s="1" t="n">
        <v>44816</v>
      </c>
      <c r="C809" s="1" t="n">
        <v>45753</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39402-2022</t>
        </is>
      </c>
      <c r="B810" s="1" t="n">
        <v>44818</v>
      </c>
      <c r="C810" s="1" t="n">
        <v>45753</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39408-2022</t>
        </is>
      </c>
      <c r="B811" s="1" t="n">
        <v>44817</v>
      </c>
      <c r="C811" s="1" t="n">
        <v>45753</v>
      </c>
      <c r="D811" t="inlineStr">
        <is>
          <t>JÄMTLANDS LÄN</t>
        </is>
      </c>
      <c r="E811" t="inlineStr">
        <is>
          <t>RAGUNDA</t>
        </is>
      </c>
      <c r="F811" t="inlineStr">
        <is>
          <t>SCA</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39693-2022</t>
        </is>
      </c>
      <c r="B812" s="1" t="n">
        <v>44819</v>
      </c>
      <c r="C812" s="1" t="n">
        <v>45753</v>
      </c>
      <c r="D812" t="inlineStr">
        <is>
          <t>JÄMTLANDS LÄN</t>
        </is>
      </c>
      <c r="E812" t="inlineStr">
        <is>
          <t>RAGUNDA</t>
        </is>
      </c>
      <c r="F812" t="inlineStr">
        <is>
          <t>SCA</t>
        </is>
      </c>
      <c r="G812" t="n">
        <v>0.3</v>
      </c>
      <c r="H812" t="n">
        <v>0</v>
      </c>
      <c r="I812" t="n">
        <v>0</v>
      </c>
      <c r="J812" t="n">
        <v>0</v>
      </c>
      <c r="K812" t="n">
        <v>0</v>
      </c>
      <c r="L812" t="n">
        <v>0</v>
      </c>
      <c r="M812" t="n">
        <v>0</v>
      </c>
      <c r="N812" t="n">
        <v>0</v>
      </c>
      <c r="O812" t="n">
        <v>0</v>
      </c>
      <c r="P812" t="n">
        <v>0</v>
      </c>
      <c r="Q812" t="n">
        <v>0</v>
      </c>
      <c r="R812" s="2" t="inlineStr"/>
    </row>
    <row r="813" ht="15" customHeight="1">
      <c r="A813" t="inlineStr">
        <is>
          <t>A 40200-2022</t>
        </is>
      </c>
      <c r="B813" s="1" t="n">
        <v>44818</v>
      </c>
      <c r="C813" s="1" t="n">
        <v>45753</v>
      </c>
      <c r="D813" t="inlineStr">
        <is>
          <t>JÄMTLANDS LÄN</t>
        </is>
      </c>
      <c r="E813" t="inlineStr">
        <is>
          <t>RAGUNDA</t>
        </is>
      </c>
      <c r="G813" t="n">
        <v>1.8</v>
      </c>
      <c r="H813" t="n">
        <v>0</v>
      </c>
      <c r="I813" t="n">
        <v>0</v>
      </c>
      <c r="J813" t="n">
        <v>0</v>
      </c>
      <c r="K813" t="n">
        <v>0</v>
      </c>
      <c r="L813" t="n">
        <v>0</v>
      </c>
      <c r="M813" t="n">
        <v>0</v>
      </c>
      <c r="N813" t="n">
        <v>0</v>
      </c>
      <c r="O813" t="n">
        <v>0</v>
      </c>
      <c r="P813" t="n">
        <v>0</v>
      </c>
      <c r="Q813" t="n">
        <v>0</v>
      </c>
      <c r="R813" s="2" t="inlineStr"/>
    </row>
    <row r="814" ht="15" customHeight="1">
      <c r="A814" t="inlineStr">
        <is>
          <t>A 39698-2022</t>
        </is>
      </c>
      <c r="B814" s="1" t="n">
        <v>44818</v>
      </c>
      <c r="C814" s="1" t="n">
        <v>45753</v>
      </c>
      <c r="D814" t="inlineStr">
        <is>
          <t>JÄMTLANDS LÄN</t>
        </is>
      </c>
      <c r="E814" t="inlineStr">
        <is>
          <t>RAGUNDA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40265-2022</t>
        </is>
      </c>
      <c r="B815" s="1" t="n">
        <v>44821</v>
      </c>
      <c r="C815" s="1" t="n">
        <v>45753</v>
      </c>
      <c r="D815" t="inlineStr">
        <is>
          <t>JÄMTLANDS LÄN</t>
        </is>
      </c>
      <c r="E815" t="inlineStr">
        <is>
          <t>RAGUNDA</t>
        </is>
      </c>
      <c r="G815" t="n">
        <v>3.7</v>
      </c>
      <c r="H815" t="n">
        <v>0</v>
      </c>
      <c r="I815" t="n">
        <v>0</v>
      </c>
      <c r="J815" t="n">
        <v>0</v>
      </c>
      <c r="K815" t="n">
        <v>0</v>
      </c>
      <c r="L815" t="n">
        <v>0</v>
      </c>
      <c r="M815" t="n">
        <v>0</v>
      </c>
      <c r="N815" t="n">
        <v>0</v>
      </c>
      <c r="O815" t="n">
        <v>0</v>
      </c>
      <c r="P815" t="n">
        <v>0</v>
      </c>
      <c r="Q815" t="n">
        <v>0</v>
      </c>
      <c r="R815" s="2" t="inlineStr"/>
    </row>
    <row r="816" ht="15" customHeight="1">
      <c r="A816" t="inlineStr">
        <is>
          <t>A 40269-2022</t>
        </is>
      </c>
      <c r="B816" s="1" t="n">
        <v>44820</v>
      </c>
      <c r="C816" s="1" t="n">
        <v>45753</v>
      </c>
      <c r="D816" t="inlineStr">
        <is>
          <t>JÄMTLANDS LÄN</t>
        </is>
      </c>
      <c r="E816" t="inlineStr">
        <is>
          <t>RAGUNDA</t>
        </is>
      </c>
      <c r="F816" t="inlineStr">
        <is>
          <t>SCA</t>
        </is>
      </c>
      <c r="G816" t="n">
        <v>77.8</v>
      </c>
      <c r="H816" t="n">
        <v>0</v>
      </c>
      <c r="I816" t="n">
        <v>0</v>
      </c>
      <c r="J816" t="n">
        <v>0</v>
      </c>
      <c r="K816" t="n">
        <v>0</v>
      </c>
      <c r="L816" t="n">
        <v>0</v>
      </c>
      <c r="M816" t="n">
        <v>0</v>
      </c>
      <c r="N816" t="n">
        <v>0</v>
      </c>
      <c r="O816" t="n">
        <v>0</v>
      </c>
      <c r="P816" t="n">
        <v>0</v>
      </c>
      <c r="Q816" t="n">
        <v>0</v>
      </c>
      <c r="R816" s="2" t="inlineStr"/>
    </row>
    <row r="817" ht="15" customHeight="1">
      <c r="A817" t="inlineStr">
        <is>
          <t>A 40267-2022</t>
        </is>
      </c>
      <c r="B817" s="1" t="n">
        <v>44820</v>
      </c>
      <c r="C817" s="1" t="n">
        <v>45753</v>
      </c>
      <c r="D817" t="inlineStr">
        <is>
          <t>JÄMTLANDS LÄN</t>
        </is>
      </c>
      <c r="E817" t="inlineStr">
        <is>
          <t>RAGUNDA</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40266-2022</t>
        </is>
      </c>
      <c r="B818" s="1" t="n">
        <v>44820</v>
      </c>
      <c r="C818" s="1" t="n">
        <v>45753</v>
      </c>
      <c r="D818" t="inlineStr">
        <is>
          <t>JÄMTLANDS LÄN</t>
        </is>
      </c>
      <c r="E818" t="inlineStr">
        <is>
          <t>RAGUNDA</t>
        </is>
      </c>
      <c r="F818" t="inlineStr">
        <is>
          <t>SCA</t>
        </is>
      </c>
      <c r="G818" t="n">
        <v>9</v>
      </c>
      <c r="H818" t="n">
        <v>0</v>
      </c>
      <c r="I818" t="n">
        <v>0</v>
      </c>
      <c r="J818" t="n">
        <v>0</v>
      </c>
      <c r="K818" t="n">
        <v>0</v>
      </c>
      <c r="L818" t="n">
        <v>0</v>
      </c>
      <c r="M818" t="n">
        <v>0</v>
      </c>
      <c r="N818" t="n">
        <v>0</v>
      </c>
      <c r="O818" t="n">
        <v>0</v>
      </c>
      <c r="P818" t="n">
        <v>0</v>
      </c>
      <c r="Q818" t="n">
        <v>0</v>
      </c>
      <c r="R818" s="2" t="inlineStr"/>
    </row>
    <row r="819" ht="15" customHeight="1">
      <c r="A819" t="inlineStr">
        <is>
          <t>A 40951-2022</t>
        </is>
      </c>
      <c r="B819" s="1" t="n">
        <v>44820</v>
      </c>
      <c r="C819" s="1" t="n">
        <v>45753</v>
      </c>
      <c r="D819" t="inlineStr">
        <is>
          <t>JÄMTLANDS LÄN</t>
        </is>
      </c>
      <c r="E819" t="inlineStr">
        <is>
          <t>RAGUNDA</t>
        </is>
      </c>
      <c r="G819" t="n">
        <v>3</v>
      </c>
      <c r="H819" t="n">
        <v>0</v>
      </c>
      <c r="I819" t="n">
        <v>0</v>
      </c>
      <c r="J819" t="n">
        <v>0</v>
      </c>
      <c r="K819" t="n">
        <v>0</v>
      </c>
      <c r="L819" t="n">
        <v>0</v>
      </c>
      <c r="M819" t="n">
        <v>0</v>
      </c>
      <c r="N819" t="n">
        <v>0</v>
      </c>
      <c r="O819" t="n">
        <v>0</v>
      </c>
      <c r="P819" t="n">
        <v>0</v>
      </c>
      <c r="Q819" t="n">
        <v>0</v>
      </c>
      <c r="R819" s="2" t="inlineStr"/>
    </row>
    <row r="820" ht="15" customHeight="1">
      <c r="A820" t="inlineStr">
        <is>
          <t>A 40436-2022</t>
        </is>
      </c>
      <c r="B820" s="1" t="n">
        <v>44823</v>
      </c>
      <c r="C820" s="1" t="n">
        <v>45753</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40612-2022</t>
        </is>
      </c>
      <c r="B821" s="1" t="n">
        <v>44824</v>
      </c>
      <c r="C821" s="1" t="n">
        <v>45753</v>
      </c>
      <c r="D821" t="inlineStr">
        <is>
          <t>JÄMTLANDS LÄN</t>
        </is>
      </c>
      <c r="E821" t="inlineStr">
        <is>
          <t>RAGUNDA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40978-2022</t>
        </is>
      </c>
      <c r="B822" s="1" t="n">
        <v>44823</v>
      </c>
      <c r="C822" s="1" t="n">
        <v>45753</v>
      </c>
      <c r="D822" t="inlineStr">
        <is>
          <t>JÄMTLANDS LÄN</t>
        </is>
      </c>
      <c r="E822" t="inlineStr">
        <is>
          <t>RAGUNDA</t>
        </is>
      </c>
      <c r="G822" t="n">
        <v>1.5</v>
      </c>
      <c r="H822" t="n">
        <v>0</v>
      </c>
      <c r="I822" t="n">
        <v>0</v>
      </c>
      <c r="J822" t="n">
        <v>0</v>
      </c>
      <c r="K822" t="n">
        <v>0</v>
      </c>
      <c r="L822" t="n">
        <v>0</v>
      </c>
      <c r="M822" t="n">
        <v>0</v>
      </c>
      <c r="N822" t="n">
        <v>0</v>
      </c>
      <c r="O822" t="n">
        <v>0</v>
      </c>
      <c r="P822" t="n">
        <v>0</v>
      </c>
      <c r="Q822" t="n">
        <v>0</v>
      </c>
      <c r="R822" s="2" t="inlineStr"/>
    </row>
    <row r="823" ht="15" customHeight="1">
      <c r="A823" t="inlineStr">
        <is>
          <t>A 40829-2022</t>
        </is>
      </c>
      <c r="B823" s="1" t="n">
        <v>44825</v>
      </c>
      <c r="C823" s="1" t="n">
        <v>45753</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41180-2022</t>
        </is>
      </c>
      <c r="B824" s="1" t="n">
        <v>44825</v>
      </c>
      <c r="C824" s="1" t="n">
        <v>45753</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41179-2022</t>
        </is>
      </c>
      <c r="B825" s="1" t="n">
        <v>44825</v>
      </c>
      <c r="C825" s="1" t="n">
        <v>45753</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42267-2022</t>
        </is>
      </c>
      <c r="B826" s="1" t="n">
        <v>44830</v>
      </c>
      <c r="C826" s="1" t="n">
        <v>45753</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42266-2022</t>
        </is>
      </c>
      <c r="B827" s="1" t="n">
        <v>44831</v>
      </c>
      <c r="C827" s="1" t="n">
        <v>45753</v>
      </c>
      <c r="D827" t="inlineStr">
        <is>
          <t>JÄMTLANDS LÄN</t>
        </is>
      </c>
      <c r="E827" t="inlineStr">
        <is>
          <t>RAGUNDA</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42652-2022</t>
        </is>
      </c>
      <c r="B828" s="1" t="n">
        <v>44832</v>
      </c>
      <c r="C828" s="1" t="n">
        <v>45753</v>
      </c>
      <c r="D828" t="inlineStr">
        <is>
          <t>JÄMTLANDS LÄN</t>
        </is>
      </c>
      <c r="E828" t="inlineStr">
        <is>
          <t>RAGUNDA</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42644-2022</t>
        </is>
      </c>
      <c r="B829" s="1" t="n">
        <v>44831</v>
      </c>
      <c r="C829" s="1" t="n">
        <v>45753</v>
      </c>
      <c r="D829" t="inlineStr">
        <is>
          <t>JÄMTLANDS LÄN</t>
        </is>
      </c>
      <c r="E829" t="inlineStr">
        <is>
          <t>RAGUNDA</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42655-2022</t>
        </is>
      </c>
      <c r="B830" s="1" t="n">
        <v>44831</v>
      </c>
      <c r="C830" s="1" t="n">
        <v>45753</v>
      </c>
      <c r="D830" t="inlineStr">
        <is>
          <t>JÄMTLANDS LÄN</t>
        </is>
      </c>
      <c r="E830" t="inlineStr">
        <is>
          <t>RAGUNDA</t>
        </is>
      </c>
      <c r="F830" t="inlineStr">
        <is>
          <t>Naturvårdsverket</t>
        </is>
      </c>
      <c r="G830" t="n">
        <v>2</v>
      </c>
      <c r="H830" t="n">
        <v>0</v>
      </c>
      <c r="I830" t="n">
        <v>0</v>
      </c>
      <c r="J830" t="n">
        <v>0</v>
      </c>
      <c r="K830" t="n">
        <v>0</v>
      </c>
      <c r="L830" t="n">
        <v>0</v>
      </c>
      <c r="M830" t="n">
        <v>0</v>
      </c>
      <c r="N830" t="n">
        <v>0</v>
      </c>
      <c r="O830" t="n">
        <v>0</v>
      </c>
      <c r="P830" t="n">
        <v>0</v>
      </c>
      <c r="Q830" t="n">
        <v>0</v>
      </c>
      <c r="R830" s="2" t="inlineStr"/>
    </row>
    <row r="831" ht="15" customHeight="1">
      <c r="A831" t="inlineStr">
        <is>
          <t>A 42653-2022</t>
        </is>
      </c>
      <c r="B831" s="1" t="n">
        <v>44832</v>
      </c>
      <c r="C831" s="1" t="n">
        <v>45753</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42882-2022</t>
        </is>
      </c>
      <c r="B832" s="1" t="n">
        <v>44833</v>
      </c>
      <c r="C832" s="1" t="n">
        <v>45753</v>
      </c>
      <c r="D832" t="inlineStr">
        <is>
          <t>JÄMTLANDS LÄN</t>
        </is>
      </c>
      <c r="E832" t="inlineStr">
        <is>
          <t>RAGUNDA</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42892-2022</t>
        </is>
      </c>
      <c r="B833" s="1" t="n">
        <v>44832</v>
      </c>
      <c r="C833" s="1" t="n">
        <v>45753</v>
      </c>
      <c r="D833" t="inlineStr">
        <is>
          <t>JÄMTLANDS LÄN</t>
        </is>
      </c>
      <c r="E833" t="inlineStr">
        <is>
          <t>RAGUNDA</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42893-2022</t>
        </is>
      </c>
      <c r="B834" s="1" t="n">
        <v>44832</v>
      </c>
      <c r="C834" s="1" t="n">
        <v>45753</v>
      </c>
      <c r="D834" t="inlineStr">
        <is>
          <t>JÄMTLANDS LÄN</t>
        </is>
      </c>
      <c r="E834" t="inlineStr">
        <is>
          <t>RAGUNDA</t>
        </is>
      </c>
      <c r="F834" t="inlineStr">
        <is>
          <t>SCA</t>
        </is>
      </c>
      <c r="G834" t="n">
        <v>28.4</v>
      </c>
      <c r="H834" t="n">
        <v>0</v>
      </c>
      <c r="I834" t="n">
        <v>0</v>
      </c>
      <c r="J834" t="n">
        <v>0</v>
      </c>
      <c r="K834" t="n">
        <v>0</v>
      </c>
      <c r="L834" t="n">
        <v>0</v>
      </c>
      <c r="M834" t="n">
        <v>0</v>
      </c>
      <c r="N834" t="n">
        <v>0</v>
      </c>
      <c r="O834" t="n">
        <v>0</v>
      </c>
      <c r="P834" t="n">
        <v>0</v>
      </c>
      <c r="Q834" t="n">
        <v>0</v>
      </c>
      <c r="R834" s="2" t="inlineStr"/>
    </row>
    <row r="835" ht="15" customHeight="1">
      <c r="A835" t="inlineStr">
        <is>
          <t>A 42900-2022</t>
        </is>
      </c>
      <c r="B835" s="1" t="n">
        <v>44833</v>
      </c>
      <c r="C835" s="1" t="n">
        <v>45753</v>
      </c>
      <c r="D835" t="inlineStr">
        <is>
          <t>JÄMTLANDS LÄN</t>
        </is>
      </c>
      <c r="E835" t="inlineStr">
        <is>
          <t>RAGUNDA</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42901-2022</t>
        </is>
      </c>
      <c r="B836" s="1" t="n">
        <v>44832</v>
      </c>
      <c r="C836" s="1" t="n">
        <v>45753</v>
      </c>
      <c r="D836" t="inlineStr">
        <is>
          <t>JÄMTLANDS LÄN</t>
        </is>
      </c>
      <c r="E836" t="inlineStr">
        <is>
          <t>RAGUNDA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43147-2022</t>
        </is>
      </c>
      <c r="B837" s="1" t="n">
        <v>44834</v>
      </c>
      <c r="C837" s="1" t="n">
        <v>45753</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43163-2022</t>
        </is>
      </c>
      <c r="B838" s="1" t="n">
        <v>44834</v>
      </c>
      <c r="C838" s="1" t="n">
        <v>45753</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43478-2022</t>
        </is>
      </c>
      <c r="B839" s="1" t="n">
        <v>44837</v>
      </c>
      <c r="C839" s="1" t="n">
        <v>45753</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43793-2022</t>
        </is>
      </c>
      <c r="B840" s="1" t="n">
        <v>44837</v>
      </c>
      <c r="C840" s="1" t="n">
        <v>45753</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43794-2022</t>
        </is>
      </c>
      <c r="B841" s="1" t="n">
        <v>44837</v>
      </c>
      <c r="C841" s="1" t="n">
        <v>45753</v>
      </c>
      <c r="D841" t="inlineStr">
        <is>
          <t>JÄMTLANDS LÄN</t>
        </is>
      </c>
      <c r="E841" t="inlineStr">
        <is>
          <t>RAGUNDA</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44050-2022</t>
        </is>
      </c>
      <c r="B842" s="1" t="n">
        <v>44838</v>
      </c>
      <c r="C842" s="1" t="n">
        <v>45753</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44536-2022</t>
        </is>
      </c>
      <c r="B843" s="1" t="n">
        <v>44839</v>
      </c>
      <c r="C843" s="1" t="n">
        <v>45753</v>
      </c>
      <c r="D843" t="inlineStr">
        <is>
          <t>JÄMTLANDS LÄN</t>
        </is>
      </c>
      <c r="E843" t="inlineStr">
        <is>
          <t>RAGUNDA</t>
        </is>
      </c>
      <c r="G843" t="n">
        <v>4</v>
      </c>
      <c r="H843" t="n">
        <v>0</v>
      </c>
      <c r="I843" t="n">
        <v>0</v>
      </c>
      <c r="J843" t="n">
        <v>0</v>
      </c>
      <c r="K843" t="n">
        <v>0</v>
      </c>
      <c r="L843" t="n">
        <v>0</v>
      </c>
      <c r="M843" t="n">
        <v>0</v>
      </c>
      <c r="N843" t="n">
        <v>0</v>
      </c>
      <c r="O843" t="n">
        <v>0</v>
      </c>
      <c r="P843" t="n">
        <v>0</v>
      </c>
      <c r="Q843" t="n">
        <v>0</v>
      </c>
      <c r="R843" s="2" t="inlineStr"/>
    </row>
    <row r="844" ht="15" customHeight="1">
      <c r="A844" t="inlineStr">
        <is>
          <t>A 44600-2022</t>
        </is>
      </c>
      <c r="B844" s="1" t="n">
        <v>44839</v>
      </c>
      <c r="C844" s="1" t="n">
        <v>45753</v>
      </c>
      <c r="D844" t="inlineStr">
        <is>
          <t>JÄMTLANDS LÄN</t>
        </is>
      </c>
      <c r="E844" t="inlineStr">
        <is>
          <t>RAGUNDA</t>
        </is>
      </c>
      <c r="G844" t="n">
        <v>1.6</v>
      </c>
      <c r="H844" t="n">
        <v>0</v>
      </c>
      <c r="I844" t="n">
        <v>0</v>
      </c>
      <c r="J844" t="n">
        <v>0</v>
      </c>
      <c r="K844" t="n">
        <v>0</v>
      </c>
      <c r="L844" t="n">
        <v>0</v>
      </c>
      <c r="M844" t="n">
        <v>0</v>
      </c>
      <c r="N844" t="n">
        <v>0</v>
      </c>
      <c r="O844" t="n">
        <v>0</v>
      </c>
      <c r="P844" t="n">
        <v>0</v>
      </c>
      <c r="Q844" t="n">
        <v>0</v>
      </c>
      <c r="R844" s="2" t="inlineStr"/>
    </row>
    <row r="845" ht="15" customHeight="1">
      <c r="A845" t="inlineStr">
        <is>
          <t>A 44767-2022</t>
        </is>
      </c>
      <c r="B845" s="1" t="n">
        <v>44840</v>
      </c>
      <c r="C845" s="1" t="n">
        <v>45753</v>
      </c>
      <c r="D845" t="inlineStr">
        <is>
          <t>JÄMTLANDS LÄN</t>
        </is>
      </c>
      <c r="E845" t="inlineStr">
        <is>
          <t>RAGUNDA</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44766-2022</t>
        </is>
      </c>
      <c r="B846" s="1" t="n">
        <v>44841</v>
      </c>
      <c r="C846" s="1" t="n">
        <v>45753</v>
      </c>
      <c r="D846" t="inlineStr">
        <is>
          <t>JÄMTLANDS LÄN</t>
        </is>
      </c>
      <c r="E846" t="inlineStr">
        <is>
          <t>RAGUNDA</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45437-2022</t>
        </is>
      </c>
      <c r="B847" s="1" t="n">
        <v>44844</v>
      </c>
      <c r="C847" s="1" t="n">
        <v>45753</v>
      </c>
      <c r="D847" t="inlineStr">
        <is>
          <t>JÄMTLANDS LÄN</t>
        </is>
      </c>
      <c r="E847" t="inlineStr">
        <is>
          <t>RAGUNDA</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45438-2022</t>
        </is>
      </c>
      <c r="B848" s="1" t="n">
        <v>44845</v>
      </c>
      <c r="C848" s="1" t="n">
        <v>45753</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45708-2022</t>
        </is>
      </c>
      <c r="B849" s="1" t="n">
        <v>44846</v>
      </c>
      <c r="C849" s="1" t="n">
        <v>45753</v>
      </c>
      <c r="D849" t="inlineStr">
        <is>
          <t>JÄMTLANDS LÄN</t>
        </is>
      </c>
      <c r="E849" t="inlineStr">
        <is>
          <t>RAGUNDA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45712-2022</t>
        </is>
      </c>
      <c r="B850" s="1" t="n">
        <v>44845</v>
      </c>
      <c r="C850" s="1" t="n">
        <v>45753</v>
      </c>
      <c r="D850" t="inlineStr">
        <is>
          <t>JÄMTLANDS LÄN</t>
        </is>
      </c>
      <c r="E850" t="inlineStr">
        <is>
          <t>RAGUNDA</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45710-2022</t>
        </is>
      </c>
      <c r="B851" s="1" t="n">
        <v>44845</v>
      </c>
      <c r="C851" s="1" t="n">
        <v>45753</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45718-2022</t>
        </is>
      </c>
      <c r="B852" s="1" t="n">
        <v>44845</v>
      </c>
      <c r="C852" s="1" t="n">
        <v>45753</v>
      </c>
      <c r="D852" t="inlineStr">
        <is>
          <t>JÄMTLANDS LÄN</t>
        </is>
      </c>
      <c r="E852" t="inlineStr">
        <is>
          <t>RAGUNDA</t>
        </is>
      </c>
      <c r="F852" t="inlineStr">
        <is>
          <t>SCA</t>
        </is>
      </c>
      <c r="G852" t="n">
        <v>19.3</v>
      </c>
      <c r="H852" t="n">
        <v>0</v>
      </c>
      <c r="I852" t="n">
        <v>0</v>
      </c>
      <c r="J852" t="n">
        <v>0</v>
      </c>
      <c r="K852" t="n">
        <v>0</v>
      </c>
      <c r="L852" t="n">
        <v>0</v>
      </c>
      <c r="M852" t="n">
        <v>0</v>
      </c>
      <c r="N852" t="n">
        <v>0</v>
      </c>
      <c r="O852" t="n">
        <v>0</v>
      </c>
      <c r="P852" t="n">
        <v>0</v>
      </c>
      <c r="Q852" t="n">
        <v>0</v>
      </c>
      <c r="R852" s="2" t="inlineStr"/>
    </row>
    <row r="853" ht="15" customHeight="1">
      <c r="A853" t="inlineStr">
        <is>
          <t>A 45715-2022</t>
        </is>
      </c>
      <c r="B853" s="1" t="n">
        <v>44845</v>
      </c>
      <c r="C853" s="1" t="n">
        <v>45753</v>
      </c>
      <c r="D853" t="inlineStr">
        <is>
          <t>JÄMTLANDS LÄN</t>
        </is>
      </c>
      <c r="E853" t="inlineStr">
        <is>
          <t>RAGUNDA</t>
        </is>
      </c>
      <c r="F853" t="inlineStr">
        <is>
          <t>SCA</t>
        </is>
      </c>
      <c r="G853" t="n">
        <v>8.6</v>
      </c>
      <c r="H853" t="n">
        <v>0</v>
      </c>
      <c r="I853" t="n">
        <v>0</v>
      </c>
      <c r="J853" t="n">
        <v>0</v>
      </c>
      <c r="K853" t="n">
        <v>0</v>
      </c>
      <c r="L853" t="n">
        <v>0</v>
      </c>
      <c r="M853" t="n">
        <v>0</v>
      </c>
      <c r="N853" t="n">
        <v>0</v>
      </c>
      <c r="O853" t="n">
        <v>0</v>
      </c>
      <c r="P853" t="n">
        <v>0</v>
      </c>
      <c r="Q853" t="n">
        <v>0</v>
      </c>
      <c r="R853" s="2" t="inlineStr"/>
    </row>
    <row r="854" ht="15" customHeight="1">
      <c r="A854" t="inlineStr">
        <is>
          <t>A 46047-2022</t>
        </is>
      </c>
      <c r="B854" s="1" t="n">
        <v>44847</v>
      </c>
      <c r="C854" s="1" t="n">
        <v>45753</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46040-2022</t>
        </is>
      </c>
      <c r="B855" s="1" t="n">
        <v>44847</v>
      </c>
      <c r="C855" s="1" t="n">
        <v>45753</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46050-2022</t>
        </is>
      </c>
      <c r="B856" s="1" t="n">
        <v>44846</v>
      </c>
      <c r="C856" s="1" t="n">
        <v>45753</v>
      </c>
      <c r="D856" t="inlineStr">
        <is>
          <t>JÄMTLANDS LÄN</t>
        </is>
      </c>
      <c r="E856" t="inlineStr">
        <is>
          <t>RAGUNDA</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46049-2022</t>
        </is>
      </c>
      <c r="B857" s="1" t="n">
        <v>44847</v>
      </c>
      <c r="C857" s="1" t="n">
        <v>45753</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46048-2022</t>
        </is>
      </c>
      <c r="B858" s="1" t="n">
        <v>44846</v>
      </c>
      <c r="C858" s="1" t="n">
        <v>45753</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46991-2022</t>
        </is>
      </c>
      <c r="B859" s="1" t="n">
        <v>44852</v>
      </c>
      <c r="C859" s="1" t="n">
        <v>45753</v>
      </c>
      <c r="D859" t="inlineStr">
        <is>
          <t>JÄMTLANDS LÄN</t>
        </is>
      </c>
      <c r="E859" t="inlineStr">
        <is>
          <t>RAGUNDA</t>
        </is>
      </c>
      <c r="F859" t="inlineStr">
        <is>
          <t>SCA</t>
        </is>
      </c>
      <c r="G859" t="n">
        <v>17.3</v>
      </c>
      <c r="H859" t="n">
        <v>0</v>
      </c>
      <c r="I859" t="n">
        <v>0</v>
      </c>
      <c r="J859" t="n">
        <v>0</v>
      </c>
      <c r="K859" t="n">
        <v>0</v>
      </c>
      <c r="L859" t="n">
        <v>0</v>
      </c>
      <c r="M859" t="n">
        <v>0</v>
      </c>
      <c r="N859" t="n">
        <v>0</v>
      </c>
      <c r="O859" t="n">
        <v>0</v>
      </c>
      <c r="P859" t="n">
        <v>0</v>
      </c>
      <c r="Q859" t="n">
        <v>0</v>
      </c>
      <c r="R859" s="2" t="inlineStr"/>
    </row>
    <row r="860" ht="15" customHeight="1">
      <c r="A860" t="inlineStr">
        <is>
          <t>A 46992-2022</t>
        </is>
      </c>
      <c r="B860" s="1" t="n">
        <v>44852</v>
      </c>
      <c r="C860" s="1" t="n">
        <v>45753</v>
      </c>
      <c r="D860" t="inlineStr">
        <is>
          <t>JÄMTLANDS LÄN</t>
        </is>
      </c>
      <c r="E860" t="inlineStr">
        <is>
          <t>RAGUNDA</t>
        </is>
      </c>
      <c r="F860" t="inlineStr">
        <is>
          <t>SCA</t>
        </is>
      </c>
      <c r="G860" t="n">
        <v>26.4</v>
      </c>
      <c r="H860" t="n">
        <v>0</v>
      </c>
      <c r="I860" t="n">
        <v>0</v>
      </c>
      <c r="J860" t="n">
        <v>0</v>
      </c>
      <c r="K860" t="n">
        <v>0</v>
      </c>
      <c r="L860" t="n">
        <v>0</v>
      </c>
      <c r="M860" t="n">
        <v>0</v>
      </c>
      <c r="N860" t="n">
        <v>0</v>
      </c>
      <c r="O860" t="n">
        <v>0</v>
      </c>
      <c r="P860" t="n">
        <v>0</v>
      </c>
      <c r="Q860" t="n">
        <v>0</v>
      </c>
      <c r="R860" s="2" t="inlineStr"/>
    </row>
    <row r="861" ht="15" customHeight="1">
      <c r="A861" t="inlineStr">
        <is>
          <t>A 47262-2022</t>
        </is>
      </c>
      <c r="B861" s="1" t="n">
        <v>44852</v>
      </c>
      <c r="C861" s="1" t="n">
        <v>45753</v>
      </c>
      <c r="D861" t="inlineStr">
        <is>
          <t>JÄMTLANDS LÄN</t>
        </is>
      </c>
      <c r="E861" t="inlineStr">
        <is>
          <t>RAGUNDA</t>
        </is>
      </c>
      <c r="F861" t="inlineStr">
        <is>
          <t>SCA</t>
        </is>
      </c>
      <c r="G861" t="n">
        <v>8.1</v>
      </c>
      <c r="H861" t="n">
        <v>0</v>
      </c>
      <c r="I861" t="n">
        <v>0</v>
      </c>
      <c r="J861" t="n">
        <v>0</v>
      </c>
      <c r="K861" t="n">
        <v>0</v>
      </c>
      <c r="L861" t="n">
        <v>0</v>
      </c>
      <c r="M861" t="n">
        <v>0</v>
      </c>
      <c r="N861" t="n">
        <v>0</v>
      </c>
      <c r="O861" t="n">
        <v>0</v>
      </c>
      <c r="P861" t="n">
        <v>0</v>
      </c>
      <c r="Q861" t="n">
        <v>0</v>
      </c>
      <c r="R861" s="2" t="inlineStr"/>
    </row>
    <row r="862" ht="15" customHeight="1">
      <c r="A862" t="inlineStr">
        <is>
          <t>A 47280-2022</t>
        </is>
      </c>
      <c r="B862" s="1" t="n">
        <v>44852</v>
      </c>
      <c r="C862" s="1" t="n">
        <v>45753</v>
      </c>
      <c r="D862" t="inlineStr">
        <is>
          <t>JÄMTLANDS LÄN</t>
        </is>
      </c>
      <c r="E862" t="inlineStr">
        <is>
          <t>RAGUNDA</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47278-2022</t>
        </is>
      </c>
      <c r="B863" s="1" t="n">
        <v>44852</v>
      </c>
      <c r="C863" s="1" t="n">
        <v>45753</v>
      </c>
      <c r="D863" t="inlineStr">
        <is>
          <t>JÄMTLANDS LÄN</t>
        </is>
      </c>
      <c r="E863" t="inlineStr">
        <is>
          <t>RAGUNDA</t>
        </is>
      </c>
      <c r="F863" t="inlineStr">
        <is>
          <t>SCA</t>
        </is>
      </c>
      <c r="G863" t="n">
        <v>10.1</v>
      </c>
      <c r="H863" t="n">
        <v>0</v>
      </c>
      <c r="I863" t="n">
        <v>0</v>
      </c>
      <c r="J863" t="n">
        <v>0</v>
      </c>
      <c r="K863" t="n">
        <v>0</v>
      </c>
      <c r="L863" t="n">
        <v>0</v>
      </c>
      <c r="M863" t="n">
        <v>0</v>
      </c>
      <c r="N863" t="n">
        <v>0</v>
      </c>
      <c r="O863" t="n">
        <v>0</v>
      </c>
      <c r="P863" t="n">
        <v>0</v>
      </c>
      <c r="Q863" t="n">
        <v>0</v>
      </c>
      <c r="R863" s="2" t="inlineStr"/>
    </row>
    <row r="864" ht="15" customHeight="1">
      <c r="A864" t="inlineStr">
        <is>
          <t>A 47567-2022</t>
        </is>
      </c>
      <c r="B864" s="1" t="n">
        <v>44853</v>
      </c>
      <c r="C864" s="1" t="n">
        <v>45753</v>
      </c>
      <c r="D864" t="inlineStr">
        <is>
          <t>JÄMTLANDS LÄN</t>
        </is>
      </c>
      <c r="E864" t="inlineStr">
        <is>
          <t>RAGUNDA</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47568-2022</t>
        </is>
      </c>
      <c r="B865" s="1" t="n">
        <v>44854</v>
      </c>
      <c r="C865" s="1" t="n">
        <v>45753</v>
      </c>
      <c r="D865" t="inlineStr">
        <is>
          <t>JÄMTLANDS LÄN</t>
        </is>
      </c>
      <c r="E865" t="inlineStr">
        <is>
          <t>RAGUNDA</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47801-2022</t>
        </is>
      </c>
      <c r="B866" s="1" t="n">
        <v>44854</v>
      </c>
      <c r="C866" s="1" t="n">
        <v>45753</v>
      </c>
      <c r="D866" t="inlineStr">
        <is>
          <t>JÄMTLANDS LÄN</t>
        </is>
      </c>
      <c r="E866" t="inlineStr">
        <is>
          <t>RAGUNDA</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47803-2022</t>
        </is>
      </c>
      <c r="B867" s="1" t="n">
        <v>44855</v>
      </c>
      <c r="C867" s="1" t="n">
        <v>45753</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48060-2022</t>
        </is>
      </c>
      <c r="B868" s="1" t="n">
        <v>44856</v>
      </c>
      <c r="C868" s="1" t="n">
        <v>45753</v>
      </c>
      <c r="D868" t="inlineStr">
        <is>
          <t>JÄMTLANDS LÄN</t>
        </is>
      </c>
      <c r="E868" t="inlineStr">
        <is>
          <t>RAGUNDA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48055-2022</t>
        </is>
      </c>
      <c r="B869" s="1" t="n">
        <v>44856</v>
      </c>
      <c r="C869" s="1" t="n">
        <v>45753</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48058-2022</t>
        </is>
      </c>
      <c r="B870" s="1" t="n">
        <v>44856</v>
      </c>
      <c r="C870" s="1" t="n">
        <v>45753</v>
      </c>
      <c r="D870" t="inlineStr">
        <is>
          <t>JÄMTLANDS LÄN</t>
        </is>
      </c>
      <c r="E870" t="inlineStr">
        <is>
          <t>RAGUNDA</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48066-2022</t>
        </is>
      </c>
      <c r="B871" s="1" t="n">
        <v>44855</v>
      </c>
      <c r="C871" s="1" t="n">
        <v>45753</v>
      </c>
      <c r="D871" t="inlineStr">
        <is>
          <t>JÄMTLANDS LÄN</t>
        </is>
      </c>
      <c r="E871" t="inlineStr">
        <is>
          <t>RAGUNDA</t>
        </is>
      </c>
      <c r="F871" t="inlineStr">
        <is>
          <t>SCA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48076-2022</t>
        </is>
      </c>
      <c r="B872" s="1" t="n">
        <v>44856</v>
      </c>
      <c r="C872" s="1" t="n">
        <v>45753</v>
      </c>
      <c r="D872" t="inlineStr">
        <is>
          <t>JÄMTLANDS LÄN</t>
        </is>
      </c>
      <c r="E872" t="inlineStr">
        <is>
          <t>RAGUNDA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48053-2022</t>
        </is>
      </c>
      <c r="B873" s="1" t="n">
        <v>44856</v>
      </c>
      <c r="C873" s="1" t="n">
        <v>45753</v>
      </c>
      <c r="D873" t="inlineStr">
        <is>
          <t>JÄMTLANDS LÄN</t>
        </is>
      </c>
      <c r="E873" t="inlineStr">
        <is>
          <t>RAGUNDA</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48075-2022</t>
        </is>
      </c>
      <c r="B874" s="1" t="n">
        <v>44855</v>
      </c>
      <c r="C874" s="1" t="n">
        <v>45753</v>
      </c>
      <c r="D874" t="inlineStr">
        <is>
          <t>JÄMTLANDS LÄN</t>
        </is>
      </c>
      <c r="E874" t="inlineStr">
        <is>
          <t>RAGUNDA</t>
        </is>
      </c>
      <c r="F874" t="inlineStr">
        <is>
          <t>SCA</t>
        </is>
      </c>
      <c r="G874" t="n">
        <v>7.5</v>
      </c>
      <c r="H874" t="n">
        <v>0</v>
      </c>
      <c r="I874" t="n">
        <v>0</v>
      </c>
      <c r="J874" t="n">
        <v>0</v>
      </c>
      <c r="K874" t="n">
        <v>0</v>
      </c>
      <c r="L874" t="n">
        <v>0</v>
      </c>
      <c r="M874" t="n">
        <v>0</v>
      </c>
      <c r="N874" t="n">
        <v>0</v>
      </c>
      <c r="O874" t="n">
        <v>0</v>
      </c>
      <c r="P874" t="n">
        <v>0</v>
      </c>
      <c r="Q874" t="n">
        <v>0</v>
      </c>
      <c r="R874" s="2" t="inlineStr"/>
    </row>
    <row r="875" ht="15" customHeight="1">
      <c r="A875" t="inlineStr">
        <is>
          <t>A 48086-2022</t>
        </is>
      </c>
      <c r="B875" s="1" t="n">
        <v>44856</v>
      </c>
      <c r="C875" s="1" t="n">
        <v>45753</v>
      </c>
      <c r="D875" t="inlineStr">
        <is>
          <t>JÄMTLANDS LÄN</t>
        </is>
      </c>
      <c r="E875" t="inlineStr">
        <is>
          <t>RAGUNDA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48085-2022</t>
        </is>
      </c>
      <c r="B876" s="1" t="n">
        <v>44855</v>
      </c>
      <c r="C876" s="1" t="n">
        <v>45753</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48536-2022</t>
        </is>
      </c>
      <c r="B877" s="1" t="n">
        <v>44858</v>
      </c>
      <c r="C877" s="1" t="n">
        <v>45753</v>
      </c>
      <c r="D877" t="inlineStr">
        <is>
          <t>JÄMTLANDS LÄN</t>
        </is>
      </c>
      <c r="E877" t="inlineStr">
        <is>
          <t>RAGUNDA</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48538-2022</t>
        </is>
      </c>
      <c r="B878" s="1" t="n">
        <v>44858</v>
      </c>
      <c r="C878" s="1" t="n">
        <v>45753</v>
      </c>
      <c r="D878" t="inlineStr">
        <is>
          <t>JÄMTLANDS LÄN</t>
        </is>
      </c>
      <c r="E878" t="inlineStr">
        <is>
          <t>RAGUNDA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48522-2022</t>
        </is>
      </c>
      <c r="B879" s="1" t="n">
        <v>44859</v>
      </c>
      <c r="C879" s="1" t="n">
        <v>45753</v>
      </c>
      <c r="D879" t="inlineStr">
        <is>
          <t>JÄMTLANDS LÄN</t>
        </is>
      </c>
      <c r="E879" t="inlineStr">
        <is>
          <t>RAGUNDA</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48534-2022</t>
        </is>
      </c>
      <c r="B880" s="1" t="n">
        <v>44859</v>
      </c>
      <c r="C880" s="1" t="n">
        <v>45753</v>
      </c>
      <c r="D880" t="inlineStr">
        <is>
          <t>JÄMTLANDS LÄN</t>
        </is>
      </c>
      <c r="E880" t="inlineStr">
        <is>
          <t>RAGUNDA</t>
        </is>
      </c>
      <c r="F880" t="inlineStr">
        <is>
          <t>SCA</t>
        </is>
      </c>
      <c r="G880" t="n">
        <v>6.7</v>
      </c>
      <c r="H880" t="n">
        <v>0</v>
      </c>
      <c r="I880" t="n">
        <v>0</v>
      </c>
      <c r="J880" t="n">
        <v>0</v>
      </c>
      <c r="K880" t="n">
        <v>0</v>
      </c>
      <c r="L880" t="n">
        <v>0</v>
      </c>
      <c r="M880" t="n">
        <v>0</v>
      </c>
      <c r="N880" t="n">
        <v>0</v>
      </c>
      <c r="O880" t="n">
        <v>0</v>
      </c>
      <c r="P880" t="n">
        <v>0</v>
      </c>
      <c r="Q880" t="n">
        <v>0</v>
      </c>
      <c r="R880" s="2" t="inlineStr"/>
    </row>
    <row r="881" ht="15" customHeight="1">
      <c r="A881" t="inlineStr">
        <is>
          <t>A 48938-2022</t>
        </is>
      </c>
      <c r="B881" s="1" t="n">
        <v>44860</v>
      </c>
      <c r="C881" s="1" t="n">
        <v>45753</v>
      </c>
      <c r="D881" t="inlineStr">
        <is>
          <t>JÄMTLANDS LÄN</t>
        </is>
      </c>
      <c r="E881" t="inlineStr">
        <is>
          <t>RAGUNDA</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49183-2022</t>
        </is>
      </c>
      <c r="B882" s="1" t="n">
        <v>44860</v>
      </c>
      <c r="C882" s="1" t="n">
        <v>45753</v>
      </c>
      <c r="D882" t="inlineStr">
        <is>
          <t>JÄMTLANDS LÄN</t>
        </is>
      </c>
      <c r="E882" t="inlineStr">
        <is>
          <t>RAGUNDA</t>
        </is>
      </c>
      <c r="F882" t="inlineStr">
        <is>
          <t>SCA</t>
        </is>
      </c>
      <c r="G882" t="n">
        <v>10.3</v>
      </c>
      <c r="H882" t="n">
        <v>0</v>
      </c>
      <c r="I882" t="n">
        <v>0</v>
      </c>
      <c r="J882" t="n">
        <v>0</v>
      </c>
      <c r="K882" t="n">
        <v>0</v>
      </c>
      <c r="L882" t="n">
        <v>0</v>
      </c>
      <c r="M882" t="n">
        <v>0</v>
      </c>
      <c r="N882" t="n">
        <v>0</v>
      </c>
      <c r="O882" t="n">
        <v>0</v>
      </c>
      <c r="P882" t="n">
        <v>0</v>
      </c>
      <c r="Q882" t="n">
        <v>0</v>
      </c>
      <c r="R882" s="2" t="inlineStr"/>
    </row>
    <row r="883" ht="15" customHeight="1">
      <c r="A883" t="inlineStr">
        <is>
          <t>A 49182-2022</t>
        </is>
      </c>
      <c r="B883" s="1" t="n">
        <v>44861</v>
      </c>
      <c r="C883" s="1" t="n">
        <v>45753</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49197-2022</t>
        </is>
      </c>
      <c r="B884" s="1" t="n">
        <v>44860</v>
      </c>
      <c r="C884" s="1" t="n">
        <v>45753</v>
      </c>
      <c r="D884" t="inlineStr">
        <is>
          <t>JÄMTLANDS LÄN</t>
        </is>
      </c>
      <c r="E884" t="inlineStr">
        <is>
          <t>RAGUNDA</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49531-2022</t>
        </is>
      </c>
      <c r="B885" s="1" t="n">
        <v>44861</v>
      </c>
      <c r="C885" s="1" t="n">
        <v>45753</v>
      </c>
      <c r="D885" t="inlineStr">
        <is>
          <t>JÄMTLANDS LÄN</t>
        </is>
      </c>
      <c r="E885" t="inlineStr">
        <is>
          <t>RAGUNDA</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49530-2022</t>
        </is>
      </c>
      <c r="B886" s="1" t="n">
        <v>44861</v>
      </c>
      <c r="C886" s="1" t="n">
        <v>45753</v>
      </c>
      <c r="D886" t="inlineStr">
        <is>
          <t>JÄMTLANDS LÄN</t>
        </is>
      </c>
      <c r="E886" t="inlineStr">
        <is>
          <t>RAGUNDA</t>
        </is>
      </c>
      <c r="F886" t="inlineStr">
        <is>
          <t>SCA</t>
        </is>
      </c>
      <c r="G886" t="n">
        <v>13.4</v>
      </c>
      <c r="H886" t="n">
        <v>0</v>
      </c>
      <c r="I886" t="n">
        <v>0</v>
      </c>
      <c r="J886" t="n">
        <v>0</v>
      </c>
      <c r="K886" t="n">
        <v>0</v>
      </c>
      <c r="L886" t="n">
        <v>0</v>
      </c>
      <c r="M886" t="n">
        <v>0</v>
      </c>
      <c r="N886" t="n">
        <v>0</v>
      </c>
      <c r="O886" t="n">
        <v>0</v>
      </c>
      <c r="P886" t="n">
        <v>0</v>
      </c>
      <c r="Q886" t="n">
        <v>0</v>
      </c>
      <c r="R886" s="2" t="inlineStr"/>
    </row>
    <row r="887" ht="15" customHeight="1">
      <c r="A887" t="inlineStr">
        <is>
          <t>A 49544-2022</t>
        </is>
      </c>
      <c r="B887" s="1" t="n">
        <v>44862</v>
      </c>
      <c r="C887" s="1" t="n">
        <v>45753</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49543-2022</t>
        </is>
      </c>
      <c r="B888" s="1" t="n">
        <v>44862</v>
      </c>
      <c r="C888" s="1" t="n">
        <v>45753</v>
      </c>
      <c r="D888" t="inlineStr">
        <is>
          <t>JÄMTLANDS LÄN</t>
        </is>
      </c>
      <c r="E888" t="inlineStr">
        <is>
          <t>RAGUNDA</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49844-2022</t>
        </is>
      </c>
      <c r="B889" s="1" t="n">
        <v>44863</v>
      </c>
      <c r="C889" s="1" t="n">
        <v>45753</v>
      </c>
      <c r="D889" t="inlineStr">
        <is>
          <t>JÄMTLANDS LÄN</t>
        </is>
      </c>
      <c r="E889" t="inlineStr">
        <is>
          <t>RAGUNDA</t>
        </is>
      </c>
      <c r="G889" t="n">
        <v>3.9</v>
      </c>
      <c r="H889" t="n">
        <v>0</v>
      </c>
      <c r="I889" t="n">
        <v>0</v>
      </c>
      <c r="J889" t="n">
        <v>0</v>
      </c>
      <c r="K889" t="n">
        <v>0</v>
      </c>
      <c r="L889" t="n">
        <v>0</v>
      </c>
      <c r="M889" t="n">
        <v>0</v>
      </c>
      <c r="N889" t="n">
        <v>0</v>
      </c>
      <c r="O889" t="n">
        <v>0</v>
      </c>
      <c r="P889" t="n">
        <v>0</v>
      </c>
      <c r="Q889" t="n">
        <v>0</v>
      </c>
      <c r="R889" s="2" t="inlineStr"/>
    </row>
    <row r="890" ht="15" customHeight="1">
      <c r="A890" t="inlineStr">
        <is>
          <t>A 49904-2022</t>
        </is>
      </c>
      <c r="B890" s="1" t="n">
        <v>44864</v>
      </c>
      <c r="C890" s="1" t="n">
        <v>45753</v>
      </c>
      <c r="D890" t="inlineStr">
        <is>
          <t>JÄMTLANDS LÄN</t>
        </is>
      </c>
      <c r="E890" t="inlineStr">
        <is>
          <t>RAGUNDA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50087-2022</t>
        </is>
      </c>
      <c r="B891" s="1" t="n">
        <v>44865</v>
      </c>
      <c r="C891" s="1" t="n">
        <v>45753</v>
      </c>
      <c r="D891" t="inlineStr">
        <is>
          <t>JÄMTLANDS LÄN</t>
        </is>
      </c>
      <c r="E891" t="inlineStr">
        <is>
          <t>RAGUNDA</t>
        </is>
      </c>
      <c r="G891" t="n">
        <v>2</v>
      </c>
      <c r="H891" t="n">
        <v>0</v>
      </c>
      <c r="I891" t="n">
        <v>0</v>
      </c>
      <c r="J891" t="n">
        <v>0</v>
      </c>
      <c r="K891" t="n">
        <v>0</v>
      </c>
      <c r="L891" t="n">
        <v>0</v>
      </c>
      <c r="M891" t="n">
        <v>0</v>
      </c>
      <c r="N891" t="n">
        <v>0</v>
      </c>
      <c r="O891" t="n">
        <v>0</v>
      </c>
      <c r="P891" t="n">
        <v>0</v>
      </c>
      <c r="Q891" t="n">
        <v>0</v>
      </c>
      <c r="R891" s="2" t="inlineStr"/>
    </row>
    <row r="892" ht="15" customHeight="1">
      <c r="A892" t="inlineStr">
        <is>
          <t>A 50649-2022</t>
        </is>
      </c>
      <c r="B892" s="1" t="n">
        <v>44866</v>
      </c>
      <c r="C892" s="1" t="n">
        <v>45753</v>
      </c>
      <c r="D892" t="inlineStr">
        <is>
          <t>JÄMTLANDS LÄN</t>
        </is>
      </c>
      <c r="E892" t="inlineStr">
        <is>
          <t>RAGUNDA</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50682-2022</t>
        </is>
      </c>
      <c r="B893" s="1" t="n">
        <v>44866</v>
      </c>
      <c r="C893" s="1" t="n">
        <v>45753</v>
      </c>
      <c r="D893" t="inlineStr">
        <is>
          <t>JÄMTLANDS LÄN</t>
        </is>
      </c>
      <c r="E893" t="inlineStr">
        <is>
          <t>RAGUNDA</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51012-2022</t>
        </is>
      </c>
      <c r="B894" s="1" t="n">
        <v>44867</v>
      </c>
      <c r="C894" s="1" t="n">
        <v>45753</v>
      </c>
      <c r="D894" t="inlineStr">
        <is>
          <t>JÄMTLANDS LÄN</t>
        </is>
      </c>
      <c r="E894" t="inlineStr">
        <is>
          <t>RAGUNDA</t>
        </is>
      </c>
      <c r="F894" t="inlineStr">
        <is>
          <t>Sveaskog</t>
        </is>
      </c>
      <c r="G894" t="n">
        <v>8.4</v>
      </c>
      <c r="H894" t="n">
        <v>0</v>
      </c>
      <c r="I894" t="n">
        <v>0</v>
      </c>
      <c r="J894" t="n">
        <v>0</v>
      </c>
      <c r="K894" t="n">
        <v>0</v>
      </c>
      <c r="L894" t="n">
        <v>0</v>
      </c>
      <c r="M894" t="n">
        <v>0</v>
      </c>
      <c r="N894" t="n">
        <v>0</v>
      </c>
      <c r="O894" t="n">
        <v>0</v>
      </c>
      <c r="P894" t="n">
        <v>0</v>
      </c>
      <c r="Q894" t="n">
        <v>0</v>
      </c>
      <c r="R894" s="2" t="inlineStr"/>
    </row>
    <row r="895" ht="15" customHeight="1">
      <c r="A895" t="inlineStr">
        <is>
          <t>A 51540-2022</t>
        </is>
      </c>
      <c r="B895" s="1" t="n">
        <v>44869</v>
      </c>
      <c r="C895" s="1" t="n">
        <v>45753</v>
      </c>
      <c r="D895" t="inlineStr">
        <is>
          <t>JÄMTLANDS LÄN</t>
        </is>
      </c>
      <c r="E895" t="inlineStr">
        <is>
          <t>RAGUNDA</t>
        </is>
      </c>
      <c r="G895" t="n">
        <v>1.3</v>
      </c>
      <c r="H895" t="n">
        <v>0</v>
      </c>
      <c r="I895" t="n">
        <v>0</v>
      </c>
      <c r="J895" t="n">
        <v>0</v>
      </c>
      <c r="K895" t="n">
        <v>0</v>
      </c>
      <c r="L895" t="n">
        <v>0</v>
      </c>
      <c r="M895" t="n">
        <v>0</v>
      </c>
      <c r="N895" t="n">
        <v>0</v>
      </c>
      <c r="O895" t="n">
        <v>0</v>
      </c>
      <c r="P895" t="n">
        <v>0</v>
      </c>
      <c r="Q895" t="n">
        <v>0</v>
      </c>
      <c r="R895" s="2" t="inlineStr"/>
    </row>
    <row r="896" ht="15" customHeight="1">
      <c r="A896" t="inlineStr">
        <is>
          <t>A 51538-2022</t>
        </is>
      </c>
      <c r="B896" s="1" t="n">
        <v>44869</v>
      </c>
      <c r="C896" s="1" t="n">
        <v>45753</v>
      </c>
      <c r="D896" t="inlineStr">
        <is>
          <t>JÄMTLANDS LÄN</t>
        </is>
      </c>
      <c r="E896" t="inlineStr">
        <is>
          <t>RAGUNDA</t>
        </is>
      </c>
      <c r="G896" t="n">
        <v>6.8</v>
      </c>
      <c r="H896" t="n">
        <v>0</v>
      </c>
      <c r="I896" t="n">
        <v>0</v>
      </c>
      <c r="J896" t="n">
        <v>0</v>
      </c>
      <c r="K896" t="n">
        <v>0</v>
      </c>
      <c r="L896" t="n">
        <v>0</v>
      </c>
      <c r="M896" t="n">
        <v>0</v>
      </c>
      <c r="N896" t="n">
        <v>0</v>
      </c>
      <c r="O896" t="n">
        <v>0</v>
      </c>
      <c r="P896" t="n">
        <v>0</v>
      </c>
      <c r="Q896" t="n">
        <v>0</v>
      </c>
      <c r="R896" s="2" t="inlineStr"/>
    </row>
    <row r="897" ht="15" customHeight="1">
      <c r="A897" t="inlineStr">
        <is>
          <t>A 51537-2022</t>
        </is>
      </c>
      <c r="B897" s="1" t="n">
        <v>44869</v>
      </c>
      <c r="C897" s="1" t="n">
        <v>45753</v>
      </c>
      <c r="D897" t="inlineStr">
        <is>
          <t>JÄMTLANDS LÄN</t>
        </is>
      </c>
      <c r="E897" t="inlineStr">
        <is>
          <t>RAGUNDA</t>
        </is>
      </c>
      <c r="G897" t="n">
        <v>1.8</v>
      </c>
      <c r="H897" t="n">
        <v>0</v>
      </c>
      <c r="I897" t="n">
        <v>0</v>
      </c>
      <c r="J897" t="n">
        <v>0</v>
      </c>
      <c r="K897" t="n">
        <v>0</v>
      </c>
      <c r="L897" t="n">
        <v>0</v>
      </c>
      <c r="M897" t="n">
        <v>0</v>
      </c>
      <c r="N897" t="n">
        <v>0</v>
      </c>
      <c r="O897" t="n">
        <v>0</v>
      </c>
      <c r="P897" t="n">
        <v>0</v>
      </c>
      <c r="Q897" t="n">
        <v>0</v>
      </c>
      <c r="R897" s="2" t="inlineStr"/>
    </row>
    <row r="898" ht="15" customHeight="1">
      <c r="A898" t="inlineStr">
        <is>
          <t>A 52697-2022</t>
        </is>
      </c>
      <c r="B898" s="1" t="n">
        <v>44874</v>
      </c>
      <c r="C898" s="1" t="n">
        <v>45753</v>
      </c>
      <c r="D898" t="inlineStr">
        <is>
          <t>JÄMTLANDS LÄN</t>
        </is>
      </c>
      <c r="E898" t="inlineStr">
        <is>
          <t>RAGUNDA</t>
        </is>
      </c>
      <c r="G898" t="n">
        <v>3.9</v>
      </c>
      <c r="H898" t="n">
        <v>0</v>
      </c>
      <c r="I898" t="n">
        <v>0</v>
      </c>
      <c r="J898" t="n">
        <v>0</v>
      </c>
      <c r="K898" t="n">
        <v>0</v>
      </c>
      <c r="L898" t="n">
        <v>0</v>
      </c>
      <c r="M898" t="n">
        <v>0</v>
      </c>
      <c r="N898" t="n">
        <v>0</v>
      </c>
      <c r="O898" t="n">
        <v>0</v>
      </c>
      <c r="P898" t="n">
        <v>0</v>
      </c>
      <c r="Q898" t="n">
        <v>0</v>
      </c>
      <c r="R898" s="2" t="inlineStr"/>
    </row>
    <row r="899" ht="15" customHeight="1">
      <c r="A899" t="inlineStr">
        <is>
          <t>A 52720-2022</t>
        </is>
      </c>
      <c r="B899" s="1" t="n">
        <v>44874</v>
      </c>
      <c r="C899" s="1" t="n">
        <v>45753</v>
      </c>
      <c r="D899" t="inlineStr">
        <is>
          <t>JÄMTLANDS LÄN</t>
        </is>
      </c>
      <c r="E899" t="inlineStr">
        <is>
          <t>RAGUNDA</t>
        </is>
      </c>
      <c r="F899" t="inlineStr">
        <is>
          <t>SCA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53287-2022</t>
        </is>
      </c>
      <c r="B900" s="1" t="n">
        <v>44876</v>
      </c>
      <c r="C900" s="1" t="n">
        <v>45753</v>
      </c>
      <c r="D900" t="inlineStr">
        <is>
          <t>JÄMTLANDS LÄN</t>
        </is>
      </c>
      <c r="E900" t="inlineStr">
        <is>
          <t>RAGUNDA</t>
        </is>
      </c>
      <c r="F900" t="inlineStr">
        <is>
          <t>SCA</t>
        </is>
      </c>
      <c r="G900" t="n">
        <v>6.2</v>
      </c>
      <c r="H900" t="n">
        <v>0</v>
      </c>
      <c r="I900" t="n">
        <v>0</v>
      </c>
      <c r="J900" t="n">
        <v>0</v>
      </c>
      <c r="K900" t="n">
        <v>0</v>
      </c>
      <c r="L900" t="n">
        <v>0</v>
      </c>
      <c r="M900" t="n">
        <v>0</v>
      </c>
      <c r="N900" t="n">
        <v>0</v>
      </c>
      <c r="O900" t="n">
        <v>0</v>
      </c>
      <c r="P900" t="n">
        <v>0</v>
      </c>
      <c r="Q900" t="n">
        <v>0</v>
      </c>
      <c r="R900" s="2" t="inlineStr"/>
    </row>
    <row r="901" ht="15" customHeight="1">
      <c r="A901" t="inlineStr">
        <is>
          <t>A 53288-2022</t>
        </is>
      </c>
      <c r="B901" s="1" t="n">
        <v>44876</v>
      </c>
      <c r="C901" s="1" t="n">
        <v>45753</v>
      </c>
      <c r="D901" t="inlineStr">
        <is>
          <t>JÄMTLANDS LÄN</t>
        </is>
      </c>
      <c r="E901" t="inlineStr">
        <is>
          <t>RAGUNDA</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53676-2022</t>
        </is>
      </c>
      <c r="B902" s="1" t="n">
        <v>44879</v>
      </c>
      <c r="C902" s="1" t="n">
        <v>45753</v>
      </c>
      <c r="D902" t="inlineStr">
        <is>
          <t>JÄMTLANDS LÄN</t>
        </is>
      </c>
      <c r="E902" t="inlineStr">
        <is>
          <t>RAGUNDA</t>
        </is>
      </c>
      <c r="F902" t="inlineStr">
        <is>
          <t>Sveaskog</t>
        </is>
      </c>
      <c r="G902" t="n">
        <v>2.5</v>
      </c>
      <c r="H902" t="n">
        <v>0</v>
      </c>
      <c r="I902" t="n">
        <v>0</v>
      </c>
      <c r="J902" t="n">
        <v>0</v>
      </c>
      <c r="K902" t="n">
        <v>0</v>
      </c>
      <c r="L902" t="n">
        <v>0</v>
      </c>
      <c r="M902" t="n">
        <v>0</v>
      </c>
      <c r="N902" t="n">
        <v>0</v>
      </c>
      <c r="O902" t="n">
        <v>0</v>
      </c>
      <c r="P902" t="n">
        <v>0</v>
      </c>
      <c r="Q902" t="n">
        <v>0</v>
      </c>
      <c r="R902" s="2" t="inlineStr"/>
    </row>
    <row r="903" ht="15" customHeight="1">
      <c r="A903" t="inlineStr">
        <is>
          <t>A 53678-2022</t>
        </is>
      </c>
      <c r="B903" s="1" t="n">
        <v>44879</v>
      </c>
      <c r="C903" s="1" t="n">
        <v>45753</v>
      </c>
      <c r="D903" t="inlineStr">
        <is>
          <t>JÄMTLANDS LÄN</t>
        </is>
      </c>
      <c r="E903" t="inlineStr">
        <is>
          <t>RAGUNDA</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53677-2022</t>
        </is>
      </c>
      <c r="B904" s="1" t="n">
        <v>44879</v>
      </c>
      <c r="C904" s="1" t="n">
        <v>45753</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53674-2022</t>
        </is>
      </c>
      <c r="B905" s="1" t="n">
        <v>44879</v>
      </c>
      <c r="C905" s="1" t="n">
        <v>45753</v>
      </c>
      <c r="D905" t="inlineStr">
        <is>
          <t>JÄMTLANDS LÄN</t>
        </is>
      </c>
      <c r="E905" t="inlineStr">
        <is>
          <t>RAGUNDA</t>
        </is>
      </c>
      <c r="F905" t="inlineStr">
        <is>
          <t>Sveaskog</t>
        </is>
      </c>
      <c r="G905" t="n">
        <v>4.2</v>
      </c>
      <c r="H905" t="n">
        <v>0</v>
      </c>
      <c r="I905" t="n">
        <v>0</v>
      </c>
      <c r="J905" t="n">
        <v>0</v>
      </c>
      <c r="K905" t="n">
        <v>0</v>
      </c>
      <c r="L905" t="n">
        <v>0</v>
      </c>
      <c r="M905" t="n">
        <v>0</v>
      </c>
      <c r="N905" t="n">
        <v>0</v>
      </c>
      <c r="O905" t="n">
        <v>0</v>
      </c>
      <c r="P905" t="n">
        <v>0</v>
      </c>
      <c r="Q905" t="n">
        <v>0</v>
      </c>
      <c r="R905" s="2" t="inlineStr"/>
    </row>
    <row r="906" ht="15" customHeight="1">
      <c r="A906" t="inlineStr">
        <is>
          <t>A 53935-2022</t>
        </is>
      </c>
      <c r="B906" s="1" t="n">
        <v>44880</v>
      </c>
      <c r="C906" s="1" t="n">
        <v>45753</v>
      </c>
      <c r="D906" t="inlineStr">
        <is>
          <t>JÄMTLANDS LÄN</t>
        </is>
      </c>
      <c r="E906" t="inlineStr">
        <is>
          <t>RAGUNDA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53954-2022</t>
        </is>
      </c>
      <c r="B907" s="1" t="n">
        <v>44880</v>
      </c>
      <c r="C907" s="1" t="n">
        <v>45753</v>
      </c>
      <c r="D907" t="inlineStr">
        <is>
          <t>JÄMTLANDS LÄN</t>
        </is>
      </c>
      <c r="E907" t="inlineStr">
        <is>
          <t>RAGUNDA</t>
        </is>
      </c>
      <c r="F907" t="inlineStr">
        <is>
          <t>SCA</t>
        </is>
      </c>
      <c r="G907" t="n">
        <v>9.6</v>
      </c>
      <c r="H907" t="n">
        <v>0</v>
      </c>
      <c r="I907" t="n">
        <v>0</v>
      </c>
      <c r="J907" t="n">
        <v>0</v>
      </c>
      <c r="K907" t="n">
        <v>0</v>
      </c>
      <c r="L907" t="n">
        <v>0</v>
      </c>
      <c r="M907" t="n">
        <v>0</v>
      </c>
      <c r="N907" t="n">
        <v>0</v>
      </c>
      <c r="O907" t="n">
        <v>0</v>
      </c>
      <c r="P907" t="n">
        <v>0</v>
      </c>
      <c r="Q907" t="n">
        <v>0</v>
      </c>
      <c r="R907" s="2" t="inlineStr"/>
    </row>
    <row r="908" ht="15" customHeight="1">
      <c r="A908" t="inlineStr">
        <is>
          <t>A 53951-2022</t>
        </is>
      </c>
      <c r="B908" s="1" t="n">
        <v>44880</v>
      </c>
      <c r="C908" s="1" t="n">
        <v>45753</v>
      </c>
      <c r="D908" t="inlineStr">
        <is>
          <t>JÄMTLANDS LÄN</t>
        </is>
      </c>
      <c r="E908" t="inlineStr">
        <is>
          <t>RAGUNDA</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53952-2022</t>
        </is>
      </c>
      <c r="B909" s="1" t="n">
        <v>44880</v>
      </c>
      <c r="C909" s="1" t="n">
        <v>45753</v>
      </c>
      <c r="D909" t="inlineStr">
        <is>
          <t>JÄMTLANDS LÄN</t>
        </is>
      </c>
      <c r="E909" t="inlineStr">
        <is>
          <t>RAGUNDA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53958-2022</t>
        </is>
      </c>
      <c r="B910" s="1" t="n">
        <v>44880</v>
      </c>
      <c r="C910" s="1" t="n">
        <v>45753</v>
      </c>
      <c r="D910" t="inlineStr">
        <is>
          <t>JÄMTLANDS LÄN</t>
        </is>
      </c>
      <c r="E910" t="inlineStr">
        <is>
          <t>RAGUNDA</t>
        </is>
      </c>
      <c r="F910" t="inlineStr">
        <is>
          <t>SCA</t>
        </is>
      </c>
      <c r="G910" t="n">
        <v>4.7</v>
      </c>
      <c r="H910" t="n">
        <v>0</v>
      </c>
      <c r="I910" t="n">
        <v>0</v>
      </c>
      <c r="J910" t="n">
        <v>0</v>
      </c>
      <c r="K910" t="n">
        <v>0</v>
      </c>
      <c r="L910" t="n">
        <v>0</v>
      </c>
      <c r="M910" t="n">
        <v>0</v>
      </c>
      <c r="N910" t="n">
        <v>0</v>
      </c>
      <c r="O910" t="n">
        <v>0</v>
      </c>
      <c r="P910" t="n">
        <v>0</v>
      </c>
      <c r="Q910" t="n">
        <v>0</v>
      </c>
      <c r="R910" s="2" t="inlineStr"/>
    </row>
    <row r="911" ht="15" customHeight="1">
      <c r="A911" t="inlineStr">
        <is>
          <t>A 53937-2022</t>
        </is>
      </c>
      <c r="B911" s="1" t="n">
        <v>44880</v>
      </c>
      <c r="C911" s="1" t="n">
        <v>45753</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53955-2022</t>
        </is>
      </c>
      <c r="B912" s="1" t="n">
        <v>44880</v>
      </c>
      <c r="C912" s="1" t="n">
        <v>45753</v>
      </c>
      <c r="D912" t="inlineStr">
        <is>
          <t>JÄMTLANDS LÄN</t>
        </is>
      </c>
      <c r="E912" t="inlineStr">
        <is>
          <t>RAGUNDA</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54244-2022</t>
        </is>
      </c>
      <c r="B913" s="1" t="n">
        <v>44881</v>
      </c>
      <c r="C913" s="1" t="n">
        <v>45753</v>
      </c>
      <c r="D913" t="inlineStr">
        <is>
          <t>JÄMTLANDS LÄN</t>
        </is>
      </c>
      <c r="E913" t="inlineStr">
        <is>
          <t>RAGUNDA</t>
        </is>
      </c>
      <c r="G913" t="n">
        <v>2.8</v>
      </c>
      <c r="H913" t="n">
        <v>0</v>
      </c>
      <c r="I913" t="n">
        <v>0</v>
      </c>
      <c r="J913" t="n">
        <v>0</v>
      </c>
      <c r="K913" t="n">
        <v>0</v>
      </c>
      <c r="L913" t="n">
        <v>0</v>
      </c>
      <c r="M913" t="n">
        <v>0</v>
      </c>
      <c r="N913" t="n">
        <v>0</v>
      </c>
      <c r="O913" t="n">
        <v>0</v>
      </c>
      <c r="P913" t="n">
        <v>0</v>
      </c>
      <c r="Q913" t="n">
        <v>0</v>
      </c>
      <c r="R913" s="2" t="inlineStr"/>
    </row>
    <row r="914" ht="15" customHeight="1">
      <c r="A914" t="inlineStr">
        <is>
          <t>A 54570-2022</t>
        </is>
      </c>
      <c r="B914" s="1" t="n">
        <v>44882</v>
      </c>
      <c r="C914" s="1" t="n">
        <v>45753</v>
      </c>
      <c r="D914" t="inlineStr">
        <is>
          <t>JÄMTLANDS LÄN</t>
        </is>
      </c>
      <c r="E914" t="inlineStr">
        <is>
          <t>RAGUNDA</t>
        </is>
      </c>
      <c r="G914" t="n">
        <v>2.3</v>
      </c>
      <c r="H914" t="n">
        <v>0</v>
      </c>
      <c r="I914" t="n">
        <v>0</v>
      </c>
      <c r="J914" t="n">
        <v>0</v>
      </c>
      <c r="K914" t="n">
        <v>0</v>
      </c>
      <c r="L914" t="n">
        <v>0</v>
      </c>
      <c r="M914" t="n">
        <v>0</v>
      </c>
      <c r="N914" t="n">
        <v>0</v>
      </c>
      <c r="O914" t="n">
        <v>0</v>
      </c>
      <c r="P914" t="n">
        <v>0</v>
      </c>
      <c r="Q914" t="n">
        <v>0</v>
      </c>
      <c r="R914" s="2" t="inlineStr"/>
    </row>
    <row r="915" ht="15" customHeight="1">
      <c r="A915" t="inlineStr">
        <is>
          <t>A 54572-2022</t>
        </is>
      </c>
      <c r="B915" s="1" t="n">
        <v>44882</v>
      </c>
      <c r="C915" s="1" t="n">
        <v>45753</v>
      </c>
      <c r="D915" t="inlineStr">
        <is>
          <t>JÄMTLANDS LÄN</t>
        </is>
      </c>
      <c r="E915" t="inlineStr">
        <is>
          <t>RAGUNDA</t>
        </is>
      </c>
      <c r="G915" t="n">
        <v>10.1</v>
      </c>
      <c r="H915" t="n">
        <v>0</v>
      </c>
      <c r="I915" t="n">
        <v>0</v>
      </c>
      <c r="J915" t="n">
        <v>0</v>
      </c>
      <c r="K915" t="n">
        <v>0</v>
      </c>
      <c r="L915" t="n">
        <v>0</v>
      </c>
      <c r="M915" t="n">
        <v>0</v>
      </c>
      <c r="N915" t="n">
        <v>0</v>
      </c>
      <c r="O915" t="n">
        <v>0</v>
      </c>
      <c r="P915" t="n">
        <v>0</v>
      </c>
      <c r="Q915" t="n">
        <v>0</v>
      </c>
      <c r="R915" s="2" t="inlineStr"/>
    </row>
    <row r="916" ht="15" customHeight="1">
      <c r="A916" t="inlineStr">
        <is>
          <t>A 54836-2022</t>
        </is>
      </c>
      <c r="B916" s="1" t="n">
        <v>44883</v>
      </c>
      <c r="C916" s="1" t="n">
        <v>45753</v>
      </c>
      <c r="D916" t="inlineStr">
        <is>
          <t>JÄMTLANDS LÄN</t>
        </is>
      </c>
      <c r="E916" t="inlineStr">
        <is>
          <t>RAGUNDA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54835-2022</t>
        </is>
      </c>
      <c r="B917" s="1" t="n">
        <v>44883</v>
      </c>
      <c r="C917" s="1" t="n">
        <v>45753</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54830-2022</t>
        </is>
      </c>
      <c r="B918" s="1" t="n">
        <v>44883</v>
      </c>
      <c r="C918" s="1" t="n">
        <v>45753</v>
      </c>
      <c r="D918" t="inlineStr">
        <is>
          <t>JÄMTLANDS LÄN</t>
        </is>
      </c>
      <c r="E918" t="inlineStr">
        <is>
          <t>RAGUNDA</t>
        </is>
      </c>
      <c r="F918" t="inlineStr">
        <is>
          <t>Sveaskog</t>
        </is>
      </c>
      <c r="G918" t="n">
        <v>7</v>
      </c>
      <c r="H918" t="n">
        <v>0</v>
      </c>
      <c r="I918" t="n">
        <v>0</v>
      </c>
      <c r="J918" t="n">
        <v>0</v>
      </c>
      <c r="K918" t="n">
        <v>0</v>
      </c>
      <c r="L918" t="n">
        <v>0</v>
      </c>
      <c r="M918" t="n">
        <v>0</v>
      </c>
      <c r="N918" t="n">
        <v>0</v>
      </c>
      <c r="O918" t="n">
        <v>0</v>
      </c>
      <c r="P918" t="n">
        <v>0</v>
      </c>
      <c r="Q918" t="n">
        <v>0</v>
      </c>
      <c r="R918" s="2" t="inlineStr"/>
    </row>
    <row r="919" ht="15" customHeight="1">
      <c r="A919" t="inlineStr">
        <is>
          <t>A 54837-2022</t>
        </is>
      </c>
      <c r="B919" s="1" t="n">
        <v>44883</v>
      </c>
      <c r="C919" s="1" t="n">
        <v>45753</v>
      </c>
      <c r="D919" t="inlineStr">
        <is>
          <t>JÄMTLANDS LÄN</t>
        </is>
      </c>
      <c r="E919" t="inlineStr">
        <is>
          <t>RAGUNDA</t>
        </is>
      </c>
      <c r="F919" t="inlineStr">
        <is>
          <t>SCA</t>
        </is>
      </c>
      <c r="G919" t="n">
        <v>5.4</v>
      </c>
      <c r="H919" t="n">
        <v>0</v>
      </c>
      <c r="I919" t="n">
        <v>0</v>
      </c>
      <c r="J919" t="n">
        <v>0</v>
      </c>
      <c r="K919" t="n">
        <v>0</v>
      </c>
      <c r="L919" t="n">
        <v>0</v>
      </c>
      <c r="M919" t="n">
        <v>0</v>
      </c>
      <c r="N919" t="n">
        <v>0</v>
      </c>
      <c r="O919" t="n">
        <v>0</v>
      </c>
      <c r="P919" t="n">
        <v>0</v>
      </c>
      <c r="Q919" t="n">
        <v>0</v>
      </c>
      <c r="R919" s="2" t="inlineStr"/>
    </row>
    <row r="920" ht="15" customHeight="1">
      <c r="A920" t="inlineStr">
        <is>
          <t>A 54827-2022</t>
        </is>
      </c>
      <c r="B920" s="1" t="n">
        <v>44883</v>
      </c>
      <c r="C920" s="1" t="n">
        <v>45753</v>
      </c>
      <c r="D920" t="inlineStr">
        <is>
          <t>JÄMTLANDS LÄN</t>
        </is>
      </c>
      <c r="E920" t="inlineStr">
        <is>
          <t>RAGUNDA</t>
        </is>
      </c>
      <c r="F920" t="inlineStr">
        <is>
          <t>SCA</t>
        </is>
      </c>
      <c r="G920" t="n">
        <v>10.6</v>
      </c>
      <c r="H920" t="n">
        <v>0</v>
      </c>
      <c r="I920" t="n">
        <v>0</v>
      </c>
      <c r="J920" t="n">
        <v>0</v>
      </c>
      <c r="K920" t="n">
        <v>0</v>
      </c>
      <c r="L920" t="n">
        <v>0</v>
      </c>
      <c r="M920" t="n">
        <v>0</v>
      </c>
      <c r="N920" t="n">
        <v>0</v>
      </c>
      <c r="O920" t="n">
        <v>0</v>
      </c>
      <c r="P920" t="n">
        <v>0</v>
      </c>
      <c r="Q920" t="n">
        <v>0</v>
      </c>
      <c r="R920" s="2" t="inlineStr"/>
    </row>
    <row r="921" ht="15" customHeight="1">
      <c r="A921" t="inlineStr">
        <is>
          <t>A 55214-2022</t>
        </is>
      </c>
      <c r="B921" s="1" t="n">
        <v>44886</v>
      </c>
      <c r="C921" s="1" t="n">
        <v>45753</v>
      </c>
      <c r="D921" t="inlineStr">
        <is>
          <t>JÄMTLANDS LÄN</t>
        </is>
      </c>
      <c r="E921" t="inlineStr">
        <is>
          <t>RAGUNDA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55904-2022</t>
        </is>
      </c>
      <c r="B922" s="1" t="n">
        <v>44888</v>
      </c>
      <c r="C922" s="1" t="n">
        <v>45753</v>
      </c>
      <c r="D922" t="inlineStr">
        <is>
          <t>JÄMTLANDS LÄN</t>
        </is>
      </c>
      <c r="E922" t="inlineStr">
        <is>
          <t>RAGUNDA</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56191-2022</t>
        </is>
      </c>
      <c r="B923" s="1" t="n">
        <v>44889</v>
      </c>
      <c r="C923" s="1" t="n">
        <v>45753</v>
      </c>
      <c r="D923" t="inlineStr">
        <is>
          <t>JÄMTLANDS LÄN</t>
        </is>
      </c>
      <c r="E923" t="inlineStr">
        <is>
          <t>RAGUNDA</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56186-2022</t>
        </is>
      </c>
      <c r="B924" s="1" t="n">
        <v>44889</v>
      </c>
      <c r="C924" s="1" t="n">
        <v>45753</v>
      </c>
      <c r="D924" t="inlineStr">
        <is>
          <t>JÄMTLANDS LÄN</t>
        </is>
      </c>
      <c r="E924" t="inlineStr">
        <is>
          <t>RAGUNDA</t>
        </is>
      </c>
      <c r="F924" t="inlineStr">
        <is>
          <t>Sveaskog</t>
        </is>
      </c>
      <c r="G924" t="n">
        <v>6</v>
      </c>
      <c r="H924" t="n">
        <v>0</v>
      </c>
      <c r="I924" t="n">
        <v>0</v>
      </c>
      <c r="J924" t="n">
        <v>0</v>
      </c>
      <c r="K924" t="n">
        <v>0</v>
      </c>
      <c r="L924" t="n">
        <v>0</v>
      </c>
      <c r="M924" t="n">
        <v>0</v>
      </c>
      <c r="N924" t="n">
        <v>0</v>
      </c>
      <c r="O924" t="n">
        <v>0</v>
      </c>
      <c r="P924" t="n">
        <v>0</v>
      </c>
      <c r="Q924" t="n">
        <v>0</v>
      </c>
      <c r="R924" s="2" t="inlineStr"/>
    </row>
    <row r="925" ht="15" customHeight="1">
      <c r="A925" t="inlineStr">
        <is>
          <t>A 56192-2022</t>
        </is>
      </c>
      <c r="B925" s="1" t="n">
        <v>44889</v>
      </c>
      <c r="C925" s="1" t="n">
        <v>45753</v>
      </c>
      <c r="D925" t="inlineStr">
        <is>
          <t>JÄMTLANDS LÄN</t>
        </is>
      </c>
      <c r="E925" t="inlineStr">
        <is>
          <t>RAGUNDA</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56193-2022</t>
        </is>
      </c>
      <c r="B926" s="1" t="n">
        <v>44889</v>
      </c>
      <c r="C926" s="1" t="n">
        <v>45753</v>
      </c>
      <c r="D926" t="inlineStr">
        <is>
          <t>JÄMTLANDS LÄN</t>
        </is>
      </c>
      <c r="E926" t="inlineStr">
        <is>
          <t>RAGUNDA</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57237-2022</t>
        </is>
      </c>
      <c r="B927" s="1" t="n">
        <v>44889</v>
      </c>
      <c r="C927" s="1" t="n">
        <v>45753</v>
      </c>
      <c r="D927" t="inlineStr">
        <is>
          <t>JÄMTLANDS LÄN</t>
        </is>
      </c>
      <c r="E927" t="inlineStr">
        <is>
          <t>RAGUNDA</t>
        </is>
      </c>
      <c r="G927" t="n">
        <v>2.2</v>
      </c>
      <c r="H927" t="n">
        <v>0</v>
      </c>
      <c r="I927" t="n">
        <v>0</v>
      </c>
      <c r="J927" t="n">
        <v>0</v>
      </c>
      <c r="K927" t="n">
        <v>0</v>
      </c>
      <c r="L927" t="n">
        <v>0</v>
      </c>
      <c r="M927" t="n">
        <v>0</v>
      </c>
      <c r="N927" t="n">
        <v>0</v>
      </c>
      <c r="O927" t="n">
        <v>0</v>
      </c>
      <c r="P927" t="n">
        <v>0</v>
      </c>
      <c r="Q927" t="n">
        <v>0</v>
      </c>
      <c r="R927" s="2" t="inlineStr"/>
    </row>
    <row r="928" ht="15" customHeight="1">
      <c r="A928" t="inlineStr">
        <is>
          <t>A 56630-2022</t>
        </is>
      </c>
      <c r="B928" s="1" t="n">
        <v>44893</v>
      </c>
      <c r="C928" s="1" t="n">
        <v>45753</v>
      </c>
      <c r="D928" t="inlineStr">
        <is>
          <t>JÄMTLANDS LÄN</t>
        </is>
      </c>
      <c r="E928" t="inlineStr">
        <is>
          <t>RAGUNDA</t>
        </is>
      </c>
      <c r="G928" t="n">
        <v>1.9</v>
      </c>
      <c r="H928" t="n">
        <v>0</v>
      </c>
      <c r="I928" t="n">
        <v>0</v>
      </c>
      <c r="J928" t="n">
        <v>0</v>
      </c>
      <c r="K928" t="n">
        <v>0</v>
      </c>
      <c r="L928" t="n">
        <v>0</v>
      </c>
      <c r="M928" t="n">
        <v>0</v>
      </c>
      <c r="N928" t="n">
        <v>0</v>
      </c>
      <c r="O928" t="n">
        <v>0</v>
      </c>
      <c r="P928" t="n">
        <v>0</v>
      </c>
      <c r="Q928" t="n">
        <v>0</v>
      </c>
      <c r="R928" s="2" t="inlineStr"/>
    </row>
    <row r="929" ht="15" customHeight="1">
      <c r="A929" t="inlineStr">
        <is>
          <t>A 56984-2022</t>
        </is>
      </c>
      <c r="B929" s="1" t="n">
        <v>44894</v>
      </c>
      <c r="C929" s="1" t="n">
        <v>45753</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58537-2022</t>
        </is>
      </c>
      <c r="B930" s="1" t="n">
        <v>44894</v>
      </c>
      <c r="C930" s="1" t="n">
        <v>45753</v>
      </c>
      <c r="D930" t="inlineStr">
        <is>
          <t>JÄMTLANDS LÄN</t>
        </is>
      </c>
      <c r="E930" t="inlineStr">
        <is>
          <t>RAGUNDA</t>
        </is>
      </c>
      <c r="G930" t="n">
        <v>1.2</v>
      </c>
      <c r="H930" t="n">
        <v>0</v>
      </c>
      <c r="I930" t="n">
        <v>0</v>
      </c>
      <c r="J930" t="n">
        <v>0</v>
      </c>
      <c r="K930" t="n">
        <v>0</v>
      </c>
      <c r="L930" t="n">
        <v>0</v>
      </c>
      <c r="M930" t="n">
        <v>0</v>
      </c>
      <c r="N930" t="n">
        <v>0</v>
      </c>
      <c r="O930" t="n">
        <v>0</v>
      </c>
      <c r="P930" t="n">
        <v>0</v>
      </c>
      <c r="Q930" t="n">
        <v>0</v>
      </c>
      <c r="R930" s="2" t="inlineStr"/>
    </row>
    <row r="931" ht="15" customHeight="1">
      <c r="A931" t="inlineStr">
        <is>
          <t>A 57298-2022</t>
        </is>
      </c>
      <c r="B931" s="1" t="n">
        <v>44895</v>
      </c>
      <c r="C931" s="1" t="n">
        <v>45753</v>
      </c>
      <c r="D931" t="inlineStr">
        <is>
          <t>JÄMTLANDS LÄN</t>
        </is>
      </c>
      <c r="E931" t="inlineStr">
        <is>
          <t>RAGUNDA</t>
        </is>
      </c>
      <c r="F931" t="inlineStr">
        <is>
          <t>SCA</t>
        </is>
      </c>
      <c r="G931" t="n">
        <v>27.4</v>
      </c>
      <c r="H931" t="n">
        <v>0</v>
      </c>
      <c r="I931" t="n">
        <v>0</v>
      </c>
      <c r="J931" t="n">
        <v>0</v>
      </c>
      <c r="K931" t="n">
        <v>0</v>
      </c>
      <c r="L931" t="n">
        <v>0</v>
      </c>
      <c r="M931" t="n">
        <v>0</v>
      </c>
      <c r="N931" t="n">
        <v>0</v>
      </c>
      <c r="O931" t="n">
        <v>0</v>
      </c>
      <c r="P931" t="n">
        <v>0</v>
      </c>
      <c r="Q931" t="n">
        <v>0</v>
      </c>
      <c r="R931" s="2" t="inlineStr"/>
    </row>
    <row r="932" ht="15" customHeight="1">
      <c r="A932" t="inlineStr">
        <is>
          <t>A 59242-2022</t>
        </is>
      </c>
      <c r="B932" s="1" t="n">
        <v>44896</v>
      </c>
      <c r="C932" s="1" t="n">
        <v>45753</v>
      </c>
      <c r="D932" t="inlineStr">
        <is>
          <t>JÄMTLANDS LÄN</t>
        </is>
      </c>
      <c r="E932" t="inlineStr">
        <is>
          <t>RAGUNDA</t>
        </is>
      </c>
      <c r="G932" t="n">
        <v>4</v>
      </c>
      <c r="H932" t="n">
        <v>0</v>
      </c>
      <c r="I932" t="n">
        <v>0</v>
      </c>
      <c r="J932" t="n">
        <v>0</v>
      </c>
      <c r="K932" t="n">
        <v>0</v>
      </c>
      <c r="L932" t="n">
        <v>0</v>
      </c>
      <c r="M932" t="n">
        <v>0</v>
      </c>
      <c r="N932" t="n">
        <v>0</v>
      </c>
      <c r="O932" t="n">
        <v>0</v>
      </c>
      <c r="P932" t="n">
        <v>0</v>
      </c>
      <c r="Q932" t="n">
        <v>0</v>
      </c>
      <c r="R932" s="2" t="inlineStr"/>
    </row>
    <row r="933" ht="15" customHeight="1">
      <c r="A933" t="inlineStr">
        <is>
          <t>A 57599-2022</t>
        </is>
      </c>
      <c r="B933" s="1" t="n">
        <v>44897</v>
      </c>
      <c r="C933" s="1" t="n">
        <v>45753</v>
      </c>
      <c r="D933" t="inlineStr">
        <is>
          <t>JÄMTLANDS LÄN</t>
        </is>
      </c>
      <c r="E933" t="inlineStr">
        <is>
          <t>RAGUNDA</t>
        </is>
      </c>
      <c r="F933" t="inlineStr">
        <is>
          <t>SCA</t>
        </is>
      </c>
      <c r="G933" t="n">
        <v>16.8</v>
      </c>
      <c r="H933" t="n">
        <v>0</v>
      </c>
      <c r="I933" t="n">
        <v>0</v>
      </c>
      <c r="J933" t="n">
        <v>0</v>
      </c>
      <c r="K933" t="n">
        <v>0</v>
      </c>
      <c r="L933" t="n">
        <v>0</v>
      </c>
      <c r="M933" t="n">
        <v>0</v>
      </c>
      <c r="N933" t="n">
        <v>0</v>
      </c>
      <c r="O933" t="n">
        <v>0</v>
      </c>
      <c r="P933" t="n">
        <v>0</v>
      </c>
      <c r="Q933" t="n">
        <v>0</v>
      </c>
      <c r="R933" s="2" t="inlineStr"/>
    </row>
    <row r="934" ht="15" customHeight="1">
      <c r="A934" t="inlineStr">
        <is>
          <t>A 57839-2022</t>
        </is>
      </c>
      <c r="B934" s="1" t="n">
        <v>44897</v>
      </c>
      <c r="C934" s="1" t="n">
        <v>45753</v>
      </c>
      <c r="D934" t="inlineStr">
        <is>
          <t>JÄMTLANDS LÄN</t>
        </is>
      </c>
      <c r="E934" t="inlineStr">
        <is>
          <t>RAGUNDA</t>
        </is>
      </c>
      <c r="F934" t="inlineStr">
        <is>
          <t>SCA</t>
        </is>
      </c>
      <c r="G934" t="n">
        <v>8.5</v>
      </c>
      <c r="H934" t="n">
        <v>0</v>
      </c>
      <c r="I934" t="n">
        <v>0</v>
      </c>
      <c r="J934" t="n">
        <v>0</v>
      </c>
      <c r="K934" t="n">
        <v>0</v>
      </c>
      <c r="L934" t="n">
        <v>0</v>
      </c>
      <c r="M934" t="n">
        <v>0</v>
      </c>
      <c r="N934" t="n">
        <v>0</v>
      </c>
      <c r="O934" t="n">
        <v>0</v>
      </c>
      <c r="P934" t="n">
        <v>0</v>
      </c>
      <c r="Q934" t="n">
        <v>0</v>
      </c>
      <c r="R934" s="2" t="inlineStr"/>
    </row>
    <row r="935" ht="15" customHeight="1">
      <c r="A935" t="inlineStr">
        <is>
          <t>A 58194-2022</t>
        </is>
      </c>
      <c r="B935" s="1" t="n">
        <v>44900</v>
      </c>
      <c r="C935" s="1" t="n">
        <v>45753</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58193-2022</t>
        </is>
      </c>
      <c r="B936" s="1" t="n">
        <v>44900</v>
      </c>
      <c r="C936" s="1" t="n">
        <v>45753</v>
      </c>
      <c r="D936" t="inlineStr">
        <is>
          <t>JÄMTLANDS LÄN</t>
        </is>
      </c>
      <c r="E936" t="inlineStr">
        <is>
          <t>RAGUNDA</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58442-2022</t>
        </is>
      </c>
      <c r="B937" s="1" t="n">
        <v>44901</v>
      </c>
      <c r="C937" s="1" t="n">
        <v>45753</v>
      </c>
      <c r="D937" t="inlineStr">
        <is>
          <t>JÄMTLANDS LÄN</t>
        </is>
      </c>
      <c r="E937" t="inlineStr">
        <is>
          <t>RAGUNDA</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58438-2022</t>
        </is>
      </c>
      <c r="B938" s="1" t="n">
        <v>44901</v>
      </c>
      <c r="C938" s="1" t="n">
        <v>45753</v>
      </c>
      <c r="D938" t="inlineStr">
        <is>
          <t>JÄMTLANDS LÄN</t>
        </is>
      </c>
      <c r="E938" t="inlineStr">
        <is>
          <t>RAGUNDA</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58443-2022</t>
        </is>
      </c>
      <c r="B939" s="1" t="n">
        <v>44901</v>
      </c>
      <c r="C939" s="1" t="n">
        <v>45753</v>
      </c>
      <c r="D939" t="inlineStr">
        <is>
          <t>JÄMTLANDS LÄN</t>
        </is>
      </c>
      <c r="E939" t="inlineStr">
        <is>
          <t>RAGUNDA</t>
        </is>
      </c>
      <c r="F939" t="inlineStr">
        <is>
          <t>SCA</t>
        </is>
      </c>
      <c r="G939" t="n">
        <v>4.4</v>
      </c>
      <c r="H939" t="n">
        <v>0</v>
      </c>
      <c r="I939" t="n">
        <v>0</v>
      </c>
      <c r="J939" t="n">
        <v>0</v>
      </c>
      <c r="K939" t="n">
        <v>0</v>
      </c>
      <c r="L939" t="n">
        <v>0</v>
      </c>
      <c r="M939" t="n">
        <v>0</v>
      </c>
      <c r="N939" t="n">
        <v>0</v>
      </c>
      <c r="O939" t="n">
        <v>0</v>
      </c>
      <c r="P939" t="n">
        <v>0</v>
      </c>
      <c r="Q939" t="n">
        <v>0</v>
      </c>
      <c r="R939" s="2" t="inlineStr"/>
    </row>
    <row r="940" ht="15" customHeight="1">
      <c r="A940" t="inlineStr">
        <is>
          <t>A 60225-2022</t>
        </is>
      </c>
      <c r="B940" s="1" t="n">
        <v>44903</v>
      </c>
      <c r="C940" s="1" t="n">
        <v>45753</v>
      </c>
      <c r="D940" t="inlineStr">
        <is>
          <t>JÄMTLANDS LÄN</t>
        </is>
      </c>
      <c r="E940" t="inlineStr">
        <is>
          <t>RAGUNDA</t>
        </is>
      </c>
      <c r="G940" t="n">
        <v>1</v>
      </c>
      <c r="H940" t="n">
        <v>0</v>
      </c>
      <c r="I940" t="n">
        <v>0</v>
      </c>
      <c r="J940" t="n">
        <v>0</v>
      </c>
      <c r="K940" t="n">
        <v>0</v>
      </c>
      <c r="L940" t="n">
        <v>0</v>
      </c>
      <c r="M940" t="n">
        <v>0</v>
      </c>
      <c r="N940" t="n">
        <v>0</v>
      </c>
      <c r="O940" t="n">
        <v>0</v>
      </c>
      <c r="P940" t="n">
        <v>0</v>
      </c>
      <c r="Q940" t="n">
        <v>0</v>
      </c>
      <c r="R940" s="2" t="inlineStr"/>
    </row>
    <row r="941" ht="15" customHeight="1">
      <c r="A941" t="inlineStr">
        <is>
          <t>A 59044-2022</t>
        </is>
      </c>
      <c r="B941" s="1" t="n">
        <v>44903</v>
      </c>
      <c r="C941" s="1" t="n">
        <v>45753</v>
      </c>
      <c r="D941" t="inlineStr">
        <is>
          <t>JÄMTLANDS LÄN</t>
        </is>
      </c>
      <c r="E941" t="inlineStr">
        <is>
          <t>RAGUNDA</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59368-2022</t>
        </is>
      </c>
      <c r="B942" s="1" t="n">
        <v>44904</v>
      </c>
      <c r="C942" s="1" t="n">
        <v>45753</v>
      </c>
      <c r="D942" t="inlineStr">
        <is>
          <t>JÄMTLANDS LÄN</t>
        </is>
      </c>
      <c r="E942" t="inlineStr">
        <is>
          <t>RAGUNDA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59911-2022</t>
        </is>
      </c>
      <c r="B943" s="1" t="n">
        <v>44909</v>
      </c>
      <c r="C943" s="1" t="n">
        <v>45753</v>
      </c>
      <c r="D943" t="inlineStr">
        <is>
          <t>JÄMTLANDS LÄN</t>
        </is>
      </c>
      <c r="E943" t="inlineStr">
        <is>
          <t>RAGUNDA</t>
        </is>
      </c>
      <c r="F943" t="inlineStr">
        <is>
          <t>SCA</t>
        </is>
      </c>
      <c r="G943" t="n">
        <v>17.1</v>
      </c>
      <c r="H943" t="n">
        <v>0</v>
      </c>
      <c r="I943" t="n">
        <v>0</v>
      </c>
      <c r="J943" t="n">
        <v>0</v>
      </c>
      <c r="K943" t="n">
        <v>0</v>
      </c>
      <c r="L943" t="n">
        <v>0</v>
      </c>
      <c r="M943" t="n">
        <v>0</v>
      </c>
      <c r="N943" t="n">
        <v>0</v>
      </c>
      <c r="O943" t="n">
        <v>0</v>
      </c>
      <c r="P943" t="n">
        <v>0</v>
      </c>
      <c r="Q943" t="n">
        <v>0</v>
      </c>
      <c r="R943" s="2" t="inlineStr"/>
    </row>
    <row r="944" ht="15" customHeight="1">
      <c r="A944" t="inlineStr">
        <is>
          <t>A 60177-2022</t>
        </is>
      </c>
      <c r="B944" s="1" t="n">
        <v>44909</v>
      </c>
      <c r="C944" s="1" t="n">
        <v>45753</v>
      </c>
      <c r="D944" t="inlineStr">
        <is>
          <t>JÄMTLANDS LÄN</t>
        </is>
      </c>
      <c r="E944" t="inlineStr">
        <is>
          <t>RAGUNDA</t>
        </is>
      </c>
      <c r="F944" t="inlineStr">
        <is>
          <t>SCA</t>
        </is>
      </c>
      <c r="G944" t="n">
        <v>17.9</v>
      </c>
      <c r="H944" t="n">
        <v>0</v>
      </c>
      <c r="I944" t="n">
        <v>0</v>
      </c>
      <c r="J944" t="n">
        <v>0</v>
      </c>
      <c r="K944" t="n">
        <v>0</v>
      </c>
      <c r="L944" t="n">
        <v>0</v>
      </c>
      <c r="M944" t="n">
        <v>0</v>
      </c>
      <c r="N944" t="n">
        <v>0</v>
      </c>
      <c r="O944" t="n">
        <v>0</v>
      </c>
      <c r="P944" t="n">
        <v>0</v>
      </c>
      <c r="Q944" t="n">
        <v>0</v>
      </c>
      <c r="R944" s="2" t="inlineStr"/>
    </row>
    <row r="945" ht="15" customHeight="1">
      <c r="A945" t="inlineStr">
        <is>
          <t>A 60660-2022</t>
        </is>
      </c>
      <c r="B945" s="1" t="n">
        <v>44911</v>
      </c>
      <c r="C945" s="1" t="n">
        <v>45753</v>
      </c>
      <c r="D945" t="inlineStr">
        <is>
          <t>JÄMTLANDS LÄN</t>
        </is>
      </c>
      <c r="E945" t="inlineStr">
        <is>
          <t>RAGUNDA</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60659-2022</t>
        </is>
      </c>
      <c r="B946" s="1" t="n">
        <v>44911</v>
      </c>
      <c r="C946" s="1" t="n">
        <v>45753</v>
      </c>
      <c r="D946" t="inlineStr">
        <is>
          <t>JÄMTLANDS LÄN</t>
        </is>
      </c>
      <c r="E946" t="inlineStr">
        <is>
          <t>RAGUNDA</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60673-2022</t>
        </is>
      </c>
      <c r="B947" s="1" t="n">
        <v>44911</v>
      </c>
      <c r="C947" s="1" t="n">
        <v>45753</v>
      </c>
      <c r="D947" t="inlineStr">
        <is>
          <t>JÄMTLANDS LÄN</t>
        </is>
      </c>
      <c r="E947" t="inlineStr">
        <is>
          <t>RAGUNDA</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60663-2022</t>
        </is>
      </c>
      <c r="B948" s="1" t="n">
        <v>44911</v>
      </c>
      <c r="C948" s="1" t="n">
        <v>45753</v>
      </c>
      <c r="D948" t="inlineStr">
        <is>
          <t>JÄMTLANDS LÄN</t>
        </is>
      </c>
      <c r="E948" t="inlineStr">
        <is>
          <t>RAGUNDA</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60699-2022</t>
        </is>
      </c>
      <c r="B949" s="1" t="n">
        <v>44911</v>
      </c>
      <c r="C949" s="1" t="n">
        <v>45753</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60739-2022</t>
        </is>
      </c>
      <c r="B950" s="1" t="n">
        <v>44913</v>
      </c>
      <c r="C950" s="1" t="n">
        <v>45753</v>
      </c>
      <c r="D950" t="inlineStr">
        <is>
          <t>JÄMTLANDS LÄN</t>
        </is>
      </c>
      <c r="E950" t="inlineStr">
        <is>
          <t>RAGUNDA</t>
        </is>
      </c>
      <c r="F950" t="inlineStr">
        <is>
          <t>Naturvårdsverket</t>
        </is>
      </c>
      <c r="G950" t="n">
        <v>6.6</v>
      </c>
      <c r="H950" t="n">
        <v>0</v>
      </c>
      <c r="I950" t="n">
        <v>0</v>
      </c>
      <c r="J950" t="n">
        <v>0</v>
      </c>
      <c r="K950" t="n">
        <v>0</v>
      </c>
      <c r="L950" t="n">
        <v>0</v>
      </c>
      <c r="M950" t="n">
        <v>0</v>
      </c>
      <c r="N950" t="n">
        <v>0</v>
      </c>
      <c r="O950" t="n">
        <v>0</v>
      </c>
      <c r="P950" t="n">
        <v>0</v>
      </c>
      <c r="Q950" t="n">
        <v>0</v>
      </c>
      <c r="R950" s="2" t="inlineStr"/>
    </row>
    <row r="951" ht="15" customHeight="1">
      <c r="A951" t="inlineStr">
        <is>
          <t>A 62011-2022</t>
        </is>
      </c>
      <c r="B951" s="1" t="n">
        <v>44914</v>
      </c>
      <c r="C951" s="1" t="n">
        <v>45753</v>
      </c>
      <c r="D951" t="inlineStr">
        <is>
          <t>JÄMTLANDS LÄN</t>
        </is>
      </c>
      <c r="E951" t="inlineStr">
        <is>
          <t>RAGUNDA</t>
        </is>
      </c>
      <c r="G951" t="n">
        <v>0.3</v>
      </c>
      <c r="H951" t="n">
        <v>0</v>
      </c>
      <c r="I951" t="n">
        <v>0</v>
      </c>
      <c r="J951" t="n">
        <v>0</v>
      </c>
      <c r="K951" t="n">
        <v>0</v>
      </c>
      <c r="L951" t="n">
        <v>0</v>
      </c>
      <c r="M951" t="n">
        <v>0</v>
      </c>
      <c r="N951" t="n">
        <v>0</v>
      </c>
      <c r="O951" t="n">
        <v>0</v>
      </c>
      <c r="P951" t="n">
        <v>0</v>
      </c>
      <c r="Q951" t="n">
        <v>0</v>
      </c>
      <c r="R951" s="2" t="inlineStr"/>
    </row>
    <row r="952" ht="15" customHeight="1">
      <c r="A952" t="inlineStr">
        <is>
          <t>A 61045-2022</t>
        </is>
      </c>
      <c r="B952" s="1" t="n">
        <v>44914</v>
      </c>
      <c r="C952" s="1" t="n">
        <v>45753</v>
      </c>
      <c r="D952" t="inlineStr">
        <is>
          <t>JÄMTLANDS LÄN</t>
        </is>
      </c>
      <c r="E952" t="inlineStr">
        <is>
          <t>RAGUNDA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61080-2022</t>
        </is>
      </c>
      <c r="B953" s="1" t="n">
        <v>44915</v>
      </c>
      <c r="C953" s="1" t="n">
        <v>45753</v>
      </c>
      <c r="D953" t="inlineStr">
        <is>
          <t>JÄMTLANDS LÄN</t>
        </is>
      </c>
      <c r="E953" t="inlineStr">
        <is>
          <t>RAGUNDA</t>
        </is>
      </c>
      <c r="G953" t="n">
        <v>3.4</v>
      </c>
      <c r="H953" t="n">
        <v>0</v>
      </c>
      <c r="I953" t="n">
        <v>0</v>
      </c>
      <c r="J953" t="n">
        <v>0</v>
      </c>
      <c r="K953" t="n">
        <v>0</v>
      </c>
      <c r="L953" t="n">
        <v>0</v>
      </c>
      <c r="M953" t="n">
        <v>0</v>
      </c>
      <c r="N953" t="n">
        <v>0</v>
      </c>
      <c r="O953" t="n">
        <v>0</v>
      </c>
      <c r="P953" t="n">
        <v>0</v>
      </c>
      <c r="Q953" t="n">
        <v>0</v>
      </c>
      <c r="R953" s="2" t="inlineStr"/>
    </row>
    <row r="954" ht="15" customHeight="1">
      <c r="A954" t="inlineStr">
        <is>
          <t>A 61400-2022</t>
        </is>
      </c>
      <c r="B954" s="1" t="n">
        <v>44915</v>
      </c>
      <c r="C954" s="1" t="n">
        <v>45753</v>
      </c>
      <c r="D954" t="inlineStr">
        <is>
          <t>JÄMTLANDS LÄN</t>
        </is>
      </c>
      <c r="E954" t="inlineStr">
        <is>
          <t>RAGUNDA</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61401-2022</t>
        </is>
      </c>
      <c r="B955" s="1" t="n">
        <v>44915</v>
      </c>
      <c r="C955" s="1" t="n">
        <v>45753</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62541-2022</t>
        </is>
      </c>
      <c r="B956" s="1" t="n">
        <v>44917</v>
      </c>
      <c r="C956" s="1" t="n">
        <v>45753</v>
      </c>
      <c r="D956" t="inlineStr">
        <is>
          <t>JÄMTLANDS LÄN</t>
        </is>
      </c>
      <c r="E956" t="inlineStr">
        <is>
          <t>RAGUNDA</t>
        </is>
      </c>
      <c r="G956" t="n">
        <v>2.6</v>
      </c>
      <c r="H956" t="n">
        <v>0</v>
      </c>
      <c r="I956" t="n">
        <v>0</v>
      </c>
      <c r="J956" t="n">
        <v>0</v>
      </c>
      <c r="K956" t="n">
        <v>0</v>
      </c>
      <c r="L956" t="n">
        <v>0</v>
      </c>
      <c r="M956" t="n">
        <v>0</v>
      </c>
      <c r="N956" t="n">
        <v>0</v>
      </c>
      <c r="O956" t="n">
        <v>0</v>
      </c>
      <c r="P956" t="n">
        <v>0</v>
      </c>
      <c r="Q956" t="n">
        <v>0</v>
      </c>
      <c r="R956" s="2" t="inlineStr"/>
    </row>
    <row r="957" ht="15" customHeight="1">
      <c r="A957" t="inlineStr">
        <is>
          <t>A 61934-2022</t>
        </is>
      </c>
      <c r="B957" s="1" t="n">
        <v>44917</v>
      </c>
      <c r="C957" s="1" t="n">
        <v>45753</v>
      </c>
      <c r="D957" t="inlineStr">
        <is>
          <t>JÄMTLANDS LÄN</t>
        </is>
      </c>
      <c r="E957" t="inlineStr">
        <is>
          <t>RAGUNDA</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62081-2022</t>
        </is>
      </c>
      <c r="B958" s="1" t="n">
        <v>44918</v>
      </c>
      <c r="C958" s="1" t="n">
        <v>45753</v>
      </c>
      <c r="D958" t="inlineStr">
        <is>
          <t>JÄMTLANDS LÄN</t>
        </is>
      </c>
      <c r="E958" t="inlineStr">
        <is>
          <t>RAGUNDA</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182-2023</t>
        </is>
      </c>
      <c r="B959" s="1" t="n">
        <v>44922</v>
      </c>
      <c r="C959" s="1" t="n">
        <v>45753</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62407-2022</t>
        </is>
      </c>
      <c r="B960" s="1" t="n">
        <v>44923</v>
      </c>
      <c r="C960" s="1" t="n">
        <v>45753</v>
      </c>
      <c r="D960" t="inlineStr">
        <is>
          <t>JÄMTLANDS LÄN</t>
        </is>
      </c>
      <c r="E960" t="inlineStr">
        <is>
          <t>RAGUNDA</t>
        </is>
      </c>
      <c r="F960" t="inlineStr">
        <is>
          <t>SCA</t>
        </is>
      </c>
      <c r="G960" t="n">
        <v>53.6</v>
      </c>
      <c r="H960" t="n">
        <v>0</v>
      </c>
      <c r="I960" t="n">
        <v>0</v>
      </c>
      <c r="J960" t="n">
        <v>0</v>
      </c>
      <c r="K960" t="n">
        <v>0</v>
      </c>
      <c r="L960" t="n">
        <v>0</v>
      </c>
      <c r="M960" t="n">
        <v>0</v>
      </c>
      <c r="N960" t="n">
        <v>0</v>
      </c>
      <c r="O960" t="n">
        <v>0</v>
      </c>
      <c r="P960" t="n">
        <v>0</v>
      </c>
      <c r="Q960" t="n">
        <v>0</v>
      </c>
      <c r="R960" s="2" t="inlineStr"/>
    </row>
    <row r="961" ht="15" customHeight="1">
      <c r="A961" t="inlineStr">
        <is>
          <t>A 17-2023</t>
        </is>
      </c>
      <c r="B961" s="1" t="n">
        <v>44927</v>
      </c>
      <c r="C961" s="1" t="n">
        <v>45753</v>
      </c>
      <c r="D961" t="inlineStr">
        <is>
          <t>JÄMTLANDS LÄN</t>
        </is>
      </c>
      <c r="E961" t="inlineStr">
        <is>
          <t>RAGUNDA</t>
        </is>
      </c>
      <c r="F961" t="inlineStr">
        <is>
          <t>SCA</t>
        </is>
      </c>
      <c r="G961" t="n">
        <v>49.6</v>
      </c>
      <c r="H961" t="n">
        <v>0</v>
      </c>
      <c r="I961" t="n">
        <v>0</v>
      </c>
      <c r="J961" t="n">
        <v>0</v>
      </c>
      <c r="K961" t="n">
        <v>0</v>
      </c>
      <c r="L961" t="n">
        <v>0</v>
      </c>
      <c r="M961" t="n">
        <v>0</v>
      </c>
      <c r="N961" t="n">
        <v>0</v>
      </c>
      <c r="O961" t="n">
        <v>0</v>
      </c>
      <c r="P961" t="n">
        <v>0</v>
      </c>
      <c r="Q961" t="n">
        <v>0</v>
      </c>
      <c r="R961" s="2" t="inlineStr"/>
    </row>
    <row r="962" ht="15" customHeight="1">
      <c r="A962" t="inlineStr">
        <is>
          <t>A 462-2023</t>
        </is>
      </c>
      <c r="B962" s="1" t="n">
        <v>44929</v>
      </c>
      <c r="C962" s="1" t="n">
        <v>45753</v>
      </c>
      <c r="D962" t="inlineStr">
        <is>
          <t>JÄMTLANDS LÄN</t>
        </is>
      </c>
      <c r="E962" t="inlineStr">
        <is>
          <t>RAGUNDA</t>
        </is>
      </c>
      <c r="G962" t="n">
        <v>4.5</v>
      </c>
      <c r="H962" t="n">
        <v>0</v>
      </c>
      <c r="I962" t="n">
        <v>0</v>
      </c>
      <c r="J962" t="n">
        <v>0</v>
      </c>
      <c r="K962" t="n">
        <v>0</v>
      </c>
      <c r="L962" t="n">
        <v>0</v>
      </c>
      <c r="M962" t="n">
        <v>0</v>
      </c>
      <c r="N962" t="n">
        <v>0</v>
      </c>
      <c r="O962" t="n">
        <v>0</v>
      </c>
      <c r="P962" t="n">
        <v>0</v>
      </c>
      <c r="Q962" t="n">
        <v>0</v>
      </c>
      <c r="R962" s="2" t="inlineStr"/>
    </row>
    <row r="963" ht="15" customHeight="1">
      <c r="A963" t="inlineStr">
        <is>
          <t>A 467-2023</t>
        </is>
      </c>
      <c r="B963" s="1" t="n">
        <v>44929</v>
      </c>
      <c r="C963" s="1" t="n">
        <v>45753</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465-2023</t>
        </is>
      </c>
      <c r="B964" s="1" t="n">
        <v>44929</v>
      </c>
      <c r="C964" s="1" t="n">
        <v>45753</v>
      </c>
      <c r="D964" t="inlineStr">
        <is>
          <t>JÄMTLANDS LÄN</t>
        </is>
      </c>
      <c r="E964" t="inlineStr">
        <is>
          <t>RAGUNDA</t>
        </is>
      </c>
      <c r="G964" t="n">
        <v>0.8</v>
      </c>
      <c r="H964" t="n">
        <v>0</v>
      </c>
      <c r="I964" t="n">
        <v>0</v>
      </c>
      <c r="J964" t="n">
        <v>0</v>
      </c>
      <c r="K964" t="n">
        <v>0</v>
      </c>
      <c r="L964" t="n">
        <v>0</v>
      </c>
      <c r="M964" t="n">
        <v>0</v>
      </c>
      <c r="N964" t="n">
        <v>0</v>
      </c>
      <c r="O964" t="n">
        <v>0</v>
      </c>
      <c r="P964" t="n">
        <v>0</v>
      </c>
      <c r="Q964" t="n">
        <v>0</v>
      </c>
      <c r="R964" s="2" t="inlineStr"/>
    </row>
    <row r="965" ht="15" customHeight="1">
      <c r="A965" t="inlineStr">
        <is>
          <t>A 464-2023</t>
        </is>
      </c>
      <c r="B965" s="1" t="n">
        <v>44929</v>
      </c>
      <c r="C965" s="1" t="n">
        <v>45753</v>
      </c>
      <c r="D965" t="inlineStr">
        <is>
          <t>JÄMTLANDS LÄN</t>
        </is>
      </c>
      <c r="E965" t="inlineStr">
        <is>
          <t>RAGUNDA</t>
        </is>
      </c>
      <c r="G965" t="n">
        <v>1.4</v>
      </c>
      <c r="H965" t="n">
        <v>0</v>
      </c>
      <c r="I965" t="n">
        <v>0</v>
      </c>
      <c r="J965" t="n">
        <v>0</v>
      </c>
      <c r="K965" t="n">
        <v>0</v>
      </c>
      <c r="L965" t="n">
        <v>0</v>
      </c>
      <c r="M965" t="n">
        <v>0</v>
      </c>
      <c r="N965" t="n">
        <v>0</v>
      </c>
      <c r="O965" t="n">
        <v>0</v>
      </c>
      <c r="P965" t="n">
        <v>0</v>
      </c>
      <c r="Q965" t="n">
        <v>0</v>
      </c>
      <c r="R965" s="2" t="inlineStr"/>
    </row>
    <row r="966" ht="15" customHeight="1">
      <c r="A966" t="inlineStr">
        <is>
          <t>A 719-2023</t>
        </is>
      </c>
      <c r="B966" s="1" t="n">
        <v>44930</v>
      </c>
      <c r="C966" s="1" t="n">
        <v>45753</v>
      </c>
      <c r="D966" t="inlineStr">
        <is>
          <t>JÄMTLANDS LÄN</t>
        </is>
      </c>
      <c r="E966" t="inlineStr">
        <is>
          <t>RAGUNDA</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718-2023</t>
        </is>
      </c>
      <c r="B967" s="1" t="n">
        <v>44930</v>
      </c>
      <c r="C967" s="1" t="n">
        <v>45753</v>
      </c>
      <c r="D967" t="inlineStr">
        <is>
          <t>JÄMTLANDS LÄN</t>
        </is>
      </c>
      <c r="E967" t="inlineStr">
        <is>
          <t>RAGUNDA</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934-2023</t>
        </is>
      </c>
      <c r="B968" s="1" t="n">
        <v>44932</v>
      </c>
      <c r="C968" s="1" t="n">
        <v>45753</v>
      </c>
      <c r="D968" t="inlineStr">
        <is>
          <t>JÄMTLANDS LÄN</t>
        </is>
      </c>
      <c r="E968" t="inlineStr">
        <is>
          <t>RAGUNDA</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1876-2023</t>
        </is>
      </c>
      <c r="B969" s="1" t="n">
        <v>44938</v>
      </c>
      <c r="C969" s="1" t="n">
        <v>45753</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1870-2023</t>
        </is>
      </c>
      <c r="B970" s="1" t="n">
        <v>44938</v>
      </c>
      <c r="C970" s="1" t="n">
        <v>45753</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1871-2023</t>
        </is>
      </c>
      <c r="B971" s="1" t="n">
        <v>44938</v>
      </c>
      <c r="C971" s="1" t="n">
        <v>45753</v>
      </c>
      <c r="D971" t="inlineStr">
        <is>
          <t>JÄMTLANDS LÄN</t>
        </is>
      </c>
      <c r="E971" t="inlineStr">
        <is>
          <t>RAGUNDA</t>
        </is>
      </c>
      <c r="F971" t="inlineStr">
        <is>
          <t>SCA</t>
        </is>
      </c>
      <c r="G971" t="n">
        <v>6.2</v>
      </c>
      <c r="H971" t="n">
        <v>0</v>
      </c>
      <c r="I971" t="n">
        <v>0</v>
      </c>
      <c r="J971" t="n">
        <v>0</v>
      </c>
      <c r="K971" t="n">
        <v>0</v>
      </c>
      <c r="L971" t="n">
        <v>0</v>
      </c>
      <c r="M971" t="n">
        <v>0</v>
      </c>
      <c r="N971" t="n">
        <v>0</v>
      </c>
      <c r="O971" t="n">
        <v>0</v>
      </c>
      <c r="P971" t="n">
        <v>0</v>
      </c>
      <c r="Q971" t="n">
        <v>0</v>
      </c>
      <c r="R971" s="2" t="inlineStr"/>
    </row>
    <row r="972" ht="15" customHeight="1">
      <c r="A972" t="inlineStr">
        <is>
          <t>A 1875-2023</t>
        </is>
      </c>
      <c r="B972" s="1" t="n">
        <v>44938</v>
      </c>
      <c r="C972" s="1" t="n">
        <v>45753</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2117-2023</t>
        </is>
      </c>
      <c r="B973" s="1" t="n">
        <v>44939</v>
      </c>
      <c r="C973" s="1" t="n">
        <v>45753</v>
      </c>
      <c r="D973" t="inlineStr">
        <is>
          <t>JÄMTLANDS LÄN</t>
        </is>
      </c>
      <c r="E973" t="inlineStr">
        <is>
          <t>RAGUNDA</t>
        </is>
      </c>
      <c r="F973" t="inlineStr">
        <is>
          <t>SCA</t>
        </is>
      </c>
      <c r="G973" t="n">
        <v>7.3</v>
      </c>
      <c r="H973" t="n">
        <v>0</v>
      </c>
      <c r="I973" t="n">
        <v>0</v>
      </c>
      <c r="J973" t="n">
        <v>0</v>
      </c>
      <c r="K973" t="n">
        <v>0</v>
      </c>
      <c r="L973" t="n">
        <v>0</v>
      </c>
      <c r="M973" t="n">
        <v>0</v>
      </c>
      <c r="N973" t="n">
        <v>0</v>
      </c>
      <c r="O973" t="n">
        <v>0</v>
      </c>
      <c r="P973" t="n">
        <v>0</v>
      </c>
      <c r="Q973" t="n">
        <v>0</v>
      </c>
      <c r="R973" s="2" t="inlineStr"/>
    </row>
    <row r="974" ht="15" customHeight="1">
      <c r="A974" t="inlineStr">
        <is>
          <t>A 2130-2023</t>
        </is>
      </c>
      <c r="B974" s="1" t="n">
        <v>44939</v>
      </c>
      <c r="C974" s="1" t="n">
        <v>45753</v>
      </c>
      <c r="D974" t="inlineStr">
        <is>
          <t>JÄMTLANDS LÄN</t>
        </is>
      </c>
      <c r="E974" t="inlineStr">
        <is>
          <t>RAGUNDA</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2127-2023</t>
        </is>
      </c>
      <c r="B975" s="1" t="n">
        <v>44939</v>
      </c>
      <c r="C975" s="1" t="n">
        <v>45753</v>
      </c>
      <c r="D975" t="inlineStr">
        <is>
          <t>JÄMTLANDS LÄN</t>
        </is>
      </c>
      <c r="E975" t="inlineStr">
        <is>
          <t>RAGUNDA</t>
        </is>
      </c>
      <c r="F975" t="inlineStr">
        <is>
          <t>SCA</t>
        </is>
      </c>
      <c r="G975" t="n">
        <v>6.6</v>
      </c>
      <c r="H975" t="n">
        <v>0</v>
      </c>
      <c r="I975" t="n">
        <v>0</v>
      </c>
      <c r="J975" t="n">
        <v>0</v>
      </c>
      <c r="K975" t="n">
        <v>0</v>
      </c>
      <c r="L975" t="n">
        <v>0</v>
      </c>
      <c r="M975" t="n">
        <v>0</v>
      </c>
      <c r="N975" t="n">
        <v>0</v>
      </c>
      <c r="O975" t="n">
        <v>0</v>
      </c>
      <c r="P975" t="n">
        <v>0</v>
      </c>
      <c r="Q975" t="n">
        <v>0</v>
      </c>
      <c r="R975" s="2" t="inlineStr"/>
    </row>
    <row r="976" ht="15" customHeight="1">
      <c r="A976" t="inlineStr">
        <is>
          <t>A 2133-2023</t>
        </is>
      </c>
      <c r="B976" s="1" t="n">
        <v>44939</v>
      </c>
      <c r="C976" s="1" t="n">
        <v>45753</v>
      </c>
      <c r="D976" t="inlineStr">
        <is>
          <t>JÄMTLANDS LÄN</t>
        </is>
      </c>
      <c r="E976" t="inlineStr">
        <is>
          <t>RAGUNDA</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2401-2023</t>
        </is>
      </c>
      <c r="B977" s="1" t="n">
        <v>44942</v>
      </c>
      <c r="C977" s="1" t="n">
        <v>45753</v>
      </c>
      <c r="D977" t="inlineStr">
        <is>
          <t>JÄMTLANDS LÄN</t>
        </is>
      </c>
      <c r="E977" t="inlineStr">
        <is>
          <t>RAGUNDA</t>
        </is>
      </c>
      <c r="G977" t="n">
        <v>6.3</v>
      </c>
      <c r="H977" t="n">
        <v>0</v>
      </c>
      <c r="I977" t="n">
        <v>0</v>
      </c>
      <c r="J977" t="n">
        <v>0</v>
      </c>
      <c r="K977" t="n">
        <v>0</v>
      </c>
      <c r="L977" t="n">
        <v>0</v>
      </c>
      <c r="M977" t="n">
        <v>0</v>
      </c>
      <c r="N977" t="n">
        <v>0</v>
      </c>
      <c r="O977" t="n">
        <v>0</v>
      </c>
      <c r="P977" t="n">
        <v>0</v>
      </c>
      <c r="Q977" t="n">
        <v>0</v>
      </c>
      <c r="R977" s="2" t="inlineStr"/>
    </row>
    <row r="978" ht="15" customHeight="1">
      <c r="A978" t="inlineStr">
        <is>
          <t>A 2411-2023</t>
        </is>
      </c>
      <c r="B978" s="1" t="n">
        <v>44942</v>
      </c>
      <c r="C978" s="1" t="n">
        <v>45753</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2402-2023</t>
        </is>
      </c>
      <c r="B979" s="1" t="n">
        <v>44942</v>
      </c>
      <c r="C979" s="1" t="n">
        <v>45753</v>
      </c>
      <c r="D979" t="inlineStr">
        <is>
          <t>JÄMTLANDS LÄN</t>
        </is>
      </c>
      <c r="E979" t="inlineStr">
        <is>
          <t>RAGUNDA</t>
        </is>
      </c>
      <c r="G979" t="n">
        <v>7.8</v>
      </c>
      <c r="H979" t="n">
        <v>0</v>
      </c>
      <c r="I979" t="n">
        <v>0</v>
      </c>
      <c r="J979" t="n">
        <v>0</v>
      </c>
      <c r="K979" t="n">
        <v>0</v>
      </c>
      <c r="L979" t="n">
        <v>0</v>
      </c>
      <c r="M979" t="n">
        <v>0</v>
      </c>
      <c r="N979" t="n">
        <v>0</v>
      </c>
      <c r="O979" t="n">
        <v>0</v>
      </c>
      <c r="P979" t="n">
        <v>0</v>
      </c>
      <c r="Q979" t="n">
        <v>0</v>
      </c>
      <c r="R979" s="2" t="inlineStr"/>
    </row>
    <row r="980" ht="15" customHeight="1">
      <c r="A980" t="inlineStr">
        <is>
          <t>A 2414-2023</t>
        </is>
      </c>
      <c r="B980" s="1" t="n">
        <v>44942</v>
      </c>
      <c r="C980" s="1" t="n">
        <v>45753</v>
      </c>
      <c r="D980" t="inlineStr">
        <is>
          <t>JÄMTLANDS LÄN</t>
        </is>
      </c>
      <c r="E980" t="inlineStr">
        <is>
          <t>RAGUNDA</t>
        </is>
      </c>
      <c r="F980" t="inlineStr">
        <is>
          <t>SCA</t>
        </is>
      </c>
      <c r="G980" t="n">
        <v>28.4</v>
      </c>
      <c r="H980" t="n">
        <v>0</v>
      </c>
      <c r="I980" t="n">
        <v>0</v>
      </c>
      <c r="J980" t="n">
        <v>0</v>
      </c>
      <c r="K980" t="n">
        <v>0</v>
      </c>
      <c r="L980" t="n">
        <v>0</v>
      </c>
      <c r="M980" t="n">
        <v>0</v>
      </c>
      <c r="N980" t="n">
        <v>0</v>
      </c>
      <c r="O980" t="n">
        <v>0</v>
      </c>
      <c r="P980" t="n">
        <v>0</v>
      </c>
      <c r="Q980" t="n">
        <v>0</v>
      </c>
      <c r="R980" s="2" t="inlineStr"/>
    </row>
    <row r="981" ht="15" customHeight="1">
      <c r="A981" t="inlineStr">
        <is>
          <t>A 2599-2023</t>
        </is>
      </c>
      <c r="B981" s="1" t="n">
        <v>44943</v>
      </c>
      <c r="C981" s="1" t="n">
        <v>45753</v>
      </c>
      <c r="D981" t="inlineStr">
        <is>
          <t>JÄMTLANDS LÄN</t>
        </is>
      </c>
      <c r="E981" t="inlineStr">
        <is>
          <t>RAGUNDA</t>
        </is>
      </c>
      <c r="F981" t="inlineStr">
        <is>
          <t>SCA</t>
        </is>
      </c>
      <c r="G981" t="n">
        <v>5.9</v>
      </c>
      <c r="H981" t="n">
        <v>0</v>
      </c>
      <c r="I981" t="n">
        <v>0</v>
      </c>
      <c r="J981" t="n">
        <v>0</v>
      </c>
      <c r="K981" t="n">
        <v>0</v>
      </c>
      <c r="L981" t="n">
        <v>0</v>
      </c>
      <c r="M981" t="n">
        <v>0</v>
      </c>
      <c r="N981" t="n">
        <v>0</v>
      </c>
      <c r="O981" t="n">
        <v>0</v>
      </c>
      <c r="P981" t="n">
        <v>0</v>
      </c>
      <c r="Q981" t="n">
        <v>0</v>
      </c>
      <c r="R981" s="2" t="inlineStr"/>
    </row>
    <row r="982" ht="15" customHeight="1">
      <c r="A982" t="inlineStr">
        <is>
          <t>A 2600-2023</t>
        </is>
      </c>
      <c r="B982" s="1" t="n">
        <v>44943</v>
      </c>
      <c r="C982" s="1" t="n">
        <v>45753</v>
      </c>
      <c r="D982" t="inlineStr">
        <is>
          <t>JÄMTLANDS LÄN</t>
        </is>
      </c>
      <c r="E982" t="inlineStr">
        <is>
          <t>RAGUNDA</t>
        </is>
      </c>
      <c r="F982" t="inlineStr">
        <is>
          <t>SCA</t>
        </is>
      </c>
      <c r="G982" t="n">
        <v>8.5</v>
      </c>
      <c r="H982" t="n">
        <v>0</v>
      </c>
      <c r="I982" t="n">
        <v>0</v>
      </c>
      <c r="J982" t="n">
        <v>0</v>
      </c>
      <c r="K982" t="n">
        <v>0</v>
      </c>
      <c r="L982" t="n">
        <v>0</v>
      </c>
      <c r="M982" t="n">
        <v>0</v>
      </c>
      <c r="N982" t="n">
        <v>0</v>
      </c>
      <c r="O982" t="n">
        <v>0</v>
      </c>
      <c r="P982" t="n">
        <v>0</v>
      </c>
      <c r="Q982" t="n">
        <v>0</v>
      </c>
      <c r="R982" s="2" t="inlineStr"/>
    </row>
    <row r="983" ht="15" customHeight="1">
      <c r="A983" t="inlineStr">
        <is>
          <t>A 2819-2023</t>
        </is>
      </c>
      <c r="B983" s="1" t="n">
        <v>44944</v>
      </c>
      <c r="C983" s="1" t="n">
        <v>45753</v>
      </c>
      <c r="D983" t="inlineStr">
        <is>
          <t>JÄMTLANDS LÄN</t>
        </is>
      </c>
      <c r="E983" t="inlineStr">
        <is>
          <t>RAGUNDA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3034-2023</t>
        </is>
      </c>
      <c r="B984" s="1" t="n">
        <v>44945</v>
      </c>
      <c r="C984" s="1" t="n">
        <v>45753</v>
      </c>
      <c r="D984" t="inlineStr">
        <is>
          <t>JÄMTLANDS LÄN</t>
        </is>
      </c>
      <c r="E984" t="inlineStr">
        <is>
          <t>RAGUNDA</t>
        </is>
      </c>
      <c r="F984" t="inlineStr">
        <is>
          <t>SCA</t>
        </is>
      </c>
      <c r="G984" t="n">
        <v>19.1</v>
      </c>
      <c r="H984" t="n">
        <v>0</v>
      </c>
      <c r="I984" t="n">
        <v>0</v>
      </c>
      <c r="J984" t="n">
        <v>0</v>
      </c>
      <c r="K984" t="n">
        <v>0</v>
      </c>
      <c r="L984" t="n">
        <v>0</v>
      </c>
      <c r="M984" t="n">
        <v>0</v>
      </c>
      <c r="N984" t="n">
        <v>0</v>
      </c>
      <c r="O984" t="n">
        <v>0</v>
      </c>
      <c r="P984" t="n">
        <v>0</v>
      </c>
      <c r="Q984" t="n">
        <v>0</v>
      </c>
      <c r="R984" s="2" t="inlineStr"/>
    </row>
    <row r="985" ht="15" customHeight="1">
      <c r="A985" t="inlineStr">
        <is>
          <t>A 3242-2023</t>
        </is>
      </c>
      <c r="B985" s="1" t="n">
        <v>44946</v>
      </c>
      <c r="C985" s="1" t="n">
        <v>45753</v>
      </c>
      <c r="D985" t="inlineStr">
        <is>
          <t>JÄMTLANDS LÄN</t>
        </is>
      </c>
      <c r="E985" t="inlineStr">
        <is>
          <t>RAGUNDA</t>
        </is>
      </c>
      <c r="F985" t="inlineStr">
        <is>
          <t>SCA</t>
        </is>
      </c>
      <c r="G985" t="n">
        <v>4.9</v>
      </c>
      <c r="H985" t="n">
        <v>0</v>
      </c>
      <c r="I985" t="n">
        <v>0</v>
      </c>
      <c r="J985" t="n">
        <v>0</v>
      </c>
      <c r="K985" t="n">
        <v>0</v>
      </c>
      <c r="L985" t="n">
        <v>0</v>
      </c>
      <c r="M985" t="n">
        <v>0</v>
      </c>
      <c r="N985" t="n">
        <v>0</v>
      </c>
      <c r="O985" t="n">
        <v>0</v>
      </c>
      <c r="P985" t="n">
        <v>0</v>
      </c>
      <c r="Q985" t="n">
        <v>0</v>
      </c>
      <c r="R985" s="2" t="inlineStr"/>
    </row>
    <row r="986" ht="15" customHeight="1">
      <c r="A986" t="inlineStr">
        <is>
          <t>A 3243-2023</t>
        </is>
      </c>
      <c r="B986" s="1" t="n">
        <v>44946</v>
      </c>
      <c r="C986" s="1" t="n">
        <v>45753</v>
      </c>
      <c r="D986" t="inlineStr">
        <is>
          <t>JÄMTLANDS LÄN</t>
        </is>
      </c>
      <c r="E986" t="inlineStr">
        <is>
          <t>RAGUNDA</t>
        </is>
      </c>
      <c r="F986" t="inlineStr">
        <is>
          <t>SCA</t>
        </is>
      </c>
      <c r="G986" t="n">
        <v>11.2</v>
      </c>
      <c r="H986" t="n">
        <v>0</v>
      </c>
      <c r="I986" t="n">
        <v>0</v>
      </c>
      <c r="J986" t="n">
        <v>0</v>
      </c>
      <c r="K986" t="n">
        <v>0</v>
      </c>
      <c r="L986" t="n">
        <v>0</v>
      </c>
      <c r="M986" t="n">
        <v>0</v>
      </c>
      <c r="N986" t="n">
        <v>0</v>
      </c>
      <c r="O986" t="n">
        <v>0</v>
      </c>
      <c r="P986" t="n">
        <v>0</v>
      </c>
      <c r="Q986" t="n">
        <v>0</v>
      </c>
      <c r="R986" s="2" t="inlineStr"/>
    </row>
    <row r="987" ht="15" customHeight="1">
      <c r="A987" t="inlineStr">
        <is>
          <t>A 4348-2023</t>
        </is>
      </c>
      <c r="B987" s="1" t="n">
        <v>44953</v>
      </c>
      <c r="C987" s="1" t="n">
        <v>45753</v>
      </c>
      <c r="D987" t="inlineStr">
        <is>
          <t>JÄMTLANDS LÄN</t>
        </is>
      </c>
      <c r="E987" t="inlineStr">
        <is>
          <t>RAGUNDA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4346-2023</t>
        </is>
      </c>
      <c r="B988" s="1" t="n">
        <v>44954</v>
      </c>
      <c r="C988" s="1" t="n">
        <v>45753</v>
      </c>
      <c r="D988" t="inlineStr">
        <is>
          <t>JÄMTLANDS LÄN</t>
        </is>
      </c>
      <c r="E988" t="inlineStr">
        <is>
          <t>RAGUNDA</t>
        </is>
      </c>
      <c r="F988" t="inlineStr">
        <is>
          <t>SCA</t>
        </is>
      </c>
      <c r="G988" t="n">
        <v>14.2</v>
      </c>
      <c r="H988" t="n">
        <v>0</v>
      </c>
      <c r="I988" t="n">
        <v>0</v>
      </c>
      <c r="J988" t="n">
        <v>0</v>
      </c>
      <c r="K988" t="n">
        <v>0</v>
      </c>
      <c r="L988" t="n">
        <v>0</v>
      </c>
      <c r="M988" t="n">
        <v>0</v>
      </c>
      <c r="N988" t="n">
        <v>0</v>
      </c>
      <c r="O988" t="n">
        <v>0</v>
      </c>
      <c r="P988" t="n">
        <v>0</v>
      </c>
      <c r="Q988" t="n">
        <v>0</v>
      </c>
      <c r="R988" s="2" t="inlineStr"/>
    </row>
    <row r="989" ht="15" customHeight="1">
      <c r="A989" t="inlineStr">
        <is>
          <t>A 4350-2023</t>
        </is>
      </c>
      <c r="B989" s="1" t="n">
        <v>44953</v>
      </c>
      <c r="C989" s="1" t="n">
        <v>45753</v>
      </c>
      <c r="D989" t="inlineStr">
        <is>
          <t>JÄMTLANDS LÄN</t>
        </is>
      </c>
      <c r="E989" t="inlineStr">
        <is>
          <t>RAGUNDA</t>
        </is>
      </c>
      <c r="F989" t="inlineStr">
        <is>
          <t>Naturvårdsverket</t>
        </is>
      </c>
      <c r="G989" t="n">
        <v>10.4</v>
      </c>
      <c r="H989" t="n">
        <v>0</v>
      </c>
      <c r="I989" t="n">
        <v>0</v>
      </c>
      <c r="J989" t="n">
        <v>0</v>
      </c>
      <c r="K989" t="n">
        <v>0</v>
      </c>
      <c r="L989" t="n">
        <v>0</v>
      </c>
      <c r="M989" t="n">
        <v>0</v>
      </c>
      <c r="N989" t="n">
        <v>0</v>
      </c>
      <c r="O989" t="n">
        <v>0</v>
      </c>
      <c r="P989" t="n">
        <v>0</v>
      </c>
      <c r="Q989" t="n">
        <v>0</v>
      </c>
      <c r="R989" s="2" t="inlineStr"/>
    </row>
    <row r="990" ht="15" customHeight="1">
      <c r="A990" t="inlineStr">
        <is>
          <t>A 4349-2023</t>
        </is>
      </c>
      <c r="B990" s="1" t="n">
        <v>44954</v>
      </c>
      <c r="C990" s="1" t="n">
        <v>45753</v>
      </c>
      <c r="D990" t="inlineStr">
        <is>
          <t>JÄMTLANDS LÄN</t>
        </is>
      </c>
      <c r="E990" t="inlineStr">
        <is>
          <t>RAGUNDA</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4622-2023</t>
        </is>
      </c>
      <c r="B991" s="1" t="n">
        <v>44956</v>
      </c>
      <c r="C991" s="1" t="n">
        <v>45753</v>
      </c>
      <c r="D991" t="inlineStr">
        <is>
          <t>JÄMTLANDS LÄN</t>
        </is>
      </c>
      <c r="E991" t="inlineStr">
        <is>
          <t>RAGUNDA</t>
        </is>
      </c>
      <c r="F991" t="inlineStr">
        <is>
          <t>Sveaskog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4620-2023</t>
        </is>
      </c>
      <c r="B992" s="1" t="n">
        <v>44956</v>
      </c>
      <c r="C992" s="1" t="n">
        <v>45753</v>
      </c>
      <c r="D992" t="inlineStr">
        <is>
          <t>JÄMTLANDS LÄN</t>
        </is>
      </c>
      <c r="E992" t="inlineStr">
        <is>
          <t>RAGUNDA</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4615-2023</t>
        </is>
      </c>
      <c r="B993" s="1" t="n">
        <v>44956</v>
      </c>
      <c r="C993" s="1" t="n">
        <v>45753</v>
      </c>
      <c r="D993" t="inlineStr">
        <is>
          <t>JÄMTLANDS LÄN</t>
        </is>
      </c>
      <c r="E993" t="inlineStr">
        <is>
          <t>RAGUNDA</t>
        </is>
      </c>
      <c r="F993" t="inlineStr">
        <is>
          <t>SCA</t>
        </is>
      </c>
      <c r="G993" t="n">
        <v>3.7</v>
      </c>
      <c r="H993" t="n">
        <v>0</v>
      </c>
      <c r="I993" t="n">
        <v>0</v>
      </c>
      <c r="J993" t="n">
        <v>0</v>
      </c>
      <c r="K993" t="n">
        <v>0</v>
      </c>
      <c r="L993" t="n">
        <v>0</v>
      </c>
      <c r="M993" t="n">
        <v>0</v>
      </c>
      <c r="N993" t="n">
        <v>0</v>
      </c>
      <c r="O993" t="n">
        <v>0</v>
      </c>
      <c r="P993" t="n">
        <v>0</v>
      </c>
      <c r="Q993" t="n">
        <v>0</v>
      </c>
      <c r="R993" s="2" t="inlineStr"/>
    </row>
    <row r="994" ht="15" customHeight="1">
      <c r="A994" t="inlineStr">
        <is>
          <t>A 4882-2023</t>
        </is>
      </c>
      <c r="B994" s="1" t="n">
        <v>44957</v>
      </c>
      <c r="C994" s="1" t="n">
        <v>45753</v>
      </c>
      <c r="D994" t="inlineStr">
        <is>
          <t>JÄMTLANDS LÄN</t>
        </is>
      </c>
      <c r="E994" t="inlineStr">
        <is>
          <t>RAGUNDA</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4874-2023</t>
        </is>
      </c>
      <c r="B995" s="1" t="n">
        <v>44957</v>
      </c>
      <c r="C995" s="1" t="n">
        <v>45753</v>
      </c>
      <c r="D995" t="inlineStr">
        <is>
          <t>JÄMTLANDS LÄN</t>
        </is>
      </c>
      <c r="E995" t="inlineStr">
        <is>
          <t>RAGUNDA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4879-2023</t>
        </is>
      </c>
      <c r="B996" s="1" t="n">
        <v>44957</v>
      </c>
      <c r="C996" s="1" t="n">
        <v>45753</v>
      </c>
      <c r="D996" t="inlineStr">
        <is>
          <t>JÄMTLANDS LÄN</t>
        </is>
      </c>
      <c r="E996" t="inlineStr">
        <is>
          <t>RAGUNDA</t>
        </is>
      </c>
      <c r="F996" t="inlineStr">
        <is>
          <t>SCA</t>
        </is>
      </c>
      <c r="G996" t="n">
        <v>17.4</v>
      </c>
      <c r="H996" t="n">
        <v>0</v>
      </c>
      <c r="I996" t="n">
        <v>0</v>
      </c>
      <c r="J996" t="n">
        <v>0</v>
      </c>
      <c r="K996" t="n">
        <v>0</v>
      </c>
      <c r="L996" t="n">
        <v>0</v>
      </c>
      <c r="M996" t="n">
        <v>0</v>
      </c>
      <c r="N996" t="n">
        <v>0</v>
      </c>
      <c r="O996" t="n">
        <v>0</v>
      </c>
      <c r="P996" t="n">
        <v>0</v>
      </c>
      <c r="Q996" t="n">
        <v>0</v>
      </c>
      <c r="R996" s="2" t="inlineStr"/>
    </row>
    <row r="997" ht="15" customHeight="1">
      <c r="A997" t="inlineStr">
        <is>
          <t>A 5163-2023</t>
        </is>
      </c>
      <c r="B997" s="1" t="n">
        <v>44958</v>
      </c>
      <c r="C997" s="1" t="n">
        <v>45753</v>
      </c>
      <c r="D997" t="inlineStr">
        <is>
          <t>JÄMTLANDS LÄN</t>
        </is>
      </c>
      <c r="E997" t="inlineStr">
        <is>
          <t>RAGUNDA</t>
        </is>
      </c>
      <c r="F997" t="inlineStr">
        <is>
          <t>SCA</t>
        </is>
      </c>
      <c r="G997" t="n">
        <v>4.4</v>
      </c>
      <c r="H997" t="n">
        <v>0</v>
      </c>
      <c r="I997" t="n">
        <v>0</v>
      </c>
      <c r="J997" t="n">
        <v>0</v>
      </c>
      <c r="K997" t="n">
        <v>0</v>
      </c>
      <c r="L997" t="n">
        <v>0</v>
      </c>
      <c r="M997" t="n">
        <v>0</v>
      </c>
      <c r="N997" t="n">
        <v>0</v>
      </c>
      <c r="O997" t="n">
        <v>0</v>
      </c>
      <c r="P997" t="n">
        <v>0</v>
      </c>
      <c r="Q997" t="n">
        <v>0</v>
      </c>
      <c r="R997" s="2" t="inlineStr"/>
    </row>
    <row r="998" ht="15" customHeight="1">
      <c r="A998" t="inlineStr">
        <is>
          <t>A 5815-2023</t>
        </is>
      </c>
      <c r="B998" s="1" t="n">
        <v>44958</v>
      </c>
      <c r="C998" s="1" t="n">
        <v>45753</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5148-2023</t>
        </is>
      </c>
      <c r="B999" s="1" t="n">
        <v>44958</v>
      </c>
      <c r="C999" s="1" t="n">
        <v>45753</v>
      </c>
      <c r="D999" t="inlineStr">
        <is>
          <t>JÄMTLANDS LÄN</t>
        </is>
      </c>
      <c r="E999" t="inlineStr">
        <is>
          <t>RAGUNDA</t>
        </is>
      </c>
      <c r="G999" t="n">
        <v>2.9</v>
      </c>
      <c r="H999" t="n">
        <v>0</v>
      </c>
      <c r="I999" t="n">
        <v>0</v>
      </c>
      <c r="J999" t="n">
        <v>0</v>
      </c>
      <c r="K999" t="n">
        <v>0</v>
      </c>
      <c r="L999" t="n">
        <v>0</v>
      </c>
      <c r="M999" t="n">
        <v>0</v>
      </c>
      <c r="N999" t="n">
        <v>0</v>
      </c>
      <c r="O999" t="n">
        <v>0</v>
      </c>
      <c r="P999" t="n">
        <v>0</v>
      </c>
      <c r="Q999" t="n">
        <v>0</v>
      </c>
      <c r="R999" s="2" t="inlineStr"/>
    </row>
    <row r="1000" ht="15" customHeight="1">
      <c r="A1000" t="inlineStr">
        <is>
          <t>A 5164-2023</t>
        </is>
      </c>
      <c r="B1000" s="1" t="n">
        <v>44958</v>
      </c>
      <c r="C1000" s="1" t="n">
        <v>45753</v>
      </c>
      <c r="D1000" t="inlineStr">
        <is>
          <t>JÄMTLANDS LÄN</t>
        </is>
      </c>
      <c r="E1000" t="inlineStr">
        <is>
          <t>RAGUNDA</t>
        </is>
      </c>
      <c r="F1000" t="inlineStr">
        <is>
          <t>SCA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5175-2023</t>
        </is>
      </c>
      <c r="B1001" s="1" t="n">
        <v>44958</v>
      </c>
      <c r="C1001" s="1" t="n">
        <v>45753</v>
      </c>
      <c r="D1001" t="inlineStr">
        <is>
          <t>JÄMTLANDS LÄN</t>
        </is>
      </c>
      <c r="E1001" t="inlineStr">
        <is>
          <t>RAGUNDA</t>
        </is>
      </c>
      <c r="F1001" t="inlineStr">
        <is>
          <t>SCA</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5439-2023</t>
        </is>
      </c>
      <c r="B1002" s="1" t="n">
        <v>44959</v>
      </c>
      <c r="C1002" s="1" t="n">
        <v>45753</v>
      </c>
      <c r="D1002" t="inlineStr">
        <is>
          <t>JÄMTLANDS LÄN</t>
        </is>
      </c>
      <c r="E1002" t="inlineStr">
        <is>
          <t>RAGUNDA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5711-2023</t>
        </is>
      </c>
      <c r="B1003" s="1" t="n">
        <v>44960</v>
      </c>
      <c r="C1003" s="1" t="n">
        <v>45753</v>
      </c>
      <c r="D1003" t="inlineStr">
        <is>
          <t>JÄMTLANDS LÄN</t>
        </is>
      </c>
      <c r="E1003" t="inlineStr">
        <is>
          <t>RAGUNDA</t>
        </is>
      </c>
      <c r="F1003" t="inlineStr">
        <is>
          <t>SCA</t>
        </is>
      </c>
      <c r="G1003" t="n">
        <v>15.4</v>
      </c>
      <c r="H1003" t="n">
        <v>0</v>
      </c>
      <c r="I1003" t="n">
        <v>0</v>
      </c>
      <c r="J1003" t="n">
        <v>0</v>
      </c>
      <c r="K1003" t="n">
        <v>0</v>
      </c>
      <c r="L1003" t="n">
        <v>0</v>
      </c>
      <c r="M1003" t="n">
        <v>0</v>
      </c>
      <c r="N1003" t="n">
        <v>0</v>
      </c>
      <c r="O1003" t="n">
        <v>0</v>
      </c>
      <c r="P1003" t="n">
        <v>0</v>
      </c>
      <c r="Q1003" t="n">
        <v>0</v>
      </c>
      <c r="R1003" s="2" t="inlineStr"/>
    </row>
    <row r="1004" ht="15" customHeight="1">
      <c r="A1004" t="inlineStr">
        <is>
          <t>A 5958-2023</t>
        </is>
      </c>
      <c r="B1004" s="1" t="n">
        <v>44963</v>
      </c>
      <c r="C1004" s="1" t="n">
        <v>45753</v>
      </c>
      <c r="D1004" t="inlineStr">
        <is>
          <t>JÄMTLANDS LÄN</t>
        </is>
      </c>
      <c r="E1004" t="inlineStr">
        <is>
          <t>RAGUNDA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6586-2023</t>
        </is>
      </c>
      <c r="B1005" s="1" t="n">
        <v>44963</v>
      </c>
      <c r="C1005" s="1" t="n">
        <v>45753</v>
      </c>
      <c r="D1005" t="inlineStr">
        <is>
          <t>JÄMTLANDS LÄN</t>
        </is>
      </c>
      <c r="E1005" t="inlineStr">
        <is>
          <t>RAGUNDA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6467-2023</t>
        </is>
      </c>
      <c r="B1006" s="1" t="n">
        <v>44965</v>
      </c>
      <c r="C1006" s="1" t="n">
        <v>45753</v>
      </c>
      <c r="D1006" t="inlineStr">
        <is>
          <t>JÄMTLANDS LÄN</t>
        </is>
      </c>
      <c r="E1006" t="inlineStr">
        <is>
          <t>RAGUNDA</t>
        </is>
      </c>
      <c r="F1006" t="inlineStr">
        <is>
          <t>SCA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6470-2023</t>
        </is>
      </c>
      <c r="B1007" s="1" t="n">
        <v>44965</v>
      </c>
      <c r="C1007" s="1" t="n">
        <v>45753</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6801-2023</t>
        </is>
      </c>
      <c r="B1008" s="1" t="n">
        <v>44966</v>
      </c>
      <c r="C1008" s="1" t="n">
        <v>45753</v>
      </c>
      <c r="D1008" t="inlineStr">
        <is>
          <t>JÄMTLANDS LÄN</t>
        </is>
      </c>
      <c r="E1008" t="inlineStr">
        <is>
          <t>RAGUNDA</t>
        </is>
      </c>
      <c r="F1008" t="inlineStr">
        <is>
          <t>SCA</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6802-2023</t>
        </is>
      </c>
      <c r="B1009" s="1" t="n">
        <v>44966</v>
      </c>
      <c r="C1009" s="1" t="n">
        <v>45753</v>
      </c>
      <c r="D1009" t="inlineStr">
        <is>
          <t>JÄMTLANDS LÄN</t>
        </is>
      </c>
      <c r="E1009" t="inlineStr">
        <is>
          <t>RAGUNDA</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6800-2023</t>
        </is>
      </c>
      <c r="B1010" s="1" t="n">
        <v>44966</v>
      </c>
      <c r="C1010" s="1" t="n">
        <v>45753</v>
      </c>
      <c r="D1010" t="inlineStr">
        <is>
          <t>JÄMTLANDS LÄN</t>
        </is>
      </c>
      <c r="E1010" t="inlineStr">
        <is>
          <t>RAGUNDA</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7019-2023</t>
        </is>
      </c>
      <c r="B1011" s="1" t="n">
        <v>44968</v>
      </c>
      <c r="C1011" s="1" t="n">
        <v>45753</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7021-2023</t>
        </is>
      </c>
      <c r="B1012" s="1" t="n">
        <v>44967</v>
      </c>
      <c r="C1012" s="1" t="n">
        <v>45753</v>
      </c>
      <c r="D1012" t="inlineStr">
        <is>
          <t>JÄMTLANDS LÄN</t>
        </is>
      </c>
      <c r="E1012" t="inlineStr">
        <is>
          <t>RAGUNDA</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7520-2023</t>
        </is>
      </c>
      <c r="B1013" s="1" t="n">
        <v>44971</v>
      </c>
      <c r="C1013" s="1" t="n">
        <v>45753</v>
      </c>
      <c r="D1013" t="inlineStr">
        <is>
          <t>JÄMTLANDS LÄN</t>
        </is>
      </c>
      <c r="E1013" t="inlineStr">
        <is>
          <t>RAGUNDA</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7521-2023</t>
        </is>
      </c>
      <c r="B1014" s="1" t="n">
        <v>44972</v>
      </c>
      <c r="C1014" s="1" t="n">
        <v>45753</v>
      </c>
      <c r="D1014" t="inlineStr">
        <is>
          <t>JÄMTLANDS LÄN</t>
        </is>
      </c>
      <c r="E1014" t="inlineStr">
        <is>
          <t>RAGUNDA</t>
        </is>
      </c>
      <c r="F1014" t="inlineStr">
        <is>
          <t>SCA</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7722-2023</t>
        </is>
      </c>
      <c r="B1015" s="1" t="n">
        <v>44972</v>
      </c>
      <c r="C1015" s="1" t="n">
        <v>45753</v>
      </c>
      <c r="D1015" t="inlineStr">
        <is>
          <t>JÄMTLANDS LÄN</t>
        </is>
      </c>
      <c r="E1015" t="inlineStr">
        <is>
          <t>RAGUNDA</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8416-2023</t>
        </is>
      </c>
      <c r="B1016" s="1" t="n">
        <v>44977</v>
      </c>
      <c r="C1016" s="1" t="n">
        <v>45753</v>
      </c>
      <c r="D1016" t="inlineStr">
        <is>
          <t>JÄMTLANDS LÄN</t>
        </is>
      </c>
      <c r="E1016" t="inlineStr">
        <is>
          <t>RAGUNDA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8403-2023</t>
        </is>
      </c>
      <c r="B1017" s="1" t="n">
        <v>44977</v>
      </c>
      <c r="C1017" s="1" t="n">
        <v>45753</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8678-2023</t>
        </is>
      </c>
      <c r="B1018" s="1" t="n">
        <v>44978</v>
      </c>
      <c r="C1018" s="1" t="n">
        <v>45753</v>
      </c>
      <c r="D1018" t="inlineStr">
        <is>
          <t>JÄMTLANDS LÄN</t>
        </is>
      </c>
      <c r="E1018" t="inlineStr">
        <is>
          <t>RAGUNDA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8679-2023</t>
        </is>
      </c>
      <c r="B1019" s="1" t="n">
        <v>44978</v>
      </c>
      <c r="C1019" s="1" t="n">
        <v>45753</v>
      </c>
      <c r="D1019" t="inlineStr">
        <is>
          <t>JÄMTLANDS LÄN</t>
        </is>
      </c>
      <c r="E1019" t="inlineStr">
        <is>
          <t>RAGUNDA</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8877-2023</t>
        </is>
      </c>
      <c r="B1020" s="1" t="n">
        <v>44978</v>
      </c>
      <c r="C1020" s="1" t="n">
        <v>45753</v>
      </c>
      <c r="D1020" t="inlineStr">
        <is>
          <t>JÄMTLANDS LÄN</t>
        </is>
      </c>
      <c r="E1020" t="inlineStr">
        <is>
          <t>RAGUNDA</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8878-2023</t>
        </is>
      </c>
      <c r="B1021" s="1" t="n">
        <v>44978</v>
      </c>
      <c r="C1021" s="1" t="n">
        <v>45753</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8876-2023</t>
        </is>
      </c>
      <c r="B1022" s="1" t="n">
        <v>44978</v>
      </c>
      <c r="C1022" s="1" t="n">
        <v>45753</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9084-2023</t>
        </is>
      </c>
      <c r="B1023" s="1" t="n">
        <v>44979</v>
      </c>
      <c r="C1023" s="1" t="n">
        <v>45753</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9082-2023</t>
        </is>
      </c>
      <c r="B1024" s="1" t="n">
        <v>44979</v>
      </c>
      <c r="C1024" s="1" t="n">
        <v>45753</v>
      </c>
      <c r="D1024" t="inlineStr">
        <is>
          <t>JÄMTLANDS LÄN</t>
        </is>
      </c>
      <c r="E1024" t="inlineStr">
        <is>
          <t>RAGUNDA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9100-2023</t>
        </is>
      </c>
      <c r="B1025" s="1" t="n">
        <v>44979</v>
      </c>
      <c r="C1025" s="1" t="n">
        <v>45753</v>
      </c>
      <c r="D1025" t="inlineStr">
        <is>
          <t>JÄMTLANDS LÄN</t>
        </is>
      </c>
      <c r="E1025" t="inlineStr">
        <is>
          <t>RAGUNDA</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9094-2023</t>
        </is>
      </c>
      <c r="B1026" s="1" t="n">
        <v>44979</v>
      </c>
      <c r="C1026" s="1" t="n">
        <v>45753</v>
      </c>
      <c r="D1026" t="inlineStr">
        <is>
          <t>JÄMTLANDS LÄN</t>
        </is>
      </c>
      <c r="E1026" t="inlineStr">
        <is>
          <t>RAGUNDA</t>
        </is>
      </c>
      <c r="F1026" t="inlineStr">
        <is>
          <t>SCA</t>
        </is>
      </c>
      <c r="G1026" t="n">
        <v>28.2</v>
      </c>
      <c r="H1026" t="n">
        <v>0</v>
      </c>
      <c r="I1026" t="n">
        <v>0</v>
      </c>
      <c r="J1026" t="n">
        <v>0</v>
      </c>
      <c r="K1026" t="n">
        <v>0</v>
      </c>
      <c r="L1026" t="n">
        <v>0</v>
      </c>
      <c r="M1026" t="n">
        <v>0</v>
      </c>
      <c r="N1026" t="n">
        <v>0</v>
      </c>
      <c r="O1026" t="n">
        <v>0</v>
      </c>
      <c r="P1026" t="n">
        <v>0</v>
      </c>
      <c r="Q1026" t="n">
        <v>0</v>
      </c>
      <c r="R1026" s="2" t="inlineStr"/>
    </row>
    <row r="1027" ht="15" customHeight="1">
      <c r="A1027" t="inlineStr">
        <is>
          <t>A 9346-2023</t>
        </is>
      </c>
      <c r="B1027" s="1" t="n">
        <v>44980</v>
      </c>
      <c r="C1027" s="1" t="n">
        <v>45753</v>
      </c>
      <c r="D1027" t="inlineStr">
        <is>
          <t>JÄMTLANDS LÄN</t>
        </is>
      </c>
      <c r="E1027" t="inlineStr">
        <is>
          <t>RAGUNDA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9360-2023</t>
        </is>
      </c>
      <c r="B1028" s="1" t="n">
        <v>44980</v>
      </c>
      <c r="C1028" s="1" t="n">
        <v>45753</v>
      </c>
      <c r="D1028" t="inlineStr">
        <is>
          <t>JÄMTLANDS LÄN</t>
        </is>
      </c>
      <c r="E1028" t="inlineStr">
        <is>
          <t>RAGUNDA</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9339-2023</t>
        </is>
      </c>
      <c r="B1029" s="1" t="n">
        <v>44980</v>
      </c>
      <c r="C1029" s="1" t="n">
        <v>45753</v>
      </c>
      <c r="D1029" t="inlineStr">
        <is>
          <t>JÄMTLANDS LÄN</t>
        </is>
      </c>
      <c r="E1029" t="inlineStr">
        <is>
          <t>RAGUNDA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10706-2023</t>
        </is>
      </c>
      <c r="B1030" s="1" t="n">
        <v>44984</v>
      </c>
      <c r="C1030" s="1" t="n">
        <v>45753</v>
      </c>
      <c r="D1030" t="inlineStr">
        <is>
          <t>JÄMTLANDS LÄN</t>
        </is>
      </c>
      <c r="E1030" t="inlineStr">
        <is>
          <t>RAGUNDA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10092-2023</t>
        </is>
      </c>
      <c r="B1031" s="1" t="n">
        <v>44985</v>
      </c>
      <c r="C1031" s="1" t="n">
        <v>45753</v>
      </c>
      <c r="D1031" t="inlineStr">
        <is>
          <t>JÄMTLANDS LÄN</t>
        </is>
      </c>
      <c r="E1031" t="inlineStr">
        <is>
          <t>RAGUNDA</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11093-2023</t>
        </is>
      </c>
      <c r="B1032" s="1" t="n">
        <v>44986</v>
      </c>
      <c r="C1032" s="1" t="n">
        <v>45753</v>
      </c>
      <c r="D1032" t="inlineStr">
        <is>
          <t>JÄMTLANDS LÄN</t>
        </is>
      </c>
      <c r="E1032" t="inlineStr">
        <is>
          <t>RAGUNDA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10550-2023</t>
        </is>
      </c>
      <c r="B1033" s="1" t="n">
        <v>44987</v>
      </c>
      <c r="C1033" s="1" t="n">
        <v>45753</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11048-2023</t>
        </is>
      </c>
      <c r="B1034" s="1" t="n">
        <v>44991</v>
      </c>
      <c r="C1034" s="1" t="n">
        <v>45753</v>
      </c>
      <c r="D1034" t="inlineStr">
        <is>
          <t>JÄMTLANDS LÄN</t>
        </is>
      </c>
      <c r="E1034" t="inlineStr">
        <is>
          <t>RAGUNDA</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11063-2023</t>
        </is>
      </c>
      <c r="B1035" s="1" t="n">
        <v>44991</v>
      </c>
      <c r="C1035" s="1" t="n">
        <v>45753</v>
      </c>
      <c r="D1035" t="inlineStr">
        <is>
          <t>JÄMTLANDS LÄN</t>
        </is>
      </c>
      <c r="E1035" t="inlineStr">
        <is>
          <t>RAGUNDA</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11062-2023</t>
        </is>
      </c>
      <c r="B1036" s="1" t="n">
        <v>44991</v>
      </c>
      <c r="C1036" s="1" t="n">
        <v>45753</v>
      </c>
      <c r="D1036" t="inlineStr">
        <is>
          <t>JÄMTLANDS LÄN</t>
        </is>
      </c>
      <c r="E1036" t="inlineStr">
        <is>
          <t>RAGUNDA</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11603-2023</t>
        </is>
      </c>
      <c r="B1037" s="1" t="n">
        <v>44992</v>
      </c>
      <c r="C1037" s="1" t="n">
        <v>45753</v>
      </c>
      <c r="D1037" t="inlineStr">
        <is>
          <t>JÄMTLANDS LÄN</t>
        </is>
      </c>
      <c r="E1037" t="inlineStr">
        <is>
          <t>RAGUNDA</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11556-2023</t>
        </is>
      </c>
      <c r="B1038" s="1" t="n">
        <v>44993</v>
      </c>
      <c r="C1038" s="1" t="n">
        <v>45753</v>
      </c>
      <c r="D1038" t="inlineStr">
        <is>
          <t>JÄMTLANDS LÄN</t>
        </is>
      </c>
      <c r="E1038" t="inlineStr">
        <is>
          <t>RAGUNDA</t>
        </is>
      </c>
      <c r="F1038" t="inlineStr">
        <is>
          <t>SCA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11322-2023</t>
        </is>
      </c>
      <c r="B1039" s="1" t="n">
        <v>44993</v>
      </c>
      <c r="C1039" s="1" t="n">
        <v>45753</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11558-2023</t>
        </is>
      </c>
      <c r="B1040" s="1" t="n">
        <v>44993</v>
      </c>
      <c r="C1040" s="1" t="n">
        <v>45753</v>
      </c>
      <c r="D1040" t="inlineStr">
        <is>
          <t>JÄMTLANDS LÄN</t>
        </is>
      </c>
      <c r="E1040" t="inlineStr">
        <is>
          <t>RAGUNDA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11553-2023</t>
        </is>
      </c>
      <c r="B1041" s="1" t="n">
        <v>44993</v>
      </c>
      <c r="C1041" s="1" t="n">
        <v>45753</v>
      </c>
      <c r="D1041" t="inlineStr">
        <is>
          <t>JÄMTLANDS LÄN</t>
        </is>
      </c>
      <c r="E1041" t="inlineStr">
        <is>
          <t>RAGUNDA</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11557-2023</t>
        </is>
      </c>
      <c r="B1042" s="1" t="n">
        <v>44993</v>
      </c>
      <c r="C1042" s="1" t="n">
        <v>45753</v>
      </c>
      <c r="D1042" t="inlineStr">
        <is>
          <t>JÄMTLANDS LÄN</t>
        </is>
      </c>
      <c r="E1042" t="inlineStr">
        <is>
          <t>RAGUNDA</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11562-2023</t>
        </is>
      </c>
      <c r="B1043" s="1" t="n">
        <v>44993</v>
      </c>
      <c r="C1043" s="1" t="n">
        <v>45753</v>
      </c>
      <c r="D1043" t="inlineStr">
        <is>
          <t>JÄMTLANDS LÄN</t>
        </is>
      </c>
      <c r="E1043" t="inlineStr">
        <is>
          <t>RAGUNDA</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11834-2023</t>
        </is>
      </c>
      <c r="B1044" s="1" t="n">
        <v>44994</v>
      </c>
      <c r="C1044" s="1" t="n">
        <v>45753</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12055-2023</t>
        </is>
      </c>
      <c r="B1045" s="1" t="n">
        <v>44995</v>
      </c>
      <c r="C1045" s="1" t="n">
        <v>45753</v>
      </c>
      <c r="D1045" t="inlineStr">
        <is>
          <t>JÄMTLANDS LÄN</t>
        </is>
      </c>
      <c r="E1045" t="inlineStr">
        <is>
          <t>RAGUNDA</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12051-2023</t>
        </is>
      </c>
      <c r="B1046" s="1" t="n">
        <v>44995</v>
      </c>
      <c r="C1046" s="1" t="n">
        <v>45753</v>
      </c>
      <c r="D1046" t="inlineStr">
        <is>
          <t>JÄMTLANDS LÄN</t>
        </is>
      </c>
      <c r="E1046" t="inlineStr">
        <is>
          <t>RAGUNDA</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12040-2023</t>
        </is>
      </c>
      <c r="B1047" s="1" t="n">
        <v>44996</v>
      </c>
      <c r="C1047" s="1" t="n">
        <v>45753</v>
      </c>
      <c r="D1047" t="inlineStr">
        <is>
          <t>JÄMTLANDS LÄN</t>
        </is>
      </c>
      <c r="E1047" t="inlineStr">
        <is>
          <t>RAGUNDA</t>
        </is>
      </c>
      <c r="F1047" t="inlineStr">
        <is>
          <t>SCA</t>
        </is>
      </c>
      <c r="G1047" t="n">
        <v>13.2</v>
      </c>
      <c r="H1047" t="n">
        <v>0</v>
      </c>
      <c r="I1047" t="n">
        <v>0</v>
      </c>
      <c r="J1047" t="n">
        <v>0</v>
      </c>
      <c r="K1047" t="n">
        <v>0</v>
      </c>
      <c r="L1047" t="n">
        <v>0</v>
      </c>
      <c r="M1047" t="n">
        <v>0</v>
      </c>
      <c r="N1047" t="n">
        <v>0</v>
      </c>
      <c r="O1047" t="n">
        <v>0</v>
      </c>
      <c r="P1047" t="n">
        <v>0</v>
      </c>
      <c r="Q1047" t="n">
        <v>0</v>
      </c>
      <c r="R1047" s="2" t="inlineStr"/>
    </row>
    <row r="1048" ht="15" customHeight="1">
      <c r="A1048" t="inlineStr">
        <is>
          <t>A 12050-2023</t>
        </is>
      </c>
      <c r="B1048" s="1" t="n">
        <v>44996</v>
      </c>
      <c r="C1048" s="1" t="n">
        <v>45753</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12039-2023</t>
        </is>
      </c>
      <c r="B1049" s="1" t="n">
        <v>44996</v>
      </c>
      <c r="C1049" s="1" t="n">
        <v>45753</v>
      </c>
      <c r="D1049" t="inlineStr">
        <is>
          <t>JÄMTLANDS LÄN</t>
        </is>
      </c>
      <c r="E1049" t="inlineStr">
        <is>
          <t>RAGUNDA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12523-2023</t>
        </is>
      </c>
      <c r="B1050" s="1" t="n">
        <v>45000</v>
      </c>
      <c r="C1050" s="1" t="n">
        <v>45753</v>
      </c>
      <c r="D1050" t="inlineStr">
        <is>
          <t>JÄMTLANDS LÄN</t>
        </is>
      </c>
      <c r="E1050" t="inlineStr">
        <is>
          <t>RAGUNDA</t>
        </is>
      </c>
      <c r="F1050" t="inlineStr">
        <is>
          <t>SCA</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12522-2023</t>
        </is>
      </c>
      <c r="B1051" s="1" t="n">
        <v>45000</v>
      </c>
      <c r="C1051" s="1" t="n">
        <v>45753</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12521-2023</t>
        </is>
      </c>
      <c r="B1052" s="1" t="n">
        <v>45000</v>
      </c>
      <c r="C1052" s="1" t="n">
        <v>45753</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12783-2023</t>
        </is>
      </c>
      <c r="B1053" s="1" t="n">
        <v>45000</v>
      </c>
      <c r="C1053" s="1" t="n">
        <v>45753</v>
      </c>
      <c r="D1053" t="inlineStr">
        <is>
          <t>JÄMTLANDS LÄN</t>
        </is>
      </c>
      <c r="E1053" t="inlineStr">
        <is>
          <t>RAGUNDA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12750-2023</t>
        </is>
      </c>
      <c r="B1054" s="1" t="n">
        <v>45000</v>
      </c>
      <c r="C1054" s="1" t="n">
        <v>45753</v>
      </c>
      <c r="D1054" t="inlineStr">
        <is>
          <t>JÄMTLANDS LÄN</t>
        </is>
      </c>
      <c r="E1054" t="inlineStr">
        <is>
          <t>RAGUNDA</t>
        </is>
      </c>
      <c r="F1054" t="inlineStr">
        <is>
          <t>Naturvårdsverket</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12995-2023</t>
        </is>
      </c>
      <c r="B1055" s="1" t="n">
        <v>45002</v>
      </c>
      <c r="C1055" s="1" t="n">
        <v>45753</v>
      </c>
      <c r="D1055" t="inlineStr">
        <is>
          <t>JÄMTLANDS LÄN</t>
        </is>
      </c>
      <c r="E1055" t="inlineStr">
        <is>
          <t>RAGUNDA</t>
        </is>
      </c>
      <c r="F1055" t="inlineStr">
        <is>
          <t>SCA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13246-2023</t>
        </is>
      </c>
      <c r="B1056" s="1" t="n">
        <v>45002</v>
      </c>
      <c r="C1056" s="1" t="n">
        <v>45753</v>
      </c>
      <c r="D1056" t="inlineStr">
        <is>
          <t>JÄMTLANDS LÄN</t>
        </is>
      </c>
      <c r="E1056" t="inlineStr">
        <is>
          <t>RAGUNDA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13700-2023</t>
        </is>
      </c>
      <c r="B1057" s="1" t="n">
        <v>45006</v>
      </c>
      <c r="C1057" s="1" t="n">
        <v>45753</v>
      </c>
      <c r="D1057" t="inlineStr">
        <is>
          <t>JÄMTLANDS LÄN</t>
        </is>
      </c>
      <c r="E1057" t="inlineStr">
        <is>
          <t>RAGUNDA</t>
        </is>
      </c>
      <c r="F1057" t="inlineStr">
        <is>
          <t>SCA</t>
        </is>
      </c>
      <c r="G1057" t="n">
        <v>50.3</v>
      </c>
      <c r="H1057" t="n">
        <v>0</v>
      </c>
      <c r="I1057" t="n">
        <v>0</v>
      </c>
      <c r="J1057" t="n">
        <v>0</v>
      </c>
      <c r="K1057" t="n">
        <v>0</v>
      </c>
      <c r="L1057" t="n">
        <v>0</v>
      </c>
      <c r="M1057" t="n">
        <v>0</v>
      </c>
      <c r="N1057" t="n">
        <v>0</v>
      </c>
      <c r="O1057" t="n">
        <v>0</v>
      </c>
      <c r="P1057" t="n">
        <v>0</v>
      </c>
      <c r="Q1057" t="n">
        <v>0</v>
      </c>
      <c r="R1057" s="2" t="inlineStr"/>
    </row>
    <row r="1058" ht="15" customHeight="1">
      <c r="A1058" t="inlineStr">
        <is>
          <t>A 13917-2023</t>
        </is>
      </c>
      <c r="B1058" s="1" t="n">
        <v>45007</v>
      </c>
      <c r="C1058" s="1" t="n">
        <v>45753</v>
      </c>
      <c r="D1058" t="inlineStr">
        <is>
          <t>JÄMTLANDS LÄN</t>
        </is>
      </c>
      <c r="E1058" t="inlineStr">
        <is>
          <t>RAGUNDA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13900-2023</t>
        </is>
      </c>
      <c r="B1059" s="1" t="n">
        <v>45008</v>
      </c>
      <c r="C1059" s="1" t="n">
        <v>45753</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13898-2023</t>
        </is>
      </c>
      <c r="B1060" s="1" t="n">
        <v>45008</v>
      </c>
      <c r="C1060" s="1" t="n">
        <v>45753</v>
      </c>
      <c r="D1060" t="inlineStr">
        <is>
          <t>JÄMTLANDS LÄN</t>
        </is>
      </c>
      <c r="E1060" t="inlineStr">
        <is>
          <t>RAGUNDA</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14179-2023</t>
        </is>
      </c>
      <c r="B1061" s="1" t="n">
        <v>45009</v>
      </c>
      <c r="C1061" s="1" t="n">
        <v>45753</v>
      </c>
      <c r="D1061" t="inlineStr">
        <is>
          <t>JÄMTLANDS LÄN</t>
        </is>
      </c>
      <c r="E1061" t="inlineStr">
        <is>
          <t>RAGUNDA</t>
        </is>
      </c>
      <c r="G1061" t="n">
        <v>33.8</v>
      </c>
      <c r="H1061" t="n">
        <v>0</v>
      </c>
      <c r="I1061" t="n">
        <v>0</v>
      </c>
      <c r="J1061" t="n">
        <v>0</v>
      </c>
      <c r="K1061" t="n">
        <v>0</v>
      </c>
      <c r="L1061" t="n">
        <v>0</v>
      </c>
      <c r="M1061" t="n">
        <v>0</v>
      </c>
      <c r="N1061" t="n">
        <v>0</v>
      </c>
      <c r="O1061" t="n">
        <v>0</v>
      </c>
      <c r="P1061" t="n">
        <v>0</v>
      </c>
      <c r="Q1061" t="n">
        <v>0</v>
      </c>
      <c r="R1061" s="2" t="inlineStr"/>
    </row>
    <row r="1062" ht="15" customHeight="1">
      <c r="A1062" t="inlineStr">
        <is>
          <t>A 14074-2023</t>
        </is>
      </c>
      <c r="B1062" s="1" t="n">
        <v>45009</v>
      </c>
      <c r="C1062" s="1" t="n">
        <v>45753</v>
      </c>
      <c r="D1062" t="inlineStr">
        <is>
          <t>JÄMTLANDS LÄN</t>
        </is>
      </c>
      <c r="E1062" t="inlineStr">
        <is>
          <t>RAGUNDA</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14212-2023</t>
        </is>
      </c>
      <c r="B1063" s="1" t="n">
        <v>45009</v>
      </c>
      <c r="C1063" s="1" t="n">
        <v>45753</v>
      </c>
      <c r="D1063" t="inlineStr">
        <is>
          <t>JÄMTLANDS LÄN</t>
        </is>
      </c>
      <c r="E1063" t="inlineStr">
        <is>
          <t>RAGUNDA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14076-2023</t>
        </is>
      </c>
      <c r="B1064" s="1" t="n">
        <v>45009</v>
      </c>
      <c r="C1064" s="1" t="n">
        <v>45753</v>
      </c>
      <c r="D1064" t="inlineStr">
        <is>
          <t>JÄMTLANDS LÄN</t>
        </is>
      </c>
      <c r="E1064" t="inlineStr">
        <is>
          <t>RAGUNDA</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14081-2023</t>
        </is>
      </c>
      <c r="B1065" s="1" t="n">
        <v>45009</v>
      </c>
      <c r="C1065" s="1" t="n">
        <v>45753</v>
      </c>
      <c r="D1065" t="inlineStr">
        <is>
          <t>JÄMTLANDS LÄN</t>
        </is>
      </c>
      <c r="E1065" t="inlineStr">
        <is>
          <t>RAGUNDA</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14080-2023</t>
        </is>
      </c>
      <c r="B1066" s="1" t="n">
        <v>45009</v>
      </c>
      <c r="C1066" s="1" t="n">
        <v>45753</v>
      </c>
      <c r="D1066" t="inlineStr">
        <is>
          <t>JÄMTLANDS LÄN</t>
        </is>
      </c>
      <c r="E1066" t="inlineStr">
        <is>
          <t>RAGUNDA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14531-2023</t>
        </is>
      </c>
      <c r="B1067" s="1" t="n">
        <v>45013</v>
      </c>
      <c r="C1067" s="1" t="n">
        <v>45753</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14869-2023</t>
        </is>
      </c>
      <c r="B1068" s="1" t="n">
        <v>45015</v>
      </c>
      <c r="C1068" s="1" t="n">
        <v>45753</v>
      </c>
      <c r="D1068" t="inlineStr">
        <is>
          <t>JÄMTLANDS LÄN</t>
        </is>
      </c>
      <c r="E1068" t="inlineStr">
        <is>
          <t>RAGUNDA</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14868-2023</t>
        </is>
      </c>
      <c r="B1069" s="1" t="n">
        <v>45015</v>
      </c>
      <c r="C1069" s="1" t="n">
        <v>45753</v>
      </c>
      <c r="D1069" t="inlineStr">
        <is>
          <t>JÄMTLANDS LÄN</t>
        </is>
      </c>
      <c r="E1069" t="inlineStr">
        <is>
          <t>RAGUNDA</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15078-2023</t>
        </is>
      </c>
      <c r="B1070" s="1" t="n">
        <v>45015</v>
      </c>
      <c r="C1070" s="1" t="n">
        <v>45753</v>
      </c>
      <c r="D1070" t="inlineStr">
        <is>
          <t>JÄMTLANDS LÄN</t>
        </is>
      </c>
      <c r="E1070" t="inlineStr">
        <is>
          <t>RAGUNDA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15077-2023</t>
        </is>
      </c>
      <c r="B1071" s="1" t="n">
        <v>45015</v>
      </c>
      <c r="C1071" s="1" t="n">
        <v>45753</v>
      </c>
      <c r="D1071" t="inlineStr">
        <is>
          <t>JÄMTLANDS LÄN</t>
        </is>
      </c>
      <c r="E1071" t="inlineStr">
        <is>
          <t>RAGUNDA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16364-2023</t>
        </is>
      </c>
      <c r="B1072" s="1" t="n">
        <v>45028</v>
      </c>
      <c r="C1072" s="1" t="n">
        <v>45753</v>
      </c>
      <c r="D1072" t="inlineStr">
        <is>
          <t>JÄMTLANDS LÄN</t>
        </is>
      </c>
      <c r="E1072" t="inlineStr">
        <is>
          <t>RAGUNDA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17248-2023</t>
        </is>
      </c>
      <c r="B1073" s="1" t="n">
        <v>45033</v>
      </c>
      <c r="C1073" s="1" t="n">
        <v>45753</v>
      </c>
      <c r="D1073" t="inlineStr">
        <is>
          <t>JÄMTLANDS LÄN</t>
        </is>
      </c>
      <c r="E1073" t="inlineStr">
        <is>
          <t>RAGUNDA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17207-2023</t>
        </is>
      </c>
      <c r="B1074" s="1" t="n">
        <v>45035</v>
      </c>
      <c r="C1074" s="1" t="n">
        <v>45753</v>
      </c>
      <c r="D1074" t="inlineStr">
        <is>
          <t>JÄMTLANDS LÄN</t>
        </is>
      </c>
      <c r="E1074" t="inlineStr">
        <is>
          <t>RAGUNDA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17206-2023</t>
        </is>
      </c>
      <c r="B1075" s="1" t="n">
        <v>45035</v>
      </c>
      <c r="C1075" s="1" t="n">
        <v>45753</v>
      </c>
      <c r="D1075" t="inlineStr">
        <is>
          <t>JÄMTLANDS LÄN</t>
        </is>
      </c>
      <c r="E1075" t="inlineStr">
        <is>
          <t>RAGUNDA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17559-2023</t>
        </is>
      </c>
      <c r="B1076" s="1" t="n">
        <v>45034</v>
      </c>
      <c r="C1076" s="1" t="n">
        <v>45753</v>
      </c>
      <c r="D1076" t="inlineStr">
        <is>
          <t>JÄMTLANDS LÄN</t>
        </is>
      </c>
      <c r="E1076" t="inlineStr">
        <is>
          <t>RAGUNDA</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17864-2023</t>
        </is>
      </c>
      <c r="B1077" s="1" t="n">
        <v>45038</v>
      </c>
      <c r="C1077" s="1" t="n">
        <v>45753</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17863-2023</t>
        </is>
      </c>
      <c r="B1078" s="1" t="n">
        <v>45038</v>
      </c>
      <c r="C1078" s="1" t="n">
        <v>45753</v>
      </c>
      <c r="D1078" t="inlineStr">
        <is>
          <t>JÄMTLANDS LÄN</t>
        </is>
      </c>
      <c r="E1078" t="inlineStr">
        <is>
          <t>RAGUNDA</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18159-2023</t>
        </is>
      </c>
      <c r="B1079" s="1" t="n">
        <v>45041</v>
      </c>
      <c r="C1079" s="1" t="n">
        <v>45753</v>
      </c>
      <c r="D1079" t="inlineStr">
        <is>
          <t>JÄMTLANDS LÄN</t>
        </is>
      </c>
      <c r="E1079" t="inlineStr">
        <is>
          <t>RAGUNDA</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18145-2023</t>
        </is>
      </c>
      <c r="B1080" s="1" t="n">
        <v>45041</v>
      </c>
      <c r="C1080" s="1" t="n">
        <v>45753</v>
      </c>
      <c r="D1080" t="inlineStr">
        <is>
          <t>JÄMTLANDS LÄN</t>
        </is>
      </c>
      <c r="E1080" t="inlineStr">
        <is>
          <t>RAGUNDA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18248-2023</t>
        </is>
      </c>
      <c r="B1081" s="1" t="n">
        <v>45040</v>
      </c>
      <c r="C1081" s="1" t="n">
        <v>45753</v>
      </c>
      <c r="D1081" t="inlineStr">
        <is>
          <t>JÄMTLANDS LÄN</t>
        </is>
      </c>
      <c r="E1081" t="inlineStr">
        <is>
          <t>RAGUNDA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18557-2023</t>
        </is>
      </c>
      <c r="B1082" s="1" t="n">
        <v>45043</v>
      </c>
      <c r="C1082" s="1" t="n">
        <v>45753</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18556-2023</t>
        </is>
      </c>
      <c r="B1083" s="1" t="n">
        <v>45043</v>
      </c>
      <c r="C1083" s="1" t="n">
        <v>45753</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18820-2023</t>
        </is>
      </c>
      <c r="B1084" s="1" t="n">
        <v>45042</v>
      </c>
      <c r="C1084" s="1" t="n">
        <v>45753</v>
      </c>
      <c r="D1084" t="inlineStr">
        <is>
          <t>JÄMTLANDS LÄN</t>
        </is>
      </c>
      <c r="E1084" t="inlineStr">
        <is>
          <t>RAGUNDA</t>
        </is>
      </c>
      <c r="G1084" t="n">
        <v>18.8</v>
      </c>
      <c r="H1084" t="n">
        <v>0</v>
      </c>
      <c r="I1084" t="n">
        <v>0</v>
      </c>
      <c r="J1084" t="n">
        <v>0</v>
      </c>
      <c r="K1084" t="n">
        <v>0</v>
      </c>
      <c r="L1084" t="n">
        <v>0</v>
      </c>
      <c r="M1084" t="n">
        <v>0</v>
      </c>
      <c r="N1084" t="n">
        <v>0</v>
      </c>
      <c r="O1084" t="n">
        <v>0</v>
      </c>
      <c r="P1084" t="n">
        <v>0</v>
      </c>
      <c r="Q1084" t="n">
        <v>0</v>
      </c>
      <c r="R1084" s="2" t="inlineStr"/>
    </row>
    <row r="1085" ht="15" customHeight="1">
      <c r="A1085" t="inlineStr">
        <is>
          <t>A 18984-2023</t>
        </is>
      </c>
      <c r="B1085" s="1" t="n">
        <v>45044</v>
      </c>
      <c r="C1085" s="1" t="n">
        <v>45753</v>
      </c>
      <c r="D1085" t="inlineStr">
        <is>
          <t>JÄMTLANDS LÄN</t>
        </is>
      </c>
      <c r="E1085" t="inlineStr">
        <is>
          <t>RAGUNDA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18995-2023</t>
        </is>
      </c>
      <c r="B1086" s="1" t="n">
        <v>45045</v>
      </c>
      <c r="C1086" s="1" t="n">
        <v>45753</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18996-2023</t>
        </is>
      </c>
      <c r="B1087" s="1" t="n">
        <v>45045</v>
      </c>
      <c r="C1087" s="1" t="n">
        <v>45753</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19242-2023</t>
        </is>
      </c>
      <c r="B1088" s="1" t="n">
        <v>45048</v>
      </c>
      <c r="C1088" s="1" t="n">
        <v>45753</v>
      </c>
      <c r="D1088" t="inlineStr">
        <is>
          <t>JÄMTLANDS LÄN</t>
        </is>
      </c>
      <c r="E1088" t="inlineStr">
        <is>
          <t>RAGUNDA</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19246-2023</t>
        </is>
      </c>
      <c r="B1089" s="1" t="n">
        <v>45049</v>
      </c>
      <c r="C1089" s="1" t="n">
        <v>45753</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19438-2023</t>
        </is>
      </c>
      <c r="B1090" s="1" t="n">
        <v>45049</v>
      </c>
      <c r="C1090" s="1" t="n">
        <v>45753</v>
      </c>
      <c r="D1090" t="inlineStr">
        <is>
          <t>JÄMTLANDS LÄN</t>
        </is>
      </c>
      <c r="E1090" t="inlineStr">
        <is>
          <t>RAGUNDA</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19613-2023</t>
        </is>
      </c>
      <c r="B1091" s="1" t="n">
        <v>45051</v>
      </c>
      <c r="C1091" s="1" t="n">
        <v>45753</v>
      </c>
      <c r="D1091" t="inlineStr">
        <is>
          <t>JÄMTLANDS LÄN</t>
        </is>
      </c>
      <c r="E1091" t="inlineStr">
        <is>
          <t>RAGUNDA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19612-2023</t>
        </is>
      </c>
      <c r="B1092" s="1" t="n">
        <v>45051</v>
      </c>
      <c r="C1092" s="1" t="n">
        <v>45753</v>
      </c>
      <c r="D1092" t="inlineStr">
        <is>
          <t>JÄMTLANDS LÄN</t>
        </is>
      </c>
      <c r="E1092" t="inlineStr">
        <is>
          <t>RAGUNDA</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19620-2023</t>
        </is>
      </c>
      <c r="B1093" s="1" t="n">
        <v>45050</v>
      </c>
      <c r="C1093" s="1" t="n">
        <v>45753</v>
      </c>
      <c r="D1093" t="inlineStr">
        <is>
          <t>JÄMTLANDS LÄN</t>
        </is>
      </c>
      <c r="E1093" t="inlineStr">
        <is>
          <t>RAGUNDA</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19865-2023</t>
        </is>
      </c>
      <c r="B1094" s="1" t="n">
        <v>45054</v>
      </c>
      <c r="C1094" s="1" t="n">
        <v>45753</v>
      </c>
      <c r="D1094" t="inlineStr">
        <is>
          <t>JÄMTLANDS LÄN</t>
        </is>
      </c>
      <c r="E1094" t="inlineStr">
        <is>
          <t>RAGUNDA</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19866-2023</t>
        </is>
      </c>
      <c r="B1095" s="1" t="n">
        <v>45054</v>
      </c>
      <c r="C1095" s="1" t="n">
        <v>45753</v>
      </c>
      <c r="D1095" t="inlineStr">
        <is>
          <t>JÄMTLANDS LÄN</t>
        </is>
      </c>
      <c r="E1095" t="inlineStr">
        <is>
          <t>RAGUNDA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20079-2023</t>
        </is>
      </c>
      <c r="B1096" s="1" t="n">
        <v>45055</v>
      </c>
      <c r="C1096" s="1" t="n">
        <v>45753</v>
      </c>
      <c r="D1096" t="inlineStr">
        <is>
          <t>JÄMTLANDS LÄN</t>
        </is>
      </c>
      <c r="E1096" t="inlineStr">
        <is>
          <t>RAGUNDA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20088-2023</t>
        </is>
      </c>
      <c r="B1097" s="1" t="n">
        <v>45054</v>
      </c>
      <c r="C1097" s="1" t="n">
        <v>45753</v>
      </c>
      <c r="D1097" t="inlineStr">
        <is>
          <t>JÄMTLANDS LÄN</t>
        </is>
      </c>
      <c r="E1097" t="inlineStr">
        <is>
          <t>RAGUNDA</t>
        </is>
      </c>
      <c r="F1097" t="inlineStr">
        <is>
          <t>SCA</t>
        </is>
      </c>
      <c r="G1097" t="n">
        <v>23.4</v>
      </c>
      <c r="H1097" t="n">
        <v>0</v>
      </c>
      <c r="I1097" t="n">
        <v>0</v>
      </c>
      <c r="J1097" t="n">
        <v>0</v>
      </c>
      <c r="K1097" t="n">
        <v>0</v>
      </c>
      <c r="L1097" t="n">
        <v>0</v>
      </c>
      <c r="M1097" t="n">
        <v>0</v>
      </c>
      <c r="N1097" t="n">
        <v>0</v>
      </c>
      <c r="O1097" t="n">
        <v>0</v>
      </c>
      <c r="P1097" t="n">
        <v>0</v>
      </c>
      <c r="Q1097" t="n">
        <v>0</v>
      </c>
      <c r="R1097" s="2" t="inlineStr"/>
    </row>
    <row r="1098" ht="15" customHeight="1">
      <c r="A1098" t="inlineStr">
        <is>
          <t>A 20987-2023</t>
        </is>
      </c>
      <c r="B1098" s="1" t="n">
        <v>45056</v>
      </c>
      <c r="C1098" s="1" t="n">
        <v>45753</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20994-2023</t>
        </is>
      </c>
      <c r="B1099" s="1" t="n">
        <v>45056</v>
      </c>
      <c r="C1099" s="1" t="n">
        <v>45753</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20901-2023</t>
        </is>
      </c>
      <c r="B1100" s="1" t="n">
        <v>45060</v>
      </c>
      <c r="C1100" s="1" t="n">
        <v>45753</v>
      </c>
      <c r="D1100" t="inlineStr">
        <is>
          <t>JÄMTLANDS LÄN</t>
        </is>
      </c>
      <c r="E1100" t="inlineStr">
        <is>
          <t>RAGUNDA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21102-2023</t>
        </is>
      </c>
      <c r="B1101" s="1" t="n">
        <v>45062</v>
      </c>
      <c r="C1101" s="1" t="n">
        <v>45753</v>
      </c>
      <c r="D1101" t="inlineStr">
        <is>
          <t>JÄMTLANDS LÄN</t>
        </is>
      </c>
      <c r="E1101" t="inlineStr">
        <is>
          <t>RAGUNDA</t>
        </is>
      </c>
      <c r="F1101" t="inlineStr">
        <is>
          <t>SCA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21661-2023</t>
        </is>
      </c>
      <c r="B1102" s="1" t="n">
        <v>45063</v>
      </c>
      <c r="C1102" s="1" t="n">
        <v>45753</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21662-2023</t>
        </is>
      </c>
      <c r="B1103" s="1" t="n">
        <v>45063</v>
      </c>
      <c r="C1103" s="1" t="n">
        <v>45753</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21726-2023</t>
        </is>
      </c>
      <c r="B1104" s="1" t="n">
        <v>45065</v>
      </c>
      <c r="C1104" s="1" t="n">
        <v>45753</v>
      </c>
      <c r="D1104" t="inlineStr">
        <is>
          <t>JÄMTLANDS LÄN</t>
        </is>
      </c>
      <c r="E1104" t="inlineStr">
        <is>
          <t>RAGUNDA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22011-2023</t>
        </is>
      </c>
      <c r="B1105" s="1" t="n">
        <v>45068</v>
      </c>
      <c r="C1105" s="1" t="n">
        <v>45753</v>
      </c>
      <c r="D1105" t="inlineStr">
        <is>
          <t>JÄMTLANDS LÄN</t>
        </is>
      </c>
      <c r="E1105" t="inlineStr">
        <is>
          <t>RAGUNDA</t>
        </is>
      </c>
      <c r="F1105" t="inlineStr">
        <is>
          <t>SCA</t>
        </is>
      </c>
      <c r="G1105" t="n">
        <v>12.2</v>
      </c>
      <c r="H1105" t="n">
        <v>0</v>
      </c>
      <c r="I1105" t="n">
        <v>0</v>
      </c>
      <c r="J1105" t="n">
        <v>0</v>
      </c>
      <c r="K1105" t="n">
        <v>0</v>
      </c>
      <c r="L1105" t="n">
        <v>0</v>
      </c>
      <c r="M1105" t="n">
        <v>0</v>
      </c>
      <c r="N1105" t="n">
        <v>0</v>
      </c>
      <c r="O1105" t="n">
        <v>0</v>
      </c>
      <c r="P1105" t="n">
        <v>0</v>
      </c>
      <c r="Q1105" t="n">
        <v>0</v>
      </c>
      <c r="R1105" s="2" t="inlineStr"/>
    </row>
    <row r="1106" ht="15" customHeight="1">
      <c r="A1106" t="inlineStr">
        <is>
          <t>A 22569-2023</t>
        </is>
      </c>
      <c r="B1106" s="1" t="n">
        <v>45069</v>
      </c>
      <c r="C1106" s="1" t="n">
        <v>45753</v>
      </c>
      <c r="D1106" t="inlineStr">
        <is>
          <t>JÄMTLANDS LÄN</t>
        </is>
      </c>
      <c r="E1106" t="inlineStr">
        <is>
          <t>RAGUNDA</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22479-2023</t>
        </is>
      </c>
      <c r="B1107" s="1" t="n">
        <v>45070</v>
      </c>
      <c r="C1107" s="1" t="n">
        <v>45753</v>
      </c>
      <c r="D1107" t="inlineStr">
        <is>
          <t>JÄMTLANDS LÄN</t>
        </is>
      </c>
      <c r="E1107" t="inlineStr">
        <is>
          <t>RAGUNDA</t>
        </is>
      </c>
      <c r="F1107" t="inlineStr">
        <is>
          <t>SCA</t>
        </is>
      </c>
      <c r="G1107" t="n">
        <v>31.8</v>
      </c>
      <c r="H1107" t="n">
        <v>0</v>
      </c>
      <c r="I1107" t="n">
        <v>0</v>
      </c>
      <c r="J1107" t="n">
        <v>0</v>
      </c>
      <c r="K1107" t="n">
        <v>0</v>
      </c>
      <c r="L1107" t="n">
        <v>0</v>
      </c>
      <c r="M1107" t="n">
        <v>0</v>
      </c>
      <c r="N1107" t="n">
        <v>0</v>
      </c>
      <c r="O1107" t="n">
        <v>0</v>
      </c>
      <c r="P1107" t="n">
        <v>0</v>
      </c>
      <c r="Q1107" t="n">
        <v>0</v>
      </c>
      <c r="R1107" s="2" t="inlineStr"/>
    </row>
    <row r="1108" ht="15" customHeight="1">
      <c r="A1108" t="inlineStr">
        <is>
          <t>A 23074-2023</t>
        </is>
      </c>
      <c r="B1108" s="1" t="n">
        <v>45070</v>
      </c>
      <c r="C1108" s="1" t="n">
        <v>45753</v>
      </c>
      <c r="D1108" t="inlineStr">
        <is>
          <t>JÄMTLANDS LÄN</t>
        </is>
      </c>
      <c r="E1108" t="inlineStr">
        <is>
          <t>RAGUNDA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23140-2023</t>
        </is>
      </c>
      <c r="B1109" s="1" t="n">
        <v>45070</v>
      </c>
      <c r="C1109" s="1" t="n">
        <v>45753</v>
      </c>
      <c r="D1109" t="inlineStr">
        <is>
          <t>JÄMTLANDS LÄN</t>
        </is>
      </c>
      <c r="E1109" t="inlineStr">
        <is>
          <t>RAGUNDA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22731-2023</t>
        </is>
      </c>
      <c r="B1110" s="1" t="n">
        <v>45071</v>
      </c>
      <c r="C1110" s="1" t="n">
        <v>45753</v>
      </c>
      <c r="D1110" t="inlineStr">
        <is>
          <t>JÄMTLANDS LÄN</t>
        </is>
      </c>
      <c r="E1110" t="inlineStr">
        <is>
          <t>RAGUNDA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22981-2023</t>
        </is>
      </c>
      <c r="B1111" s="1" t="n">
        <v>45073</v>
      </c>
      <c r="C1111" s="1" t="n">
        <v>45753</v>
      </c>
      <c r="D1111" t="inlineStr">
        <is>
          <t>JÄMTLANDS LÄN</t>
        </is>
      </c>
      <c r="E1111" t="inlineStr">
        <is>
          <t>RAGUNDA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23299-2023</t>
        </is>
      </c>
      <c r="B1112" s="1" t="n">
        <v>45076</v>
      </c>
      <c r="C1112" s="1" t="n">
        <v>45753</v>
      </c>
      <c r="D1112" t="inlineStr">
        <is>
          <t>JÄMTLANDS LÄN</t>
        </is>
      </c>
      <c r="E1112" t="inlineStr">
        <is>
          <t>RAGUNDA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23304-2023</t>
        </is>
      </c>
      <c r="B1113" s="1" t="n">
        <v>45076</v>
      </c>
      <c r="C1113" s="1" t="n">
        <v>45753</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23305-2023</t>
        </is>
      </c>
      <c r="B1114" s="1" t="n">
        <v>45076</v>
      </c>
      <c r="C1114" s="1" t="n">
        <v>45753</v>
      </c>
      <c r="D1114" t="inlineStr">
        <is>
          <t>JÄMTLANDS LÄN</t>
        </is>
      </c>
      <c r="E1114" t="inlineStr">
        <is>
          <t>RAGUNDA</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23298-2023</t>
        </is>
      </c>
      <c r="B1115" s="1" t="n">
        <v>45076</v>
      </c>
      <c r="C1115" s="1" t="n">
        <v>45753</v>
      </c>
      <c r="D1115" t="inlineStr">
        <is>
          <t>JÄMTLANDS LÄN</t>
        </is>
      </c>
      <c r="E1115" t="inlineStr">
        <is>
          <t>RAGUNDA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24861-2023</t>
        </is>
      </c>
      <c r="B1116" s="1" t="n">
        <v>45078</v>
      </c>
      <c r="C1116" s="1" t="n">
        <v>45753</v>
      </c>
      <c r="D1116" t="inlineStr">
        <is>
          <t>JÄMTLANDS LÄN</t>
        </is>
      </c>
      <c r="E1116" t="inlineStr">
        <is>
          <t>RAGUNDA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25086-2023</t>
        </is>
      </c>
      <c r="B1117" s="1" t="n">
        <v>45078</v>
      </c>
      <c r="C1117" s="1" t="n">
        <v>45753</v>
      </c>
      <c r="D1117" t="inlineStr">
        <is>
          <t>JÄMTLANDS LÄN</t>
        </is>
      </c>
      <c r="E1117" t="inlineStr">
        <is>
          <t>RAGUNDA</t>
        </is>
      </c>
      <c r="G1117" t="n">
        <v>16.7</v>
      </c>
      <c r="H1117" t="n">
        <v>0</v>
      </c>
      <c r="I1117" t="n">
        <v>0</v>
      </c>
      <c r="J1117" t="n">
        <v>0</v>
      </c>
      <c r="K1117" t="n">
        <v>0</v>
      </c>
      <c r="L1117" t="n">
        <v>0</v>
      </c>
      <c r="M1117" t="n">
        <v>0</v>
      </c>
      <c r="N1117" t="n">
        <v>0</v>
      </c>
      <c r="O1117" t="n">
        <v>0</v>
      </c>
      <c r="P1117" t="n">
        <v>0</v>
      </c>
      <c r="Q1117" t="n">
        <v>0</v>
      </c>
      <c r="R1117" s="2" t="inlineStr"/>
    </row>
    <row r="1118" ht="15" customHeight="1">
      <c r="A1118" t="inlineStr">
        <is>
          <t>A 25416-2023</t>
        </is>
      </c>
      <c r="B1118" s="1" t="n">
        <v>45078</v>
      </c>
      <c r="C1118" s="1" t="n">
        <v>45753</v>
      </c>
      <c r="D1118" t="inlineStr">
        <is>
          <t>JÄMTLANDS LÄN</t>
        </is>
      </c>
      <c r="E1118" t="inlineStr">
        <is>
          <t>RAGUNDA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24300-2023</t>
        </is>
      </c>
      <c r="B1119" s="1" t="n">
        <v>45079</v>
      </c>
      <c r="C1119" s="1" t="n">
        <v>45753</v>
      </c>
      <c r="D1119" t="inlineStr">
        <is>
          <t>JÄMTLANDS LÄN</t>
        </is>
      </c>
      <c r="E1119" t="inlineStr">
        <is>
          <t>RAGUNDA</t>
        </is>
      </c>
      <c r="F1119" t="inlineStr">
        <is>
          <t>SCA</t>
        </is>
      </c>
      <c r="G1119" t="n">
        <v>13.3</v>
      </c>
      <c r="H1119" t="n">
        <v>0</v>
      </c>
      <c r="I1119" t="n">
        <v>0</v>
      </c>
      <c r="J1119" t="n">
        <v>0</v>
      </c>
      <c r="K1119" t="n">
        <v>0</v>
      </c>
      <c r="L1119" t="n">
        <v>0</v>
      </c>
      <c r="M1119" t="n">
        <v>0</v>
      </c>
      <c r="N1119" t="n">
        <v>0</v>
      </c>
      <c r="O1119" t="n">
        <v>0</v>
      </c>
      <c r="P1119" t="n">
        <v>0</v>
      </c>
      <c r="Q1119" t="n">
        <v>0</v>
      </c>
      <c r="R1119" s="2" t="inlineStr"/>
    </row>
    <row r="1120" ht="15" customHeight="1">
      <c r="A1120" t="inlineStr">
        <is>
          <t>A 24821-2023</t>
        </is>
      </c>
      <c r="B1120" s="1" t="n">
        <v>45085</v>
      </c>
      <c r="C1120" s="1" t="n">
        <v>45753</v>
      </c>
      <c r="D1120" t="inlineStr">
        <is>
          <t>JÄMTLANDS LÄN</t>
        </is>
      </c>
      <c r="E1120" t="inlineStr">
        <is>
          <t>RAGUNDA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24822-2023</t>
        </is>
      </c>
      <c r="B1121" s="1" t="n">
        <v>45085</v>
      </c>
      <c r="C1121" s="1" t="n">
        <v>45753</v>
      </c>
      <c r="D1121" t="inlineStr">
        <is>
          <t>JÄMTLANDS LÄN</t>
        </is>
      </c>
      <c r="E1121" t="inlineStr">
        <is>
          <t>RAGUNDA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24820-2023</t>
        </is>
      </c>
      <c r="B1122" s="1" t="n">
        <v>45084</v>
      </c>
      <c r="C1122" s="1" t="n">
        <v>45753</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25892-2023</t>
        </is>
      </c>
      <c r="B1123" s="1" t="n">
        <v>45085</v>
      </c>
      <c r="C1123" s="1" t="n">
        <v>45753</v>
      </c>
      <c r="D1123" t="inlineStr">
        <is>
          <t>JÄMTLANDS LÄN</t>
        </is>
      </c>
      <c r="E1123" t="inlineStr">
        <is>
          <t>RAGUNDA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25332-2023</t>
        </is>
      </c>
      <c r="B1124" s="1" t="n">
        <v>45087</v>
      </c>
      <c r="C1124" s="1" t="n">
        <v>45753</v>
      </c>
      <c r="D1124" t="inlineStr">
        <is>
          <t>JÄMTLANDS LÄN</t>
        </is>
      </c>
      <c r="E1124" t="inlineStr">
        <is>
          <t>RAGUNDA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25304-2023</t>
        </is>
      </c>
      <c r="B1125" s="1" t="n">
        <v>45086</v>
      </c>
      <c r="C1125" s="1" t="n">
        <v>45753</v>
      </c>
      <c r="D1125" t="inlineStr">
        <is>
          <t>JÄMTLANDS LÄN</t>
        </is>
      </c>
      <c r="E1125" t="inlineStr">
        <is>
          <t>RAGUNDA</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25430-2023</t>
        </is>
      </c>
      <c r="B1126" s="1" t="n">
        <v>45089</v>
      </c>
      <c r="C1126" s="1" t="n">
        <v>45753</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25669-2023</t>
        </is>
      </c>
      <c r="B1127" s="1" t="n">
        <v>45089</v>
      </c>
      <c r="C1127" s="1" t="n">
        <v>45753</v>
      </c>
      <c r="D1127" t="inlineStr">
        <is>
          <t>JÄMTLANDS LÄN</t>
        </is>
      </c>
      <c r="E1127" t="inlineStr">
        <is>
          <t>RAGUNDA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25666-2023</t>
        </is>
      </c>
      <c r="B1128" s="1" t="n">
        <v>45089</v>
      </c>
      <c r="C1128" s="1" t="n">
        <v>45753</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25670-2023</t>
        </is>
      </c>
      <c r="B1129" s="1" t="n">
        <v>45090</v>
      </c>
      <c r="C1129" s="1" t="n">
        <v>45753</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25708-2023</t>
        </is>
      </c>
      <c r="B1130" s="1" t="n">
        <v>45090</v>
      </c>
      <c r="C1130" s="1" t="n">
        <v>45753</v>
      </c>
      <c r="D1130" t="inlineStr">
        <is>
          <t>JÄMTLANDS LÄN</t>
        </is>
      </c>
      <c r="E1130" t="inlineStr">
        <is>
          <t>RAGUNDA</t>
        </is>
      </c>
      <c r="G1130" t="n">
        <v>16.1</v>
      </c>
      <c r="H1130" t="n">
        <v>0</v>
      </c>
      <c r="I1130" t="n">
        <v>0</v>
      </c>
      <c r="J1130" t="n">
        <v>0</v>
      </c>
      <c r="K1130" t="n">
        <v>0</v>
      </c>
      <c r="L1130" t="n">
        <v>0</v>
      </c>
      <c r="M1130" t="n">
        <v>0</v>
      </c>
      <c r="N1130" t="n">
        <v>0</v>
      </c>
      <c r="O1130" t="n">
        <v>0</v>
      </c>
      <c r="P1130" t="n">
        <v>0</v>
      </c>
      <c r="Q1130" t="n">
        <v>0</v>
      </c>
      <c r="R1130" s="2" t="inlineStr"/>
    </row>
    <row r="1131" ht="15" customHeight="1">
      <c r="A1131" t="inlineStr">
        <is>
          <t>A 26002-2023</t>
        </is>
      </c>
      <c r="B1131" s="1" t="n">
        <v>45091</v>
      </c>
      <c r="C1131" s="1" t="n">
        <v>45753</v>
      </c>
      <c r="D1131" t="inlineStr">
        <is>
          <t>JÄMTLANDS LÄN</t>
        </is>
      </c>
      <c r="E1131" t="inlineStr">
        <is>
          <t>RAGUNDA</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26347-2023</t>
        </is>
      </c>
      <c r="B1132" s="1" t="n">
        <v>45091</v>
      </c>
      <c r="C1132" s="1" t="n">
        <v>45753</v>
      </c>
      <c r="D1132" t="inlineStr">
        <is>
          <t>JÄMTLANDS LÄN</t>
        </is>
      </c>
      <c r="E1132" t="inlineStr">
        <is>
          <t>RAGUNDA</t>
        </is>
      </c>
      <c r="F1132" t="inlineStr">
        <is>
          <t>SCA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26455-2023</t>
        </is>
      </c>
      <c r="B1133" s="1" t="n">
        <v>45092</v>
      </c>
      <c r="C1133" s="1" t="n">
        <v>45753</v>
      </c>
      <c r="D1133" t="inlineStr">
        <is>
          <t>JÄMTLANDS LÄN</t>
        </is>
      </c>
      <c r="E1133" t="inlineStr">
        <is>
          <t>RAGUNDA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26644-2023</t>
        </is>
      </c>
      <c r="B1134" s="1" t="n">
        <v>45093</v>
      </c>
      <c r="C1134" s="1" t="n">
        <v>45753</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26646-2023</t>
        </is>
      </c>
      <c r="B1135" s="1" t="n">
        <v>45092</v>
      </c>
      <c r="C1135" s="1" t="n">
        <v>45753</v>
      </c>
      <c r="D1135" t="inlineStr">
        <is>
          <t>JÄMTLANDS LÄN</t>
        </is>
      </c>
      <c r="E1135" t="inlineStr">
        <is>
          <t>RAGUNDA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27091-2023</t>
        </is>
      </c>
      <c r="B1136" s="1" t="n">
        <v>45092</v>
      </c>
      <c r="C1136" s="1" t="n">
        <v>45753</v>
      </c>
      <c r="D1136" t="inlineStr">
        <is>
          <t>JÄMTLANDS LÄN</t>
        </is>
      </c>
      <c r="E1136" t="inlineStr">
        <is>
          <t>RAGUNDA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27085-2023</t>
        </is>
      </c>
      <c r="B1137" s="1" t="n">
        <v>45092</v>
      </c>
      <c r="C1137" s="1" t="n">
        <v>45753</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26991-2023</t>
        </is>
      </c>
      <c r="B1138" s="1" t="n">
        <v>45094</v>
      </c>
      <c r="C1138" s="1" t="n">
        <v>45753</v>
      </c>
      <c r="D1138" t="inlineStr">
        <is>
          <t>JÄMTLANDS LÄN</t>
        </is>
      </c>
      <c r="E1138" t="inlineStr">
        <is>
          <t>RAGUNDA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26995-2023</t>
        </is>
      </c>
      <c r="B1139" s="1" t="n">
        <v>45093</v>
      </c>
      <c r="C1139" s="1" t="n">
        <v>45753</v>
      </c>
      <c r="D1139" t="inlineStr">
        <is>
          <t>JÄMTLANDS LÄN</t>
        </is>
      </c>
      <c r="E1139" t="inlineStr">
        <is>
          <t>RAGUNDA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26993-2023</t>
        </is>
      </c>
      <c r="B1140" s="1" t="n">
        <v>45093</v>
      </c>
      <c r="C1140" s="1" t="n">
        <v>45753</v>
      </c>
      <c r="D1140" t="inlineStr">
        <is>
          <t>JÄMTLANDS LÄN</t>
        </is>
      </c>
      <c r="E1140" t="inlineStr">
        <is>
          <t>RAGUNDA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26994-2023</t>
        </is>
      </c>
      <c r="B1141" s="1" t="n">
        <v>45094</v>
      </c>
      <c r="C1141" s="1" t="n">
        <v>45753</v>
      </c>
      <c r="D1141" t="inlineStr">
        <is>
          <t>JÄMTLANDS LÄN</t>
        </is>
      </c>
      <c r="E1141" t="inlineStr">
        <is>
          <t>RAGUNDA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26992-2023</t>
        </is>
      </c>
      <c r="B1142" s="1" t="n">
        <v>45094</v>
      </c>
      <c r="C1142" s="1" t="n">
        <v>45753</v>
      </c>
      <c r="D1142" t="inlineStr">
        <is>
          <t>JÄMTLANDS LÄN</t>
        </is>
      </c>
      <c r="E1142" t="inlineStr">
        <is>
          <t>RAGUNDA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27373-2023</t>
        </is>
      </c>
      <c r="B1143" s="1" t="n">
        <v>45097</v>
      </c>
      <c r="C1143" s="1" t="n">
        <v>45753</v>
      </c>
      <c r="D1143" t="inlineStr">
        <is>
          <t>JÄMTLANDS LÄN</t>
        </is>
      </c>
      <c r="E1143" t="inlineStr">
        <is>
          <t>RAGUNDA</t>
        </is>
      </c>
      <c r="F1143" t="inlineStr">
        <is>
          <t>SCA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27379-2023</t>
        </is>
      </c>
      <c r="B1144" s="1" t="n">
        <v>45097</v>
      </c>
      <c r="C1144" s="1" t="n">
        <v>45753</v>
      </c>
      <c r="D1144" t="inlineStr">
        <is>
          <t>JÄMTLANDS LÄN</t>
        </is>
      </c>
      <c r="E1144" t="inlineStr">
        <is>
          <t>RAGUNDA</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28685-2023</t>
        </is>
      </c>
      <c r="B1145" s="1" t="n">
        <v>45096</v>
      </c>
      <c r="C1145" s="1" t="n">
        <v>45753</v>
      </c>
      <c r="D1145" t="inlineStr">
        <is>
          <t>JÄMTLANDS LÄN</t>
        </is>
      </c>
      <c r="E1145" t="inlineStr">
        <is>
          <t>RAGUNDA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28806-2023</t>
        </is>
      </c>
      <c r="B1146" s="1" t="n">
        <v>45096</v>
      </c>
      <c r="C1146" s="1" t="n">
        <v>45753</v>
      </c>
      <c r="D1146" t="inlineStr">
        <is>
          <t>JÄMTLANDS LÄN</t>
        </is>
      </c>
      <c r="E1146" t="inlineStr">
        <is>
          <t>RAGUNDA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29775-2023</t>
        </is>
      </c>
      <c r="B1147" s="1" t="n">
        <v>45098</v>
      </c>
      <c r="C1147" s="1" t="n">
        <v>45753</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29766-2023</t>
        </is>
      </c>
      <c r="B1148" s="1" t="n">
        <v>45098</v>
      </c>
      <c r="C1148" s="1" t="n">
        <v>45753</v>
      </c>
      <c r="D1148" t="inlineStr">
        <is>
          <t>JÄMTLANDS LÄN</t>
        </is>
      </c>
      <c r="E1148" t="inlineStr">
        <is>
          <t>RAGUNDA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28352-2023</t>
        </is>
      </c>
      <c r="B1149" s="1" t="n">
        <v>45100</v>
      </c>
      <c r="C1149" s="1" t="n">
        <v>45753</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28351-2023</t>
        </is>
      </c>
      <c r="B1150" s="1" t="n">
        <v>45100</v>
      </c>
      <c r="C1150" s="1" t="n">
        <v>45753</v>
      </c>
      <c r="D1150" t="inlineStr">
        <is>
          <t>JÄMTLANDS LÄN</t>
        </is>
      </c>
      <c r="E1150" t="inlineStr">
        <is>
          <t>RAGUNDA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28742-2023</t>
        </is>
      </c>
      <c r="B1151" s="1" t="n">
        <v>45103</v>
      </c>
      <c r="C1151" s="1" t="n">
        <v>45753</v>
      </c>
      <c r="D1151" t="inlineStr">
        <is>
          <t>JÄMTLANDS LÄN</t>
        </is>
      </c>
      <c r="E1151" t="inlineStr">
        <is>
          <t>RAGUNDA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31135-2023</t>
        </is>
      </c>
      <c r="B1152" s="1" t="n">
        <v>45103</v>
      </c>
      <c r="C1152" s="1" t="n">
        <v>45753</v>
      </c>
      <c r="D1152" t="inlineStr">
        <is>
          <t>JÄMTLANDS LÄN</t>
        </is>
      </c>
      <c r="E1152" t="inlineStr">
        <is>
          <t>RAGUNDA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29053-2023</t>
        </is>
      </c>
      <c r="B1153" s="1" t="n">
        <v>45104</v>
      </c>
      <c r="C1153" s="1" t="n">
        <v>45753</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29319-2023</t>
        </is>
      </c>
      <c r="B1154" s="1" t="n">
        <v>45105</v>
      </c>
      <c r="C1154" s="1" t="n">
        <v>45753</v>
      </c>
      <c r="D1154" t="inlineStr">
        <is>
          <t>JÄMTLANDS LÄN</t>
        </is>
      </c>
      <c r="E1154" t="inlineStr">
        <is>
          <t>RAGUNDA</t>
        </is>
      </c>
      <c r="F1154" t="inlineStr">
        <is>
          <t>SCA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29940-2023</t>
        </is>
      </c>
      <c r="B1155" s="1" t="n">
        <v>45107</v>
      </c>
      <c r="C1155" s="1" t="n">
        <v>45753</v>
      </c>
      <c r="D1155" t="inlineStr">
        <is>
          <t>JÄMTLANDS LÄN</t>
        </is>
      </c>
      <c r="E1155" t="inlineStr">
        <is>
          <t>RAGUNDA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29939-2023</t>
        </is>
      </c>
      <c r="B1156" s="1" t="n">
        <v>45107</v>
      </c>
      <c r="C1156" s="1" t="n">
        <v>45753</v>
      </c>
      <c r="D1156" t="inlineStr">
        <is>
          <t>JÄMTLANDS LÄN</t>
        </is>
      </c>
      <c r="E1156" t="inlineStr">
        <is>
          <t>RAGUNDA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30563-2023</t>
        </is>
      </c>
      <c r="B1157" s="1" t="n">
        <v>45112</v>
      </c>
      <c r="C1157" s="1" t="n">
        <v>45753</v>
      </c>
      <c r="D1157" t="inlineStr">
        <is>
          <t>JÄMTLANDS LÄN</t>
        </is>
      </c>
      <c r="E1157" t="inlineStr">
        <is>
          <t>RAGUNDA</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32592-2023</t>
        </is>
      </c>
      <c r="B1158" s="1" t="n">
        <v>45111</v>
      </c>
      <c r="C1158" s="1" t="n">
        <v>45753</v>
      </c>
      <c r="D1158" t="inlineStr">
        <is>
          <t>JÄMTLANDS LÄN</t>
        </is>
      </c>
      <c r="E1158" t="inlineStr">
        <is>
          <t>RAGUNDA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30826-2023</t>
        </is>
      </c>
      <c r="B1159" s="1" t="n">
        <v>45112</v>
      </c>
      <c r="C1159" s="1" t="n">
        <v>45753</v>
      </c>
      <c r="D1159" t="inlineStr">
        <is>
          <t>JÄMTLANDS LÄN</t>
        </is>
      </c>
      <c r="E1159" t="inlineStr">
        <is>
          <t>RAGUNDA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30825-2023</t>
        </is>
      </c>
      <c r="B1160" s="1" t="n">
        <v>45113</v>
      </c>
      <c r="C1160" s="1" t="n">
        <v>45753</v>
      </c>
      <c r="D1160" t="inlineStr">
        <is>
          <t>JÄMTLANDS LÄN</t>
        </is>
      </c>
      <c r="E1160" t="inlineStr">
        <is>
          <t>RAGUNDA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30823-2023</t>
        </is>
      </c>
      <c r="B1161" s="1" t="n">
        <v>45112</v>
      </c>
      <c r="C1161" s="1" t="n">
        <v>45753</v>
      </c>
      <c r="D1161" t="inlineStr">
        <is>
          <t>JÄMTLANDS LÄN</t>
        </is>
      </c>
      <c r="E1161" t="inlineStr">
        <is>
          <t>RAGUNDA</t>
        </is>
      </c>
      <c r="F1161" t="inlineStr">
        <is>
          <t>SCA</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30824-2023</t>
        </is>
      </c>
      <c r="B1162" s="1" t="n">
        <v>45113</v>
      </c>
      <c r="C1162" s="1" t="n">
        <v>45753</v>
      </c>
      <c r="D1162" t="inlineStr">
        <is>
          <t>JÄMTLANDS LÄN</t>
        </is>
      </c>
      <c r="E1162" t="inlineStr">
        <is>
          <t>RAGUNDA</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31200-2023</t>
        </is>
      </c>
      <c r="B1163" s="1" t="n">
        <v>45114</v>
      </c>
      <c r="C1163" s="1" t="n">
        <v>45753</v>
      </c>
      <c r="D1163" t="inlineStr">
        <is>
          <t>JÄMTLANDS LÄN</t>
        </is>
      </c>
      <c r="E1163" t="inlineStr">
        <is>
          <t>RAGUNDA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31926-2023</t>
        </is>
      </c>
      <c r="B1164" s="1" t="n">
        <v>45119</v>
      </c>
      <c r="C1164" s="1" t="n">
        <v>45753</v>
      </c>
      <c r="D1164" t="inlineStr">
        <is>
          <t>JÄMTLANDS LÄN</t>
        </is>
      </c>
      <c r="E1164" t="inlineStr">
        <is>
          <t>RAGUNDA</t>
        </is>
      </c>
      <c r="F1164" t="inlineStr">
        <is>
          <t>SCA</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32207-2023</t>
        </is>
      </c>
      <c r="B1165" s="1" t="n">
        <v>45120</v>
      </c>
      <c r="C1165" s="1" t="n">
        <v>45753</v>
      </c>
      <c r="D1165" t="inlineStr">
        <is>
          <t>JÄMTLANDS LÄN</t>
        </is>
      </c>
      <c r="E1165" t="inlineStr">
        <is>
          <t>RAGUNDA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33615-2023</t>
        </is>
      </c>
      <c r="B1166" s="1" t="n">
        <v>45119</v>
      </c>
      <c r="C1166" s="1" t="n">
        <v>45753</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33621-2023</t>
        </is>
      </c>
      <c r="B1167" s="1" t="n">
        <v>45119</v>
      </c>
      <c r="C1167" s="1" t="n">
        <v>45753</v>
      </c>
      <c r="D1167" t="inlineStr">
        <is>
          <t>JÄMTLANDS LÄN</t>
        </is>
      </c>
      <c r="E1167" t="inlineStr">
        <is>
          <t>RAGUNDA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33035-2023</t>
        </is>
      </c>
      <c r="B1168" s="1" t="n">
        <v>45126</v>
      </c>
      <c r="C1168" s="1" t="n">
        <v>45753</v>
      </c>
      <c r="D1168" t="inlineStr">
        <is>
          <t>JÄMTLANDS LÄN</t>
        </is>
      </c>
      <c r="E1168" t="inlineStr">
        <is>
          <t>RAGUNDA</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33047-2023</t>
        </is>
      </c>
      <c r="B1169" s="1" t="n">
        <v>45126</v>
      </c>
      <c r="C1169" s="1" t="n">
        <v>45753</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33038-2023</t>
        </is>
      </c>
      <c r="B1170" s="1" t="n">
        <v>45126</v>
      </c>
      <c r="C1170" s="1" t="n">
        <v>45753</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33046-2023</t>
        </is>
      </c>
      <c r="B1171" s="1" t="n">
        <v>45126</v>
      </c>
      <c r="C1171" s="1" t="n">
        <v>45753</v>
      </c>
      <c r="D1171" t="inlineStr">
        <is>
          <t>JÄMTLANDS LÄN</t>
        </is>
      </c>
      <c r="E1171" t="inlineStr">
        <is>
          <t>RAGUNDA</t>
        </is>
      </c>
      <c r="F1171" t="inlineStr">
        <is>
          <t>SCA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33432-2023</t>
        </is>
      </c>
      <c r="B1172" s="1" t="n">
        <v>45128</v>
      </c>
      <c r="C1172" s="1" t="n">
        <v>45753</v>
      </c>
      <c r="D1172" t="inlineStr">
        <is>
          <t>JÄMTLANDS LÄN</t>
        </is>
      </c>
      <c r="E1172" t="inlineStr">
        <is>
          <t>RAGUNDA</t>
        </is>
      </c>
      <c r="F1172" t="inlineStr">
        <is>
          <t>SCA</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33589-2023</t>
        </is>
      </c>
      <c r="B1173" s="1" t="n">
        <v>45132</v>
      </c>
      <c r="C1173" s="1" t="n">
        <v>45753</v>
      </c>
      <c r="D1173" t="inlineStr">
        <is>
          <t>JÄMTLANDS LÄN</t>
        </is>
      </c>
      <c r="E1173" t="inlineStr">
        <is>
          <t>RAGUNDA</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33588-2023</t>
        </is>
      </c>
      <c r="B1174" s="1" t="n">
        <v>45131</v>
      </c>
      <c r="C1174" s="1" t="n">
        <v>45753</v>
      </c>
      <c r="D1174" t="inlineStr">
        <is>
          <t>JÄMTLANDS LÄN</t>
        </is>
      </c>
      <c r="E1174" t="inlineStr">
        <is>
          <t>RAGUNDA</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33717-2023</t>
        </is>
      </c>
      <c r="B1175" s="1" t="n">
        <v>45132</v>
      </c>
      <c r="C1175" s="1" t="n">
        <v>45753</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33877-2023</t>
        </is>
      </c>
      <c r="B1176" s="1" t="n">
        <v>45133</v>
      </c>
      <c r="C1176" s="1" t="n">
        <v>45753</v>
      </c>
      <c r="D1176" t="inlineStr">
        <is>
          <t>JÄMTLANDS LÄN</t>
        </is>
      </c>
      <c r="E1176" t="inlineStr">
        <is>
          <t>RAGUNDA</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34322-2023</t>
        </is>
      </c>
      <c r="B1177" s="1" t="n">
        <v>45139</v>
      </c>
      <c r="C1177" s="1" t="n">
        <v>45753</v>
      </c>
      <c r="D1177" t="inlineStr">
        <is>
          <t>JÄMTLANDS LÄN</t>
        </is>
      </c>
      <c r="E1177" t="inlineStr">
        <is>
          <t>RAGUNDA</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34321-2023</t>
        </is>
      </c>
      <c r="B1178" s="1" t="n">
        <v>45138</v>
      </c>
      <c r="C1178" s="1" t="n">
        <v>45753</v>
      </c>
      <c r="D1178" t="inlineStr">
        <is>
          <t>JÄMTLANDS LÄN</t>
        </is>
      </c>
      <c r="E1178" t="inlineStr">
        <is>
          <t>RAGUNDA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34323-2023</t>
        </is>
      </c>
      <c r="B1179" s="1" t="n">
        <v>45139</v>
      </c>
      <c r="C1179" s="1" t="n">
        <v>45753</v>
      </c>
      <c r="D1179" t="inlineStr">
        <is>
          <t>JÄMTLANDS LÄN</t>
        </is>
      </c>
      <c r="E1179" t="inlineStr">
        <is>
          <t>RAGUNDA</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34483-2023</t>
        </is>
      </c>
      <c r="B1180" s="1" t="n">
        <v>45140</v>
      </c>
      <c r="C1180" s="1" t="n">
        <v>45753</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34689-2023</t>
        </is>
      </c>
      <c r="B1181" s="1" t="n">
        <v>45141</v>
      </c>
      <c r="C1181" s="1" t="n">
        <v>45753</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34691-2023</t>
        </is>
      </c>
      <c r="B1182" s="1" t="n">
        <v>45141</v>
      </c>
      <c r="C1182" s="1" t="n">
        <v>45753</v>
      </c>
      <c r="D1182" t="inlineStr">
        <is>
          <t>JÄMTLANDS LÄN</t>
        </is>
      </c>
      <c r="E1182" t="inlineStr">
        <is>
          <t>RAGUNDA</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35009-2023</t>
        </is>
      </c>
      <c r="B1183" s="1" t="n">
        <v>45142</v>
      </c>
      <c r="C1183" s="1" t="n">
        <v>45753</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35272-2023</t>
        </is>
      </c>
      <c r="B1184" s="1" t="n">
        <v>45146</v>
      </c>
      <c r="C1184" s="1" t="n">
        <v>45753</v>
      </c>
      <c r="D1184" t="inlineStr">
        <is>
          <t>JÄMTLANDS LÄN</t>
        </is>
      </c>
      <c r="E1184" t="inlineStr">
        <is>
          <t>RAGUNDA</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35265-2023</t>
        </is>
      </c>
      <c r="B1185" s="1" t="n">
        <v>45146</v>
      </c>
      <c r="C1185" s="1" t="n">
        <v>45753</v>
      </c>
      <c r="D1185" t="inlineStr">
        <is>
          <t>JÄMTLANDS LÄN</t>
        </is>
      </c>
      <c r="E1185" t="inlineStr">
        <is>
          <t>RAGUNDA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35273-2023</t>
        </is>
      </c>
      <c r="B1186" s="1" t="n">
        <v>45146</v>
      </c>
      <c r="C1186" s="1" t="n">
        <v>45753</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35274-2023</t>
        </is>
      </c>
      <c r="B1187" s="1" t="n">
        <v>45145</v>
      </c>
      <c r="C1187" s="1" t="n">
        <v>45753</v>
      </c>
      <c r="D1187" t="inlineStr">
        <is>
          <t>JÄMTLANDS LÄN</t>
        </is>
      </c>
      <c r="E1187" t="inlineStr">
        <is>
          <t>RAGUNDA</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35565-2023</t>
        </is>
      </c>
      <c r="B1188" s="1" t="n">
        <v>45146</v>
      </c>
      <c r="C1188" s="1" t="n">
        <v>45753</v>
      </c>
      <c r="D1188" t="inlineStr">
        <is>
          <t>JÄMTLANDS LÄN</t>
        </is>
      </c>
      <c r="E1188" t="inlineStr">
        <is>
          <t>RAGUNDA</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35912-2023</t>
        </is>
      </c>
      <c r="B1189" s="1" t="n">
        <v>45148</v>
      </c>
      <c r="C1189" s="1" t="n">
        <v>45753</v>
      </c>
      <c r="D1189" t="inlineStr">
        <is>
          <t>JÄMTLANDS LÄN</t>
        </is>
      </c>
      <c r="E1189" t="inlineStr">
        <is>
          <t>RAGUNDA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36046-2023</t>
        </is>
      </c>
      <c r="B1190" s="1" t="n">
        <v>45148</v>
      </c>
      <c r="C1190" s="1" t="n">
        <v>45753</v>
      </c>
      <c r="D1190" t="inlineStr">
        <is>
          <t>JÄMTLANDS LÄN</t>
        </is>
      </c>
      <c r="E1190" t="inlineStr">
        <is>
          <t>RAGUNDA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36206-2023</t>
        </is>
      </c>
      <c r="B1191" s="1" t="n">
        <v>45150</v>
      </c>
      <c r="C1191" s="1" t="n">
        <v>45753</v>
      </c>
      <c r="D1191" t="inlineStr">
        <is>
          <t>JÄMTLANDS LÄN</t>
        </is>
      </c>
      <c r="E1191" t="inlineStr">
        <is>
          <t>RAGUNDA</t>
        </is>
      </c>
      <c r="F1191" t="inlineStr">
        <is>
          <t>SCA</t>
        </is>
      </c>
      <c r="G1191" t="n">
        <v>20.4</v>
      </c>
      <c r="H1191" t="n">
        <v>0</v>
      </c>
      <c r="I1191" t="n">
        <v>0</v>
      </c>
      <c r="J1191" t="n">
        <v>0</v>
      </c>
      <c r="K1191" t="n">
        <v>0</v>
      </c>
      <c r="L1191" t="n">
        <v>0</v>
      </c>
      <c r="M1191" t="n">
        <v>0</v>
      </c>
      <c r="N1191" t="n">
        <v>0</v>
      </c>
      <c r="O1191" t="n">
        <v>0</v>
      </c>
      <c r="P1191" t="n">
        <v>0</v>
      </c>
      <c r="Q1191" t="n">
        <v>0</v>
      </c>
      <c r="R1191" s="2" t="inlineStr"/>
    </row>
    <row r="1192" ht="15" customHeight="1">
      <c r="A1192" t="inlineStr">
        <is>
          <t>A 36227-2023</t>
        </is>
      </c>
      <c r="B1192" s="1" t="n">
        <v>45150</v>
      </c>
      <c r="C1192" s="1" t="n">
        <v>45753</v>
      </c>
      <c r="D1192" t="inlineStr">
        <is>
          <t>JÄMTLANDS LÄN</t>
        </is>
      </c>
      <c r="E1192" t="inlineStr">
        <is>
          <t>RAGUNDA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36212-2023</t>
        </is>
      </c>
      <c r="B1193" s="1" t="n">
        <v>45150</v>
      </c>
      <c r="C1193" s="1" t="n">
        <v>45753</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36213-2023</t>
        </is>
      </c>
      <c r="B1194" s="1" t="n">
        <v>45150</v>
      </c>
      <c r="C1194" s="1" t="n">
        <v>45753</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36226-2023</t>
        </is>
      </c>
      <c r="B1195" s="1" t="n">
        <v>45150</v>
      </c>
      <c r="C1195" s="1" t="n">
        <v>45753</v>
      </c>
      <c r="D1195" t="inlineStr">
        <is>
          <t>JÄMTLANDS LÄN</t>
        </is>
      </c>
      <c r="E1195" t="inlineStr">
        <is>
          <t>RAGUNDA</t>
        </is>
      </c>
      <c r="F1195" t="inlineStr">
        <is>
          <t>SCA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36371-2023</t>
        </is>
      </c>
      <c r="B1196" s="1" t="n">
        <v>45149</v>
      </c>
      <c r="C1196" s="1" t="n">
        <v>45753</v>
      </c>
      <c r="D1196" t="inlineStr">
        <is>
          <t>JÄMTLANDS LÄN</t>
        </is>
      </c>
      <c r="E1196" t="inlineStr">
        <is>
          <t>RAGUNDA</t>
        </is>
      </c>
      <c r="G1196" t="n">
        <v>25.7</v>
      </c>
      <c r="H1196" t="n">
        <v>0</v>
      </c>
      <c r="I1196" t="n">
        <v>0</v>
      </c>
      <c r="J1196" t="n">
        <v>0</v>
      </c>
      <c r="K1196" t="n">
        <v>0</v>
      </c>
      <c r="L1196" t="n">
        <v>0</v>
      </c>
      <c r="M1196" t="n">
        <v>0</v>
      </c>
      <c r="N1196" t="n">
        <v>0</v>
      </c>
      <c r="O1196" t="n">
        <v>0</v>
      </c>
      <c r="P1196" t="n">
        <v>0</v>
      </c>
      <c r="Q1196" t="n">
        <v>0</v>
      </c>
      <c r="R1196" s="2" t="inlineStr"/>
    </row>
    <row r="1197" ht="15" customHeight="1">
      <c r="A1197" t="inlineStr">
        <is>
          <t>A 36506-2023</t>
        </is>
      </c>
      <c r="B1197" s="1" t="n">
        <v>45153</v>
      </c>
      <c r="C1197" s="1" t="n">
        <v>45753</v>
      </c>
      <c r="D1197" t="inlineStr">
        <is>
          <t>JÄMTLANDS LÄN</t>
        </is>
      </c>
      <c r="E1197" t="inlineStr">
        <is>
          <t>RAGUNDA</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36755-2023</t>
        </is>
      </c>
      <c r="B1198" s="1" t="n">
        <v>45153</v>
      </c>
      <c r="C1198" s="1" t="n">
        <v>45753</v>
      </c>
      <c r="D1198" t="inlineStr">
        <is>
          <t>JÄMTLANDS LÄN</t>
        </is>
      </c>
      <c r="E1198" t="inlineStr">
        <is>
          <t>RAGUNDA</t>
        </is>
      </c>
      <c r="G1198" t="n">
        <v>9.199999999999999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36859-2023</t>
        </is>
      </c>
      <c r="B1199" s="1" t="n">
        <v>45153</v>
      </c>
      <c r="C1199" s="1" t="n">
        <v>45753</v>
      </c>
      <c r="D1199" t="inlineStr">
        <is>
          <t>JÄMTLANDS LÄN</t>
        </is>
      </c>
      <c r="E1199" t="inlineStr">
        <is>
          <t>RAGUNDA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36985-2023</t>
        </is>
      </c>
      <c r="B1200" s="1" t="n">
        <v>45155</v>
      </c>
      <c r="C1200" s="1" t="n">
        <v>45753</v>
      </c>
      <c r="D1200" t="inlineStr">
        <is>
          <t>JÄMTLANDS LÄN</t>
        </is>
      </c>
      <c r="E1200" t="inlineStr">
        <is>
          <t>RAGUNDA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36986-2023</t>
        </is>
      </c>
      <c r="B1201" s="1" t="n">
        <v>45155</v>
      </c>
      <c r="C1201" s="1" t="n">
        <v>45753</v>
      </c>
      <c r="D1201" t="inlineStr">
        <is>
          <t>JÄMTLANDS LÄN</t>
        </is>
      </c>
      <c r="E1201" t="inlineStr">
        <is>
          <t>RAGUNDA</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37251-2023</t>
        </is>
      </c>
      <c r="B1202" s="1" t="n">
        <v>45156</v>
      </c>
      <c r="C1202" s="1" t="n">
        <v>45753</v>
      </c>
      <c r="D1202" t="inlineStr">
        <is>
          <t>JÄMTLANDS LÄN</t>
        </is>
      </c>
      <c r="E1202" t="inlineStr">
        <is>
          <t>RAGUNDA</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37480-2023</t>
        </is>
      </c>
      <c r="B1203" s="1" t="n">
        <v>45156</v>
      </c>
      <c r="C1203" s="1" t="n">
        <v>45753</v>
      </c>
      <c r="D1203" t="inlineStr">
        <is>
          <t>JÄMTLANDS LÄN</t>
        </is>
      </c>
      <c r="E1203" t="inlineStr">
        <is>
          <t>RAGUNDA</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37479-2023</t>
        </is>
      </c>
      <c r="B1204" s="1" t="n">
        <v>45156</v>
      </c>
      <c r="C1204" s="1" t="n">
        <v>45753</v>
      </c>
      <c r="D1204" t="inlineStr">
        <is>
          <t>JÄMTLANDS LÄN</t>
        </is>
      </c>
      <c r="E1204" t="inlineStr">
        <is>
          <t>RAGUNDA</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37536-2023</t>
        </is>
      </c>
      <c r="B1205" s="1" t="n">
        <v>45159</v>
      </c>
      <c r="C1205" s="1" t="n">
        <v>45753</v>
      </c>
      <c r="D1205" t="inlineStr">
        <is>
          <t>JÄMTLANDS LÄN</t>
        </is>
      </c>
      <c r="E1205" t="inlineStr">
        <is>
          <t>RAGUNDA</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37544-2023</t>
        </is>
      </c>
      <c r="B1206" s="1" t="n">
        <v>45159</v>
      </c>
      <c r="C1206" s="1" t="n">
        <v>45753</v>
      </c>
      <c r="D1206" t="inlineStr">
        <is>
          <t>JÄMTLANDS LÄN</t>
        </is>
      </c>
      <c r="E1206" t="inlineStr">
        <is>
          <t>RAGUNDA</t>
        </is>
      </c>
      <c r="F1206" t="inlineStr">
        <is>
          <t>SCA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37543-2023</t>
        </is>
      </c>
      <c r="B1207" s="1" t="n">
        <v>45159</v>
      </c>
      <c r="C1207" s="1" t="n">
        <v>45753</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37795-2023</t>
        </is>
      </c>
      <c r="B1208" s="1" t="n">
        <v>45160</v>
      </c>
      <c r="C1208" s="1" t="n">
        <v>45753</v>
      </c>
      <c r="D1208" t="inlineStr">
        <is>
          <t>JÄMTLANDS LÄN</t>
        </is>
      </c>
      <c r="E1208" t="inlineStr">
        <is>
          <t>RAGUNDA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37805-2023</t>
        </is>
      </c>
      <c r="B1209" s="1" t="n">
        <v>45160</v>
      </c>
      <c r="C1209" s="1" t="n">
        <v>45753</v>
      </c>
      <c r="D1209" t="inlineStr">
        <is>
          <t>JÄMTLANDS LÄN</t>
        </is>
      </c>
      <c r="E1209" t="inlineStr">
        <is>
          <t>RAGUNDA</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37804-2023</t>
        </is>
      </c>
      <c r="B1210" s="1" t="n">
        <v>45160</v>
      </c>
      <c r="C1210" s="1" t="n">
        <v>45753</v>
      </c>
      <c r="D1210" t="inlineStr">
        <is>
          <t>JÄMTLANDS LÄN</t>
        </is>
      </c>
      <c r="E1210" t="inlineStr">
        <is>
          <t>RAGUNDA</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39070-2023</t>
        </is>
      </c>
      <c r="B1211" s="1" t="n">
        <v>45164</v>
      </c>
      <c r="C1211" s="1" t="n">
        <v>45753</v>
      </c>
      <c r="D1211" t="inlineStr">
        <is>
          <t>JÄMTLANDS LÄN</t>
        </is>
      </c>
      <c r="E1211" t="inlineStr">
        <is>
          <t>RAGUNDA</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39076-2023</t>
        </is>
      </c>
      <c r="B1212" s="1" t="n">
        <v>45163</v>
      </c>
      <c r="C1212" s="1" t="n">
        <v>45753</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39478-2023</t>
        </is>
      </c>
      <c r="B1213" s="1" t="n">
        <v>45166</v>
      </c>
      <c r="C1213" s="1" t="n">
        <v>45753</v>
      </c>
      <c r="D1213" t="inlineStr">
        <is>
          <t>JÄMTLANDS LÄN</t>
        </is>
      </c>
      <c r="E1213" t="inlineStr">
        <is>
          <t>RAGUNDA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39482-2023</t>
        </is>
      </c>
      <c r="B1214" s="1" t="n">
        <v>45167</v>
      </c>
      <c r="C1214" s="1" t="n">
        <v>45753</v>
      </c>
      <c r="D1214" t="inlineStr">
        <is>
          <t>JÄMTLANDS LÄN</t>
        </is>
      </c>
      <c r="E1214" t="inlineStr">
        <is>
          <t>RAGUNDA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39487-2023</t>
        </is>
      </c>
      <c r="B1215" s="1" t="n">
        <v>45167</v>
      </c>
      <c r="C1215" s="1" t="n">
        <v>45753</v>
      </c>
      <c r="D1215" t="inlineStr">
        <is>
          <t>JÄMTLANDS LÄN</t>
        </is>
      </c>
      <c r="E1215" t="inlineStr">
        <is>
          <t>RAGUNDA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39489-2023</t>
        </is>
      </c>
      <c r="B1216" s="1" t="n">
        <v>45166</v>
      </c>
      <c r="C1216" s="1" t="n">
        <v>45753</v>
      </c>
      <c r="D1216" t="inlineStr">
        <is>
          <t>JÄMTLANDS LÄN</t>
        </is>
      </c>
      <c r="E1216" t="inlineStr">
        <is>
          <t>RAGUNDA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39488-2023</t>
        </is>
      </c>
      <c r="B1217" s="1" t="n">
        <v>45166</v>
      </c>
      <c r="C1217" s="1" t="n">
        <v>45753</v>
      </c>
      <c r="D1217" t="inlineStr">
        <is>
          <t>JÄMTLANDS LÄN</t>
        </is>
      </c>
      <c r="E1217" t="inlineStr">
        <is>
          <t>RAGUNDA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39481-2023</t>
        </is>
      </c>
      <c r="B1218" s="1" t="n">
        <v>45167</v>
      </c>
      <c r="C1218" s="1" t="n">
        <v>45753</v>
      </c>
      <c r="D1218" t="inlineStr">
        <is>
          <t>JÄMTLANDS LÄN</t>
        </is>
      </c>
      <c r="E1218" t="inlineStr">
        <is>
          <t>RAGUNDA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39820-2023</t>
        </is>
      </c>
      <c r="B1219" s="1" t="n">
        <v>45167</v>
      </c>
      <c r="C1219" s="1" t="n">
        <v>45753</v>
      </c>
      <c r="D1219" t="inlineStr">
        <is>
          <t>JÄMTLANDS LÄN</t>
        </is>
      </c>
      <c r="E1219" t="inlineStr">
        <is>
          <t>RAGUNDA</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40801-2023</t>
        </is>
      </c>
      <c r="B1220" s="1" t="n">
        <v>45170</v>
      </c>
      <c r="C1220" s="1" t="n">
        <v>45753</v>
      </c>
      <c r="D1220" t="inlineStr">
        <is>
          <t>JÄMTLANDS LÄN</t>
        </is>
      </c>
      <c r="E1220" t="inlineStr">
        <is>
          <t>RAGUNDA</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40800-2023</t>
        </is>
      </c>
      <c r="B1221" s="1" t="n">
        <v>45171</v>
      </c>
      <c r="C1221" s="1" t="n">
        <v>45753</v>
      </c>
      <c r="D1221" t="inlineStr">
        <is>
          <t>JÄMTLANDS LÄN</t>
        </is>
      </c>
      <c r="E1221" t="inlineStr">
        <is>
          <t>RAGUNDA</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41413-2023</t>
        </is>
      </c>
      <c r="B1222" s="1" t="n">
        <v>45175</v>
      </c>
      <c r="C1222" s="1" t="n">
        <v>45753</v>
      </c>
      <c r="D1222" t="inlineStr">
        <is>
          <t>JÄMTLANDS LÄN</t>
        </is>
      </c>
      <c r="E1222" t="inlineStr">
        <is>
          <t>RAGUNDA</t>
        </is>
      </c>
      <c r="F1222" t="inlineStr">
        <is>
          <t>SCA</t>
        </is>
      </c>
      <c r="G1222" t="n">
        <v>40.6</v>
      </c>
      <c r="H1222" t="n">
        <v>0</v>
      </c>
      <c r="I1222" t="n">
        <v>0</v>
      </c>
      <c r="J1222" t="n">
        <v>0</v>
      </c>
      <c r="K1222" t="n">
        <v>0</v>
      </c>
      <c r="L1222" t="n">
        <v>0</v>
      </c>
      <c r="M1222" t="n">
        <v>0</v>
      </c>
      <c r="N1222" t="n">
        <v>0</v>
      </c>
      <c r="O1222" t="n">
        <v>0</v>
      </c>
      <c r="P1222" t="n">
        <v>0</v>
      </c>
      <c r="Q1222" t="n">
        <v>0</v>
      </c>
      <c r="R1222" s="2" t="inlineStr"/>
    </row>
    <row r="1223" ht="15" customHeight="1">
      <c r="A1223" t="inlineStr">
        <is>
          <t>A 41402-2023</t>
        </is>
      </c>
      <c r="B1223" s="1" t="n">
        <v>45175</v>
      </c>
      <c r="C1223" s="1" t="n">
        <v>45753</v>
      </c>
      <c r="D1223" t="inlineStr">
        <is>
          <t>JÄMTLANDS LÄN</t>
        </is>
      </c>
      <c r="E1223" t="inlineStr">
        <is>
          <t>RAGUNDA</t>
        </is>
      </c>
      <c r="F1223" t="inlineStr">
        <is>
          <t>SCA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42295-2023</t>
        </is>
      </c>
      <c r="B1224" s="1" t="n">
        <v>45175</v>
      </c>
      <c r="C1224" s="1" t="n">
        <v>45753</v>
      </c>
      <c r="D1224" t="inlineStr">
        <is>
          <t>JÄMTLANDS LÄN</t>
        </is>
      </c>
      <c r="E1224" t="inlineStr">
        <is>
          <t>RAGUNDA</t>
        </is>
      </c>
      <c r="F1224" t="inlineStr">
        <is>
          <t>Kommuner</t>
        </is>
      </c>
      <c r="G1224" t="n">
        <v>11.8</v>
      </c>
      <c r="H1224" t="n">
        <v>0</v>
      </c>
      <c r="I1224" t="n">
        <v>0</v>
      </c>
      <c r="J1224" t="n">
        <v>0</v>
      </c>
      <c r="K1224" t="n">
        <v>0</v>
      </c>
      <c r="L1224" t="n">
        <v>0</v>
      </c>
      <c r="M1224" t="n">
        <v>0</v>
      </c>
      <c r="N1224" t="n">
        <v>0</v>
      </c>
      <c r="O1224" t="n">
        <v>0</v>
      </c>
      <c r="P1224" t="n">
        <v>0</v>
      </c>
      <c r="Q1224" t="n">
        <v>0</v>
      </c>
      <c r="R1224" s="2" t="inlineStr"/>
    </row>
    <row r="1225" ht="15" customHeight="1">
      <c r="A1225" t="inlineStr">
        <is>
          <t>A 41656-2023</t>
        </is>
      </c>
      <c r="B1225" s="1" t="n">
        <v>45175</v>
      </c>
      <c r="C1225" s="1" t="n">
        <v>45753</v>
      </c>
      <c r="D1225" t="inlineStr">
        <is>
          <t>JÄMTLANDS LÄN</t>
        </is>
      </c>
      <c r="E1225" t="inlineStr">
        <is>
          <t>RAGUNDA</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41693-2023</t>
        </is>
      </c>
      <c r="B1226" s="1" t="n">
        <v>45176</v>
      </c>
      <c r="C1226" s="1" t="n">
        <v>45753</v>
      </c>
      <c r="D1226" t="inlineStr">
        <is>
          <t>JÄMTLANDS LÄN</t>
        </is>
      </c>
      <c r="E1226" t="inlineStr">
        <is>
          <t>RAGUNDA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41766-2023</t>
        </is>
      </c>
      <c r="B1227" s="1" t="n">
        <v>45176</v>
      </c>
      <c r="C1227" s="1" t="n">
        <v>45753</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41905-2023</t>
        </is>
      </c>
      <c r="B1228" s="1" t="n">
        <v>45176</v>
      </c>
      <c r="C1228" s="1" t="n">
        <v>45753</v>
      </c>
      <c r="D1228" t="inlineStr">
        <is>
          <t>JÄMTLANDS LÄN</t>
        </is>
      </c>
      <c r="E1228" t="inlineStr">
        <is>
          <t>RAGUNDA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42149-2023</t>
        </is>
      </c>
      <c r="B1229" s="1" t="n">
        <v>45177</v>
      </c>
      <c r="C1229" s="1" t="n">
        <v>45753</v>
      </c>
      <c r="D1229" t="inlineStr">
        <is>
          <t>JÄMTLANDS LÄN</t>
        </is>
      </c>
      <c r="E1229" t="inlineStr">
        <is>
          <t>RAGUNDA</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42510-2023</t>
        </is>
      </c>
      <c r="B1230" s="1" t="n">
        <v>45181</v>
      </c>
      <c r="C1230" s="1" t="n">
        <v>45753</v>
      </c>
      <c r="D1230" t="inlineStr">
        <is>
          <t>JÄMTLANDS LÄN</t>
        </is>
      </c>
      <c r="E1230" t="inlineStr">
        <is>
          <t>RAGUNDA</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42509-2023</t>
        </is>
      </c>
      <c r="B1231" s="1" t="n">
        <v>45180</v>
      </c>
      <c r="C1231" s="1" t="n">
        <v>45753</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42508-2023</t>
        </is>
      </c>
      <c r="B1232" s="1" t="n">
        <v>45181</v>
      </c>
      <c r="C1232" s="1" t="n">
        <v>45753</v>
      </c>
      <c r="D1232" t="inlineStr">
        <is>
          <t>JÄMTLANDS LÄN</t>
        </is>
      </c>
      <c r="E1232" t="inlineStr">
        <is>
          <t>RAGUNDA</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43607-2023</t>
        </is>
      </c>
      <c r="B1233" s="1" t="n">
        <v>45181</v>
      </c>
      <c r="C1233" s="1" t="n">
        <v>45753</v>
      </c>
      <c r="D1233" t="inlineStr">
        <is>
          <t>JÄMTLANDS LÄN</t>
        </is>
      </c>
      <c r="E1233" t="inlineStr">
        <is>
          <t>RAGUNDA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43102-2023</t>
        </is>
      </c>
      <c r="B1234" s="1" t="n">
        <v>45182</v>
      </c>
      <c r="C1234" s="1" t="n">
        <v>45753</v>
      </c>
      <c r="D1234" t="inlineStr">
        <is>
          <t>JÄMTLANDS LÄN</t>
        </is>
      </c>
      <c r="E1234" t="inlineStr">
        <is>
          <t>RAGUNDA</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43122-2023</t>
        </is>
      </c>
      <c r="B1235" s="1" t="n">
        <v>45183</v>
      </c>
      <c r="C1235" s="1" t="n">
        <v>45753</v>
      </c>
      <c r="D1235" t="inlineStr">
        <is>
          <t>JÄMTLANDS LÄN</t>
        </is>
      </c>
      <c r="E1235" t="inlineStr">
        <is>
          <t>RAGUNDA</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43132-2023</t>
        </is>
      </c>
      <c r="B1236" s="1" t="n">
        <v>45182</v>
      </c>
      <c r="C1236" s="1" t="n">
        <v>45753</v>
      </c>
      <c r="D1236" t="inlineStr">
        <is>
          <t>JÄMTLANDS LÄN</t>
        </is>
      </c>
      <c r="E1236" t="inlineStr">
        <is>
          <t>RAGUNDA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43926-2023</t>
        </is>
      </c>
      <c r="B1237" s="1" t="n">
        <v>45182</v>
      </c>
      <c r="C1237" s="1" t="n">
        <v>45753</v>
      </c>
      <c r="D1237" t="inlineStr">
        <is>
          <t>JÄMTLANDS LÄN</t>
        </is>
      </c>
      <c r="E1237" t="inlineStr">
        <is>
          <t>RAGUNDA</t>
        </is>
      </c>
      <c r="F1237" t="inlineStr">
        <is>
          <t>Kommuner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43405-2023</t>
        </is>
      </c>
      <c r="B1238" s="1" t="n">
        <v>45184</v>
      </c>
      <c r="C1238" s="1" t="n">
        <v>45753</v>
      </c>
      <c r="D1238" t="inlineStr">
        <is>
          <t>JÄMTLANDS LÄN</t>
        </is>
      </c>
      <c r="E1238" t="inlineStr">
        <is>
          <t>RAGUNDA</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43409-2023</t>
        </is>
      </c>
      <c r="B1239" s="1" t="n">
        <v>45184</v>
      </c>
      <c r="C1239" s="1" t="n">
        <v>45753</v>
      </c>
      <c r="D1239" t="inlineStr">
        <is>
          <t>JÄMTLANDS LÄN</t>
        </is>
      </c>
      <c r="E1239" t="inlineStr">
        <is>
          <t>RAGUNDA</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44630-2023</t>
        </is>
      </c>
      <c r="B1240" s="1" t="n">
        <v>45184</v>
      </c>
      <c r="C1240" s="1" t="n">
        <v>45753</v>
      </c>
      <c r="D1240" t="inlineStr">
        <is>
          <t>JÄMTLANDS LÄN</t>
        </is>
      </c>
      <c r="E1240" t="inlineStr">
        <is>
          <t>RAGUNDA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44881-2023</t>
        </is>
      </c>
      <c r="B1241" s="1" t="n">
        <v>45187</v>
      </c>
      <c r="C1241" s="1" t="n">
        <v>45753</v>
      </c>
      <c r="D1241" t="inlineStr">
        <is>
          <t>JÄMTLANDS LÄN</t>
        </is>
      </c>
      <c r="E1241" t="inlineStr">
        <is>
          <t>RAGUNDA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45257-2023</t>
        </is>
      </c>
      <c r="B1242" s="1" t="n">
        <v>45187</v>
      </c>
      <c r="C1242" s="1" t="n">
        <v>45753</v>
      </c>
      <c r="D1242" t="inlineStr">
        <is>
          <t>JÄMTLANDS LÄN</t>
        </is>
      </c>
      <c r="E1242" t="inlineStr">
        <is>
          <t>RAGUNDA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45253-2023</t>
        </is>
      </c>
      <c r="B1243" s="1" t="n">
        <v>45187</v>
      </c>
      <c r="C1243" s="1" t="n">
        <v>45753</v>
      </c>
      <c r="D1243" t="inlineStr">
        <is>
          <t>JÄMTLANDS LÄN</t>
        </is>
      </c>
      <c r="E1243" t="inlineStr">
        <is>
          <t>RAGUNDA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44987-2023</t>
        </is>
      </c>
      <c r="B1244" s="1" t="n">
        <v>45191</v>
      </c>
      <c r="C1244" s="1" t="n">
        <v>45753</v>
      </c>
      <c r="D1244" t="inlineStr">
        <is>
          <t>JÄMTLANDS LÄN</t>
        </is>
      </c>
      <c r="E1244" t="inlineStr">
        <is>
          <t>RAGUNDA</t>
        </is>
      </c>
      <c r="F1244" t="inlineStr">
        <is>
          <t>SCA</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44999-2023</t>
        </is>
      </c>
      <c r="B1245" s="1" t="n">
        <v>45191</v>
      </c>
      <c r="C1245" s="1" t="n">
        <v>45753</v>
      </c>
      <c r="D1245" t="inlineStr">
        <is>
          <t>JÄMTLANDS LÄN</t>
        </is>
      </c>
      <c r="E1245" t="inlineStr">
        <is>
          <t>RAGUNDA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44980-2023</t>
        </is>
      </c>
      <c r="B1246" s="1" t="n">
        <v>45190</v>
      </c>
      <c r="C1246" s="1" t="n">
        <v>45753</v>
      </c>
      <c r="D1246" t="inlineStr">
        <is>
          <t>JÄMTLANDS LÄN</t>
        </is>
      </c>
      <c r="E1246" t="inlineStr">
        <is>
          <t>RAGUNDA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44988-2023</t>
        </is>
      </c>
      <c r="B1247" s="1" t="n">
        <v>45190</v>
      </c>
      <c r="C1247" s="1" t="n">
        <v>45753</v>
      </c>
      <c r="D1247" t="inlineStr">
        <is>
          <t>JÄMTLANDS LÄN</t>
        </is>
      </c>
      <c r="E1247" t="inlineStr">
        <is>
          <t>RAGUNDA</t>
        </is>
      </c>
      <c r="F1247" t="inlineStr">
        <is>
          <t>SCA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44996-2023</t>
        </is>
      </c>
      <c r="B1248" s="1" t="n">
        <v>45191</v>
      </c>
      <c r="C1248" s="1" t="n">
        <v>45753</v>
      </c>
      <c r="D1248" t="inlineStr">
        <is>
          <t>JÄMTLANDS LÄN</t>
        </is>
      </c>
      <c r="E1248" t="inlineStr">
        <is>
          <t>RAGUNDA</t>
        </is>
      </c>
      <c r="F1248" t="inlineStr">
        <is>
          <t>SCA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45020-2023</t>
        </is>
      </c>
      <c r="B1249" s="1" t="n">
        <v>45191</v>
      </c>
      <c r="C1249" s="1" t="n">
        <v>45753</v>
      </c>
      <c r="D1249" t="inlineStr">
        <is>
          <t>JÄMTLANDS LÄN</t>
        </is>
      </c>
      <c r="E1249" t="inlineStr">
        <is>
          <t>RAGUNDA</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44997-2023</t>
        </is>
      </c>
      <c r="B1250" s="1" t="n">
        <v>45191</v>
      </c>
      <c r="C1250" s="1" t="n">
        <v>45753</v>
      </c>
      <c r="D1250" t="inlineStr">
        <is>
          <t>JÄMTLANDS LÄN</t>
        </is>
      </c>
      <c r="E1250" t="inlineStr">
        <is>
          <t>RAGUNDA</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45336-2023</t>
        </is>
      </c>
      <c r="B1251" s="1" t="n">
        <v>45192</v>
      </c>
      <c r="C1251" s="1" t="n">
        <v>45753</v>
      </c>
      <c r="D1251" t="inlineStr">
        <is>
          <t>JÄMTLANDS LÄN</t>
        </is>
      </c>
      <c r="E1251" t="inlineStr">
        <is>
          <t>RAGUNDA</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45335-2023</t>
        </is>
      </c>
      <c r="B1252" s="1" t="n">
        <v>45191</v>
      </c>
      <c r="C1252" s="1" t="n">
        <v>45753</v>
      </c>
      <c r="D1252" t="inlineStr">
        <is>
          <t>JÄMTLANDS LÄN</t>
        </is>
      </c>
      <c r="E1252" t="inlineStr">
        <is>
          <t>RAGUNDA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45338-2023</t>
        </is>
      </c>
      <c r="B1253" s="1" t="n">
        <v>45192</v>
      </c>
      <c r="C1253" s="1" t="n">
        <v>45753</v>
      </c>
      <c r="D1253" t="inlineStr">
        <is>
          <t>JÄMTLANDS LÄN</t>
        </is>
      </c>
      <c r="E1253" t="inlineStr">
        <is>
          <t>RAGUNDA</t>
        </is>
      </c>
      <c r="F1253" t="inlineStr">
        <is>
          <t>SCA</t>
        </is>
      </c>
      <c r="G1253" t="n">
        <v>23.4</v>
      </c>
      <c r="H1253" t="n">
        <v>0</v>
      </c>
      <c r="I1253" t="n">
        <v>0</v>
      </c>
      <c r="J1253" t="n">
        <v>0</v>
      </c>
      <c r="K1253" t="n">
        <v>0</v>
      </c>
      <c r="L1253" t="n">
        <v>0</v>
      </c>
      <c r="M1253" t="n">
        <v>0</v>
      </c>
      <c r="N1253" t="n">
        <v>0</v>
      </c>
      <c r="O1253" t="n">
        <v>0</v>
      </c>
      <c r="P1253" t="n">
        <v>0</v>
      </c>
      <c r="Q1253" t="n">
        <v>0</v>
      </c>
      <c r="R1253" s="2" t="inlineStr"/>
    </row>
    <row r="1254" ht="15" customHeight="1">
      <c r="A1254" t="inlineStr">
        <is>
          <t>A 45953-2023</t>
        </is>
      </c>
      <c r="B1254" s="1" t="n">
        <v>45196</v>
      </c>
      <c r="C1254" s="1" t="n">
        <v>45753</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45974-2023</t>
        </is>
      </c>
      <c r="B1255" s="1" t="n">
        <v>45196</v>
      </c>
      <c r="C1255" s="1" t="n">
        <v>45753</v>
      </c>
      <c r="D1255" t="inlineStr">
        <is>
          <t>JÄMTLANDS LÄN</t>
        </is>
      </c>
      <c r="E1255" t="inlineStr">
        <is>
          <t>RAGUNDA</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45954-2023</t>
        </is>
      </c>
      <c r="B1256" s="1" t="n">
        <v>45196</v>
      </c>
      <c r="C1256" s="1" t="n">
        <v>45753</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45952-2023</t>
        </is>
      </c>
      <c r="B1257" s="1" t="n">
        <v>45195</v>
      </c>
      <c r="C1257" s="1" t="n">
        <v>45753</v>
      </c>
      <c r="D1257" t="inlineStr">
        <is>
          <t>JÄMTLANDS LÄN</t>
        </is>
      </c>
      <c r="E1257" t="inlineStr">
        <is>
          <t>RAGUNDA</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45955-2023</t>
        </is>
      </c>
      <c r="B1258" s="1" t="n">
        <v>45196</v>
      </c>
      <c r="C1258" s="1" t="n">
        <v>45753</v>
      </c>
      <c r="D1258" t="inlineStr">
        <is>
          <t>JÄMTLANDS LÄN</t>
        </is>
      </c>
      <c r="E1258" t="inlineStr">
        <is>
          <t>RAGUNDA</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47319-2023</t>
        </is>
      </c>
      <c r="B1259" s="1" t="n">
        <v>45196</v>
      </c>
      <c r="C1259" s="1" t="n">
        <v>45753</v>
      </c>
      <c r="D1259" t="inlineStr">
        <is>
          <t>JÄMTLANDS LÄN</t>
        </is>
      </c>
      <c r="E1259" t="inlineStr">
        <is>
          <t>RAGUNDA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46536-2023</t>
        </is>
      </c>
      <c r="B1260" s="1" t="n">
        <v>45198</v>
      </c>
      <c r="C1260" s="1" t="n">
        <v>45753</v>
      </c>
      <c r="D1260" t="inlineStr">
        <is>
          <t>JÄMTLANDS LÄN</t>
        </is>
      </c>
      <c r="E1260" t="inlineStr">
        <is>
          <t>RAGUNDA</t>
        </is>
      </c>
      <c r="G1260" t="n">
        <v>11.2</v>
      </c>
      <c r="H1260" t="n">
        <v>0</v>
      </c>
      <c r="I1260" t="n">
        <v>0</v>
      </c>
      <c r="J1260" t="n">
        <v>0</v>
      </c>
      <c r="K1260" t="n">
        <v>0</v>
      </c>
      <c r="L1260" t="n">
        <v>0</v>
      </c>
      <c r="M1260" t="n">
        <v>0</v>
      </c>
      <c r="N1260" t="n">
        <v>0</v>
      </c>
      <c r="O1260" t="n">
        <v>0</v>
      </c>
      <c r="P1260" t="n">
        <v>0</v>
      </c>
      <c r="Q1260" t="n">
        <v>0</v>
      </c>
      <c r="R1260" s="2" t="inlineStr"/>
    </row>
    <row r="1261" ht="15" customHeight="1">
      <c r="A1261" t="inlineStr">
        <is>
          <t>A 46549-2023</t>
        </is>
      </c>
      <c r="B1261" s="1" t="n">
        <v>45198</v>
      </c>
      <c r="C1261" s="1" t="n">
        <v>45753</v>
      </c>
      <c r="D1261" t="inlineStr">
        <is>
          <t>JÄMTLANDS LÄN</t>
        </is>
      </c>
      <c r="E1261" t="inlineStr">
        <is>
          <t>RAGUNDA</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46537-2023</t>
        </is>
      </c>
      <c r="B1262" s="1" t="n">
        <v>45197</v>
      </c>
      <c r="C1262" s="1" t="n">
        <v>45753</v>
      </c>
      <c r="D1262" t="inlineStr">
        <is>
          <t>JÄMTLANDS LÄN</t>
        </is>
      </c>
      <c r="E1262" t="inlineStr">
        <is>
          <t>RAGUNDA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46546-2023</t>
        </is>
      </c>
      <c r="B1263" s="1" t="n">
        <v>45198</v>
      </c>
      <c r="C1263" s="1" t="n">
        <v>45753</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47444-2023</t>
        </is>
      </c>
      <c r="B1264" s="1" t="n">
        <v>45197</v>
      </c>
      <c r="C1264" s="1" t="n">
        <v>45753</v>
      </c>
      <c r="D1264" t="inlineStr">
        <is>
          <t>JÄMTLANDS LÄN</t>
        </is>
      </c>
      <c r="E1264" t="inlineStr">
        <is>
          <t>RAGUNDA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46817-2023</t>
        </is>
      </c>
      <c r="B1265" s="1" t="n">
        <v>45199</v>
      </c>
      <c r="C1265" s="1" t="n">
        <v>45753</v>
      </c>
      <c r="D1265" t="inlineStr">
        <is>
          <t>JÄMTLANDS LÄN</t>
        </is>
      </c>
      <c r="E1265" t="inlineStr">
        <is>
          <t>RAGUNDA</t>
        </is>
      </c>
      <c r="F1265" t="inlineStr">
        <is>
          <t>SCA</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46806-2023</t>
        </is>
      </c>
      <c r="B1266" s="1" t="n">
        <v>45199</v>
      </c>
      <c r="C1266" s="1" t="n">
        <v>45753</v>
      </c>
      <c r="D1266" t="inlineStr">
        <is>
          <t>JÄMTLANDS LÄN</t>
        </is>
      </c>
      <c r="E1266" t="inlineStr">
        <is>
          <t>RAGUNDA</t>
        </is>
      </c>
      <c r="F1266" t="inlineStr">
        <is>
          <t>SCA</t>
        </is>
      </c>
      <c r="G1266" t="n">
        <v>39.8</v>
      </c>
      <c r="H1266" t="n">
        <v>0</v>
      </c>
      <c r="I1266" t="n">
        <v>0</v>
      </c>
      <c r="J1266" t="n">
        <v>0</v>
      </c>
      <c r="K1266" t="n">
        <v>0</v>
      </c>
      <c r="L1266" t="n">
        <v>0</v>
      </c>
      <c r="M1266" t="n">
        <v>0</v>
      </c>
      <c r="N1266" t="n">
        <v>0</v>
      </c>
      <c r="O1266" t="n">
        <v>0</v>
      </c>
      <c r="P1266" t="n">
        <v>0</v>
      </c>
      <c r="Q1266" t="n">
        <v>0</v>
      </c>
      <c r="R1266" s="2" t="inlineStr"/>
    </row>
    <row r="1267" ht="15" customHeight="1">
      <c r="A1267" t="inlineStr">
        <is>
          <t>A 47168-2023</t>
        </is>
      </c>
      <c r="B1267" s="1" t="n">
        <v>45201</v>
      </c>
      <c r="C1267" s="1" t="n">
        <v>45753</v>
      </c>
      <c r="D1267" t="inlineStr">
        <is>
          <t>JÄMTLANDS LÄN</t>
        </is>
      </c>
      <c r="E1267" t="inlineStr">
        <is>
          <t>RAGUNDA</t>
        </is>
      </c>
      <c r="F1267" t="inlineStr">
        <is>
          <t>SCA</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47173-2023</t>
        </is>
      </c>
      <c r="B1268" s="1" t="n">
        <v>45202</v>
      </c>
      <c r="C1268" s="1" t="n">
        <v>45753</v>
      </c>
      <c r="D1268" t="inlineStr">
        <is>
          <t>JÄMTLANDS LÄN</t>
        </is>
      </c>
      <c r="E1268" t="inlineStr">
        <is>
          <t>RAGUNDA</t>
        </is>
      </c>
      <c r="F1268" t="inlineStr">
        <is>
          <t>SCA</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48065-2023</t>
        </is>
      </c>
      <c r="B1269" s="1" t="n">
        <v>45205</v>
      </c>
      <c r="C1269" s="1" t="n">
        <v>45753</v>
      </c>
      <c r="D1269" t="inlineStr">
        <is>
          <t>JÄMTLANDS LÄN</t>
        </is>
      </c>
      <c r="E1269" t="inlineStr">
        <is>
          <t>RAGUNDA</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48066-2023</t>
        </is>
      </c>
      <c r="B1270" s="1" t="n">
        <v>45205</v>
      </c>
      <c r="C1270" s="1" t="n">
        <v>45753</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48421-2023</t>
        </is>
      </c>
      <c r="B1271" s="1" t="n">
        <v>45205</v>
      </c>
      <c r="C1271" s="1" t="n">
        <v>45753</v>
      </c>
      <c r="D1271" t="inlineStr">
        <is>
          <t>JÄMTLANDS LÄN</t>
        </is>
      </c>
      <c r="E1271" t="inlineStr">
        <is>
          <t>RAGUNDA</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48469-2023</t>
        </is>
      </c>
      <c r="B1272" s="1" t="n">
        <v>45207</v>
      </c>
      <c r="C1272" s="1" t="n">
        <v>45753</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50160-2023</t>
        </is>
      </c>
      <c r="B1273" s="1" t="n">
        <v>45208</v>
      </c>
      <c r="C1273" s="1" t="n">
        <v>45753</v>
      </c>
      <c r="D1273" t="inlineStr">
        <is>
          <t>JÄMTLANDS LÄN</t>
        </is>
      </c>
      <c r="E1273" t="inlineStr">
        <is>
          <t>RAGUNDA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50157-2023</t>
        </is>
      </c>
      <c r="B1274" s="1" t="n">
        <v>45208</v>
      </c>
      <c r="C1274" s="1" t="n">
        <v>45753</v>
      </c>
      <c r="D1274" t="inlineStr">
        <is>
          <t>JÄMTLANDS LÄN</t>
        </is>
      </c>
      <c r="E1274" t="inlineStr">
        <is>
          <t>RAGUNDA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50658-2023</t>
        </is>
      </c>
      <c r="B1275" s="1" t="n">
        <v>45210</v>
      </c>
      <c r="C1275" s="1" t="n">
        <v>45753</v>
      </c>
      <c r="D1275" t="inlineStr">
        <is>
          <t>JÄMTLANDS LÄN</t>
        </is>
      </c>
      <c r="E1275" t="inlineStr">
        <is>
          <t>RAGUNDA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50650-2023</t>
        </is>
      </c>
      <c r="B1276" s="1" t="n">
        <v>45210</v>
      </c>
      <c r="C1276" s="1" t="n">
        <v>45753</v>
      </c>
      <c r="D1276" t="inlineStr">
        <is>
          <t>JÄMTLANDS LÄN</t>
        </is>
      </c>
      <c r="E1276" t="inlineStr">
        <is>
          <t>RAGUNDA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49650-2023</t>
        </is>
      </c>
      <c r="B1277" s="1" t="n">
        <v>45212</v>
      </c>
      <c r="C1277" s="1" t="n">
        <v>45753</v>
      </c>
      <c r="D1277" t="inlineStr">
        <is>
          <t>JÄMTLANDS LÄN</t>
        </is>
      </c>
      <c r="E1277" t="inlineStr">
        <is>
          <t>RAGUNDA</t>
        </is>
      </c>
      <c r="F1277" t="inlineStr">
        <is>
          <t>SCA</t>
        </is>
      </c>
      <c r="G1277" t="n">
        <v>19.8</v>
      </c>
      <c r="H1277" t="n">
        <v>0</v>
      </c>
      <c r="I1277" t="n">
        <v>0</v>
      </c>
      <c r="J1277" t="n">
        <v>0</v>
      </c>
      <c r="K1277" t="n">
        <v>0</v>
      </c>
      <c r="L1277" t="n">
        <v>0</v>
      </c>
      <c r="M1277" t="n">
        <v>0</v>
      </c>
      <c r="N1277" t="n">
        <v>0</v>
      </c>
      <c r="O1277" t="n">
        <v>0</v>
      </c>
      <c r="P1277" t="n">
        <v>0</v>
      </c>
      <c r="Q1277" t="n">
        <v>0</v>
      </c>
      <c r="R1277" s="2" t="inlineStr"/>
    </row>
    <row r="1278" ht="15" customHeight="1">
      <c r="A1278" t="inlineStr">
        <is>
          <t>A 49648-2023</t>
        </is>
      </c>
      <c r="B1278" s="1" t="n">
        <v>45212</v>
      </c>
      <c r="C1278" s="1" t="n">
        <v>45753</v>
      </c>
      <c r="D1278" t="inlineStr">
        <is>
          <t>JÄMTLANDS LÄN</t>
        </is>
      </c>
      <c r="E1278" t="inlineStr">
        <is>
          <t>RAGUNDA</t>
        </is>
      </c>
      <c r="F1278" t="inlineStr">
        <is>
          <t>SCA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49659-2023</t>
        </is>
      </c>
      <c r="B1279" s="1" t="n">
        <v>45212</v>
      </c>
      <c r="C1279" s="1" t="n">
        <v>45753</v>
      </c>
      <c r="D1279" t="inlineStr">
        <is>
          <t>JÄMTLANDS LÄN</t>
        </is>
      </c>
      <c r="E1279" t="inlineStr">
        <is>
          <t>RAGUNDA</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50211-2023</t>
        </is>
      </c>
      <c r="B1280" s="1" t="n">
        <v>45216</v>
      </c>
      <c r="C1280" s="1" t="n">
        <v>45753</v>
      </c>
      <c r="D1280" t="inlineStr">
        <is>
          <t>JÄMTLANDS LÄN</t>
        </is>
      </c>
      <c r="E1280" t="inlineStr">
        <is>
          <t>RAGUNDA</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51503-2023</t>
        </is>
      </c>
      <c r="B1281" s="1" t="n">
        <v>45215</v>
      </c>
      <c r="C1281" s="1" t="n">
        <v>45753</v>
      </c>
      <c r="D1281" t="inlineStr">
        <is>
          <t>JÄMTLANDS LÄN</t>
        </is>
      </c>
      <c r="E1281" t="inlineStr">
        <is>
          <t>RAGUNDA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51646-2023</t>
        </is>
      </c>
      <c r="B1282" s="1" t="n">
        <v>45215</v>
      </c>
      <c r="C1282" s="1" t="n">
        <v>45753</v>
      </c>
      <c r="D1282" t="inlineStr">
        <is>
          <t>JÄMTLANDS LÄN</t>
        </is>
      </c>
      <c r="E1282" t="inlineStr">
        <is>
          <t>RAGUNDA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50486-2023</t>
        </is>
      </c>
      <c r="B1283" s="1" t="n">
        <v>45217</v>
      </c>
      <c r="C1283" s="1" t="n">
        <v>45753</v>
      </c>
      <c r="D1283" t="inlineStr">
        <is>
          <t>JÄMTLANDS LÄN</t>
        </is>
      </c>
      <c r="E1283" t="inlineStr">
        <is>
          <t>RAGUNDA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50485-2023</t>
        </is>
      </c>
      <c r="B1284" s="1" t="n">
        <v>45217</v>
      </c>
      <c r="C1284" s="1" t="n">
        <v>45753</v>
      </c>
      <c r="D1284" t="inlineStr">
        <is>
          <t>JÄMTLANDS LÄN</t>
        </is>
      </c>
      <c r="E1284" t="inlineStr">
        <is>
          <t>RAGUNDA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50487-2023</t>
        </is>
      </c>
      <c r="B1285" s="1" t="n">
        <v>45217</v>
      </c>
      <c r="C1285" s="1" t="n">
        <v>45753</v>
      </c>
      <c r="D1285" t="inlineStr">
        <is>
          <t>JÄMTLANDS LÄN</t>
        </is>
      </c>
      <c r="E1285" t="inlineStr">
        <is>
          <t>RAGUNDA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50483-2023</t>
        </is>
      </c>
      <c r="B1286" s="1" t="n">
        <v>45217</v>
      </c>
      <c r="C1286" s="1" t="n">
        <v>45753</v>
      </c>
      <c r="D1286" t="inlineStr">
        <is>
          <t>JÄMTLANDS LÄN</t>
        </is>
      </c>
      <c r="E1286" t="inlineStr">
        <is>
          <t>RAGUNDA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50484-2023</t>
        </is>
      </c>
      <c r="B1287" s="1" t="n">
        <v>45217</v>
      </c>
      <c r="C1287" s="1" t="n">
        <v>45753</v>
      </c>
      <c r="D1287" t="inlineStr">
        <is>
          <t>JÄMTLANDS LÄN</t>
        </is>
      </c>
      <c r="E1287" t="inlineStr">
        <is>
          <t>RAGUNDA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50831-2023</t>
        </is>
      </c>
      <c r="B1288" s="1" t="n">
        <v>45217</v>
      </c>
      <c r="C1288" s="1" t="n">
        <v>45753</v>
      </c>
      <c r="D1288" t="inlineStr">
        <is>
          <t>JÄMTLANDS LÄN</t>
        </is>
      </c>
      <c r="E1288" t="inlineStr">
        <is>
          <t>RAGUNDA</t>
        </is>
      </c>
      <c r="F1288" t="inlineStr">
        <is>
          <t>SCA</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50832-2023</t>
        </is>
      </c>
      <c r="B1289" s="1" t="n">
        <v>45218</v>
      </c>
      <c r="C1289" s="1" t="n">
        <v>45753</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50848-2023</t>
        </is>
      </c>
      <c r="B1290" s="1" t="n">
        <v>45217</v>
      </c>
      <c r="C1290" s="1" t="n">
        <v>45753</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52195-2023</t>
        </is>
      </c>
      <c r="B1291" s="1" t="n">
        <v>45217</v>
      </c>
      <c r="C1291" s="1" t="n">
        <v>45753</v>
      </c>
      <c r="D1291" t="inlineStr">
        <is>
          <t>JÄMTLANDS LÄN</t>
        </is>
      </c>
      <c r="E1291" t="inlineStr">
        <is>
          <t>RAGUNDA</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50847-2023</t>
        </is>
      </c>
      <c r="B1292" s="1" t="n">
        <v>45217</v>
      </c>
      <c r="C1292" s="1" t="n">
        <v>45753</v>
      </c>
      <c r="D1292" t="inlineStr">
        <is>
          <t>JÄMTLANDS LÄN</t>
        </is>
      </c>
      <c r="E1292" t="inlineStr">
        <is>
          <t>RAGUNDA</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52550-2023</t>
        </is>
      </c>
      <c r="B1293" s="1" t="n">
        <v>45218</v>
      </c>
      <c r="C1293" s="1" t="n">
        <v>45753</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52544-2023</t>
        </is>
      </c>
      <c r="B1294" s="1" t="n">
        <v>45218</v>
      </c>
      <c r="C1294" s="1" t="n">
        <v>45753</v>
      </c>
      <c r="D1294" t="inlineStr">
        <is>
          <t>JÄMTLANDS LÄN</t>
        </is>
      </c>
      <c r="E1294" t="inlineStr">
        <is>
          <t>RAGUNDA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52631-2023</t>
        </is>
      </c>
      <c r="B1295" s="1" t="n">
        <v>45219</v>
      </c>
      <c r="C1295" s="1" t="n">
        <v>45753</v>
      </c>
      <c r="D1295" t="inlineStr">
        <is>
          <t>JÄMTLANDS LÄN</t>
        </is>
      </c>
      <c r="E1295" t="inlineStr">
        <is>
          <t>RAGUNDA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52622-2023</t>
        </is>
      </c>
      <c r="B1296" s="1" t="n">
        <v>45219</v>
      </c>
      <c r="C1296" s="1" t="n">
        <v>45753</v>
      </c>
      <c r="D1296" t="inlineStr">
        <is>
          <t>JÄMTLANDS LÄN</t>
        </is>
      </c>
      <c r="E1296" t="inlineStr">
        <is>
          <t>RAGUNDA</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51435-2023</t>
        </is>
      </c>
      <c r="B1297" s="1" t="n">
        <v>45220</v>
      </c>
      <c r="C1297" s="1" t="n">
        <v>45753</v>
      </c>
      <c r="D1297" t="inlineStr">
        <is>
          <t>JÄMTLANDS LÄN</t>
        </is>
      </c>
      <c r="E1297" t="inlineStr">
        <is>
          <t>RAGUNDA</t>
        </is>
      </c>
      <c r="F1297" t="inlineStr">
        <is>
          <t>SCA</t>
        </is>
      </c>
      <c r="G1297" t="n">
        <v>39.6</v>
      </c>
      <c r="H1297" t="n">
        <v>0</v>
      </c>
      <c r="I1297" t="n">
        <v>0</v>
      </c>
      <c r="J1297" t="n">
        <v>0</v>
      </c>
      <c r="K1297" t="n">
        <v>0</v>
      </c>
      <c r="L1297" t="n">
        <v>0</v>
      </c>
      <c r="M1297" t="n">
        <v>0</v>
      </c>
      <c r="N1297" t="n">
        <v>0</v>
      </c>
      <c r="O1297" t="n">
        <v>0</v>
      </c>
      <c r="P1297" t="n">
        <v>0</v>
      </c>
      <c r="Q1297" t="n">
        <v>0</v>
      </c>
      <c r="R1297" s="2" t="inlineStr"/>
    </row>
    <row r="1298" ht="15" customHeight="1">
      <c r="A1298" t="inlineStr">
        <is>
          <t>A 51209-2023</t>
        </is>
      </c>
      <c r="B1298" s="1" t="n">
        <v>45219</v>
      </c>
      <c r="C1298" s="1" t="n">
        <v>45753</v>
      </c>
      <c r="D1298" t="inlineStr">
        <is>
          <t>JÄMTLANDS LÄN</t>
        </is>
      </c>
      <c r="E1298" t="inlineStr">
        <is>
          <t>RAGUNDA</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51807-2023</t>
        </is>
      </c>
      <c r="B1299" s="1" t="n">
        <v>45223</v>
      </c>
      <c r="C1299" s="1" t="n">
        <v>45753</v>
      </c>
      <c r="D1299" t="inlineStr">
        <is>
          <t>JÄMTLANDS LÄN</t>
        </is>
      </c>
      <c r="E1299" t="inlineStr">
        <is>
          <t>RAGUNDA</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52878-2023</t>
        </is>
      </c>
      <c r="B1300" s="1" t="n">
        <v>45222</v>
      </c>
      <c r="C1300" s="1" t="n">
        <v>45753</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53019-2023</t>
        </is>
      </c>
      <c r="B1301" s="1" t="n">
        <v>45222</v>
      </c>
      <c r="C1301" s="1" t="n">
        <v>45753</v>
      </c>
      <c r="D1301" t="inlineStr">
        <is>
          <t>JÄMTLANDS LÄN</t>
        </is>
      </c>
      <c r="E1301" t="inlineStr">
        <is>
          <t>RAGUNDA</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53347-2023</t>
        </is>
      </c>
      <c r="B1302" s="1" t="n">
        <v>45223</v>
      </c>
      <c r="C1302" s="1" t="n">
        <v>45753</v>
      </c>
      <c r="D1302" t="inlineStr">
        <is>
          <t>JÄMTLANDS LÄN</t>
        </is>
      </c>
      <c r="E1302" t="inlineStr">
        <is>
          <t>RAGUNDA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53860-2023</t>
        </is>
      </c>
      <c r="B1303" s="1" t="n">
        <v>45224</v>
      </c>
      <c r="C1303" s="1" t="n">
        <v>45753</v>
      </c>
      <c r="D1303" t="inlineStr">
        <is>
          <t>JÄMTLANDS LÄN</t>
        </is>
      </c>
      <c r="E1303" t="inlineStr">
        <is>
          <t>RAGUNDA</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53847-2023</t>
        </is>
      </c>
      <c r="B1304" s="1" t="n">
        <v>45224</v>
      </c>
      <c r="C1304" s="1" t="n">
        <v>45753</v>
      </c>
      <c r="D1304" t="inlineStr">
        <is>
          <t>JÄMTLANDS LÄN</t>
        </is>
      </c>
      <c r="E1304" t="inlineStr">
        <is>
          <t>RAGUNDA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53455-2023</t>
        </is>
      </c>
      <c r="B1305" s="1" t="n">
        <v>45230</v>
      </c>
      <c r="C1305" s="1" t="n">
        <v>45753</v>
      </c>
      <c r="D1305" t="inlineStr">
        <is>
          <t>JÄMTLANDS LÄN</t>
        </is>
      </c>
      <c r="E1305" t="inlineStr">
        <is>
          <t>RAGUNDA</t>
        </is>
      </c>
      <c r="F1305" t="inlineStr">
        <is>
          <t>SCA</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53762-2023</t>
        </is>
      </c>
      <c r="B1306" s="1" t="n">
        <v>45231</v>
      </c>
      <c r="C1306" s="1" t="n">
        <v>45753</v>
      </c>
      <c r="D1306" t="inlineStr">
        <is>
          <t>JÄMTLANDS LÄN</t>
        </is>
      </c>
      <c r="E1306" t="inlineStr">
        <is>
          <t>RAGUNDA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53766-2023</t>
        </is>
      </c>
      <c r="B1307" s="1" t="n">
        <v>45231</v>
      </c>
      <c r="C1307" s="1" t="n">
        <v>45753</v>
      </c>
      <c r="D1307" t="inlineStr">
        <is>
          <t>JÄMTLANDS LÄN</t>
        </is>
      </c>
      <c r="E1307" t="inlineStr">
        <is>
          <t>RAGUNDA</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53769-2023</t>
        </is>
      </c>
      <c r="B1308" s="1" t="n">
        <v>45230</v>
      </c>
      <c r="C1308" s="1" t="n">
        <v>45753</v>
      </c>
      <c r="D1308" t="inlineStr">
        <is>
          <t>JÄMTLANDS LÄN</t>
        </is>
      </c>
      <c r="E1308" t="inlineStr">
        <is>
          <t>RAGUNDA</t>
        </is>
      </c>
      <c r="F1308" t="inlineStr">
        <is>
          <t>SCA</t>
        </is>
      </c>
      <c r="G1308" t="n">
        <v>11.6</v>
      </c>
      <c r="H1308" t="n">
        <v>0</v>
      </c>
      <c r="I1308" t="n">
        <v>0</v>
      </c>
      <c r="J1308" t="n">
        <v>0</v>
      </c>
      <c r="K1308" t="n">
        <v>0</v>
      </c>
      <c r="L1308" t="n">
        <v>0</v>
      </c>
      <c r="M1308" t="n">
        <v>0</v>
      </c>
      <c r="N1308" t="n">
        <v>0</v>
      </c>
      <c r="O1308" t="n">
        <v>0</v>
      </c>
      <c r="P1308" t="n">
        <v>0</v>
      </c>
      <c r="Q1308" t="n">
        <v>0</v>
      </c>
      <c r="R1308" s="2" t="inlineStr"/>
    </row>
    <row r="1309" ht="15" customHeight="1">
      <c r="A1309" t="inlineStr">
        <is>
          <t>A 55250-2023</t>
        </is>
      </c>
      <c r="B1309" s="1" t="n">
        <v>45231</v>
      </c>
      <c r="C1309" s="1" t="n">
        <v>45753</v>
      </c>
      <c r="D1309" t="inlineStr">
        <is>
          <t>JÄMTLANDS LÄN</t>
        </is>
      </c>
      <c r="E1309" t="inlineStr">
        <is>
          <t>RAGUNDA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54322-2023</t>
        </is>
      </c>
      <c r="B1310" s="1" t="n">
        <v>45232</v>
      </c>
      <c r="C1310" s="1" t="n">
        <v>45753</v>
      </c>
      <c r="D1310" t="inlineStr">
        <is>
          <t>JÄMTLANDS LÄN</t>
        </is>
      </c>
      <c r="E1310" t="inlineStr">
        <is>
          <t>RAGUNDA</t>
        </is>
      </c>
      <c r="G1310" t="n">
        <v>11.4</v>
      </c>
      <c r="H1310" t="n">
        <v>0</v>
      </c>
      <c r="I1310" t="n">
        <v>0</v>
      </c>
      <c r="J1310" t="n">
        <v>0</v>
      </c>
      <c r="K1310" t="n">
        <v>0</v>
      </c>
      <c r="L1310" t="n">
        <v>0</v>
      </c>
      <c r="M1310" t="n">
        <v>0</v>
      </c>
      <c r="N1310" t="n">
        <v>0</v>
      </c>
      <c r="O1310" t="n">
        <v>0</v>
      </c>
      <c r="P1310" t="n">
        <v>0</v>
      </c>
      <c r="Q1310" t="n">
        <v>0</v>
      </c>
      <c r="R1310" s="2" t="inlineStr"/>
    </row>
    <row r="1311" ht="15" customHeight="1">
      <c r="A1311" t="inlineStr">
        <is>
          <t>A 54321-2023</t>
        </is>
      </c>
      <c r="B1311" s="1" t="n">
        <v>45232</v>
      </c>
      <c r="C1311" s="1" t="n">
        <v>45753</v>
      </c>
      <c r="D1311" t="inlineStr">
        <is>
          <t>JÄMTLANDS LÄN</t>
        </is>
      </c>
      <c r="E1311" t="inlineStr">
        <is>
          <t>RAGUNDA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54599-2023</t>
        </is>
      </c>
      <c r="B1312" s="1" t="n">
        <v>45233</v>
      </c>
      <c r="C1312" s="1" t="n">
        <v>45753</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56338-2023</t>
        </is>
      </c>
      <c r="B1313" s="1" t="n">
        <v>45236</v>
      </c>
      <c r="C1313" s="1" t="n">
        <v>45753</v>
      </c>
      <c r="D1313" t="inlineStr">
        <is>
          <t>JÄMTLANDS LÄN</t>
        </is>
      </c>
      <c r="E1313" t="inlineStr">
        <is>
          <t>RAGUNDA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56331-2023</t>
        </is>
      </c>
      <c r="B1314" s="1" t="n">
        <v>45236</v>
      </c>
      <c r="C1314" s="1" t="n">
        <v>45753</v>
      </c>
      <c r="D1314" t="inlineStr">
        <is>
          <t>JÄMTLANDS LÄN</t>
        </is>
      </c>
      <c r="E1314" t="inlineStr">
        <is>
          <t>RAGUNDA</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56343-2023</t>
        </is>
      </c>
      <c r="B1315" s="1" t="n">
        <v>45236</v>
      </c>
      <c r="C1315" s="1" t="n">
        <v>45753</v>
      </c>
      <c r="D1315" t="inlineStr">
        <is>
          <t>JÄMTLANDS LÄN</t>
        </is>
      </c>
      <c r="E1315" t="inlineStr">
        <is>
          <t>RAGUNDA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56351-2023</t>
        </is>
      </c>
      <c r="B1316" s="1" t="n">
        <v>45236</v>
      </c>
      <c r="C1316" s="1" t="n">
        <v>45753</v>
      </c>
      <c r="D1316" t="inlineStr">
        <is>
          <t>JÄMTLANDS LÄN</t>
        </is>
      </c>
      <c r="E1316" t="inlineStr">
        <is>
          <t>RAGUNDA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55649-2023</t>
        </is>
      </c>
      <c r="B1317" s="1" t="n">
        <v>45238</v>
      </c>
      <c r="C1317" s="1" t="n">
        <v>45753</v>
      </c>
      <c r="D1317" t="inlineStr">
        <is>
          <t>JÄMTLANDS LÄN</t>
        </is>
      </c>
      <c r="E1317" t="inlineStr">
        <is>
          <t>RAGUNDA</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55669-2023</t>
        </is>
      </c>
      <c r="B1318" s="1" t="n">
        <v>45239</v>
      </c>
      <c r="C1318" s="1" t="n">
        <v>45753</v>
      </c>
      <c r="D1318" t="inlineStr">
        <is>
          <t>JÄMTLANDS LÄN</t>
        </is>
      </c>
      <c r="E1318" t="inlineStr">
        <is>
          <t>RAGUNDA</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56618-2023</t>
        </is>
      </c>
      <c r="B1319" s="1" t="n">
        <v>45238</v>
      </c>
      <c r="C1319" s="1" t="n">
        <v>45753</v>
      </c>
      <c r="D1319" t="inlineStr">
        <is>
          <t>JÄMTLANDS LÄN</t>
        </is>
      </c>
      <c r="E1319" t="inlineStr">
        <is>
          <t>RAGUNDA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55487-2023</t>
        </is>
      </c>
      <c r="B1320" s="1" t="n">
        <v>45238</v>
      </c>
      <c r="C1320" s="1" t="n">
        <v>45753</v>
      </c>
      <c r="D1320" t="inlineStr">
        <is>
          <t>JÄMTLANDS LÄN</t>
        </is>
      </c>
      <c r="E1320" t="inlineStr">
        <is>
          <t>RAGUNDA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57433-2023</t>
        </is>
      </c>
      <c r="B1321" s="1" t="n">
        <v>45240</v>
      </c>
      <c r="C1321" s="1" t="n">
        <v>45753</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57425-2023</t>
        </is>
      </c>
      <c r="B1322" s="1" t="n">
        <v>45240</v>
      </c>
      <c r="C1322" s="1" t="n">
        <v>45753</v>
      </c>
      <c r="D1322" t="inlineStr">
        <is>
          <t>JÄMTLANDS LÄN</t>
        </is>
      </c>
      <c r="E1322" t="inlineStr">
        <is>
          <t>RAGUNDA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56284-2023</t>
        </is>
      </c>
      <c r="B1323" s="1" t="n">
        <v>45241</v>
      </c>
      <c r="C1323" s="1" t="n">
        <v>45753</v>
      </c>
      <c r="D1323" t="inlineStr">
        <is>
          <t>JÄMTLANDS LÄN</t>
        </is>
      </c>
      <c r="E1323" t="inlineStr">
        <is>
          <t>RAGUNDA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56287-2023</t>
        </is>
      </c>
      <c r="B1324" s="1" t="n">
        <v>45241</v>
      </c>
      <c r="C1324" s="1" t="n">
        <v>45753</v>
      </c>
      <c r="D1324" t="inlineStr">
        <is>
          <t>JÄMTLANDS LÄN</t>
        </is>
      </c>
      <c r="E1324" t="inlineStr">
        <is>
          <t>RAGUNDA</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56286-2023</t>
        </is>
      </c>
      <c r="B1325" s="1" t="n">
        <v>45241</v>
      </c>
      <c r="C1325" s="1" t="n">
        <v>45753</v>
      </c>
      <c r="D1325" t="inlineStr">
        <is>
          <t>JÄMTLANDS LÄN</t>
        </is>
      </c>
      <c r="E1325" t="inlineStr">
        <is>
          <t>RAGUNDA</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56658-2023</t>
        </is>
      </c>
      <c r="B1326" s="1" t="n">
        <v>45243</v>
      </c>
      <c r="C1326" s="1" t="n">
        <v>45753</v>
      </c>
      <c r="D1326" t="inlineStr">
        <is>
          <t>JÄMTLANDS LÄN</t>
        </is>
      </c>
      <c r="E1326" t="inlineStr">
        <is>
          <t>RAGUNDA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56702-2023</t>
        </is>
      </c>
      <c r="B1327" s="1" t="n">
        <v>45244</v>
      </c>
      <c r="C1327" s="1" t="n">
        <v>45753</v>
      </c>
      <c r="D1327" t="inlineStr">
        <is>
          <t>JÄMTLANDS LÄN</t>
        </is>
      </c>
      <c r="E1327" t="inlineStr">
        <is>
          <t>RAGUNDA</t>
        </is>
      </c>
      <c r="F1327" t="inlineStr">
        <is>
          <t>SCA</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57078-2023</t>
        </is>
      </c>
      <c r="B1328" s="1" t="n">
        <v>45245</v>
      </c>
      <c r="C1328" s="1" t="n">
        <v>45753</v>
      </c>
      <c r="D1328" t="inlineStr">
        <is>
          <t>JÄMTLANDS LÄN</t>
        </is>
      </c>
      <c r="E1328" t="inlineStr">
        <is>
          <t>RAGUNDA</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57925-2023</t>
        </is>
      </c>
      <c r="B1329" s="1" t="n">
        <v>45244</v>
      </c>
      <c r="C1329" s="1" t="n">
        <v>45753</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57778-2023</t>
        </is>
      </c>
      <c r="B1330" s="1" t="n">
        <v>45246</v>
      </c>
      <c r="C1330" s="1" t="n">
        <v>45753</v>
      </c>
      <c r="D1330" t="inlineStr">
        <is>
          <t>JÄMTLANDS LÄN</t>
        </is>
      </c>
      <c r="E1330" t="inlineStr">
        <is>
          <t>RAGUNDA</t>
        </is>
      </c>
      <c r="F1330" t="inlineStr">
        <is>
          <t>SCA</t>
        </is>
      </c>
      <c r="G1330" t="n">
        <v>37.8</v>
      </c>
      <c r="H1330" t="n">
        <v>0</v>
      </c>
      <c r="I1330" t="n">
        <v>0</v>
      </c>
      <c r="J1330" t="n">
        <v>0</v>
      </c>
      <c r="K1330" t="n">
        <v>0</v>
      </c>
      <c r="L1330" t="n">
        <v>0</v>
      </c>
      <c r="M1330" t="n">
        <v>0</v>
      </c>
      <c r="N1330" t="n">
        <v>0</v>
      </c>
      <c r="O1330" t="n">
        <v>0</v>
      </c>
      <c r="P1330" t="n">
        <v>0</v>
      </c>
      <c r="Q1330" t="n">
        <v>0</v>
      </c>
      <c r="R1330" s="2" t="inlineStr"/>
    </row>
    <row r="1331" ht="15" customHeight="1">
      <c r="A1331" t="inlineStr">
        <is>
          <t>A 58084-2023</t>
        </is>
      </c>
      <c r="B1331" s="1" t="n">
        <v>45248</v>
      </c>
      <c r="C1331" s="1" t="n">
        <v>45753</v>
      </c>
      <c r="D1331" t="inlineStr">
        <is>
          <t>JÄMTLANDS LÄN</t>
        </is>
      </c>
      <c r="E1331" t="inlineStr">
        <is>
          <t>RAGUNDA</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58992-2023</t>
        </is>
      </c>
      <c r="B1332" s="1" t="n">
        <v>45250</v>
      </c>
      <c r="C1332" s="1" t="n">
        <v>45753</v>
      </c>
      <c r="D1332" t="inlineStr">
        <is>
          <t>JÄMTLANDS LÄN</t>
        </is>
      </c>
      <c r="E1332" t="inlineStr">
        <is>
          <t>RAGUNDA</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58863-2023</t>
        </is>
      </c>
      <c r="B1333" s="1" t="n">
        <v>45250</v>
      </c>
      <c r="C1333" s="1" t="n">
        <v>45753</v>
      </c>
      <c r="D1333" t="inlineStr">
        <is>
          <t>JÄMTLANDS LÄN</t>
        </is>
      </c>
      <c r="E1333" t="inlineStr">
        <is>
          <t>RAGUNDA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58921-2023</t>
        </is>
      </c>
      <c r="B1334" s="1" t="n">
        <v>45250</v>
      </c>
      <c r="C1334" s="1" t="n">
        <v>45753</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59136-2023</t>
        </is>
      </c>
      <c r="B1335" s="1" t="n">
        <v>45251</v>
      </c>
      <c r="C1335" s="1" t="n">
        <v>45753</v>
      </c>
      <c r="D1335" t="inlineStr">
        <is>
          <t>JÄMTLANDS LÄN</t>
        </is>
      </c>
      <c r="E1335" t="inlineStr">
        <is>
          <t>RAGUNDA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59286-2023</t>
        </is>
      </c>
      <c r="B1336" s="1" t="n">
        <v>45253</v>
      </c>
      <c r="C1336" s="1" t="n">
        <v>45753</v>
      </c>
      <c r="D1336" t="inlineStr">
        <is>
          <t>JÄMTLANDS LÄN</t>
        </is>
      </c>
      <c r="E1336" t="inlineStr">
        <is>
          <t>RAGUNDA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59557-2023</t>
        </is>
      </c>
      <c r="B1337" s="1" t="n">
        <v>45253</v>
      </c>
      <c r="C1337" s="1" t="n">
        <v>45753</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59658-2023</t>
        </is>
      </c>
      <c r="B1338" s="1" t="n">
        <v>45255</v>
      </c>
      <c r="C1338" s="1" t="n">
        <v>45753</v>
      </c>
      <c r="D1338" t="inlineStr">
        <is>
          <t>JÄMTLANDS LÄN</t>
        </is>
      </c>
      <c r="E1338" t="inlineStr">
        <is>
          <t>RAGUNDA</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59670-2023</t>
        </is>
      </c>
      <c r="B1339" s="1" t="n">
        <v>45255</v>
      </c>
      <c r="C1339" s="1" t="n">
        <v>45753</v>
      </c>
      <c r="D1339" t="inlineStr">
        <is>
          <t>JÄMTLANDS LÄN</t>
        </is>
      </c>
      <c r="E1339" t="inlineStr">
        <is>
          <t>RAGUNDA</t>
        </is>
      </c>
      <c r="F1339" t="inlineStr">
        <is>
          <t>SCA</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59669-2023</t>
        </is>
      </c>
      <c r="B1340" s="1" t="n">
        <v>45255</v>
      </c>
      <c r="C1340" s="1" t="n">
        <v>45753</v>
      </c>
      <c r="D1340" t="inlineStr">
        <is>
          <t>JÄMTLANDS LÄN</t>
        </is>
      </c>
      <c r="E1340" t="inlineStr">
        <is>
          <t>RAGUNDA</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59996-2023</t>
        </is>
      </c>
      <c r="B1341" s="1" t="n">
        <v>45257</v>
      </c>
      <c r="C1341" s="1" t="n">
        <v>45753</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60185-2023</t>
        </is>
      </c>
      <c r="B1342" s="1" t="n">
        <v>45257</v>
      </c>
      <c r="C1342" s="1" t="n">
        <v>45753</v>
      </c>
      <c r="D1342" t="inlineStr">
        <is>
          <t>JÄMTLANDS LÄN</t>
        </is>
      </c>
      <c r="E1342" t="inlineStr">
        <is>
          <t>RAGUNDA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60012-2023</t>
        </is>
      </c>
      <c r="B1343" s="1" t="n">
        <v>45257</v>
      </c>
      <c r="C1343" s="1" t="n">
        <v>45753</v>
      </c>
      <c r="D1343" t="inlineStr">
        <is>
          <t>JÄMTLANDS LÄN</t>
        </is>
      </c>
      <c r="E1343" t="inlineStr">
        <is>
          <t>RAGUNDA</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60222-2023</t>
        </is>
      </c>
      <c r="B1344" s="1" t="n">
        <v>45257</v>
      </c>
      <c r="C1344" s="1" t="n">
        <v>45753</v>
      </c>
      <c r="D1344" t="inlineStr">
        <is>
          <t>JÄMTLANDS LÄN</t>
        </is>
      </c>
      <c r="E1344" t="inlineStr">
        <is>
          <t>RAGUNDA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60235-2023</t>
        </is>
      </c>
      <c r="B1345" s="1" t="n">
        <v>45257</v>
      </c>
      <c r="C1345" s="1" t="n">
        <v>45753</v>
      </c>
      <c r="D1345" t="inlineStr">
        <is>
          <t>JÄMTLANDS LÄN</t>
        </is>
      </c>
      <c r="E1345" t="inlineStr">
        <is>
          <t>RAGUNDA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60228-2023</t>
        </is>
      </c>
      <c r="B1346" s="1" t="n">
        <v>45257</v>
      </c>
      <c r="C1346" s="1" t="n">
        <v>45753</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60199-2023</t>
        </is>
      </c>
      <c r="B1347" s="1" t="n">
        <v>45257</v>
      </c>
      <c r="C1347" s="1" t="n">
        <v>45753</v>
      </c>
      <c r="D1347" t="inlineStr">
        <is>
          <t>JÄMTLANDS LÄN</t>
        </is>
      </c>
      <c r="E1347" t="inlineStr">
        <is>
          <t>RAGUNDA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60195-2023</t>
        </is>
      </c>
      <c r="B1348" s="1" t="n">
        <v>45257</v>
      </c>
      <c r="C1348" s="1" t="n">
        <v>45753</v>
      </c>
      <c r="D1348" t="inlineStr">
        <is>
          <t>JÄMTLANDS LÄN</t>
        </is>
      </c>
      <c r="E1348" t="inlineStr">
        <is>
          <t>RAGUNDA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60330-2023</t>
        </is>
      </c>
      <c r="B1349" s="1" t="n">
        <v>45258</v>
      </c>
      <c r="C1349" s="1" t="n">
        <v>45753</v>
      </c>
      <c r="D1349" t="inlineStr">
        <is>
          <t>JÄMTLANDS LÄN</t>
        </is>
      </c>
      <c r="E1349" t="inlineStr">
        <is>
          <t>RAGUNDA</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60456-2023</t>
        </is>
      </c>
      <c r="B1350" s="1" t="n">
        <v>45258</v>
      </c>
      <c r="C1350" s="1" t="n">
        <v>45753</v>
      </c>
      <c r="D1350" t="inlineStr">
        <is>
          <t>JÄMTLANDS LÄN</t>
        </is>
      </c>
      <c r="E1350" t="inlineStr">
        <is>
          <t>RAGUNDA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60413-2023</t>
        </is>
      </c>
      <c r="B1351" s="1" t="n">
        <v>45258</v>
      </c>
      <c r="C1351" s="1" t="n">
        <v>45753</v>
      </c>
      <c r="D1351" t="inlineStr">
        <is>
          <t>JÄMTLANDS LÄN</t>
        </is>
      </c>
      <c r="E1351" t="inlineStr">
        <is>
          <t>RAGUNDA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60450-2023</t>
        </is>
      </c>
      <c r="B1352" s="1" t="n">
        <v>45258</v>
      </c>
      <c r="C1352" s="1" t="n">
        <v>45753</v>
      </c>
      <c r="D1352" t="inlineStr">
        <is>
          <t>JÄMTLANDS LÄN</t>
        </is>
      </c>
      <c r="E1352" t="inlineStr">
        <is>
          <t>RAGUNDA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60443-2023</t>
        </is>
      </c>
      <c r="B1353" s="1" t="n">
        <v>45258</v>
      </c>
      <c r="C1353" s="1" t="n">
        <v>45753</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60629-2023</t>
        </is>
      </c>
      <c r="B1354" s="1" t="n">
        <v>45259</v>
      </c>
      <c r="C1354" s="1" t="n">
        <v>45753</v>
      </c>
      <c r="D1354" t="inlineStr">
        <is>
          <t>JÄMTLANDS LÄN</t>
        </is>
      </c>
      <c r="E1354" t="inlineStr">
        <is>
          <t>RAGUNDA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60643-2023</t>
        </is>
      </c>
      <c r="B1355" s="1" t="n">
        <v>45259</v>
      </c>
      <c r="C1355" s="1" t="n">
        <v>45753</v>
      </c>
      <c r="D1355" t="inlineStr">
        <is>
          <t>JÄMTLANDS LÄN</t>
        </is>
      </c>
      <c r="E1355" t="inlineStr">
        <is>
          <t>RAGUNDA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60836-2023</t>
        </is>
      </c>
      <c r="B1356" s="1" t="n">
        <v>45260</v>
      </c>
      <c r="C1356" s="1" t="n">
        <v>45753</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60860-2023</t>
        </is>
      </c>
      <c r="B1357" s="1" t="n">
        <v>45260</v>
      </c>
      <c r="C1357" s="1" t="n">
        <v>45753</v>
      </c>
      <c r="D1357" t="inlineStr">
        <is>
          <t>JÄMTLANDS LÄN</t>
        </is>
      </c>
      <c r="E1357" t="inlineStr">
        <is>
          <t>RAGUNDA</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60838-2023</t>
        </is>
      </c>
      <c r="B1358" s="1" t="n">
        <v>45260</v>
      </c>
      <c r="C1358" s="1" t="n">
        <v>45753</v>
      </c>
      <c r="D1358" t="inlineStr">
        <is>
          <t>JÄMTLANDS LÄN</t>
        </is>
      </c>
      <c r="E1358" t="inlineStr">
        <is>
          <t>RAGUNDA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61197-2023</t>
        </is>
      </c>
      <c r="B1359" s="1" t="n">
        <v>45260</v>
      </c>
      <c r="C1359" s="1" t="n">
        <v>45753</v>
      </c>
      <c r="D1359" t="inlineStr">
        <is>
          <t>JÄMTLANDS LÄN</t>
        </is>
      </c>
      <c r="E1359" t="inlineStr">
        <is>
          <t>RAGUNDA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61191-2023</t>
        </is>
      </c>
      <c r="B1360" s="1" t="n">
        <v>45260</v>
      </c>
      <c r="C1360" s="1" t="n">
        <v>45753</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62106-2023</t>
        </is>
      </c>
      <c r="B1361" s="1" t="n">
        <v>45266</v>
      </c>
      <c r="C1361" s="1" t="n">
        <v>45753</v>
      </c>
      <c r="D1361" t="inlineStr">
        <is>
          <t>JÄMTLANDS LÄN</t>
        </is>
      </c>
      <c r="E1361" t="inlineStr">
        <is>
          <t>RAGUNDA</t>
        </is>
      </c>
      <c r="F1361" t="inlineStr">
        <is>
          <t>SCA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62107-2023</t>
        </is>
      </c>
      <c r="B1362" s="1" t="n">
        <v>45266</v>
      </c>
      <c r="C1362" s="1" t="n">
        <v>45753</v>
      </c>
      <c r="D1362" t="inlineStr">
        <is>
          <t>JÄMTLANDS LÄN</t>
        </is>
      </c>
      <c r="E1362" t="inlineStr">
        <is>
          <t>RAGUNDA</t>
        </is>
      </c>
      <c r="F1362" t="inlineStr">
        <is>
          <t>SCA</t>
        </is>
      </c>
      <c r="G1362" t="n">
        <v>38.4</v>
      </c>
      <c r="H1362" t="n">
        <v>0</v>
      </c>
      <c r="I1362" t="n">
        <v>0</v>
      </c>
      <c r="J1362" t="n">
        <v>0</v>
      </c>
      <c r="K1362" t="n">
        <v>0</v>
      </c>
      <c r="L1362" t="n">
        <v>0</v>
      </c>
      <c r="M1362" t="n">
        <v>0</v>
      </c>
      <c r="N1362" t="n">
        <v>0</v>
      </c>
      <c r="O1362" t="n">
        <v>0</v>
      </c>
      <c r="P1362" t="n">
        <v>0</v>
      </c>
      <c r="Q1362" t="n">
        <v>0</v>
      </c>
      <c r="R1362" s="2" t="inlineStr"/>
    </row>
    <row r="1363" ht="15" customHeight="1">
      <c r="A1363" t="inlineStr">
        <is>
          <t>A 62397-2023</t>
        </is>
      </c>
      <c r="B1363" s="1" t="n">
        <v>45266</v>
      </c>
      <c r="C1363" s="1" t="n">
        <v>45753</v>
      </c>
      <c r="D1363" t="inlineStr">
        <is>
          <t>JÄMTLANDS LÄN</t>
        </is>
      </c>
      <c r="E1363" t="inlineStr">
        <is>
          <t>RAGUNDA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62405-2023</t>
        </is>
      </c>
      <c r="B1364" s="1" t="n">
        <v>45266</v>
      </c>
      <c r="C1364" s="1" t="n">
        <v>45753</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62407-2023</t>
        </is>
      </c>
      <c r="B1365" s="1" t="n">
        <v>45266</v>
      </c>
      <c r="C1365" s="1" t="n">
        <v>45753</v>
      </c>
      <c r="D1365" t="inlineStr">
        <is>
          <t>JÄMTLANDS LÄN</t>
        </is>
      </c>
      <c r="E1365" t="inlineStr">
        <is>
          <t>RAGUNDA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62358-2023</t>
        </is>
      </c>
      <c r="B1366" s="1" t="n">
        <v>45267</v>
      </c>
      <c r="C1366" s="1" t="n">
        <v>45753</v>
      </c>
      <c r="D1366" t="inlineStr">
        <is>
          <t>JÄMTLANDS LÄN</t>
        </is>
      </c>
      <c r="E1366" t="inlineStr">
        <is>
          <t>RAGUNDA</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62526-2023</t>
        </is>
      </c>
      <c r="B1367" s="1" t="n">
        <v>45267</v>
      </c>
      <c r="C1367" s="1" t="n">
        <v>45753</v>
      </c>
      <c r="D1367" t="inlineStr">
        <is>
          <t>JÄMTLANDS LÄN</t>
        </is>
      </c>
      <c r="E1367" t="inlineStr">
        <is>
          <t>RAGUNDA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62839-2023</t>
        </is>
      </c>
      <c r="B1368" s="1" t="n">
        <v>45271</v>
      </c>
      <c r="C1368" s="1" t="n">
        <v>45753</v>
      </c>
      <c r="D1368" t="inlineStr">
        <is>
          <t>JÄMTLANDS LÄN</t>
        </is>
      </c>
      <c r="E1368" t="inlineStr">
        <is>
          <t>RAGUNDA</t>
        </is>
      </c>
      <c r="F1368" t="inlineStr">
        <is>
          <t>SCA</t>
        </is>
      </c>
      <c r="G1368" t="n">
        <v>26.7</v>
      </c>
      <c r="H1368" t="n">
        <v>0</v>
      </c>
      <c r="I1368" t="n">
        <v>0</v>
      </c>
      <c r="J1368" t="n">
        <v>0</v>
      </c>
      <c r="K1368" t="n">
        <v>0</v>
      </c>
      <c r="L1368" t="n">
        <v>0</v>
      </c>
      <c r="M1368" t="n">
        <v>0</v>
      </c>
      <c r="N1368" t="n">
        <v>0</v>
      </c>
      <c r="O1368" t="n">
        <v>0</v>
      </c>
      <c r="P1368" t="n">
        <v>0</v>
      </c>
      <c r="Q1368" t="n">
        <v>0</v>
      </c>
      <c r="R1368" s="2" t="inlineStr"/>
    </row>
    <row r="1369" ht="15" customHeight="1">
      <c r="A1369" t="inlineStr">
        <is>
          <t>A 63708-2023</t>
        </is>
      </c>
      <c r="B1369" s="1" t="n">
        <v>45275</v>
      </c>
      <c r="C1369" s="1" t="n">
        <v>45753</v>
      </c>
      <c r="D1369" t="inlineStr">
        <is>
          <t>JÄMTLANDS LÄN</t>
        </is>
      </c>
      <c r="E1369" t="inlineStr">
        <is>
          <t>RAGUNDA</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64017-2023</t>
        </is>
      </c>
      <c r="B1370" s="1" t="n">
        <v>45278</v>
      </c>
      <c r="C1370" s="1" t="n">
        <v>45753</v>
      </c>
      <c r="D1370" t="inlineStr">
        <is>
          <t>JÄMTLANDS LÄN</t>
        </is>
      </c>
      <c r="E1370" t="inlineStr">
        <is>
          <t>RAGUNDA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64039-2023</t>
        </is>
      </c>
      <c r="B1371" s="1" t="n">
        <v>45278</v>
      </c>
      <c r="C1371" s="1" t="n">
        <v>45753</v>
      </c>
      <c r="D1371" t="inlineStr">
        <is>
          <t>JÄMTLANDS LÄN</t>
        </is>
      </c>
      <c r="E1371" t="inlineStr">
        <is>
          <t>RAGUNDA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64265-2023</t>
        </is>
      </c>
      <c r="B1372" s="1" t="n">
        <v>45279</v>
      </c>
      <c r="C1372" s="1" t="n">
        <v>45753</v>
      </c>
      <c r="D1372" t="inlineStr">
        <is>
          <t>JÄMTLANDS LÄN</t>
        </is>
      </c>
      <c r="E1372" t="inlineStr">
        <is>
          <t>RAGUNDA</t>
        </is>
      </c>
      <c r="F1372" t="inlineStr">
        <is>
          <t>SCA</t>
        </is>
      </c>
      <c r="G1372" t="n">
        <v>9.300000000000001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64264-2023</t>
        </is>
      </c>
      <c r="B1373" s="1" t="n">
        <v>45279</v>
      </c>
      <c r="C1373" s="1" t="n">
        <v>45753</v>
      </c>
      <c r="D1373" t="inlineStr">
        <is>
          <t>JÄMTLANDS LÄN</t>
        </is>
      </c>
      <c r="E1373" t="inlineStr">
        <is>
          <t>RAGUNDA</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64415-2023</t>
        </is>
      </c>
      <c r="B1374" s="1" t="n">
        <v>45280</v>
      </c>
      <c r="C1374" s="1" t="n">
        <v>45753</v>
      </c>
      <c r="D1374" t="inlineStr">
        <is>
          <t>JÄMTLANDS LÄN</t>
        </is>
      </c>
      <c r="E1374" t="inlineStr">
        <is>
          <t>RAGUNDA</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64492-2023</t>
        </is>
      </c>
      <c r="B1375" s="1" t="n">
        <v>45280</v>
      </c>
      <c r="C1375" s="1" t="n">
        <v>45753</v>
      </c>
      <c r="D1375" t="inlineStr">
        <is>
          <t>JÄMTLANDS LÄN</t>
        </is>
      </c>
      <c r="E1375" t="inlineStr">
        <is>
          <t>RAGUNDA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65083-2023</t>
        </is>
      </c>
      <c r="B1376" s="1" t="n">
        <v>45287</v>
      </c>
      <c r="C1376" s="1" t="n">
        <v>45753</v>
      </c>
      <c r="D1376" t="inlineStr">
        <is>
          <t>JÄMTLANDS LÄN</t>
        </is>
      </c>
      <c r="E1376" t="inlineStr">
        <is>
          <t>RAGUNDA</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65216-2023</t>
        </is>
      </c>
      <c r="B1377" s="1" t="n">
        <v>45289</v>
      </c>
      <c r="C1377" s="1" t="n">
        <v>45753</v>
      </c>
      <c r="D1377" t="inlineStr">
        <is>
          <t>JÄMTLANDS LÄN</t>
        </is>
      </c>
      <c r="E1377" t="inlineStr">
        <is>
          <t>RAGUNDA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65242-2023</t>
        </is>
      </c>
      <c r="B1378" s="1" t="n">
        <v>45289</v>
      </c>
      <c r="C1378" s="1" t="n">
        <v>45753</v>
      </c>
      <c r="D1378" t="inlineStr">
        <is>
          <t>JÄMTLANDS LÄN</t>
        </is>
      </c>
      <c r="E1378" t="inlineStr">
        <is>
          <t>RAGUNDA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1130-2024</t>
        </is>
      </c>
      <c r="B1379" s="1" t="n">
        <v>45302</v>
      </c>
      <c r="C1379" s="1" t="n">
        <v>45753</v>
      </c>
      <c r="D1379" t="inlineStr">
        <is>
          <t>JÄMTLANDS LÄN</t>
        </is>
      </c>
      <c r="E1379" t="inlineStr">
        <is>
          <t>RAGUNDA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1123-2024</t>
        </is>
      </c>
      <c r="B1380" s="1" t="n">
        <v>45302</v>
      </c>
      <c r="C1380" s="1" t="n">
        <v>45753</v>
      </c>
      <c r="D1380" t="inlineStr">
        <is>
          <t>JÄMTLANDS LÄN</t>
        </is>
      </c>
      <c r="E1380" t="inlineStr">
        <is>
          <t>RAGUNDA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1465-2024</t>
        </is>
      </c>
      <c r="B1381" s="1" t="n">
        <v>45304</v>
      </c>
      <c r="C1381" s="1" t="n">
        <v>45753</v>
      </c>
      <c r="D1381" t="inlineStr">
        <is>
          <t>JÄMTLANDS LÄN</t>
        </is>
      </c>
      <c r="E1381" t="inlineStr">
        <is>
          <t>RAGUNDA</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1466-2024</t>
        </is>
      </c>
      <c r="B1382" s="1" t="n">
        <v>45304</v>
      </c>
      <c r="C1382" s="1" t="n">
        <v>45753</v>
      </c>
      <c r="D1382" t="inlineStr">
        <is>
          <t>JÄMTLANDS LÄN</t>
        </is>
      </c>
      <c r="E1382" t="inlineStr">
        <is>
          <t>RAGUNDA</t>
        </is>
      </c>
      <c r="F1382" t="inlineStr">
        <is>
          <t>SCA</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1523-2024</t>
        </is>
      </c>
      <c r="B1383" s="1" t="n">
        <v>45306</v>
      </c>
      <c r="C1383" s="1" t="n">
        <v>45753</v>
      </c>
      <c r="D1383" t="inlineStr">
        <is>
          <t>JÄMTLANDS LÄN</t>
        </is>
      </c>
      <c r="E1383" t="inlineStr">
        <is>
          <t>RAGUNDA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1554-2024</t>
        </is>
      </c>
      <c r="B1384" s="1" t="n">
        <v>45306</v>
      </c>
      <c r="C1384" s="1" t="n">
        <v>45753</v>
      </c>
      <c r="D1384" t="inlineStr">
        <is>
          <t>JÄMTLANDS LÄN</t>
        </is>
      </c>
      <c r="E1384" t="inlineStr">
        <is>
          <t>RAGUNDA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1537-2024</t>
        </is>
      </c>
      <c r="B1385" s="1" t="n">
        <v>45306</v>
      </c>
      <c r="C1385" s="1" t="n">
        <v>45753</v>
      </c>
      <c r="D1385" t="inlineStr">
        <is>
          <t>JÄMTLANDS LÄN</t>
        </is>
      </c>
      <c r="E1385" t="inlineStr">
        <is>
          <t>RAGUNDA</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1884-2024</t>
        </is>
      </c>
      <c r="B1386" s="1" t="n">
        <v>45307</v>
      </c>
      <c r="C1386" s="1" t="n">
        <v>45753</v>
      </c>
      <c r="D1386" t="inlineStr">
        <is>
          <t>JÄMTLANDS LÄN</t>
        </is>
      </c>
      <c r="E1386" t="inlineStr">
        <is>
          <t>RAGUNDA</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1888-2024</t>
        </is>
      </c>
      <c r="B1387" s="1" t="n">
        <v>45308</v>
      </c>
      <c r="C1387" s="1" t="n">
        <v>45753</v>
      </c>
      <c r="D1387" t="inlineStr">
        <is>
          <t>JÄMTLANDS LÄN</t>
        </is>
      </c>
      <c r="E1387" t="inlineStr">
        <is>
          <t>RAGUNDA</t>
        </is>
      </c>
      <c r="F1387" t="inlineStr">
        <is>
          <t>SCA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1887-2024</t>
        </is>
      </c>
      <c r="B1388" s="1" t="n">
        <v>45308</v>
      </c>
      <c r="C1388" s="1" t="n">
        <v>45753</v>
      </c>
      <c r="D1388" t="inlineStr">
        <is>
          <t>JÄMTLANDS LÄN</t>
        </is>
      </c>
      <c r="E1388" t="inlineStr">
        <is>
          <t>RAGUNDA</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1889-2024</t>
        </is>
      </c>
      <c r="B1389" s="1" t="n">
        <v>45308</v>
      </c>
      <c r="C1389" s="1" t="n">
        <v>45753</v>
      </c>
      <c r="D1389" t="inlineStr">
        <is>
          <t>JÄMTLANDS LÄN</t>
        </is>
      </c>
      <c r="E1389" t="inlineStr">
        <is>
          <t>RAGUNDA</t>
        </is>
      </c>
      <c r="F1389" t="inlineStr">
        <is>
          <t>SCA</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2143-2024</t>
        </is>
      </c>
      <c r="B1390" s="1" t="n">
        <v>45309</v>
      </c>
      <c r="C1390" s="1" t="n">
        <v>45753</v>
      </c>
      <c r="D1390" t="inlineStr">
        <is>
          <t>JÄMTLANDS LÄN</t>
        </is>
      </c>
      <c r="E1390" t="inlineStr">
        <is>
          <t>RAGUNDA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2224-2024</t>
        </is>
      </c>
      <c r="B1391" s="1" t="n">
        <v>45309</v>
      </c>
      <c r="C1391" s="1" t="n">
        <v>45753</v>
      </c>
      <c r="D1391" t="inlineStr">
        <is>
          <t>JÄMTLANDS LÄN</t>
        </is>
      </c>
      <c r="E1391" t="inlineStr">
        <is>
          <t>RAGUNDA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2241-2024</t>
        </is>
      </c>
      <c r="B1392" s="1" t="n">
        <v>45309</v>
      </c>
      <c r="C1392" s="1" t="n">
        <v>45753</v>
      </c>
      <c r="D1392" t="inlineStr">
        <is>
          <t>JÄMTLANDS LÄN</t>
        </is>
      </c>
      <c r="E1392" t="inlineStr">
        <is>
          <t>RAGUNDA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2245-2024</t>
        </is>
      </c>
      <c r="B1393" s="1" t="n">
        <v>45309</v>
      </c>
      <c r="C1393" s="1" t="n">
        <v>45753</v>
      </c>
      <c r="D1393" t="inlineStr">
        <is>
          <t>JÄMTLANDS LÄN</t>
        </is>
      </c>
      <c r="E1393" t="inlineStr">
        <is>
          <t>RAGUNDA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2242-2024</t>
        </is>
      </c>
      <c r="B1394" s="1" t="n">
        <v>45309</v>
      </c>
      <c r="C1394" s="1" t="n">
        <v>45753</v>
      </c>
      <c r="D1394" t="inlineStr">
        <is>
          <t>JÄMTLANDS LÄN</t>
        </is>
      </c>
      <c r="E1394" t="inlineStr">
        <is>
          <t>RAGUNDA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2248-2024</t>
        </is>
      </c>
      <c r="B1395" s="1" t="n">
        <v>45309</v>
      </c>
      <c r="C1395" s="1" t="n">
        <v>45753</v>
      </c>
      <c r="D1395" t="inlineStr">
        <is>
          <t>JÄMTLANDS LÄN</t>
        </is>
      </c>
      <c r="E1395" t="inlineStr">
        <is>
          <t>RAGUNDA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2240-2024</t>
        </is>
      </c>
      <c r="B1396" s="1" t="n">
        <v>45309</v>
      </c>
      <c r="C1396" s="1" t="n">
        <v>45753</v>
      </c>
      <c r="D1396" t="inlineStr">
        <is>
          <t>JÄMTLANDS LÄN</t>
        </is>
      </c>
      <c r="E1396" t="inlineStr">
        <is>
          <t>RAGUNDA</t>
        </is>
      </c>
      <c r="G1396" t="n">
        <v>15.9</v>
      </c>
      <c r="H1396" t="n">
        <v>0</v>
      </c>
      <c r="I1396" t="n">
        <v>0</v>
      </c>
      <c r="J1396" t="n">
        <v>0</v>
      </c>
      <c r="K1396" t="n">
        <v>0</v>
      </c>
      <c r="L1396" t="n">
        <v>0</v>
      </c>
      <c r="M1396" t="n">
        <v>0</v>
      </c>
      <c r="N1396" t="n">
        <v>0</v>
      </c>
      <c r="O1396" t="n">
        <v>0</v>
      </c>
      <c r="P1396" t="n">
        <v>0</v>
      </c>
      <c r="Q1396" t="n">
        <v>0</v>
      </c>
      <c r="R1396" s="2" t="inlineStr"/>
    </row>
    <row r="1397" ht="15" customHeight="1">
      <c r="A1397" t="inlineStr">
        <is>
          <t>A 2244-2024</t>
        </is>
      </c>
      <c r="B1397" s="1" t="n">
        <v>45309</v>
      </c>
      <c r="C1397" s="1" t="n">
        <v>45753</v>
      </c>
      <c r="D1397" t="inlineStr">
        <is>
          <t>JÄMTLANDS LÄN</t>
        </is>
      </c>
      <c r="E1397" t="inlineStr">
        <is>
          <t>RAGUNDA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2243-2024</t>
        </is>
      </c>
      <c r="B1398" s="1" t="n">
        <v>45309</v>
      </c>
      <c r="C1398" s="1" t="n">
        <v>45753</v>
      </c>
      <c r="D1398" t="inlineStr">
        <is>
          <t>JÄMTLANDS LÄN</t>
        </is>
      </c>
      <c r="E1398" t="inlineStr">
        <is>
          <t>RAGUNDA</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2424-2024</t>
        </is>
      </c>
      <c r="B1399" s="1" t="n">
        <v>45310</v>
      </c>
      <c r="C1399" s="1" t="n">
        <v>45753</v>
      </c>
      <c r="D1399" t="inlineStr">
        <is>
          <t>JÄMTLANDS LÄN</t>
        </is>
      </c>
      <c r="E1399" t="inlineStr">
        <is>
          <t>RAGUNDA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2629-2024</t>
        </is>
      </c>
      <c r="B1400" s="1" t="n">
        <v>45313</v>
      </c>
      <c r="C1400" s="1" t="n">
        <v>45753</v>
      </c>
      <c r="D1400" t="inlineStr">
        <is>
          <t>JÄMTLANDS LÄN</t>
        </is>
      </c>
      <c r="E1400" t="inlineStr">
        <is>
          <t>RAGUNDA</t>
        </is>
      </c>
      <c r="F1400" t="inlineStr">
        <is>
          <t>SCA</t>
        </is>
      </c>
      <c r="G1400" t="n">
        <v>40.9</v>
      </c>
      <c r="H1400" t="n">
        <v>0</v>
      </c>
      <c r="I1400" t="n">
        <v>0</v>
      </c>
      <c r="J1400" t="n">
        <v>0</v>
      </c>
      <c r="K1400" t="n">
        <v>0</v>
      </c>
      <c r="L1400" t="n">
        <v>0</v>
      </c>
      <c r="M1400" t="n">
        <v>0</v>
      </c>
      <c r="N1400" t="n">
        <v>0</v>
      </c>
      <c r="O1400" t="n">
        <v>0</v>
      </c>
      <c r="P1400" t="n">
        <v>0</v>
      </c>
      <c r="Q1400" t="n">
        <v>0</v>
      </c>
      <c r="R1400" s="2" t="inlineStr"/>
    </row>
    <row r="1401" ht="15" customHeight="1">
      <c r="A1401" t="inlineStr">
        <is>
          <t>A 2630-2024</t>
        </is>
      </c>
      <c r="B1401" s="1" t="n">
        <v>45313</v>
      </c>
      <c r="C1401" s="1" t="n">
        <v>45753</v>
      </c>
      <c r="D1401" t="inlineStr">
        <is>
          <t>JÄMTLANDS LÄN</t>
        </is>
      </c>
      <c r="E1401" t="inlineStr">
        <is>
          <t>RAGUNDA</t>
        </is>
      </c>
      <c r="F1401" t="inlineStr">
        <is>
          <t>SCA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2673-2024</t>
        </is>
      </c>
      <c r="B1402" s="1" t="n">
        <v>45314</v>
      </c>
      <c r="C1402" s="1" t="n">
        <v>45753</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2751-2024</t>
        </is>
      </c>
      <c r="B1403" s="1" t="n">
        <v>45314</v>
      </c>
      <c r="C1403" s="1" t="n">
        <v>45753</v>
      </c>
      <c r="D1403" t="inlineStr">
        <is>
          <t>JÄMTLANDS LÄN</t>
        </is>
      </c>
      <c r="E1403" t="inlineStr">
        <is>
          <t>RAGUNDA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2678-2024</t>
        </is>
      </c>
      <c r="B1404" s="1" t="n">
        <v>45314</v>
      </c>
      <c r="C1404" s="1" t="n">
        <v>45753</v>
      </c>
      <c r="D1404" t="inlineStr">
        <is>
          <t>JÄMTLANDS LÄN</t>
        </is>
      </c>
      <c r="E1404" t="inlineStr">
        <is>
          <t>RAGUNDA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2834-2024</t>
        </is>
      </c>
      <c r="B1405" s="1" t="n">
        <v>45314</v>
      </c>
      <c r="C1405" s="1" t="n">
        <v>45753</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2831-2024</t>
        </is>
      </c>
      <c r="B1406" s="1" t="n">
        <v>45314</v>
      </c>
      <c r="C1406" s="1" t="n">
        <v>45753</v>
      </c>
      <c r="D1406" t="inlineStr">
        <is>
          <t>JÄMTLANDS LÄN</t>
        </is>
      </c>
      <c r="E1406" t="inlineStr">
        <is>
          <t>RAGUNDA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3016-2024</t>
        </is>
      </c>
      <c r="B1407" s="1" t="n">
        <v>45315</v>
      </c>
      <c r="C1407" s="1" t="n">
        <v>45753</v>
      </c>
      <c r="D1407" t="inlineStr">
        <is>
          <t>JÄMTLANDS LÄN</t>
        </is>
      </c>
      <c r="E1407" t="inlineStr">
        <is>
          <t>RAGUNDA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3018-2024</t>
        </is>
      </c>
      <c r="B1408" s="1" t="n">
        <v>45315</v>
      </c>
      <c r="C1408" s="1" t="n">
        <v>45753</v>
      </c>
      <c r="D1408" t="inlineStr">
        <is>
          <t>JÄMTLANDS LÄN</t>
        </is>
      </c>
      <c r="E1408" t="inlineStr">
        <is>
          <t>RAGUNDA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3240-2024</t>
        </is>
      </c>
      <c r="B1409" s="1" t="n">
        <v>45316</v>
      </c>
      <c r="C1409" s="1" t="n">
        <v>45753</v>
      </c>
      <c r="D1409" t="inlineStr">
        <is>
          <t>JÄMTLANDS LÄN</t>
        </is>
      </c>
      <c r="E1409" t="inlineStr">
        <is>
          <t>RAGUNDA</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3635-2024</t>
        </is>
      </c>
      <c r="B1410" s="1" t="n">
        <v>45320</v>
      </c>
      <c r="C1410" s="1" t="n">
        <v>45753</v>
      </c>
      <c r="D1410" t="inlineStr">
        <is>
          <t>JÄMTLANDS LÄN</t>
        </is>
      </c>
      <c r="E1410" t="inlineStr">
        <is>
          <t>RAGUNDA</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3938-2024</t>
        </is>
      </c>
      <c r="B1411" s="1" t="n">
        <v>45322</v>
      </c>
      <c r="C1411" s="1" t="n">
        <v>45753</v>
      </c>
      <c r="D1411" t="inlineStr">
        <is>
          <t>JÄMTLANDS LÄN</t>
        </is>
      </c>
      <c r="E1411" t="inlineStr">
        <is>
          <t>RAGUNDA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3992-2024</t>
        </is>
      </c>
      <c r="B1412" s="1" t="n">
        <v>45322</v>
      </c>
      <c r="C1412" s="1" t="n">
        <v>45753</v>
      </c>
      <c r="D1412" t="inlineStr">
        <is>
          <t>JÄMTLANDS LÄN</t>
        </is>
      </c>
      <c r="E1412" t="inlineStr">
        <is>
          <t>RAGUNDA</t>
        </is>
      </c>
      <c r="F1412" t="inlineStr">
        <is>
          <t>SCA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4125-2024</t>
        </is>
      </c>
      <c r="B1413" s="1" t="n">
        <v>45323</v>
      </c>
      <c r="C1413" s="1" t="n">
        <v>45753</v>
      </c>
      <c r="D1413" t="inlineStr">
        <is>
          <t>JÄMTLANDS LÄN</t>
        </is>
      </c>
      <c r="E1413" t="inlineStr">
        <is>
          <t>RAGUNDA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4212-2024</t>
        </is>
      </c>
      <c r="B1414" s="1" t="n">
        <v>45324</v>
      </c>
      <c r="C1414" s="1" t="n">
        <v>45753</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4249-2024</t>
        </is>
      </c>
      <c r="B1415" s="1" t="n">
        <v>45324</v>
      </c>
      <c r="C1415" s="1" t="n">
        <v>45753</v>
      </c>
      <c r="D1415" t="inlineStr">
        <is>
          <t>JÄMTLANDS LÄN</t>
        </is>
      </c>
      <c r="E1415" t="inlineStr">
        <is>
          <t>RAGUNDA</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4594-2024</t>
        </is>
      </c>
      <c r="B1416" s="1" t="n">
        <v>45327</v>
      </c>
      <c r="C1416" s="1" t="n">
        <v>45753</v>
      </c>
      <c r="D1416" t="inlineStr">
        <is>
          <t>JÄMTLANDS LÄN</t>
        </is>
      </c>
      <c r="E1416" t="inlineStr">
        <is>
          <t>RAGUNDA</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4592-2024</t>
        </is>
      </c>
      <c r="B1417" s="1" t="n">
        <v>45327</v>
      </c>
      <c r="C1417" s="1" t="n">
        <v>45753</v>
      </c>
      <c r="D1417" t="inlineStr">
        <is>
          <t>JÄMTLANDS LÄN</t>
        </is>
      </c>
      <c r="E1417" t="inlineStr">
        <is>
          <t>RAGUNDA</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4591-2024</t>
        </is>
      </c>
      <c r="B1418" s="1" t="n">
        <v>45327</v>
      </c>
      <c r="C1418" s="1" t="n">
        <v>45753</v>
      </c>
      <c r="D1418" t="inlineStr">
        <is>
          <t>JÄMTLANDS LÄN</t>
        </is>
      </c>
      <c r="E1418" t="inlineStr">
        <is>
          <t>RAGUNDA</t>
        </is>
      </c>
      <c r="F1418" t="inlineStr">
        <is>
          <t>SCA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4820-2024</t>
        </is>
      </c>
      <c r="B1419" s="1" t="n">
        <v>45328</v>
      </c>
      <c r="C1419" s="1" t="n">
        <v>45753</v>
      </c>
      <c r="D1419" t="inlineStr">
        <is>
          <t>JÄMTLANDS LÄN</t>
        </is>
      </c>
      <c r="E1419" t="inlineStr">
        <is>
          <t>RAGUNDA</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4822-2024</t>
        </is>
      </c>
      <c r="B1420" s="1" t="n">
        <v>45328</v>
      </c>
      <c r="C1420" s="1" t="n">
        <v>45753</v>
      </c>
      <c r="D1420" t="inlineStr">
        <is>
          <t>JÄMTLANDS LÄN</t>
        </is>
      </c>
      <c r="E1420" t="inlineStr">
        <is>
          <t>RAGUNDA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4811-2024</t>
        </is>
      </c>
      <c r="B1421" s="1" t="n">
        <v>45328</v>
      </c>
      <c r="C1421" s="1" t="n">
        <v>45753</v>
      </c>
      <c r="D1421" t="inlineStr">
        <is>
          <t>JÄMTLANDS LÄN</t>
        </is>
      </c>
      <c r="E1421" t="inlineStr">
        <is>
          <t>RAGUNDA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4936-2024</t>
        </is>
      </c>
      <c r="B1422" s="1" t="n">
        <v>45329</v>
      </c>
      <c r="C1422" s="1" t="n">
        <v>45753</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5067-2024</t>
        </is>
      </c>
      <c r="B1423" s="1" t="n">
        <v>45329</v>
      </c>
      <c r="C1423" s="1" t="n">
        <v>45753</v>
      </c>
      <c r="D1423" t="inlineStr">
        <is>
          <t>JÄMTLANDS LÄN</t>
        </is>
      </c>
      <c r="E1423" t="inlineStr">
        <is>
          <t>RAGUNDA</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5250-2024</t>
        </is>
      </c>
      <c r="B1424" s="1" t="n">
        <v>45330</v>
      </c>
      <c r="C1424" s="1" t="n">
        <v>45753</v>
      </c>
      <c r="D1424" t="inlineStr">
        <is>
          <t>JÄMTLANDS LÄN</t>
        </is>
      </c>
      <c r="E1424" t="inlineStr">
        <is>
          <t>RAGUNDA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5263-2024</t>
        </is>
      </c>
      <c r="B1425" s="1" t="n">
        <v>45331</v>
      </c>
      <c r="C1425" s="1" t="n">
        <v>45753</v>
      </c>
      <c r="D1425" t="inlineStr">
        <is>
          <t>JÄMTLANDS LÄN</t>
        </is>
      </c>
      <c r="E1425" t="inlineStr">
        <is>
          <t>RAGUNDA</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5429-2024</t>
        </is>
      </c>
      <c r="B1426" s="1" t="n">
        <v>45331</v>
      </c>
      <c r="C1426" s="1" t="n">
        <v>45753</v>
      </c>
      <c r="D1426" t="inlineStr">
        <is>
          <t>JÄMTLANDS LÄN</t>
        </is>
      </c>
      <c r="E1426" t="inlineStr">
        <is>
          <t>RAGUNDA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6267-2024</t>
        </is>
      </c>
      <c r="B1427" s="1" t="n">
        <v>45337</v>
      </c>
      <c r="C1427" s="1" t="n">
        <v>45753</v>
      </c>
      <c r="D1427" t="inlineStr">
        <is>
          <t>JÄMTLANDS LÄN</t>
        </is>
      </c>
      <c r="E1427" t="inlineStr">
        <is>
          <t>RAGUNDA</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6477-2024</t>
        </is>
      </c>
      <c r="B1428" s="1" t="n">
        <v>45338</v>
      </c>
      <c r="C1428" s="1" t="n">
        <v>45753</v>
      </c>
      <c r="D1428" t="inlineStr">
        <is>
          <t>JÄMTLANDS LÄN</t>
        </is>
      </c>
      <c r="E1428" t="inlineStr">
        <is>
          <t>RAGUNDA</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6687-2024</t>
        </is>
      </c>
      <c r="B1429" s="1" t="n">
        <v>45341</v>
      </c>
      <c r="C1429" s="1" t="n">
        <v>45753</v>
      </c>
      <c r="D1429" t="inlineStr">
        <is>
          <t>JÄMTLANDS LÄN</t>
        </is>
      </c>
      <c r="E1429" t="inlineStr">
        <is>
          <t>RAGUNDA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6694-2024</t>
        </is>
      </c>
      <c r="B1430" s="1" t="n">
        <v>45341</v>
      </c>
      <c r="C1430" s="1" t="n">
        <v>45753</v>
      </c>
      <c r="D1430" t="inlineStr">
        <is>
          <t>JÄMTLANDS LÄN</t>
        </is>
      </c>
      <c r="E1430" t="inlineStr">
        <is>
          <t>RAGUNDA</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6688-2024</t>
        </is>
      </c>
      <c r="B1431" s="1" t="n">
        <v>45341</v>
      </c>
      <c r="C1431" s="1" t="n">
        <v>45753</v>
      </c>
      <c r="D1431" t="inlineStr">
        <is>
          <t>JÄMTLANDS LÄN</t>
        </is>
      </c>
      <c r="E1431" t="inlineStr">
        <is>
          <t>RAGUNDA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6736-2024</t>
        </is>
      </c>
      <c r="B1432" s="1" t="n">
        <v>45342</v>
      </c>
      <c r="C1432" s="1" t="n">
        <v>45753</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6902-2024</t>
        </is>
      </c>
      <c r="B1433" s="1" t="n">
        <v>45342</v>
      </c>
      <c r="C1433" s="1" t="n">
        <v>45753</v>
      </c>
      <c r="D1433" t="inlineStr">
        <is>
          <t>JÄMTLANDS LÄN</t>
        </is>
      </c>
      <c r="E1433" t="inlineStr">
        <is>
          <t>RAGUNDA</t>
        </is>
      </c>
      <c r="F1433" t="inlineStr">
        <is>
          <t>SCA</t>
        </is>
      </c>
      <c r="G1433" t="n">
        <v>18.7</v>
      </c>
      <c r="H1433" t="n">
        <v>0</v>
      </c>
      <c r="I1433" t="n">
        <v>0</v>
      </c>
      <c r="J1433" t="n">
        <v>0</v>
      </c>
      <c r="K1433" t="n">
        <v>0</v>
      </c>
      <c r="L1433" t="n">
        <v>0</v>
      </c>
      <c r="M1433" t="n">
        <v>0</v>
      </c>
      <c r="N1433" t="n">
        <v>0</v>
      </c>
      <c r="O1433" t="n">
        <v>0</v>
      </c>
      <c r="P1433" t="n">
        <v>0</v>
      </c>
      <c r="Q1433" t="n">
        <v>0</v>
      </c>
      <c r="R1433" s="2" t="inlineStr"/>
    </row>
    <row r="1434" ht="15" customHeight="1">
      <c r="A1434" t="inlineStr">
        <is>
          <t>A 6905-2024</t>
        </is>
      </c>
      <c r="B1434" s="1" t="n">
        <v>45342</v>
      </c>
      <c r="C1434" s="1" t="n">
        <v>45753</v>
      </c>
      <c r="D1434" t="inlineStr">
        <is>
          <t>JÄMTLANDS LÄN</t>
        </is>
      </c>
      <c r="E1434" t="inlineStr">
        <is>
          <t>RAGUNDA</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6929-2024</t>
        </is>
      </c>
      <c r="B1435" s="1" t="n">
        <v>45343</v>
      </c>
      <c r="C1435" s="1" t="n">
        <v>45753</v>
      </c>
      <c r="D1435" t="inlineStr">
        <is>
          <t>JÄMTLANDS LÄN</t>
        </is>
      </c>
      <c r="E1435" t="inlineStr">
        <is>
          <t>RAGUNDA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7279-2024</t>
        </is>
      </c>
      <c r="B1436" s="1" t="n">
        <v>45344</v>
      </c>
      <c r="C1436" s="1" t="n">
        <v>45753</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7281-2024</t>
        </is>
      </c>
      <c r="B1437" s="1" t="n">
        <v>45344</v>
      </c>
      <c r="C1437" s="1" t="n">
        <v>45753</v>
      </c>
      <c r="D1437" t="inlineStr">
        <is>
          <t>JÄMTLANDS LÄN</t>
        </is>
      </c>
      <c r="E1437" t="inlineStr">
        <is>
          <t>RAGUNDA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7285-2024</t>
        </is>
      </c>
      <c r="B1438" s="1" t="n">
        <v>45344</v>
      </c>
      <c r="C1438" s="1" t="n">
        <v>45753</v>
      </c>
      <c r="D1438" t="inlineStr">
        <is>
          <t>JÄMTLANDS LÄN</t>
        </is>
      </c>
      <c r="E1438" t="inlineStr">
        <is>
          <t>RAGUNDA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7280-2024</t>
        </is>
      </c>
      <c r="B1439" s="1" t="n">
        <v>45344</v>
      </c>
      <c r="C1439" s="1" t="n">
        <v>45753</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7284-2024</t>
        </is>
      </c>
      <c r="B1440" s="1" t="n">
        <v>45344</v>
      </c>
      <c r="C1440" s="1" t="n">
        <v>45753</v>
      </c>
      <c r="D1440" t="inlineStr">
        <is>
          <t>JÄMTLANDS LÄN</t>
        </is>
      </c>
      <c r="E1440" t="inlineStr">
        <is>
          <t>RAGUNDA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7850-2024</t>
        </is>
      </c>
      <c r="B1441" s="1" t="n">
        <v>45350</v>
      </c>
      <c r="C1441" s="1" t="n">
        <v>45753</v>
      </c>
      <c r="D1441" t="inlineStr">
        <is>
          <t>JÄMTLANDS LÄN</t>
        </is>
      </c>
      <c r="E1441" t="inlineStr">
        <is>
          <t>RAGUNDA</t>
        </is>
      </c>
      <c r="F1441" t="inlineStr">
        <is>
          <t>SCA</t>
        </is>
      </c>
      <c r="G1441" t="n">
        <v>27.8</v>
      </c>
      <c r="H1441" t="n">
        <v>0</v>
      </c>
      <c r="I1441" t="n">
        <v>0</v>
      </c>
      <c r="J1441" t="n">
        <v>0</v>
      </c>
      <c r="K1441" t="n">
        <v>0</v>
      </c>
      <c r="L1441" t="n">
        <v>0</v>
      </c>
      <c r="M1441" t="n">
        <v>0</v>
      </c>
      <c r="N1441" t="n">
        <v>0</v>
      </c>
      <c r="O1441" t="n">
        <v>0</v>
      </c>
      <c r="P1441" t="n">
        <v>0</v>
      </c>
      <c r="Q1441" t="n">
        <v>0</v>
      </c>
      <c r="R1441" s="2" t="inlineStr"/>
    </row>
    <row r="1442" ht="15" customHeight="1">
      <c r="A1442" t="inlineStr">
        <is>
          <t>A 7855-2024</t>
        </is>
      </c>
      <c r="B1442" s="1" t="n">
        <v>45350</v>
      </c>
      <c r="C1442" s="1" t="n">
        <v>45753</v>
      </c>
      <c r="D1442" t="inlineStr">
        <is>
          <t>JÄMTLANDS LÄN</t>
        </is>
      </c>
      <c r="E1442" t="inlineStr">
        <is>
          <t>RAGUNDA</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8241-2024</t>
        </is>
      </c>
      <c r="B1443" s="1" t="n">
        <v>45352</v>
      </c>
      <c r="C1443" s="1" t="n">
        <v>45753</v>
      </c>
      <c r="D1443" t="inlineStr">
        <is>
          <t>JÄMTLANDS LÄN</t>
        </is>
      </c>
      <c r="E1443" t="inlineStr">
        <is>
          <t>RAGUNDA</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8243-2024</t>
        </is>
      </c>
      <c r="B1444" s="1" t="n">
        <v>45352</v>
      </c>
      <c r="C1444" s="1" t="n">
        <v>45753</v>
      </c>
      <c r="D1444" t="inlineStr">
        <is>
          <t>JÄMTLANDS LÄN</t>
        </is>
      </c>
      <c r="E1444" t="inlineStr">
        <is>
          <t>RAGUNDA</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8639-2024</t>
        </is>
      </c>
      <c r="B1445" s="1" t="n">
        <v>45356</v>
      </c>
      <c r="C1445" s="1" t="n">
        <v>45753</v>
      </c>
      <c r="D1445" t="inlineStr">
        <is>
          <t>JÄMTLANDS LÄN</t>
        </is>
      </c>
      <c r="E1445" t="inlineStr">
        <is>
          <t>RAGUNDA</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8643-2024</t>
        </is>
      </c>
      <c r="B1446" s="1" t="n">
        <v>45356</v>
      </c>
      <c r="C1446" s="1" t="n">
        <v>45753</v>
      </c>
      <c r="D1446" t="inlineStr">
        <is>
          <t>JÄMTLANDS LÄN</t>
        </is>
      </c>
      <c r="E1446" t="inlineStr">
        <is>
          <t>RAGUNDA</t>
        </is>
      </c>
      <c r="F1446" t="inlineStr">
        <is>
          <t>SCA</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8644-2024</t>
        </is>
      </c>
      <c r="B1447" s="1" t="n">
        <v>45356</v>
      </c>
      <c r="C1447" s="1" t="n">
        <v>45753</v>
      </c>
      <c r="D1447" t="inlineStr">
        <is>
          <t>JÄMTLANDS LÄN</t>
        </is>
      </c>
      <c r="E1447" t="inlineStr">
        <is>
          <t>RAGUNDA</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8642-2024</t>
        </is>
      </c>
      <c r="B1448" s="1" t="n">
        <v>45356</v>
      </c>
      <c r="C1448" s="1" t="n">
        <v>45753</v>
      </c>
      <c r="D1448" t="inlineStr">
        <is>
          <t>JÄMTLANDS LÄN</t>
        </is>
      </c>
      <c r="E1448" t="inlineStr">
        <is>
          <t>RAGUNDA</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8654-2024</t>
        </is>
      </c>
      <c r="B1449" s="1" t="n">
        <v>45356</v>
      </c>
      <c r="C1449" s="1" t="n">
        <v>45753</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8886-2024</t>
        </is>
      </c>
      <c r="B1450" s="1" t="n">
        <v>45357</v>
      </c>
      <c r="C1450" s="1" t="n">
        <v>45753</v>
      </c>
      <c r="D1450" t="inlineStr">
        <is>
          <t>JÄMTLANDS LÄN</t>
        </is>
      </c>
      <c r="E1450" t="inlineStr">
        <is>
          <t>RAGUNDA</t>
        </is>
      </c>
      <c r="F1450" t="inlineStr">
        <is>
          <t>SCA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9326-2024</t>
        </is>
      </c>
      <c r="B1451" s="1" t="n">
        <v>45358</v>
      </c>
      <c r="C1451" s="1" t="n">
        <v>45753</v>
      </c>
      <c r="D1451" t="inlineStr">
        <is>
          <t>JÄMTLANDS LÄN</t>
        </is>
      </c>
      <c r="E1451" t="inlineStr">
        <is>
          <t>RAGUNDA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9325-2024</t>
        </is>
      </c>
      <c r="B1452" s="1" t="n">
        <v>45358</v>
      </c>
      <c r="C1452" s="1" t="n">
        <v>45753</v>
      </c>
      <c r="D1452" t="inlineStr">
        <is>
          <t>JÄMTLANDS LÄN</t>
        </is>
      </c>
      <c r="E1452" t="inlineStr">
        <is>
          <t>RAGUNDA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9560-2024</t>
        </is>
      </c>
      <c r="B1453" s="1" t="n">
        <v>45360</v>
      </c>
      <c r="C1453" s="1" t="n">
        <v>45753</v>
      </c>
      <c r="D1453" t="inlineStr">
        <is>
          <t>JÄMTLANDS LÄN</t>
        </is>
      </c>
      <c r="E1453" t="inlineStr">
        <is>
          <t>RAGUNDA</t>
        </is>
      </c>
      <c r="F1453" t="inlineStr">
        <is>
          <t>SCA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10196-2024</t>
        </is>
      </c>
      <c r="B1454" s="1" t="n">
        <v>45364</v>
      </c>
      <c r="C1454" s="1" t="n">
        <v>45753</v>
      </c>
      <c r="D1454" t="inlineStr">
        <is>
          <t>JÄMTLANDS LÄN</t>
        </is>
      </c>
      <c r="E1454" t="inlineStr">
        <is>
          <t>RAGUNDA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10197-2024</t>
        </is>
      </c>
      <c r="B1455" s="1" t="n">
        <v>45364</v>
      </c>
      <c r="C1455" s="1" t="n">
        <v>45753</v>
      </c>
      <c r="D1455" t="inlineStr">
        <is>
          <t>JÄMTLANDS LÄN</t>
        </is>
      </c>
      <c r="E1455" t="inlineStr">
        <is>
          <t>RAGUNDA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10205-2024</t>
        </is>
      </c>
      <c r="B1456" s="1" t="n">
        <v>45364</v>
      </c>
      <c r="C1456" s="1" t="n">
        <v>45753</v>
      </c>
      <c r="D1456" t="inlineStr">
        <is>
          <t>JÄMTLANDS LÄN</t>
        </is>
      </c>
      <c r="E1456" t="inlineStr">
        <is>
          <t>RAGUNDA</t>
        </is>
      </c>
      <c r="G1456" t="n">
        <v>25.3</v>
      </c>
      <c r="H1456" t="n">
        <v>0</v>
      </c>
      <c r="I1456" t="n">
        <v>0</v>
      </c>
      <c r="J1456" t="n">
        <v>0</v>
      </c>
      <c r="K1456" t="n">
        <v>0</v>
      </c>
      <c r="L1456" t="n">
        <v>0</v>
      </c>
      <c r="M1456" t="n">
        <v>0</v>
      </c>
      <c r="N1456" t="n">
        <v>0</v>
      </c>
      <c r="O1456" t="n">
        <v>0</v>
      </c>
      <c r="P1456" t="n">
        <v>0</v>
      </c>
      <c r="Q1456" t="n">
        <v>0</v>
      </c>
      <c r="R1456" s="2" t="inlineStr"/>
    </row>
    <row r="1457" ht="15" customHeight="1">
      <c r="A1457" t="inlineStr">
        <is>
          <t>A 10194-2024</t>
        </is>
      </c>
      <c r="B1457" s="1" t="n">
        <v>45364</v>
      </c>
      <c r="C1457" s="1" t="n">
        <v>45753</v>
      </c>
      <c r="D1457" t="inlineStr">
        <is>
          <t>JÄMTLANDS LÄN</t>
        </is>
      </c>
      <c r="E1457" t="inlineStr">
        <is>
          <t>RAGUNDA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10217-2024</t>
        </is>
      </c>
      <c r="B1458" s="1" t="n">
        <v>45364</v>
      </c>
      <c r="C1458" s="1" t="n">
        <v>45753</v>
      </c>
      <c r="D1458" t="inlineStr">
        <is>
          <t>JÄMTLANDS LÄN</t>
        </is>
      </c>
      <c r="E1458" t="inlineStr">
        <is>
          <t>RAGUNDA</t>
        </is>
      </c>
      <c r="F1458" t="inlineStr">
        <is>
          <t>SCA</t>
        </is>
      </c>
      <c r="G1458" t="n">
        <v>4.6</v>
      </c>
      <c r="H1458" t="n">
        <v>0</v>
      </c>
      <c r="I1458" t="n">
        <v>0</v>
      </c>
      <c r="J1458" t="n">
        <v>0</v>
      </c>
      <c r="K1458" t="n">
        <v>0</v>
      </c>
      <c r="L1458" t="n">
        <v>0</v>
      </c>
      <c r="M1458" t="n">
        <v>0</v>
      </c>
      <c r="N1458" t="n">
        <v>0</v>
      </c>
      <c r="O1458" t="n">
        <v>0</v>
      </c>
      <c r="P1458" t="n">
        <v>0</v>
      </c>
      <c r="Q1458" t="n">
        <v>0</v>
      </c>
      <c r="R1458" s="2" t="inlineStr"/>
      <c r="U1458">
        <f>HYPERLINK("https://klasma.github.io/Logging_2303/knärot/A 10217-2024 karta knärot.png", "A 10217-2024")</f>
        <v/>
      </c>
      <c r="V1458">
        <f>HYPERLINK("https://klasma.github.io/Logging_2303/klagomål/A 10217-2024 FSC-klagomål.docx", "A 10217-2024")</f>
        <v/>
      </c>
      <c r="W1458">
        <f>HYPERLINK("https://klasma.github.io/Logging_2303/klagomålsmail/A 10217-2024 FSC-klagomål mail.docx", "A 10217-2024")</f>
        <v/>
      </c>
      <c r="X1458">
        <f>HYPERLINK("https://klasma.github.io/Logging_2303/tillsyn/A 10217-2024 tillsynsbegäran.docx", "A 10217-2024")</f>
        <v/>
      </c>
      <c r="Y1458">
        <f>HYPERLINK("https://klasma.github.io/Logging_2303/tillsynsmail/A 10217-2024 tillsynsbegäran mail.docx", "A 10217-2024")</f>
        <v/>
      </c>
    </row>
    <row r="1459" ht="15" customHeight="1">
      <c r="A1459" t="inlineStr">
        <is>
          <t>A 10644-2024</t>
        </is>
      </c>
      <c r="B1459" s="1" t="n">
        <v>45367</v>
      </c>
      <c r="C1459" s="1" t="n">
        <v>45753</v>
      </c>
      <c r="D1459" t="inlineStr">
        <is>
          <t>JÄMTLANDS LÄN</t>
        </is>
      </c>
      <c r="E1459" t="inlineStr">
        <is>
          <t>RAGUNDA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10639-2024</t>
        </is>
      </c>
      <c r="B1460" s="1" t="n">
        <v>45367</v>
      </c>
      <c r="C1460" s="1" t="n">
        <v>45753</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10610-2024</t>
        </is>
      </c>
      <c r="B1461" s="1" t="n">
        <v>45367</v>
      </c>
      <c r="C1461" s="1" t="n">
        <v>45753</v>
      </c>
      <c r="D1461" t="inlineStr">
        <is>
          <t>JÄMTLANDS LÄN</t>
        </is>
      </c>
      <c r="E1461" t="inlineStr">
        <is>
          <t>RAGUNDA</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10614-2024</t>
        </is>
      </c>
      <c r="B1462" s="1" t="n">
        <v>45367</v>
      </c>
      <c r="C1462" s="1" t="n">
        <v>45753</v>
      </c>
      <c r="D1462" t="inlineStr">
        <is>
          <t>JÄMTLANDS LÄN</t>
        </is>
      </c>
      <c r="E1462" t="inlineStr">
        <is>
          <t>RAGUNDA</t>
        </is>
      </c>
      <c r="F1462" t="inlineStr">
        <is>
          <t>SCA</t>
        </is>
      </c>
      <c r="G1462" t="n">
        <v>16.5</v>
      </c>
      <c r="H1462" t="n">
        <v>0</v>
      </c>
      <c r="I1462" t="n">
        <v>0</v>
      </c>
      <c r="J1462" t="n">
        <v>0</v>
      </c>
      <c r="K1462" t="n">
        <v>0</v>
      </c>
      <c r="L1462" t="n">
        <v>0</v>
      </c>
      <c r="M1462" t="n">
        <v>0</v>
      </c>
      <c r="N1462" t="n">
        <v>0</v>
      </c>
      <c r="O1462" t="n">
        <v>0</v>
      </c>
      <c r="P1462" t="n">
        <v>0</v>
      </c>
      <c r="Q1462" t="n">
        <v>0</v>
      </c>
      <c r="R1462" s="2" t="inlineStr"/>
    </row>
    <row r="1463" ht="15" customHeight="1">
      <c r="A1463" t="inlineStr">
        <is>
          <t>A 10609-2024</t>
        </is>
      </c>
      <c r="B1463" s="1" t="n">
        <v>45367</v>
      </c>
      <c r="C1463" s="1" t="n">
        <v>45753</v>
      </c>
      <c r="D1463" t="inlineStr">
        <is>
          <t>JÄMTLANDS LÄN</t>
        </is>
      </c>
      <c r="E1463" t="inlineStr">
        <is>
          <t>RAGUNDA</t>
        </is>
      </c>
      <c r="F1463" t="inlineStr">
        <is>
          <t>SCA</t>
        </is>
      </c>
      <c r="G1463" t="n">
        <v>20.3</v>
      </c>
      <c r="H1463" t="n">
        <v>0</v>
      </c>
      <c r="I1463" t="n">
        <v>0</v>
      </c>
      <c r="J1463" t="n">
        <v>0</v>
      </c>
      <c r="K1463" t="n">
        <v>0</v>
      </c>
      <c r="L1463" t="n">
        <v>0</v>
      </c>
      <c r="M1463" t="n">
        <v>0</v>
      </c>
      <c r="N1463" t="n">
        <v>0</v>
      </c>
      <c r="O1463" t="n">
        <v>0</v>
      </c>
      <c r="P1463" t="n">
        <v>0</v>
      </c>
      <c r="Q1463" t="n">
        <v>0</v>
      </c>
      <c r="R1463" s="2" t="inlineStr"/>
    </row>
    <row r="1464" ht="15" customHeight="1">
      <c r="A1464" t="inlineStr">
        <is>
          <t>A 10613-2024</t>
        </is>
      </c>
      <c r="B1464" s="1" t="n">
        <v>45367</v>
      </c>
      <c r="C1464" s="1" t="n">
        <v>45753</v>
      </c>
      <c r="D1464" t="inlineStr">
        <is>
          <t>JÄMTLANDS LÄN</t>
        </is>
      </c>
      <c r="E1464" t="inlineStr">
        <is>
          <t>RAGUNDA</t>
        </is>
      </c>
      <c r="F1464" t="inlineStr">
        <is>
          <t>SCA</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10641-2024</t>
        </is>
      </c>
      <c r="B1465" s="1" t="n">
        <v>45367</v>
      </c>
      <c r="C1465" s="1" t="n">
        <v>45753</v>
      </c>
      <c r="D1465" t="inlineStr">
        <is>
          <t>JÄMTLANDS LÄN</t>
        </is>
      </c>
      <c r="E1465" t="inlineStr">
        <is>
          <t>RAGUNDA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10867-2024</t>
        </is>
      </c>
      <c r="B1466" s="1" t="n">
        <v>45370</v>
      </c>
      <c r="C1466" s="1" t="n">
        <v>45753</v>
      </c>
      <c r="D1466" t="inlineStr">
        <is>
          <t>JÄMTLANDS LÄN</t>
        </is>
      </c>
      <c r="E1466" t="inlineStr">
        <is>
          <t>RAGUNDA</t>
        </is>
      </c>
      <c r="F1466" t="inlineStr">
        <is>
          <t>SCA</t>
        </is>
      </c>
      <c r="G1466" t="n">
        <v>20.8</v>
      </c>
      <c r="H1466" t="n">
        <v>0</v>
      </c>
      <c r="I1466" t="n">
        <v>0</v>
      </c>
      <c r="J1466" t="n">
        <v>0</v>
      </c>
      <c r="K1466" t="n">
        <v>0</v>
      </c>
      <c r="L1466" t="n">
        <v>0</v>
      </c>
      <c r="M1466" t="n">
        <v>0</v>
      </c>
      <c r="N1466" t="n">
        <v>0</v>
      </c>
      <c r="O1466" t="n">
        <v>0</v>
      </c>
      <c r="P1466" t="n">
        <v>0</v>
      </c>
      <c r="Q1466" t="n">
        <v>0</v>
      </c>
      <c r="R1466" s="2" t="inlineStr"/>
    </row>
    <row r="1467" ht="15" customHeight="1">
      <c r="A1467" t="inlineStr">
        <is>
          <t>A 10920-2024</t>
        </is>
      </c>
      <c r="B1467" s="1" t="n">
        <v>45370</v>
      </c>
      <c r="C1467" s="1" t="n">
        <v>45753</v>
      </c>
      <c r="D1467" t="inlineStr">
        <is>
          <t>JÄMTLANDS LÄN</t>
        </is>
      </c>
      <c r="E1467" t="inlineStr">
        <is>
          <t>RAGUNDA</t>
        </is>
      </c>
      <c r="G1467" t="n">
        <v>10.8</v>
      </c>
      <c r="H1467" t="n">
        <v>0</v>
      </c>
      <c r="I1467" t="n">
        <v>0</v>
      </c>
      <c r="J1467" t="n">
        <v>0</v>
      </c>
      <c r="K1467" t="n">
        <v>0</v>
      </c>
      <c r="L1467" t="n">
        <v>0</v>
      </c>
      <c r="M1467" t="n">
        <v>0</v>
      </c>
      <c r="N1467" t="n">
        <v>0</v>
      </c>
      <c r="O1467" t="n">
        <v>0</v>
      </c>
      <c r="P1467" t="n">
        <v>0</v>
      </c>
      <c r="Q1467" t="n">
        <v>0</v>
      </c>
      <c r="R1467" s="2" t="inlineStr"/>
    </row>
    <row r="1468" ht="15" customHeight="1">
      <c r="A1468" t="inlineStr">
        <is>
          <t>A 11547-2024</t>
        </is>
      </c>
      <c r="B1468" s="1" t="n">
        <v>45372</v>
      </c>
      <c r="C1468" s="1" t="n">
        <v>45753</v>
      </c>
      <c r="D1468" t="inlineStr">
        <is>
          <t>JÄMTLANDS LÄN</t>
        </is>
      </c>
      <c r="E1468" t="inlineStr">
        <is>
          <t>RAGUNDA</t>
        </is>
      </c>
      <c r="F1468" t="inlineStr">
        <is>
          <t>SCA</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11551-2024</t>
        </is>
      </c>
      <c r="B1469" s="1" t="n">
        <v>45372</v>
      </c>
      <c r="C1469" s="1" t="n">
        <v>45753</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11550-2024</t>
        </is>
      </c>
      <c r="B1470" s="1" t="n">
        <v>45372</v>
      </c>
      <c r="C1470" s="1" t="n">
        <v>45753</v>
      </c>
      <c r="D1470" t="inlineStr">
        <is>
          <t>JÄMTLANDS LÄN</t>
        </is>
      </c>
      <c r="E1470" t="inlineStr">
        <is>
          <t>RAGUNDA</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11541-2024</t>
        </is>
      </c>
      <c r="B1471" s="1" t="n">
        <v>45372</v>
      </c>
      <c r="C1471" s="1" t="n">
        <v>45753</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11780-2024</t>
        </is>
      </c>
      <c r="B1472" s="1" t="n">
        <v>45374</v>
      </c>
      <c r="C1472" s="1" t="n">
        <v>45753</v>
      </c>
      <c r="D1472" t="inlineStr">
        <is>
          <t>JÄMTLANDS LÄN</t>
        </is>
      </c>
      <c r="E1472" t="inlineStr">
        <is>
          <t>RAGUNDA</t>
        </is>
      </c>
      <c r="G1472" t="n">
        <v>14.6</v>
      </c>
      <c r="H1472" t="n">
        <v>0</v>
      </c>
      <c r="I1472" t="n">
        <v>0</v>
      </c>
      <c r="J1472" t="n">
        <v>0</v>
      </c>
      <c r="K1472" t="n">
        <v>0</v>
      </c>
      <c r="L1472" t="n">
        <v>0</v>
      </c>
      <c r="M1472" t="n">
        <v>0</v>
      </c>
      <c r="N1472" t="n">
        <v>0</v>
      </c>
      <c r="O1472" t="n">
        <v>0</v>
      </c>
      <c r="P1472" t="n">
        <v>0</v>
      </c>
      <c r="Q1472" t="n">
        <v>0</v>
      </c>
      <c r="R1472" s="2" t="inlineStr"/>
    </row>
    <row r="1473" ht="15" customHeight="1">
      <c r="A1473" t="inlineStr">
        <is>
          <t>A 11990-2024</t>
        </is>
      </c>
      <c r="B1473" s="1" t="n">
        <v>45376</v>
      </c>
      <c r="C1473" s="1" t="n">
        <v>45753</v>
      </c>
      <c r="D1473" t="inlineStr">
        <is>
          <t>JÄMTLANDS LÄN</t>
        </is>
      </c>
      <c r="E1473" t="inlineStr">
        <is>
          <t>RAGUNDA</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12201-2024</t>
        </is>
      </c>
      <c r="B1474" s="1" t="n">
        <v>45377</v>
      </c>
      <c r="C1474" s="1" t="n">
        <v>45753</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12362-2024</t>
        </is>
      </c>
      <c r="B1475" s="1" t="n">
        <v>45378</v>
      </c>
      <c r="C1475" s="1" t="n">
        <v>45753</v>
      </c>
      <c r="D1475" t="inlineStr">
        <is>
          <t>JÄMTLANDS LÄN</t>
        </is>
      </c>
      <c r="E1475" t="inlineStr">
        <is>
          <t>RAGUNDA</t>
        </is>
      </c>
      <c r="F1475" t="inlineStr">
        <is>
          <t>SCA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12585-2024</t>
        </is>
      </c>
      <c r="B1476" s="1" t="n">
        <v>45379</v>
      </c>
      <c r="C1476" s="1" t="n">
        <v>45753</v>
      </c>
      <c r="D1476" t="inlineStr">
        <is>
          <t>JÄMTLANDS LÄN</t>
        </is>
      </c>
      <c r="E1476" t="inlineStr">
        <is>
          <t>RAGUNDA</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12653-2024</t>
        </is>
      </c>
      <c r="B1477" s="1" t="n">
        <v>45384</v>
      </c>
      <c r="C1477" s="1" t="n">
        <v>45753</v>
      </c>
      <c r="D1477" t="inlineStr">
        <is>
          <t>JÄMTLANDS LÄN</t>
        </is>
      </c>
      <c r="E1477" t="inlineStr">
        <is>
          <t>RAGUNDA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12660-2024</t>
        </is>
      </c>
      <c r="B1478" s="1" t="n">
        <v>45384</v>
      </c>
      <c r="C1478" s="1" t="n">
        <v>45753</v>
      </c>
      <c r="D1478" t="inlineStr">
        <is>
          <t>JÄMTLANDS LÄN</t>
        </is>
      </c>
      <c r="E1478" t="inlineStr">
        <is>
          <t>RAGUNDA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12867-2024</t>
        </is>
      </c>
      <c r="B1479" s="1" t="n">
        <v>45385</v>
      </c>
      <c r="C1479" s="1" t="n">
        <v>45753</v>
      </c>
      <c r="D1479" t="inlineStr">
        <is>
          <t>JÄMTLANDS LÄN</t>
        </is>
      </c>
      <c r="E1479" t="inlineStr">
        <is>
          <t>RAGUNDA</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12868-2024</t>
        </is>
      </c>
      <c r="B1480" s="1" t="n">
        <v>45385</v>
      </c>
      <c r="C1480" s="1" t="n">
        <v>45753</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13299-2024</t>
        </is>
      </c>
      <c r="B1481" s="1" t="n">
        <v>45386</v>
      </c>
      <c r="C1481" s="1" t="n">
        <v>45753</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13335-2024</t>
        </is>
      </c>
      <c r="B1482" s="1" t="n">
        <v>45387</v>
      </c>
      <c r="C1482" s="1" t="n">
        <v>45753</v>
      </c>
      <c r="D1482" t="inlineStr">
        <is>
          <t>JÄMTLANDS LÄN</t>
        </is>
      </c>
      <c r="E1482" t="inlineStr">
        <is>
          <t>RAGUNDA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13336-2024</t>
        </is>
      </c>
      <c r="B1483" s="1" t="n">
        <v>45387</v>
      </c>
      <c r="C1483" s="1" t="n">
        <v>45753</v>
      </c>
      <c r="D1483" t="inlineStr">
        <is>
          <t>JÄMTLANDS LÄN</t>
        </is>
      </c>
      <c r="E1483" t="inlineStr">
        <is>
          <t>RAGUNDA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13322-2024</t>
        </is>
      </c>
      <c r="B1484" s="1" t="n">
        <v>45386</v>
      </c>
      <c r="C1484" s="1" t="n">
        <v>45753</v>
      </c>
      <c r="D1484" t="inlineStr">
        <is>
          <t>JÄMTLANDS LÄN</t>
        </is>
      </c>
      <c r="E1484" t="inlineStr">
        <is>
          <t>RAGUNDA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13334-2024</t>
        </is>
      </c>
      <c r="B1485" s="1" t="n">
        <v>45386</v>
      </c>
      <c r="C1485" s="1" t="n">
        <v>45753</v>
      </c>
      <c r="D1485" t="inlineStr">
        <is>
          <t>JÄMTLANDS LÄN</t>
        </is>
      </c>
      <c r="E1485" t="inlineStr">
        <is>
          <t>RAGUNDA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13547-2024</t>
        </is>
      </c>
      <c r="B1486" s="1" t="n">
        <v>45388</v>
      </c>
      <c r="C1486" s="1" t="n">
        <v>45753</v>
      </c>
      <c r="D1486" t="inlineStr">
        <is>
          <t>JÄMTLANDS LÄN</t>
        </is>
      </c>
      <c r="E1486" t="inlineStr">
        <is>
          <t>RAGUNDA</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13628-2024</t>
        </is>
      </c>
      <c r="B1487" s="1" t="n">
        <v>45387</v>
      </c>
      <c r="C1487" s="1" t="n">
        <v>45753</v>
      </c>
      <c r="D1487" t="inlineStr">
        <is>
          <t>JÄMTLANDS LÄN</t>
        </is>
      </c>
      <c r="E1487" t="inlineStr">
        <is>
          <t>RAGUNDA</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13767-2024</t>
        </is>
      </c>
      <c r="B1488" s="1" t="n">
        <v>45390</v>
      </c>
      <c r="C1488" s="1" t="n">
        <v>45753</v>
      </c>
      <c r="D1488" t="inlineStr">
        <is>
          <t>JÄMTLANDS LÄN</t>
        </is>
      </c>
      <c r="E1488" t="inlineStr">
        <is>
          <t>RAGUNDA</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13935-2024</t>
        </is>
      </c>
      <c r="B1489" s="1" t="n">
        <v>45392</v>
      </c>
      <c r="C1489" s="1" t="n">
        <v>45753</v>
      </c>
      <c r="D1489" t="inlineStr">
        <is>
          <t>JÄMTLANDS LÄN</t>
        </is>
      </c>
      <c r="E1489" t="inlineStr">
        <is>
          <t>RAGUNDA</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14156-2024</t>
        </is>
      </c>
      <c r="B1490" s="1" t="n">
        <v>45392</v>
      </c>
      <c r="C1490" s="1" t="n">
        <v>45753</v>
      </c>
      <c r="D1490" t="inlineStr">
        <is>
          <t>JÄMTLANDS LÄN</t>
        </is>
      </c>
      <c r="E1490" t="inlineStr">
        <is>
          <t>RAGUNDA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14016-2024</t>
        </is>
      </c>
      <c r="B1491" s="1" t="n">
        <v>45392</v>
      </c>
      <c r="C1491" s="1" t="n">
        <v>45753</v>
      </c>
      <c r="D1491" t="inlineStr">
        <is>
          <t>JÄMTLANDS LÄN</t>
        </is>
      </c>
      <c r="E1491" t="inlineStr">
        <is>
          <t>RAGUNDA</t>
        </is>
      </c>
      <c r="F1491" t="inlineStr">
        <is>
          <t>Kyrkan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14151-2024</t>
        </is>
      </c>
      <c r="B1492" s="1" t="n">
        <v>45393</v>
      </c>
      <c r="C1492" s="1" t="n">
        <v>45753</v>
      </c>
      <c r="D1492" t="inlineStr">
        <is>
          <t>JÄMTLANDS LÄN</t>
        </is>
      </c>
      <c r="E1492" t="inlineStr">
        <is>
          <t>RAGUNDA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14158-2024</t>
        </is>
      </c>
      <c r="B1493" s="1" t="n">
        <v>45392</v>
      </c>
      <c r="C1493" s="1" t="n">
        <v>45753</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14157-2024</t>
        </is>
      </c>
      <c r="B1494" s="1" t="n">
        <v>45393</v>
      </c>
      <c r="C1494" s="1" t="n">
        <v>45753</v>
      </c>
      <c r="D1494" t="inlineStr">
        <is>
          <t>JÄMTLANDS LÄN</t>
        </is>
      </c>
      <c r="E1494" t="inlineStr">
        <is>
          <t>RAGUNDA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14368-2024</t>
        </is>
      </c>
      <c r="B1495" s="1" t="n">
        <v>45394</v>
      </c>
      <c r="C1495" s="1" t="n">
        <v>45753</v>
      </c>
      <c r="D1495" t="inlineStr">
        <is>
          <t>JÄMTLANDS LÄN</t>
        </is>
      </c>
      <c r="E1495" t="inlineStr">
        <is>
          <t>RAGUNDA</t>
        </is>
      </c>
      <c r="F1495" t="inlineStr">
        <is>
          <t>Naturvårdsverket</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14369-2024</t>
        </is>
      </c>
      <c r="B1496" s="1" t="n">
        <v>45394</v>
      </c>
      <c r="C1496" s="1" t="n">
        <v>45753</v>
      </c>
      <c r="D1496" t="inlineStr">
        <is>
          <t>JÄMTLANDS LÄN</t>
        </is>
      </c>
      <c r="E1496" t="inlineStr">
        <is>
          <t>RAGUNDA</t>
        </is>
      </c>
      <c r="F1496" t="inlineStr">
        <is>
          <t>Naturvårdsverket</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14566-2024</t>
        </is>
      </c>
      <c r="B1497" s="1" t="n">
        <v>45395</v>
      </c>
      <c r="C1497" s="1" t="n">
        <v>45753</v>
      </c>
      <c r="D1497" t="inlineStr">
        <is>
          <t>JÄMTLANDS LÄN</t>
        </is>
      </c>
      <c r="E1497" t="inlineStr">
        <is>
          <t>RAGUNDA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14540-2024</t>
        </is>
      </c>
      <c r="B1498" s="1" t="n">
        <v>45394</v>
      </c>
      <c r="C1498" s="1" t="n">
        <v>45753</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14813-2024</t>
        </is>
      </c>
      <c r="B1499" s="1" t="n">
        <v>45398</v>
      </c>
      <c r="C1499" s="1" t="n">
        <v>45753</v>
      </c>
      <c r="D1499" t="inlineStr">
        <is>
          <t>JÄMTLANDS LÄN</t>
        </is>
      </c>
      <c r="E1499" t="inlineStr">
        <is>
          <t>RAGUNDA</t>
        </is>
      </c>
      <c r="F1499" t="inlineStr">
        <is>
          <t>SCA</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15583-2024</t>
        </is>
      </c>
      <c r="B1500" s="1" t="n">
        <v>45401</v>
      </c>
      <c r="C1500" s="1" t="n">
        <v>45753</v>
      </c>
      <c r="D1500" t="inlineStr">
        <is>
          <t>JÄMTLANDS LÄN</t>
        </is>
      </c>
      <c r="E1500" t="inlineStr">
        <is>
          <t>RAGUNDA</t>
        </is>
      </c>
      <c r="F1500" t="inlineStr">
        <is>
          <t>Kommuner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15611-2024</t>
        </is>
      </c>
      <c r="B1501" s="1" t="n">
        <v>45401</v>
      </c>
      <c r="C1501" s="1" t="n">
        <v>45753</v>
      </c>
      <c r="D1501" t="inlineStr">
        <is>
          <t>JÄMTLANDS LÄN</t>
        </is>
      </c>
      <c r="E1501" t="inlineStr">
        <is>
          <t>RAGUNDA</t>
        </is>
      </c>
      <c r="F1501" t="inlineStr">
        <is>
          <t>SCA</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15581-2024</t>
        </is>
      </c>
      <c r="B1502" s="1" t="n">
        <v>45401</v>
      </c>
      <c r="C1502" s="1" t="n">
        <v>45753</v>
      </c>
      <c r="D1502" t="inlineStr">
        <is>
          <t>JÄMTLANDS LÄN</t>
        </is>
      </c>
      <c r="E1502" t="inlineStr">
        <is>
          <t>RAGUNDA</t>
        </is>
      </c>
      <c r="F1502" t="inlineStr">
        <is>
          <t>Kommuner</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15585-2024</t>
        </is>
      </c>
      <c r="B1503" s="1" t="n">
        <v>45401</v>
      </c>
      <c r="C1503" s="1" t="n">
        <v>45753</v>
      </c>
      <c r="D1503" t="inlineStr">
        <is>
          <t>JÄMTLANDS LÄN</t>
        </is>
      </c>
      <c r="E1503" t="inlineStr">
        <is>
          <t>RAGUNDA</t>
        </is>
      </c>
      <c r="F1503" t="inlineStr">
        <is>
          <t>Kommuner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15864-2024</t>
        </is>
      </c>
      <c r="B1504" s="1" t="n">
        <v>45405</v>
      </c>
      <c r="C1504" s="1" t="n">
        <v>45753</v>
      </c>
      <c r="D1504" t="inlineStr">
        <is>
          <t>JÄMTLANDS LÄN</t>
        </is>
      </c>
      <c r="E1504" t="inlineStr">
        <is>
          <t>RAGUNDA</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15842-2024</t>
        </is>
      </c>
      <c r="B1505" s="1" t="n">
        <v>45405</v>
      </c>
      <c r="C1505" s="1" t="n">
        <v>45753</v>
      </c>
      <c r="D1505" t="inlineStr">
        <is>
          <t>JÄMTLANDS LÄN</t>
        </is>
      </c>
      <c r="E1505" t="inlineStr">
        <is>
          <t>RAGUNDA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16698-2024</t>
        </is>
      </c>
      <c r="B1506" s="1" t="n">
        <v>45409</v>
      </c>
      <c r="C1506" s="1" t="n">
        <v>45753</v>
      </c>
      <c r="D1506" t="inlineStr">
        <is>
          <t>JÄMTLANDS LÄN</t>
        </is>
      </c>
      <c r="E1506" t="inlineStr">
        <is>
          <t>RAGUNDA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16982-2024</t>
        </is>
      </c>
      <c r="B1507" s="1" t="n">
        <v>45412</v>
      </c>
      <c r="C1507" s="1" t="n">
        <v>45753</v>
      </c>
      <c r="D1507" t="inlineStr">
        <is>
          <t>JÄMTLANDS LÄN</t>
        </is>
      </c>
      <c r="E1507" t="inlineStr">
        <is>
          <t>RAGUNDA</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17208-2024</t>
        </is>
      </c>
      <c r="B1508" s="1" t="n">
        <v>45414</v>
      </c>
      <c r="C1508" s="1" t="n">
        <v>45753</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17443-2024</t>
        </is>
      </c>
      <c r="B1509" s="1" t="n">
        <v>45415</v>
      </c>
      <c r="C1509" s="1" t="n">
        <v>45753</v>
      </c>
      <c r="D1509" t="inlineStr">
        <is>
          <t>JÄMTLANDS LÄN</t>
        </is>
      </c>
      <c r="E1509" t="inlineStr">
        <is>
          <t>RAGUNDA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17521-2024</t>
        </is>
      </c>
      <c r="B1510" s="1" t="n">
        <v>45415</v>
      </c>
      <c r="C1510" s="1" t="n">
        <v>45753</v>
      </c>
      <c r="D1510" t="inlineStr">
        <is>
          <t>JÄMTLANDS LÄN</t>
        </is>
      </c>
      <c r="E1510" t="inlineStr">
        <is>
          <t>RAGUNDA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17595-2024</t>
        </is>
      </c>
      <c r="B1511" s="1" t="n">
        <v>45416</v>
      </c>
      <c r="C1511" s="1" t="n">
        <v>45753</v>
      </c>
      <c r="D1511" t="inlineStr">
        <is>
          <t>JÄMTLANDS LÄN</t>
        </is>
      </c>
      <c r="E1511" t="inlineStr">
        <is>
          <t>RAGUNDA</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18225-2024</t>
        </is>
      </c>
      <c r="B1512" s="1" t="n">
        <v>45420</v>
      </c>
      <c r="C1512" s="1" t="n">
        <v>45753</v>
      </c>
      <c r="D1512" t="inlineStr">
        <is>
          <t>JÄMTLANDS LÄN</t>
        </is>
      </c>
      <c r="E1512" t="inlineStr">
        <is>
          <t>RAGUNDA</t>
        </is>
      </c>
      <c r="F1512" t="inlineStr">
        <is>
          <t>SCA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18615-2024</t>
        </is>
      </c>
      <c r="B1513" s="1" t="n">
        <v>45426</v>
      </c>
      <c r="C1513" s="1" t="n">
        <v>45753</v>
      </c>
      <c r="D1513" t="inlineStr">
        <is>
          <t>JÄMTLANDS LÄN</t>
        </is>
      </c>
      <c r="E1513" t="inlineStr">
        <is>
          <t>RAGUNDA</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18631-2024</t>
        </is>
      </c>
      <c r="B1514" s="1" t="n">
        <v>45426</v>
      </c>
      <c r="C1514" s="1" t="n">
        <v>45753</v>
      </c>
      <c r="D1514" t="inlineStr">
        <is>
          <t>JÄMTLANDS LÄN</t>
        </is>
      </c>
      <c r="E1514" t="inlineStr">
        <is>
          <t>RAGUNDA</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18635-2024</t>
        </is>
      </c>
      <c r="B1515" s="1" t="n">
        <v>45426</v>
      </c>
      <c r="C1515" s="1" t="n">
        <v>45753</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18612-2024</t>
        </is>
      </c>
      <c r="B1516" s="1" t="n">
        <v>45426</v>
      </c>
      <c r="C1516" s="1" t="n">
        <v>45753</v>
      </c>
      <c r="D1516" t="inlineStr">
        <is>
          <t>JÄMTLANDS LÄN</t>
        </is>
      </c>
      <c r="E1516" t="inlineStr">
        <is>
          <t>RAGUNDA</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18636-2024</t>
        </is>
      </c>
      <c r="B1517" s="1" t="n">
        <v>45426</v>
      </c>
      <c r="C1517" s="1" t="n">
        <v>45753</v>
      </c>
      <c r="D1517" t="inlineStr">
        <is>
          <t>JÄMTLANDS LÄN</t>
        </is>
      </c>
      <c r="E1517" t="inlineStr">
        <is>
          <t>RAGUNDA</t>
        </is>
      </c>
      <c r="F1517" t="inlineStr">
        <is>
          <t>SCA</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18610-2024</t>
        </is>
      </c>
      <c r="B1518" s="1" t="n">
        <v>45426</v>
      </c>
      <c r="C1518" s="1" t="n">
        <v>45753</v>
      </c>
      <c r="D1518" t="inlineStr">
        <is>
          <t>JÄMTLANDS LÄN</t>
        </is>
      </c>
      <c r="E1518" t="inlineStr">
        <is>
          <t>RAGUNDA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18614-2024</t>
        </is>
      </c>
      <c r="B1519" s="1" t="n">
        <v>45426</v>
      </c>
      <c r="C1519" s="1" t="n">
        <v>45753</v>
      </c>
      <c r="D1519" t="inlineStr">
        <is>
          <t>JÄMTLANDS LÄN</t>
        </is>
      </c>
      <c r="E1519" t="inlineStr">
        <is>
          <t>RAGUNDA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18782-2024</t>
        </is>
      </c>
      <c r="B1520" s="1" t="n">
        <v>45426</v>
      </c>
      <c r="C1520" s="1" t="n">
        <v>45753</v>
      </c>
      <c r="D1520" t="inlineStr">
        <is>
          <t>JÄMTLANDS LÄN</t>
        </is>
      </c>
      <c r="E1520" t="inlineStr">
        <is>
          <t>RAGUNDA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18777-2024</t>
        </is>
      </c>
      <c r="B1521" s="1" t="n">
        <v>45426</v>
      </c>
      <c r="C1521" s="1" t="n">
        <v>45753</v>
      </c>
      <c r="D1521" t="inlineStr">
        <is>
          <t>JÄMTLANDS LÄN</t>
        </is>
      </c>
      <c r="E1521" t="inlineStr">
        <is>
          <t>RAGUNDA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18781-2024</t>
        </is>
      </c>
      <c r="B1522" s="1" t="n">
        <v>45426</v>
      </c>
      <c r="C1522" s="1" t="n">
        <v>45753</v>
      </c>
      <c r="D1522" t="inlineStr">
        <is>
          <t>JÄMTLANDS LÄN</t>
        </is>
      </c>
      <c r="E1522" t="inlineStr">
        <is>
          <t>RAGUNDA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18778-2024</t>
        </is>
      </c>
      <c r="B1523" s="1" t="n">
        <v>45426</v>
      </c>
      <c r="C1523" s="1" t="n">
        <v>45753</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19089-2024</t>
        </is>
      </c>
      <c r="B1524" s="1" t="n">
        <v>45428</v>
      </c>
      <c r="C1524" s="1" t="n">
        <v>45753</v>
      </c>
      <c r="D1524" t="inlineStr">
        <is>
          <t>JÄMTLANDS LÄN</t>
        </is>
      </c>
      <c r="E1524" t="inlineStr">
        <is>
          <t>RAGUNDA</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19329-2024</t>
        </is>
      </c>
      <c r="B1525" s="1" t="n">
        <v>45429</v>
      </c>
      <c r="C1525" s="1" t="n">
        <v>45753</v>
      </c>
      <c r="D1525" t="inlineStr">
        <is>
          <t>JÄMTLANDS LÄN</t>
        </is>
      </c>
      <c r="E1525" t="inlineStr">
        <is>
          <t>RAGUNDA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19335-2024</t>
        </is>
      </c>
      <c r="B1526" s="1" t="n">
        <v>45429</v>
      </c>
      <c r="C1526" s="1" t="n">
        <v>45753</v>
      </c>
      <c r="D1526" t="inlineStr">
        <is>
          <t>JÄMTLANDS LÄN</t>
        </is>
      </c>
      <c r="E1526" t="inlineStr">
        <is>
          <t>RAGUNDA</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19419-2024</t>
        </is>
      </c>
      <c r="B1527" s="1" t="n">
        <v>45429</v>
      </c>
      <c r="C1527" s="1" t="n">
        <v>45753</v>
      </c>
      <c r="D1527" t="inlineStr">
        <is>
          <t>JÄMTLANDS LÄN</t>
        </is>
      </c>
      <c r="E1527" t="inlineStr">
        <is>
          <t>RAGUNDA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19486-2024</t>
        </is>
      </c>
      <c r="B1528" s="1" t="n">
        <v>45429</v>
      </c>
      <c r="C1528" s="1" t="n">
        <v>45753</v>
      </c>
      <c r="D1528" t="inlineStr">
        <is>
          <t>JÄMTLANDS LÄN</t>
        </is>
      </c>
      <c r="E1528" t="inlineStr">
        <is>
          <t>RAGUNDA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19850-2024</t>
        </is>
      </c>
      <c r="B1529" s="1" t="n">
        <v>45433</v>
      </c>
      <c r="C1529" s="1" t="n">
        <v>45753</v>
      </c>
      <c r="D1529" t="inlineStr">
        <is>
          <t>JÄMTLANDS LÄN</t>
        </is>
      </c>
      <c r="E1529" t="inlineStr">
        <is>
          <t>RAGUNDA</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19897-2024</t>
        </is>
      </c>
      <c r="B1530" s="1" t="n">
        <v>45433</v>
      </c>
      <c r="C1530" s="1" t="n">
        <v>45753</v>
      </c>
      <c r="D1530" t="inlineStr">
        <is>
          <t>JÄMTLANDS LÄN</t>
        </is>
      </c>
      <c r="E1530" t="inlineStr">
        <is>
          <t>RAGUNDA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19997-2024</t>
        </is>
      </c>
      <c r="B1531" s="1" t="n">
        <v>45434</v>
      </c>
      <c r="C1531" s="1" t="n">
        <v>45753</v>
      </c>
      <c r="D1531" t="inlineStr">
        <is>
          <t>JÄMTLANDS LÄN</t>
        </is>
      </c>
      <c r="E1531" t="inlineStr">
        <is>
          <t>RAGUNDA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20426-2024</t>
        </is>
      </c>
      <c r="B1532" s="1" t="n">
        <v>45435</v>
      </c>
      <c r="C1532" s="1" t="n">
        <v>45753</v>
      </c>
      <c r="D1532" t="inlineStr">
        <is>
          <t>JÄMTLANDS LÄN</t>
        </is>
      </c>
      <c r="E1532" t="inlineStr">
        <is>
          <t>RAGUNDA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20363-2024</t>
        </is>
      </c>
      <c r="B1533" s="1" t="n">
        <v>45435</v>
      </c>
      <c r="C1533" s="1" t="n">
        <v>45753</v>
      </c>
      <c r="D1533" t="inlineStr">
        <is>
          <t>JÄMTLANDS LÄN</t>
        </is>
      </c>
      <c r="E1533" t="inlineStr">
        <is>
          <t>RAGUNDA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20770-2024</t>
        </is>
      </c>
      <c r="B1534" s="1" t="n">
        <v>45437</v>
      </c>
      <c r="C1534" s="1" t="n">
        <v>45753</v>
      </c>
      <c r="D1534" t="inlineStr">
        <is>
          <t>JÄMTLANDS LÄN</t>
        </is>
      </c>
      <c r="E1534" t="inlineStr">
        <is>
          <t>RAGUNDA</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20773-2024</t>
        </is>
      </c>
      <c r="B1535" s="1" t="n">
        <v>45437</v>
      </c>
      <c r="C1535" s="1" t="n">
        <v>45753</v>
      </c>
      <c r="D1535" t="inlineStr">
        <is>
          <t>JÄMTLANDS LÄN</t>
        </is>
      </c>
      <c r="E1535" t="inlineStr">
        <is>
          <t>RAGUNDA</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20772-2024</t>
        </is>
      </c>
      <c r="B1536" s="1" t="n">
        <v>45437</v>
      </c>
      <c r="C1536" s="1" t="n">
        <v>45753</v>
      </c>
      <c r="D1536" t="inlineStr">
        <is>
          <t>JÄMTLANDS LÄN</t>
        </is>
      </c>
      <c r="E1536" t="inlineStr">
        <is>
          <t>RAGUNDA</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21082-2024</t>
        </is>
      </c>
      <c r="B1537" s="1" t="n">
        <v>45440</v>
      </c>
      <c r="C1537" s="1" t="n">
        <v>45753</v>
      </c>
      <c r="D1537" t="inlineStr">
        <is>
          <t>JÄMTLANDS LÄN</t>
        </is>
      </c>
      <c r="E1537" t="inlineStr">
        <is>
          <t>RAGUNDA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21083-2024</t>
        </is>
      </c>
      <c r="B1538" s="1" t="n">
        <v>45440</v>
      </c>
      <c r="C1538" s="1" t="n">
        <v>45753</v>
      </c>
      <c r="D1538" t="inlineStr">
        <is>
          <t>JÄMTLANDS LÄN</t>
        </is>
      </c>
      <c r="E1538" t="inlineStr">
        <is>
          <t>RAGUNDA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21105-2024</t>
        </is>
      </c>
      <c r="B1539" s="1" t="n">
        <v>45440</v>
      </c>
      <c r="C1539" s="1" t="n">
        <v>45753</v>
      </c>
      <c r="D1539" t="inlineStr">
        <is>
          <t>JÄMTLANDS LÄN</t>
        </is>
      </c>
      <c r="E1539" t="inlineStr">
        <is>
          <t>RAGUNDA</t>
        </is>
      </c>
      <c r="F1539" t="inlineStr">
        <is>
          <t>SCA</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21401-2024</t>
        </is>
      </c>
      <c r="B1540" s="1" t="n">
        <v>45441</v>
      </c>
      <c r="C1540" s="1" t="n">
        <v>45753</v>
      </c>
      <c r="D1540" t="inlineStr">
        <is>
          <t>JÄMTLANDS LÄN</t>
        </is>
      </c>
      <c r="E1540" t="inlineStr">
        <is>
          <t>RAGUNDA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21524-2024</t>
        </is>
      </c>
      <c r="B1541" s="1" t="n">
        <v>45441</v>
      </c>
      <c r="C1541" s="1" t="n">
        <v>45753</v>
      </c>
      <c r="D1541" t="inlineStr">
        <is>
          <t>JÄMTLANDS LÄN</t>
        </is>
      </c>
      <c r="E1541" t="inlineStr">
        <is>
          <t>RAGUNDA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21853-2024</t>
        </is>
      </c>
      <c r="B1542" s="1" t="n">
        <v>45443</v>
      </c>
      <c r="C1542" s="1" t="n">
        <v>45753</v>
      </c>
      <c r="D1542" t="inlineStr">
        <is>
          <t>JÄMTLANDS LÄN</t>
        </is>
      </c>
      <c r="E1542" t="inlineStr">
        <is>
          <t>RAGUNDA</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22412-2024</t>
        </is>
      </c>
      <c r="B1543" s="1" t="n">
        <v>45446</v>
      </c>
      <c r="C1543" s="1" t="n">
        <v>45753</v>
      </c>
      <c r="D1543" t="inlineStr">
        <is>
          <t>JÄMTLANDS LÄN</t>
        </is>
      </c>
      <c r="E1543" t="inlineStr">
        <is>
          <t>RAGUNDA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22482-2024</t>
        </is>
      </c>
      <c r="B1544" s="1" t="n">
        <v>45447</v>
      </c>
      <c r="C1544" s="1" t="n">
        <v>45753</v>
      </c>
      <c r="D1544" t="inlineStr">
        <is>
          <t>JÄMTLANDS LÄN</t>
        </is>
      </c>
      <c r="E1544" t="inlineStr">
        <is>
          <t>RAGUNDA</t>
        </is>
      </c>
      <c r="F1544" t="inlineStr">
        <is>
          <t>SCA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22311-2024</t>
        </is>
      </c>
      <c r="B1545" s="1" t="n">
        <v>45446</v>
      </c>
      <c r="C1545" s="1" t="n">
        <v>45753</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22948-2024</t>
        </is>
      </c>
      <c r="B1546" s="1" t="n">
        <v>45449</v>
      </c>
      <c r="C1546" s="1" t="n">
        <v>45753</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22941-2024</t>
        </is>
      </c>
      <c r="B1547" s="1" t="n">
        <v>45449</v>
      </c>
      <c r="C1547" s="1" t="n">
        <v>45753</v>
      </c>
      <c r="D1547" t="inlineStr">
        <is>
          <t>JÄMTLANDS LÄN</t>
        </is>
      </c>
      <c r="E1547" t="inlineStr">
        <is>
          <t>RAGUNDA</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22951-2024</t>
        </is>
      </c>
      <c r="B1548" s="1" t="n">
        <v>45449</v>
      </c>
      <c r="C1548" s="1" t="n">
        <v>45753</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23223-2024</t>
        </is>
      </c>
      <c r="B1549" s="1" t="n">
        <v>45453</v>
      </c>
      <c r="C1549" s="1" t="n">
        <v>45753</v>
      </c>
      <c r="D1549" t="inlineStr">
        <is>
          <t>JÄMTLANDS LÄN</t>
        </is>
      </c>
      <c r="E1549" t="inlineStr">
        <is>
          <t>RAGUNDA</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23287-2024</t>
        </is>
      </c>
      <c r="B1550" s="1" t="n">
        <v>45453</v>
      </c>
      <c r="C1550" s="1" t="n">
        <v>45753</v>
      </c>
      <c r="D1550" t="inlineStr">
        <is>
          <t>JÄMTLANDS LÄN</t>
        </is>
      </c>
      <c r="E1550" t="inlineStr">
        <is>
          <t>RAGUNDA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23303-2024</t>
        </is>
      </c>
      <c r="B1551" s="1" t="n">
        <v>45453</v>
      </c>
      <c r="C1551" s="1" t="n">
        <v>45753</v>
      </c>
      <c r="D1551" t="inlineStr">
        <is>
          <t>JÄMTLANDS LÄN</t>
        </is>
      </c>
      <c r="E1551" t="inlineStr">
        <is>
          <t>RAGUNDA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23312-2024</t>
        </is>
      </c>
      <c r="B1552" s="1" t="n">
        <v>45453</v>
      </c>
      <c r="C1552" s="1" t="n">
        <v>45753</v>
      </c>
      <c r="D1552" t="inlineStr">
        <is>
          <t>JÄMTLANDS LÄN</t>
        </is>
      </c>
      <c r="E1552" t="inlineStr">
        <is>
          <t>RAGUNDA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23528-2024</t>
        </is>
      </c>
      <c r="B1553" s="1" t="n">
        <v>45454</v>
      </c>
      <c r="C1553" s="1" t="n">
        <v>45753</v>
      </c>
      <c r="D1553" t="inlineStr">
        <is>
          <t>JÄMTLANDS LÄN</t>
        </is>
      </c>
      <c r="E1553" t="inlineStr">
        <is>
          <t>RAGUNDA</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23535-2024</t>
        </is>
      </c>
      <c r="B1554" s="1" t="n">
        <v>45454</v>
      </c>
      <c r="C1554" s="1" t="n">
        <v>45753</v>
      </c>
      <c r="D1554" t="inlineStr">
        <is>
          <t>JÄMTLANDS LÄN</t>
        </is>
      </c>
      <c r="E1554" t="inlineStr">
        <is>
          <t>RAGUNDA</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23567-2024</t>
        </is>
      </c>
      <c r="B1555" s="1" t="n">
        <v>45454</v>
      </c>
      <c r="C1555" s="1" t="n">
        <v>45753</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23727-2024</t>
        </is>
      </c>
      <c r="B1556" s="1" t="n">
        <v>45455</v>
      </c>
      <c r="C1556" s="1" t="n">
        <v>45753</v>
      </c>
      <c r="D1556" t="inlineStr">
        <is>
          <t>JÄMTLANDS LÄN</t>
        </is>
      </c>
      <c r="E1556" t="inlineStr">
        <is>
          <t>RAGUNDA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23734-2024</t>
        </is>
      </c>
      <c r="B1557" s="1" t="n">
        <v>45455</v>
      </c>
      <c r="C1557" s="1" t="n">
        <v>45753</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23726-2024</t>
        </is>
      </c>
      <c r="B1558" s="1" t="n">
        <v>45455</v>
      </c>
      <c r="C1558" s="1" t="n">
        <v>45753</v>
      </c>
      <c r="D1558" t="inlineStr">
        <is>
          <t>JÄMTLANDS LÄN</t>
        </is>
      </c>
      <c r="E1558" t="inlineStr">
        <is>
          <t>RAGUNDA</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24207-2024</t>
        </is>
      </c>
      <c r="B1559" s="1" t="n">
        <v>45457</v>
      </c>
      <c r="C1559" s="1" t="n">
        <v>45753</v>
      </c>
      <c r="D1559" t="inlineStr">
        <is>
          <t>JÄMTLANDS LÄN</t>
        </is>
      </c>
      <c r="E1559" t="inlineStr">
        <is>
          <t>RAGUNDA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24197-2024</t>
        </is>
      </c>
      <c r="B1560" s="1" t="n">
        <v>45457</v>
      </c>
      <c r="C1560" s="1" t="n">
        <v>45753</v>
      </c>
      <c r="D1560" t="inlineStr">
        <is>
          <t>JÄMTLANDS LÄN</t>
        </is>
      </c>
      <c r="E1560" t="inlineStr">
        <is>
          <t>RAGUNDA</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24196-2024</t>
        </is>
      </c>
      <c r="B1561" s="1" t="n">
        <v>45457</v>
      </c>
      <c r="C1561" s="1" t="n">
        <v>45753</v>
      </c>
      <c r="D1561" t="inlineStr">
        <is>
          <t>JÄMTLANDS LÄN</t>
        </is>
      </c>
      <c r="E1561" t="inlineStr">
        <is>
          <t>RAGUNDA</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24224-2024</t>
        </is>
      </c>
      <c r="B1562" s="1" t="n">
        <v>45457</v>
      </c>
      <c r="C1562" s="1" t="n">
        <v>45753</v>
      </c>
      <c r="D1562" t="inlineStr">
        <is>
          <t>JÄMTLANDS LÄN</t>
        </is>
      </c>
      <c r="E1562" t="inlineStr">
        <is>
          <t>RAGUNDA</t>
        </is>
      </c>
      <c r="G1562" t="n">
        <v>31.5</v>
      </c>
      <c r="H1562" t="n">
        <v>0</v>
      </c>
      <c r="I1562" t="n">
        <v>0</v>
      </c>
      <c r="J1562" t="n">
        <v>0</v>
      </c>
      <c r="K1562" t="n">
        <v>0</v>
      </c>
      <c r="L1562" t="n">
        <v>0</v>
      </c>
      <c r="M1562" t="n">
        <v>0</v>
      </c>
      <c r="N1562" t="n">
        <v>0</v>
      </c>
      <c r="O1562" t="n">
        <v>0</v>
      </c>
      <c r="P1562" t="n">
        <v>0</v>
      </c>
      <c r="Q1562" t="n">
        <v>0</v>
      </c>
      <c r="R1562" s="2" t="inlineStr"/>
    </row>
    <row r="1563" ht="15" customHeight="1">
      <c r="A1563" t="inlineStr">
        <is>
          <t>A 24441-2024</t>
        </is>
      </c>
      <c r="B1563" s="1" t="n">
        <v>45458</v>
      </c>
      <c r="C1563" s="1" t="n">
        <v>45753</v>
      </c>
      <c r="D1563" t="inlineStr">
        <is>
          <t>JÄMTLANDS LÄN</t>
        </is>
      </c>
      <c r="E1563" t="inlineStr">
        <is>
          <t>RAGUNDA</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25366-2024</t>
        </is>
      </c>
      <c r="B1564" s="1" t="n">
        <v>45463</v>
      </c>
      <c r="C1564" s="1" t="n">
        <v>45753</v>
      </c>
      <c r="D1564" t="inlineStr">
        <is>
          <t>JÄMTLANDS LÄN</t>
        </is>
      </c>
      <c r="E1564" t="inlineStr">
        <is>
          <t>RAGUNDA</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25193-2024</t>
        </is>
      </c>
      <c r="B1565" s="1" t="n">
        <v>45462</v>
      </c>
      <c r="C1565" s="1" t="n">
        <v>45753</v>
      </c>
      <c r="D1565" t="inlineStr">
        <is>
          <t>JÄMTLANDS LÄN</t>
        </is>
      </c>
      <c r="E1565" t="inlineStr">
        <is>
          <t>RAGUNDA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25353-2024</t>
        </is>
      </c>
      <c r="B1566" s="1" t="n">
        <v>45463</v>
      </c>
      <c r="C1566" s="1" t="n">
        <v>45753</v>
      </c>
      <c r="D1566" t="inlineStr">
        <is>
          <t>JÄMTLANDS LÄN</t>
        </is>
      </c>
      <c r="E1566" t="inlineStr">
        <is>
          <t>RAGUNDA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25683-2024</t>
        </is>
      </c>
      <c r="B1567" s="1" t="n">
        <v>45464</v>
      </c>
      <c r="C1567" s="1" t="n">
        <v>45753</v>
      </c>
      <c r="D1567" t="inlineStr">
        <is>
          <t>JÄMTLANDS LÄN</t>
        </is>
      </c>
      <c r="E1567" t="inlineStr">
        <is>
          <t>RAGUNDA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25684-2024</t>
        </is>
      </c>
      <c r="B1568" s="1" t="n">
        <v>45464</v>
      </c>
      <c r="C1568" s="1" t="n">
        <v>45753</v>
      </c>
      <c r="D1568" t="inlineStr">
        <is>
          <t>JÄMTLANDS LÄN</t>
        </is>
      </c>
      <c r="E1568" t="inlineStr">
        <is>
          <t>RAGUNDA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25720-2024</t>
        </is>
      </c>
      <c r="B1569" s="1" t="n">
        <v>45464</v>
      </c>
      <c r="C1569" s="1" t="n">
        <v>45753</v>
      </c>
      <c r="D1569" t="inlineStr">
        <is>
          <t>JÄMTLANDS LÄN</t>
        </is>
      </c>
      <c r="E1569" t="inlineStr">
        <is>
          <t>RAGUNDA</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25685-2024</t>
        </is>
      </c>
      <c r="B1570" s="1" t="n">
        <v>45464</v>
      </c>
      <c r="C1570" s="1" t="n">
        <v>45753</v>
      </c>
      <c r="D1570" t="inlineStr">
        <is>
          <t>JÄMTLANDS LÄN</t>
        </is>
      </c>
      <c r="E1570" t="inlineStr">
        <is>
          <t>RAGUNDA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26026-2024</t>
        </is>
      </c>
      <c r="B1571" s="1" t="n">
        <v>45468</v>
      </c>
      <c r="C1571" s="1" t="n">
        <v>45753</v>
      </c>
      <c r="D1571" t="inlineStr">
        <is>
          <t>JÄMTLANDS LÄN</t>
        </is>
      </c>
      <c r="E1571" t="inlineStr">
        <is>
          <t>RAGUNDA</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26282-2024</t>
        </is>
      </c>
      <c r="B1572" s="1" t="n">
        <v>45468</v>
      </c>
      <c r="C1572" s="1" t="n">
        <v>45753</v>
      </c>
      <c r="D1572" t="inlineStr">
        <is>
          <t>JÄMTLANDS LÄN</t>
        </is>
      </c>
      <c r="E1572" t="inlineStr">
        <is>
          <t>RAGUNDA</t>
        </is>
      </c>
      <c r="F1572" t="inlineStr">
        <is>
          <t>Kommuner</t>
        </is>
      </c>
      <c r="G1572" t="n">
        <v>20</v>
      </c>
      <c r="H1572" t="n">
        <v>0</v>
      </c>
      <c r="I1572" t="n">
        <v>0</v>
      </c>
      <c r="J1572" t="n">
        <v>0</v>
      </c>
      <c r="K1572" t="n">
        <v>0</v>
      </c>
      <c r="L1572" t="n">
        <v>0</v>
      </c>
      <c r="M1572" t="n">
        <v>0</v>
      </c>
      <c r="N1572" t="n">
        <v>0</v>
      </c>
      <c r="O1572" t="n">
        <v>0</v>
      </c>
      <c r="P1572" t="n">
        <v>0</v>
      </c>
      <c r="Q1572" t="n">
        <v>0</v>
      </c>
      <c r="R1572" s="2" t="inlineStr"/>
    </row>
    <row r="1573" ht="15" customHeight="1">
      <c r="A1573" t="inlineStr">
        <is>
          <t>A 26300-2024</t>
        </is>
      </c>
      <c r="B1573" s="1" t="n">
        <v>45469</v>
      </c>
      <c r="C1573" s="1" t="n">
        <v>45753</v>
      </c>
      <c r="D1573" t="inlineStr">
        <is>
          <t>JÄMTLANDS LÄN</t>
        </is>
      </c>
      <c r="E1573" t="inlineStr">
        <is>
          <t>RAGUNDA</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26651-2024</t>
        </is>
      </c>
      <c r="B1574" s="1" t="n">
        <v>45470</v>
      </c>
      <c r="C1574" s="1" t="n">
        <v>45753</v>
      </c>
      <c r="D1574" t="inlineStr">
        <is>
          <t>JÄMTLANDS LÄN</t>
        </is>
      </c>
      <c r="E1574" t="inlineStr">
        <is>
          <t>RAGUNDA</t>
        </is>
      </c>
      <c r="F1574" t="inlineStr">
        <is>
          <t>SCA</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26645-2024</t>
        </is>
      </c>
      <c r="B1575" s="1" t="n">
        <v>45470</v>
      </c>
      <c r="C1575" s="1" t="n">
        <v>45753</v>
      </c>
      <c r="D1575" t="inlineStr">
        <is>
          <t>JÄMTLANDS LÄN</t>
        </is>
      </c>
      <c r="E1575" t="inlineStr">
        <is>
          <t>RAGUNDA</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26652-2024</t>
        </is>
      </c>
      <c r="B1576" s="1" t="n">
        <v>45470</v>
      </c>
      <c r="C1576" s="1" t="n">
        <v>45753</v>
      </c>
      <c r="D1576" t="inlineStr">
        <is>
          <t>JÄMTLANDS LÄN</t>
        </is>
      </c>
      <c r="E1576" t="inlineStr">
        <is>
          <t>RAGUNDA</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26768-2024</t>
        </is>
      </c>
      <c r="B1577" s="1" t="n">
        <v>45470</v>
      </c>
      <c r="C1577" s="1" t="n">
        <v>45753</v>
      </c>
      <c r="D1577" t="inlineStr">
        <is>
          <t>JÄMTLANDS LÄN</t>
        </is>
      </c>
      <c r="E1577" t="inlineStr">
        <is>
          <t>RAGUNDA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27307-2024</t>
        </is>
      </c>
      <c r="B1578" s="1" t="n">
        <v>45472</v>
      </c>
      <c r="C1578" s="1" t="n">
        <v>45753</v>
      </c>
      <c r="D1578" t="inlineStr">
        <is>
          <t>JÄMTLANDS LÄN</t>
        </is>
      </c>
      <c r="E1578" t="inlineStr">
        <is>
          <t>RAGUNDA</t>
        </is>
      </c>
      <c r="F1578" t="inlineStr">
        <is>
          <t>SCA</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27499-2024</t>
        </is>
      </c>
      <c r="B1579" s="1" t="n">
        <v>45474</v>
      </c>
      <c r="C1579" s="1" t="n">
        <v>45753</v>
      </c>
      <c r="D1579" t="inlineStr">
        <is>
          <t>JÄMTLANDS LÄN</t>
        </is>
      </c>
      <c r="E1579" t="inlineStr">
        <is>
          <t>RAGUNDA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27647-2024</t>
        </is>
      </c>
      <c r="B1580" s="1" t="n">
        <v>45475</v>
      </c>
      <c r="C1580" s="1" t="n">
        <v>45753</v>
      </c>
      <c r="D1580" t="inlineStr">
        <is>
          <t>JÄMTLANDS LÄN</t>
        </is>
      </c>
      <c r="E1580" t="inlineStr">
        <is>
          <t>RAGUNDA</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27632-2024</t>
        </is>
      </c>
      <c r="B1581" s="1" t="n">
        <v>45475</v>
      </c>
      <c r="C1581" s="1" t="n">
        <v>45753</v>
      </c>
      <c r="D1581" t="inlineStr">
        <is>
          <t>JÄMTLANDS LÄN</t>
        </is>
      </c>
      <c r="E1581" t="inlineStr">
        <is>
          <t>RAGUNDA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27934-2024</t>
        </is>
      </c>
      <c r="B1582" s="1" t="n">
        <v>45476</v>
      </c>
      <c r="C1582" s="1" t="n">
        <v>45753</v>
      </c>
      <c r="D1582" t="inlineStr">
        <is>
          <t>JÄMTLANDS LÄN</t>
        </is>
      </c>
      <c r="E1582" t="inlineStr">
        <is>
          <t>RAGUNDA</t>
        </is>
      </c>
      <c r="F1582" t="inlineStr">
        <is>
          <t>SCA</t>
        </is>
      </c>
      <c r="G1582" t="n">
        <v>16.8</v>
      </c>
      <c r="H1582" t="n">
        <v>0</v>
      </c>
      <c r="I1582" t="n">
        <v>0</v>
      </c>
      <c r="J1582" t="n">
        <v>0</v>
      </c>
      <c r="K1582" t="n">
        <v>0</v>
      </c>
      <c r="L1582" t="n">
        <v>0</v>
      </c>
      <c r="M1582" t="n">
        <v>0</v>
      </c>
      <c r="N1582" t="n">
        <v>0</v>
      </c>
      <c r="O1582" t="n">
        <v>0</v>
      </c>
      <c r="P1582" t="n">
        <v>0</v>
      </c>
      <c r="Q1582" t="n">
        <v>0</v>
      </c>
      <c r="R1582" s="2" t="inlineStr"/>
    </row>
    <row r="1583" ht="15" customHeight="1">
      <c r="A1583" t="inlineStr">
        <is>
          <t>A 27899-2024</t>
        </is>
      </c>
      <c r="B1583" s="1" t="n">
        <v>45476</v>
      </c>
      <c r="C1583" s="1" t="n">
        <v>45753</v>
      </c>
      <c r="D1583" t="inlineStr">
        <is>
          <t>JÄMTLANDS LÄN</t>
        </is>
      </c>
      <c r="E1583" t="inlineStr">
        <is>
          <t>RAGUNDA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28173-2024</t>
        </is>
      </c>
      <c r="B1584" s="1" t="n">
        <v>45477</v>
      </c>
      <c r="C1584" s="1" t="n">
        <v>45753</v>
      </c>
      <c r="D1584" t="inlineStr">
        <is>
          <t>JÄMTLANDS LÄN</t>
        </is>
      </c>
      <c r="E1584" t="inlineStr">
        <is>
          <t>RAGUNDA</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28500-2024</t>
        </is>
      </c>
      <c r="B1585" s="1" t="n">
        <v>45478</v>
      </c>
      <c r="C1585" s="1" t="n">
        <v>45753</v>
      </c>
      <c r="D1585" t="inlineStr">
        <is>
          <t>JÄMTLANDS LÄN</t>
        </is>
      </c>
      <c r="E1585" t="inlineStr">
        <is>
          <t>RAGUNDA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28292-2024</t>
        </is>
      </c>
      <c r="B1586" s="1" t="n">
        <v>45477</v>
      </c>
      <c r="C1586" s="1" t="n">
        <v>45753</v>
      </c>
      <c r="D1586" t="inlineStr">
        <is>
          <t>JÄMTLANDS LÄN</t>
        </is>
      </c>
      <c r="E1586" t="inlineStr">
        <is>
          <t>RAGUNDA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28639-2024</t>
        </is>
      </c>
      <c r="B1587" s="1" t="n">
        <v>45478</v>
      </c>
      <c r="C1587" s="1" t="n">
        <v>45753</v>
      </c>
      <c r="D1587" t="inlineStr">
        <is>
          <t>JÄMTLANDS LÄN</t>
        </is>
      </c>
      <c r="E1587" t="inlineStr">
        <is>
          <t>RAGUNDA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28829-2024</t>
        </is>
      </c>
      <c r="B1588" s="1" t="n">
        <v>45478</v>
      </c>
      <c r="C1588" s="1" t="n">
        <v>45753</v>
      </c>
      <c r="D1588" t="inlineStr">
        <is>
          <t>JÄMTLANDS LÄN</t>
        </is>
      </c>
      <c r="E1588" t="inlineStr">
        <is>
          <t>RAGUNDA</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28636-2024</t>
        </is>
      </c>
      <c r="B1589" s="1" t="n">
        <v>45478</v>
      </c>
      <c r="C1589" s="1" t="n">
        <v>45753</v>
      </c>
      <c r="D1589" t="inlineStr">
        <is>
          <t>JÄMTLANDS LÄN</t>
        </is>
      </c>
      <c r="E1589" t="inlineStr">
        <is>
          <t>RAGUNDA</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28641-2024</t>
        </is>
      </c>
      <c r="B1590" s="1" t="n">
        <v>45478</v>
      </c>
      <c r="C1590" s="1" t="n">
        <v>45753</v>
      </c>
      <c r="D1590" t="inlineStr">
        <is>
          <t>JÄMTLANDS LÄN</t>
        </is>
      </c>
      <c r="E1590" t="inlineStr">
        <is>
          <t>RAGUNDA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29257-2024</t>
        </is>
      </c>
      <c r="B1591" s="1" t="n">
        <v>45483</v>
      </c>
      <c r="C1591" s="1" t="n">
        <v>45753</v>
      </c>
      <c r="D1591" t="inlineStr">
        <is>
          <t>JÄMTLANDS LÄN</t>
        </is>
      </c>
      <c r="E1591" t="inlineStr">
        <is>
          <t>RAGUNDA</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29265-2024</t>
        </is>
      </c>
      <c r="B1592" s="1" t="n">
        <v>45483</v>
      </c>
      <c r="C1592" s="1" t="n">
        <v>45753</v>
      </c>
      <c r="D1592" t="inlineStr">
        <is>
          <t>JÄMTLANDS LÄN</t>
        </is>
      </c>
      <c r="E1592" t="inlineStr">
        <is>
          <t>RAGUNDA</t>
        </is>
      </c>
      <c r="F1592" t="inlineStr">
        <is>
          <t>SCA</t>
        </is>
      </c>
      <c r="G1592" t="n">
        <v>11.6</v>
      </c>
      <c r="H1592" t="n">
        <v>0</v>
      </c>
      <c r="I1592" t="n">
        <v>0</v>
      </c>
      <c r="J1592" t="n">
        <v>0</v>
      </c>
      <c r="K1592" t="n">
        <v>0</v>
      </c>
      <c r="L1592" t="n">
        <v>0</v>
      </c>
      <c r="M1592" t="n">
        <v>0</v>
      </c>
      <c r="N1592" t="n">
        <v>0</v>
      </c>
      <c r="O1592" t="n">
        <v>0</v>
      </c>
      <c r="P1592" t="n">
        <v>0</v>
      </c>
      <c r="Q1592" t="n">
        <v>0</v>
      </c>
      <c r="R1592" s="2" t="inlineStr"/>
    </row>
    <row r="1593" ht="15" customHeight="1">
      <c r="A1593" t="inlineStr">
        <is>
          <t>A 29263-2024</t>
        </is>
      </c>
      <c r="B1593" s="1" t="n">
        <v>45483</v>
      </c>
      <c r="C1593" s="1" t="n">
        <v>45753</v>
      </c>
      <c r="D1593" t="inlineStr">
        <is>
          <t>JÄMTLANDS LÄN</t>
        </is>
      </c>
      <c r="E1593" t="inlineStr">
        <is>
          <t>RAGUNDA</t>
        </is>
      </c>
      <c r="F1593" t="inlineStr">
        <is>
          <t>SCA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29261-2024</t>
        </is>
      </c>
      <c r="B1594" s="1" t="n">
        <v>45483</v>
      </c>
      <c r="C1594" s="1" t="n">
        <v>45753</v>
      </c>
      <c r="D1594" t="inlineStr">
        <is>
          <t>JÄMTLANDS LÄN</t>
        </is>
      </c>
      <c r="E1594" t="inlineStr">
        <is>
          <t>RAGUNDA</t>
        </is>
      </c>
      <c r="F1594" t="inlineStr">
        <is>
          <t>SCA</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29311-2024</t>
        </is>
      </c>
      <c r="B1595" s="1" t="n">
        <v>45483</v>
      </c>
      <c r="C1595" s="1" t="n">
        <v>45753</v>
      </c>
      <c r="D1595" t="inlineStr">
        <is>
          <t>JÄMTLANDS LÄN</t>
        </is>
      </c>
      <c r="E1595" t="inlineStr">
        <is>
          <t>RAGUNDA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29920-2024</t>
        </is>
      </c>
      <c r="B1596" s="1" t="n">
        <v>45488</v>
      </c>
      <c r="C1596" s="1" t="n">
        <v>45753</v>
      </c>
      <c r="D1596" t="inlineStr">
        <is>
          <t>JÄMTLANDS LÄN</t>
        </is>
      </c>
      <c r="E1596" t="inlineStr">
        <is>
          <t>RAGUNDA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30053-2024</t>
        </is>
      </c>
      <c r="B1597" s="1" t="n">
        <v>45489</v>
      </c>
      <c r="C1597" s="1" t="n">
        <v>45753</v>
      </c>
      <c r="D1597" t="inlineStr">
        <is>
          <t>JÄMTLANDS LÄN</t>
        </is>
      </c>
      <c r="E1597" t="inlineStr">
        <is>
          <t>RAGUNDA</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30472-2024</t>
        </is>
      </c>
      <c r="B1598" s="1" t="n">
        <v>45492</v>
      </c>
      <c r="C1598" s="1" t="n">
        <v>45753</v>
      </c>
      <c r="D1598" t="inlineStr">
        <is>
          <t>JÄMTLANDS LÄN</t>
        </is>
      </c>
      <c r="E1598" t="inlineStr">
        <is>
          <t>RAGUNDA</t>
        </is>
      </c>
      <c r="F1598" t="inlineStr">
        <is>
          <t>SCA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30484-2024</t>
        </is>
      </c>
      <c r="B1599" s="1" t="n">
        <v>45491</v>
      </c>
      <c r="C1599" s="1" t="n">
        <v>45753</v>
      </c>
      <c r="D1599" t="inlineStr">
        <is>
          <t>JÄMTLANDS LÄN</t>
        </is>
      </c>
      <c r="E1599" t="inlineStr">
        <is>
          <t>RAGUNDA</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30637-2024</t>
        </is>
      </c>
      <c r="B1600" s="1" t="n">
        <v>45495</v>
      </c>
      <c r="C1600" s="1" t="n">
        <v>45753</v>
      </c>
      <c r="D1600" t="inlineStr">
        <is>
          <t>JÄMTLANDS LÄN</t>
        </is>
      </c>
      <c r="E1600" t="inlineStr">
        <is>
          <t>RAGUNDA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30642-2024</t>
        </is>
      </c>
      <c r="B1601" s="1" t="n">
        <v>45495</v>
      </c>
      <c r="C1601" s="1" t="n">
        <v>45753</v>
      </c>
      <c r="D1601" t="inlineStr">
        <is>
          <t>JÄMTLANDS LÄN</t>
        </is>
      </c>
      <c r="E1601" t="inlineStr">
        <is>
          <t>RAGUNDA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30771-2024</t>
        </is>
      </c>
      <c r="B1602" s="1" t="n">
        <v>45497</v>
      </c>
      <c r="C1602" s="1" t="n">
        <v>45753</v>
      </c>
      <c r="D1602" t="inlineStr">
        <is>
          <t>JÄMTLANDS LÄN</t>
        </is>
      </c>
      <c r="E1602" t="inlineStr">
        <is>
          <t>RAGUNDA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31111-2024</t>
        </is>
      </c>
      <c r="B1603" s="1" t="n">
        <v>45502</v>
      </c>
      <c r="C1603" s="1" t="n">
        <v>45753</v>
      </c>
      <c r="D1603" t="inlineStr">
        <is>
          <t>JÄMTLANDS LÄN</t>
        </is>
      </c>
      <c r="E1603" t="inlineStr">
        <is>
          <t>RAGUNDA</t>
        </is>
      </c>
      <c r="G1603" t="n">
        <v>17.8</v>
      </c>
      <c r="H1603" t="n">
        <v>0</v>
      </c>
      <c r="I1603" t="n">
        <v>0</v>
      </c>
      <c r="J1603" t="n">
        <v>0</v>
      </c>
      <c r="K1603" t="n">
        <v>0</v>
      </c>
      <c r="L1603" t="n">
        <v>0</v>
      </c>
      <c r="M1603" t="n">
        <v>0</v>
      </c>
      <c r="N1603" t="n">
        <v>0</v>
      </c>
      <c r="O1603" t="n">
        <v>0</v>
      </c>
      <c r="P1603" t="n">
        <v>0</v>
      </c>
      <c r="Q1603" t="n">
        <v>0</v>
      </c>
      <c r="R1603" s="2" t="inlineStr"/>
    </row>
    <row r="1604" ht="15" customHeight="1">
      <c r="A1604" t="inlineStr">
        <is>
          <t>A 31506-2024</t>
        </is>
      </c>
      <c r="B1604" s="1" t="n">
        <v>45505</v>
      </c>
      <c r="C1604" s="1" t="n">
        <v>45753</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31463-2024</t>
        </is>
      </c>
      <c r="B1605" s="1" t="n">
        <v>45505</v>
      </c>
      <c r="C1605" s="1" t="n">
        <v>45753</v>
      </c>
      <c r="D1605" t="inlineStr">
        <is>
          <t>JÄMTLANDS LÄN</t>
        </is>
      </c>
      <c r="E1605" t="inlineStr">
        <is>
          <t>RAGUNDA</t>
        </is>
      </c>
      <c r="F1605" t="inlineStr">
        <is>
          <t>SCA</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31636-2024</t>
        </is>
      </c>
      <c r="B1606" s="1" t="n">
        <v>45506</v>
      </c>
      <c r="C1606" s="1" t="n">
        <v>45753</v>
      </c>
      <c r="D1606" t="inlineStr">
        <is>
          <t>JÄMTLANDS LÄN</t>
        </is>
      </c>
      <c r="E1606" t="inlineStr">
        <is>
          <t>RAGUNDA</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31879-2024</t>
        </is>
      </c>
      <c r="B1607" s="1" t="n">
        <v>45510</v>
      </c>
      <c r="C1607" s="1" t="n">
        <v>45753</v>
      </c>
      <c r="D1607" t="inlineStr">
        <is>
          <t>JÄMTLANDS LÄN</t>
        </is>
      </c>
      <c r="E1607" t="inlineStr">
        <is>
          <t>RAGUNDA</t>
        </is>
      </c>
      <c r="F1607" t="inlineStr">
        <is>
          <t>SCA</t>
        </is>
      </c>
      <c r="G1607" t="n">
        <v>24.9</v>
      </c>
      <c r="H1607" t="n">
        <v>0</v>
      </c>
      <c r="I1607" t="n">
        <v>0</v>
      </c>
      <c r="J1607" t="n">
        <v>0</v>
      </c>
      <c r="K1607" t="n">
        <v>0</v>
      </c>
      <c r="L1607" t="n">
        <v>0</v>
      </c>
      <c r="M1607" t="n">
        <v>0</v>
      </c>
      <c r="N1607" t="n">
        <v>0</v>
      </c>
      <c r="O1607" t="n">
        <v>0</v>
      </c>
      <c r="P1607" t="n">
        <v>0</v>
      </c>
      <c r="Q1607" t="n">
        <v>0</v>
      </c>
      <c r="R1607" s="2" t="inlineStr"/>
    </row>
    <row r="1608" ht="15" customHeight="1">
      <c r="A1608" t="inlineStr">
        <is>
          <t>A 32063-2024</t>
        </is>
      </c>
      <c r="B1608" s="1" t="n">
        <v>45510</v>
      </c>
      <c r="C1608" s="1" t="n">
        <v>45753</v>
      </c>
      <c r="D1608" t="inlineStr">
        <is>
          <t>JÄMTLANDS LÄN</t>
        </is>
      </c>
      <c r="E1608" t="inlineStr">
        <is>
          <t>RAGUNDA</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32258-2024</t>
        </is>
      </c>
      <c r="B1609" s="1" t="n">
        <v>45511</v>
      </c>
      <c r="C1609" s="1" t="n">
        <v>45753</v>
      </c>
      <c r="D1609" t="inlineStr">
        <is>
          <t>JÄMTLANDS LÄN</t>
        </is>
      </c>
      <c r="E1609" t="inlineStr">
        <is>
          <t>RAGUNDA</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32259-2024</t>
        </is>
      </c>
      <c r="B1610" s="1" t="n">
        <v>45511</v>
      </c>
      <c r="C1610" s="1" t="n">
        <v>45753</v>
      </c>
      <c r="D1610" t="inlineStr">
        <is>
          <t>JÄMTLANDS LÄN</t>
        </is>
      </c>
      <c r="E1610" t="inlineStr">
        <is>
          <t>RAGUNDA</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32441-2024</t>
        </is>
      </c>
      <c r="B1611" s="1" t="n">
        <v>45513</v>
      </c>
      <c r="C1611" s="1" t="n">
        <v>45753</v>
      </c>
      <c r="D1611" t="inlineStr">
        <is>
          <t>JÄMTLANDS LÄN</t>
        </is>
      </c>
      <c r="E1611" t="inlineStr">
        <is>
          <t>RAGUNDA</t>
        </is>
      </c>
      <c r="F1611" t="inlineStr">
        <is>
          <t>SCA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32638-2024</t>
        </is>
      </c>
      <c r="B1612" s="1" t="n">
        <v>45514</v>
      </c>
      <c r="C1612" s="1" t="n">
        <v>45753</v>
      </c>
      <c r="D1612" t="inlineStr">
        <is>
          <t>JÄMTLANDS LÄN</t>
        </is>
      </c>
      <c r="E1612" t="inlineStr">
        <is>
          <t>RAGUNDA</t>
        </is>
      </c>
      <c r="F1612" t="inlineStr">
        <is>
          <t>SCA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32910-2024</t>
        </is>
      </c>
      <c r="B1613" s="1" t="n">
        <v>45517</v>
      </c>
      <c r="C1613" s="1" t="n">
        <v>45753</v>
      </c>
      <c r="D1613" t="inlineStr">
        <is>
          <t>JÄMTLANDS LÄN</t>
        </is>
      </c>
      <c r="E1613" t="inlineStr">
        <is>
          <t>RAGUNDA</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32904-2024</t>
        </is>
      </c>
      <c r="B1614" s="1" t="n">
        <v>45517</v>
      </c>
      <c r="C1614" s="1" t="n">
        <v>45753</v>
      </c>
      <c r="D1614" t="inlineStr">
        <is>
          <t>JÄMTLANDS LÄN</t>
        </is>
      </c>
      <c r="E1614" t="inlineStr">
        <is>
          <t>RAGUNDA</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35311-2024</t>
        </is>
      </c>
      <c r="B1615" s="1" t="n">
        <v>45530</v>
      </c>
      <c r="C1615" s="1" t="n">
        <v>45753</v>
      </c>
      <c r="D1615" t="inlineStr">
        <is>
          <t>JÄMTLANDS LÄN</t>
        </is>
      </c>
      <c r="E1615" t="inlineStr">
        <is>
          <t>RAGUNDA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35153-2024</t>
        </is>
      </c>
      <c r="B1616" s="1" t="n">
        <v>45530</v>
      </c>
      <c r="C1616" s="1" t="n">
        <v>45753</v>
      </c>
      <c r="D1616" t="inlineStr">
        <is>
          <t>JÄMTLANDS LÄN</t>
        </is>
      </c>
      <c r="E1616" t="inlineStr">
        <is>
          <t>RAGUNDA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35986-2024</t>
        </is>
      </c>
      <c r="B1617" s="1" t="n">
        <v>45533</v>
      </c>
      <c r="C1617" s="1" t="n">
        <v>45753</v>
      </c>
      <c r="D1617" t="inlineStr">
        <is>
          <t>JÄMTLANDS LÄN</t>
        </is>
      </c>
      <c r="E1617" t="inlineStr">
        <is>
          <t>RAGUNDA</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36246-2024</t>
        </is>
      </c>
      <c r="B1618" s="1" t="n">
        <v>45534</v>
      </c>
      <c r="C1618" s="1" t="n">
        <v>45753</v>
      </c>
      <c r="D1618" t="inlineStr">
        <is>
          <t>JÄMTLANDS LÄN</t>
        </is>
      </c>
      <c r="E1618" t="inlineStr">
        <is>
          <t>RAGUNDA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36340-2024</t>
        </is>
      </c>
      <c r="B1619" s="1" t="n">
        <v>45534</v>
      </c>
      <c r="C1619" s="1" t="n">
        <v>45753</v>
      </c>
      <c r="D1619" t="inlineStr">
        <is>
          <t>JÄMTLANDS LÄN</t>
        </is>
      </c>
      <c r="E1619" t="inlineStr">
        <is>
          <t>RAGUNDA</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36317-2024</t>
        </is>
      </c>
      <c r="B1620" s="1" t="n">
        <v>45534</v>
      </c>
      <c r="C1620" s="1" t="n">
        <v>45753</v>
      </c>
      <c r="D1620" t="inlineStr">
        <is>
          <t>JÄMTLANDS LÄN</t>
        </is>
      </c>
      <c r="E1620" t="inlineStr">
        <is>
          <t>RAGUNDA</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37242-2024</t>
        </is>
      </c>
      <c r="B1621" s="1" t="n">
        <v>45540</v>
      </c>
      <c r="C1621" s="1" t="n">
        <v>45753</v>
      </c>
      <c r="D1621" t="inlineStr">
        <is>
          <t>JÄMTLANDS LÄN</t>
        </is>
      </c>
      <c r="E1621" t="inlineStr">
        <is>
          <t>RAGUNDA</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37266-2024</t>
        </is>
      </c>
      <c r="B1622" s="1" t="n">
        <v>45540</v>
      </c>
      <c r="C1622" s="1" t="n">
        <v>45753</v>
      </c>
      <c r="D1622" t="inlineStr">
        <is>
          <t>JÄMTLANDS LÄN</t>
        </is>
      </c>
      <c r="E1622" t="inlineStr">
        <is>
          <t>RAGUNDA</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37265-2024</t>
        </is>
      </c>
      <c r="B1623" s="1" t="n">
        <v>45540</v>
      </c>
      <c r="C1623" s="1" t="n">
        <v>45753</v>
      </c>
      <c r="D1623" t="inlineStr">
        <is>
          <t>JÄMTLANDS LÄN</t>
        </is>
      </c>
      <c r="E1623" t="inlineStr">
        <is>
          <t>RAGUNDA</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37268-2024</t>
        </is>
      </c>
      <c r="B1624" s="1" t="n">
        <v>45540</v>
      </c>
      <c r="C1624" s="1" t="n">
        <v>45753</v>
      </c>
      <c r="D1624" t="inlineStr">
        <is>
          <t>JÄMTLANDS LÄN</t>
        </is>
      </c>
      <c r="E1624" t="inlineStr">
        <is>
          <t>RAGUNDA</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38027-2024</t>
        </is>
      </c>
      <c r="B1625" s="1" t="n">
        <v>45544</v>
      </c>
      <c r="C1625" s="1" t="n">
        <v>45753</v>
      </c>
      <c r="D1625" t="inlineStr">
        <is>
          <t>JÄMTLANDS LÄN</t>
        </is>
      </c>
      <c r="E1625" t="inlineStr">
        <is>
          <t>RAGUNDA</t>
        </is>
      </c>
      <c r="F1625" t="inlineStr">
        <is>
          <t>SCA</t>
        </is>
      </c>
      <c r="G1625" t="n">
        <v>28.7</v>
      </c>
      <c r="H1625" t="n">
        <v>0</v>
      </c>
      <c r="I1625" t="n">
        <v>0</v>
      </c>
      <c r="J1625" t="n">
        <v>0</v>
      </c>
      <c r="K1625" t="n">
        <v>0</v>
      </c>
      <c r="L1625" t="n">
        <v>0</v>
      </c>
      <c r="M1625" t="n">
        <v>0</v>
      </c>
      <c r="N1625" t="n">
        <v>0</v>
      </c>
      <c r="O1625" t="n">
        <v>0</v>
      </c>
      <c r="P1625" t="n">
        <v>0</v>
      </c>
      <c r="Q1625" t="n">
        <v>0</v>
      </c>
      <c r="R1625" s="2" t="inlineStr"/>
    </row>
    <row r="1626" ht="15" customHeight="1">
      <c r="A1626" t="inlineStr">
        <is>
          <t>A 38191-2024</t>
        </is>
      </c>
      <c r="B1626" s="1" t="n">
        <v>45545</v>
      </c>
      <c r="C1626" s="1" t="n">
        <v>45753</v>
      </c>
      <c r="D1626" t="inlineStr">
        <is>
          <t>JÄMTLANDS LÄN</t>
        </is>
      </c>
      <c r="E1626" t="inlineStr">
        <is>
          <t>RAGUNDA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38192-2024</t>
        </is>
      </c>
      <c r="B1627" s="1" t="n">
        <v>45545</v>
      </c>
      <c r="C1627" s="1" t="n">
        <v>45753</v>
      </c>
      <c r="D1627" t="inlineStr">
        <is>
          <t>JÄMTLANDS LÄN</t>
        </is>
      </c>
      <c r="E1627" t="inlineStr">
        <is>
          <t>RAGUNDA</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38189-2024</t>
        </is>
      </c>
      <c r="B1628" s="1" t="n">
        <v>45545</v>
      </c>
      <c r="C1628" s="1" t="n">
        <v>45753</v>
      </c>
      <c r="D1628" t="inlineStr">
        <is>
          <t>JÄMTLANDS LÄN</t>
        </is>
      </c>
      <c r="E1628" t="inlineStr">
        <is>
          <t>RAGUNDA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38312-2024</t>
        </is>
      </c>
      <c r="B1629" s="1" t="n">
        <v>45545</v>
      </c>
      <c r="C1629" s="1" t="n">
        <v>45753</v>
      </c>
      <c r="D1629" t="inlineStr">
        <is>
          <t>JÄMTLANDS LÄN</t>
        </is>
      </c>
      <c r="E1629" t="inlineStr">
        <is>
          <t>RAGUNDA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38506-2024</t>
        </is>
      </c>
      <c r="B1630" s="1" t="n">
        <v>45546</v>
      </c>
      <c r="C1630" s="1" t="n">
        <v>45753</v>
      </c>
      <c r="D1630" t="inlineStr">
        <is>
          <t>JÄMTLANDS LÄN</t>
        </is>
      </c>
      <c r="E1630" t="inlineStr">
        <is>
          <t>RAGUNDA</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38548-2024</t>
        </is>
      </c>
      <c r="B1631" s="1" t="n">
        <v>45546</v>
      </c>
      <c r="C1631" s="1" t="n">
        <v>45753</v>
      </c>
      <c r="D1631" t="inlineStr">
        <is>
          <t>JÄMTLANDS LÄN</t>
        </is>
      </c>
      <c r="E1631" t="inlineStr">
        <is>
          <t>RAGUNDA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38571-2024</t>
        </is>
      </c>
      <c r="B1632" s="1" t="n">
        <v>45546</v>
      </c>
      <c r="C1632" s="1" t="n">
        <v>45753</v>
      </c>
      <c r="D1632" t="inlineStr">
        <is>
          <t>JÄMTLANDS LÄN</t>
        </is>
      </c>
      <c r="E1632" t="inlineStr">
        <is>
          <t>RAGUNDA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38825-2024</t>
        </is>
      </c>
      <c r="B1633" s="1" t="n">
        <v>45547</v>
      </c>
      <c r="C1633" s="1" t="n">
        <v>45753</v>
      </c>
      <c r="D1633" t="inlineStr">
        <is>
          <t>JÄMTLANDS LÄN</t>
        </is>
      </c>
      <c r="E1633" t="inlineStr">
        <is>
          <t>RAGUNDA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39494-2024</t>
        </is>
      </c>
      <c r="B1634" s="1" t="n">
        <v>45551</v>
      </c>
      <c r="C1634" s="1" t="n">
        <v>45753</v>
      </c>
      <c r="D1634" t="inlineStr">
        <is>
          <t>JÄMTLANDS LÄN</t>
        </is>
      </c>
      <c r="E1634" t="inlineStr">
        <is>
          <t>RAGUNDA</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39608-2024</t>
        </is>
      </c>
      <c r="B1635" s="1" t="n">
        <v>45552</v>
      </c>
      <c r="C1635" s="1" t="n">
        <v>45753</v>
      </c>
      <c r="D1635" t="inlineStr">
        <is>
          <t>JÄMTLANDS LÄN</t>
        </is>
      </c>
      <c r="E1635" t="inlineStr">
        <is>
          <t>RAGUNDA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39626-2024</t>
        </is>
      </c>
      <c r="B1636" s="1" t="n">
        <v>45552</v>
      </c>
      <c r="C1636" s="1" t="n">
        <v>45753</v>
      </c>
      <c r="D1636" t="inlineStr">
        <is>
          <t>JÄMTLANDS LÄN</t>
        </is>
      </c>
      <c r="E1636" t="inlineStr">
        <is>
          <t>RAGUNDA</t>
        </is>
      </c>
      <c r="G1636" t="n">
        <v>23.5</v>
      </c>
      <c r="H1636" t="n">
        <v>0</v>
      </c>
      <c r="I1636" t="n">
        <v>0</v>
      </c>
      <c r="J1636" t="n">
        <v>0</v>
      </c>
      <c r="K1636" t="n">
        <v>0</v>
      </c>
      <c r="L1636" t="n">
        <v>0</v>
      </c>
      <c r="M1636" t="n">
        <v>0</v>
      </c>
      <c r="N1636" t="n">
        <v>0</v>
      </c>
      <c r="O1636" t="n">
        <v>0</v>
      </c>
      <c r="P1636" t="n">
        <v>0</v>
      </c>
      <c r="Q1636" t="n">
        <v>0</v>
      </c>
      <c r="R1636" s="2" t="inlineStr"/>
    </row>
    <row r="1637" ht="15" customHeight="1">
      <c r="A1637" t="inlineStr">
        <is>
          <t>A 40246-2024</t>
        </is>
      </c>
      <c r="B1637" s="1" t="n">
        <v>45554</v>
      </c>
      <c r="C1637" s="1" t="n">
        <v>45753</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40405-2024</t>
        </is>
      </c>
      <c r="B1638" s="1" t="n">
        <v>45555</v>
      </c>
      <c r="C1638" s="1" t="n">
        <v>45753</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40365-2024</t>
        </is>
      </c>
      <c r="B1639" s="1" t="n">
        <v>45555</v>
      </c>
      <c r="C1639" s="1" t="n">
        <v>45753</v>
      </c>
      <c r="D1639" t="inlineStr">
        <is>
          <t>JÄMTLANDS LÄN</t>
        </is>
      </c>
      <c r="E1639" t="inlineStr">
        <is>
          <t>RAGUNDA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40919-2024</t>
        </is>
      </c>
      <c r="B1640" s="1" t="n">
        <v>45558</v>
      </c>
      <c r="C1640" s="1" t="n">
        <v>45753</v>
      </c>
      <c r="D1640" t="inlineStr">
        <is>
          <t>JÄMTLANDS LÄN</t>
        </is>
      </c>
      <c r="E1640" t="inlineStr">
        <is>
          <t>RAGUNDA</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41344-2024</t>
        </is>
      </c>
      <c r="B1641" s="1" t="n">
        <v>45559</v>
      </c>
      <c r="C1641" s="1" t="n">
        <v>45753</v>
      </c>
      <c r="D1641" t="inlineStr">
        <is>
          <t>JÄMTLANDS LÄN</t>
        </is>
      </c>
      <c r="E1641" t="inlineStr">
        <is>
          <t>RAGUNDA</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41343-2024</t>
        </is>
      </c>
      <c r="B1642" s="1" t="n">
        <v>45559</v>
      </c>
      <c r="C1642" s="1" t="n">
        <v>45753</v>
      </c>
      <c r="D1642" t="inlineStr">
        <is>
          <t>JÄMTLANDS LÄN</t>
        </is>
      </c>
      <c r="E1642" t="inlineStr">
        <is>
          <t>RAGUNDA</t>
        </is>
      </c>
      <c r="F1642" t="inlineStr">
        <is>
          <t>SCA</t>
        </is>
      </c>
      <c r="G1642" t="n">
        <v>25.1</v>
      </c>
      <c r="H1642" t="n">
        <v>0</v>
      </c>
      <c r="I1642" t="n">
        <v>0</v>
      </c>
      <c r="J1642" t="n">
        <v>0</v>
      </c>
      <c r="K1642" t="n">
        <v>0</v>
      </c>
      <c r="L1642" t="n">
        <v>0</v>
      </c>
      <c r="M1642" t="n">
        <v>0</v>
      </c>
      <c r="N1642" t="n">
        <v>0</v>
      </c>
      <c r="O1642" t="n">
        <v>0</v>
      </c>
      <c r="P1642" t="n">
        <v>0</v>
      </c>
      <c r="Q1642" t="n">
        <v>0</v>
      </c>
      <c r="R1642" s="2" t="inlineStr"/>
    </row>
    <row r="1643" ht="15" customHeight="1">
      <c r="A1643" t="inlineStr">
        <is>
          <t>A 41378-2024</t>
        </is>
      </c>
      <c r="B1643" s="1" t="n">
        <v>45559</v>
      </c>
      <c r="C1643" s="1" t="n">
        <v>45753</v>
      </c>
      <c r="D1643" t="inlineStr">
        <is>
          <t>JÄMTLANDS LÄN</t>
        </is>
      </c>
      <c r="E1643" t="inlineStr">
        <is>
          <t>RAGUNDA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41685-2024</t>
        </is>
      </c>
      <c r="B1644" s="1" t="n">
        <v>45560</v>
      </c>
      <c r="C1644" s="1" t="n">
        <v>45753</v>
      </c>
      <c r="D1644" t="inlineStr">
        <is>
          <t>JÄMTLANDS LÄN</t>
        </is>
      </c>
      <c r="E1644" t="inlineStr">
        <is>
          <t>RAGUNDA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41531-2024</t>
        </is>
      </c>
      <c r="B1645" s="1" t="n">
        <v>45560</v>
      </c>
      <c r="C1645" s="1" t="n">
        <v>45753</v>
      </c>
      <c r="D1645" t="inlineStr">
        <is>
          <t>JÄMTLANDS LÄN</t>
        </is>
      </c>
      <c r="E1645" t="inlineStr">
        <is>
          <t>RAGUNDA</t>
        </is>
      </c>
      <c r="F1645" t="inlineStr">
        <is>
          <t>SCA</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41422-2024</t>
        </is>
      </c>
      <c r="B1646" s="1" t="n">
        <v>45560</v>
      </c>
      <c r="C1646" s="1" t="n">
        <v>45753</v>
      </c>
      <c r="D1646" t="inlineStr">
        <is>
          <t>JÄMTLANDS LÄN</t>
        </is>
      </c>
      <c r="E1646" t="inlineStr">
        <is>
          <t>RAGUNDA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41690-2024</t>
        </is>
      </c>
      <c r="B1647" s="1" t="n">
        <v>45560</v>
      </c>
      <c r="C1647" s="1" t="n">
        <v>45753</v>
      </c>
      <c r="D1647" t="inlineStr">
        <is>
          <t>JÄMTLANDS LÄN</t>
        </is>
      </c>
      <c r="E1647" t="inlineStr">
        <is>
          <t>RAGUNDA</t>
        </is>
      </c>
      <c r="F1647" t="inlineStr">
        <is>
          <t>SCA</t>
        </is>
      </c>
      <c r="G1647" t="n">
        <v>38.6</v>
      </c>
      <c r="H1647" t="n">
        <v>0</v>
      </c>
      <c r="I1647" t="n">
        <v>0</v>
      </c>
      <c r="J1647" t="n">
        <v>0</v>
      </c>
      <c r="K1647" t="n">
        <v>0</v>
      </c>
      <c r="L1647" t="n">
        <v>0</v>
      </c>
      <c r="M1647" t="n">
        <v>0</v>
      </c>
      <c r="N1647" t="n">
        <v>0</v>
      </c>
      <c r="O1647" t="n">
        <v>0</v>
      </c>
      <c r="P1647" t="n">
        <v>0</v>
      </c>
      <c r="Q1647" t="n">
        <v>0</v>
      </c>
      <c r="R1647" s="2" t="inlineStr"/>
    </row>
    <row r="1648" ht="15" customHeight="1">
      <c r="A1648" t="inlineStr">
        <is>
          <t>A 41759-2024</t>
        </is>
      </c>
      <c r="B1648" s="1" t="n">
        <v>45561</v>
      </c>
      <c r="C1648" s="1" t="n">
        <v>45753</v>
      </c>
      <c r="D1648" t="inlineStr">
        <is>
          <t>JÄMTLANDS LÄN</t>
        </is>
      </c>
      <c r="E1648" t="inlineStr">
        <is>
          <t>RAGUNDA</t>
        </is>
      </c>
      <c r="F1648" t="inlineStr">
        <is>
          <t>SCA</t>
        </is>
      </c>
      <c r="G1648" t="n">
        <v>11.1</v>
      </c>
      <c r="H1648" t="n">
        <v>0</v>
      </c>
      <c r="I1648" t="n">
        <v>0</v>
      </c>
      <c r="J1648" t="n">
        <v>0</v>
      </c>
      <c r="K1648" t="n">
        <v>0</v>
      </c>
      <c r="L1648" t="n">
        <v>0</v>
      </c>
      <c r="M1648" t="n">
        <v>0</v>
      </c>
      <c r="N1648" t="n">
        <v>0</v>
      </c>
      <c r="O1648" t="n">
        <v>0</v>
      </c>
      <c r="P1648" t="n">
        <v>0</v>
      </c>
      <c r="Q1648" t="n">
        <v>0</v>
      </c>
      <c r="R1648" s="2" t="inlineStr"/>
    </row>
    <row r="1649" ht="15" customHeight="1">
      <c r="A1649" t="inlineStr">
        <is>
          <t>A 41772-2024</t>
        </is>
      </c>
      <c r="B1649" s="1" t="n">
        <v>45561</v>
      </c>
      <c r="C1649" s="1" t="n">
        <v>45753</v>
      </c>
      <c r="D1649" t="inlineStr">
        <is>
          <t>JÄMTLANDS LÄN</t>
        </is>
      </c>
      <c r="E1649" t="inlineStr">
        <is>
          <t>RAGUNDA</t>
        </is>
      </c>
      <c r="F1649" t="inlineStr">
        <is>
          <t>SCA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42135-2024</t>
        </is>
      </c>
      <c r="B1650" s="1" t="n">
        <v>45562</v>
      </c>
      <c r="C1650" s="1" t="n">
        <v>45753</v>
      </c>
      <c r="D1650" t="inlineStr">
        <is>
          <t>JÄMTLANDS LÄN</t>
        </is>
      </c>
      <c r="E1650" t="inlineStr">
        <is>
          <t>RAGUNDA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42544-2024</t>
        </is>
      </c>
      <c r="B1651" s="1" t="n">
        <v>45565</v>
      </c>
      <c r="C1651" s="1" t="n">
        <v>45753</v>
      </c>
      <c r="D1651" t="inlineStr">
        <is>
          <t>JÄMTLANDS LÄN</t>
        </is>
      </c>
      <c r="E1651" t="inlineStr">
        <is>
          <t>RAGUNDA</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42875-2024</t>
        </is>
      </c>
      <c r="B1652" s="1" t="n">
        <v>45566</v>
      </c>
      <c r="C1652" s="1" t="n">
        <v>45753</v>
      </c>
      <c r="D1652" t="inlineStr">
        <is>
          <t>JÄMTLANDS LÄN</t>
        </is>
      </c>
      <c r="E1652" t="inlineStr">
        <is>
          <t>RAGUNDA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42998-2024</t>
        </is>
      </c>
      <c r="B1653" s="1" t="n">
        <v>45567</v>
      </c>
      <c r="C1653" s="1" t="n">
        <v>45753</v>
      </c>
      <c r="D1653" t="inlineStr">
        <is>
          <t>JÄMTLANDS LÄN</t>
        </is>
      </c>
      <c r="E1653" t="inlineStr">
        <is>
          <t>RAGUNDA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42994-2024</t>
        </is>
      </c>
      <c r="B1654" s="1" t="n">
        <v>45567</v>
      </c>
      <c r="C1654" s="1" t="n">
        <v>45753</v>
      </c>
      <c r="D1654" t="inlineStr">
        <is>
          <t>JÄMTLANDS LÄN</t>
        </is>
      </c>
      <c r="E1654" t="inlineStr">
        <is>
          <t>RAGUNDA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43339-2024</t>
        </is>
      </c>
      <c r="B1655" s="1" t="n">
        <v>45568</v>
      </c>
      <c r="C1655" s="1" t="n">
        <v>45753</v>
      </c>
      <c r="D1655" t="inlineStr">
        <is>
          <t>JÄMTLANDS LÄN</t>
        </is>
      </c>
      <c r="E1655" t="inlineStr">
        <is>
          <t>RAGUNDA</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43738-2024</t>
        </is>
      </c>
      <c r="B1656" s="1" t="n">
        <v>45569</v>
      </c>
      <c r="C1656" s="1" t="n">
        <v>45753</v>
      </c>
      <c r="D1656" t="inlineStr">
        <is>
          <t>JÄMTLANDS LÄN</t>
        </is>
      </c>
      <c r="E1656" t="inlineStr">
        <is>
          <t>RAGUNDA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44070-2024</t>
        </is>
      </c>
      <c r="B1657" s="1" t="n">
        <v>45572</v>
      </c>
      <c r="C1657" s="1" t="n">
        <v>45753</v>
      </c>
      <c r="D1657" t="inlineStr">
        <is>
          <t>JÄMTLANDS LÄN</t>
        </is>
      </c>
      <c r="E1657" t="inlineStr">
        <is>
          <t>RAGUNDA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44066-2024</t>
        </is>
      </c>
      <c r="B1658" s="1" t="n">
        <v>45572</v>
      </c>
      <c r="C1658" s="1" t="n">
        <v>45753</v>
      </c>
      <c r="D1658" t="inlineStr">
        <is>
          <t>JÄMTLANDS LÄN</t>
        </is>
      </c>
      <c r="E1658" t="inlineStr">
        <is>
          <t>RAGUNDA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44242-2024</t>
        </is>
      </c>
      <c r="B1659" s="1" t="n">
        <v>45573</v>
      </c>
      <c r="C1659" s="1" t="n">
        <v>45753</v>
      </c>
      <c r="D1659" t="inlineStr">
        <is>
          <t>JÄMTLANDS LÄN</t>
        </is>
      </c>
      <c r="E1659" t="inlineStr">
        <is>
          <t>RAGUNDA</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44598-2024</t>
        </is>
      </c>
      <c r="B1660" s="1" t="n">
        <v>45574</v>
      </c>
      <c r="C1660" s="1" t="n">
        <v>45753</v>
      </c>
      <c r="D1660" t="inlineStr">
        <is>
          <t>JÄMTLANDS LÄN</t>
        </is>
      </c>
      <c r="E1660" t="inlineStr">
        <is>
          <t>RAGUNDA</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44755-2024</t>
        </is>
      </c>
      <c r="B1661" s="1" t="n">
        <v>45574</v>
      </c>
      <c r="C1661" s="1" t="n">
        <v>45753</v>
      </c>
      <c r="D1661" t="inlineStr">
        <is>
          <t>JÄMTLANDS LÄN</t>
        </is>
      </c>
      <c r="E1661" t="inlineStr">
        <is>
          <t>RAGUNDA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44759-2024</t>
        </is>
      </c>
      <c r="B1662" s="1" t="n">
        <v>45574</v>
      </c>
      <c r="C1662" s="1" t="n">
        <v>45753</v>
      </c>
      <c r="D1662" t="inlineStr">
        <is>
          <t>JÄMTLANDS LÄN</t>
        </is>
      </c>
      <c r="E1662" t="inlineStr">
        <is>
          <t>RAGUNDA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44766-2024</t>
        </is>
      </c>
      <c r="B1663" s="1" t="n">
        <v>45574</v>
      </c>
      <c r="C1663" s="1" t="n">
        <v>45753</v>
      </c>
      <c r="D1663" t="inlineStr">
        <is>
          <t>JÄMTLANDS LÄN</t>
        </is>
      </c>
      <c r="E1663" t="inlineStr">
        <is>
          <t>RAGUNDA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44778-2024</t>
        </is>
      </c>
      <c r="B1664" s="1" t="n">
        <v>45574</v>
      </c>
      <c r="C1664" s="1" t="n">
        <v>45753</v>
      </c>
      <c r="D1664" t="inlineStr">
        <is>
          <t>JÄMTLANDS LÄN</t>
        </is>
      </c>
      <c r="E1664" t="inlineStr">
        <is>
          <t>RAGUNDA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44597-2024</t>
        </is>
      </c>
      <c r="B1665" s="1" t="n">
        <v>45574</v>
      </c>
      <c r="C1665" s="1" t="n">
        <v>45753</v>
      </c>
      <c r="D1665" t="inlineStr">
        <is>
          <t>JÄMTLANDS LÄN</t>
        </is>
      </c>
      <c r="E1665" t="inlineStr">
        <is>
          <t>RAGUNDA</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44605-2024</t>
        </is>
      </c>
      <c r="B1666" s="1" t="n">
        <v>45574</v>
      </c>
      <c r="C1666" s="1" t="n">
        <v>45753</v>
      </c>
      <c r="D1666" t="inlineStr">
        <is>
          <t>JÄMTLANDS LÄN</t>
        </is>
      </c>
      <c r="E1666" t="inlineStr">
        <is>
          <t>RAGUNDA</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44494-2024</t>
        </is>
      </c>
      <c r="B1667" s="1" t="n">
        <v>45574</v>
      </c>
      <c r="C1667" s="1" t="n">
        <v>45753</v>
      </c>
      <c r="D1667" t="inlineStr">
        <is>
          <t>JÄMTLANDS LÄN</t>
        </is>
      </c>
      <c r="E1667" t="inlineStr">
        <is>
          <t>RAGUNDA</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44498-2024</t>
        </is>
      </c>
      <c r="B1668" s="1" t="n">
        <v>45574</v>
      </c>
      <c r="C1668" s="1" t="n">
        <v>45753</v>
      </c>
      <c r="D1668" t="inlineStr">
        <is>
          <t>JÄMTLANDS LÄN</t>
        </is>
      </c>
      <c r="E1668" t="inlineStr">
        <is>
          <t>RAGUNDA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44727-2024</t>
        </is>
      </c>
      <c r="B1669" s="1" t="n">
        <v>45574</v>
      </c>
      <c r="C1669" s="1" t="n">
        <v>45753</v>
      </c>
      <c r="D1669" t="inlineStr">
        <is>
          <t>JÄMTLANDS LÄN</t>
        </is>
      </c>
      <c r="E1669" t="inlineStr">
        <is>
          <t>RAGUNDA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44953-2024</t>
        </is>
      </c>
      <c r="B1670" s="1" t="n">
        <v>45575</v>
      </c>
      <c r="C1670" s="1" t="n">
        <v>45753</v>
      </c>
      <c r="D1670" t="inlineStr">
        <is>
          <t>JÄMTLANDS LÄN</t>
        </is>
      </c>
      <c r="E1670" t="inlineStr">
        <is>
          <t>RAGUNDA</t>
        </is>
      </c>
      <c r="F1670" t="inlineStr">
        <is>
          <t>SCA</t>
        </is>
      </c>
      <c r="G1670" t="n">
        <v>15.4</v>
      </c>
      <c r="H1670" t="n">
        <v>0</v>
      </c>
      <c r="I1670" t="n">
        <v>0</v>
      </c>
      <c r="J1670" t="n">
        <v>0</v>
      </c>
      <c r="K1670" t="n">
        <v>0</v>
      </c>
      <c r="L1670" t="n">
        <v>0</v>
      </c>
      <c r="M1670" t="n">
        <v>0</v>
      </c>
      <c r="N1670" t="n">
        <v>0</v>
      </c>
      <c r="O1670" t="n">
        <v>0</v>
      </c>
      <c r="P1670" t="n">
        <v>0</v>
      </c>
      <c r="Q1670" t="n">
        <v>0</v>
      </c>
      <c r="R1670" s="2" t="inlineStr"/>
    </row>
    <row r="1671" ht="15" customHeight="1">
      <c r="A1671" t="inlineStr">
        <is>
          <t>A 45273-2024</t>
        </is>
      </c>
      <c r="B1671" s="1" t="n">
        <v>45576</v>
      </c>
      <c r="C1671" s="1" t="n">
        <v>45753</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45631-2024</t>
        </is>
      </c>
      <c r="B1672" s="1" t="n">
        <v>45579</v>
      </c>
      <c r="C1672" s="1" t="n">
        <v>45753</v>
      </c>
      <c r="D1672" t="inlineStr">
        <is>
          <t>JÄMTLANDS LÄN</t>
        </is>
      </c>
      <c r="E1672" t="inlineStr">
        <is>
          <t>RAGUNDA</t>
        </is>
      </c>
      <c r="G1672" t="n">
        <v>15.1</v>
      </c>
      <c r="H1672" t="n">
        <v>0</v>
      </c>
      <c r="I1672" t="n">
        <v>0</v>
      </c>
      <c r="J1672" t="n">
        <v>0</v>
      </c>
      <c r="K1672" t="n">
        <v>0</v>
      </c>
      <c r="L1672" t="n">
        <v>0</v>
      </c>
      <c r="M1672" t="n">
        <v>0</v>
      </c>
      <c r="N1672" t="n">
        <v>0</v>
      </c>
      <c r="O1672" t="n">
        <v>0</v>
      </c>
      <c r="P1672" t="n">
        <v>0</v>
      </c>
      <c r="Q1672" t="n">
        <v>0</v>
      </c>
      <c r="R1672" s="2" t="inlineStr"/>
    </row>
    <row r="1673" ht="15" customHeight="1">
      <c r="A1673" t="inlineStr">
        <is>
          <t>A 45879-2024</t>
        </is>
      </c>
      <c r="B1673" s="1" t="n">
        <v>45580</v>
      </c>
      <c r="C1673" s="1" t="n">
        <v>45753</v>
      </c>
      <c r="D1673" t="inlineStr">
        <is>
          <t>JÄMTLANDS LÄN</t>
        </is>
      </c>
      <c r="E1673" t="inlineStr">
        <is>
          <t>RAGUNDA</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46211-2024</t>
        </is>
      </c>
      <c r="B1674" s="1" t="n">
        <v>45581</v>
      </c>
      <c r="C1674" s="1" t="n">
        <v>45753</v>
      </c>
      <c r="D1674" t="inlineStr">
        <is>
          <t>JÄMTLANDS LÄN</t>
        </is>
      </c>
      <c r="E1674" t="inlineStr">
        <is>
          <t>RAGUNDA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46090-2024</t>
        </is>
      </c>
      <c r="B1675" s="1" t="n">
        <v>45581</v>
      </c>
      <c r="C1675" s="1" t="n">
        <v>45753</v>
      </c>
      <c r="D1675" t="inlineStr">
        <is>
          <t>JÄMTLANDS LÄN</t>
        </is>
      </c>
      <c r="E1675" t="inlineStr">
        <is>
          <t>RAGUNDA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46250-2024</t>
        </is>
      </c>
      <c r="B1676" s="1" t="n">
        <v>45581</v>
      </c>
      <c r="C1676" s="1" t="n">
        <v>45753</v>
      </c>
      <c r="D1676" t="inlineStr">
        <is>
          <t>JÄMTLANDS LÄN</t>
        </is>
      </c>
      <c r="E1676" t="inlineStr">
        <is>
          <t>RAGUNDA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46637-2024</t>
        </is>
      </c>
      <c r="B1677" s="1" t="n">
        <v>45583</v>
      </c>
      <c r="C1677" s="1" t="n">
        <v>45753</v>
      </c>
      <c r="D1677" t="inlineStr">
        <is>
          <t>JÄMTLANDS LÄN</t>
        </is>
      </c>
      <c r="E1677" t="inlineStr">
        <is>
          <t>RAGUNDA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47658-2024</t>
        </is>
      </c>
      <c r="B1678" s="1" t="n">
        <v>45588</v>
      </c>
      <c r="C1678" s="1" t="n">
        <v>45753</v>
      </c>
      <c r="D1678" t="inlineStr">
        <is>
          <t>JÄMTLANDS LÄN</t>
        </is>
      </c>
      <c r="E1678" t="inlineStr">
        <is>
          <t>RAGUNDA</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47720-2024</t>
        </is>
      </c>
      <c r="B1679" s="1" t="n">
        <v>45588</v>
      </c>
      <c r="C1679" s="1" t="n">
        <v>45753</v>
      </c>
      <c r="D1679" t="inlineStr">
        <is>
          <t>JÄMTLANDS LÄN</t>
        </is>
      </c>
      <c r="E1679" t="inlineStr">
        <is>
          <t>RAGUNDA</t>
        </is>
      </c>
      <c r="F1679" t="inlineStr">
        <is>
          <t>SCA</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48147-2024</t>
        </is>
      </c>
      <c r="B1680" s="1" t="n">
        <v>45589</v>
      </c>
      <c r="C1680" s="1" t="n">
        <v>45753</v>
      </c>
      <c r="D1680" t="inlineStr">
        <is>
          <t>JÄMTLANDS LÄN</t>
        </is>
      </c>
      <c r="E1680" t="inlineStr">
        <is>
          <t>RAGUNDA</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48249-2024</t>
        </is>
      </c>
      <c r="B1681" s="1" t="n">
        <v>45590</v>
      </c>
      <c r="C1681" s="1" t="n">
        <v>45753</v>
      </c>
      <c r="D1681" t="inlineStr">
        <is>
          <t>JÄMTLANDS LÄN</t>
        </is>
      </c>
      <c r="E1681" t="inlineStr">
        <is>
          <t>RAGUNDA</t>
        </is>
      </c>
      <c r="F1681" t="inlineStr">
        <is>
          <t>SCA</t>
        </is>
      </c>
      <c r="G1681" t="n">
        <v>14.4</v>
      </c>
      <c r="H1681" t="n">
        <v>0</v>
      </c>
      <c r="I1681" t="n">
        <v>0</v>
      </c>
      <c r="J1681" t="n">
        <v>0</v>
      </c>
      <c r="K1681" t="n">
        <v>0</v>
      </c>
      <c r="L1681" t="n">
        <v>0</v>
      </c>
      <c r="M1681" t="n">
        <v>0</v>
      </c>
      <c r="N1681" t="n">
        <v>0</v>
      </c>
      <c r="O1681" t="n">
        <v>0</v>
      </c>
      <c r="P1681" t="n">
        <v>0</v>
      </c>
      <c r="Q1681" t="n">
        <v>0</v>
      </c>
      <c r="R1681" s="2" t="inlineStr"/>
    </row>
    <row r="1682" ht="15" customHeight="1">
      <c r="A1682" t="inlineStr">
        <is>
          <t>A 48192-2024</t>
        </is>
      </c>
      <c r="B1682" s="1" t="n">
        <v>45590</v>
      </c>
      <c r="C1682" s="1" t="n">
        <v>45753</v>
      </c>
      <c r="D1682" t="inlineStr">
        <is>
          <t>JÄMTLANDS LÄN</t>
        </is>
      </c>
      <c r="E1682" t="inlineStr">
        <is>
          <t>RAGUNDA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48666-2024</t>
        </is>
      </c>
      <c r="B1683" s="1" t="n">
        <v>45593</v>
      </c>
      <c r="C1683" s="1" t="n">
        <v>45753</v>
      </c>
      <c r="D1683" t="inlineStr">
        <is>
          <t>JÄMTLANDS LÄN</t>
        </is>
      </c>
      <c r="E1683" t="inlineStr">
        <is>
          <t>RAGUNDA</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49229-2024</t>
        </is>
      </c>
      <c r="B1684" s="1" t="n">
        <v>45595</v>
      </c>
      <c r="C1684" s="1" t="n">
        <v>45753</v>
      </c>
      <c r="D1684" t="inlineStr">
        <is>
          <t>JÄMTLANDS LÄN</t>
        </is>
      </c>
      <c r="E1684" t="inlineStr">
        <is>
          <t>RAGUNDA</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49239-2024</t>
        </is>
      </c>
      <c r="B1685" s="1" t="n">
        <v>45595</v>
      </c>
      <c r="C1685" s="1" t="n">
        <v>45753</v>
      </c>
      <c r="D1685" t="inlineStr">
        <is>
          <t>JÄMTLANDS LÄN</t>
        </is>
      </c>
      <c r="E1685" t="inlineStr">
        <is>
          <t>RAGUNDA</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49348-2024</t>
        </is>
      </c>
      <c r="B1686" s="1" t="n">
        <v>45595</v>
      </c>
      <c r="C1686" s="1" t="n">
        <v>45753</v>
      </c>
      <c r="D1686" t="inlineStr">
        <is>
          <t>JÄMTLANDS LÄN</t>
        </is>
      </c>
      <c r="E1686" t="inlineStr">
        <is>
          <t>RAGUNDA</t>
        </is>
      </c>
      <c r="G1686" t="n">
        <v>14.7</v>
      </c>
      <c r="H1686" t="n">
        <v>0</v>
      </c>
      <c r="I1686" t="n">
        <v>0</v>
      </c>
      <c r="J1686" t="n">
        <v>0</v>
      </c>
      <c r="K1686" t="n">
        <v>0</v>
      </c>
      <c r="L1686" t="n">
        <v>0</v>
      </c>
      <c r="M1686" t="n">
        <v>0</v>
      </c>
      <c r="N1686" t="n">
        <v>0</v>
      </c>
      <c r="O1686" t="n">
        <v>0</v>
      </c>
      <c r="P1686" t="n">
        <v>0</v>
      </c>
      <c r="Q1686" t="n">
        <v>0</v>
      </c>
      <c r="R1686" s="2" t="inlineStr"/>
    </row>
    <row r="1687" ht="15" customHeight="1">
      <c r="A1687" t="inlineStr">
        <is>
          <t>A 49649-2024</t>
        </is>
      </c>
      <c r="B1687" s="1" t="n">
        <v>45596</v>
      </c>
      <c r="C1687" s="1" t="n">
        <v>45753</v>
      </c>
      <c r="D1687" t="inlineStr">
        <is>
          <t>JÄMTLANDS LÄN</t>
        </is>
      </c>
      <c r="E1687" t="inlineStr">
        <is>
          <t>RAGUNDA</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49650-2024</t>
        </is>
      </c>
      <c r="B1688" s="1" t="n">
        <v>45596</v>
      </c>
      <c r="C1688" s="1" t="n">
        <v>45753</v>
      </c>
      <c r="D1688" t="inlineStr">
        <is>
          <t>JÄMTLANDS LÄN</t>
        </is>
      </c>
      <c r="E1688" t="inlineStr">
        <is>
          <t>RAGUNDA</t>
        </is>
      </c>
      <c r="F1688" t="inlineStr">
        <is>
          <t>Naturvårdsverket</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49653-2024</t>
        </is>
      </c>
      <c r="B1689" s="1" t="n">
        <v>45596</v>
      </c>
      <c r="C1689" s="1" t="n">
        <v>45753</v>
      </c>
      <c r="D1689" t="inlineStr">
        <is>
          <t>JÄMTLANDS LÄN</t>
        </is>
      </c>
      <c r="E1689" t="inlineStr">
        <is>
          <t>RAGUNDA</t>
        </is>
      </c>
      <c r="F1689" t="inlineStr">
        <is>
          <t>SCA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49647-2024</t>
        </is>
      </c>
      <c r="B1690" s="1" t="n">
        <v>45596</v>
      </c>
      <c r="C1690" s="1" t="n">
        <v>45753</v>
      </c>
      <c r="D1690" t="inlineStr">
        <is>
          <t>JÄMTLANDS LÄN</t>
        </is>
      </c>
      <c r="E1690" t="inlineStr">
        <is>
          <t>RAGUNDA</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49651-2024</t>
        </is>
      </c>
      <c r="B1691" s="1" t="n">
        <v>45596</v>
      </c>
      <c r="C1691" s="1" t="n">
        <v>45753</v>
      </c>
      <c r="D1691" t="inlineStr">
        <is>
          <t>JÄMTLANDS LÄN</t>
        </is>
      </c>
      <c r="E1691" t="inlineStr">
        <is>
          <t>RAGUNDA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49787-2024</t>
        </is>
      </c>
      <c r="B1692" s="1" t="n">
        <v>45597</v>
      </c>
      <c r="C1692" s="1" t="n">
        <v>45753</v>
      </c>
      <c r="D1692" t="inlineStr">
        <is>
          <t>JÄMTLANDS LÄN</t>
        </is>
      </c>
      <c r="E1692" t="inlineStr">
        <is>
          <t>RAGUNDA</t>
        </is>
      </c>
      <c r="F1692" t="inlineStr">
        <is>
          <t>SCA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50011-2024</t>
        </is>
      </c>
      <c r="B1693" s="1" t="n">
        <v>45598</v>
      </c>
      <c r="C1693" s="1" t="n">
        <v>45753</v>
      </c>
      <c r="D1693" t="inlineStr">
        <is>
          <t>JÄMTLANDS LÄN</t>
        </is>
      </c>
      <c r="E1693" t="inlineStr">
        <is>
          <t>RAGUNDA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50521-2024</t>
        </is>
      </c>
      <c r="B1694" s="1" t="n">
        <v>45601</v>
      </c>
      <c r="C1694" s="1" t="n">
        <v>45753</v>
      </c>
      <c r="D1694" t="inlineStr">
        <is>
          <t>JÄMTLANDS LÄN</t>
        </is>
      </c>
      <c r="E1694" t="inlineStr">
        <is>
          <t>RAGUNDA</t>
        </is>
      </c>
      <c r="F1694" t="inlineStr">
        <is>
          <t>SCA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50555-2024</t>
        </is>
      </c>
      <c r="B1695" s="1" t="n">
        <v>45601</v>
      </c>
      <c r="C1695" s="1" t="n">
        <v>45753</v>
      </c>
      <c r="D1695" t="inlineStr">
        <is>
          <t>JÄMTLANDS LÄN</t>
        </is>
      </c>
      <c r="E1695" t="inlineStr">
        <is>
          <t>RAGUNDA</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50432-2024</t>
        </is>
      </c>
      <c r="B1696" s="1" t="n">
        <v>45601</v>
      </c>
      <c r="C1696" s="1" t="n">
        <v>45753</v>
      </c>
      <c r="D1696" t="inlineStr">
        <is>
          <t>JÄMTLANDS LÄN</t>
        </is>
      </c>
      <c r="E1696" t="inlineStr">
        <is>
          <t>RAGUNDA</t>
        </is>
      </c>
      <c r="F1696" t="inlineStr">
        <is>
          <t>SCA</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50503-2024</t>
        </is>
      </c>
      <c r="B1697" s="1" t="n">
        <v>45601</v>
      </c>
      <c r="C1697" s="1" t="n">
        <v>45753</v>
      </c>
      <c r="D1697" t="inlineStr">
        <is>
          <t>JÄMTLANDS LÄN</t>
        </is>
      </c>
      <c r="E1697" t="inlineStr">
        <is>
          <t>RAGUNDA</t>
        </is>
      </c>
      <c r="F1697" t="inlineStr">
        <is>
          <t>SCA</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50623-2024</t>
        </is>
      </c>
      <c r="B1698" s="1" t="n">
        <v>45601</v>
      </c>
      <c r="C1698" s="1" t="n">
        <v>45753</v>
      </c>
      <c r="D1698" t="inlineStr">
        <is>
          <t>JÄMTLANDS LÄN</t>
        </is>
      </c>
      <c r="E1698" t="inlineStr">
        <is>
          <t>RAGUNDA</t>
        </is>
      </c>
      <c r="F1698" t="inlineStr">
        <is>
          <t>SCA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50431-2024</t>
        </is>
      </c>
      <c r="B1699" s="1" t="n">
        <v>45601</v>
      </c>
      <c r="C1699" s="1" t="n">
        <v>45753</v>
      </c>
      <c r="D1699" t="inlineStr">
        <is>
          <t>JÄMTLANDS LÄN</t>
        </is>
      </c>
      <c r="E1699" t="inlineStr">
        <is>
          <t>RAGUNDA</t>
        </is>
      </c>
      <c r="F1699" t="inlineStr">
        <is>
          <t>SCA</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51066-2024</t>
        </is>
      </c>
      <c r="B1700" s="1" t="n">
        <v>45603</v>
      </c>
      <c r="C1700" s="1" t="n">
        <v>45753</v>
      </c>
      <c r="D1700" t="inlineStr">
        <is>
          <t>JÄMTLANDS LÄN</t>
        </is>
      </c>
      <c r="E1700" t="inlineStr">
        <is>
          <t>RAGUNDA</t>
        </is>
      </c>
      <c r="F1700" t="inlineStr">
        <is>
          <t>SCA</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51245-2024</t>
        </is>
      </c>
      <c r="B1701" s="1" t="n">
        <v>45603</v>
      </c>
      <c r="C1701" s="1" t="n">
        <v>45753</v>
      </c>
      <c r="D1701" t="inlineStr">
        <is>
          <t>JÄMTLANDS LÄN</t>
        </is>
      </c>
      <c r="E1701" t="inlineStr">
        <is>
          <t>RAGUNDA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51049-2024</t>
        </is>
      </c>
      <c r="B1702" s="1" t="n">
        <v>45603</v>
      </c>
      <c r="C1702" s="1" t="n">
        <v>45753</v>
      </c>
      <c r="D1702" t="inlineStr">
        <is>
          <t>JÄMTLANDS LÄN</t>
        </is>
      </c>
      <c r="E1702" t="inlineStr">
        <is>
          <t>RAGUNDA</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51396-2024</t>
        </is>
      </c>
      <c r="B1703" s="1" t="n">
        <v>45604</v>
      </c>
      <c r="C1703" s="1" t="n">
        <v>45753</v>
      </c>
      <c r="D1703" t="inlineStr">
        <is>
          <t>JÄMTLANDS LÄN</t>
        </is>
      </c>
      <c r="E1703" t="inlineStr">
        <is>
          <t>RAGUNDA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51412-2024</t>
        </is>
      </c>
      <c r="B1704" s="1" t="n">
        <v>45604</v>
      </c>
      <c r="C1704" s="1" t="n">
        <v>45753</v>
      </c>
      <c r="D1704" t="inlineStr">
        <is>
          <t>JÄMTLANDS LÄN</t>
        </is>
      </c>
      <c r="E1704" t="inlineStr">
        <is>
          <t>RAGUNDA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51335-2024</t>
        </is>
      </c>
      <c r="B1705" s="1" t="n">
        <v>45604</v>
      </c>
      <c r="C1705" s="1" t="n">
        <v>45753</v>
      </c>
      <c r="D1705" t="inlineStr">
        <is>
          <t>JÄMTLANDS LÄN</t>
        </is>
      </c>
      <c r="E1705" t="inlineStr">
        <is>
          <t>RAGUNDA</t>
        </is>
      </c>
      <c r="F1705" t="inlineStr">
        <is>
          <t>SCA</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51579-2024</t>
        </is>
      </c>
      <c r="B1706" s="1" t="n">
        <v>45604</v>
      </c>
      <c r="C1706" s="1" t="n">
        <v>45753</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51389-2024</t>
        </is>
      </c>
      <c r="B1707" s="1" t="n">
        <v>45604</v>
      </c>
      <c r="C1707" s="1" t="n">
        <v>45753</v>
      </c>
      <c r="D1707" t="inlineStr">
        <is>
          <t>JÄMTLANDS LÄN</t>
        </is>
      </c>
      <c r="E1707" t="inlineStr">
        <is>
          <t>RAGUNDA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51393-2024</t>
        </is>
      </c>
      <c r="B1708" s="1" t="n">
        <v>45604</v>
      </c>
      <c r="C1708" s="1" t="n">
        <v>45753</v>
      </c>
      <c r="D1708" t="inlineStr">
        <is>
          <t>JÄMTLANDS LÄN</t>
        </is>
      </c>
      <c r="E1708" t="inlineStr">
        <is>
          <t>RAGUNDA</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51397-2024</t>
        </is>
      </c>
      <c r="B1709" s="1" t="n">
        <v>45604</v>
      </c>
      <c r="C1709" s="1" t="n">
        <v>45753</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51417-2024</t>
        </is>
      </c>
      <c r="B1710" s="1" t="n">
        <v>45604</v>
      </c>
      <c r="C1710" s="1" t="n">
        <v>45753</v>
      </c>
      <c r="D1710" t="inlineStr">
        <is>
          <t>JÄMTLANDS LÄN</t>
        </is>
      </c>
      <c r="E1710" t="inlineStr">
        <is>
          <t>RAGUNDA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52013-2024</t>
        </is>
      </c>
      <c r="B1711" s="1" t="n">
        <v>45607</v>
      </c>
      <c r="C1711" s="1" t="n">
        <v>45753</v>
      </c>
      <c r="D1711" t="inlineStr">
        <is>
          <t>JÄMTLANDS LÄN</t>
        </is>
      </c>
      <c r="E1711" t="inlineStr">
        <is>
          <t>RAGUNDA</t>
        </is>
      </c>
      <c r="G1711" t="n">
        <v>12.8</v>
      </c>
      <c r="H1711" t="n">
        <v>0</v>
      </c>
      <c r="I1711" t="n">
        <v>0</v>
      </c>
      <c r="J1711" t="n">
        <v>0</v>
      </c>
      <c r="K1711" t="n">
        <v>0</v>
      </c>
      <c r="L1711" t="n">
        <v>0</v>
      </c>
      <c r="M1711" t="n">
        <v>0</v>
      </c>
      <c r="N1711" t="n">
        <v>0</v>
      </c>
      <c r="O1711" t="n">
        <v>0</v>
      </c>
      <c r="P1711" t="n">
        <v>0</v>
      </c>
      <c r="Q1711" t="n">
        <v>0</v>
      </c>
      <c r="R1711" s="2" t="inlineStr"/>
    </row>
    <row r="1712" ht="15" customHeight="1">
      <c r="A1712" t="inlineStr">
        <is>
          <t>A 52228-2024</t>
        </is>
      </c>
      <c r="B1712" s="1" t="n">
        <v>45608</v>
      </c>
      <c r="C1712" s="1" t="n">
        <v>45753</v>
      </c>
      <c r="D1712" t="inlineStr">
        <is>
          <t>JÄMTLANDS LÄN</t>
        </is>
      </c>
      <c r="E1712" t="inlineStr">
        <is>
          <t>RAGUNDA</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52148-2024</t>
        </is>
      </c>
      <c r="B1713" s="1" t="n">
        <v>45608</v>
      </c>
      <c r="C1713" s="1" t="n">
        <v>45753</v>
      </c>
      <c r="D1713" t="inlineStr">
        <is>
          <t>JÄMTLANDS LÄN</t>
        </is>
      </c>
      <c r="E1713" t="inlineStr">
        <is>
          <t>RAGUNDA</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52345-2024</t>
        </is>
      </c>
      <c r="B1714" s="1" t="n">
        <v>45609</v>
      </c>
      <c r="C1714" s="1" t="n">
        <v>45753</v>
      </c>
      <c r="D1714" t="inlineStr">
        <is>
          <t>JÄMTLANDS LÄN</t>
        </is>
      </c>
      <c r="E1714" t="inlineStr">
        <is>
          <t>RAGUNDA</t>
        </is>
      </c>
      <c r="F1714" t="inlineStr">
        <is>
          <t>SCA</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52599-2024</t>
        </is>
      </c>
      <c r="B1715" s="1" t="n">
        <v>45609</v>
      </c>
      <c r="C1715" s="1" t="n">
        <v>45753</v>
      </c>
      <c r="D1715" t="inlineStr">
        <is>
          <t>JÄMTLANDS LÄN</t>
        </is>
      </c>
      <c r="E1715" t="inlineStr">
        <is>
          <t>RAGUNDA</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52708-2024</t>
        </is>
      </c>
      <c r="B1716" s="1" t="n">
        <v>45610</v>
      </c>
      <c r="C1716" s="1" t="n">
        <v>45753</v>
      </c>
      <c r="D1716" t="inlineStr">
        <is>
          <t>JÄMTLANDS LÄN</t>
        </is>
      </c>
      <c r="E1716" t="inlineStr">
        <is>
          <t>RAGUNDA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53171-2024</t>
        </is>
      </c>
      <c r="B1717" s="1" t="n">
        <v>45611</v>
      </c>
      <c r="C1717" s="1" t="n">
        <v>45753</v>
      </c>
      <c r="D1717" t="inlineStr">
        <is>
          <t>JÄMTLANDS LÄN</t>
        </is>
      </c>
      <c r="E1717" t="inlineStr">
        <is>
          <t>RAGUNDA</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53133-2024</t>
        </is>
      </c>
      <c r="B1718" s="1" t="n">
        <v>45611</v>
      </c>
      <c r="C1718" s="1" t="n">
        <v>45753</v>
      </c>
      <c r="D1718" t="inlineStr">
        <is>
          <t>JÄMTLANDS LÄN</t>
        </is>
      </c>
      <c r="E1718" t="inlineStr">
        <is>
          <t>RAGUNDA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53136-2024</t>
        </is>
      </c>
      <c r="B1719" s="1" t="n">
        <v>45611</v>
      </c>
      <c r="C1719" s="1" t="n">
        <v>45753</v>
      </c>
      <c r="D1719" t="inlineStr">
        <is>
          <t>JÄMTLANDS LÄN</t>
        </is>
      </c>
      <c r="E1719" t="inlineStr">
        <is>
          <t>RAGUNDA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53144-2024</t>
        </is>
      </c>
      <c r="B1720" s="1" t="n">
        <v>45611</v>
      </c>
      <c r="C1720" s="1" t="n">
        <v>45753</v>
      </c>
      <c r="D1720" t="inlineStr">
        <is>
          <t>JÄMTLANDS LÄN</t>
        </is>
      </c>
      <c r="E1720" t="inlineStr">
        <is>
          <t>RAGUNDA</t>
        </is>
      </c>
      <c r="F1720" t="inlineStr">
        <is>
          <t>SCA</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53135-2024</t>
        </is>
      </c>
      <c r="B1721" s="1" t="n">
        <v>45611</v>
      </c>
      <c r="C1721" s="1" t="n">
        <v>45753</v>
      </c>
      <c r="D1721" t="inlineStr">
        <is>
          <t>JÄMTLANDS LÄN</t>
        </is>
      </c>
      <c r="E1721" t="inlineStr">
        <is>
          <t>RAGUNDA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53134-2024</t>
        </is>
      </c>
      <c r="B1722" s="1" t="n">
        <v>45611</v>
      </c>
      <c r="C1722" s="1" t="n">
        <v>45753</v>
      </c>
      <c r="D1722" t="inlineStr">
        <is>
          <t>JÄMTLANDS LÄN</t>
        </is>
      </c>
      <c r="E1722" t="inlineStr">
        <is>
          <t>RAGUNDA</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53551-2024</t>
        </is>
      </c>
      <c r="B1723" s="1" t="n">
        <v>45614</v>
      </c>
      <c r="C1723" s="1" t="n">
        <v>45753</v>
      </c>
      <c r="D1723" t="inlineStr">
        <is>
          <t>JÄMTLANDS LÄN</t>
        </is>
      </c>
      <c r="E1723" t="inlineStr">
        <is>
          <t>RAGUNDA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53561-2024</t>
        </is>
      </c>
      <c r="B1724" s="1" t="n">
        <v>45614</v>
      </c>
      <c r="C1724" s="1" t="n">
        <v>45753</v>
      </c>
      <c r="D1724" t="inlineStr">
        <is>
          <t>JÄMTLANDS LÄN</t>
        </is>
      </c>
      <c r="E1724" t="inlineStr">
        <is>
          <t>RAGUNDA</t>
        </is>
      </c>
      <c r="F1724" t="inlineStr">
        <is>
          <t>Naturvårdsverket</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53264-2024</t>
        </is>
      </c>
      <c r="B1725" s="1" t="n">
        <v>45614</v>
      </c>
      <c r="C1725" s="1" t="n">
        <v>45753</v>
      </c>
      <c r="D1725" t="inlineStr">
        <is>
          <t>JÄMTLANDS LÄN</t>
        </is>
      </c>
      <c r="E1725" t="inlineStr">
        <is>
          <t>RAGUNDA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53549-2024</t>
        </is>
      </c>
      <c r="B1726" s="1" t="n">
        <v>45614</v>
      </c>
      <c r="C1726" s="1" t="n">
        <v>45753</v>
      </c>
      <c r="D1726" t="inlineStr">
        <is>
          <t>JÄMTLANDS LÄN</t>
        </is>
      </c>
      <c r="E1726" t="inlineStr">
        <is>
          <t>RAGUNDA</t>
        </is>
      </c>
      <c r="F1726" t="inlineStr">
        <is>
          <t>Kyrkan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53263-2024</t>
        </is>
      </c>
      <c r="B1727" s="1" t="n">
        <v>45614</v>
      </c>
      <c r="C1727" s="1" t="n">
        <v>45753</v>
      </c>
      <c r="D1727" t="inlineStr">
        <is>
          <t>JÄMTLANDS LÄN</t>
        </is>
      </c>
      <c r="E1727" t="inlineStr">
        <is>
          <t>RAGUNDA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53714-2024</t>
        </is>
      </c>
      <c r="B1728" s="1" t="n">
        <v>45615</v>
      </c>
      <c r="C1728" s="1" t="n">
        <v>45753</v>
      </c>
      <c r="D1728" t="inlineStr">
        <is>
          <t>JÄMTLANDS LÄN</t>
        </is>
      </c>
      <c r="E1728" t="inlineStr">
        <is>
          <t>RAGUNDA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53740-2024</t>
        </is>
      </c>
      <c r="B1729" s="1" t="n">
        <v>45615</v>
      </c>
      <c r="C1729" s="1" t="n">
        <v>45753</v>
      </c>
      <c r="D1729" t="inlineStr">
        <is>
          <t>JÄMTLANDS LÄN</t>
        </is>
      </c>
      <c r="E1729" t="inlineStr">
        <is>
          <t>RAGUNDA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53757-2024</t>
        </is>
      </c>
      <c r="B1730" s="1" t="n">
        <v>45615</v>
      </c>
      <c r="C1730" s="1" t="n">
        <v>45753</v>
      </c>
      <c r="D1730" t="inlineStr">
        <is>
          <t>JÄMTLANDS LÄN</t>
        </is>
      </c>
      <c r="E1730" t="inlineStr">
        <is>
          <t>RAGUNDA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53990-2024</t>
        </is>
      </c>
      <c r="B1731" s="1" t="n">
        <v>45616</v>
      </c>
      <c r="C1731" s="1" t="n">
        <v>45753</v>
      </c>
      <c r="D1731" t="inlineStr">
        <is>
          <t>JÄMTLANDS LÄN</t>
        </is>
      </c>
      <c r="E1731" t="inlineStr">
        <is>
          <t>RAGUNDA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54061-2024</t>
        </is>
      </c>
      <c r="B1732" s="1" t="n">
        <v>45616</v>
      </c>
      <c r="C1732" s="1" t="n">
        <v>45753</v>
      </c>
      <c r="D1732" t="inlineStr">
        <is>
          <t>JÄMTLANDS LÄN</t>
        </is>
      </c>
      <c r="E1732" t="inlineStr">
        <is>
          <t>RAGUNDA</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54092-2024</t>
        </is>
      </c>
      <c r="B1733" s="1" t="n">
        <v>45616</v>
      </c>
      <c r="C1733" s="1" t="n">
        <v>45753</v>
      </c>
      <c r="D1733" t="inlineStr">
        <is>
          <t>JÄMTLANDS LÄN</t>
        </is>
      </c>
      <c r="E1733" t="inlineStr">
        <is>
          <t>RAGUNDA</t>
        </is>
      </c>
      <c r="F1733" t="inlineStr">
        <is>
          <t>Naturvårdsverket</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53989-2024</t>
        </is>
      </c>
      <c r="B1734" s="1" t="n">
        <v>45616</v>
      </c>
      <c r="C1734" s="1" t="n">
        <v>45753</v>
      </c>
      <c r="D1734" t="inlineStr">
        <is>
          <t>JÄMTLANDS LÄN</t>
        </is>
      </c>
      <c r="E1734" t="inlineStr">
        <is>
          <t>RAGUNDA</t>
        </is>
      </c>
      <c r="F1734" t="inlineStr">
        <is>
          <t>SCA</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54232-2024</t>
        </is>
      </c>
      <c r="B1735" s="1" t="n">
        <v>45616</v>
      </c>
      <c r="C1735" s="1" t="n">
        <v>45753</v>
      </c>
      <c r="D1735" t="inlineStr">
        <is>
          <t>JÄMTLANDS LÄN</t>
        </is>
      </c>
      <c r="E1735" t="inlineStr">
        <is>
          <t>RAGUNDA</t>
        </is>
      </c>
      <c r="F1735" t="inlineStr">
        <is>
          <t>Naturvårdsverket</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54339-2024</t>
        </is>
      </c>
      <c r="B1736" s="1" t="n">
        <v>45617</v>
      </c>
      <c r="C1736" s="1" t="n">
        <v>45753</v>
      </c>
      <c r="D1736" t="inlineStr">
        <is>
          <t>JÄMTLANDS LÄN</t>
        </is>
      </c>
      <c r="E1736" t="inlineStr">
        <is>
          <t>RAGUNDA</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54476-2024</t>
        </is>
      </c>
      <c r="B1737" s="1" t="n">
        <v>45617</v>
      </c>
      <c r="C1737" s="1" t="n">
        <v>45753</v>
      </c>
      <c r="D1737" t="inlineStr">
        <is>
          <t>JÄMTLANDS LÄN</t>
        </is>
      </c>
      <c r="E1737" t="inlineStr">
        <is>
          <t>RAGUNDA</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54733-2024</t>
        </is>
      </c>
      <c r="B1738" s="1" t="n">
        <v>45618</v>
      </c>
      <c r="C1738" s="1" t="n">
        <v>45753</v>
      </c>
      <c r="D1738" t="inlineStr">
        <is>
          <t>JÄMTLANDS LÄN</t>
        </is>
      </c>
      <c r="E1738" t="inlineStr">
        <is>
          <t>RAGUNDA</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54694-2024</t>
        </is>
      </c>
      <c r="B1739" s="1" t="n">
        <v>45618</v>
      </c>
      <c r="C1739" s="1" t="n">
        <v>45753</v>
      </c>
      <c r="D1739" t="inlineStr">
        <is>
          <t>JÄMTLANDS LÄN</t>
        </is>
      </c>
      <c r="E1739" t="inlineStr">
        <is>
          <t>RAGUNDA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54764-2024</t>
        </is>
      </c>
      <c r="B1740" s="1" t="n">
        <v>45618</v>
      </c>
      <c r="C1740" s="1" t="n">
        <v>45753</v>
      </c>
      <c r="D1740" t="inlineStr">
        <is>
          <t>JÄMTLANDS LÄN</t>
        </is>
      </c>
      <c r="E1740" t="inlineStr">
        <is>
          <t>RAGUNDA</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55222-2024</t>
        </is>
      </c>
      <c r="B1741" s="1" t="n">
        <v>45621</v>
      </c>
      <c r="C1741" s="1" t="n">
        <v>45753</v>
      </c>
      <c r="D1741" t="inlineStr">
        <is>
          <t>JÄMTLANDS LÄN</t>
        </is>
      </c>
      <c r="E1741" t="inlineStr">
        <is>
          <t>RAGUNDA</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55489-2024</t>
        </is>
      </c>
      <c r="B1742" s="1" t="n">
        <v>45622</v>
      </c>
      <c r="C1742" s="1" t="n">
        <v>45753</v>
      </c>
      <c r="D1742" t="inlineStr">
        <is>
          <t>JÄMTLANDS LÄN</t>
        </is>
      </c>
      <c r="E1742" t="inlineStr">
        <is>
          <t>RAGUNDA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55571-2024</t>
        </is>
      </c>
      <c r="B1743" s="1" t="n">
        <v>45622</v>
      </c>
      <c r="C1743" s="1" t="n">
        <v>45753</v>
      </c>
      <c r="D1743" t="inlineStr">
        <is>
          <t>JÄMTLANDS LÄN</t>
        </is>
      </c>
      <c r="E1743" t="inlineStr">
        <is>
          <t>RAGUNDA</t>
        </is>
      </c>
      <c r="F1743" t="inlineStr">
        <is>
          <t>SCA</t>
        </is>
      </c>
      <c r="G1743" t="n">
        <v>41.5</v>
      </c>
      <c r="H1743" t="n">
        <v>0</v>
      </c>
      <c r="I1743" t="n">
        <v>0</v>
      </c>
      <c r="J1743" t="n">
        <v>0</v>
      </c>
      <c r="K1743" t="n">
        <v>0</v>
      </c>
      <c r="L1743" t="n">
        <v>0</v>
      </c>
      <c r="M1743" t="n">
        <v>0</v>
      </c>
      <c r="N1743" t="n">
        <v>0</v>
      </c>
      <c r="O1743" t="n">
        <v>0</v>
      </c>
      <c r="P1743" t="n">
        <v>0</v>
      </c>
      <c r="Q1743" t="n">
        <v>0</v>
      </c>
      <c r="R1743" s="2" t="inlineStr"/>
    </row>
    <row r="1744" ht="15" customHeight="1">
      <c r="A1744" t="inlineStr">
        <is>
          <t>A 55421-2024</t>
        </is>
      </c>
      <c r="B1744" s="1" t="n">
        <v>45622</v>
      </c>
      <c r="C1744" s="1" t="n">
        <v>45753</v>
      </c>
      <c r="D1744" t="inlineStr">
        <is>
          <t>JÄMTLANDS LÄN</t>
        </is>
      </c>
      <c r="E1744" t="inlineStr">
        <is>
          <t>RAGUNDA</t>
        </is>
      </c>
      <c r="F1744" t="inlineStr">
        <is>
          <t>SCA</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55508-2024</t>
        </is>
      </c>
      <c r="B1745" s="1" t="n">
        <v>45622</v>
      </c>
      <c r="C1745" s="1" t="n">
        <v>45753</v>
      </c>
      <c r="D1745" t="inlineStr">
        <is>
          <t>JÄMTLANDS LÄN</t>
        </is>
      </c>
      <c r="E1745" t="inlineStr">
        <is>
          <t>RAGUNDA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55536-2024</t>
        </is>
      </c>
      <c r="B1746" s="1" t="n">
        <v>45622</v>
      </c>
      <c r="C1746" s="1" t="n">
        <v>45753</v>
      </c>
      <c r="D1746" t="inlineStr">
        <is>
          <t>JÄMTLANDS LÄN</t>
        </is>
      </c>
      <c r="E1746" t="inlineStr">
        <is>
          <t>RAGUNDA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55514-2024</t>
        </is>
      </c>
      <c r="B1747" s="1" t="n">
        <v>45622</v>
      </c>
      <c r="C1747" s="1" t="n">
        <v>45753</v>
      </c>
      <c r="D1747" t="inlineStr">
        <is>
          <t>JÄMTLANDS LÄN</t>
        </is>
      </c>
      <c r="E1747" t="inlineStr">
        <is>
          <t>RAGUNDA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55524-2024</t>
        </is>
      </c>
      <c r="B1748" s="1" t="n">
        <v>45622</v>
      </c>
      <c r="C1748" s="1" t="n">
        <v>45753</v>
      </c>
      <c r="D1748" t="inlineStr">
        <is>
          <t>JÄMTLANDS LÄN</t>
        </is>
      </c>
      <c r="E1748" t="inlineStr">
        <is>
          <t>RAGUNDA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55533-2024</t>
        </is>
      </c>
      <c r="B1749" s="1" t="n">
        <v>45622</v>
      </c>
      <c r="C1749" s="1" t="n">
        <v>45753</v>
      </c>
      <c r="D1749" t="inlineStr">
        <is>
          <t>JÄMTLANDS LÄN</t>
        </is>
      </c>
      <c r="E1749" t="inlineStr">
        <is>
          <t>RAGUNDA</t>
        </is>
      </c>
      <c r="F1749" t="inlineStr">
        <is>
          <t>SCA</t>
        </is>
      </c>
      <c r="G1749" t="n">
        <v>26.3</v>
      </c>
      <c r="H1749" t="n">
        <v>0</v>
      </c>
      <c r="I1749" t="n">
        <v>0</v>
      </c>
      <c r="J1749" t="n">
        <v>0</v>
      </c>
      <c r="K1749" t="n">
        <v>0</v>
      </c>
      <c r="L1749" t="n">
        <v>0</v>
      </c>
      <c r="M1749" t="n">
        <v>0</v>
      </c>
      <c r="N1749" t="n">
        <v>0</v>
      </c>
      <c r="O1749" t="n">
        <v>0</v>
      </c>
      <c r="P1749" t="n">
        <v>0</v>
      </c>
      <c r="Q1749" t="n">
        <v>0</v>
      </c>
      <c r="R1749" s="2" t="inlineStr"/>
    </row>
    <row r="1750" ht="15" customHeight="1">
      <c r="A1750" t="inlineStr">
        <is>
          <t>A 55803-2024</t>
        </is>
      </c>
      <c r="B1750" s="1" t="n">
        <v>45623</v>
      </c>
      <c r="C1750" s="1" t="n">
        <v>45753</v>
      </c>
      <c r="D1750" t="inlineStr">
        <is>
          <t>JÄMTLANDS LÄN</t>
        </is>
      </c>
      <c r="E1750" t="inlineStr">
        <is>
          <t>RAGUNDA</t>
        </is>
      </c>
      <c r="F1750" t="inlineStr">
        <is>
          <t>SCA</t>
        </is>
      </c>
      <c r="G1750" t="n">
        <v>19.4</v>
      </c>
      <c r="H1750" t="n">
        <v>0</v>
      </c>
      <c r="I1750" t="n">
        <v>0</v>
      </c>
      <c r="J1750" t="n">
        <v>0</v>
      </c>
      <c r="K1750" t="n">
        <v>0</v>
      </c>
      <c r="L1750" t="n">
        <v>0</v>
      </c>
      <c r="M1750" t="n">
        <v>0</v>
      </c>
      <c r="N1750" t="n">
        <v>0</v>
      </c>
      <c r="O1750" t="n">
        <v>0</v>
      </c>
      <c r="P1750" t="n">
        <v>0</v>
      </c>
      <c r="Q1750" t="n">
        <v>0</v>
      </c>
      <c r="R1750" s="2" t="inlineStr"/>
    </row>
    <row r="1751" ht="15" customHeight="1">
      <c r="A1751" t="inlineStr">
        <is>
          <t>A 55804-2024</t>
        </is>
      </c>
      <c r="B1751" s="1" t="n">
        <v>45623</v>
      </c>
      <c r="C1751" s="1" t="n">
        <v>45753</v>
      </c>
      <c r="D1751" t="inlineStr">
        <is>
          <t>JÄMTLANDS LÄN</t>
        </is>
      </c>
      <c r="E1751" t="inlineStr">
        <is>
          <t>RAGUNDA</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56504-2024</t>
        </is>
      </c>
      <c r="B1752" s="1" t="n">
        <v>45625</v>
      </c>
      <c r="C1752" s="1" t="n">
        <v>45753</v>
      </c>
      <c r="D1752" t="inlineStr">
        <is>
          <t>JÄMTLANDS LÄN</t>
        </is>
      </c>
      <c r="E1752" t="inlineStr">
        <is>
          <t>RAGUNDA</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56893-2024</t>
        </is>
      </c>
      <c r="B1753" s="1" t="n">
        <v>45628</v>
      </c>
      <c r="C1753" s="1" t="n">
        <v>45753</v>
      </c>
      <c r="D1753" t="inlineStr">
        <is>
          <t>JÄMTLANDS LÄN</t>
        </is>
      </c>
      <c r="E1753" t="inlineStr">
        <is>
          <t>RAGUNDA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57086-2024</t>
        </is>
      </c>
      <c r="B1754" s="1" t="n">
        <v>45629</v>
      </c>
      <c r="C1754" s="1" t="n">
        <v>45753</v>
      </c>
      <c r="D1754" t="inlineStr">
        <is>
          <t>JÄMTLANDS LÄN</t>
        </is>
      </c>
      <c r="E1754" t="inlineStr">
        <is>
          <t>RAGUNDA</t>
        </is>
      </c>
      <c r="F1754" t="inlineStr">
        <is>
          <t>SCA</t>
        </is>
      </c>
      <c r="G1754" t="n">
        <v>24.6</v>
      </c>
      <c r="H1754" t="n">
        <v>0</v>
      </c>
      <c r="I1754" t="n">
        <v>0</v>
      </c>
      <c r="J1754" t="n">
        <v>0</v>
      </c>
      <c r="K1754" t="n">
        <v>0</v>
      </c>
      <c r="L1754" t="n">
        <v>0</v>
      </c>
      <c r="M1754" t="n">
        <v>0</v>
      </c>
      <c r="N1754" t="n">
        <v>0</v>
      </c>
      <c r="O1754" t="n">
        <v>0</v>
      </c>
      <c r="P1754" t="n">
        <v>0</v>
      </c>
      <c r="Q1754" t="n">
        <v>0</v>
      </c>
      <c r="R1754" s="2" t="inlineStr"/>
    </row>
    <row r="1755" ht="15" customHeight="1">
      <c r="A1755" t="inlineStr">
        <is>
          <t>A 57112-2024</t>
        </is>
      </c>
      <c r="B1755" s="1" t="n">
        <v>45629</v>
      </c>
      <c r="C1755" s="1" t="n">
        <v>45753</v>
      </c>
      <c r="D1755" t="inlineStr">
        <is>
          <t>JÄMTLANDS LÄN</t>
        </is>
      </c>
      <c r="E1755" t="inlineStr">
        <is>
          <t>RAGUNDA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57116-2024</t>
        </is>
      </c>
      <c r="B1756" s="1" t="n">
        <v>45629</v>
      </c>
      <c r="C1756" s="1" t="n">
        <v>45753</v>
      </c>
      <c r="D1756" t="inlineStr">
        <is>
          <t>JÄMTLANDS LÄN</t>
        </is>
      </c>
      <c r="E1756" t="inlineStr">
        <is>
          <t>RAGUNDA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57064-2024</t>
        </is>
      </c>
      <c r="B1757" s="1" t="n">
        <v>45629</v>
      </c>
      <c r="C1757" s="1" t="n">
        <v>45753</v>
      </c>
      <c r="D1757" t="inlineStr">
        <is>
          <t>JÄMTLANDS LÄN</t>
        </is>
      </c>
      <c r="E1757" t="inlineStr">
        <is>
          <t>RAGUNDA</t>
        </is>
      </c>
      <c r="F1757" t="inlineStr">
        <is>
          <t>Naturvårdsverket</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57170-2024</t>
        </is>
      </c>
      <c r="B1758" s="1" t="n">
        <v>45629</v>
      </c>
      <c r="C1758" s="1" t="n">
        <v>45753</v>
      </c>
      <c r="D1758" t="inlineStr">
        <is>
          <t>JÄMTLANDS LÄN</t>
        </is>
      </c>
      <c r="E1758" t="inlineStr">
        <is>
          <t>RAGUNDA</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57749-2024</t>
        </is>
      </c>
      <c r="B1759" s="1" t="n">
        <v>45630</v>
      </c>
      <c r="C1759" s="1" t="n">
        <v>45753</v>
      </c>
      <c r="D1759" t="inlineStr">
        <is>
          <t>JÄMTLANDS LÄN</t>
        </is>
      </c>
      <c r="E1759" t="inlineStr">
        <is>
          <t>RAGUNDA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57842-2024</t>
        </is>
      </c>
      <c r="B1760" s="1" t="n">
        <v>45631</v>
      </c>
      <c r="C1760" s="1" t="n">
        <v>45753</v>
      </c>
      <c r="D1760" t="inlineStr">
        <is>
          <t>JÄMTLANDS LÄN</t>
        </is>
      </c>
      <c r="E1760" t="inlineStr">
        <is>
          <t>RAGUNDA</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57889-2024</t>
        </is>
      </c>
      <c r="B1761" s="1" t="n">
        <v>45631</v>
      </c>
      <c r="C1761" s="1" t="n">
        <v>45753</v>
      </c>
      <c r="D1761" t="inlineStr">
        <is>
          <t>JÄMTLANDS LÄN</t>
        </is>
      </c>
      <c r="E1761" t="inlineStr">
        <is>
          <t>RAGUNDA</t>
        </is>
      </c>
      <c r="G1761" t="n">
        <v>11.1</v>
      </c>
      <c r="H1761" t="n">
        <v>0</v>
      </c>
      <c r="I1761" t="n">
        <v>0</v>
      </c>
      <c r="J1761" t="n">
        <v>0</v>
      </c>
      <c r="K1761" t="n">
        <v>0</v>
      </c>
      <c r="L1761" t="n">
        <v>0</v>
      </c>
      <c r="M1761" t="n">
        <v>0</v>
      </c>
      <c r="N1761" t="n">
        <v>0</v>
      </c>
      <c r="O1761" t="n">
        <v>0</v>
      </c>
      <c r="P1761" t="n">
        <v>0</v>
      </c>
      <c r="Q1761" t="n">
        <v>0</v>
      </c>
      <c r="R1761" s="2" t="inlineStr"/>
    </row>
    <row r="1762" ht="15" customHeight="1">
      <c r="A1762" t="inlineStr">
        <is>
          <t>A 57992-2024</t>
        </is>
      </c>
      <c r="B1762" s="1" t="n">
        <v>45631</v>
      </c>
      <c r="C1762" s="1" t="n">
        <v>45753</v>
      </c>
      <c r="D1762" t="inlineStr">
        <is>
          <t>JÄMTLANDS LÄN</t>
        </is>
      </c>
      <c r="E1762" t="inlineStr">
        <is>
          <t>RAGUNDA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58563-2024</t>
        </is>
      </c>
      <c r="B1763" s="1" t="n">
        <v>45635</v>
      </c>
      <c r="C1763" s="1" t="n">
        <v>45753</v>
      </c>
      <c r="D1763" t="inlineStr">
        <is>
          <t>JÄMTLANDS LÄN</t>
        </is>
      </c>
      <c r="E1763" t="inlineStr">
        <is>
          <t>RAGUNDA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58630-2024</t>
        </is>
      </c>
      <c r="B1764" s="1" t="n">
        <v>45635</v>
      </c>
      <c r="C1764" s="1" t="n">
        <v>45753</v>
      </c>
      <c r="D1764" t="inlineStr">
        <is>
          <t>JÄMTLANDS LÄN</t>
        </is>
      </c>
      <c r="E1764" t="inlineStr">
        <is>
          <t>RAGUNDA</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58564-2024</t>
        </is>
      </c>
      <c r="B1765" s="1" t="n">
        <v>45635</v>
      </c>
      <c r="C1765" s="1" t="n">
        <v>45753</v>
      </c>
      <c r="D1765" t="inlineStr">
        <is>
          <t>JÄMTLANDS LÄN</t>
        </is>
      </c>
      <c r="E1765" t="inlineStr">
        <is>
          <t>RAGUNDA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58562-2024</t>
        </is>
      </c>
      <c r="B1766" s="1" t="n">
        <v>45635</v>
      </c>
      <c r="C1766" s="1" t="n">
        <v>45753</v>
      </c>
      <c r="D1766" t="inlineStr">
        <is>
          <t>JÄMTLANDS LÄN</t>
        </is>
      </c>
      <c r="E1766" t="inlineStr">
        <is>
          <t>RAGUNDA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58955-2024</t>
        </is>
      </c>
      <c r="B1767" s="1" t="n">
        <v>45636</v>
      </c>
      <c r="C1767" s="1" t="n">
        <v>45753</v>
      </c>
      <c r="D1767" t="inlineStr">
        <is>
          <t>JÄMTLANDS LÄN</t>
        </is>
      </c>
      <c r="E1767" t="inlineStr">
        <is>
          <t>RAGUNDA</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58847-2024</t>
        </is>
      </c>
      <c r="B1768" s="1" t="n">
        <v>45636</v>
      </c>
      <c r="C1768" s="1" t="n">
        <v>45753</v>
      </c>
      <c r="D1768" t="inlineStr">
        <is>
          <t>JÄMTLANDS LÄN</t>
        </is>
      </c>
      <c r="E1768" t="inlineStr">
        <is>
          <t>RAGUNDA</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58843-2024</t>
        </is>
      </c>
      <c r="B1769" s="1" t="n">
        <v>45636</v>
      </c>
      <c r="C1769" s="1" t="n">
        <v>45753</v>
      </c>
      <c r="D1769" t="inlineStr">
        <is>
          <t>JÄMTLANDS LÄN</t>
        </is>
      </c>
      <c r="E1769" t="inlineStr">
        <is>
          <t>RAGUNDA</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58844-2024</t>
        </is>
      </c>
      <c r="B1770" s="1" t="n">
        <v>45636</v>
      </c>
      <c r="C1770" s="1" t="n">
        <v>45753</v>
      </c>
      <c r="D1770" t="inlineStr">
        <is>
          <t>JÄMTLANDS LÄN</t>
        </is>
      </c>
      <c r="E1770" t="inlineStr">
        <is>
          <t>RAGUNDA</t>
        </is>
      </c>
      <c r="F1770" t="inlineStr">
        <is>
          <t>SCA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59556-2024</t>
        </is>
      </c>
      <c r="B1771" s="1" t="n">
        <v>45638</v>
      </c>
      <c r="C1771" s="1" t="n">
        <v>45753</v>
      </c>
      <c r="D1771" t="inlineStr">
        <is>
          <t>JÄMTLANDS LÄN</t>
        </is>
      </c>
      <c r="E1771" t="inlineStr">
        <is>
          <t>RAGUNDA</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59492-2024</t>
        </is>
      </c>
      <c r="B1772" s="1" t="n">
        <v>45638</v>
      </c>
      <c r="C1772" s="1" t="n">
        <v>45753</v>
      </c>
      <c r="D1772" t="inlineStr">
        <is>
          <t>JÄMTLANDS LÄN</t>
        </is>
      </c>
      <c r="E1772" t="inlineStr">
        <is>
          <t>RAGUNDA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59496-2024</t>
        </is>
      </c>
      <c r="B1773" s="1" t="n">
        <v>45638</v>
      </c>
      <c r="C1773" s="1" t="n">
        <v>45753</v>
      </c>
      <c r="D1773" t="inlineStr">
        <is>
          <t>JÄMTLANDS LÄN</t>
        </is>
      </c>
      <c r="E1773" t="inlineStr">
        <is>
          <t>RAGUNDA</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59372-2024</t>
        </is>
      </c>
      <c r="B1774" s="1" t="n">
        <v>45638</v>
      </c>
      <c r="C1774" s="1" t="n">
        <v>45753</v>
      </c>
      <c r="D1774" t="inlineStr">
        <is>
          <t>JÄMTLANDS LÄN</t>
        </is>
      </c>
      <c r="E1774" t="inlineStr">
        <is>
          <t>RAGUNDA</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59800-2024</t>
        </is>
      </c>
      <c r="B1775" s="1" t="n">
        <v>45639</v>
      </c>
      <c r="C1775" s="1" t="n">
        <v>45753</v>
      </c>
      <c r="D1775" t="inlineStr">
        <is>
          <t>JÄMTLANDS LÄN</t>
        </is>
      </c>
      <c r="E1775" t="inlineStr">
        <is>
          <t>RAGUNDA</t>
        </is>
      </c>
      <c r="F1775" t="inlineStr">
        <is>
          <t>SCA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59670-2024</t>
        </is>
      </c>
      <c r="B1776" s="1" t="n">
        <v>45639</v>
      </c>
      <c r="C1776" s="1" t="n">
        <v>45753</v>
      </c>
      <c r="D1776" t="inlineStr">
        <is>
          <t>JÄMTLANDS LÄN</t>
        </is>
      </c>
      <c r="E1776" t="inlineStr">
        <is>
          <t>RAGUNDA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59759-2024</t>
        </is>
      </c>
      <c r="B1777" s="1" t="n">
        <v>45639</v>
      </c>
      <c r="C1777" s="1" t="n">
        <v>45753</v>
      </c>
      <c r="D1777" t="inlineStr">
        <is>
          <t>JÄMTLANDS LÄN</t>
        </is>
      </c>
      <c r="E1777" t="inlineStr">
        <is>
          <t>RAGUNDA</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59649-2024</t>
        </is>
      </c>
      <c r="B1778" s="1" t="n">
        <v>45639</v>
      </c>
      <c r="C1778" s="1" t="n">
        <v>45753</v>
      </c>
      <c r="D1778" t="inlineStr">
        <is>
          <t>JÄMTLANDS LÄN</t>
        </is>
      </c>
      <c r="E1778" t="inlineStr">
        <is>
          <t>RAGUNDA</t>
        </is>
      </c>
      <c r="F1778" t="inlineStr">
        <is>
          <t>SCA</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60045-2024</t>
        </is>
      </c>
      <c r="B1779" s="1" t="n">
        <v>45642</v>
      </c>
      <c r="C1779" s="1" t="n">
        <v>45753</v>
      </c>
      <c r="D1779" t="inlineStr">
        <is>
          <t>JÄMTLANDS LÄN</t>
        </is>
      </c>
      <c r="E1779" t="inlineStr">
        <is>
          <t>RAGUNDA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60762-2024</t>
        </is>
      </c>
      <c r="B1780" s="1" t="n">
        <v>45644</v>
      </c>
      <c r="C1780" s="1" t="n">
        <v>45753</v>
      </c>
      <c r="D1780" t="inlineStr">
        <is>
          <t>JÄMTLANDS LÄN</t>
        </is>
      </c>
      <c r="E1780" t="inlineStr">
        <is>
          <t>RAGUNDA</t>
        </is>
      </c>
      <c r="F1780" t="inlineStr">
        <is>
          <t>SCA</t>
        </is>
      </c>
      <c r="G1780" t="n">
        <v>22.5</v>
      </c>
      <c r="H1780" t="n">
        <v>0</v>
      </c>
      <c r="I1780" t="n">
        <v>0</v>
      </c>
      <c r="J1780" t="n">
        <v>0</v>
      </c>
      <c r="K1780" t="n">
        <v>0</v>
      </c>
      <c r="L1780" t="n">
        <v>0</v>
      </c>
      <c r="M1780" t="n">
        <v>0</v>
      </c>
      <c r="N1780" t="n">
        <v>0</v>
      </c>
      <c r="O1780" t="n">
        <v>0</v>
      </c>
      <c r="P1780" t="n">
        <v>0</v>
      </c>
      <c r="Q1780" t="n">
        <v>0</v>
      </c>
      <c r="R1780" s="2" t="inlineStr"/>
    </row>
    <row r="1781" ht="15" customHeight="1">
      <c r="A1781" t="inlineStr">
        <is>
          <t>A 60935-2024</t>
        </is>
      </c>
      <c r="B1781" s="1" t="n">
        <v>45645</v>
      </c>
      <c r="C1781" s="1" t="n">
        <v>45753</v>
      </c>
      <c r="D1781" t="inlineStr">
        <is>
          <t>JÄMTLANDS LÄN</t>
        </is>
      </c>
      <c r="E1781" t="inlineStr">
        <is>
          <t>RAGUNDA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61107-2024</t>
        </is>
      </c>
      <c r="B1782" s="1" t="n">
        <v>45645</v>
      </c>
      <c r="C1782" s="1" t="n">
        <v>45753</v>
      </c>
      <c r="D1782" t="inlineStr">
        <is>
          <t>JÄMTLANDS LÄN</t>
        </is>
      </c>
      <c r="E1782" t="inlineStr">
        <is>
          <t>RAGUNDA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61106-2024</t>
        </is>
      </c>
      <c r="B1783" s="1" t="n">
        <v>45645</v>
      </c>
      <c r="C1783" s="1" t="n">
        <v>45753</v>
      </c>
      <c r="D1783" t="inlineStr">
        <is>
          <t>JÄMTLANDS LÄN</t>
        </is>
      </c>
      <c r="E1783" t="inlineStr">
        <is>
          <t>RAGUNDA</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60936-2024</t>
        </is>
      </c>
      <c r="B1784" s="1" t="n">
        <v>45645</v>
      </c>
      <c r="C1784" s="1" t="n">
        <v>45753</v>
      </c>
      <c r="D1784" t="inlineStr">
        <is>
          <t>JÄMTLANDS LÄN</t>
        </is>
      </c>
      <c r="E1784" t="inlineStr">
        <is>
          <t>RAGUNDA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61109-2024</t>
        </is>
      </c>
      <c r="B1785" s="1" t="n">
        <v>45645</v>
      </c>
      <c r="C1785" s="1" t="n">
        <v>45753</v>
      </c>
      <c r="D1785" t="inlineStr">
        <is>
          <t>JÄMTLANDS LÄN</t>
        </is>
      </c>
      <c r="E1785" t="inlineStr">
        <is>
          <t>RAGUNDA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61058-2024</t>
        </is>
      </c>
      <c r="B1786" s="1" t="n">
        <v>45645</v>
      </c>
      <c r="C1786" s="1" t="n">
        <v>45753</v>
      </c>
      <c r="D1786" t="inlineStr">
        <is>
          <t>JÄMTLANDS LÄN</t>
        </is>
      </c>
      <c r="E1786" t="inlineStr">
        <is>
          <t>RAGUNDA</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61324-2024</t>
        </is>
      </c>
      <c r="B1787" s="1" t="n">
        <v>45646</v>
      </c>
      <c r="C1787" s="1" t="n">
        <v>45753</v>
      </c>
      <c r="D1787" t="inlineStr">
        <is>
          <t>JÄMTLANDS LÄN</t>
        </is>
      </c>
      <c r="E1787" t="inlineStr">
        <is>
          <t>RAGUNDA</t>
        </is>
      </c>
      <c r="F1787" t="inlineStr">
        <is>
          <t>SCA</t>
        </is>
      </c>
      <c r="G1787" t="n">
        <v>11.2</v>
      </c>
      <c r="H1787" t="n">
        <v>0</v>
      </c>
      <c r="I1787" t="n">
        <v>0</v>
      </c>
      <c r="J1787" t="n">
        <v>0</v>
      </c>
      <c r="K1787" t="n">
        <v>0</v>
      </c>
      <c r="L1787" t="n">
        <v>0</v>
      </c>
      <c r="M1787" t="n">
        <v>0</v>
      </c>
      <c r="N1787" t="n">
        <v>0</v>
      </c>
      <c r="O1787" t="n">
        <v>0</v>
      </c>
      <c r="P1787" t="n">
        <v>0</v>
      </c>
      <c r="Q1787" t="n">
        <v>0</v>
      </c>
      <c r="R1787" s="2" t="inlineStr"/>
    </row>
    <row r="1788" ht="15" customHeight="1">
      <c r="A1788" t="inlineStr">
        <is>
          <t>A 61340-2024</t>
        </is>
      </c>
      <c r="B1788" s="1" t="n">
        <v>45646</v>
      </c>
      <c r="C1788" s="1" t="n">
        <v>45753</v>
      </c>
      <c r="D1788" t="inlineStr">
        <is>
          <t>JÄMTLANDS LÄN</t>
        </is>
      </c>
      <c r="E1788" t="inlineStr">
        <is>
          <t>RAGUNDA</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61460-2024</t>
        </is>
      </c>
      <c r="B1789" s="1" t="n">
        <v>45646</v>
      </c>
      <c r="C1789" s="1" t="n">
        <v>45753</v>
      </c>
      <c r="D1789" t="inlineStr">
        <is>
          <t>JÄMTLANDS LÄN</t>
        </is>
      </c>
      <c r="E1789" t="inlineStr">
        <is>
          <t>RAGUNDA</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61598-2024</t>
        </is>
      </c>
      <c r="B1790" s="1" t="n">
        <v>45646</v>
      </c>
      <c r="C1790" s="1" t="n">
        <v>45753</v>
      </c>
      <c r="D1790" t="inlineStr">
        <is>
          <t>JÄMTLANDS LÄN</t>
        </is>
      </c>
      <c r="E1790" t="inlineStr">
        <is>
          <t>RAGUNDA</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95-2025</t>
        </is>
      </c>
      <c r="B1791" s="1" t="n">
        <v>45649</v>
      </c>
      <c r="C1791" s="1" t="n">
        <v>45753</v>
      </c>
      <c r="D1791" t="inlineStr">
        <is>
          <t>JÄMTLANDS LÄN</t>
        </is>
      </c>
      <c r="E1791" t="inlineStr">
        <is>
          <t>RAGUNDA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98-2025</t>
        </is>
      </c>
      <c r="B1792" s="1" t="n">
        <v>45649</v>
      </c>
      <c r="C1792" s="1" t="n">
        <v>45753</v>
      </c>
      <c r="D1792" t="inlineStr">
        <is>
          <t>JÄMTLANDS LÄN</t>
        </is>
      </c>
      <c r="E1792" t="inlineStr">
        <is>
          <t>RAGUNDA</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61923-2024</t>
        </is>
      </c>
      <c r="B1793" s="1" t="n">
        <v>45653</v>
      </c>
      <c r="C1793" s="1" t="n">
        <v>45753</v>
      </c>
      <c r="D1793" t="inlineStr">
        <is>
          <t>JÄMTLANDS LÄN</t>
        </is>
      </c>
      <c r="E1793" t="inlineStr">
        <is>
          <t>RAGUNDA</t>
        </is>
      </c>
      <c r="F1793" t="inlineStr">
        <is>
          <t>SCA</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62135-2024</t>
        </is>
      </c>
      <c r="B1794" s="1" t="n">
        <v>45656</v>
      </c>
      <c r="C1794" s="1" t="n">
        <v>45753</v>
      </c>
      <c r="D1794" t="inlineStr">
        <is>
          <t>JÄMTLANDS LÄN</t>
        </is>
      </c>
      <c r="E1794" t="inlineStr">
        <is>
          <t>RAGUNDA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62105-2024</t>
        </is>
      </c>
      <c r="B1795" s="1" t="n">
        <v>45656</v>
      </c>
      <c r="C1795" s="1" t="n">
        <v>45753</v>
      </c>
      <c r="D1795" t="inlineStr">
        <is>
          <t>JÄMTLANDS LÄN</t>
        </is>
      </c>
      <c r="E1795" t="inlineStr">
        <is>
          <t>RAGUNDA</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62115-2024</t>
        </is>
      </c>
      <c r="B1796" s="1" t="n">
        <v>45656</v>
      </c>
      <c r="C1796" s="1" t="n">
        <v>45753</v>
      </c>
      <c r="D1796" t="inlineStr">
        <is>
          <t>JÄMTLANDS LÄN</t>
        </is>
      </c>
      <c r="E1796" t="inlineStr">
        <is>
          <t>RAGUNDA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163-2025</t>
        </is>
      </c>
      <c r="B1797" s="1" t="n">
        <v>45659</v>
      </c>
      <c r="C1797" s="1" t="n">
        <v>45753</v>
      </c>
      <c r="D1797" t="inlineStr">
        <is>
          <t>JÄMTLANDS LÄN</t>
        </is>
      </c>
      <c r="E1797" t="inlineStr">
        <is>
          <t>RAGUNDA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179-2025</t>
        </is>
      </c>
      <c r="B1798" s="1" t="n">
        <v>45659</v>
      </c>
      <c r="C1798" s="1" t="n">
        <v>45753</v>
      </c>
      <c r="D1798" t="inlineStr">
        <is>
          <t>JÄMTLANDS LÄN</t>
        </is>
      </c>
      <c r="E1798" t="inlineStr">
        <is>
          <t>RAGUNDA</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503-2025</t>
        </is>
      </c>
      <c r="B1799" s="1" t="n">
        <v>45664</v>
      </c>
      <c r="C1799" s="1" t="n">
        <v>45753</v>
      </c>
      <c r="D1799" t="inlineStr">
        <is>
          <t>JÄMTLANDS LÄN</t>
        </is>
      </c>
      <c r="E1799" t="inlineStr">
        <is>
          <t>RAGUNDA</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564-2025</t>
        </is>
      </c>
      <c r="B1800" s="1" t="n">
        <v>45664</v>
      </c>
      <c r="C1800" s="1" t="n">
        <v>45753</v>
      </c>
      <c r="D1800" t="inlineStr">
        <is>
          <t>JÄMTLANDS LÄN</t>
        </is>
      </c>
      <c r="E1800" t="inlineStr">
        <is>
          <t>RAGUNDA</t>
        </is>
      </c>
      <c r="F1800" t="inlineStr">
        <is>
          <t>SCA</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504-2025</t>
        </is>
      </c>
      <c r="B1801" s="1" t="n">
        <v>45664</v>
      </c>
      <c r="C1801" s="1" t="n">
        <v>45753</v>
      </c>
      <c r="D1801" t="inlineStr">
        <is>
          <t>JÄMTLANDS LÄN</t>
        </is>
      </c>
      <c r="E1801" t="inlineStr">
        <is>
          <t>RAGUNDA</t>
        </is>
      </c>
      <c r="F1801" t="inlineStr">
        <is>
          <t>SCA</t>
        </is>
      </c>
      <c r="G1801" t="n">
        <v>22.5</v>
      </c>
      <c r="H1801" t="n">
        <v>0</v>
      </c>
      <c r="I1801" t="n">
        <v>0</v>
      </c>
      <c r="J1801" t="n">
        <v>0</v>
      </c>
      <c r="K1801" t="n">
        <v>0</v>
      </c>
      <c r="L1801" t="n">
        <v>0</v>
      </c>
      <c r="M1801" t="n">
        <v>0</v>
      </c>
      <c r="N1801" t="n">
        <v>0</v>
      </c>
      <c r="O1801" t="n">
        <v>0</v>
      </c>
      <c r="P1801" t="n">
        <v>0</v>
      </c>
      <c r="Q1801" t="n">
        <v>0</v>
      </c>
      <c r="R1801" s="2" t="inlineStr"/>
    </row>
    <row r="1802" ht="15" customHeight="1">
      <c r="A1802" t="inlineStr">
        <is>
          <t>A 893-2025</t>
        </is>
      </c>
      <c r="B1802" s="1" t="n">
        <v>45665</v>
      </c>
      <c r="C1802" s="1" t="n">
        <v>45753</v>
      </c>
      <c r="D1802" t="inlineStr">
        <is>
          <t>JÄMTLANDS LÄN</t>
        </is>
      </c>
      <c r="E1802" t="inlineStr">
        <is>
          <t>RAGUNDA</t>
        </is>
      </c>
      <c r="F1802" t="inlineStr">
        <is>
          <t>SCA</t>
        </is>
      </c>
      <c r="G1802" t="n">
        <v>45.1</v>
      </c>
      <c r="H1802" t="n">
        <v>0</v>
      </c>
      <c r="I1802" t="n">
        <v>0</v>
      </c>
      <c r="J1802" t="n">
        <v>0</v>
      </c>
      <c r="K1802" t="n">
        <v>0</v>
      </c>
      <c r="L1802" t="n">
        <v>0</v>
      </c>
      <c r="M1802" t="n">
        <v>0</v>
      </c>
      <c r="N1802" t="n">
        <v>0</v>
      </c>
      <c r="O1802" t="n">
        <v>0</v>
      </c>
      <c r="P1802" t="n">
        <v>0</v>
      </c>
      <c r="Q1802" t="n">
        <v>0</v>
      </c>
      <c r="R1802" s="2" t="inlineStr"/>
    </row>
    <row r="1803" ht="15" customHeight="1">
      <c r="A1803" t="inlineStr">
        <is>
          <t>A 1145-2025</t>
        </is>
      </c>
      <c r="B1803" s="1" t="n">
        <v>45666</v>
      </c>
      <c r="C1803" s="1" t="n">
        <v>45753</v>
      </c>
      <c r="D1803" t="inlineStr">
        <is>
          <t>JÄMTLANDS LÄN</t>
        </is>
      </c>
      <c r="E1803" t="inlineStr">
        <is>
          <t>RAGUNDA</t>
        </is>
      </c>
      <c r="F1803" t="inlineStr">
        <is>
          <t>SCA</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993-2025</t>
        </is>
      </c>
      <c r="B1804" s="1" t="n">
        <v>45666</v>
      </c>
      <c r="C1804" s="1" t="n">
        <v>45753</v>
      </c>
      <c r="D1804" t="inlineStr">
        <is>
          <t>JÄMTLANDS LÄN</t>
        </is>
      </c>
      <c r="E1804" t="inlineStr">
        <is>
          <t>RAGUNDA</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985-2025</t>
        </is>
      </c>
      <c r="B1805" s="1" t="n">
        <v>45666</v>
      </c>
      <c r="C1805" s="1" t="n">
        <v>45753</v>
      </c>
      <c r="D1805" t="inlineStr">
        <is>
          <t>JÄMTLANDS LÄN</t>
        </is>
      </c>
      <c r="E1805" t="inlineStr">
        <is>
          <t>RAGUNDA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1308-2025</t>
        </is>
      </c>
      <c r="B1806" s="1" t="n">
        <v>45667</v>
      </c>
      <c r="C1806" s="1" t="n">
        <v>45753</v>
      </c>
      <c r="D1806" t="inlineStr">
        <is>
          <t>JÄMTLANDS LÄN</t>
        </is>
      </c>
      <c r="E1806" t="inlineStr">
        <is>
          <t>RAGUNDA</t>
        </is>
      </c>
      <c r="F1806" t="inlineStr">
        <is>
          <t>SCA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1325-2025</t>
        </is>
      </c>
      <c r="B1807" s="1" t="n">
        <v>45667</v>
      </c>
      <c r="C1807" s="1" t="n">
        <v>45753</v>
      </c>
      <c r="D1807" t="inlineStr">
        <is>
          <t>JÄMTLANDS LÄN</t>
        </is>
      </c>
      <c r="E1807" t="inlineStr">
        <is>
          <t>RAGUNDA</t>
        </is>
      </c>
      <c r="F1807" t="inlineStr">
        <is>
          <t>SCA</t>
        </is>
      </c>
      <c r="G1807" t="n">
        <v>20.2</v>
      </c>
      <c r="H1807" t="n">
        <v>0</v>
      </c>
      <c r="I1807" t="n">
        <v>0</v>
      </c>
      <c r="J1807" t="n">
        <v>0</v>
      </c>
      <c r="K1807" t="n">
        <v>0</v>
      </c>
      <c r="L1807" t="n">
        <v>0</v>
      </c>
      <c r="M1807" t="n">
        <v>0</v>
      </c>
      <c r="N1807" t="n">
        <v>0</v>
      </c>
      <c r="O1807" t="n">
        <v>0</v>
      </c>
      <c r="P1807" t="n">
        <v>0</v>
      </c>
      <c r="Q1807" t="n">
        <v>0</v>
      </c>
      <c r="R1807" s="2" t="inlineStr"/>
    </row>
    <row r="1808" ht="15" customHeight="1">
      <c r="A1808" t="inlineStr">
        <is>
          <t>A 1340-2025</t>
        </is>
      </c>
      <c r="B1808" s="1" t="n">
        <v>45667</v>
      </c>
      <c r="C1808" s="1" t="n">
        <v>45753</v>
      </c>
      <c r="D1808" t="inlineStr">
        <is>
          <t>JÄMTLANDS LÄN</t>
        </is>
      </c>
      <c r="E1808" t="inlineStr">
        <is>
          <t>RAGUNDA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1250-2025</t>
        </is>
      </c>
      <c r="B1809" s="1" t="n">
        <v>45667</v>
      </c>
      <c r="C1809" s="1" t="n">
        <v>45753</v>
      </c>
      <c r="D1809" t="inlineStr">
        <is>
          <t>JÄMTLANDS LÄN</t>
        </is>
      </c>
      <c r="E1809" t="inlineStr">
        <is>
          <t>RAGUNDA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1326-2025</t>
        </is>
      </c>
      <c r="B1810" s="1" t="n">
        <v>45667</v>
      </c>
      <c r="C1810" s="1" t="n">
        <v>45753</v>
      </c>
      <c r="D1810" t="inlineStr">
        <is>
          <t>JÄMTLANDS LÄN</t>
        </is>
      </c>
      <c r="E1810" t="inlineStr">
        <is>
          <t>RAGUNDA</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1809-2025</t>
        </is>
      </c>
      <c r="B1811" s="1" t="n">
        <v>45671</v>
      </c>
      <c r="C1811" s="1" t="n">
        <v>45753</v>
      </c>
      <c r="D1811" t="inlineStr">
        <is>
          <t>JÄMTLANDS LÄN</t>
        </is>
      </c>
      <c r="E1811" t="inlineStr">
        <is>
          <t>RAGUNDA</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1911-2025</t>
        </is>
      </c>
      <c r="B1812" s="1" t="n">
        <v>45671</v>
      </c>
      <c r="C1812" s="1" t="n">
        <v>45753</v>
      </c>
      <c r="D1812" t="inlineStr">
        <is>
          <t>JÄMTLANDS LÄN</t>
        </is>
      </c>
      <c r="E1812" t="inlineStr">
        <is>
          <t>RAGUNDA</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1837-2025</t>
        </is>
      </c>
      <c r="B1813" s="1" t="n">
        <v>45671</v>
      </c>
      <c r="C1813" s="1" t="n">
        <v>45753</v>
      </c>
      <c r="D1813" t="inlineStr">
        <is>
          <t>JÄMTLANDS LÄN</t>
        </is>
      </c>
      <c r="E1813" t="inlineStr">
        <is>
          <t>RAGUNDA</t>
        </is>
      </c>
      <c r="G1813" t="n">
        <v>10.9</v>
      </c>
      <c r="H1813" t="n">
        <v>0</v>
      </c>
      <c r="I1813" t="n">
        <v>0</v>
      </c>
      <c r="J1813" t="n">
        <v>0</v>
      </c>
      <c r="K1813" t="n">
        <v>0</v>
      </c>
      <c r="L1813" t="n">
        <v>0</v>
      </c>
      <c r="M1813" t="n">
        <v>0</v>
      </c>
      <c r="N1813" t="n">
        <v>0</v>
      </c>
      <c r="O1813" t="n">
        <v>0</v>
      </c>
      <c r="P1813" t="n">
        <v>0</v>
      </c>
      <c r="Q1813" t="n">
        <v>0</v>
      </c>
      <c r="R1813" s="2" t="inlineStr"/>
    </row>
    <row r="1814" ht="15" customHeight="1">
      <c r="A1814" t="inlineStr">
        <is>
          <t>A 1912-2025</t>
        </is>
      </c>
      <c r="B1814" s="1" t="n">
        <v>45671</v>
      </c>
      <c r="C1814" s="1" t="n">
        <v>45753</v>
      </c>
      <c r="D1814" t="inlineStr">
        <is>
          <t>JÄMTLANDS LÄN</t>
        </is>
      </c>
      <c r="E1814" t="inlineStr">
        <is>
          <t>RAGUNDA</t>
        </is>
      </c>
      <c r="F1814" t="inlineStr">
        <is>
          <t>SCA</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2001-2025</t>
        </is>
      </c>
      <c r="B1815" s="1" t="n">
        <v>45672</v>
      </c>
      <c r="C1815" s="1" t="n">
        <v>45753</v>
      </c>
      <c r="D1815" t="inlineStr">
        <is>
          <t>JÄMTLANDS LÄN</t>
        </is>
      </c>
      <c r="E1815" t="inlineStr">
        <is>
          <t>RAGUNDA</t>
        </is>
      </c>
      <c r="F1815" t="inlineStr">
        <is>
          <t>SCA</t>
        </is>
      </c>
      <c r="G1815" t="n">
        <v>16.2</v>
      </c>
      <c r="H1815" t="n">
        <v>0</v>
      </c>
      <c r="I1815" t="n">
        <v>0</v>
      </c>
      <c r="J1815" t="n">
        <v>0</v>
      </c>
      <c r="K1815" t="n">
        <v>0</v>
      </c>
      <c r="L1815" t="n">
        <v>0</v>
      </c>
      <c r="M1815" t="n">
        <v>0</v>
      </c>
      <c r="N1815" t="n">
        <v>0</v>
      </c>
      <c r="O1815" t="n">
        <v>0</v>
      </c>
      <c r="P1815" t="n">
        <v>0</v>
      </c>
      <c r="Q1815" t="n">
        <v>0</v>
      </c>
      <c r="R1815" s="2" t="inlineStr"/>
    </row>
    <row r="1816" ht="15" customHeight="1">
      <c r="A1816" t="inlineStr">
        <is>
          <t>A 1985-2025</t>
        </is>
      </c>
      <c r="B1816" s="1" t="n">
        <v>45672</v>
      </c>
      <c r="C1816" s="1" t="n">
        <v>45753</v>
      </c>
      <c r="D1816" t="inlineStr">
        <is>
          <t>JÄMTLANDS LÄN</t>
        </is>
      </c>
      <c r="E1816" t="inlineStr">
        <is>
          <t>RAGUNDA</t>
        </is>
      </c>
      <c r="F1816" t="inlineStr">
        <is>
          <t>SCA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2103-2025</t>
        </is>
      </c>
      <c r="B1817" s="1" t="n">
        <v>45672</v>
      </c>
      <c r="C1817" s="1" t="n">
        <v>45753</v>
      </c>
      <c r="D1817" t="inlineStr">
        <is>
          <t>JÄMTLANDS LÄN</t>
        </is>
      </c>
      <c r="E1817" t="inlineStr">
        <is>
          <t>RAGUNDA</t>
        </is>
      </c>
      <c r="F1817" t="inlineStr">
        <is>
          <t>SCA</t>
        </is>
      </c>
      <c r="G1817" t="n">
        <v>17.1</v>
      </c>
      <c r="H1817" t="n">
        <v>0</v>
      </c>
      <c r="I1817" t="n">
        <v>0</v>
      </c>
      <c r="J1817" t="n">
        <v>0</v>
      </c>
      <c r="K1817" t="n">
        <v>0</v>
      </c>
      <c r="L1817" t="n">
        <v>0</v>
      </c>
      <c r="M1817" t="n">
        <v>0</v>
      </c>
      <c r="N1817" t="n">
        <v>0</v>
      </c>
      <c r="O1817" t="n">
        <v>0</v>
      </c>
      <c r="P1817" t="n">
        <v>0</v>
      </c>
      <c r="Q1817" t="n">
        <v>0</v>
      </c>
      <c r="R1817" s="2" t="inlineStr"/>
    </row>
    <row r="1818" ht="15" customHeight="1">
      <c r="A1818" t="inlineStr">
        <is>
          <t>A 2339-2025</t>
        </is>
      </c>
      <c r="B1818" s="1" t="n">
        <v>45673</v>
      </c>
      <c r="C1818" s="1" t="n">
        <v>45753</v>
      </c>
      <c r="D1818" t="inlineStr">
        <is>
          <t>JÄMTLANDS LÄN</t>
        </is>
      </c>
      <c r="E1818" t="inlineStr">
        <is>
          <t>RAGUNDA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2758-2025</t>
        </is>
      </c>
      <c r="B1819" s="1" t="n">
        <v>45677</v>
      </c>
      <c r="C1819" s="1" t="n">
        <v>45753</v>
      </c>
      <c r="D1819" t="inlineStr">
        <is>
          <t>JÄMTLANDS LÄN</t>
        </is>
      </c>
      <c r="E1819" t="inlineStr">
        <is>
          <t>RAGUNDA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2762-2025</t>
        </is>
      </c>
      <c r="B1820" s="1" t="n">
        <v>45677</v>
      </c>
      <c r="C1820" s="1" t="n">
        <v>45753</v>
      </c>
      <c r="D1820" t="inlineStr">
        <is>
          <t>JÄMTLANDS LÄN</t>
        </is>
      </c>
      <c r="E1820" t="inlineStr">
        <is>
          <t>RAGUNDA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3104-2025</t>
        </is>
      </c>
      <c r="B1821" s="1" t="n">
        <v>45678</v>
      </c>
      <c r="C1821" s="1" t="n">
        <v>45753</v>
      </c>
      <c r="D1821" t="inlineStr">
        <is>
          <t>JÄMTLANDS LÄN</t>
        </is>
      </c>
      <c r="E1821" t="inlineStr">
        <is>
          <t>RAGUNDA</t>
        </is>
      </c>
      <c r="F1821" t="inlineStr">
        <is>
          <t>SCA</t>
        </is>
      </c>
      <c r="G1821" t="n">
        <v>46.2</v>
      </c>
      <c r="H1821" t="n">
        <v>0</v>
      </c>
      <c r="I1821" t="n">
        <v>0</v>
      </c>
      <c r="J1821" t="n">
        <v>0</v>
      </c>
      <c r="K1821" t="n">
        <v>0</v>
      </c>
      <c r="L1821" t="n">
        <v>0</v>
      </c>
      <c r="M1821" t="n">
        <v>0</v>
      </c>
      <c r="N1821" t="n">
        <v>0</v>
      </c>
      <c r="O1821" t="n">
        <v>0</v>
      </c>
      <c r="P1821" t="n">
        <v>0</v>
      </c>
      <c r="Q1821" t="n">
        <v>0</v>
      </c>
      <c r="R1821" s="2" t="inlineStr"/>
    </row>
    <row r="1822" ht="15" customHeight="1">
      <c r="A1822" t="inlineStr">
        <is>
          <t>A 3186-2025</t>
        </is>
      </c>
      <c r="B1822" s="1" t="n">
        <v>45679</v>
      </c>
      <c r="C1822" s="1" t="n">
        <v>45753</v>
      </c>
      <c r="D1822" t="inlineStr">
        <is>
          <t>JÄMTLANDS LÄN</t>
        </is>
      </c>
      <c r="E1822" t="inlineStr">
        <is>
          <t>RAGUNDA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3502-2025</t>
        </is>
      </c>
      <c r="B1823" s="1" t="n">
        <v>45680</v>
      </c>
      <c r="C1823" s="1" t="n">
        <v>45753</v>
      </c>
      <c r="D1823" t="inlineStr">
        <is>
          <t>JÄMTLANDS LÄN</t>
        </is>
      </c>
      <c r="E1823" t="inlineStr">
        <is>
          <t>RAGUNDA</t>
        </is>
      </c>
      <c r="F1823" t="inlineStr">
        <is>
          <t>SCA</t>
        </is>
      </c>
      <c r="G1823" t="n">
        <v>16.5</v>
      </c>
      <c r="H1823" t="n">
        <v>0</v>
      </c>
      <c r="I1823" t="n">
        <v>0</v>
      </c>
      <c r="J1823" t="n">
        <v>0</v>
      </c>
      <c r="K1823" t="n">
        <v>0</v>
      </c>
      <c r="L1823" t="n">
        <v>0</v>
      </c>
      <c r="M1823" t="n">
        <v>0</v>
      </c>
      <c r="N1823" t="n">
        <v>0</v>
      </c>
      <c r="O1823" t="n">
        <v>0</v>
      </c>
      <c r="P1823" t="n">
        <v>0</v>
      </c>
      <c r="Q1823" t="n">
        <v>0</v>
      </c>
      <c r="R1823" s="2" t="inlineStr"/>
    </row>
    <row r="1824" ht="15" customHeight="1">
      <c r="A1824" t="inlineStr">
        <is>
          <t>A 3765-2025</t>
        </is>
      </c>
      <c r="B1824" s="1" t="n">
        <v>45681</v>
      </c>
      <c r="C1824" s="1" t="n">
        <v>45753</v>
      </c>
      <c r="D1824" t="inlineStr">
        <is>
          <t>JÄMTLANDS LÄN</t>
        </is>
      </c>
      <c r="E1824" t="inlineStr">
        <is>
          <t>RAGUNDA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3767-2025</t>
        </is>
      </c>
      <c r="B1825" s="1" t="n">
        <v>45681</v>
      </c>
      <c r="C1825" s="1" t="n">
        <v>45753</v>
      </c>
      <c r="D1825" t="inlineStr">
        <is>
          <t>JÄMTLANDS LÄN</t>
        </is>
      </c>
      <c r="E1825" t="inlineStr">
        <is>
          <t>RAGUNDA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3770-2025</t>
        </is>
      </c>
      <c r="B1826" s="1" t="n">
        <v>45681</v>
      </c>
      <c r="C1826" s="1" t="n">
        <v>45753</v>
      </c>
      <c r="D1826" t="inlineStr">
        <is>
          <t>JÄMTLANDS LÄN</t>
        </is>
      </c>
      <c r="E1826" t="inlineStr">
        <is>
          <t>RAGUNDA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3720-2025</t>
        </is>
      </c>
      <c r="B1827" s="1" t="n">
        <v>45681</v>
      </c>
      <c r="C1827" s="1" t="n">
        <v>45753</v>
      </c>
      <c r="D1827" t="inlineStr">
        <is>
          <t>JÄMTLANDS LÄN</t>
        </is>
      </c>
      <c r="E1827" t="inlineStr">
        <is>
          <t>RAGUNDA</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4573-2025</t>
        </is>
      </c>
      <c r="B1828" s="1" t="n">
        <v>45687</v>
      </c>
      <c r="C1828" s="1" t="n">
        <v>45753</v>
      </c>
      <c r="D1828" t="inlineStr">
        <is>
          <t>JÄMTLANDS LÄN</t>
        </is>
      </c>
      <c r="E1828" t="inlineStr">
        <is>
          <t>RAGUNDA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4571-2025</t>
        </is>
      </c>
      <c r="B1829" s="1" t="n">
        <v>45687</v>
      </c>
      <c r="C1829" s="1" t="n">
        <v>45753</v>
      </c>
      <c r="D1829" t="inlineStr">
        <is>
          <t>JÄMTLANDS LÄN</t>
        </is>
      </c>
      <c r="E1829" t="inlineStr">
        <is>
          <t>RAGUNDA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4916-2025</t>
        </is>
      </c>
      <c r="B1830" s="1" t="n">
        <v>45688</v>
      </c>
      <c r="C1830" s="1" t="n">
        <v>45753</v>
      </c>
      <c r="D1830" t="inlineStr">
        <is>
          <t>JÄMTLANDS LÄN</t>
        </is>
      </c>
      <c r="E1830" t="inlineStr">
        <is>
          <t>RAGUNDA</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4907-2025</t>
        </is>
      </c>
      <c r="B1831" s="1" t="n">
        <v>45688</v>
      </c>
      <c r="C1831" s="1" t="n">
        <v>45753</v>
      </c>
      <c r="D1831" t="inlineStr">
        <is>
          <t>JÄMTLANDS LÄN</t>
        </is>
      </c>
      <c r="E1831" t="inlineStr">
        <is>
          <t>RAGUNDA</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4846-2025</t>
        </is>
      </c>
      <c r="B1832" s="1" t="n">
        <v>45688</v>
      </c>
      <c r="C1832" s="1" t="n">
        <v>45753</v>
      </c>
      <c r="D1832" t="inlineStr">
        <is>
          <t>JÄMTLANDS LÄN</t>
        </is>
      </c>
      <c r="E1832" t="inlineStr">
        <is>
          <t>RAGUNDA</t>
        </is>
      </c>
      <c r="G1832" t="n">
        <v>14.3</v>
      </c>
      <c r="H1832" t="n">
        <v>0</v>
      </c>
      <c r="I1832" t="n">
        <v>0</v>
      </c>
      <c r="J1832" t="n">
        <v>0</v>
      </c>
      <c r="K1832" t="n">
        <v>0</v>
      </c>
      <c r="L1832" t="n">
        <v>0</v>
      </c>
      <c r="M1832" t="n">
        <v>0</v>
      </c>
      <c r="N1832" t="n">
        <v>0</v>
      </c>
      <c r="O1832" t="n">
        <v>0</v>
      </c>
      <c r="P1832" t="n">
        <v>0</v>
      </c>
      <c r="Q1832" t="n">
        <v>0</v>
      </c>
      <c r="R1832" s="2" t="inlineStr"/>
    </row>
    <row r="1833" ht="15" customHeight="1">
      <c r="A1833" t="inlineStr">
        <is>
          <t>A 4866-2025</t>
        </is>
      </c>
      <c r="B1833" s="1" t="n">
        <v>45688</v>
      </c>
      <c r="C1833" s="1" t="n">
        <v>45753</v>
      </c>
      <c r="D1833" t="inlineStr">
        <is>
          <t>JÄMTLANDS LÄN</t>
        </is>
      </c>
      <c r="E1833" t="inlineStr">
        <is>
          <t>RAGUNDA</t>
        </is>
      </c>
      <c r="F1833" t="inlineStr">
        <is>
          <t>SCA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4922-2025</t>
        </is>
      </c>
      <c r="B1834" s="1" t="n">
        <v>45688</v>
      </c>
      <c r="C1834" s="1" t="n">
        <v>45753</v>
      </c>
      <c r="D1834" t="inlineStr">
        <is>
          <t>JÄMTLANDS LÄN</t>
        </is>
      </c>
      <c r="E1834" t="inlineStr">
        <is>
          <t>RAGUNDA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4885-2025</t>
        </is>
      </c>
      <c r="B1835" s="1" t="n">
        <v>45688</v>
      </c>
      <c r="C1835" s="1" t="n">
        <v>45753</v>
      </c>
      <c r="D1835" t="inlineStr">
        <is>
          <t>JÄMTLANDS LÄN</t>
        </is>
      </c>
      <c r="E1835" t="inlineStr">
        <is>
          <t>RAGUNDA</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5048-2025</t>
        </is>
      </c>
      <c r="B1836" s="1" t="n">
        <v>45691</v>
      </c>
      <c r="C1836" s="1" t="n">
        <v>45753</v>
      </c>
      <c r="D1836" t="inlineStr">
        <is>
          <t>JÄMTLANDS LÄN</t>
        </is>
      </c>
      <c r="E1836" t="inlineStr">
        <is>
          <t>RAGUNDA</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5307-2025</t>
        </is>
      </c>
      <c r="B1837" s="1" t="n">
        <v>45692</v>
      </c>
      <c r="C1837" s="1" t="n">
        <v>45753</v>
      </c>
      <c r="D1837" t="inlineStr">
        <is>
          <t>JÄMTLANDS LÄN</t>
        </is>
      </c>
      <c r="E1837" t="inlineStr">
        <is>
          <t>RAGUNDA</t>
        </is>
      </c>
      <c r="F1837" t="inlineStr">
        <is>
          <t>SCA</t>
        </is>
      </c>
      <c r="G1837" t="n">
        <v>20.9</v>
      </c>
      <c r="H1837" t="n">
        <v>0</v>
      </c>
      <c r="I1837" t="n">
        <v>0</v>
      </c>
      <c r="J1837" t="n">
        <v>0</v>
      </c>
      <c r="K1837" t="n">
        <v>0</v>
      </c>
      <c r="L1837" t="n">
        <v>0</v>
      </c>
      <c r="M1837" t="n">
        <v>0</v>
      </c>
      <c r="N1837" t="n">
        <v>0</v>
      </c>
      <c r="O1837" t="n">
        <v>0</v>
      </c>
      <c r="P1837" t="n">
        <v>0</v>
      </c>
      <c r="Q1837" t="n">
        <v>0</v>
      </c>
      <c r="R1837" s="2" t="inlineStr"/>
    </row>
    <row r="1838" ht="15" customHeight="1">
      <c r="A1838" t="inlineStr">
        <is>
          <t>A 5308-2025</t>
        </is>
      </c>
      <c r="B1838" s="1" t="n">
        <v>45692</v>
      </c>
      <c r="C1838" s="1" t="n">
        <v>45753</v>
      </c>
      <c r="D1838" t="inlineStr">
        <is>
          <t>JÄMTLANDS LÄN</t>
        </is>
      </c>
      <c r="E1838" t="inlineStr">
        <is>
          <t>RAGUNDA</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5313-2025</t>
        </is>
      </c>
      <c r="B1839" s="1" t="n">
        <v>45692</v>
      </c>
      <c r="C1839" s="1" t="n">
        <v>45753</v>
      </c>
      <c r="D1839" t="inlineStr">
        <is>
          <t>JÄMTLANDS LÄN</t>
        </is>
      </c>
      <c r="E1839" t="inlineStr">
        <is>
          <t>RAGUNDA</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5357-2025</t>
        </is>
      </c>
      <c r="B1840" s="1" t="n">
        <v>45692</v>
      </c>
      <c r="C1840" s="1" t="n">
        <v>45753</v>
      </c>
      <c r="D1840" t="inlineStr">
        <is>
          <t>JÄMTLANDS LÄN</t>
        </is>
      </c>
      <c r="E1840" t="inlineStr">
        <is>
          <t>RAGUNDA</t>
        </is>
      </c>
      <c r="F1840" t="inlineStr">
        <is>
          <t>SCA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5806-2025</t>
        </is>
      </c>
      <c r="B1841" s="1" t="n">
        <v>45694</v>
      </c>
      <c r="C1841" s="1" t="n">
        <v>45753</v>
      </c>
      <c r="D1841" t="inlineStr">
        <is>
          <t>JÄMTLANDS LÄN</t>
        </is>
      </c>
      <c r="E1841" t="inlineStr">
        <is>
          <t>RAGUNDA</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5930-2025</t>
        </is>
      </c>
      <c r="B1842" s="1" t="n">
        <v>45695</v>
      </c>
      <c r="C1842" s="1" t="n">
        <v>45753</v>
      </c>
      <c r="D1842" t="inlineStr">
        <is>
          <t>JÄMTLANDS LÄN</t>
        </is>
      </c>
      <c r="E1842" t="inlineStr">
        <is>
          <t>RAGUNDA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5938-2025</t>
        </is>
      </c>
      <c r="B1843" s="1" t="n">
        <v>45695</v>
      </c>
      <c r="C1843" s="1" t="n">
        <v>45753</v>
      </c>
      <c r="D1843" t="inlineStr">
        <is>
          <t>JÄMTLANDS LÄN</t>
        </is>
      </c>
      <c r="E1843" t="inlineStr">
        <is>
          <t>RAGUNDA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5971-2025</t>
        </is>
      </c>
      <c r="B1844" s="1" t="n">
        <v>45695</v>
      </c>
      <c r="C1844" s="1" t="n">
        <v>45753</v>
      </c>
      <c r="D1844" t="inlineStr">
        <is>
          <t>JÄMTLANDS LÄN</t>
        </is>
      </c>
      <c r="E1844" t="inlineStr">
        <is>
          <t>RAGUNDA</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6257-2025</t>
        </is>
      </c>
      <c r="B1845" s="1" t="n">
        <v>45698</v>
      </c>
      <c r="C1845" s="1" t="n">
        <v>45753</v>
      </c>
      <c r="D1845" t="inlineStr">
        <is>
          <t>JÄMTLANDS LÄN</t>
        </is>
      </c>
      <c r="E1845" t="inlineStr">
        <is>
          <t>RAGUNDA</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6716-2025</t>
        </is>
      </c>
      <c r="B1846" s="1" t="n">
        <v>45700</v>
      </c>
      <c r="C1846" s="1" t="n">
        <v>45753</v>
      </c>
      <c r="D1846" t="inlineStr">
        <is>
          <t>JÄMTLANDS LÄN</t>
        </is>
      </c>
      <c r="E1846" t="inlineStr">
        <is>
          <t>RAGUNDA</t>
        </is>
      </c>
      <c r="F1846" t="inlineStr">
        <is>
          <t>SCA</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6611-2025</t>
        </is>
      </c>
      <c r="B1847" s="1" t="n">
        <v>45700</v>
      </c>
      <c r="C1847" s="1" t="n">
        <v>45753</v>
      </c>
      <c r="D1847" t="inlineStr">
        <is>
          <t>JÄMTLANDS LÄN</t>
        </is>
      </c>
      <c r="E1847" t="inlineStr">
        <is>
          <t>RAGUNDA</t>
        </is>
      </c>
      <c r="F1847" t="inlineStr">
        <is>
          <t>SCA</t>
        </is>
      </c>
      <c r="G1847" t="n">
        <v>22.5</v>
      </c>
      <c r="H1847" t="n">
        <v>0</v>
      </c>
      <c r="I1847" t="n">
        <v>0</v>
      </c>
      <c r="J1847" t="n">
        <v>0</v>
      </c>
      <c r="K1847" t="n">
        <v>0</v>
      </c>
      <c r="L1847" t="n">
        <v>0</v>
      </c>
      <c r="M1847" t="n">
        <v>0</v>
      </c>
      <c r="N1847" t="n">
        <v>0</v>
      </c>
      <c r="O1847" t="n">
        <v>0</v>
      </c>
      <c r="P1847" t="n">
        <v>0</v>
      </c>
      <c r="Q1847" t="n">
        <v>0</v>
      </c>
      <c r="R1847" s="2" t="inlineStr"/>
    </row>
    <row r="1848" ht="15" customHeight="1">
      <c r="A1848" t="inlineStr">
        <is>
          <t>A 6694-2025</t>
        </is>
      </c>
      <c r="B1848" s="1" t="n">
        <v>45700</v>
      </c>
      <c r="C1848" s="1" t="n">
        <v>45753</v>
      </c>
      <c r="D1848" t="inlineStr">
        <is>
          <t>JÄMTLANDS LÄN</t>
        </is>
      </c>
      <c r="E1848" t="inlineStr">
        <is>
          <t>RAGUNDA</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6821-2025</t>
        </is>
      </c>
      <c r="B1849" s="1" t="n">
        <v>45700</v>
      </c>
      <c r="C1849" s="1" t="n">
        <v>45753</v>
      </c>
      <c r="D1849" t="inlineStr">
        <is>
          <t>JÄMTLANDS LÄN</t>
        </is>
      </c>
      <c r="E1849" t="inlineStr">
        <is>
          <t>RAGUNDA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6881-2025</t>
        </is>
      </c>
      <c r="B1850" s="1" t="n">
        <v>45701</v>
      </c>
      <c r="C1850" s="1" t="n">
        <v>45753</v>
      </c>
      <c r="D1850" t="inlineStr">
        <is>
          <t>JÄMTLANDS LÄN</t>
        </is>
      </c>
      <c r="E1850" t="inlineStr">
        <is>
          <t>RAGUNDA</t>
        </is>
      </c>
      <c r="F1850" t="inlineStr">
        <is>
          <t>SCA</t>
        </is>
      </c>
      <c r="G1850" t="n">
        <v>18.4</v>
      </c>
      <c r="H1850" t="n">
        <v>0</v>
      </c>
      <c r="I1850" t="n">
        <v>0</v>
      </c>
      <c r="J1850" t="n">
        <v>0</v>
      </c>
      <c r="K1850" t="n">
        <v>0</v>
      </c>
      <c r="L1850" t="n">
        <v>0</v>
      </c>
      <c r="M1850" t="n">
        <v>0</v>
      </c>
      <c r="N1850" t="n">
        <v>0</v>
      </c>
      <c r="O1850" t="n">
        <v>0</v>
      </c>
      <c r="P1850" t="n">
        <v>0</v>
      </c>
      <c r="Q1850" t="n">
        <v>0</v>
      </c>
      <c r="R1850" s="2" t="inlineStr"/>
    </row>
    <row r="1851" ht="15" customHeight="1">
      <c r="A1851" t="inlineStr">
        <is>
          <t>A 7284-2025</t>
        </is>
      </c>
      <c r="B1851" s="1" t="n">
        <v>45702</v>
      </c>
      <c r="C1851" s="1" t="n">
        <v>45753</v>
      </c>
      <c r="D1851" t="inlineStr">
        <is>
          <t>JÄMTLANDS LÄN</t>
        </is>
      </c>
      <c r="E1851" t="inlineStr">
        <is>
          <t>RAGUNDA</t>
        </is>
      </c>
      <c r="F1851" t="inlineStr">
        <is>
          <t>SCA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7281-2025</t>
        </is>
      </c>
      <c r="B1852" s="1" t="n">
        <v>45702</v>
      </c>
      <c r="C1852" s="1" t="n">
        <v>45753</v>
      </c>
      <c r="D1852" t="inlineStr">
        <is>
          <t>JÄMTLANDS LÄN</t>
        </is>
      </c>
      <c r="E1852" t="inlineStr">
        <is>
          <t>RAGUNDA</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7838-2025</t>
        </is>
      </c>
      <c r="B1853" s="1" t="n">
        <v>45706</v>
      </c>
      <c r="C1853" s="1" t="n">
        <v>45753</v>
      </c>
      <c r="D1853" t="inlineStr">
        <is>
          <t>JÄMTLANDS LÄN</t>
        </is>
      </c>
      <c r="E1853" t="inlineStr">
        <is>
          <t>RAGUNDA</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7668-2025</t>
        </is>
      </c>
      <c r="B1854" s="1" t="n">
        <v>45706</v>
      </c>
      <c r="C1854" s="1" t="n">
        <v>45753</v>
      </c>
      <c r="D1854" t="inlineStr">
        <is>
          <t>JÄMTLANDS LÄN</t>
        </is>
      </c>
      <c r="E1854" t="inlineStr">
        <is>
          <t>RAGUNDA</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8775-2025</t>
        </is>
      </c>
      <c r="B1855" s="1" t="n">
        <v>45712</v>
      </c>
      <c r="C1855" s="1" t="n">
        <v>45753</v>
      </c>
      <c r="D1855" t="inlineStr">
        <is>
          <t>JÄMTLANDS LÄN</t>
        </is>
      </c>
      <c r="E1855" t="inlineStr">
        <is>
          <t>RAGUNDA</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8779-2025</t>
        </is>
      </c>
      <c r="B1856" s="1" t="n">
        <v>45712</v>
      </c>
      <c r="C1856" s="1" t="n">
        <v>45753</v>
      </c>
      <c r="D1856" t="inlineStr">
        <is>
          <t>JÄMTLANDS LÄN</t>
        </is>
      </c>
      <c r="E1856" t="inlineStr">
        <is>
          <t>RAGUNDA</t>
        </is>
      </c>
      <c r="F1856" t="inlineStr">
        <is>
          <t>SCA</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8800-2025</t>
        </is>
      </c>
      <c r="B1857" s="1" t="n">
        <v>45712</v>
      </c>
      <c r="C1857" s="1" t="n">
        <v>45753</v>
      </c>
      <c r="D1857" t="inlineStr">
        <is>
          <t>JÄMTLANDS LÄN</t>
        </is>
      </c>
      <c r="E1857" t="inlineStr">
        <is>
          <t>RAGUNDA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8776-2025</t>
        </is>
      </c>
      <c r="B1858" s="1" t="n">
        <v>45712</v>
      </c>
      <c r="C1858" s="1" t="n">
        <v>45753</v>
      </c>
      <c r="D1858" t="inlineStr">
        <is>
          <t>JÄMTLANDS LÄN</t>
        </is>
      </c>
      <c r="E1858" t="inlineStr">
        <is>
          <t>RAGUNDA</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9262-2025</t>
        </is>
      </c>
      <c r="B1859" s="1" t="n">
        <v>45714</v>
      </c>
      <c r="C1859" s="1" t="n">
        <v>45753</v>
      </c>
      <c r="D1859" t="inlineStr">
        <is>
          <t>JÄMTLANDS LÄN</t>
        </is>
      </c>
      <c r="E1859" t="inlineStr">
        <is>
          <t>RAGUNDA</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9266-2025</t>
        </is>
      </c>
      <c r="B1860" s="1" t="n">
        <v>45714</v>
      </c>
      <c r="C1860" s="1" t="n">
        <v>45753</v>
      </c>
      <c r="D1860" t="inlineStr">
        <is>
          <t>JÄMTLANDS LÄN</t>
        </is>
      </c>
      <c r="E1860" t="inlineStr">
        <is>
          <t>RAGUNDA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9232-2025</t>
        </is>
      </c>
      <c r="B1861" s="1" t="n">
        <v>45714</v>
      </c>
      <c r="C1861" s="1" t="n">
        <v>45753</v>
      </c>
      <c r="D1861" t="inlineStr">
        <is>
          <t>JÄMTLANDS LÄN</t>
        </is>
      </c>
      <c r="E1861" t="inlineStr">
        <is>
          <t>RAGUNDA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9504-2025</t>
        </is>
      </c>
      <c r="B1862" s="1" t="n">
        <v>45714</v>
      </c>
      <c r="C1862" s="1" t="n">
        <v>45753</v>
      </c>
      <c r="D1862" t="inlineStr">
        <is>
          <t>JÄMTLANDS LÄN</t>
        </is>
      </c>
      <c r="E1862" t="inlineStr">
        <is>
          <t>RAGUNDA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9567-2025</t>
        </is>
      </c>
      <c r="B1863" s="1" t="n">
        <v>45715</v>
      </c>
      <c r="C1863" s="1" t="n">
        <v>45753</v>
      </c>
      <c r="D1863" t="inlineStr">
        <is>
          <t>JÄMTLANDS LÄN</t>
        </is>
      </c>
      <c r="E1863" t="inlineStr">
        <is>
          <t>RAGUNDA</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9548-2025</t>
        </is>
      </c>
      <c r="B1864" s="1" t="n">
        <v>45715</v>
      </c>
      <c r="C1864" s="1" t="n">
        <v>45753</v>
      </c>
      <c r="D1864" t="inlineStr">
        <is>
          <t>JÄMTLANDS LÄN</t>
        </is>
      </c>
      <c r="E1864" t="inlineStr">
        <is>
          <t>RAGUNDA</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9847-2025</t>
        </is>
      </c>
      <c r="B1865" s="1" t="n">
        <v>45716</v>
      </c>
      <c r="C1865" s="1" t="n">
        <v>45753</v>
      </c>
      <c r="D1865" t="inlineStr">
        <is>
          <t>JÄMTLANDS LÄN</t>
        </is>
      </c>
      <c r="E1865" t="inlineStr">
        <is>
          <t>RAGUNDA</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9823-2025</t>
        </is>
      </c>
      <c r="B1866" s="1" t="n">
        <v>45716</v>
      </c>
      <c r="C1866" s="1" t="n">
        <v>45753</v>
      </c>
      <c r="D1866" t="inlineStr">
        <is>
          <t>JÄMTLANDS LÄN</t>
        </is>
      </c>
      <c r="E1866" t="inlineStr">
        <is>
          <t>RAGUNDA</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10788-2025</t>
        </is>
      </c>
      <c r="B1867" s="1" t="n">
        <v>45722</v>
      </c>
      <c r="C1867" s="1" t="n">
        <v>45753</v>
      </c>
      <c r="D1867" t="inlineStr">
        <is>
          <t>JÄMTLANDS LÄN</t>
        </is>
      </c>
      <c r="E1867" t="inlineStr">
        <is>
          <t>RAGUNDA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10754-2025</t>
        </is>
      </c>
      <c r="B1868" s="1" t="n">
        <v>45722</v>
      </c>
      <c r="C1868" s="1" t="n">
        <v>45753</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11058-2025</t>
        </is>
      </c>
      <c r="B1869" s="1" t="n">
        <v>45723</v>
      </c>
      <c r="C1869" s="1" t="n">
        <v>45753</v>
      </c>
      <c r="D1869" t="inlineStr">
        <is>
          <t>JÄMTLANDS LÄN</t>
        </is>
      </c>
      <c r="E1869" t="inlineStr">
        <is>
          <t>RAGUNDA</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11147-2025</t>
        </is>
      </c>
      <c r="B1870" s="1" t="n">
        <v>45723</v>
      </c>
      <c r="C1870" s="1" t="n">
        <v>45753</v>
      </c>
      <c r="D1870" t="inlineStr">
        <is>
          <t>JÄMTLANDS LÄN</t>
        </is>
      </c>
      <c r="E1870" t="inlineStr">
        <is>
          <t>RAGUNDA</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11107-2025</t>
        </is>
      </c>
      <c r="B1871" s="1" t="n">
        <v>45723</v>
      </c>
      <c r="C1871" s="1" t="n">
        <v>45753</v>
      </c>
      <c r="D1871" t="inlineStr">
        <is>
          <t>JÄMTLANDS LÄN</t>
        </is>
      </c>
      <c r="E1871" t="inlineStr">
        <is>
          <t>RAGUNDA</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11245-2025</t>
        </is>
      </c>
      <c r="B1872" s="1" t="n">
        <v>45726</v>
      </c>
      <c r="C1872" s="1" t="n">
        <v>45753</v>
      </c>
      <c r="D1872" t="inlineStr">
        <is>
          <t>JÄMTLANDS LÄN</t>
        </is>
      </c>
      <c r="E1872" t="inlineStr">
        <is>
          <t>RAGUNDA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11249-2025</t>
        </is>
      </c>
      <c r="B1873" s="1" t="n">
        <v>45726</v>
      </c>
      <c r="C1873" s="1" t="n">
        <v>45753</v>
      </c>
      <c r="D1873" t="inlineStr">
        <is>
          <t>JÄMTLANDS LÄN</t>
        </is>
      </c>
      <c r="E1873" t="inlineStr">
        <is>
          <t>RAGUNDA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11252-2025</t>
        </is>
      </c>
      <c r="B1874" s="1" t="n">
        <v>45726</v>
      </c>
      <c r="C1874" s="1" t="n">
        <v>45753</v>
      </c>
      <c r="D1874" t="inlineStr">
        <is>
          <t>JÄMTLANDS LÄN</t>
        </is>
      </c>
      <c r="E1874" t="inlineStr">
        <is>
          <t>RAGUNDA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11253-2025</t>
        </is>
      </c>
      <c r="B1875" s="1" t="n">
        <v>45726</v>
      </c>
      <c r="C1875" s="1" t="n">
        <v>45753</v>
      </c>
      <c r="D1875" t="inlineStr">
        <is>
          <t>JÄMTLANDS LÄN</t>
        </is>
      </c>
      <c r="E1875" t="inlineStr">
        <is>
          <t>RAGUNDA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12204-2025</t>
        </is>
      </c>
      <c r="B1876" s="1" t="n">
        <v>45729</v>
      </c>
      <c r="C1876" s="1" t="n">
        <v>45753</v>
      </c>
      <c r="D1876" t="inlineStr">
        <is>
          <t>JÄMTLANDS LÄN</t>
        </is>
      </c>
      <c r="E1876" t="inlineStr">
        <is>
          <t>RAGUNDA</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12405-2025</t>
        </is>
      </c>
      <c r="B1877" s="1" t="n">
        <v>45730</v>
      </c>
      <c r="C1877" s="1" t="n">
        <v>45753</v>
      </c>
      <c r="D1877" t="inlineStr">
        <is>
          <t>JÄMTLANDS LÄN</t>
        </is>
      </c>
      <c r="E1877" t="inlineStr">
        <is>
          <t>RAGUNDA</t>
        </is>
      </c>
      <c r="F1877" t="inlineStr">
        <is>
          <t>SCA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45753</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12464-2025</t>
        </is>
      </c>
      <c r="B1879" s="1" t="n">
        <v>45730</v>
      </c>
      <c r="C1879" s="1" t="n">
        <v>45753</v>
      </c>
      <c r="D1879" t="inlineStr">
        <is>
          <t>JÄMTLANDS LÄN</t>
        </is>
      </c>
      <c r="E1879" t="inlineStr">
        <is>
          <t>RAGUNDA</t>
        </is>
      </c>
      <c r="F1879" t="inlineStr">
        <is>
          <t>SCA</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12808-2025</t>
        </is>
      </c>
      <c r="B1880" s="1" t="n">
        <v>45733</v>
      </c>
      <c r="C1880" s="1" t="n">
        <v>45753</v>
      </c>
      <c r="D1880" t="inlineStr">
        <is>
          <t>JÄMTLANDS LÄN</t>
        </is>
      </c>
      <c r="E1880" t="inlineStr">
        <is>
          <t>RAGUNDA</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12805-2025</t>
        </is>
      </c>
      <c r="B1881" s="1" t="n">
        <v>45733</v>
      </c>
      <c r="C1881" s="1" t="n">
        <v>45753</v>
      </c>
      <c r="D1881" t="inlineStr">
        <is>
          <t>JÄMTLANDS LÄN</t>
        </is>
      </c>
      <c r="E1881" t="inlineStr">
        <is>
          <t>RAGUNDA</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12976-2025</t>
        </is>
      </c>
      <c r="B1882" s="1" t="n">
        <v>45734</v>
      </c>
      <c r="C1882" s="1" t="n">
        <v>45753</v>
      </c>
      <c r="D1882" t="inlineStr">
        <is>
          <t>JÄMTLANDS LÄN</t>
        </is>
      </c>
      <c r="E1882" t="inlineStr">
        <is>
          <t>RAGUNDA</t>
        </is>
      </c>
      <c r="G1882" t="n">
        <v>24.2</v>
      </c>
      <c r="H1882" t="n">
        <v>0</v>
      </c>
      <c r="I1882" t="n">
        <v>0</v>
      </c>
      <c r="J1882" t="n">
        <v>0</v>
      </c>
      <c r="K1882" t="n">
        <v>0</v>
      </c>
      <c r="L1882" t="n">
        <v>0</v>
      </c>
      <c r="M1882" t="n">
        <v>0</v>
      </c>
      <c r="N1882" t="n">
        <v>0</v>
      </c>
      <c r="O1882" t="n">
        <v>0</v>
      </c>
      <c r="P1882" t="n">
        <v>0</v>
      </c>
      <c r="Q1882" t="n">
        <v>0</v>
      </c>
      <c r="R1882" s="2" t="inlineStr"/>
    </row>
    <row r="1883" ht="15" customHeight="1">
      <c r="A1883" t="inlineStr">
        <is>
          <t>A 12983-2025</t>
        </is>
      </c>
      <c r="B1883" s="1" t="n">
        <v>45734</v>
      </c>
      <c r="C1883" s="1" t="n">
        <v>45753</v>
      </c>
      <c r="D1883" t="inlineStr">
        <is>
          <t>JÄMTLANDS LÄN</t>
        </is>
      </c>
      <c r="E1883" t="inlineStr">
        <is>
          <t>RAGUNDA</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13263-2025</t>
        </is>
      </c>
      <c r="B1884" s="1" t="n">
        <v>45735</v>
      </c>
      <c r="C1884" s="1" t="n">
        <v>45753</v>
      </c>
      <c r="D1884" t="inlineStr">
        <is>
          <t>JÄMTLANDS LÄN</t>
        </is>
      </c>
      <c r="E1884" t="inlineStr">
        <is>
          <t>RAGUNDA</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13276-2025</t>
        </is>
      </c>
      <c r="B1885" s="1" t="n">
        <v>45735</v>
      </c>
      <c r="C1885" s="1" t="n">
        <v>45753</v>
      </c>
      <c r="D1885" t="inlineStr">
        <is>
          <t>JÄMTLANDS LÄN</t>
        </is>
      </c>
      <c r="E1885" t="inlineStr">
        <is>
          <t>RAGUNDA</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45753</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13389-2025</t>
        </is>
      </c>
      <c r="B1887" s="1" t="n">
        <v>45735</v>
      </c>
      <c r="C1887" s="1" t="n">
        <v>45753</v>
      </c>
      <c r="D1887" t="inlineStr">
        <is>
          <t>JÄMTLANDS LÄN</t>
        </is>
      </c>
      <c r="E1887" t="inlineStr">
        <is>
          <t>RAGUNDA</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13472-2025</t>
        </is>
      </c>
      <c r="B1888" s="1" t="n">
        <v>45736</v>
      </c>
      <c r="C1888" s="1" t="n">
        <v>45753</v>
      </c>
      <c r="D1888" t="inlineStr">
        <is>
          <t>JÄMTLANDS LÄN</t>
        </is>
      </c>
      <c r="E1888" t="inlineStr">
        <is>
          <t>RAGUNDA</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13890-2025</t>
        </is>
      </c>
      <c r="B1889" s="1" t="n">
        <v>45737</v>
      </c>
      <c r="C1889" s="1" t="n">
        <v>45753</v>
      </c>
      <c r="D1889" t="inlineStr">
        <is>
          <t>JÄMTLANDS LÄN</t>
        </is>
      </c>
      <c r="E1889" t="inlineStr">
        <is>
          <t>RAGUNDA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13941-2025</t>
        </is>
      </c>
      <c r="B1890" s="1" t="n">
        <v>45737</v>
      </c>
      <c r="C1890" s="1" t="n">
        <v>45753</v>
      </c>
      <c r="D1890" t="inlineStr">
        <is>
          <t>JÄMTLANDS LÄN</t>
        </is>
      </c>
      <c r="E1890" t="inlineStr">
        <is>
          <t>RAGUNDA</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13905-2025</t>
        </is>
      </c>
      <c r="B1891" s="1" t="n">
        <v>45737</v>
      </c>
      <c r="C1891" s="1" t="n">
        <v>45753</v>
      </c>
      <c r="D1891" t="inlineStr">
        <is>
          <t>JÄMTLANDS LÄN</t>
        </is>
      </c>
      <c r="E1891" t="inlineStr">
        <is>
          <t>RAGUNDA</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14512-2025</t>
        </is>
      </c>
      <c r="B1892" s="1" t="n">
        <v>45741</v>
      </c>
      <c r="C1892" s="1" t="n">
        <v>45753</v>
      </c>
      <c r="D1892" t="inlineStr">
        <is>
          <t>JÄMTLANDS LÄN</t>
        </is>
      </c>
      <c r="E1892" t="inlineStr">
        <is>
          <t>RAGUNDA</t>
        </is>
      </c>
      <c r="F1892" t="inlineStr">
        <is>
          <t>SCA</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14513-2025</t>
        </is>
      </c>
      <c r="B1893" s="1" t="n">
        <v>45741</v>
      </c>
      <c r="C1893" s="1" t="n">
        <v>45753</v>
      </c>
      <c r="D1893" t="inlineStr">
        <is>
          <t>JÄMTLANDS LÄN</t>
        </is>
      </c>
      <c r="E1893" t="inlineStr">
        <is>
          <t>RAGUNDA</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15034-2025</t>
        </is>
      </c>
      <c r="B1894" s="1" t="n">
        <v>45743</v>
      </c>
      <c r="C1894" s="1" t="n">
        <v>45753</v>
      </c>
      <c r="D1894" t="inlineStr">
        <is>
          <t>JÄMTLANDS LÄN</t>
        </is>
      </c>
      <c r="E1894" t="inlineStr">
        <is>
          <t>RAGUNDA</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14932-2025</t>
        </is>
      </c>
      <c r="B1895" s="1" t="n">
        <v>45743</v>
      </c>
      <c r="C1895" s="1" t="n">
        <v>45753</v>
      </c>
      <c r="D1895" t="inlineStr">
        <is>
          <t>JÄMTLANDS LÄN</t>
        </is>
      </c>
      <c r="E1895" t="inlineStr">
        <is>
          <t>RAGUNDA</t>
        </is>
      </c>
      <c r="F1895" t="inlineStr">
        <is>
          <t>SCA</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14821-2025</t>
        </is>
      </c>
      <c r="B1896" s="1" t="n">
        <v>45743</v>
      </c>
      <c r="C1896" s="1" t="n">
        <v>45753</v>
      </c>
      <c r="D1896" t="inlineStr">
        <is>
          <t>JÄMTLANDS LÄN</t>
        </is>
      </c>
      <c r="E1896" t="inlineStr">
        <is>
          <t>RAGUNDA</t>
        </is>
      </c>
      <c r="F1896" t="inlineStr">
        <is>
          <t>Kyrkan</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14818-2025</t>
        </is>
      </c>
      <c r="B1897" s="1" t="n">
        <v>45743</v>
      </c>
      <c r="C1897" s="1" t="n">
        <v>45753</v>
      </c>
      <c r="D1897" t="inlineStr">
        <is>
          <t>JÄMTLANDS LÄN</t>
        </is>
      </c>
      <c r="E1897" t="inlineStr">
        <is>
          <t>RAGUNDA</t>
        </is>
      </c>
      <c r="F1897" t="inlineStr">
        <is>
          <t>Kyrkan</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15554-2025</t>
        </is>
      </c>
      <c r="B1898" s="1" t="n">
        <v>45747</v>
      </c>
      <c r="C1898" s="1" t="n">
        <v>45753</v>
      </c>
      <c r="D1898" t="inlineStr">
        <is>
          <t>JÄMTLANDS LÄN</t>
        </is>
      </c>
      <c r="E1898" t="inlineStr">
        <is>
          <t>RAGUNDA</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15641-2025</t>
        </is>
      </c>
      <c r="B1899" s="1" t="n">
        <v>45748</v>
      </c>
      <c r="C1899" s="1" t="n">
        <v>45753</v>
      </c>
      <c r="D1899" t="inlineStr">
        <is>
          <t>JÄMTLANDS LÄN</t>
        </is>
      </c>
      <c r="E1899" t="inlineStr">
        <is>
          <t>RAGUNDA</t>
        </is>
      </c>
      <c r="F1899" t="inlineStr">
        <is>
          <t>SCA</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16124-2025</t>
        </is>
      </c>
      <c r="B1900" s="1" t="n">
        <v>45750</v>
      </c>
      <c r="C1900" s="1" t="n">
        <v>45753</v>
      </c>
      <c r="D1900" t="inlineStr">
        <is>
          <t>JÄMTLANDS LÄN</t>
        </is>
      </c>
      <c r="E1900" t="inlineStr">
        <is>
          <t>RAGUNDA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16127-2025</t>
        </is>
      </c>
      <c r="B1901" s="1" t="n">
        <v>45750</v>
      </c>
      <c r="C1901" s="1" t="n">
        <v>45753</v>
      </c>
      <c r="D1901" t="inlineStr">
        <is>
          <t>JÄMTLANDS LÄN</t>
        </is>
      </c>
      <c r="E1901" t="inlineStr">
        <is>
          <t>RAGUNDA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16334-2025</t>
        </is>
      </c>
      <c r="B1902" s="1" t="n">
        <v>45751</v>
      </c>
      <c r="C1902" s="1" t="n">
        <v>45753</v>
      </c>
      <c r="D1902" t="inlineStr">
        <is>
          <t>JÄMTLANDS LÄN</t>
        </is>
      </c>
      <c r="E1902" t="inlineStr">
        <is>
          <t>RAGUNDA</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16320-2025</t>
        </is>
      </c>
      <c r="B1903" s="1" t="n">
        <v>45751</v>
      </c>
      <c r="C1903" s="1" t="n">
        <v>45753</v>
      </c>
      <c r="D1903" t="inlineStr">
        <is>
          <t>JÄMTLANDS LÄN</t>
        </is>
      </c>
      <c r="E1903" t="inlineStr">
        <is>
          <t>RAGUNDA</t>
        </is>
      </c>
      <c r="F1903" t="inlineStr">
        <is>
          <t>SCA</t>
        </is>
      </c>
      <c r="G1903" t="n">
        <v>16.2</v>
      </c>
      <c r="H1903" t="n">
        <v>0</v>
      </c>
      <c r="I1903" t="n">
        <v>0</v>
      </c>
      <c r="J1903" t="n">
        <v>0</v>
      </c>
      <c r="K1903" t="n">
        <v>0</v>
      </c>
      <c r="L1903" t="n">
        <v>0</v>
      </c>
      <c r="M1903" t="n">
        <v>0</v>
      </c>
      <c r="N1903" t="n">
        <v>0</v>
      </c>
      <c r="O1903" t="n">
        <v>0</v>
      </c>
      <c r="P1903" t="n">
        <v>0</v>
      </c>
      <c r="Q1903" t="n">
        <v>0</v>
      </c>
      <c r="R1903" s="2" t="inlineStr"/>
    </row>
    <row r="1904">
      <c r="A1904" t="inlineStr">
        <is>
          <t>A 16321-2025</t>
        </is>
      </c>
      <c r="B1904" s="1" t="n">
        <v>45751</v>
      </c>
      <c r="C1904" s="1" t="n">
        <v>45753</v>
      </c>
      <c r="D1904" t="inlineStr">
        <is>
          <t>JÄMTLANDS LÄN</t>
        </is>
      </c>
      <c r="E1904" t="inlineStr">
        <is>
          <t>RAGUNDA</t>
        </is>
      </c>
      <c r="F1904" t="inlineStr">
        <is>
          <t>SCA</t>
        </is>
      </c>
      <c r="G1904" t="n">
        <v>63.3</v>
      </c>
      <c r="H1904" t="n">
        <v>0</v>
      </c>
      <c r="I1904" t="n">
        <v>0</v>
      </c>
      <c r="J1904" t="n">
        <v>0</v>
      </c>
      <c r="K1904" t="n">
        <v>0</v>
      </c>
      <c r="L1904" t="n">
        <v>0</v>
      </c>
      <c r="M1904" t="n">
        <v>0</v>
      </c>
      <c r="N1904" t="n">
        <v>0</v>
      </c>
      <c r="O1904" t="n">
        <v>0</v>
      </c>
      <c r="P1904" t="n">
        <v>0</v>
      </c>
      <c r="Q1904" t="n">
        <v>0</v>
      </c>
      <c r="R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2025-04-06T16:54:03Z</dcterms:created>
  <dcterms:modified xmlns:dcterms="http://purl.org/dc/terms/" xmlns:xsi="http://www.w3.org/2001/XMLSchema-instance" xsi:type="dcterms:W3CDTF">2025-04-06T16:54:04Z</dcterms:modified>
</cp:coreProperties>
</file>