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46113</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46113</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46113</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46113</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46113</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46113</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46113</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46113</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46113</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46113</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46113</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46113</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46113</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46113</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46113</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46113</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46113</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46113</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9347-2024</t>
        </is>
      </c>
      <c r="B22" s="1" t="n">
        <v>45358.99375</v>
      </c>
      <c r="C22" s="1" t="n">
        <v>46113</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25632-2025</t>
        </is>
      </c>
      <c r="B23" s="1" t="n">
        <v>45803.59474537037</v>
      </c>
      <c r="C23" s="1" t="n">
        <v>46113</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31839-2022</t>
        </is>
      </c>
      <c r="B24" s="1" t="n">
        <v>44776</v>
      </c>
      <c r="C24" s="1" t="n">
        <v>46113</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32741-2025</t>
        </is>
      </c>
      <c r="B25" s="1" t="n">
        <v>45839</v>
      </c>
      <c r="C25" s="1" t="n">
        <v>46113</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46113</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46113</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13483-2022</t>
        </is>
      </c>
      <c r="B28" s="1" t="n">
        <v>44645.99859953704</v>
      </c>
      <c r="C28" s="1" t="n">
        <v>46113</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10982-2025</t>
        </is>
      </c>
      <c r="B29" s="1" t="n">
        <v>45723.40688657408</v>
      </c>
      <c r="C29" s="1" t="n">
        <v>46113</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4591-2024</t>
        </is>
      </c>
      <c r="B30" s="1" t="n">
        <v>45327</v>
      </c>
      <c r="C30" s="1" t="n">
        <v>46113</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55894-2022</t>
        </is>
      </c>
      <c r="B31" s="1" t="n">
        <v>44888</v>
      </c>
      <c r="C31" s="1" t="n">
        <v>46113</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46113</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25016-2025</t>
        </is>
      </c>
      <c r="B33" s="1" t="n">
        <v>45799.63574074074</v>
      </c>
      <c r="C33" s="1" t="n">
        <v>46113</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46113</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62948-2021</t>
        </is>
      </c>
      <c r="B35" s="1" t="n">
        <v>44504</v>
      </c>
      <c r="C35" s="1" t="n">
        <v>46113</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30876-2025</t>
        </is>
      </c>
      <c r="B36" s="1" t="n">
        <v>45832.34461805555</v>
      </c>
      <c r="C36" s="1" t="n">
        <v>46113</v>
      </c>
      <c r="D36" t="inlineStr">
        <is>
          <t>JÄMTLANDS LÄN</t>
        </is>
      </c>
      <c r="E36" t="inlineStr">
        <is>
          <t>RAGUNDA</t>
        </is>
      </c>
      <c r="F36" t="inlineStr">
        <is>
          <t>SCA</t>
        </is>
      </c>
      <c r="G36" t="n">
        <v>5.5</v>
      </c>
      <c r="H36" t="n">
        <v>6</v>
      </c>
      <c r="I36" t="n">
        <v>1</v>
      </c>
      <c r="J36" t="n">
        <v>5</v>
      </c>
      <c r="K36" t="n">
        <v>1</v>
      </c>
      <c r="L36" t="n">
        <v>0</v>
      </c>
      <c r="M36" t="n">
        <v>0</v>
      </c>
      <c r="N36" t="n">
        <v>0</v>
      </c>
      <c r="O36" t="n">
        <v>6</v>
      </c>
      <c r="P36" t="n">
        <v>1</v>
      </c>
      <c r="Q36" t="n">
        <v>9</v>
      </c>
      <c r="R36" s="2" t="inlineStr">
        <is>
          <t>Knärot
Järpe
Lunglav
Spillkråka
Tallticka
Tretåig hackspett
Kamjordstjärna
Tjäder
Nattviol</t>
        </is>
      </c>
      <c r="S36">
        <f>HYPERLINK("https://klasma.github.io/Logging_2303/artfynd/A 30876-2025 artfynd.xlsx", "A 30876-2025")</f>
        <v/>
      </c>
      <c r="T36">
        <f>HYPERLINK("https://klasma.github.io/Logging_2303/kartor/A 30876-2025 karta.png", "A 30876-2025")</f>
        <v/>
      </c>
      <c r="U36">
        <f>HYPERLINK("https://klasma.github.io/Logging_2303/knärot/A 30876-2025 karta knärot.png", "A 30876-2025")</f>
        <v/>
      </c>
      <c r="V36">
        <f>HYPERLINK("https://klasma.github.io/Logging_2303/klagomål/A 30876-2025 FSC-klagomål.docx", "A 30876-2025")</f>
        <v/>
      </c>
      <c r="W36">
        <f>HYPERLINK("https://klasma.github.io/Logging_2303/klagomålsmail/A 30876-2025 FSC-klagomål mail.docx", "A 30876-2025")</f>
        <v/>
      </c>
      <c r="X36">
        <f>HYPERLINK("https://klasma.github.io/Logging_2303/tillsyn/A 30876-2025 tillsynsbegäran.docx", "A 30876-2025")</f>
        <v/>
      </c>
      <c r="Y36">
        <f>HYPERLINK("https://klasma.github.io/Logging_2303/tillsynsmail/A 30876-2025 tillsynsbegäran mail.docx", "A 30876-2025")</f>
        <v/>
      </c>
      <c r="Z36">
        <f>HYPERLINK("https://klasma.github.io/Logging_2303/fåglar/A 30876-2025 prioriterade fågelarter.docx", "A 30876-2025")</f>
        <v/>
      </c>
    </row>
    <row r="37" ht="15" customHeight="1">
      <c r="A37" t="inlineStr">
        <is>
          <t>A 58876-2025</t>
        </is>
      </c>
      <c r="B37" s="1" t="n">
        <v>45987.46929398148</v>
      </c>
      <c r="C37" s="1" t="n">
        <v>46113</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32068-2024</t>
        </is>
      </c>
      <c r="B38" s="1" t="n">
        <v>45510</v>
      </c>
      <c r="C38" s="1" t="n">
        <v>46113</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46113</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46113</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42393-2025</t>
        </is>
      </c>
      <c r="B41" s="1" t="n">
        <v>45905</v>
      </c>
      <c r="C41" s="1" t="n">
        <v>46113</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45008-2023</t>
        </is>
      </c>
      <c r="B42" s="1" t="n">
        <v>45190.96092592592</v>
      </c>
      <c r="C42" s="1" t="n">
        <v>46113</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2316-2026</t>
        </is>
      </c>
      <c r="B43" s="1" t="n">
        <v>46036.59826388889</v>
      </c>
      <c r="C43" s="1" t="n">
        <v>46113</v>
      </c>
      <c r="D43" t="inlineStr">
        <is>
          <t>JÄMTLANDS LÄN</t>
        </is>
      </c>
      <c r="E43" t="inlineStr">
        <is>
          <t>RAGUNDA</t>
        </is>
      </c>
      <c r="G43" t="n">
        <v>5.1</v>
      </c>
      <c r="H43" t="n">
        <v>3</v>
      </c>
      <c r="I43" t="n">
        <v>0</v>
      </c>
      <c r="J43" t="n">
        <v>9</v>
      </c>
      <c r="K43" t="n">
        <v>0</v>
      </c>
      <c r="L43" t="n">
        <v>0</v>
      </c>
      <c r="M43" t="n">
        <v>0</v>
      </c>
      <c r="N43" t="n">
        <v>0</v>
      </c>
      <c r="O43" t="n">
        <v>9</v>
      </c>
      <c r="P43" t="n">
        <v>0</v>
      </c>
      <c r="Q43" t="n">
        <v>9</v>
      </c>
      <c r="R43" s="2" t="inlineStr">
        <is>
          <t>Garnlav
Harticka
Kolflarnlav
Liten svartspik
Lunglav
Talltita
Tretåig hackspett
Utter
Vitgrynig nållav</t>
        </is>
      </c>
      <c r="S43">
        <f>HYPERLINK("https://klasma.github.io/Logging_2303/artfynd/A 2316-2026 artfynd.xlsx", "A 2316-2026")</f>
        <v/>
      </c>
      <c r="T43">
        <f>HYPERLINK("https://klasma.github.io/Logging_2303/kartor/A 2316-2026 karta.png", "A 2316-2026")</f>
        <v/>
      </c>
      <c r="V43">
        <f>HYPERLINK("https://klasma.github.io/Logging_2303/klagomål/A 2316-2026 FSC-klagomål.docx", "A 2316-2026")</f>
        <v/>
      </c>
      <c r="W43">
        <f>HYPERLINK("https://klasma.github.io/Logging_2303/klagomålsmail/A 2316-2026 FSC-klagomål mail.docx", "A 2316-2026")</f>
        <v/>
      </c>
      <c r="X43">
        <f>HYPERLINK("https://klasma.github.io/Logging_2303/tillsyn/A 2316-2026 tillsynsbegäran.docx", "A 2316-2026")</f>
        <v/>
      </c>
      <c r="Y43">
        <f>HYPERLINK("https://klasma.github.io/Logging_2303/tillsynsmail/A 2316-2026 tillsynsbegäran mail.docx", "A 2316-2026")</f>
        <v/>
      </c>
      <c r="Z43">
        <f>HYPERLINK("https://klasma.github.io/Logging_2303/fåglar/A 2316-2026 prioriterade fågelarter.docx", "A 2316-2026")</f>
        <v/>
      </c>
    </row>
    <row r="44" ht="15" customHeight="1">
      <c r="A44" t="inlineStr">
        <is>
          <t>A 4146-2025</t>
        </is>
      </c>
      <c r="B44" s="1" t="n">
        <v>45685.36501157407</v>
      </c>
      <c r="C44" s="1" t="n">
        <v>46113</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24732-2025</t>
        </is>
      </c>
      <c r="B45" s="1" t="n">
        <v>45799.34421296296</v>
      </c>
      <c r="C45" s="1" t="n">
        <v>46113</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3634-2024</t>
        </is>
      </c>
      <c r="B46" s="1" t="n">
        <v>45320</v>
      </c>
      <c r="C46" s="1" t="n">
        <v>46113</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51037-2025</t>
        </is>
      </c>
      <c r="B47" s="1" t="n">
        <v>45947.40729166667</v>
      </c>
      <c r="C47" s="1" t="n">
        <v>46113</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30335-2025</t>
        </is>
      </c>
      <c r="B48" s="1" t="n">
        <v>45827.5110300926</v>
      </c>
      <c r="C48" s="1" t="n">
        <v>46113</v>
      </c>
      <c r="D48" t="inlineStr">
        <is>
          <t>JÄMTLANDS LÄN</t>
        </is>
      </c>
      <c r="E48" t="inlineStr">
        <is>
          <t>RAGUNDA</t>
        </is>
      </c>
      <c r="F48" t="inlineStr">
        <is>
          <t>SCA</t>
        </is>
      </c>
      <c r="G48" t="n">
        <v>7.7</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30335-2025 artfynd.xlsx", "A 30335-2025")</f>
        <v/>
      </c>
      <c r="T48">
        <f>HYPERLINK("https://klasma.github.io/Logging_2303/kartor/A 30335-2025 karta.png", "A 30335-2025")</f>
        <v/>
      </c>
      <c r="U48">
        <f>HYPERLINK("https://klasma.github.io/Logging_2303/knärot/A 30335-2025 karta knärot.png", "A 30335-2025")</f>
        <v/>
      </c>
      <c r="V48">
        <f>HYPERLINK("https://klasma.github.io/Logging_2303/klagomål/A 30335-2025 FSC-klagomål.docx", "A 30335-2025")</f>
        <v/>
      </c>
      <c r="W48">
        <f>HYPERLINK("https://klasma.github.io/Logging_2303/klagomålsmail/A 30335-2025 FSC-klagomål mail.docx", "A 30335-2025")</f>
        <v/>
      </c>
      <c r="X48">
        <f>HYPERLINK("https://klasma.github.io/Logging_2303/tillsyn/A 30335-2025 tillsynsbegäran.docx", "A 30335-2025")</f>
        <v/>
      </c>
      <c r="Y48">
        <f>HYPERLINK("https://klasma.github.io/Logging_2303/tillsynsmail/A 30335-2025 tillsynsbegäran mail.docx", "A 30335-2025")</f>
        <v/>
      </c>
    </row>
    <row r="49" ht="15" customHeight="1">
      <c r="A49" t="inlineStr">
        <is>
          <t>A 60129-2025</t>
        </is>
      </c>
      <c r="B49" s="1" t="n">
        <v>45994.34461805555</v>
      </c>
      <c r="C49" s="1" t="n">
        <v>46113</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46113</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46113</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46113</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46113</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33806-2023</t>
        </is>
      </c>
      <c r="B54" s="1" t="n">
        <v>45121</v>
      </c>
      <c r="C54" s="1" t="n">
        <v>46113</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46113</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46113</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24169-2021</t>
        </is>
      </c>
      <c r="B57" s="1" t="n">
        <v>44336</v>
      </c>
      <c r="C57" s="1" t="n">
        <v>46113</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46113</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46113</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26750-2025</t>
        </is>
      </c>
      <c r="B60" s="1" t="n">
        <v>45810.55061342593</v>
      </c>
      <c r="C60" s="1" t="n">
        <v>46113</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46113</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61386-2022</t>
        </is>
      </c>
      <c r="B62" s="1" t="n">
        <v>44915</v>
      </c>
      <c r="C62" s="1" t="n">
        <v>46113</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46113</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46113</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39973-2025</t>
        </is>
      </c>
      <c r="B65" s="1" t="n">
        <v>45893.38584490741</v>
      </c>
      <c r="C65" s="1" t="n">
        <v>46113</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11828-2023</t>
        </is>
      </c>
      <c r="B66" s="1" t="n">
        <v>44994</v>
      </c>
      <c r="C66" s="1" t="n">
        <v>46113</v>
      </c>
      <c r="D66" t="inlineStr">
        <is>
          <t>JÄMTLANDS LÄN</t>
        </is>
      </c>
      <c r="E66" t="inlineStr">
        <is>
          <t>RAGUNDA</t>
        </is>
      </c>
      <c r="F66" t="inlineStr">
        <is>
          <t>SCA</t>
        </is>
      </c>
      <c r="G66" t="n">
        <v>2.7</v>
      </c>
      <c r="H66" t="n">
        <v>0</v>
      </c>
      <c r="I66" t="n">
        <v>0</v>
      </c>
      <c r="J66" t="n">
        <v>6</v>
      </c>
      <c r="K66" t="n">
        <v>0</v>
      </c>
      <c r="L66" t="n">
        <v>0</v>
      </c>
      <c r="M66" t="n">
        <v>0</v>
      </c>
      <c r="N66" t="n">
        <v>0</v>
      </c>
      <c r="O66" t="n">
        <v>6</v>
      </c>
      <c r="P66" t="n">
        <v>0</v>
      </c>
      <c r="Q66" t="n">
        <v>6</v>
      </c>
      <c r="R66" s="2" t="inlineStr">
        <is>
          <t>Dvärgbägarlav
Garnlav
Kolflarnlav
Mörk kolflarnlav
Vedskivlav
Vedtrappmossa</t>
        </is>
      </c>
      <c r="S66">
        <f>HYPERLINK("https://klasma.github.io/Logging_2303/artfynd/A 11828-2023 artfynd.xlsx", "A 11828-2023")</f>
        <v/>
      </c>
      <c r="T66">
        <f>HYPERLINK("https://klasma.github.io/Logging_2303/kartor/A 11828-2023 karta.png", "A 11828-2023")</f>
        <v/>
      </c>
      <c r="V66">
        <f>HYPERLINK("https://klasma.github.io/Logging_2303/klagomål/A 11828-2023 FSC-klagomål.docx", "A 11828-2023")</f>
        <v/>
      </c>
      <c r="W66">
        <f>HYPERLINK("https://klasma.github.io/Logging_2303/klagomålsmail/A 11828-2023 FSC-klagomål mail.docx", "A 11828-2023")</f>
        <v/>
      </c>
      <c r="X66">
        <f>HYPERLINK("https://klasma.github.io/Logging_2303/tillsyn/A 11828-2023 tillsynsbegäran.docx", "A 11828-2023")</f>
        <v/>
      </c>
      <c r="Y66">
        <f>HYPERLINK("https://klasma.github.io/Logging_2303/tillsynsmail/A 11828-2023 tillsynsbegäran mail.docx", "A 11828-2023")</f>
        <v/>
      </c>
    </row>
    <row r="67" ht="15" customHeight="1">
      <c r="A67" t="inlineStr">
        <is>
          <t>A 26326-2024</t>
        </is>
      </c>
      <c r="B67" s="1" t="n">
        <v>45468.97528935185</v>
      </c>
      <c r="C67" s="1" t="n">
        <v>46113</v>
      </c>
      <c r="D67" t="inlineStr">
        <is>
          <t>JÄMTLANDS LÄN</t>
        </is>
      </c>
      <c r="E67" t="inlineStr">
        <is>
          <t>RAGUNDA</t>
        </is>
      </c>
      <c r="F67" t="inlineStr">
        <is>
          <t>SCA</t>
        </is>
      </c>
      <c r="G67" t="n">
        <v>1.8</v>
      </c>
      <c r="H67" t="n">
        <v>1</v>
      </c>
      <c r="I67" t="n">
        <v>1</v>
      </c>
      <c r="J67" t="n">
        <v>4</v>
      </c>
      <c r="K67" t="n">
        <v>1</v>
      </c>
      <c r="L67" t="n">
        <v>0</v>
      </c>
      <c r="M67" t="n">
        <v>0</v>
      </c>
      <c r="N67" t="n">
        <v>0</v>
      </c>
      <c r="O67" t="n">
        <v>5</v>
      </c>
      <c r="P67" t="n">
        <v>1</v>
      </c>
      <c r="Q67" t="n">
        <v>6</v>
      </c>
      <c r="R67" s="2" t="inlineStr">
        <is>
          <t>Knärot
Gammelgransskål
Kortskaftad ärgspik
Mörk kolflarnlav
Vedtrappmossa
Gytterlav</t>
        </is>
      </c>
      <c r="S67">
        <f>HYPERLINK("https://klasma.github.io/Logging_2303/artfynd/A 26326-2024 artfynd.xlsx", "A 26326-2024")</f>
        <v/>
      </c>
      <c r="T67">
        <f>HYPERLINK("https://klasma.github.io/Logging_2303/kartor/A 26326-2024 karta.png", "A 26326-2024")</f>
        <v/>
      </c>
      <c r="U67">
        <f>HYPERLINK("https://klasma.github.io/Logging_2303/knärot/A 26326-2024 karta knärot.png", "A 26326-2024")</f>
        <v/>
      </c>
      <c r="V67">
        <f>HYPERLINK("https://klasma.github.io/Logging_2303/klagomål/A 26326-2024 FSC-klagomål.docx", "A 26326-2024")</f>
        <v/>
      </c>
      <c r="W67">
        <f>HYPERLINK("https://klasma.github.io/Logging_2303/klagomålsmail/A 26326-2024 FSC-klagomål mail.docx", "A 26326-2024")</f>
        <v/>
      </c>
      <c r="X67">
        <f>HYPERLINK("https://klasma.github.io/Logging_2303/tillsyn/A 26326-2024 tillsynsbegäran.docx", "A 26326-2024")</f>
        <v/>
      </c>
      <c r="Y67">
        <f>HYPERLINK("https://klasma.github.io/Logging_2303/tillsynsmail/A 26326-2024 tillsynsbegäran mail.docx", "A 26326-2024")</f>
        <v/>
      </c>
    </row>
    <row r="68" ht="15" customHeight="1">
      <c r="A68" t="inlineStr">
        <is>
          <t>A 27322-2024</t>
        </is>
      </c>
      <c r="B68" s="1" t="n">
        <v>45471.94783564815</v>
      </c>
      <c r="C68" s="1" t="n">
        <v>46113</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24431-2024</t>
        </is>
      </c>
      <c r="B69" s="1" t="n">
        <v>45457</v>
      </c>
      <c r="C69" s="1" t="n">
        <v>46113</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53021-2022</t>
        </is>
      </c>
      <c r="B70" s="1" t="n">
        <v>44875</v>
      </c>
      <c r="C70" s="1" t="n">
        <v>46113</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49291-2025</t>
        </is>
      </c>
      <c r="B71" s="1" t="n">
        <v>45938.53188657408</v>
      </c>
      <c r="C71" s="1" t="n">
        <v>46113</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30884-2025</t>
        </is>
      </c>
      <c r="B72" s="1" t="n">
        <v>45832.34564814815</v>
      </c>
      <c r="C72" s="1" t="n">
        <v>46113</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55646-2023</t>
        </is>
      </c>
      <c r="B73" s="1" t="n">
        <v>45238</v>
      </c>
      <c r="C73" s="1" t="n">
        <v>46113</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19402-2025</t>
        </is>
      </c>
      <c r="B74" s="1" t="n">
        <v>45769.67778935185</v>
      </c>
      <c r="C74" s="1" t="n">
        <v>46113</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2193-2026</t>
        </is>
      </c>
      <c r="B75" s="1" t="n">
        <v>46036.46946759259</v>
      </c>
      <c r="C75" s="1" t="n">
        <v>46113</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36276-2025</t>
        </is>
      </c>
      <c r="B76" s="1" t="n">
        <v>45867.63619212963</v>
      </c>
      <c r="C76" s="1" t="n">
        <v>46113</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933-2023</t>
        </is>
      </c>
      <c r="B77" s="1" t="n">
        <v>44932</v>
      </c>
      <c r="C77" s="1" t="n">
        <v>46113</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30637-2024</t>
        </is>
      </c>
      <c r="B78" s="1" t="n">
        <v>45495</v>
      </c>
      <c r="C78" s="1" t="n">
        <v>46113</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47115-2025</t>
        </is>
      </c>
      <c r="B79" s="1" t="n">
        <v>45929</v>
      </c>
      <c r="C79" s="1" t="n">
        <v>46113</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9197-2026</t>
        </is>
      </c>
      <c r="B80" s="1" t="n">
        <v>46070.40322916667</v>
      </c>
      <c r="C80" s="1" t="n">
        <v>46113</v>
      </c>
      <c r="D80" t="inlineStr">
        <is>
          <t>JÄMTLANDS LÄN</t>
        </is>
      </c>
      <c r="E80" t="inlineStr">
        <is>
          <t>RAGUNDA</t>
        </is>
      </c>
      <c r="G80" t="n">
        <v>3.3</v>
      </c>
      <c r="H80" t="n">
        <v>5</v>
      </c>
      <c r="I80" t="n">
        <v>0</v>
      </c>
      <c r="J80" t="n">
        <v>4</v>
      </c>
      <c r="K80" t="n">
        <v>0</v>
      </c>
      <c r="L80" t="n">
        <v>0</v>
      </c>
      <c r="M80" t="n">
        <v>0</v>
      </c>
      <c r="N80" t="n">
        <v>0</v>
      </c>
      <c r="O80" t="n">
        <v>4</v>
      </c>
      <c r="P80" t="n">
        <v>0</v>
      </c>
      <c r="Q80" t="n">
        <v>6</v>
      </c>
      <c r="R80" s="2" t="inlineStr">
        <is>
          <t>Granticka
Järpe
Spillkråka
Talltita
Grönsiska
Kungsfågel</t>
        </is>
      </c>
      <c r="S80">
        <f>HYPERLINK("https://klasma.github.io/Logging_2303/artfynd/A 9197-2026 artfynd.xlsx", "A 9197-2026")</f>
        <v/>
      </c>
      <c r="T80">
        <f>HYPERLINK("https://klasma.github.io/Logging_2303/kartor/A 9197-2026 karta.png", "A 9197-2026")</f>
        <v/>
      </c>
      <c r="V80">
        <f>HYPERLINK("https://klasma.github.io/Logging_2303/klagomål/A 9197-2026 FSC-klagomål.docx", "A 9197-2026")</f>
        <v/>
      </c>
      <c r="W80">
        <f>HYPERLINK("https://klasma.github.io/Logging_2303/klagomålsmail/A 9197-2026 FSC-klagomål mail.docx", "A 9197-2026")</f>
        <v/>
      </c>
      <c r="X80">
        <f>HYPERLINK("https://klasma.github.io/Logging_2303/tillsyn/A 9197-2026 tillsynsbegäran.docx", "A 9197-2026")</f>
        <v/>
      </c>
      <c r="Y80">
        <f>HYPERLINK("https://klasma.github.io/Logging_2303/tillsynsmail/A 9197-2026 tillsynsbegäran mail.docx", "A 9197-2026")</f>
        <v/>
      </c>
      <c r="Z80">
        <f>HYPERLINK("https://klasma.github.io/Logging_2303/fåglar/A 9197-2026 prioriterade fågelarter.docx", "A 9197-2026")</f>
        <v/>
      </c>
    </row>
    <row r="81" ht="15" customHeight="1">
      <c r="A81" t="inlineStr">
        <is>
          <t>A 21037-2021</t>
        </is>
      </c>
      <c r="B81" s="1" t="n">
        <v>44319</v>
      </c>
      <c r="C81" s="1" t="n">
        <v>46113</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46113</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18629-2024</t>
        </is>
      </c>
      <c r="B83" s="1" t="n">
        <v>45425.96472222222</v>
      </c>
      <c r="C83" s="1" t="n">
        <v>46113</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43106-2023</t>
        </is>
      </c>
      <c r="B84" s="1" t="n">
        <v>45182</v>
      </c>
      <c r="C84" s="1" t="n">
        <v>46113</v>
      </c>
      <c r="D84" t="inlineStr">
        <is>
          <t>JÄMTLANDS LÄN</t>
        </is>
      </c>
      <c r="E84" t="inlineStr">
        <is>
          <t>RAGUNDA</t>
        </is>
      </c>
      <c r="F84" t="inlineStr">
        <is>
          <t>SCA</t>
        </is>
      </c>
      <c r="G84" t="n">
        <v>7.6</v>
      </c>
      <c r="H84" t="n">
        <v>0</v>
      </c>
      <c r="I84" t="n">
        <v>0</v>
      </c>
      <c r="J84" t="n">
        <v>5</v>
      </c>
      <c r="K84" t="n">
        <v>0</v>
      </c>
      <c r="L84" t="n">
        <v>0</v>
      </c>
      <c r="M84" t="n">
        <v>0</v>
      </c>
      <c r="N84" t="n">
        <v>0</v>
      </c>
      <c r="O84" t="n">
        <v>5</v>
      </c>
      <c r="P84" t="n">
        <v>0</v>
      </c>
      <c r="Q84" t="n">
        <v>5</v>
      </c>
      <c r="R84" s="2" t="inlineStr">
        <is>
          <t>Blanksvart spiklav
Blågrå svartspik
Harticka
Rosenticka
Ullticka</t>
        </is>
      </c>
      <c r="S84">
        <f>HYPERLINK("https://klasma.github.io/Logging_2303/artfynd/A 43106-2023 artfynd.xlsx", "A 43106-2023")</f>
        <v/>
      </c>
      <c r="T84">
        <f>HYPERLINK("https://klasma.github.io/Logging_2303/kartor/A 43106-2023 karta.png", "A 43106-2023")</f>
        <v/>
      </c>
      <c r="V84">
        <f>HYPERLINK("https://klasma.github.io/Logging_2303/klagomål/A 43106-2023 FSC-klagomål.docx", "A 43106-2023")</f>
        <v/>
      </c>
      <c r="W84">
        <f>HYPERLINK("https://klasma.github.io/Logging_2303/klagomålsmail/A 43106-2023 FSC-klagomål mail.docx", "A 43106-2023")</f>
        <v/>
      </c>
      <c r="X84">
        <f>HYPERLINK("https://klasma.github.io/Logging_2303/tillsyn/A 43106-2023 tillsynsbegäran.docx", "A 43106-2023")</f>
        <v/>
      </c>
      <c r="Y84">
        <f>HYPERLINK("https://klasma.github.io/Logging_2303/tillsynsmail/A 43106-2023 tillsynsbegäran mail.docx", "A 43106-2023")</f>
        <v/>
      </c>
    </row>
    <row r="85" ht="15" customHeight="1">
      <c r="A85" t="inlineStr">
        <is>
          <t>A 39974-2025</t>
        </is>
      </c>
      <c r="B85" s="1" t="n">
        <v>45893.38599537037</v>
      </c>
      <c r="C85" s="1" t="n">
        <v>46113</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27313-2024</t>
        </is>
      </c>
      <c r="B86" s="1" t="n">
        <v>45471.94623842592</v>
      </c>
      <c r="C86" s="1" t="n">
        <v>46113</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39365-2024</t>
        </is>
      </c>
      <c r="B87" s="1" t="n">
        <v>45551.46912037037</v>
      </c>
      <c r="C87" s="1" t="n">
        <v>46113</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60683-2022</t>
        </is>
      </c>
      <c r="B88" s="1" t="n">
        <v>44911</v>
      </c>
      <c r="C88" s="1" t="n">
        <v>46113</v>
      </c>
      <c r="D88" t="inlineStr">
        <is>
          <t>JÄMTLANDS LÄN</t>
        </is>
      </c>
      <c r="E88" t="inlineStr">
        <is>
          <t>RAGUNDA</t>
        </is>
      </c>
      <c r="F88" t="inlineStr">
        <is>
          <t>SCA</t>
        </is>
      </c>
      <c r="G88" t="n">
        <v>2.4</v>
      </c>
      <c r="H88" t="n">
        <v>2</v>
      </c>
      <c r="I88" t="n">
        <v>2</v>
      </c>
      <c r="J88" t="n">
        <v>1</v>
      </c>
      <c r="K88" t="n">
        <v>0</v>
      </c>
      <c r="L88" t="n">
        <v>0</v>
      </c>
      <c r="M88" t="n">
        <v>0</v>
      </c>
      <c r="N88" t="n">
        <v>0</v>
      </c>
      <c r="O88" t="n">
        <v>1</v>
      </c>
      <c r="P88" t="n">
        <v>0</v>
      </c>
      <c r="Q88" t="n">
        <v>5</v>
      </c>
      <c r="R88" s="2" t="inlineStr">
        <is>
          <t>Granticka
Blodticka
Diskvaxskivling
Fläcknycklar
Blåsippa</t>
        </is>
      </c>
      <c r="S88">
        <f>HYPERLINK("https://klasma.github.io/Logging_2303/artfynd/A 60683-2022 artfynd.xlsx", "A 60683-2022")</f>
        <v/>
      </c>
      <c r="T88">
        <f>HYPERLINK("https://klasma.github.io/Logging_2303/kartor/A 60683-2022 karta.png", "A 60683-2022")</f>
        <v/>
      </c>
      <c r="V88">
        <f>HYPERLINK("https://klasma.github.io/Logging_2303/klagomål/A 60683-2022 FSC-klagomål.docx", "A 60683-2022")</f>
        <v/>
      </c>
      <c r="W88">
        <f>HYPERLINK("https://klasma.github.io/Logging_2303/klagomålsmail/A 60683-2022 FSC-klagomål mail.docx", "A 60683-2022")</f>
        <v/>
      </c>
      <c r="X88">
        <f>HYPERLINK("https://klasma.github.io/Logging_2303/tillsyn/A 60683-2022 tillsynsbegäran.docx", "A 60683-2022")</f>
        <v/>
      </c>
      <c r="Y88">
        <f>HYPERLINK("https://klasma.github.io/Logging_2303/tillsynsmail/A 60683-2022 tillsynsbegäran mail.docx", "A 60683-2022")</f>
        <v/>
      </c>
    </row>
    <row r="89" ht="15" customHeight="1">
      <c r="A89" t="inlineStr">
        <is>
          <t>A 15379-2024</t>
        </is>
      </c>
      <c r="B89" s="1" t="n">
        <v>45400.94002314815</v>
      </c>
      <c r="C89" s="1" t="n">
        <v>46113</v>
      </c>
      <c r="D89" t="inlineStr">
        <is>
          <t>JÄMTLANDS LÄN</t>
        </is>
      </c>
      <c r="E89" t="inlineStr">
        <is>
          <t>RAGUNDA</t>
        </is>
      </c>
      <c r="F89" t="inlineStr">
        <is>
          <t>SCA</t>
        </is>
      </c>
      <c r="G89" t="n">
        <v>4.2</v>
      </c>
      <c r="H89" t="n">
        <v>3</v>
      </c>
      <c r="I89" t="n">
        <v>3</v>
      </c>
      <c r="J89" t="n">
        <v>0</v>
      </c>
      <c r="K89" t="n">
        <v>1</v>
      </c>
      <c r="L89" t="n">
        <v>0</v>
      </c>
      <c r="M89" t="n">
        <v>0</v>
      </c>
      <c r="N89" t="n">
        <v>0</v>
      </c>
      <c r="O89" t="n">
        <v>1</v>
      </c>
      <c r="P89" t="n">
        <v>1</v>
      </c>
      <c r="Q89" t="n">
        <v>5</v>
      </c>
      <c r="R89" s="2" t="inlineStr">
        <is>
          <t>Knärot
Finbräken
Guckusko
Svavelriska
Blåsippa</t>
        </is>
      </c>
      <c r="S89">
        <f>HYPERLINK("https://klasma.github.io/Logging_2303/artfynd/A 15379-2024 artfynd.xlsx", "A 15379-2024")</f>
        <v/>
      </c>
      <c r="T89">
        <f>HYPERLINK("https://klasma.github.io/Logging_2303/kartor/A 15379-2024 karta.png", "A 15379-2024")</f>
        <v/>
      </c>
      <c r="U89">
        <f>HYPERLINK("https://klasma.github.io/Logging_2303/knärot/A 15379-2024 karta knärot.png", "A 15379-2024")</f>
        <v/>
      </c>
      <c r="V89">
        <f>HYPERLINK("https://klasma.github.io/Logging_2303/klagomål/A 15379-2024 FSC-klagomål.docx", "A 15379-2024")</f>
        <v/>
      </c>
      <c r="W89">
        <f>HYPERLINK("https://klasma.github.io/Logging_2303/klagomålsmail/A 15379-2024 FSC-klagomål mail.docx", "A 15379-2024")</f>
        <v/>
      </c>
      <c r="X89">
        <f>HYPERLINK("https://klasma.github.io/Logging_2303/tillsyn/A 15379-2024 tillsynsbegäran.docx", "A 15379-2024")</f>
        <v/>
      </c>
      <c r="Y89">
        <f>HYPERLINK("https://klasma.github.io/Logging_2303/tillsynsmail/A 15379-2024 tillsynsbegäran mail.docx", "A 15379-2024")</f>
        <v/>
      </c>
    </row>
    <row r="90" ht="15" customHeight="1">
      <c r="A90" t="inlineStr">
        <is>
          <t>A 13266-2023</t>
        </is>
      </c>
      <c r="B90" s="1" t="n">
        <v>45002.94356481481</v>
      </c>
      <c r="C90" s="1" t="n">
        <v>46113</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22469-2024</t>
        </is>
      </c>
      <c r="B91" s="1" t="n">
        <v>45446.95087962963</v>
      </c>
      <c r="C91" s="1" t="n">
        <v>46113</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30886-2025</t>
        </is>
      </c>
      <c r="B92" s="1" t="n">
        <v>45832.34578703704</v>
      </c>
      <c r="C92" s="1" t="n">
        <v>46113</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57073-2023</t>
        </is>
      </c>
      <c r="B93" s="1" t="n">
        <v>45244</v>
      </c>
      <c r="C93" s="1" t="n">
        <v>46113</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45969-2023</t>
        </is>
      </c>
      <c r="B94" s="1" t="n">
        <v>45195</v>
      </c>
      <c r="C94" s="1" t="n">
        <v>46113</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35344-2025</t>
        </is>
      </c>
      <c r="B95" s="1" t="n">
        <v>45854.61494212963</v>
      </c>
      <c r="C95" s="1" t="n">
        <v>46113</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46113</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11641-2026</t>
        </is>
      </c>
      <c r="B97" s="1" t="n">
        <v>46084.50094907408</v>
      </c>
      <c r="C97" s="1" t="n">
        <v>46113</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12024-2022</t>
        </is>
      </c>
      <c r="B98" s="1" t="n">
        <v>44635</v>
      </c>
      <c r="C98" s="1" t="n">
        <v>46113</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46113</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46113</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46113</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46113</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23682-2021</t>
        </is>
      </c>
      <c r="B103" s="1" t="n">
        <v>44334</v>
      </c>
      <c r="C103" s="1" t="n">
        <v>46113</v>
      </c>
      <c r="D103" t="inlineStr">
        <is>
          <t>JÄMTLANDS LÄN</t>
        </is>
      </c>
      <c r="E103" t="inlineStr">
        <is>
          <t>RAGUNDA</t>
        </is>
      </c>
      <c r="G103" t="n">
        <v>9.199999999999999</v>
      </c>
      <c r="H103" t="n">
        <v>1</v>
      </c>
      <c r="I103" t="n">
        <v>0</v>
      </c>
      <c r="J103" t="n">
        <v>3</v>
      </c>
      <c r="K103" t="n">
        <v>1</v>
      </c>
      <c r="L103" t="n">
        <v>0</v>
      </c>
      <c r="M103" t="n">
        <v>0</v>
      </c>
      <c r="N103" t="n">
        <v>0</v>
      </c>
      <c r="O103" t="n">
        <v>4</v>
      </c>
      <c r="P103" t="n">
        <v>1</v>
      </c>
      <c r="Q103" t="n">
        <v>4</v>
      </c>
      <c r="R103" s="2" t="inlineStr">
        <is>
          <t>Knärot
Garnlav
Lunglav
Rosenticka</t>
        </is>
      </c>
      <c r="S103">
        <f>HYPERLINK("https://klasma.github.io/Logging_2303/artfynd/A 23682-2021 artfynd.xlsx", "A 23682-2021")</f>
        <v/>
      </c>
      <c r="T103">
        <f>HYPERLINK("https://klasma.github.io/Logging_2303/kartor/A 23682-2021 karta.png", "A 23682-2021")</f>
        <v/>
      </c>
      <c r="U103">
        <f>HYPERLINK("https://klasma.github.io/Logging_2303/knärot/A 23682-2021 karta knärot.png", "A 23682-2021")</f>
        <v/>
      </c>
      <c r="V103">
        <f>HYPERLINK("https://klasma.github.io/Logging_2303/klagomål/A 23682-2021 FSC-klagomål.docx", "A 23682-2021")</f>
        <v/>
      </c>
      <c r="W103">
        <f>HYPERLINK("https://klasma.github.io/Logging_2303/klagomålsmail/A 23682-2021 FSC-klagomål mail.docx", "A 23682-2021")</f>
        <v/>
      </c>
      <c r="X103">
        <f>HYPERLINK("https://klasma.github.io/Logging_2303/tillsyn/A 23682-2021 tillsynsbegäran.docx", "A 23682-2021")</f>
        <v/>
      </c>
      <c r="Y103">
        <f>HYPERLINK("https://klasma.github.io/Logging_2303/tillsynsmail/A 23682-2021 tillsynsbegäran mail.docx", "A 23682-2021")</f>
        <v/>
      </c>
    </row>
    <row r="104" ht="15" customHeight="1">
      <c r="A104" t="inlineStr">
        <is>
          <t>A 23676-2021</t>
        </is>
      </c>
      <c r="B104" s="1" t="n">
        <v>44334.62565972222</v>
      </c>
      <c r="C104" s="1" t="n">
        <v>46113</v>
      </c>
      <c r="D104" t="inlineStr">
        <is>
          <t>JÄMTLANDS LÄN</t>
        </is>
      </c>
      <c r="E104" t="inlineStr">
        <is>
          <t>RAGUNDA</t>
        </is>
      </c>
      <c r="G104" t="n">
        <v>8.5</v>
      </c>
      <c r="H104" t="n">
        <v>1</v>
      </c>
      <c r="I104" t="n">
        <v>1</v>
      </c>
      <c r="J104" t="n">
        <v>3</v>
      </c>
      <c r="K104" t="n">
        <v>0</v>
      </c>
      <c r="L104" t="n">
        <v>0</v>
      </c>
      <c r="M104" t="n">
        <v>0</v>
      </c>
      <c r="N104" t="n">
        <v>0</v>
      </c>
      <c r="O104" t="n">
        <v>3</v>
      </c>
      <c r="P104" t="n">
        <v>0</v>
      </c>
      <c r="Q104" t="n">
        <v>4</v>
      </c>
      <c r="R104" s="2" t="inlineStr">
        <is>
          <t>Lunglav
Rosenticka
Tretåig hackspett
Strutbräken</t>
        </is>
      </c>
      <c r="S104">
        <f>HYPERLINK("https://klasma.github.io/Logging_2303/artfynd/A 23676-2021 artfynd.xlsx", "A 23676-2021")</f>
        <v/>
      </c>
      <c r="T104">
        <f>HYPERLINK("https://klasma.github.io/Logging_2303/kartor/A 23676-2021 karta.png", "A 23676-2021")</f>
        <v/>
      </c>
      <c r="V104">
        <f>HYPERLINK("https://klasma.github.io/Logging_2303/klagomål/A 23676-2021 FSC-klagomål.docx", "A 23676-2021")</f>
        <v/>
      </c>
      <c r="W104">
        <f>HYPERLINK("https://klasma.github.io/Logging_2303/klagomålsmail/A 23676-2021 FSC-klagomål mail.docx", "A 23676-2021")</f>
        <v/>
      </c>
      <c r="X104">
        <f>HYPERLINK("https://klasma.github.io/Logging_2303/tillsyn/A 23676-2021 tillsynsbegäran.docx", "A 23676-2021")</f>
        <v/>
      </c>
      <c r="Y104">
        <f>HYPERLINK("https://klasma.github.io/Logging_2303/tillsynsmail/A 23676-2021 tillsynsbegäran mail.docx", "A 23676-2021")</f>
        <v/>
      </c>
      <c r="Z104">
        <f>HYPERLINK("https://klasma.github.io/Logging_2303/fåglar/A 23676-2021 prioriterade fågelarter.docx", "A 23676-2021")</f>
        <v/>
      </c>
    </row>
    <row r="105" ht="15" customHeight="1">
      <c r="A105" t="inlineStr">
        <is>
          <t>A 40653-2025</t>
        </is>
      </c>
      <c r="B105" s="1" t="n">
        <v>45896.63618055556</v>
      </c>
      <c r="C105" s="1" t="n">
        <v>46113</v>
      </c>
      <c r="D105" t="inlineStr">
        <is>
          <t>JÄMTLANDS LÄN</t>
        </is>
      </c>
      <c r="E105" t="inlineStr">
        <is>
          <t>RAGUNDA</t>
        </is>
      </c>
      <c r="F105" t="inlineStr">
        <is>
          <t>SCA</t>
        </is>
      </c>
      <c r="G105" t="n">
        <v>3.9</v>
      </c>
      <c r="H105" t="n">
        <v>0</v>
      </c>
      <c r="I105" t="n">
        <v>1</v>
      </c>
      <c r="J105" t="n">
        <v>3</v>
      </c>
      <c r="K105" t="n">
        <v>0</v>
      </c>
      <c r="L105" t="n">
        <v>0</v>
      </c>
      <c r="M105" t="n">
        <v>0</v>
      </c>
      <c r="N105" t="n">
        <v>0</v>
      </c>
      <c r="O105" t="n">
        <v>3</v>
      </c>
      <c r="P105" t="n">
        <v>0</v>
      </c>
      <c r="Q105" t="n">
        <v>4</v>
      </c>
      <c r="R105" s="2" t="inlineStr">
        <is>
          <t>Blå taggsvamp
Garnlav
Mörk kolflarnlav
Dropptaggsvamp</t>
        </is>
      </c>
      <c r="S105">
        <f>HYPERLINK("https://klasma.github.io/Logging_2303/artfynd/A 40653-2025 artfynd.xlsx", "A 40653-2025")</f>
        <v/>
      </c>
      <c r="T105">
        <f>HYPERLINK("https://klasma.github.io/Logging_2303/kartor/A 40653-2025 karta.png", "A 40653-2025")</f>
        <v/>
      </c>
      <c r="V105">
        <f>HYPERLINK("https://klasma.github.io/Logging_2303/klagomål/A 40653-2025 FSC-klagomål.docx", "A 40653-2025")</f>
        <v/>
      </c>
      <c r="W105">
        <f>HYPERLINK("https://klasma.github.io/Logging_2303/klagomålsmail/A 40653-2025 FSC-klagomål mail.docx", "A 40653-2025")</f>
        <v/>
      </c>
      <c r="X105">
        <f>HYPERLINK("https://klasma.github.io/Logging_2303/tillsyn/A 40653-2025 tillsynsbegäran.docx", "A 40653-2025")</f>
        <v/>
      </c>
      <c r="Y105">
        <f>HYPERLINK("https://klasma.github.io/Logging_2303/tillsynsmail/A 40653-2025 tillsynsbegäran mail.docx", "A 40653-2025")</f>
        <v/>
      </c>
    </row>
    <row r="106" ht="15" customHeight="1">
      <c r="A106" t="inlineStr">
        <is>
          <t>A 32903-2024</t>
        </is>
      </c>
      <c r="B106" s="1" t="n">
        <v>45516.94723379629</v>
      </c>
      <c r="C106" s="1" t="n">
        <v>46113</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46113</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32067-2024</t>
        </is>
      </c>
      <c r="B108" s="1" t="n">
        <v>45510</v>
      </c>
      <c r="C108" s="1" t="n">
        <v>46113</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46113</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26082-2025</t>
        </is>
      </c>
      <c r="B110" s="1" t="n">
        <v>45805.34415509259</v>
      </c>
      <c r="C110" s="1" t="n">
        <v>46113</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60670-2022</t>
        </is>
      </c>
      <c r="B111" s="1" t="n">
        <v>44911</v>
      </c>
      <c r="C111" s="1" t="n">
        <v>46113</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52168-2025</t>
        </is>
      </c>
      <c r="B112" s="1" t="n">
        <v>45953.365625</v>
      </c>
      <c r="C112" s="1" t="n">
        <v>46113</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52644-2024</t>
        </is>
      </c>
      <c r="B113" s="1" t="n">
        <v>45610.34415509259</v>
      </c>
      <c r="C113" s="1" t="n">
        <v>46113</v>
      </c>
      <c r="D113" t="inlineStr">
        <is>
          <t>JÄMTLANDS LÄN</t>
        </is>
      </c>
      <c r="E113" t="inlineStr">
        <is>
          <t>RAGUNDA</t>
        </is>
      </c>
      <c r="F113" t="inlineStr">
        <is>
          <t>SCA</t>
        </is>
      </c>
      <c r="G113" t="n">
        <v>6.6</v>
      </c>
      <c r="H113" t="n">
        <v>2</v>
      </c>
      <c r="I113" t="n">
        <v>1</v>
      </c>
      <c r="J113" t="n">
        <v>2</v>
      </c>
      <c r="K113" t="n">
        <v>1</v>
      </c>
      <c r="L113" t="n">
        <v>0</v>
      </c>
      <c r="M113" t="n">
        <v>0</v>
      </c>
      <c r="N113" t="n">
        <v>0</v>
      </c>
      <c r="O113" t="n">
        <v>3</v>
      </c>
      <c r="P113" t="n">
        <v>1</v>
      </c>
      <c r="Q113" t="n">
        <v>4</v>
      </c>
      <c r="R113" s="2" t="inlineStr">
        <is>
          <t>Doftticka
Gammelgransskål
Lunglav
Guckusko</t>
        </is>
      </c>
      <c r="S113">
        <f>HYPERLINK("https://klasma.github.io/Logging_2303/artfynd/A 52644-2024 artfynd.xlsx", "A 52644-2024")</f>
        <v/>
      </c>
      <c r="T113">
        <f>HYPERLINK("https://klasma.github.io/Logging_2303/kartor/A 52644-2024 karta.png", "A 52644-2024")</f>
        <v/>
      </c>
      <c r="V113">
        <f>HYPERLINK("https://klasma.github.io/Logging_2303/klagomål/A 52644-2024 FSC-klagomål.docx", "A 52644-2024")</f>
        <v/>
      </c>
      <c r="W113">
        <f>HYPERLINK("https://klasma.github.io/Logging_2303/klagomålsmail/A 52644-2024 FSC-klagomål mail.docx", "A 52644-2024")</f>
        <v/>
      </c>
      <c r="X113">
        <f>HYPERLINK("https://klasma.github.io/Logging_2303/tillsyn/A 52644-2024 tillsynsbegäran.docx", "A 52644-2024")</f>
        <v/>
      </c>
      <c r="Y113">
        <f>HYPERLINK("https://klasma.github.io/Logging_2303/tillsynsmail/A 52644-2024 tillsynsbegäran mail.docx", "A 52644-2024")</f>
        <v/>
      </c>
    </row>
    <row r="114" ht="15" customHeight="1">
      <c r="A114" t="inlineStr">
        <is>
          <t>A 50342-2025</t>
        </is>
      </c>
      <c r="B114" s="1" t="n">
        <v>45944.53186342592</v>
      </c>
      <c r="C114" s="1" t="n">
        <v>46113</v>
      </c>
      <c r="D114" t="inlineStr">
        <is>
          <t>JÄMTLANDS LÄN</t>
        </is>
      </c>
      <c r="E114" t="inlineStr">
        <is>
          <t>RAGUNDA</t>
        </is>
      </c>
      <c r="F114" t="inlineStr">
        <is>
          <t>SCA</t>
        </is>
      </c>
      <c r="G114" t="n">
        <v>20.7</v>
      </c>
      <c r="H114" t="n">
        <v>1</v>
      </c>
      <c r="I114" t="n">
        <v>1</v>
      </c>
      <c r="J114" t="n">
        <v>3</v>
      </c>
      <c r="K114" t="n">
        <v>0</v>
      </c>
      <c r="L114" t="n">
        <v>0</v>
      </c>
      <c r="M114" t="n">
        <v>0</v>
      </c>
      <c r="N114" t="n">
        <v>0</v>
      </c>
      <c r="O114" t="n">
        <v>3</v>
      </c>
      <c r="P114" t="n">
        <v>0</v>
      </c>
      <c r="Q114" t="n">
        <v>4</v>
      </c>
      <c r="R114" s="2" t="inlineStr">
        <is>
          <t>Garnlav
Granticka
Tretåig hackspett
Trådticka</t>
        </is>
      </c>
      <c r="S114">
        <f>HYPERLINK("https://klasma.github.io/Logging_2303/artfynd/A 50342-2025 artfynd.xlsx", "A 50342-2025")</f>
        <v/>
      </c>
      <c r="T114">
        <f>HYPERLINK("https://klasma.github.io/Logging_2303/kartor/A 50342-2025 karta.png", "A 50342-2025")</f>
        <v/>
      </c>
      <c r="V114">
        <f>HYPERLINK("https://klasma.github.io/Logging_2303/klagomål/A 50342-2025 FSC-klagomål.docx", "A 50342-2025")</f>
        <v/>
      </c>
      <c r="W114">
        <f>HYPERLINK("https://klasma.github.io/Logging_2303/klagomålsmail/A 50342-2025 FSC-klagomål mail.docx", "A 50342-2025")</f>
        <v/>
      </c>
      <c r="X114">
        <f>HYPERLINK("https://klasma.github.io/Logging_2303/tillsyn/A 50342-2025 tillsynsbegäran.docx", "A 50342-2025")</f>
        <v/>
      </c>
      <c r="Y114">
        <f>HYPERLINK("https://klasma.github.io/Logging_2303/tillsynsmail/A 50342-2025 tillsynsbegäran mail.docx", "A 50342-2025")</f>
        <v/>
      </c>
      <c r="Z114">
        <f>HYPERLINK("https://klasma.github.io/Logging_2303/fåglar/A 50342-2025 prioriterade fågelarter.docx", "A 50342-2025")</f>
        <v/>
      </c>
    </row>
    <row r="115" ht="15" customHeight="1">
      <c r="A115" t="inlineStr">
        <is>
          <t>A 30465-2024</t>
        </is>
      </c>
      <c r="B115" s="1" t="n">
        <v>45491</v>
      </c>
      <c r="C115" s="1" t="n">
        <v>46113</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17092-2022</t>
        </is>
      </c>
      <c r="B116" s="1" t="n">
        <v>44677</v>
      </c>
      <c r="C116" s="1" t="n">
        <v>46113</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3809-2026</t>
        </is>
      </c>
      <c r="B117" s="1" t="n">
        <v>46043.58364583334</v>
      </c>
      <c r="C117" s="1" t="n">
        <v>46113</v>
      </c>
      <c r="D117" t="inlineStr">
        <is>
          <t>JÄMTLANDS LÄN</t>
        </is>
      </c>
      <c r="E117" t="inlineStr">
        <is>
          <t>RAGUNDA</t>
        </is>
      </c>
      <c r="G117" t="n">
        <v>28.6</v>
      </c>
      <c r="H117" t="n">
        <v>1</v>
      </c>
      <c r="I117" t="n">
        <v>0</v>
      </c>
      <c r="J117" t="n">
        <v>3</v>
      </c>
      <c r="K117" t="n">
        <v>1</v>
      </c>
      <c r="L117" t="n">
        <v>0</v>
      </c>
      <c r="M117" t="n">
        <v>0</v>
      </c>
      <c r="N117" t="n">
        <v>0</v>
      </c>
      <c r="O117" t="n">
        <v>4</v>
      </c>
      <c r="P117" t="n">
        <v>1</v>
      </c>
      <c r="Q117" t="n">
        <v>4</v>
      </c>
      <c r="R117" s="2" t="inlineStr">
        <is>
          <t>Knärot
Garnlav
Lunglav
Vitgrynig nållav</t>
        </is>
      </c>
      <c r="S117">
        <f>HYPERLINK("https://klasma.github.io/Logging_2303/artfynd/A 3809-2026 artfynd.xlsx", "A 3809-2026")</f>
        <v/>
      </c>
      <c r="T117">
        <f>HYPERLINK("https://klasma.github.io/Logging_2303/kartor/A 3809-2026 karta.png", "A 3809-2026")</f>
        <v/>
      </c>
      <c r="U117">
        <f>HYPERLINK("https://klasma.github.io/Logging_2303/knärot/A 3809-2026 karta knärot.png", "A 3809-2026")</f>
        <v/>
      </c>
      <c r="V117">
        <f>HYPERLINK("https://klasma.github.io/Logging_2303/klagomål/A 3809-2026 FSC-klagomål.docx", "A 3809-2026")</f>
        <v/>
      </c>
      <c r="W117">
        <f>HYPERLINK("https://klasma.github.io/Logging_2303/klagomålsmail/A 3809-2026 FSC-klagomål mail.docx", "A 3809-2026")</f>
        <v/>
      </c>
      <c r="X117">
        <f>HYPERLINK("https://klasma.github.io/Logging_2303/tillsyn/A 3809-2026 tillsynsbegäran.docx", "A 3809-2026")</f>
        <v/>
      </c>
      <c r="Y117">
        <f>HYPERLINK("https://klasma.github.io/Logging_2303/tillsynsmail/A 3809-2026 tillsynsbegäran mail.docx", "A 3809-2026")</f>
        <v/>
      </c>
    </row>
    <row r="118" ht="15" customHeight="1">
      <c r="A118" t="inlineStr">
        <is>
          <t>A 30483-2024</t>
        </is>
      </c>
      <c r="B118" s="1" t="n">
        <v>45491</v>
      </c>
      <c r="C118" s="1" t="n">
        <v>46113</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43960-2023</t>
        </is>
      </c>
      <c r="B119" s="1" t="n">
        <v>45187</v>
      </c>
      <c r="C119" s="1" t="n">
        <v>46113</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2282-2026</t>
        </is>
      </c>
      <c r="B120" s="1" t="n">
        <v>46036.57798611111</v>
      </c>
      <c r="C120" s="1" t="n">
        <v>46113</v>
      </c>
      <c r="D120" t="inlineStr">
        <is>
          <t>JÄMTLANDS LÄN</t>
        </is>
      </c>
      <c r="E120" t="inlineStr">
        <is>
          <t>RAGUNDA</t>
        </is>
      </c>
      <c r="G120" t="n">
        <v>2</v>
      </c>
      <c r="H120" t="n">
        <v>1</v>
      </c>
      <c r="I120" t="n">
        <v>0</v>
      </c>
      <c r="J120" t="n">
        <v>4</v>
      </c>
      <c r="K120" t="n">
        <v>0</v>
      </c>
      <c r="L120" t="n">
        <v>0</v>
      </c>
      <c r="M120" t="n">
        <v>0</v>
      </c>
      <c r="N120" t="n">
        <v>0</v>
      </c>
      <c r="O120" t="n">
        <v>4</v>
      </c>
      <c r="P120" t="n">
        <v>0</v>
      </c>
      <c r="Q120" t="n">
        <v>4</v>
      </c>
      <c r="R120" s="2" t="inlineStr">
        <is>
          <t>Garnlav
Harticka
Lunglav
Tretåig hackspett</t>
        </is>
      </c>
      <c r="S120">
        <f>HYPERLINK("https://klasma.github.io/Logging_2303/artfynd/A 2282-2026 artfynd.xlsx", "A 2282-2026")</f>
        <v/>
      </c>
      <c r="T120">
        <f>HYPERLINK("https://klasma.github.io/Logging_2303/kartor/A 2282-2026 karta.png", "A 2282-2026")</f>
        <v/>
      </c>
      <c r="V120">
        <f>HYPERLINK("https://klasma.github.io/Logging_2303/klagomål/A 2282-2026 FSC-klagomål.docx", "A 2282-2026")</f>
        <v/>
      </c>
      <c r="W120">
        <f>HYPERLINK("https://klasma.github.io/Logging_2303/klagomålsmail/A 2282-2026 FSC-klagomål mail.docx", "A 2282-2026")</f>
        <v/>
      </c>
      <c r="X120">
        <f>HYPERLINK("https://klasma.github.io/Logging_2303/tillsyn/A 2282-2026 tillsynsbegäran.docx", "A 2282-2026")</f>
        <v/>
      </c>
      <c r="Y120">
        <f>HYPERLINK("https://klasma.github.io/Logging_2303/tillsynsmail/A 2282-2026 tillsynsbegäran mail.docx", "A 2282-2026")</f>
        <v/>
      </c>
      <c r="Z120">
        <f>HYPERLINK("https://klasma.github.io/Logging_2303/fåglar/A 2282-2026 prioriterade fågelarter.docx", "A 2282-2026")</f>
        <v/>
      </c>
    </row>
    <row r="121" ht="15" customHeight="1">
      <c r="A121" t="inlineStr">
        <is>
          <t>A 19401-2025</t>
        </is>
      </c>
      <c r="B121" s="1" t="n">
        <v>45769.67767361111</v>
      </c>
      <c r="C121" s="1" t="n">
        <v>46113</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21372-2025</t>
        </is>
      </c>
      <c r="B122" s="1" t="n">
        <v>45782.44871527778</v>
      </c>
      <c r="C122" s="1" t="n">
        <v>46113</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46113</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46113</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48052-2022</t>
        </is>
      </c>
      <c r="B125" s="1" t="n">
        <v>44855</v>
      </c>
      <c r="C125" s="1" t="n">
        <v>46113</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46113</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46113</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22730-2023</t>
        </is>
      </c>
      <c r="B128" s="1" t="n">
        <v>45071</v>
      </c>
      <c r="C128" s="1" t="n">
        <v>46113</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46113</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33432-2023</t>
        </is>
      </c>
      <c r="B130" s="1" t="n">
        <v>45128</v>
      </c>
      <c r="C130" s="1" t="n">
        <v>46113</v>
      </c>
      <c r="D130" t="inlineStr">
        <is>
          <t>JÄMTLANDS LÄN</t>
        </is>
      </c>
      <c r="E130" t="inlineStr">
        <is>
          <t>RAGUNDA</t>
        </is>
      </c>
      <c r="F130" t="inlineStr">
        <is>
          <t>SCA</t>
        </is>
      </c>
      <c r="G130" t="n">
        <v>10</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33432-2023 artfynd.xlsx", "A 33432-2023")</f>
        <v/>
      </c>
      <c r="T130">
        <f>HYPERLINK("https://klasma.github.io/Logging_2303/kartor/A 33432-2023 karta.png", "A 33432-2023")</f>
        <v/>
      </c>
      <c r="V130">
        <f>HYPERLINK("https://klasma.github.io/Logging_2303/klagomål/A 33432-2023 FSC-klagomål.docx", "A 33432-2023")</f>
        <v/>
      </c>
      <c r="W130">
        <f>HYPERLINK("https://klasma.github.io/Logging_2303/klagomålsmail/A 33432-2023 FSC-klagomål mail.docx", "A 33432-2023")</f>
        <v/>
      </c>
      <c r="X130">
        <f>HYPERLINK("https://klasma.github.io/Logging_2303/tillsyn/A 33432-2023 tillsynsbegäran.docx", "A 33432-2023")</f>
        <v/>
      </c>
      <c r="Y130">
        <f>HYPERLINK("https://klasma.github.io/Logging_2303/tillsynsmail/A 33432-2023 tillsynsbegäran mail.docx", "A 33432-2023")</f>
        <v/>
      </c>
      <c r="Z130">
        <f>HYPERLINK("https://klasma.github.io/Logging_2303/fåglar/A 33432-2023 prioriterade fågelarter.docx", "A 33432-2023")</f>
        <v/>
      </c>
    </row>
    <row r="131" ht="15" customHeight="1">
      <c r="A131" t="inlineStr">
        <is>
          <t>A 14814-2024</t>
        </is>
      </c>
      <c r="B131" s="1" t="n">
        <v>45397.95748842593</v>
      </c>
      <c r="C131" s="1" t="n">
        <v>46113</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46113</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46113</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58737-2022</t>
        </is>
      </c>
      <c r="B134" s="1" t="n">
        <v>44902</v>
      </c>
      <c r="C134" s="1" t="n">
        <v>46113</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20776-2024</t>
        </is>
      </c>
      <c r="B135" s="1" t="n">
        <v>45436.94686342592</v>
      </c>
      <c r="C135" s="1" t="n">
        <v>46113</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46113</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7519-2023</t>
        </is>
      </c>
      <c r="B137" s="1" t="n">
        <v>44971</v>
      </c>
      <c r="C137" s="1" t="n">
        <v>46113</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16305-2025</t>
        </is>
      </c>
      <c r="B138" s="1" t="n">
        <v>45751.34650462963</v>
      </c>
      <c r="C138" s="1" t="n">
        <v>46113</v>
      </c>
      <c r="D138" t="inlineStr">
        <is>
          <t>JÄMTLANDS LÄN</t>
        </is>
      </c>
      <c r="E138" t="inlineStr">
        <is>
          <t>RAGUNDA</t>
        </is>
      </c>
      <c r="F138" t="inlineStr">
        <is>
          <t>SCA</t>
        </is>
      </c>
      <c r="G138" t="n">
        <v>2.5</v>
      </c>
      <c r="H138" t="n">
        <v>0</v>
      </c>
      <c r="I138" t="n">
        <v>2</v>
      </c>
      <c r="J138" t="n">
        <v>1</v>
      </c>
      <c r="K138" t="n">
        <v>0</v>
      </c>
      <c r="L138" t="n">
        <v>0</v>
      </c>
      <c r="M138" t="n">
        <v>0</v>
      </c>
      <c r="N138" t="n">
        <v>0</v>
      </c>
      <c r="O138" t="n">
        <v>1</v>
      </c>
      <c r="P138" t="n">
        <v>0</v>
      </c>
      <c r="Q138" t="n">
        <v>3</v>
      </c>
      <c r="R138" s="2" t="inlineStr">
        <is>
          <t>Lunglav
Bollvitmossa
Källmossa</t>
        </is>
      </c>
      <c r="S138">
        <f>HYPERLINK("https://klasma.github.io/Logging_2303/artfynd/A 16305-2025 artfynd.xlsx", "A 16305-2025")</f>
        <v/>
      </c>
      <c r="T138">
        <f>HYPERLINK("https://klasma.github.io/Logging_2303/kartor/A 16305-2025 karta.png", "A 16305-2025")</f>
        <v/>
      </c>
      <c r="V138">
        <f>HYPERLINK("https://klasma.github.io/Logging_2303/klagomål/A 16305-2025 FSC-klagomål.docx", "A 16305-2025")</f>
        <v/>
      </c>
      <c r="W138">
        <f>HYPERLINK("https://klasma.github.io/Logging_2303/klagomålsmail/A 16305-2025 FSC-klagomål mail.docx", "A 16305-2025")</f>
        <v/>
      </c>
      <c r="X138">
        <f>HYPERLINK("https://klasma.github.io/Logging_2303/tillsyn/A 16305-2025 tillsynsbegäran.docx", "A 16305-2025")</f>
        <v/>
      </c>
      <c r="Y138">
        <f>HYPERLINK("https://klasma.github.io/Logging_2303/tillsynsmail/A 16305-2025 tillsynsbegäran mail.docx", "A 16305-2025")</f>
        <v/>
      </c>
    </row>
    <row r="139" ht="15" customHeight="1">
      <c r="A139" t="inlineStr">
        <is>
          <t>A 28178-2023</t>
        </is>
      </c>
      <c r="B139" s="1" t="n">
        <v>45093</v>
      </c>
      <c r="C139" s="1" t="n">
        <v>46113</v>
      </c>
      <c r="D139" t="inlineStr">
        <is>
          <t>JÄMTLANDS LÄN</t>
        </is>
      </c>
      <c r="E139" t="inlineStr">
        <is>
          <t>RAGUNDA</t>
        </is>
      </c>
      <c r="G139" t="n">
        <v>5.6</v>
      </c>
      <c r="H139" t="n">
        <v>0</v>
      </c>
      <c r="I139" t="n">
        <v>0</v>
      </c>
      <c r="J139" t="n">
        <v>3</v>
      </c>
      <c r="K139" t="n">
        <v>0</v>
      </c>
      <c r="L139" t="n">
        <v>0</v>
      </c>
      <c r="M139" t="n">
        <v>0</v>
      </c>
      <c r="N139" t="n">
        <v>0</v>
      </c>
      <c r="O139" t="n">
        <v>3</v>
      </c>
      <c r="P139" t="n">
        <v>0</v>
      </c>
      <c r="Q139" t="n">
        <v>3</v>
      </c>
      <c r="R139" s="2" t="inlineStr">
        <is>
          <t>Garnlav
Gultoppig fingersvamp
Violettgrå tagellav</t>
        </is>
      </c>
      <c r="S139">
        <f>HYPERLINK("https://klasma.github.io/Logging_2303/artfynd/A 28178-2023 artfynd.xlsx", "A 28178-2023")</f>
        <v/>
      </c>
      <c r="T139">
        <f>HYPERLINK("https://klasma.github.io/Logging_2303/kartor/A 28178-2023 karta.png", "A 28178-2023")</f>
        <v/>
      </c>
      <c r="V139">
        <f>HYPERLINK("https://klasma.github.io/Logging_2303/klagomål/A 28178-2023 FSC-klagomål.docx", "A 28178-2023")</f>
        <v/>
      </c>
      <c r="W139">
        <f>HYPERLINK("https://klasma.github.io/Logging_2303/klagomålsmail/A 28178-2023 FSC-klagomål mail.docx", "A 28178-2023")</f>
        <v/>
      </c>
      <c r="X139">
        <f>HYPERLINK("https://klasma.github.io/Logging_2303/tillsyn/A 28178-2023 tillsynsbegäran.docx", "A 28178-2023")</f>
        <v/>
      </c>
      <c r="Y139">
        <f>HYPERLINK("https://klasma.github.io/Logging_2303/tillsynsmail/A 28178-2023 tillsynsbegäran mail.docx", "A 28178-2023")</f>
        <v/>
      </c>
    </row>
    <row r="140" ht="15" customHeight="1">
      <c r="A140" t="inlineStr">
        <is>
          <t>A 52345-2024</t>
        </is>
      </c>
      <c r="B140" s="1" t="n">
        <v>45609.34412037037</v>
      </c>
      <c r="C140" s="1" t="n">
        <v>46113</v>
      </c>
      <c r="D140" t="inlineStr">
        <is>
          <t>JÄMTLANDS LÄN</t>
        </is>
      </c>
      <c r="E140" t="inlineStr">
        <is>
          <t>RAGUNDA</t>
        </is>
      </c>
      <c r="F140" t="inlineStr">
        <is>
          <t>SCA</t>
        </is>
      </c>
      <c r="G140" t="n">
        <v>10.3</v>
      </c>
      <c r="H140" t="n">
        <v>1</v>
      </c>
      <c r="I140" t="n">
        <v>0</v>
      </c>
      <c r="J140" t="n">
        <v>2</v>
      </c>
      <c r="K140" t="n">
        <v>0</v>
      </c>
      <c r="L140" t="n">
        <v>0</v>
      </c>
      <c r="M140" t="n">
        <v>0</v>
      </c>
      <c r="N140" t="n">
        <v>0</v>
      </c>
      <c r="O140" t="n">
        <v>2</v>
      </c>
      <c r="P140" t="n">
        <v>0</v>
      </c>
      <c r="Q140" t="n">
        <v>3</v>
      </c>
      <c r="R140" s="2" t="inlineStr">
        <is>
          <t>Doftskinn
Koralltaggsvamp
Blåsippa</t>
        </is>
      </c>
      <c r="S140">
        <f>HYPERLINK("https://klasma.github.io/Logging_2303/artfynd/A 52345-2024 artfynd.xlsx", "A 52345-2024")</f>
        <v/>
      </c>
      <c r="T140">
        <f>HYPERLINK("https://klasma.github.io/Logging_2303/kartor/A 52345-2024 karta.png", "A 52345-2024")</f>
        <v/>
      </c>
      <c r="V140">
        <f>HYPERLINK("https://klasma.github.io/Logging_2303/klagomål/A 52345-2024 FSC-klagomål.docx", "A 52345-2024")</f>
        <v/>
      </c>
      <c r="W140">
        <f>HYPERLINK("https://klasma.github.io/Logging_2303/klagomålsmail/A 52345-2024 FSC-klagomål mail.docx", "A 52345-2024")</f>
        <v/>
      </c>
      <c r="X140">
        <f>HYPERLINK("https://klasma.github.io/Logging_2303/tillsyn/A 52345-2024 tillsynsbegäran.docx", "A 52345-2024")</f>
        <v/>
      </c>
      <c r="Y140">
        <f>HYPERLINK("https://klasma.github.io/Logging_2303/tillsynsmail/A 52345-2024 tillsynsbegäran mail.docx", "A 52345-2024")</f>
        <v/>
      </c>
    </row>
    <row r="141" ht="15" customHeight="1">
      <c r="A141" t="inlineStr">
        <is>
          <t>A 57667-2025</t>
        </is>
      </c>
      <c r="B141" s="1" t="n">
        <v>45981.42767361111</v>
      </c>
      <c r="C141" s="1" t="n">
        <v>46113</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59179-2025</t>
        </is>
      </c>
      <c r="B142" s="1" t="n">
        <v>45988.57350694444</v>
      </c>
      <c r="C142" s="1" t="n">
        <v>46113</v>
      </c>
      <c r="D142" t="inlineStr">
        <is>
          <t>JÄMTLANDS LÄN</t>
        </is>
      </c>
      <c r="E142" t="inlineStr">
        <is>
          <t>RAGUNDA</t>
        </is>
      </c>
      <c r="F142" t="inlineStr">
        <is>
          <t>SCA</t>
        </is>
      </c>
      <c r="G142" t="n">
        <v>2.3</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HYPERLINK("https://klasma.github.io/Logging_2303/artfynd/A 59179-2025 artfynd.xlsx", "A 59179-2025")</f>
        <v/>
      </c>
      <c r="T142">
        <f>HYPERLINK("https://klasma.github.io/Logging_2303/kartor/A 59179-2025 karta.png", "A 59179-2025")</f>
        <v/>
      </c>
      <c r="V142">
        <f>HYPERLINK("https://klasma.github.io/Logging_2303/klagomål/A 59179-2025 FSC-klagomål.docx", "A 59179-2025")</f>
        <v/>
      </c>
      <c r="W142">
        <f>HYPERLINK("https://klasma.github.io/Logging_2303/klagomålsmail/A 59179-2025 FSC-klagomål mail.docx", "A 59179-2025")</f>
        <v/>
      </c>
      <c r="X142">
        <f>HYPERLINK("https://klasma.github.io/Logging_2303/tillsyn/A 59179-2025 tillsynsbegäran.docx", "A 59179-2025")</f>
        <v/>
      </c>
      <c r="Y142">
        <f>HYPERLINK("https://klasma.github.io/Logging_2303/tillsynsmail/A 59179-2025 tillsynsbegäran mail.docx", "A 59179-2025")</f>
        <v/>
      </c>
    </row>
    <row r="143" ht="15" customHeight="1">
      <c r="A143" t="inlineStr">
        <is>
          <t>A 22571-2025</t>
        </is>
      </c>
      <c r="B143" s="1" t="n">
        <v>45789.36503472222</v>
      </c>
      <c r="C143" s="1" t="n">
        <v>46113</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49047-2023</t>
        </is>
      </c>
      <c r="B144" s="1" t="n">
        <v>45209</v>
      </c>
      <c r="C144" s="1" t="n">
        <v>46113</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46113</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61954-2025</t>
        </is>
      </c>
      <c r="B146" s="1" t="n">
        <v>46003.57381944444</v>
      </c>
      <c r="C146" s="1" t="n">
        <v>46113</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34585-2025</t>
        </is>
      </c>
      <c r="B147" s="1" t="n">
        <v>45847.61498842593</v>
      </c>
      <c r="C147" s="1" t="n">
        <v>46113</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46113</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33278-2022</t>
        </is>
      </c>
      <c r="B149" s="1" t="n">
        <v>44788</v>
      </c>
      <c r="C149" s="1" t="n">
        <v>46113</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57941-2024</t>
        </is>
      </c>
      <c r="B150" s="1" t="n">
        <v>45631</v>
      </c>
      <c r="C150" s="1" t="n">
        <v>46113</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53022-2022</t>
        </is>
      </c>
      <c r="B151" s="1" t="n">
        <v>44875</v>
      </c>
      <c r="C151" s="1" t="n">
        <v>46113</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18616-2024</t>
        </is>
      </c>
      <c r="B152" s="1" t="n">
        <v>45425.96285879629</v>
      </c>
      <c r="C152" s="1" t="n">
        <v>46113</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5731-2026</t>
        </is>
      </c>
      <c r="B153" s="1" t="n">
        <v>46051.57355324074</v>
      </c>
      <c r="C153" s="1" t="n">
        <v>46113</v>
      </c>
      <c r="D153" t="inlineStr">
        <is>
          <t>JÄMTLANDS LÄN</t>
        </is>
      </c>
      <c r="E153" t="inlineStr">
        <is>
          <t>RAGUNDA</t>
        </is>
      </c>
      <c r="F153" t="inlineStr">
        <is>
          <t>SCA</t>
        </is>
      </c>
      <c r="G153" t="n">
        <v>2</v>
      </c>
      <c r="H153" t="n">
        <v>1</v>
      </c>
      <c r="I153" t="n">
        <v>0</v>
      </c>
      <c r="J153" t="n">
        <v>2</v>
      </c>
      <c r="K153" t="n">
        <v>0</v>
      </c>
      <c r="L153" t="n">
        <v>0</v>
      </c>
      <c r="M153" t="n">
        <v>0</v>
      </c>
      <c r="N153" t="n">
        <v>0</v>
      </c>
      <c r="O153" t="n">
        <v>2</v>
      </c>
      <c r="P153" t="n">
        <v>0</v>
      </c>
      <c r="Q153" t="n">
        <v>3</v>
      </c>
      <c r="R153" s="2" t="inlineStr">
        <is>
          <t>Garnlav
Lunglav
Lavskrika</t>
        </is>
      </c>
      <c r="S153">
        <f>HYPERLINK("https://klasma.github.io/Logging_2303/artfynd/A 5731-2026 artfynd.xlsx", "A 5731-2026")</f>
        <v/>
      </c>
      <c r="T153">
        <f>HYPERLINK("https://klasma.github.io/Logging_2303/kartor/A 5731-2026 karta.png", "A 5731-2026")</f>
        <v/>
      </c>
      <c r="V153">
        <f>HYPERLINK("https://klasma.github.io/Logging_2303/klagomål/A 5731-2026 FSC-klagomål.docx", "A 5731-2026")</f>
        <v/>
      </c>
      <c r="W153">
        <f>HYPERLINK("https://klasma.github.io/Logging_2303/klagomålsmail/A 5731-2026 FSC-klagomål mail.docx", "A 5731-2026")</f>
        <v/>
      </c>
      <c r="X153">
        <f>HYPERLINK("https://klasma.github.io/Logging_2303/tillsyn/A 5731-2026 tillsynsbegäran.docx", "A 5731-2026")</f>
        <v/>
      </c>
      <c r="Y153">
        <f>HYPERLINK("https://klasma.github.io/Logging_2303/tillsynsmail/A 5731-2026 tillsynsbegäran mail.docx", "A 5731-2026")</f>
        <v/>
      </c>
      <c r="Z153">
        <f>HYPERLINK("https://klasma.github.io/Logging_2303/fåglar/A 5731-2026 prioriterade fågelarter.docx", "A 5731-2026")</f>
        <v/>
      </c>
    </row>
    <row r="154" ht="15" customHeight="1">
      <c r="A154" t="inlineStr">
        <is>
          <t>A 30470-2024</t>
        </is>
      </c>
      <c r="B154" s="1" t="n">
        <v>45491</v>
      </c>
      <c r="C154" s="1" t="n">
        <v>46113</v>
      </c>
      <c r="D154" t="inlineStr">
        <is>
          <t>JÄMTLANDS LÄN</t>
        </is>
      </c>
      <c r="E154" t="inlineStr">
        <is>
          <t>RAGUNDA</t>
        </is>
      </c>
      <c r="F154" t="inlineStr">
        <is>
          <t>SCA</t>
        </is>
      </c>
      <c r="G154" t="n">
        <v>1.4</v>
      </c>
      <c r="H154" t="n">
        <v>2</v>
      </c>
      <c r="I154" t="n">
        <v>0</v>
      </c>
      <c r="J154" t="n">
        <v>2</v>
      </c>
      <c r="K154" t="n">
        <v>1</v>
      </c>
      <c r="L154" t="n">
        <v>0</v>
      </c>
      <c r="M154" t="n">
        <v>0</v>
      </c>
      <c r="N154" t="n">
        <v>0</v>
      </c>
      <c r="O154" t="n">
        <v>3</v>
      </c>
      <c r="P154" t="n">
        <v>1</v>
      </c>
      <c r="Q154" t="n">
        <v>3</v>
      </c>
      <c r="R154" s="2" t="inlineStr">
        <is>
          <t>Knärot
Lunglav
Tretåig hackspett</t>
        </is>
      </c>
      <c r="S154">
        <f>HYPERLINK("https://klasma.github.io/Logging_2303/artfynd/A 30470-2024 artfynd.xlsx", "A 30470-2024")</f>
        <v/>
      </c>
      <c r="T154">
        <f>HYPERLINK("https://klasma.github.io/Logging_2303/kartor/A 30470-2024 karta.png", "A 30470-2024")</f>
        <v/>
      </c>
      <c r="U154">
        <f>HYPERLINK("https://klasma.github.io/Logging_2303/knärot/A 30470-2024 karta knärot.png", "A 30470-2024")</f>
        <v/>
      </c>
      <c r="V154">
        <f>HYPERLINK("https://klasma.github.io/Logging_2303/klagomål/A 30470-2024 FSC-klagomål.docx", "A 30470-2024")</f>
        <v/>
      </c>
      <c r="W154">
        <f>HYPERLINK("https://klasma.github.io/Logging_2303/klagomålsmail/A 30470-2024 FSC-klagomål mail.docx", "A 30470-2024")</f>
        <v/>
      </c>
      <c r="X154">
        <f>HYPERLINK("https://klasma.github.io/Logging_2303/tillsyn/A 30470-2024 tillsynsbegäran.docx", "A 30470-2024")</f>
        <v/>
      </c>
      <c r="Y154">
        <f>HYPERLINK("https://klasma.github.io/Logging_2303/tillsynsmail/A 30470-2024 tillsynsbegäran mail.docx", "A 30470-2024")</f>
        <v/>
      </c>
      <c r="Z154">
        <f>HYPERLINK("https://klasma.github.io/Logging_2303/fåglar/A 30470-2024 prioriterade fågelarter.docx", "A 30470-2024")</f>
        <v/>
      </c>
    </row>
    <row r="155" ht="15" customHeight="1">
      <c r="A155" t="inlineStr">
        <is>
          <t>A 5048-2025</t>
        </is>
      </c>
      <c r="B155" s="1" t="n">
        <v>45691.44769675926</v>
      </c>
      <c r="C155" s="1" t="n">
        <v>46113</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46113</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46113</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46113</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14502-2024</t>
        </is>
      </c>
      <c r="B159" s="1" t="n">
        <v>45394</v>
      </c>
      <c r="C159" s="1" t="n">
        <v>46113</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26482-2023</t>
        </is>
      </c>
      <c r="B160" s="1" t="n">
        <v>45089</v>
      </c>
      <c r="C160" s="1" t="n">
        <v>46113</v>
      </c>
      <c r="D160" t="inlineStr">
        <is>
          <t>JÄMTLANDS LÄN</t>
        </is>
      </c>
      <c r="E160" t="inlineStr">
        <is>
          <t>RAGUNDA</t>
        </is>
      </c>
      <c r="G160" t="n">
        <v>2</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26482-2023 artfynd.xlsx", "A 26482-2023")</f>
        <v/>
      </c>
      <c r="T160">
        <f>HYPERLINK("https://klasma.github.io/Logging_2303/kartor/A 26482-2023 karta.png", "A 26482-2023")</f>
        <v/>
      </c>
      <c r="V160">
        <f>HYPERLINK("https://klasma.github.io/Logging_2303/klagomål/A 26482-2023 FSC-klagomål.docx", "A 26482-2023")</f>
        <v/>
      </c>
      <c r="W160">
        <f>HYPERLINK("https://klasma.github.io/Logging_2303/klagomålsmail/A 26482-2023 FSC-klagomål mail.docx", "A 26482-2023")</f>
        <v/>
      </c>
      <c r="X160">
        <f>HYPERLINK("https://klasma.github.io/Logging_2303/tillsyn/A 26482-2023 tillsynsbegäran.docx", "A 26482-2023")</f>
        <v/>
      </c>
      <c r="Y160">
        <f>HYPERLINK("https://klasma.github.io/Logging_2303/tillsynsmail/A 26482-2023 tillsynsbegäran mail.docx", "A 26482-2023")</f>
        <v/>
      </c>
      <c r="Z160">
        <f>HYPERLINK("https://klasma.github.io/Logging_2303/fåglar/A 26482-2023 prioriterade fågelarter.docx", "A 26482-2023")</f>
        <v/>
      </c>
    </row>
    <row r="161" ht="15" customHeight="1">
      <c r="A161" t="inlineStr">
        <is>
          <t>A 3838-2024</t>
        </is>
      </c>
      <c r="B161" s="1" t="n">
        <v>45321</v>
      </c>
      <c r="C161" s="1" t="n">
        <v>46113</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46771-2024</t>
        </is>
      </c>
      <c r="B162" s="1" t="n">
        <v>45583.49642361111</v>
      </c>
      <c r="C162" s="1" t="n">
        <v>46113</v>
      </c>
      <c r="D162" t="inlineStr">
        <is>
          <t>JÄMTLANDS LÄN</t>
        </is>
      </c>
      <c r="E162" t="inlineStr">
        <is>
          <t>RAGUNDA</t>
        </is>
      </c>
      <c r="F162" t="inlineStr">
        <is>
          <t>SCA</t>
        </is>
      </c>
      <c r="G162" t="n">
        <v>3.1</v>
      </c>
      <c r="H162" t="n">
        <v>0</v>
      </c>
      <c r="I162" t="n">
        <v>0</v>
      </c>
      <c r="J162" t="n">
        <v>2</v>
      </c>
      <c r="K162" t="n">
        <v>0</v>
      </c>
      <c r="L162" t="n">
        <v>0</v>
      </c>
      <c r="M162" t="n">
        <v>0</v>
      </c>
      <c r="N162" t="n">
        <v>0</v>
      </c>
      <c r="O162" t="n">
        <v>2</v>
      </c>
      <c r="P162" t="n">
        <v>0</v>
      </c>
      <c r="Q162" t="n">
        <v>2</v>
      </c>
      <c r="R162" s="2" t="inlineStr">
        <is>
          <t>Doftskinn
Gammelgransskål</t>
        </is>
      </c>
      <c r="S162">
        <f>HYPERLINK("https://klasma.github.io/Logging_2303/artfynd/A 46771-2024 artfynd.xlsx", "A 46771-2024")</f>
        <v/>
      </c>
      <c r="T162">
        <f>HYPERLINK("https://klasma.github.io/Logging_2303/kartor/A 46771-2024 karta.png", "A 46771-2024")</f>
        <v/>
      </c>
      <c r="V162">
        <f>HYPERLINK("https://klasma.github.io/Logging_2303/klagomål/A 46771-2024 FSC-klagomål.docx", "A 46771-2024")</f>
        <v/>
      </c>
      <c r="W162">
        <f>HYPERLINK("https://klasma.github.io/Logging_2303/klagomålsmail/A 46771-2024 FSC-klagomål mail.docx", "A 46771-2024")</f>
        <v/>
      </c>
      <c r="X162">
        <f>HYPERLINK("https://klasma.github.io/Logging_2303/tillsyn/A 46771-2024 tillsynsbegäran.docx", "A 46771-2024")</f>
        <v/>
      </c>
      <c r="Y162">
        <f>HYPERLINK("https://klasma.github.io/Logging_2303/tillsynsmail/A 46771-2024 tillsynsbegäran mail.docx", "A 46771-2024")</f>
        <v/>
      </c>
    </row>
    <row r="163" ht="15" customHeight="1">
      <c r="A163" t="inlineStr">
        <is>
          <t>A 12271-2024</t>
        </is>
      </c>
      <c r="B163" s="1" t="n">
        <v>45378</v>
      </c>
      <c r="C163" s="1" t="n">
        <v>46113</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10866-2025</t>
        </is>
      </c>
      <c r="B164" s="1" t="n">
        <v>45722.61543981481</v>
      </c>
      <c r="C164" s="1" t="n">
        <v>46113</v>
      </c>
      <c r="D164" t="inlineStr">
        <is>
          <t>JÄMTLANDS LÄN</t>
        </is>
      </c>
      <c r="E164" t="inlineStr">
        <is>
          <t>RAGUNDA</t>
        </is>
      </c>
      <c r="F164" t="inlineStr">
        <is>
          <t>SCA</t>
        </is>
      </c>
      <c r="G164" t="n">
        <v>15.9</v>
      </c>
      <c r="H164" t="n">
        <v>0</v>
      </c>
      <c r="I164" t="n">
        <v>1</v>
      </c>
      <c r="J164" t="n">
        <v>1</v>
      </c>
      <c r="K164" t="n">
        <v>0</v>
      </c>
      <c r="L164" t="n">
        <v>0</v>
      </c>
      <c r="M164" t="n">
        <v>0</v>
      </c>
      <c r="N164" t="n">
        <v>0</v>
      </c>
      <c r="O164" t="n">
        <v>1</v>
      </c>
      <c r="P164" t="n">
        <v>0</v>
      </c>
      <c r="Q164" t="n">
        <v>2</v>
      </c>
      <c r="R164" s="2" t="inlineStr">
        <is>
          <t>Garnlav
Norrlandslav</t>
        </is>
      </c>
      <c r="S164">
        <f>HYPERLINK("https://klasma.github.io/Logging_2303/artfynd/A 10866-2025 artfynd.xlsx", "A 10866-2025")</f>
        <v/>
      </c>
      <c r="T164">
        <f>HYPERLINK("https://klasma.github.io/Logging_2303/kartor/A 10866-2025 karta.png", "A 10866-2025")</f>
        <v/>
      </c>
      <c r="V164">
        <f>HYPERLINK("https://klasma.github.io/Logging_2303/klagomål/A 10866-2025 FSC-klagomål.docx", "A 10866-2025")</f>
        <v/>
      </c>
      <c r="W164">
        <f>HYPERLINK("https://klasma.github.io/Logging_2303/klagomålsmail/A 10866-2025 FSC-klagomål mail.docx", "A 10866-2025")</f>
        <v/>
      </c>
      <c r="X164">
        <f>HYPERLINK("https://klasma.github.io/Logging_2303/tillsyn/A 10866-2025 tillsynsbegäran.docx", "A 10866-2025")</f>
        <v/>
      </c>
      <c r="Y164">
        <f>HYPERLINK("https://klasma.github.io/Logging_2303/tillsynsmail/A 10866-2025 tillsynsbegäran mail.docx", "A 10866-2025")</f>
        <v/>
      </c>
    </row>
    <row r="165" ht="15" customHeight="1">
      <c r="A165" t="inlineStr">
        <is>
          <t>A 39495-2024</t>
        </is>
      </c>
      <c r="B165" s="1" t="n">
        <v>45551.65726851852</v>
      </c>
      <c r="C165" s="1" t="n">
        <v>46113</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10884-2025</t>
        </is>
      </c>
      <c r="B166" s="1" t="n">
        <v>45722.65670138889</v>
      </c>
      <c r="C166" s="1" t="n">
        <v>46113</v>
      </c>
      <c r="D166" t="inlineStr">
        <is>
          <t>JÄMTLANDS LÄN</t>
        </is>
      </c>
      <c r="E166" t="inlineStr">
        <is>
          <t>RAGUNDA</t>
        </is>
      </c>
      <c r="F166" t="inlineStr">
        <is>
          <t>SCA</t>
        </is>
      </c>
      <c r="G166" t="n">
        <v>5.4</v>
      </c>
      <c r="H166" t="n">
        <v>0</v>
      </c>
      <c r="I166" t="n">
        <v>1</v>
      </c>
      <c r="J166" t="n">
        <v>1</v>
      </c>
      <c r="K166" t="n">
        <v>0</v>
      </c>
      <c r="L166" t="n">
        <v>0</v>
      </c>
      <c r="M166" t="n">
        <v>0</v>
      </c>
      <c r="N166" t="n">
        <v>0</v>
      </c>
      <c r="O166" t="n">
        <v>1</v>
      </c>
      <c r="P166" t="n">
        <v>0</v>
      </c>
      <c r="Q166" t="n">
        <v>2</v>
      </c>
      <c r="R166" s="2" t="inlineStr">
        <is>
          <t>Vitgrynig nållav
Dropptaggsvamp</t>
        </is>
      </c>
      <c r="S166">
        <f>HYPERLINK("https://klasma.github.io/Logging_2303/artfynd/A 10884-2025 artfynd.xlsx", "A 10884-2025")</f>
        <v/>
      </c>
      <c r="T166">
        <f>HYPERLINK("https://klasma.github.io/Logging_2303/kartor/A 10884-2025 karta.png", "A 10884-2025")</f>
        <v/>
      </c>
      <c r="V166">
        <f>HYPERLINK("https://klasma.github.io/Logging_2303/klagomål/A 10884-2025 FSC-klagomål.docx", "A 10884-2025")</f>
        <v/>
      </c>
      <c r="W166">
        <f>HYPERLINK("https://klasma.github.io/Logging_2303/klagomålsmail/A 10884-2025 FSC-klagomål mail.docx", "A 10884-2025")</f>
        <v/>
      </c>
      <c r="X166">
        <f>HYPERLINK("https://klasma.github.io/Logging_2303/tillsyn/A 10884-2025 tillsynsbegäran.docx", "A 10884-2025")</f>
        <v/>
      </c>
      <c r="Y166">
        <f>HYPERLINK("https://klasma.github.io/Logging_2303/tillsynsmail/A 10884-2025 tillsynsbegäran mail.docx", "A 10884-2025")</f>
        <v/>
      </c>
    </row>
    <row r="167" ht="15" customHeight="1">
      <c r="A167" t="inlineStr">
        <is>
          <t>A 47267-2022</t>
        </is>
      </c>
      <c r="B167" s="1" t="n">
        <v>44852</v>
      </c>
      <c r="C167" s="1" t="n">
        <v>46113</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48084-2022</t>
        </is>
      </c>
      <c r="B168" s="1" t="n">
        <v>44855</v>
      </c>
      <c r="C168" s="1" t="n">
        <v>46113</v>
      </c>
      <c r="D168" t="inlineStr">
        <is>
          <t>JÄMTLANDS LÄN</t>
        </is>
      </c>
      <c r="E168" t="inlineStr">
        <is>
          <t>RAGUNDA</t>
        </is>
      </c>
      <c r="F168" t="inlineStr">
        <is>
          <t>SCA</t>
        </is>
      </c>
      <c r="G168" t="n">
        <v>4.7</v>
      </c>
      <c r="H168" t="n">
        <v>1</v>
      </c>
      <c r="I168" t="n">
        <v>0</v>
      </c>
      <c r="J168" t="n">
        <v>2</v>
      </c>
      <c r="K168" t="n">
        <v>0</v>
      </c>
      <c r="L168" t="n">
        <v>0</v>
      </c>
      <c r="M168" t="n">
        <v>0</v>
      </c>
      <c r="N168" t="n">
        <v>0</v>
      </c>
      <c r="O168" t="n">
        <v>2</v>
      </c>
      <c r="P168" t="n">
        <v>0</v>
      </c>
      <c r="Q168" t="n">
        <v>2</v>
      </c>
      <c r="R168" s="2" t="inlineStr">
        <is>
          <t>Rosenticka
Tretåig hackspett</t>
        </is>
      </c>
      <c r="S168">
        <f>HYPERLINK("https://klasma.github.io/Logging_2303/artfynd/A 48084-2022 artfynd.xlsx", "A 48084-2022")</f>
        <v/>
      </c>
      <c r="T168">
        <f>HYPERLINK("https://klasma.github.io/Logging_2303/kartor/A 48084-2022 karta.png", "A 48084-2022")</f>
        <v/>
      </c>
      <c r="V168">
        <f>HYPERLINK("https://klasma.github.io/Logging_2303/klagomål/A 48084-2022 FSC-klagomål.docx", "A 48084-2022")</f>
        <v/>
      </c>
      <c r="W168">
        <f>HYPERLINK("https://klasma.github.io/Logging_2303/klagomålsmail/A 48084-2022 FSC-klagomål mail.docx", "A 48084-2022")</f>
        <v/>
      </c>
      <c r="X168">
        <f>HYPERLINK("https://klasma.github.io/Logging_2303/tillsyn/A 48084-2022 tillsynsbegäran.docx", "A 48084-2022")</f>
        <v/>
      </c>
      <c r="Y168">
        <f>HYPERLINK("https://klasma.github.io/Logging_2303/tillsynsmail/A 48084-2022 tillsynsbegäran mail.docx", "A 48084-2022")</f>
        <v/>
      </c>
      <c r="Z168">
        <f>HYPERLINK("https://klasma.github.io/Logging_2303/fåglar/A 48084-2022 prioriterade fågelarter.docx", "A 48084-2022")</f>
        <v/>
      </c>
    </row>
    <row r="169" ht="15" customHeight="1">
      <c r="A169" t="inlineStr">
        <is>
          <t>A 25155-2025</t>
        </is>
      </c>
      <c r="B169" s="1" t="n">
        <v>45800.42782407408</v>
      </c>
      <c r="C169" s="1" t="n">
        <v>46113</v>
      </c>
      <c r="D169" t="inlineStr">
        <is>
          <t>JÄMTLANDS LÄN</t>
        </is>
      </c>
      <c r="E169" t="inlineStr">
        <is>
          <t>RAGUNDA</t>
        </is>
      </c>
      <c r="F169" t="inlineStr">
        <is>
          <t>SCA</t>
        </is>
      </c>
      <c r="G169" t="n">
        <v>1.7</v>
      </c>
      <c r="H169" t="n">
        <v>1</v>
      </c>
      <c r="I169" t="n">
        <v>0</v>
      </c>
      <c r="J169" t="n">
        <v>1</v>
      </c>
      <c r="K169" t="n">
        <v>0</v>
      </c>
      <c r="L169" t="n">
        <v>0</v>
      </c>
      <c r="M169" t="n">
        <v>0</v>
      </c>
      <c r="N169" t="n">
        <v>0</v>
      </c>
      <c r="O169" t="n">
        <v>1</v>
      </c>
      <c r="P169" t="n">
        <v>0</v>
      </c>
      <c r="Q169" t="n">
        <v>2</v>
      </c>
      <c r="R169" s="2" t="inlineStr">
        <is>
          <t>Kötticka
Fläcknycklar</t>
        </is>
      </c>
      <c r="S169">
        <f>HYPERLINK("https://klasma.github.io/Logging_2303/artfynd/A 25155-2025 artfynd.xlsx", "A 25155-2025")</f>
        <v/>
      </c>
      <c r="T169">
        <f>HYPERLINK("https://klasma.github.io/Logging_2303/kartor/A 25155-2025 karta.png", "A 25155-2025")</f>
        <v/>
      </c>
      <c r="V169">
        <f>HYPERLINK("https://klasma.github.io/Logging_2303/klagomål/A 25155-2025 FSC-klagomål.docx", "A 25155-2025")</f>
        <v/>
      </c>
      <c r="W169">
        <f>HYPERLINK("https://klasma.github.io/Logging_2303/klagomålsmail/A 25155-2025 FSC-klagomål mail.docx", "A 25155-2025")</f>
        <v/>
      </c>
      <c r="X169">
        <f>HYPERLINK("https://klasma.github.io/Logging_2303/tillsyn/A 25155-2025 tillsynsbegäran.docx", "A 25155-2025")</f>
        <v/>
      </c>
      <c r="Y169">
        <f>HYPERLINK("https://klasma.github.io/Logging_2303/tillsynsmail/A 25155-2025 tillsynsbegäran mail.docx", "A 25155-2025")</f>
        <v/>
      </c>
    </row>
    <row r="170" ht="15" customHeight="1">
      <c r="A170" t="inlineStr">
        <is>
          <t>A 30053-2024</t>
        </is>
      </c>
      <c r="B170" s="1" t="n">
        <v>45488.94747685185</v>
      </c>
      <c r="C170" s="1" t="n">
        <v>46113</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47850-2025</t>
        </is>
      </c>
      <c r="B171" s="1" t="n">
        <v>45932.38626157407</v>
      </c>
      <c r="C171" s="1" t="n">
        <v>46113</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11544-2024</t>
        </is>
      </c>
      <c r="B172" s="1" t="n">
        <v>45372.95680555556</v>
      </c>
      <c r="C172" s="1" t="n">
        <v>46113</v>
      </c>
      <c r="D172" t="inlineStr">
        <is>
          <t>JÄMTLANDS LÄN</t>
        </is>
      </c>
      <c r="E172" t="inlineStr">
        <is>
          <t>RAGUNDA</t>
        </is>
      </c>
      <c r="F172" t="inlineStr">
        <is>
          <t>SCA</t>
        </is>
      </c>
      <c r="G172" t="n">
        <v>15.5</v>
      </c>
      <c r="H172" t="n">
        <v>0</v>
      </c>
      <c r="I172" t="n">
        <v>0</v>
      </c>
      <c r="J172" t="n">
        <v>2</v>
      </c>
      <c r="K172" t="n">
        <v>0</v>
      </c>
      <c r="L172" t="n">
        <v>0</v>
      </c>
      <c r="M172" t="n">
        <v>0</v>
      </c>
      <c r="N172" t="n">
        <v>0</v>
      </c>
      <c r="O172" t="n">
        <v>2</v>
      </c>
      <c r="P172" t="n">
        <v>0</v>
      </c>
      <c r="Q172" t="n">
        <v>2</v>
      </c>
      <c r="R172" s="2" t="inlineStr">
        <is>
          <t>Granticka
Mörk kolflarnlav</t>
        </is>
      </c>
      <c r="S172">
        <f>HYPERLINK("https://klasma.github.io/Logging_2303/artfynd/A 11544-2024 artfynd.xlsx", "A 11544-2024")</f>
        <v/>
      </c>
      <c r="T172">
        <f>HYPERLINK("https://klasma.github.io/Logging_2303/kartor/A 11544-2024 karta.png", "A 11544-2024")</f>
        <v/>
      </c>
      <c r="V172">
        <f>HYPERLINK("https://klasma.github.io/Logging_2303/klagomål/A 11544-2024 FSC-klagomål.docx", "A 11544-2024")</f>
        <v/>
      </c>
      <c r="W172">
        <f>HYPERLINK("https://klasma.github.io/Logging_2303/klagomålsmail/A 11544-2024 FSC-klagomål mail.docx", "A 11544-2024")</f>
        <v/>
      </c>
      <c r="X172">
        <f>HYPERLINK("https://klasma.github.io/Logging_2303/tillsyn/A 11544-2024 tillsynsbegäran.docx", "A 11544-2024")</f>
        <v/>
      </c>
      <c r="Y172">
        <f>HYPERLINK("https://klasma.github.io/Logging_2303/tillsynsmail/A 11544-2024 tillsynsbegäran mail.docx", "A 11544-2024")</f>
        <v/>
      </c>
    </row>
    <row r="173" ht="15" customHeight="1">
      <c r="A173" t="inlineStr">
        <is>
          <t>A 19384-2025</t>
        </is>
      </c>
      <c r="B173" s="1" t="n">
        <v>45769.65692129629</v>
      </c>
      <c r="C173" s="1" t="n">
        <v>46113</v>
      </c>
      <c r="D173" t="inlineStr">
        <is>
          <t>JÄMTLANDS LÄN</t>
        </is>
      </c>
      <c r="E173" t="inlineStr">
        <is>
          <t>RAGUNDA</t>
        </is>
      </c>
      <c r="F173" t="inlineStr">
        <is>
          <t>SCA</t>
        </is>
      </c>
      <c r="G173" t="n">
        <v>2.8</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HYPERLINK("https://klasma.github.io/Logging_2303/artfynd/A 19384-2025 artfynd.xlsx", "A 19384-2025")</f>
        <v/>
      </c>
      <c r="T173">
        <f>HYPERLINK("https://klasma.github.io/Logging_2303/kartor/A 19384-2025 karta.png", "A 19384-2025")</f>
        <v/>
      </c>
      <c r="V173">
        <f>HYPERLINK("https://klasma.github.io/Logging_2303/klagomål/A 19384-2025 FSC-klagomål.docx", "A 19384-2025")</f>
        <v/>
      </c>
      <c r="W173">
        <f>HYPERLINK("https://klasma.github.io/Logging_2303/klagomålsmail/A 19384-2025 FSC-klagomål mail.docx", "A 19384-2025")</f>
        <v/>
      </c>
      <c r="X173">
        <f>HYPERLINK("https://klasma.github.io/Logging_2303/tillsyn/A 19384-2025 tillsynsbegäran.docx", "A 19384-2025")</f>
        <v/>
      </c>
      <c r="Y173">
        <f>HYPERLINK("https://klasma.github.io/Logging_2303/tillsynsmail/A 19384-2025 tillsynsbegäran mail.docx", "A 19384-2025")</f>
        <v/>
      </c>
      <c r="Z173">
        <f>HYPERLINK("https://klasma.github.io/Logging_2303/fåglar/A 19384-2025 prioriterade fågelarter.docx", "A 19384-2025")</f>
        <v/>
      </c>
    </row>
    <row r="174" ht="15" customHeight="1">
      <c r="A174" t="inlineStr">
        <is>
          <t>A 55647-2023</t>
        </is>
      </c>
      <c r="B174" s="1" t="n">
        <v>45238</v>
      </c>
      <c r="C174" s="1" t="n">
        <v>46113</v>
      </c>
      <c r="D174" t="inlineStr">
        <is>
          <t>JÄMTLANDS LÄN</t>
        </is>
      </c>
      <c r="E174" t="inlineStr">
        <is>
          <t>RAGUNDA</t>
        </is>
      </c>
      <c r="F174" t="inlineStr">
        <is>
          <t>SCA</t>
        </is>
      </c>
      <c r="G174" t="n">
        <v>3.7</v>
      </c>
      <c r="H174" t="n">
        <v>0</v>
      </c>
      <c r="I174" t="n">
        <v>1</v>
      </c>
      <c r="J174" t="n">
        <v>1</v>
      </c>
      <c r="K174" t="n">
        <v>0</v>
      </c>
      <c r="L174" t="n">
        <v>0</v>
      </c>
      <c r="M174" t="n">
        <v>0</v>
      </c>
      <c r="N174" t="n">
        <v>0</v>
      </c>
      <c r="O174" t="n">
        <v>1</v>
      </c>
      <c r="P174" t="n">
        <v>0</v>
      </c>
      <c r="Q174" t="n">
        <v>2</v>
      </c>
      <c r="R174" s="2" t="inlineStr">
        <is>
          <t>Granticka
Trådticka</t>
        </is>
      </c>
      <c r="S174">
        <f>HYPERLINK("https://klasma.github.io/Logging_2303/artfynd/A 55647-2023 artfynd.xlsx", "A 55647-2023")</f>
        <v/>
      </c>
      <c r="T174">
        <f>HYPERLINK("https://klasma.github.io/Logging_2303/kartor/A 55647-2023 karta.png", "A 55647-2023")</f>
        <v/>
      </c>
      <c r="V174">
        <f>HYPERLINK("https://klasma.github.io/Logging_2303/klagomål/A 55647-2023 FSC-klagomål.docx", "A 55647-2023")</f>
        <v/>
      </c>
      <c r="W174">
        <f>HYPERLINK("https://klasma.github.io/Logging_2303/klagomålsmail/A 55647-2023 FSC-klagomål mail.docx", "A 55647-2023")</f>
        <v/>
      </c>
      <c r="X174">
        <f>HYPERLINK("https://klasma.github.io/Logging_2303/tillsyn/A 55647-2023 tillsynsbegäran.docx", "A 55647-2023")</f>
        <v/>
      </c>
      <c r="Y174">
        <f>HYPERLINK("https://klasma.github.io/Logging_2303/tillsynsmail/A 55647-2023 tillsynsbegäran mail.docx", "A 55647-2023")</f>
        <v/>
      </c>
    </row>
    <row r="175" ht="15" customHeight="1">
      <c r="A175" t="inlineStr">
        <is>
          <t>A 50089-2022</t>
        </is>
      </c>
      <c r="B175" s="1" t="n">
        <v>44865</v>
      </c>
      <c r="C175" s="1" t="n">
        <v>46113</v>
      </c>
      <c r="D175" t="inlineStr">
        <is>
          <t>JÄMTLANDS LÄN</t>
        </is>
      </c>
      <c r="E175" t="inlineStr">
        <is>
          <t>RAGUNDA</t>
        </is>
      </c>
      <c r="G175" t="n">
        <v>5.7</v>
      </c>
      <c r="H175" t="n">
        <v>2</v>
      </c>
      <c r="I175" t="n">
        <v>0</v>
      </c>
      <c r="J175" t="n">
        <v>2</v>
      </c>
      <c r="K175" t="n">
        <v>0</v>
      </c>
      <c r="L175" t="n">
        <v>0</v>
      </c>
      <c r="M175" t="n">
        <v>0</v>
      </c>
      <c r="N175" t="n">
        <v>0</v>
      </c>
      <c r="O175" t="n">
        <v>2</v>
      </c>
      <c r="P175" t="n">
        <v>0</v>
      </c>
      <c r="Q175" t="n">
        <v>2</v>
      </c>
      <c r="R175" s="2" t="inlineStr">
        <is>
          <t>Björktrast
Drillsnäppa</t>
        </is>
      </c>
      <c r="S175">
        <f>HYPERLINK("https://klasma.github.io/Logging_2303/artfynd/A 50089-2022 artfynd.xlsx", "A 50089-2022")</f>
        <v/>
      </c>
      <c r="T175">
        <f>HYPERLINK("https://klasma.github.io/Logging_2303/kartor/A 50089-2022 karta.png", "A 50089-2022")</f>
        <v/>
      </c>
      <c r="V175">
        <f>HYPERLINK("https://klasma.github.io/Logging_2303/klagomål/A 50089-2022 FSC-klagomål.docx", "A 50089-2022")</f>
        <v/>
      </c>
      <c r="W175">
        <f>HYPERLINK("https://klasma.github.io/Logging_2303/klagomålsmail/A 50089-2022 FSC-klagomål mail.docx", "A 50089-2022")</f>
        <v/>
      </c>
      <c r="X175">
        <f>HYPERLINK("https://klasma.github.io/Logging_2303/tillsyn/A 50089-2022 tillsynsbegäran.docx", "A 50089-2022")</f>
        <v/>
      </c>
      <c r="Y175">
        <f>HYPERLINK("https://klasma.github.io/Logging_2303/tillsynsmail/A 50089-2022 tillsynsbegäran mail.docx", "A 50089-2022")</f>
        <v/>
      </c>
      <c r="Z175">
        <f>HYPERLINK("https://klasma.github.io/Logging_2303/fåglar/A 50089-2022 prioriterade fågelarter.docx", "A 50089-2022")</f>
        <v/>
      </c>
    </row>
    <row r="176" ht="15" customHeight="1">
      <c r="A176" t="inlineStr">
        <is>
          <t>A 32736-2023</t>
        </is>
      </c>
      <c r="B176" s="1" t="n">
        <v>45121</v>
      </c>
      <c r="C176" s="1" t="n">
        <v>46113</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48427-2023</t>
        </is>
      </c>
      <c r="B177" s="1" t="n">
        <v>45205</v>
      </c>
      <c r="C177" s="1" t="n">
        <v>46113</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45021-2023</t>
        </is>
      </c>
      <c r="B178" s="1" t="n">
        <v>45190</v>
      </c>
      <c r="C178" s="1" t="n">
        <v>46113</v>
      </c>
      <c r="D178" t="inlineStr">
        <is>
          <t>JÄMTLANDS LÄN</t>
        </is>
      </c>
      <c r="E178" t="inlineStr">
        <is>
          <t>RAGUNDA</t>
        </is>
      </c>
      <c r="F178" t="inlineStr">
        <is>
          <t>SCA</t>
        </is>
      </c>
      <c r="G178" t="n">
        <v>1.6</v>
      </c>
      <c r="H178" t="n">
        <v>1</v>
      </c>
      <c r="I178" t="n">
        <v>0</v>
      </c>
      <c r="J178" t="n">
        <v>1</v>
      </c>
      <c r="K178" t="n">
        <v>0</v>
      </c>
      <c r="L178" t="n">
        <v>0</v>
      </c>
      <c r="M178" t="n">
        <v>0</v>
      </c>
      <c r="N178" t="n">
        <v>0</v>
      </c>
      <c r="O178" t="n">
        <v>1</v>
      </c>
      <c r="P178" t="n">
        <v>0</v>
      </c>
      <c r="Q178" t="n">
        <v>2</v>
      </c>
      <c r="R178" s="2" t="inlineStr">
        <is>
          <t>Lunglav
Fläcknycklar</t>
        </is>
      </c>
      <c r="S178">
        <f>HYPERLINK("https://klasma.github.io/Logging_2303/artfynd/A 45021-2023 artfynd.xlsx", "A 45021-2023")</f>
        <v/>
      </c>
      <c r="T178">
        <f>HYPERLINK("https://klasma.github.io/Logging_2303/kartor/A 45021-2023 karta.png", "A 45021-2023")</f>
        <v/>
      </c>
      <c r="V178">
        <f>HYPERLINK("https://klasma.github.io/Logging_2303/klagomål/A 45021-2023 FSC-klagomål.docx", "A 45021-2023")</f>
        <v/>
      </c>
      <c r="W178">
        <f>HYPERLINK("https://klasma.github.io/Logging_2303/klagomålsmail/A 45021-2023 FSC-klagomål mail.docx", "A 45021-2023")</f>
        <v/>
      </c>
      <c r="X178">
        <f>HYPERLINK("https://klasma.github.io/Logging_2303/tillsyn/A 45021-2023 tillsynsbegäran.docx", "A 45021-2023")</f>
        <v/>
      </c>
      <c r="Y178">
        <f>HYPERLINK("https://klasma.github.io/Logging_2303/tillsynsmail/A 45021-2023 tillsynsbegäran mail.docx", "A 45021-2023")</f>
        <v/>
      </c>
    </row>
    <row r="179" ht="15" customHeight="1">
      <c r="A179" t="inlineStr">
        <is>
          <t>A 44409-2023</t>
        </is>
      </c>
      <c r="B179" s="1" t="n">
        <v>45188</v>
      </c>
      <c r="C179" s="1" t="n">
        <v>46113</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17733-2022</t>
        </is>
      </c>
      <c r="B180" s="1" t="n">
        <v>44680</v>
      </c>
      <c r="C180" s="1" t="n">
        <v>46113</v>
      </c>
      <c r="D180" t="inlineStr">
        <is>
          <t>JÄMTLANDS LÄN</t>
        </is>
      </c>
      <c r="E180" t="inlineStr">
        <is>
          <t>RAGUNDA</t>
        </is>
      </c>
      <c r="G180" t="n">
        <v>2.2</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17733-2022 artfynd.xlsx", "A 17733-2022")</f>
        <v/>
      </c>
      <c r="T180">
        <f>HYPERLINK("https://klasma.github.io/Logging_2303/kartor/A 17733-2022 karta.png", "A 17733-2022")</f>
        <v/>
      </c>
      <c r="V180">
        <f>HYPERLINK("https://klasma.github.io/Logging_2303/klagomål/A 17733-2022 FSC-klagomål.docx", "A 17733-2022")</f>
        <v/>
      </c>
      <c r="W180">
        <f>HYPERLINK("https://klasma.github.io/Logging_2303/klagomålsmail/A 17733-2022 FSC-klagomål mail.docx", "A 17733-2022")</f>
        <v/>
      </c>
      <c r="X180">
        <f>HYPERLINK("https://klasma.github.io/Logging_2303/tillsyn/A 17733-2022 tillsynsbegäran.docx", "A 17733-2022")</f>
        <v/>
      </c>
      <c r="Y180">
        <f>HYPERLINK("https://klasma.github.io/Logging_2303/tillsynsmail/A 17733-2022 tillsynsbegäran mail.docx", "A 17733-2022")</f>
        <v/>
      </c>
    </row>
    <row r="181" ht="15" customHeight="1">
      <c r="A181" t="inlineStr">
        <is>
          <t>A 40826-2023</t>
        </is>
      </c>
      <c r="B181" s="1" t="n">
        <v>45171</v>
      </c>
      <c r="C181" s="1" t="n">
        <v>46113</v>
      </c>
      <c r="D181" t="inlineStr">
        <is>
          <t>JÄMTLANDS LÄN</t>
        </is>
      </c>
      <c r="E181" t="inlineStr">
        <is>
          <t>RAGUNDA</t>
        </is>
      </c>
      <c r="F181" t="inlineStr">
        <is>
          <t>SCA</t>
        </is>
      </c>
      <c r="G181" t="n">
        <v>4.5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40826-2023 artfynd.xlsx", "A 40826-2023")</f>
        <v/>
      </c>
      <c r="T181">
        <f>HYPERLINK("https://klasma.github.io/Logging_2303/kartor/A 40826-2023 karta.png", "A 40826-2023")</f>
        <v/>
      </c>
      <c r="V181">
        <f>HYPERLINK("https://klasma.github.io/Logging_2303/klagomål/A 40826-2023 FSC-klagomål.docx", "A 40826-2023")</f>
        <v/>
      </c>
      <c r="W181">
        <f>HYPERLINK("https://klasma.github.io/Logging_2303/klagomålsmail/A 40826-2023 FSC-klagomål mail.docx", "A 40826-2023")</f>
        <v/>
      </c>
      <c r="X181">
        <f>HYPERLINK("https://klasma.github.io/Logging_2303/tillsyn/A 40826-2023 tillsynsbegäran.docx", "A 40826-2023")</f>
        <v/>
      </c>
      <c r="Y181">
        <f>HYPERLINK("https://klasma.github.io/Logging_2303/tillsynsmail/A 40826-2023 tillsynsbegäran mail.docx", "A 40826-2023")</f>
        <v/>
      </c>
    </row>
    <row r="182" ht="15" customHeight="1">
      <c r="A182" t="inlineStr">
        <is>
          <t>A 31960-2025</t>
        </is>
      </c>
      <c r="B182" s="1" t="n">
        <v>45835.344375</v>
      </c>
      <c r="C182" s="1" t="n">
        <v>46113</v>
      </c>
      <c r="D182" t="inlineStr">
        <is>
          <t>JÄMTLANDS LÄN</t>
        </is>
      </c>
      <c r="E182" t="inlineStr">
        <is>
          <t>RAGUNDA</t>
        </is>
      </c>
      <c r="F182" t="inlineStr">
        <is>
          <t>SCA</t>
        </is>
      </c>
      <c r="G182" t="n">
        <v>1.6</v>
      </c>
      <c r="H182" t="n">
        <v>0</v>
      </c>
      <c r="I182" t="n">
        <v>0</v>
      </c>
      <c r="J182" t="n">
        <v>2</v>
      </c>
      <c r="K182" t="n">
        <v>0</v>
      </c>
      <c r="L182" t="n">
        <v>0</v>
      </c>
      <c r="M182" t="n">
        <v>0</v>
      </c>
      <c r="N182" t="n">
        <v>0</v>
      </c>
      <c r="O182" t="n">
        <v>2</v>
      </c>
      <c r="P182" t="n">
        <v>0</v>
      </c>
      <c r="Q182" t="n">
        <v>2</v>
      </c>
      <c r="R182" s="2" t="inlineStr">
        <is>
          <t>Gammelgransskål
Garnlav</t>
        </is>
      </c>
      <c r="S182">
        <f>HYPERLINK("https://klasma.github.io/Logging_2303/artfynd/A 31960-2025 artfynd.xlsx", "A 31960-2025")</f>
        <v/>
      </c>
      <c r="T182">
        <f>HYPERLINK("https://klasma.github.io/Logging_2303/kartor/A 31960-2025 karta.png", "A 31960-2025")</f>
        <v/>
      </c>
      <c r="V182">
        <f>HYPERLINK("https://klasma.github.io/Logging_2303/klagomål/A 31960-2025 FSC-klagomål.docx", "A 31960-2025")</f>
        <v/>
      </c>
      <c r="W182">
        <f>HYPERLINK("https://klasma.github.io/Logging_2303/klagomålsmail/A 31960-2025 FSC-klagomål mail.docx", "A 31960-2025")</f>
        <v/>
      </c>
      <c r="X182">
        <f>HYPERLINK("https://klasma.github.io/Logging_2303/tillsyn/A 31960-2025 tillsynsbegäran.docx", "A 31960-2025")</f>
        <v/>
      </c>
      <c r="Y182">
        <f>HYPERLINK("https://klasma.github.io/Logging_2303/tillsynsmail/A 31960-2025 tillsynsbegäran mail.docx", "A 31960-2025")</f>
        <v/>
      </c>
    </row>
    <row r="183" ht="15" customHeight="1">
      <c r="A183" t="inlineStr">
        <is>
          <t>A 62636-2025</t>
        </is>
      </c>
      <c r="B183" s="1" t="n">
        <v>46008.3653587963</v>
      </c>
      <c r="C183" s="1" t="n">
        <v>46113</v>
      </c>
      <c r="D183" t="inlineStr">
        <is>
          <t>JÄMTLANDS LÄN</t>
        </is>
      </c>
      <c r="E183" t="inlineStr">
        <is>
          <t>RAGUNDA</t>
        </is>
      </c>
      <c r="G183" t="n">
        <v>3.1</v>
      </c>
      <c r="H183" t="n">
        <v>1</v>
      </c>
      <c r="I183" t="n">
        <v>0</v>
      </c>
      <c r="J183" t="n">
        <v>2</v>
      </c>
      <c r="K183" t="n">
        <v>0</v>
      </c>
      <c r="L183" t="n">
        <v>0</v>
      </c>
      <c r="M183" t="n">
        <v>0</v>
      </c>
      <c r="N183" t="n">
        <v>0</v>
      </c>
      <c r="O183" t="n">
        <v>2</v>
      </c>
      <c r="P183" t="n">
        <v>0</v>
      </c>
      <c r="Q183" t="n">
        <v>2</v>
      </c>
      <c r="R183" s="2" t="inlineStr">
        <is>
          <t>Garnlav
Talltita</t>
        </is>
      </c>
      <c r="S183">
        <f>HYPERLINK("https://klasma.github.io/Logging_2303/artfynd/A 62636-2025 artfynd.xlsx", "A 62636-2025")</f>
        <v/>
      </c>
      <c r="T183">
        <f>HYPERLINK("https://klasma.github.io/Logging_2303/kartor/A 62636-2025 karta.png", "A 62636-2025")</f>
        <v/>
      </c>
      <c r="V183">
        <f>HYPERLINK("https://klasma.github.io/Logging_2303/klagomål/A 62636-2025 FSC-klagomål.docx", "A 62636-2025")</f>
        <v/>
      </c>
      <c r="W183">
        <f>HYPERLINK("https://klasma.github.io/Logging_2303/klagomålsmail/A 62636-2025 FSC-klagomål mail.docx", "A 62636-2025")</f>
        <v/>
      </c>
      <c r="X183">
        <f>HYPERLINK("https://klasma.github.io/Logging_2303/tillsyn/A 62636-2025 tillsynsbegäran.docx", "A 62636-2025")</f>
        <v/>
      </c>
      <c r="Y183">
        <f>HYPERLINK("https://klasma.github.io/Logging_2303/tillsynsmail/A 62636-2025 tillsynsbegäran mail.docx", "A 62636-2025")</f>
        <v/>
      </c>
      <c r="Z183">
        <f>HYPERLINK("https://klasma.github.io/Logging_2303/fåglar/A 62636-2025 prioriterade fågelarter.docx", "A 62636-2025")</f>
        <v/>
      </c>
    </row>
    <row r="184" ht="15" customHeight="1">
      <c r="A184" t="inlineStr">
        <is>
          <t>A 56634-2025</t>
        </is>
      </c>
      <c r="B184" s="1" t="n">
        <v>45975.61619212963</v>
      </c>
      <c r="C184" s="1" t="n">
        <v>46113</v>
      </c>
      <c r="D184" t="inlineStr">
        <is>
          <t>JÄMTLANDS LÄN</t>
        </is>
      </c>
      <c r="E184" t="inlineStr">
        <is>
          <t>RAGUNDA</t>
        </is>
      </c>
      <c r="F184" t="inlineStr">
        <is>
          <t>SCA</t>
        </is>
      </c>
      <c r="G184" t="n">
        <v>86.59999999999999</v>
      </c>
      <c r="H184" t="n">
        <v>0</v>
      </c>
      <c r="I184" t="n">
        <v>1</v>
      </c>
      <c r="J184" t="n">
        <v>1</v>
      </c>
      <c r="K184" t="n">
        <v>0</v>
      </c>
      <c r="L184" t="n">
        <v>0</v>
      </c>
      <c r="M184" t="n">
        <v>0</v>
      </c>
      <c r="N184" t="n">
        <v>0</v>
      </c>
      <c r="O184" t="n">
        <v>1</v>
      </c>
      <c r="P184" t="n">
        <v>0</v>
      </c>
      <c r="Q184" t="n">
        <v>2</v>
      </c>
      <c r="R184" s="2" t="inlineStr">
        <is>
          <t>Garnlav
Skuggblåslav</t>
        </is>
      </c>
      <c r="S184">
        <f>HYPERLINK("https://klasma.github.io/Logging_2303/artfynd/A 56634-2025 artfynd.xlsx", "A 56634-2025")</f>
        <v/>
      </c>
      <c r="T184">
        <f>HYPERLINK("https://klasma.github.io/Logging_2303/kartor/A 56634-2025 karta.png", "A 56634-2025")</f>
        <v/>
      </c>
      <c r="V184">
        <f>HYPERLINK("https://klasma.github.io/Logging_2303/klagomål/A 56634-2025 FSC-klagomål.docx", "A 56634-2025")</f>
        <v/>
      </c>
      <c r="W184">
        <f>HYPERLINK("https://klasma.github.io/Logging_2303/klagomålsmail/A 56634-2025 FSC-klagomål mail.docx", "A 56634-2025")</f>
        <v/>
      </c>
      <c r="X184">
        <f>HYPERLINK("https://klasma.github.io/Logging_2303/tillsyn/A 56634-2025 tillsynsbegäran.docx", "A 56634-2025")</f>
        <v/>
      </c>
      <c r="Y184">
        <f>HYPERLINK("https://klasma.github.io/Logging_2303/tillsynsmail/A 56634-2025 tillsynsbegäran mail.docx", "A 56634-2025")</f>
        <v/>
      </c>
    </row>
    <row r="185" ht="15" customHeight="1">
      <c r="A185" t="inlineStr">
        <is>
          <t>A 45035-2023</t>
        </is>
      </c>
      <c r="B185" s="1" t="n">
        <v>45191</v>
      </c>
      <c r="C185" s="1" t="n">
        <v>46113</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56285-2023</t>
        </is>
      </c>
      <c r="B186" s="1" t="n">
        <v>45241</v>
      </c>
      <c r="C186" s="1" t="n">
        <v>46113</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9749-2026</t>
        </is>
      </c>
      <c r="B187" s="1" t="n">
        <v>46072.53167824074</v>
      </c>
      <c r="C187" s="1" t="n">
        <v>46113</v>
      </c>
      <c r="D187" t="inlineStr">
        <is>
          <t>JÄMTLANDS LÄN</t>
        </is>
      </c>
      <c r="E187" t="inlineStr">
        <is>
          <t>RAGUNDA</t>
        </is>
      </c>
      <c r="F187" t="inlineStr">
        <is>
          <t>SCA</t>
        </is>
      </c>
      <c r="G187" t="n">
        <v>2.7</v>
      </c>
      <c r="H187" t="n">
        <v>1</v>
      </c>
      <c r="I187" t="n">
        <v>0</v>
      </c>
      <c r="J187" t="n">
        <v>2</v>
      </c>
      <c r="K187" t="n">
        <v>0</v>
      </c>
      <c r="L187" t="n">
        <v>0</v>
      </c>
      <c r="M187" t="n">
        <v>0</v>
      </c>
      <c r="N187" t="n">
        <v>0</v>
      </c>
      <c r="O187" t="n">
        <v>2</v>
      </c>
      <c r="P187" t="n">
        <v>0</v>
      </c>
      <c r="Q187" t="n">
        <v>2</v>
      </c>
      <c r="R187" s="2" t="inlineStr">
        <is>
          <t>Järpe
Ullticka</t>
        </is>
      </c>
      <c r="S187">
        <f>HYPERLINK("https://klasma.github.io/Logging_2303/artfynd/A 9749-2026 artfynd.xlsx", "A 9749-2026")</f>
        <v/>
      </c>
      <c r="T187">
        <f>HYPERLINK("https://klasma.github.io/Logging_2303/kartor/A 9749-2026 karta.png", "A 9749-2026")</f>
        <v/>
      </c>
      <c r="V187">
        <f>HYPERLINK("https://klasma.github.io/Logging_2303/klagomål/A 9749-2026 FSC-klagomål.docx", "A 9749-2026")</f>
        <v/>
      </c>
      <c r="W187">
        <f>HYPERLINK("https://klasma.github.io/Logging_2303/klagomålsmail/A 9749-2026 FSC-klagomål mail.docx", "A 9749-2026")</f>
        <v/>
      </c>
      <c r="X187">
        <f>HYPERLINK("https://klasma.github.io/Logging_2303/tillsyn/A 9749-2026 tillsynsbegäran.docx", "A 9749-2026")</f>
        <v/>
      </c>
      <c r="Y187">
        <f>HYPERLINK("https://klasma.github.io/Logging_2303/tillsynsmail/A 9749-2026 tillsynsbegäran mail.docx", "A 9749-2026")</f>
        <v/>
      </c>
      <c r="Z187">
        <f>HYPERLINK("https://klasma.github.io/Logging_2303/fåglar/A 9749-2026 prioriterade fågelarter.docx", "A 9749-2026")</f>
        <v/>
      </c>
    </row>
    <row r="188" ht="15" customHeight="1">
      <c r="A188" t="inlineStr">
        <is>
          <t>A 35131-2025</t>
        </is>
      </c>
      <c r="B188" s="1" t="n">
        <v>45852.63597222222</v>
      </c>
      <c r="C188" s="1" t="n">
        <v>46113</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19728-2025</t>
        </is>
      </c>
      <c r="B189" s="1" t="n">
        <v>45771.36548611111</v>
      </c>
      <c r="C189" s="1" t="n">
        <v>46113</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46113</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46113</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46113</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57940-2024</t>
        </is>
      </c>
      <c r="B193" s="1" t="n">
        <v>45631</v>
      </c>
      <c r="C193" s="1" t="n">
        <v>46113</v>
      </c>
      <c r="D193" t="inlineStr">
        <is>
          <t>JÄMTLANDS LÄN</t>
        </is>
      </c>
      <c r="E193" t="inlineStr">
        <is>
          <t>RAGUNDA</t>
        </is>
      </c>
      <c r="F193" t="inlineStr">
        <is>
          <t>SCA</t>
        </is>
      </c>
      <c r="G193" t="n">
        <v>1.9</v>
      </c>
      <c r="H193" t="n">
        <v>1</v>
      </c>
      <c r="I193" t="n">
        <v>0</v>
      </c>
      <c r="J193" t="n">
        <v>2</v>
      </c>
      <c r="K193" t="n">
        <v>0</v>
      </c>
      <c r="L193" t="n">
        <v>0</v>
      </c>
      <c r="M193" t="n">
        <v>0</v>
      </c>
      <c r="N193" t="n">
        <v>0</v>
      </c>
      <c r="O193" t="n">
        <v>2</v>
      </c>
      <c r="P193" t="n">
        <v>0</v>
      </c>
      <c r="Q193" t="n">
        <v>2</v>
      </c>
      <c r="R193" s="2" t="inlineStr">
        <is>
          <t>Lunglav
Tretåig hackspett</t>
        </is>
      </c>
      <c r="S193">
        <f>HYPERLINK("https://klasma.github.io/Logging_2303/artfynd/A 57940-2024 artfynd.xlsx", "A 57940-2024")</f>
        <v/>
      </c>
      <c r="T193">
        <f>HYPERLINK("https://klasma.github.io/Logging_2303/kartor/A 57940-2024 karta.png", "A 57940-2024")</f>
        <v/>
      </c>
      <c r="V193">
        <f>HYPERLINK("https://klasma.github.io/Logging_2303/klagomål/A 57940-2024 FSC-klagomål.docx", "A 57940-2024")</f>
        <v/>
      </c>
      <c r="W193">
        <f>HYPERLINK("https://klasma.github.io/Logging_2303/klagomålsmail/A 57940-2024 FSC-klagomål mail.docx", "A 57940-2024")</f>
        <v/>
      </c>
      <c r="X193">
        <f>HYPERLINK("https://klasma.github.io/Logging_2303/tillsyn/A 57940-2024 tillsynsbegäran.docx", "A 57940-2024")</f>
        <v/>
      </c>
      <c r="Y193">
        <f>HYPERLINK("https://klasma.github.io/Logging_2303/tillsynsmail/A 57940-2024 tillsynsbegäran mail.docx", "A 57940-2024")</f>
        <v/>
      </c>
      <c r="Z193">
        <f>HYPERLINK("https://klasma.github.io/Logging_2303/fåglar/A 57940-2024 prioriterade fågelarter.docx", "A 57940-2024")</f>
        <v/>
      </c>
    </row>
    <row r="194" ht="15" customHeight="1">
      <c r="A194" t="inlineStr">
        <is>
          <t>A 36756-2023</t>
        </is>
      </c>
      <c r="B194" s="1" t="n">
        <v>45153</v>
      </c>
      <c r="C194" s="1" t="n">
        <v>46113</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46113</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46113</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46113</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46113</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46113</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46113</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46113</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46113</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46113</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40841-2025</t>
        </is>
      </c>
      <c r="B204" s="1" t="n">
        <v>45897.531875</v>
      </c>
      <c r="C204" s="1" t="n">
        <v>46113</v>
      </c>
      <c r="D204" t="inlineStr">
        <is>
          <t>JÄMTLANDS LÄN</t>
        </is>
      </c>
      <c r="E204" t="inlineStr">
        <is>
          <t>RAGUNDA</t>
        </is>
      </c>
      <c r="F204" t="inlineStr">
        <is>
          <t>SCA</t>
        </is>
      </c>
      <c r="G204" t="n">
        <v>1.1</v>
      </c>
      <c r="H204" t="n">
        <v>0</v>
      </c>
      <c r="I204" t="n">
        <v>0</v>
      </c>
      <c r="J204" t="n">
        <v>1</v>
      </c>
      <c r="K204" t="n">
        <v>0</v>
      </c>
      <c r="L204" t="n">
        <v>0</v>
      </c>
      <c r="M204" t="n">
        <v>0</v>
      </c>
      <c r="N204" t="n">
        <v>0</v>
      </c>
      <c r="O204" t="n">
        <v>1</v>
      </c>
      <c r="P204" t="n">
        <v>0</v>
      </c>
      <c r="Q204" t="n">
        <v>1</v>
      </c>
      <c r="R204" s="2" t="inlineStr">
        <is>
          <t>Garnlav</t>
        </is>
      </c>
      <c r="S204">
        <f>HYPERLINK("https://klasma.github.io/Logging_2303/artfynd/A 40841-2025 artfynd.xlsx", "A 40841-2025")</f>
        <v/>
      </c>
      <c r="T204">
        <f>HYPERLINK("https://klasma.github.io/Logging_2303/kartor/A 40841-2025 karta.png", "A 40841-2025")</f>
        <v/>
      </c>
      <c r="V204">
        <f>HYPERLINK("https://klasma.github.io/Logging_2303/klagomål/A 40841-2025 FSC-klagomål.docx", "A 40841-2025")</f>
        <v/>
      </c>
      <c r="W204">
        <f>HYPERLINK("https://klasma.github.io/Logging_2303/klagomålsmail/A 40841-2025 FSC-klagomål mail.docx", "A 40841-2025")</f>
        <v/>
      </c>
      <c r="X204">
        <f>HYPERLINK("https://klasma.github.io/Logging_2303/tillsyn/A 40841-2025 tillsynsbegäran.docx", "A 40841-2025")</f>
        <v/>
      </c>
      <c r="Y204">
        <f>HYPERLINK("https://klasma.github.io/Logging_2303/tillsynsmail/A 40841-2025 tillsynsbegäran mail.docx", "A 40841-2025")</f>
        <v/>
      </c>
    </row>
    <row r="205" ht="15" customHeight="1">
      <c r="A205" t="inlineStr">
        <is>
          <t>A 16316-2025</t>
        </is>
      </c>
      <c r="B205" s="1" t="n">
        <v>45751.34795138889</v>
      </c>
      <c r="C205" s="1" t="n">
        <v>46113</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1057-2024</t>
        </is>
      </c>
      <c r="B206" s="1" t="n">
        <v>45301</v>
      </c>
      <c r="C206" s="1" t="n">
        <v>46113</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46113</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59104-2023</t>
        </is>
      </c>
      <c r="B208" s="1" t="n">
        <v>45252</v>
      </c>
      <c r="C208" s="1" t="n">
        <v>46113</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43526-2025</t>
        </is>
      </c>
      <c r="B209" s="1" t="n">
        <v>45911</v>
      </c>
      <c r="C209" s="1" t="n">
        <v>46113</v>
      </c>
      <c r="D209" t="inlineStr">
        <is>
          <t>JÄMTLANDS LÄN</t>
        </is>
      </c>
      <c r="E209" t="inlineStr">
        <is>
          <t>RAGUNDA</t>
        </is>
      </c>
      <c r="G209" t="n">
        <v>5.5</v>
      </c>
      <c r="H209" t="n">
        <v>0</v>
      </c>
      <c r="I209" t="n">
        <v>0</v>
      </c>
      <c r="J209" t="n">
        <v>1</v>
      </c>
      <c r="K209" t="n">
        <v>0</v>
      </c>
      <c r="L209" t="n">
        <v>0</v>
      </c>
      <c r="M209" t="n">
        <v>0</v>
      </c>
      <c r="N209" t="n">
        <v>0</v>
      </c>
      <c r="O209" t="n">
        <v>1</v>
      </c>
      <c r="P209" t="n">
        <v>0</v>
      </c>
      <c r="Q209" t="n">
        <v>1</v>
      </c>
      <c r="R209" s="2" t="inlineStr">
        <is>
          <t>Lunglav</t>
        </is>
      </c>
      <c r="S209">
        <f>HYPERLINK("https://klasma.github.io/Logging_2303/artfynd/A 43526-2025 artfynd.xlsx", "A 43526-2025")</f>
        <v/>
      </c>
      <c r="T209">
        <f>HYPERLINK("https://klasma.github.io/Logging_2303/kartor/A 43526-2025 karta.png", "A 43526-2025")</f>
        <v/>
      </c>
      <c r="V209">
        <f>HYPERLINK("https://klasma.github.io/Logging_2303/klagomål/A 43526-2025 FSC-klagomål.docx", "A 43526-2025")</f>
        <v/>
      </c>
      <c r="W209">
        <f>HYPERLINK("https://klasma.github.io/Logging_2303/klagomålsmail/A 43526-2025 FSC-klagomål mail.docx", "A 43526-2025")</f>
        <v/>
      </c>
      <c r="X209">
        <f>HYPERLINK("https://klasma.github.io/Logging_2303/tillsyn/A 43526-2025 tillsynsbegäran.docx", "A 43526-2025")</f>
        <v/>
      </c>
      <c r="Y209">
        <f>HYPERLINK("https://klasma.github.io/Logging_2303/tillsynsmail/A 43526-2025 tillsynsbegäran mail.docx", "A 43526-2025")</f>
        <v/>
      </c>
    </row>
    <row r="210" ht="15" customHeight="1">
      <c r="A210" t="inlineStr">
        <is>
          <t>A 36854-2023</t>
        </is>
      </c>
      <c r="B210" s="1" t="n">
        <v>45153</v>
      </c>
      <c r="C210" s="1" t="n">
        <v>46113</v>
      </c>
      <c r="D210" t="inlineStr">
        <is>
          <t>JÄMTLANDS LÄN</t>
        </is>
      </c>
      <c r="E210" t="inlineStr">
        <is>
          <t>RAGUNDA</t>
        </is>
      </c>
      <c r="G210" t="n">
        <v>4</v>
      </c>
      <c r="H210" t="n">
        <v>1</v>
      </c>
      <c r="I210" t="n">
        <v>0</v>
      </c>
      <c r="J210" t="n">
        <v>1</v>
      </c>
      <c r="K210" t="n">
        <v>0</v>
      </c>
      <c r="L210" t="n">
        <v>0</v>
      </c>
      <c r="M210" t="n">
        <v>0</v>
      </c>
      <c r="N210" t="n">
        <v>0</v>
      </c>
      <c r="O210" t="n">
        <v>1</v>
      </c>
      <c r="P210" t="n">
        <v>0</v>
      </c>
      <c r="Q210" t="n">
        <v>1</v>
      </c>
      <c r="R210" s="2" t="inlineStr">
        <is>
          <t>Talltita</t>
        </is>
      </c>
      <c r="S210">
        <f>HYPERLINK("https://klasma.github.io/Logging_2303/artfynd/A 36854-2023 artfynd.xlsx", "A 36854-2023")</f>
        <v/>
      </c>
      <c r="T210">
        <f>HYPERLINK("https://klasma.github.io/Logging_2303/kartor/A 36854-2023 karta.png", "A 36854-2023")</f>
        <v/>
      </c>
      <c r="V210">
        <f>HYPERLINK("https://klasma.github.io/Logging_2303/klagomål/A 36854-2023 FSC-klagomål.docx", "A 36854-2023")</f>
        <v/>
      </c>
      <c r="W210">
        <f>HYPERLINK("https://klasma.github.io/Logging_2303/klagomålsmail/A 36854-2023 FSC-klagomål mail.docx", "A 36854-2023")</f>
        <v/>
      </c>
      <c r="X210">
        <f>HYPERLINK("https://klasma.github.io/Logging_2303/tillsyn/A 36854-2023 tillsynsbegäran.docx", "A 36854-2023")</f>
        <v/>
      </c>
      <c r="Y210">
        <f>HYPERLINK("https://klasma.github.io/Logging_2303/tillsynsmail/A 36854-2023 tillsynsbegäran mail.docx", "A 36854-2023")</f>
        <v/>
      </c>
      <c r="Z210">
        <f>HYPERLINK("https://klasma.github.io/Logging_2303/fåglar/A 36854-2023 prioriterade fågelarter.docx", "A 36854-2023")</f>
        <v/>
      </c>
    </row>
    <row r="211" ht="15" customHeight="1">
      <c r="A211" t="inlineStr">
        <is>
          <t>A 36975-2023</t>
        </is>
      </c>
      <c r="B211" s="1" t="n">
        <v>45154</v>
      </c>
      <c r="C211" s="1" t="n">
        <v>46113</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35750-2023</t>
        </is>
      </c>
      <c r="B212" s="1" t="n">
        <v>45147</v>
      </c>
      <c r="C212" s="1" t="n">
        <v>46113</v>
      </c>
      <c r="D212" t="inlineStr">
        <is>
          <t>JÄMTLANDS LÄN</t>
        </is>
      </c>
      <c r="E212" t="inlineStr">
        <is>
          <t>RAGUNDA</t>
        </is>
      </c>
      <c r="F212" t="inlineStr">
        <is>
          <t>SCA</t>
        </is>
      </c>
      <c r="G212" t="n">
        <v>4.8</v>
      </c>
      <c r="H212" t="n">
        <v>0</v>
      </c>
      <c r="I212" t="n">
        <v>0</v>
      </c>
      <c r="J212" t="n">
        <v>1</v>
      </c>
      <c r="K212" t="n">
        <v>0</v>
      </c>
      <c r="L212" t="n">
        <v>0</v>
      </c>
      <c r="M212" t="n">
        <v>0</v>
      </c>
      <c r="N212" t="n">
        <v>0</v>
      </c>
      <c r="O212" t="n">
        <v>1</v>
      </c>
      <c r="P212" t="n">
        <v>0</v>
      </c>
      <c r="Q212" t="n">
        <v>1</v>
      </c>
      <c r="R212" s="2" t="inlineStr">
        <is>
          <t>Grantaggsvamp</t>
        </is>
      </c>
      <c r="S212">
        <f>HYPERLINK("https://klasma.github.io/Logging_2303/artfynd/A 35750-2023 artfynd.xlsx", "A 35750-2023")</f>
        <v/>
      </c>
      <c r="T212">
        <f>HYPERLINK("https://klasma.github.io/Logging_2303/kartor/A 35750-2023 karta.png", "A 35750-2023")</f>
        <v/>
      </c>
      <c r="V212">
        <f>HYPERLINK("https://klasma.github.io/Logging_2303/klagomål/A 35750-2023 FSC-klagomål.docx", "A 35750-2023")</f>
        <v/>
      </c>
      <c r="W212">
        <f>HYPERLINK("https://klasma.github.io/Logging_2303/klagomålsmail/A 35750-2023 FSC-klagomål mail.docx", "A 35750-2023")</f>
        <v/>
      </c>
      <c r="X212">
        <f>HYPERLINK("https://klasma.github.io/Logging_2303/tillsyn/A 35750-2023 tillsynsbegäran.docx", "A 35750-2023")</f>
        <v/>
      </c>
      <c r="Y212">
        <f>HYPERLINK("https://klasma.github.io/Logging_2303/tillsynsmail/A 35750-2023 tillsynsbegäran mail.docx", "A 35750-2023")</f>
        <v/>
      </c>
    </row>
    <row r="213" ht="15" customHeight="1">
      <c r="A213" t="inlineStr">
        <is>
          <t>A 32069-2024</t>
        </is>
      </c>
      <c r="B213" s="1" t="n">
        <v>45510</v>
      </c>
      <c r="C213" s="1" t="n">
        <v>46113</v>
      </c>
      <c r="D213" t="inlineStr">
        <is>
          <t>JÄMTLANDS LÄN</t>
        </is>
      </c>
      <c r="E213" t="inlineStr">
        <is>
          <t>RAGUNDA</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HYPERLINK("https://klasma.github.io/Logging_2303/artfynd/A 32069-2024 artfynd.xlsx", "A 32069-2024")</f>
        <v/>
      </c>
      <c r="T213">
        <f>HYPERLINK("https://klasma.github.io/Logging_2303/kartor/A 32069-2024 karta.png", "A 32069-2024")</f>
        <v/>
      </c>
      <c r="V213">
        <f>HYPERLINK("https://klasma.github.io/Logging_2303/klagomål/A 32069-2024 FSC-klagomål.docx", "A 32069-2024")</f>
        <v/>
      </c>
      <c r="W213">
        <f>HYPERLINK("https://klasma.github.io/Logging_2303/klagomålsmail/A 32069-2024 FSC-klagomål mail.docx", "A 32069-2024")</f>
        <v/>
      </c>
      <c r="X213">
        <f>HYPERLINK("https://klasma.github.io/Logging_2303/tillsyn/A 32069-2024 tillsynsbegäran.docx", "A 32069-2024")</f>
        <v/>
      </c>
      <c r="Y213">
        <f>HYPERLINK("https://klasma.github.io/Logging_2303/tillsynsmail/A 32069-2024 tillsynsbegäran mail.docx", "A 32069-2024")</f>
        <v/>
      </c>
    </row>
    <row r="214" ht="15" customHeight="1">
      <c r="A214" t="inlineStr">
        <is>
          <t>A 23930-2024</t>
        </is>
      </c>
      <c r="B214" s="1" t="n">
        <v>45455.96184027778</v>
      </c>
      <c r="C214" s="1" t="n">
        <v>46113</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6703-2024</t>
        </is>
      </c>
      <c r="B215" s="1" t="n">
        <v>45341</v>
      </c>
      <c r="C215" s="1" t="n">
        <v>46113</v>
      </c>
      <c r="D215" t="inlineStr">
        <is>
          <t>JÄMTLANDS LÄN</t>
        </is>
      </c>
      <c r="E215" t="inlineStr">
        <is>
          <t>RAGUNDA</t>
        </is>
      </c>
      <c r="F215" t="inlineStr">
        <is>
          <t>SCA</t>
        </is>
      </c>
      <c r="G215" t="n">
        <v>2.4</v>
      </c>
      <c r="H215" t="n">
        <v>0</v>
      </c>
      <c r="I215" t="n">
        <v>0</v>
      </c>
      <c r="J215" t="n">
        <v>1</v>
      </c>
      <c r="K215" t="n">
        <v>0</v>
      </c>
      <c r="L215" t="n">
        <v>0</v>
      </c>
      <c r="M215" t="n">
        <v>0</v>
      </c>
      <c r="N215" t="n">
        <v>0</v>
      </c>
      <c r="O215" t="n">
        <v>1</v>
      </c>
      <c r="P215" t="n">
        <v>0</v>
      </c>
      <c r="Q215" t="n">
        <v>1</v>
      </c>
      <c r="R215" s="2" t="inlineStr">
        <is>
          <t>Vitgrynig nållav</t>
        </is>
      </c>
      <c r="S215">
        <f>HYPERLINK("https://klasma.github.io/Logging_2303/artfynd/A 6703-2024 artfynd.xlsx", "A 6703-2024")</f>
        <v/>
      </c>
      <c r="T215">
        <f>HYPERLINK("https://klasma.github.io/Logging_2303/kartor/A 6703-2024 karta.png", "A 6703-2024")</f>
        <v/>
      </c>
      <c r="V215">
        <f>HYPERLINK("https://klasma.github.io/Logging_2303/klagomål/A 6703-2024 FSC-klagomål.docx", "A 6703-2024")</f>
        <v/>
      </c>
      <c r="W215">
        <f>HYPERLINK("https://klasma.github.io/Logging_2303/klagomålsmail/A 6703-2024 FSC-klagomål mail.docx", "A 6703-2024")</f>
        <v/>
      </c>
      <c r="X215">
        <f>HYPERLINK("https://klasma.github.io/Logging_2303/tillsyn/A 6703-2024 tillsynsbegäran.docx", "A 6703-2024")</f>
        <v/>
      </c>
      <c r="Y215">
        <f>HYPERLINK("https://klasma.github.io/Logging_2303/tillsynsmail/A 6703-2024 tillsynsbegäran mail.docx", "A 6703-2024")</f>
        <v/>
      </c>
    </row>
    <row r="216" ht="15" customHeight="1">
      <c r="A216" t="inlineStr">
        <is>
          <t>A 24443-2024</t>
        </is>
      </c>
      <c r="B216" s="1" t="n">
        <v>45457.9640625</v>
      </c>
      <c r="C216" s="1" t="n">
        <v>46113</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48429-2023</t>
        </is>
      </c>
      <c r="B217" s="1" t="n">
        <v>45205</v>
      </c>
      <c r="C217" s="1" t="n">
        <v>46113</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11040-2023</t>
        </is>
      </c>
      <c r="B218" s="1" t="n">
        <v>44991</v>
      </c>
      <c r="C218" s="1" t="n">
        <v>46113</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49053-2025</t>
        </is>
      </c>
      <c r="B219" s="1" t="n">
        <v>45937.64009259259</v>
      </c>
      <c r="C219" s="1" t="n">
        <v>46113</v>
      </c>
      <c r="D219" t="inlineStr">
        <is>
          <t>JÄMTLANDS LÄN</t>
        </is>
      </c>
      <c r="E219" t="inlineStr">
        <is>
          <t>RAGUNDA</t>
        </is>
      </c>
      <c r="F219" t="inlineStr">
        <is>
          <t>SCA</t>
        </is>
      </c>
      <c r="G219" t="n">
        <v>7</v>
      </c>
      <c r="H219" t="n">
        <v>1</v>
      </c>
      <c r="I219" t="n">
        <v>1</v>
      </c>
      <c r="J219" t="n">
        <v>0</v>
      </c>
      <c r="K219" t="n">
        <v>0</v>
      </c>
      <c r="L219" t="n">
        <v>0</v>
      </c>
      <c r="M219" t="n">
        <v>0</v>
      </c>
      <c r="N219" t="n">
        <v>0</v>
      </c>
      <c r="O219" t="n">
        <v>0</v>
      </c>
      <c r="P219" t="n">
        <v>0</v>
      </c>
      <c r="Q219" t="n">
        <v>1</v>
      </c>
      <c r="R219" s="2" t="inlineStr">
        <is>
          <t>Guckusko</t>
        </is>
      </c>
      <c r="S219">
        <f>HYPERLINK("https://klasma.github.io/Logging_2303/artfynd/A 49053-2025 artfynd.xlsx", "A 49053-2025")</f>
        <v/>
      </c>
      <c r="T219">
        <f>HYPERLINK("https://klasma.github.io/Logging_2303/kartor/A 49053-2025 karta.png", "A 49053-2025")</f>
        <v/>
      </c>
      <c r="V219">
        <f>HYPERLINK("https://klasma.github.io/Logging_2303/klagomål/A 49053-2025 FSC-klagomål.docx", "A 49053-2025")</f>
        <v/>
      </c>
      <c r="W219">
        <f>HYPERLINK("https://klasma.github.io/Logging_2303/klagomålsmail/A 49053-2025 FSC-klagomål mail.docx", "A 49053-2025")</f>
        <v/>
      </c>
      <c r="X219">
        <f>HYPERLINK("https://klasma.github.io/Logging_2303/tillsyn/A 49053-2025 tillsynsbegäran.docx", "A 49053-2025")</f>
        <v/>
      </c>
      <c r="Y219">
        <f>HYPERLINK("https://klasma.github.io/Logging_2303/tillsynsmail/A 49053-2025 tillsynsbegäran mail.docx", "A 49053-2025")</f>
        <v/>
      </c>
    </row>
    <row r="220" ht="15" customHeight="1">
      <c r="A220" t="inlineStr">
        <is>
          <t>A 49091-2022</t>
        </is>
      </c>
      <c r="B220" s="1" t="n">
        <v>44860</v>
      </c>
      <c r="C220" s="1" t="n">
        <v>46113</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2929-2024</t>
        </is>
      </c>
      <c r="B221" s="1" t="n">
        <v>45315</v>
      </c>
      <c r="C221" s="1" t="n">
        <v>46113</v>
      </c>
      <c r="D221" t="inlineStr">
        <is>
          <t>JÄMTLANDS LÄN</t>
        </is>
      </c>
      <c r="E221" t="inlineStr">
        <is>
          <t>RAGUNDA</t>
        </is>
      </c>
      <c r="G221" t="n">
        <v>1</v>
      </c>
      <c r="H221" t="n">
        <v>0</v>
      </c>
      <c r="I221" t="n">
        <v>0</v>
      </c>
      <c r="J221" t="n">
        <v>1</v>
      </c>
      <c r="K221" t="n">
        <v>0</v>
      </c>
      <c r="L221" t="n">
        <v>0</v>
      </c>
      <c r="M221" t="n">
        <v>0</v>
      </c>
      <c r="N221" t="n">
        <v>0</v>
      </c>
      <c r="O221" t="n">
        <v>1</v>
      </c>
      <c r="P221" t="n">
        <v>0</v>
      </c>
      <c r="Q221" t="n">
        <v>1</v>
      </c>
      <c r="R221" s="2" t="inlineStr">
        <is>
          <t>Klådris</t>
        </is>
      </c>
      <c r="S221">
        <f>HYPERLINK("https://klasma.github.io/Logging_2303/artfynd/A 2929-2024 artfynd.xlsx", "A 2929-2024")</f>
        <v/>
      </c>
      <c r="T221">
        <f>HYPERLINK("https://klasma.github.io/Logging_2303/kartor/A 2929-2024 karta.png", "A 2929-2024")</f>
        <v/>
      </c>
      <c r="V221">
        <f>HYPERLINK("https://klasma.github.io/Logging_2303/klagomål/A 2929-2024 FSC-klagomål.docx", "A 2929-2024")</f>
        <v/>
      </c>
      <c r="W221">
        <f>HYPERLINK("https://klasma.github.io/Logging_2303/klagomålsmail/A 2929-2024 FSC-klagomål mail.docx", "A 2929-2024")</f>
        <v/>
      </c>
      <c r="X221">
        <f>HYPERLINK("https://klasma.github.io/Logging_2303/tillsyn/A 2929-2024 tillsynsbegäran.docx", "A 2929-2024")</f>
        <v/>
      </c>
      <c r="Y221">
        <f>HYPERLINK("https://klasma.github.io/Logging_2303/tillsynsmail/A 2929-2024 tillsynsbegäran mail.docx", "A 2929-2024")</f>
        <v/>
      </c>
    </row>
    <row r="222" ht="15" customHeight="1">
      <c r="A222" t="inlineStr">
        <is>
          <t>A 50233-2024</t>
        </is>
      </c>
      <c r="B222" s="1" t="n">
        <v>45600.55265046296</v>
      </c>
      <c r="C222" s="1" t="n">
        <v>46113</v>
      </c>
      <c r="D222" t="inlineStr">
        <is>
          <t>JÄMTLANDS LÄN</t>
        </is>
      </c>
      <c r="E222" t="inlineStr">
        <is>
          <t>RAGUNDA</t>
        </is>
      </c>
      <c r="F222" t="inlineStr">
        <is>
          <t>SCA</t>
        </is>
      </c>
      <c r="G222" t="n">
        <v>5.6</v>
      </c>
      <c r="H222" t="n">
        <v>0</v>
      </c>
      <c r="I222" t="n">
        <v>0</v>
      </c>
      <c r="J222" t="n">
        <v>1</v>
      </c>
      <c r="K222" t="n">
        <v>0</v>
      </c>
      <c r="L222" t="n">
        <v>0</v>
      </c>
      <c r="M222" t="n">
        <v>0</v>
      </c>
      <c r="N222" t="n">
        <v>0</v>
      </c>
      <c r="O222" t="n">
        <v>1</v>
      </c>
      <c r="P222" t="n">
        <v>0</v>
      </c>
      <c r="Q222" t="n">
        <v>1</v>
      </c>
      <c r="R222" s="2" t="inlineStr">
        <is>
          <t>Granticka</t>
        </is>
      </c>
      <c r="S222">
        <f>HYPERLINK("https://klasma.github.io/Logging_2303/artfynd/A 50233-2024 artfynd.xlsx", "A 50233-2024")</f>
        <v/>
      </c>
      <c r="T222">
        <f>HYPERLINK("https://klasma.github.io/Logging_2303/kartor/A 50233-2024 karta.png", "A 50233-2024")</f>
        <v/>
      </c>
      <c r="V222">
        <f>HYPERLINK("https://klasma.github.io/Logging_2303/klagomål/A 50233-2024 FSC-klagomål.docx", "A 50233-2024")</f>
        <v/>
      </c>
      <c r="W222">
        <f>HYPERLINK("https://klasma.github.io/Logging_2303/klagomålsmail/A 50233-2024 FSC-klagomål mail.docx", "A 50233-2024")</f>
        <v/>
      </c>
      <c r="X222">
        <f>HYPERLINK("https://klasma.github.io/Logging_2303/tillsyn/A 50233-2024 tillsynsbegäran.docx", "A 50233-2024")</f>
        <v/>
      </c>
      <c r="Y222">
        <f>HYPERLINK("https://klasma.github.io/Logging_2303/tillsynsmail/A 50233-2024 tillsynsbegäran mail.docx", "A 50233-2024")</f>
        <v/>
      </c>
    </row>
    <row r="223" ht="15" customHeight="1">
      <c r="A223" t="inlineStr">
        <is>
          <t>A 51912-2025</t>
        </is>
      </c>
      <c r="B223" s="1" t="n">
        <v>45952.46939814815</v>
      </c>
      <c r="C223" s="1" t="n">
        <v>46113</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19751-2025</t>
        </is>
      </c>
      <c r="B224" s="1" t="n">
        <v>45771.3859837963</v>
      </c>
      <c r="C224" s="1" t="n">
        <v>46113</v>
      </c>
      <c r="D224" t="inlineStr">
        <is>
          <t>JÄMTLANDS LÄN</t>
        </is>
      </c>
      <c r="E224" t="inlineStr">
        <is>
          <t>RAGUNDA</t>
        </is>
      </c>
      <c r="F224" t="inlineStr">
        <is>
          <t>SCA</t>
        </is>
      </c>
      <c r="G224" t="n">
        <v>1.1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19751-2025 artfynd.xlsx", "A 19751-2025")</f>
        <v/>
      </c>
      <c r="T224">
        <f>HYPERLINK("https://klasma.github.io/Logging_2303/kartor/A 19751-2025 karta.png", "A 19751-2025")</f>
        <v/>
      </c>
      <c r="V224">
        <f>HYPERLINK("https://klasma.github.io/Logging_2303/klagomål/A 19751-2025 FSC-klagomål.docx", "A 19751-2025")</f>
        <v/>
      </c>
      <c r="W224">
        <f>HYPERLINK("https://klasma.github.io/Logging_2303/klagomålsmail/A 19751-2025 FSC-klagomål mail.docx", "A 19751-2025")</f>
        <v/>
      </c>
      <c r="X224">
        <f>HYPERLINK("https://klasma.github.io/Logging_2303/tillsyn/A 19751-2025 tillsynsbegäran.docx", "A 19751-2025")</f>
        <v/>
      </c>
      <c r="Y224">
        <f>HYPERLINK("https://klasma.github.io/Logging_2303/tillsynsmail/A 19751-2025 tillsynsbegäran mail.docx", "A 19751-2025")</f>
        <v/>
      </c>
      <c r="Z224">
        <f>HYPERLINK("https://klasma.github.io/Logging_2303/fåglar/A 19751-2025 prioriterade fågelarter.docx", "A 19751-2025")</f>
        <v/>
      </c>
    </row>
    <row r="225" ht="15" customHeight="1">
      <c r="A225" t="inlineStr">
        <is>
          <t>A 27573-2025</t>
        </is>
      </c>
      <c r="B225" s="1" t="n">
        <v>45813.49061342593</v>
      </c>
      <c r="C225" s="1" t="n">
        <v>46113</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36224-2023</t>
        </is>
      </c>
      <c r="B226" s="1" t="n">
        <v>45149</v>
      </c>
      <c r="C226" s="1" t="n">
        <v>46113</v>
      </c>
      <c r="D226" t="inlineStr">
        <is>
          <t>JÄMTLANDS LÄN</t>
        </is>
      </c>
      <c r="E226" t="inlineStr">
        <is>
          <t>RAGUNDA</t>
        </is>
      </c>
      <c r="F226" t="inlineStr">
        <is>
          <t>SCA</t>
        </is>
      </c>
      <c r="G226" t="n">
        <v>8.1</v>
      </c>
      <c r="H226" t="n">
        <v>0</v>
      </c>
      <c r="I226" t="n">
        <v>0</v>
      </c>
      <c r="J226" t="n">
        <v>1</v>
      </c>
      <c r="K226" t="n">
        <v>0</v>
      </c>
      <c r="L226" t="n">
        <v>0</v>
      </c>
      <c r="M226" t="n">
        <v>0</v>
      </c>
      <c r="N226" t="n">
        <v>0</v>
      </c>
      <c r="O226" t="n">
        <v>1</v>
      </c>
      <c r="P226" t="n">
        <v>0</v>
      </c>
      <c r="Q226" t="n">
        <v>1</v>
      </c>
      <c r="R226" s="2" t="inlineStr">
        <is>
          <t>Garnlav</t>
        </is>
      </c>
      <c r="S226">
        <f>HYPERLINK("https://klasma.github.io/Logging_2303/artfynd/A 36224-2023 artfynd.xlsx", "A 36224-2023")</f>
        <v/>
      </c>
      <c r="T226">
        <f>HYPERLINK("https://klasma.github.io/Logging_2303/kartor/A 36224-2023 karta.png", "A 36224-2023")</f>
        <v/>
      </c>
      <c r="V226">
        <f>HYPERLINK("https://klasma.github.io/Logging_2303/klagomål/A 36224-2023 FSC-klagomål.docx", "A 36224-2023")</f>
        <v/>
      </c>
      <c r="W226">
        <f>HYPERLINK("https://klasma.github.io/Logging_2303/klagomålsmail/A 36224-2023 FSC-klagomål mail.docx", "A 36224-2023")</f>
        <v/>
      </c>
      <c r="X226">
        <f>HYPERLINK("https://klasma.github.io/Logging_2303/tillsyn/A 36224-2023 tillsynsbegäran.docx", "A 36224-2023")</f>
        <v/>
      </c>
      <c r="Y226">
        <f>HYPERLINK("https://klasma.github.io/Logging_2303/tillsynsmail/A 36224-2023 tillsynsbegäran mail.docx", "A 36224-2023")</f>
        <v/>
      </c>
    </row>
    <row r="227" ht="15" customHeight="1">
      <c r="A227" t="inlineStr">
        <is>
          <t>A 17340-2023</t>
        </is>
      </c>
      <c r="B227" s="1" t="n">
        <v>45033</v>
      </c>
      <c r="C227" s="1" t="n">
        <v>46113</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Vedtrappmossa</t>
        </is>
      </c>
      <c r="S227">
        <f>HYPERLINK("https://klasma.github.io/Logging_2303/artfynd/A 17340-2023 artfynd.xlsx", "A 17340-2023")</f>
        <v/>
      </c>
      <c r="T227">
        <f>HYPERLINK("https://klasma.github.io/Logging_2303/kartor/A 17340-2023 karta.png", "A 17340-2023")</f>
        <v/>
      </c>
      <c r="U227">
        <f>HYPERLINK("https://klasma.github.io/Logging_2303/knärot/A 17340-2023 karta knärot.png", "A 17340-2023")</f>
        <v/>
      </c>
      <c r="V227">
        <f>HYPERLINK("https://klasma.github.io/Logging_2303/klagomål/A 17340-2023 FSC-klagomål.docx", "A 17340-2023")</f>
        <v/>
      </c>
      <c r="W227">
        <f>HYPERLINK("https://klasma.github.io/Logging_2303/klagomålsmail/A 17340-2023 FSC-klagomål mail.docx", "A 17340-2023")</f>
        <v/>
      </c>
      <c r="X227">
        <f>HYPERLINK("https://klasma.github.io/Logging_2303/tillsyn/A 17340-2023 tillsynsbegäran.docx", "A 17340-2023")</f>
        <v/>
      </c>
      <c r="Y227">
        <f>HYPERLINK("https://klasma.github.io/Logging_2303/tillsynsmail/A 17340-2023 tillsynsbegäran mail.docx", "A 17340-2023")</f>
        <v/>
      </c>
    </row>
    <row r="228" ht="15" customHeight="1">
      <c r="A228" t="inlineStr">
        <is>
          <t>A 55756-2025</t>
        </is>
      </c>
      <c r="B228" s="1" t="n">
        <v>45972.59438657408</v>
      </c>
      <c r="C228" s="1" t="n">
        <v>46113</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HYPERLINK("https://klasma.github.io/Logging_2303/artfynd/A 55756-2025 artfynd.xlsx", "A 55756-2025")</f>
        <v/>
      </c>
      <c r="T228">
        <f>HYPERLINK("https://klasma.github.io/Logging_2303/kartor/A 55756-2025 karta.png", "A 55756-2025")</f>
        <v/>
      </c>
      <c r="V228">
        <f>HYPERLINK("https://klasma.github.io/Logging_2303/klagomål/A 55756-2025 FSC-klagomål.docx", "A 55756-2025")</f>
        <v/>
      </c>
      <c r="W228">
        <f>HYPERLINK("https://klasma.github.io/Logging_2303/klagomålsmail/A 55756-2025 FSC-klagomål mail.docx", "A 55756-2025")</f>
        <v/>
      </c>
      <c r="X228">
        <f>HYPERLINK("https://klasma.github.io/Logging_2303/tillsyn/A 55756-2025 tillsynsbegäran.docx", "A 55756-2025")</f>
        <v/>
      </c>
      <c r="Y228">
        <f>HYPERLINK("https://klasma.github.io/Logging_2303/tillsynsmail/A 55756-2025 tillsynsbegäran mail.docx", "A 55756-2025")</f>
        <v/>
      </c>
    </row>
    <row r="229" ht="15" customHeight="1">
      <c r="A229" t="inlineStr">
        <is>
          <t>A 56599-2025</t>
        </is>
      </c>
      <c r="B229" s="1" t="n">
        <v>45975.5734837963</v>
      </c>
      <c r="C229" s="1" t="n">
        <v>46113</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16724-2025</t>
        </is>
      </c>
      <c r="B230" s="1" t="n">
        <v>45754.51064814815</v>
      </c>
      <c r="C230" s="1" t="n">
        <v>46113</v>
      </c>
      <c r="D230" t="inlineStr">
        <is>
          <t>JÄMTLANDS LÄN</t>
        </is>
      </c>
      <c r="E230" t="inlineStr">
        <is>
          <t>RAGUNDA</t>
        </is>
      </c>
      <c r="G230" t="n">
        <v>3.5</v>
      </c>
      <c r="H230" t="n">
        <v>0</v>
      </c>
      <c r="I230" t="n">
        <v>0</v>
      </c>
      <c r="J230" t="n">
        <v>1</v>
      </c>
      <c r="K230" t="n">
        <v>0</v>
      </c>
      <c r="L230" t="n">
        <v>0</v>
      </c>
      <c r="M230" t="n">
        <v>0</v>
      </c>
      <c r="N230" t="n">
        <v>0</v>
      </c>
      <c r="O230" t="n">
        <v>1</v>
      </c>
      <c r="P230" t="n">
        <v>0</v>
      </c>
      <c r="Q230" t="n">
        <v>1</v>
      </c>
      <c r="R230" s="2" t="inlineStr">
        <is>
          <t>Kolflarnlav</t>
        </is>
      </c>
      <c r="S230">
        <f>HYPERLINK("https://klasma.github.io/Logging_2303/artfynd/A 16724-2025 artfynd.xlsx", "A 16724-2025")</f>
        <v/>
      </c>
      <c r="T230">
        <f>HYPERLINK("https://klasma.github.io/Logging_2303/kartor/A 16724-2025 karta.png", "A 16724-2025")</f>
        <v/>
      </c>
      <c r="V230">
        <f>HYPERLINK("https://klasma.github.io/Logging_2303/klagomål/A 16724-2025 FSC-klagomål.docx", "A 16724-2025")</f>
        <v/>
      </c>
      <c r="W230">
        <f>HYPERLINK("https://klasma.github.io/Logging_2303/klagomålsmail/A 16724-2025 FSC-klagomål mail.docx", "A 16724-2025")</f>
        <v/>
      </c>
      <c r="X230">
        <f>HYPERLINK("https://klasma.github.io/Logging_2303/tillsyn/A 16724-2025 tillsynsbegäran.docx", "A 16724-2025")</f>
        <v/>
      </c>
      <c r="Y230">
        <f>HYPERLINK("https://klasma.github.io/Logging_2303/tillsynsmail/A 16724-2025 tillsynsbegäran mail.docx", "A 16724-2025")</f>
        <v/>
      </c>
    </row>
    <row r="231" ht="15" customHeight="1">
      <c r="A231" t="inlineStr">
        <is>
          <t>A 30390-2025</t>
        </is>
      </c>
      <c r="B231" s="1" t="n">
        <v>45827.57371527778</v>
      </c>
      <c r="C231" s="1" t="n">
        <v>46113</v>
      </c>
      <c r="D231" t="inlineStr">
        <is>
          <t>JÄMTLANDS LÄN</t>
        </is>
      </c>
      <c r="E231" t="inlineStr">
        <is>
          <t>RAGUNDA</t>
        </is>
      </c>
      <c r="F231" t="inlineStr">
        <is>
          <t>SCA</t>
        </is>
      </c>
      <c r="G231" t="n">
        <v>11.2</v>
      </c>
      <c r="H231" t="n">
        <v>0</v>
      </c>
      <c r="I231" t="n">
        <v>0</v>
      </c>
      <c r="J231" t="n">
        <v>1</v>
      </c>
      <c r="K231" t="n">
        <v>0</v>
      </c>
      <c r="L231" t="n">
        <v>0</v>
      </c>
      <c r="M231" t="n">
        <v>0</v>
      </c>
      <c r="N231" t="n">
        <v>0</v>
      </c>
      <c r="O231" t="n">
        <v>1</v>
      </c>
      <c r="P231" t="n">
        <v>0</v>
      </c>
      <c r="Q231" t="n">
        <v>1</v>
      </c>
      <c r="R231" s="2" t="inlineStr">
        <is>
          <t>Lunglav</t>
        </is>
      </c>
      <c r="S231">
        <f>HYPERLINK("https://klasma.github.io/Logging_2303/artfynd/A 30390-2025 artfynd.xlsx", "A 30390-2025")</f>
        <v/>
      </c>
      <c r="T231">
        <f>HYPERLINK("https://klasma.github.io/Logging_2303/kartor/A 30390-2025 karta.png", "A 30390-2025")</f>
        <v/>
      </c>
      <c r="U231">
        <f>HYPERLINK("https://klasma.github.io/Logging_2303/knärot/A 30390-2025 karta knärot.png", "A 30390-2025")</f>
        <v/>
      </c>
      <c r="V231">
        <f>HYPERLINK("https://klasma.github.io/Logging_2303/klagomål/A 30390-2025 FSC-klagomål.docx", "A 30390-2025")</f>
        <v/>
      </c>
      <c r="W231">
        <f>HYPERLINK("https://klasma.github.io/Logging_2303/klagomålsmail/A 30390-2025 FSC-klagomål mail.docx", "A 30390-2025")</f>
        <v/>
      </c>
      <c r="X231">
        <f>HYPERLINK("https://klasma.github.io/Logging_2303/tillsyn/A 30390-2025 tillsynsbegäran.docx", "A 30390-2025")</f>
        <v/>
      </c>
      <c r="Y231">
        <f>HYPERLINK("https://klasma.github.io/Logging_2303/tillsynsmail/A 30390-2025 tillsynsbegäran mail.docx", "A 30390-2025")</f>
        <v/>
      </c>
    </row>
    <row r="232" ht="15" customHeight="1">
      <c r="A232" t="inlineStr">
        <is>
          <t>A 57478-2025</t>
        </is>
      </c>
      <c r="B232" s="1" t="n">
        <v>45980.57349537037</v>
      </c>
      <c r="C232" s="1" t="n">
        <v>46113</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62072-2023</t>
        </is>
      </c>
      <c r="B233" s="1" t="n">
        <v>45266</v>
      </c>
      <c r="C233" s="1" t="n">
        <v>46113</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57253-2025</t>
        </is>
      </c>
      <c r="B234" s="1" t="n">
        <v>45979.64381944444</v>
      </c>
      <c r="C234" s="1" t="n">
        <v>46113</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57479-2025</t>
        </is>
      </c>
      <c r="B235" s="1" t="n">
        <v>45980.5737037037</v>
      </c>
      <c r="C235" s="1" t="n">
        <v>46113</v>
      </c>
      <c r="D235" t="inlineStr">
        <is>
          <t>JÄMTLANDS LÄN</t>
        </is>
      </c>
      <c r="E235" t="inlineStr">
        <is>
          <t>RAGUNDA</t>
        </is>
      </c>
      <c r="F235" t="inlineStr">
        <is>
          <t>SCA</t>
        </is>
      </c>
      <c r="G235" t="n">
        <v>12</v>
      </c>
      <c r="H235" t="n">
        <v>0</v>
      </c>
      <c r="I235" t="n">
        <v>0</v>
      </c>
      <c r="J235" t="n">
        <v>1</v>
      </c>
      <c r="K235" t="n">
        <v>0</v>
      </c>
      <c r="L235" t="n">
        <v>0</v>
      </c>
      <c r="M235" t="n">
        <v>0</v>
      </c>
      <c r="N235" t="n">
        <v>0</v>
      </c>
      <c r="O235" t="n">
        <v>1</v>
      </c>
      <c r="P235" t="n">
        <v>0</v>
      </c>
      <c r="Q235" t="n">
        <v>1</v>
      </c>
      <c r="R235" s="2" t="inlineStr">
        <is>
          <t>Kolflarnlav</t>
        </is>
      </c>
      <c r="S235">
        <f>HYPERLINK("https://klasma.github.io/Logging_2303/artfynd/A 57479-2025 artfynd.xlsx", "A 57479-2025")</f>
        <v/>
      </c>
      <c r="T235">
        <f>HYPERLINK("https://klasma.github.io/Logging_2303/kartor/A 57479-2025 karta.png", "A 57479-2025")</f>
        <v/>
      </c>
      <c r="V235">
        <f>HYPERLINK("https://klasma.github.io/Logging_2303/klagomål/A 57479-2025 FSC-klagomål.docx", "A 57479-2025")</f>
        <v/>
      </c>
      <c r="W235">
        <f>HYPERLINK("https://klasma.github.io/Logging_2303/klagomålsmail/A 57479-2025 FSC-klagomål mail.docx", "A 57479-2025")</f>
        <v/>
      </c>
      <c r="X235">
        <f>HYPERLINK("https://klasma.github.io/Logging_2303/tillsyn/A 57479-2025 tillsynsbegäran.docx", "A 57479-2025")</f>
        <v/>
      </c>
      <c r="Y235">
        <f>HYPERLINK("https://klasma.github.io/Logging_2303/tillsynsmail/A 57479-2025 tillsynsbegäran mail.docx", "A 57479-2025")</f>
        <v/>
      </c>
    </row>
    <row r="236" ht="15" customHeight="1">
      <c r="A236" t="inlineStr">
        <is>
          <t>A 25694-2023</t>
        </is>
      </c>
      <c r="B236" s="1" t="n">
        <v>45089</v>
      </c>
      <c r="C236" s="1" t="n">
        <v>46113</v>
      </c>
      <c r="D236" t="inlineStr">
        <is>
          <t>JÄMTLANDS LÄN</t>
        </is>
      </c>
      <c r="E236" t="inlineStr">
        <is>
          <t>RAGUNDA</t>
        </is>
      </c>
      <c r="F236" t="inlineStr">
        <is>
          <t>SCA</t>
        </is>
      </c>
      <c r="G236" t="n">
        <v>1.5</v>
      </c>
      <c r="H236" t="n">
        <v>0</v>
      </c>
      <c r="I236" t="n">
        <v>0</v>
      </c>
      <c r="J236" t="n">
        <v>1</v>
      </c>
      <c r="K236" t="n">
        <v>0</v>
      </c>
      <c r="L236" t="n">
        <v>0</v>
      </c>
      <c r="M236" t="n">
        <v>0</v>
      </c>
      <c r="N236" t="n">
        <v>0</v>
      </c>
      <c r="O236" t="n">
        <v>1</v>
      </c>
      <c r="P236" t="n">
        <v>0</v>
      </c>
      <c r="Q236" t="n">
        <v>1</v>
      </c>
      <c r="R236" s="2" t="inlineStr">
        <is>
          <t>Ullticka</t>
        </is>
      </c>
      <c r="S236">
        <f>HYPERLINK("https://klasma.github.io/Logging_2303/artfynd/A 25694-2023 artfynd.xlsx", "A 25694-2023")</f>
        <v/>
      </c>
      <c r="T236">
        <f>HYPERLINK("https://klasma.github.io/Logging_2303/kartor/A 25694-2023 karta.png", "A 25694-2023")</f>
        <v/>
      </c>
      <c r="V236">
        <f>HYPERLINK("https://klasma.github.io/Logging_2303/klagomål/A 25694-2023 FSC-klagomål.docx", "A 25694-2023")</f>
        <v/>
      </c>
      <c r="W236">
        <f>HYPERLINK("https://klasma.github.io/Logging_2303/klagomålsmail/A 25694-2023 FSC-klagomål mail.docx", "A 25694-2023")</f>
        <v/>
      </c>
      <c r="X236">
        <f>HYPERLINK("https://klasma.github.io/Logging_2303/tillsyn/A 25694-2023 tillsynsbegäran.docx", "A 25694-2023")</f>
        <v/>
      </c>
      <c r="Y236">
        <f>HYPERLINK("https://klasma.github.io/Logging_2303/tillsynsmail/A 25694-2023 tillsynsbegäran mail.docx", "A 25694-2023")</f>
        <v/>
      </c>
    </row>
    <row r="237" ht="15" customHeight="1">
      <c r="A237" t="inlineStr">
        <is>
          <t>A 58990-2025</t>
        </is>
      </c>
      <c r="B237" s="1" t="n">
        <v>45987</v>
      </c>
      <c r="C237" s="1" t="n">
        <v>46113</v>
      </c>
      <c r="D237" t="inlineStr">
        <is>
          <t>JÄMTLANDS LÄN</t>
        </is>
      </c>
      <c r="E237" t="inlineStr">
        <is>
          <t>RAGUNDA</t>
        </is>
      </c>
      <c r="F237" t="inlineStr">
        <is>
          <t>SCA</t>
        </is>
      </c>
      <c r="G237" t="n">
        <v>4.6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58990-2025 artfynd.xlsx", "A 58990-2025")</f>
        <v/>
      </c>
      <c r="T237">
        <f>HYPERLINK("https://klasma.github.io/Logging_2303/kartor/A 58990-2025 karta.png", "A 58990-2025")</f>
        <v/>
      </c>
      <c r="V237">
        <f>HYPERLINK("https://klasma.github.io/Logging_2303/klagomål/A 58990-2025 FSC-klagomål.docx", "A 58990-2025")</f>
        <v/>
      </c>
      <c r="W237">
        <f>HYPERLINK("https://klasma.github.io/Logging_2303/klagomålsmail/A 58990-2025 FSC-klagomål mail.docx", "A 58990-2025")</f>
        <v/>
      </c>
      <c r="X237">
        <f>HYPERLINK("https://klasma.github.io/Logging_2303/tillsyn/A 58990-2025 tillsynsbegäran.docx", "A 58990-2025")</f>
        <v/>
      </c>
      <c r="Y237">
        <f>HYPERLINK("https://klasma.github.io/Logging_2303/tillsynsmail/A 58990-2025 tillsynsbegäran mail.docx", "A 58990-2025")</f>
        <v/>
      </c>
      <c r="Z237">
        <f>HYPERLINK("https://klasma.github.io/Logging_2303/fåglar/A 58990-2025 prioriterade fågelarter.docx", "A 58990-2025")</f>
        <v/>
      </c>
    </row>
    <row r="238" ht="15" customHeight="1">
      <c r="A238" t="inlineStr">
        <is>
          <t>A 49770-2024</t>
        </is>
      </c>
      <c r="B238" s="1" t="n">
        <v>45597.34461805555</v>
      </c>
      <c r="C238" s="1" t="n">
        <v>46113</v>
      </c>
      <c r="D238" t="inlineStr">
        <is>
          <t>JÄMTLANDS LÄN</t>
        </is>
      </c>
      <c r="E238" t="inlineStr">
        <is>
          <t>RAGUNDA</t>
        </is>
      </c>
      <c r="F238" t="inlineStr">
        <is>
          <t>Naturvårdsverket</t>
        </is>
      </c>
      <c r="G238" t="n">
        <v>8.9</v>
      </c>
      <c r="H238" t="n">
        <v>1</v>
      </c>
      <c r="I238" t="n">
        <v>0</v>
      </c>
      <c r="J238" t="n">
        <v>0</v>
      </c>
      <c r="K238" t="n">
        <v>1</v>
      </c>
      <c r="L238" t="n">
        <v>0</v>
      </c>
      <c r="M238" t="n">
        <v>0</v>
      </c>
      <c r="N238" t="n">
        <v>0</v>
      </c>
      <c r="O238" t="n">
        <v>1</v>
      </c>
      <c r="P238" t="n">
        <v>1</v>
      </c>
      <c r="Q238" t="n">
        <v>1</v>
      </c>
      <c r="R238" s="2" t="inlineStr">
        <is>
          <t>Doftticka</t>
        </is>
      </c>
      <c r="S238">
        <f>HYPERLINK("https://klasma.github.io/Logging_2303/artfynd/A 49770-2024 artfynd.xlsx", "A 49770-2024")</f>
        <v/>
      </c>
      <c r="T238">
        <f>HYPERLINK("https://klasma.github.io/Logging_2303/kartor/A 49770-2024 karta.png", "A 49770-2024")</f>
        <v/>
      </c>
      <c r="V238">
        <f>HYPERLINK("https://klasma.github.io/Logging_2303/klagomål/A 49770-2024 FSC-klagomål.docx", "A 49770-2024")</f>
        <v/>
      </c>
      <c r="W238">
        <f>HYPERLINK("https://klasma.github.io/Logging_2303/klagomålsmail/A 49770-2024 FSC-klagomål mail.docx", "A 49770-2024")</f>
        <v/>
      </c>
      <c r="X238">
        <f>HYPERLINK("https://klasma.github.io/Logging_2303/tillsyn/A 49770-2024 tillsynsbegäran.docx", "A 49770-2024")</f>
        <v/>
      </c>
      <c r="Y238">
        <f>HYPERLINK("https://klasma.github.io/Logging_2303/tillsynsmail/A 49770-2024 tillsynsbegäran mail.docx", "A 49770-2024")</f>
        <v/>
      </c>
    </row>
    <row r="239" ht="15" customHeight="1">
      <c r="A239" t="inlineStr">
        <is>
          <t>A 30485-2024</t>
        </is>
      </c>
      <c r="B239" s="1" t="n">
        <v>45491.95008101852</v>
      </c>
      <c r="C239" s="1" t="n">
        <v>46113</v>
      </c>
      <c r="D239" t="inlineStr">
        <is>
          <t>JÄMTLANDS LÄN</t>
        </is>
      </c>
      <c r="E239" t="inlineStr">
        <is>
          <t>RAGUNDA</t>
        </is>
      </c>
      <c r="F239" t="inlineStr">
        <is>
          <t>SCA</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HYPERLINK("https://klasma.github.io/Logging_2303/artfynd/A 30485-2024 artfynd.xlsx", "A 30485-2024")</f>
        <v/>
      </c>
      <c r="T239">
        <f>HYPERLINK("https://klasma.github.io/Logging_2303/kartor/A 30485-2024 karta.png", "A 30485-2024")</f>
        <v/>
      </c>
      <c r="V239">
        <f>HYPERLINK("https://klasma.github.io/Logging_2303/klagomål/A 30485-2024 FSC-klagomål.docx", "A 30485-2024")</f>
        <v/>
      </c>
      <c r="W239">
        <f>HYPERLINK("https://klasma.github.io/Logging_2303/klagomålsmail/A 30485-2024 FSC-klagomål mail.docx", "A 30485-2024")</f>
        <v/>
      </c>
      <c r="X239">
        <f>HYPERLINK("https://klasma.github.io/Logging_2303/tillsyn/A 30485-2024 tillsynsbegäran.docx", "A 30485-2024")</f>
        <v/>
      </c>
      <c r="Y239">
        <f>HYPERLINK("https://klasma.github.io/Logging_2303/tillsynsmail/A 30485-2024 tillsynsbegäran mail.docx", "A 30485-2024")</f>
        <v/>
      </c>
    </row>
    <row r="240" ht="15" customHeight="1">
      <c r="A240" t="inlineStr">
        <is>
          <t>A 29921-2024</t>
        </is>
      </c>
      <c r="B240" s="1" t="n">
        <v>45487.92863425926</v>
      </c>
      <c r="C240" s="1" t="n">
        <v>46113</v>
      </c>
      <c r="D240" t="inlineStr">
        <is>
          <t>JÄMTLANDS LÄN</t>
        </is>
      </c>
      <c r="E240" t="inlineStr">
        <is>
          <t>RAGUNDA</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HYPERLINK("https://klasma.github.io/Logging_2303/artfynd/A 29921-2024 artfynd.xlsx", "A 29921-2024")</f>
        <v/>
      </c>
      <c r="T240">
        <f>HYPERLINK("https://klasma.github.io/Logging_2303/kartor/A 29921-2024 karta.png", "A 29921-2024")</f>
        <v/>
      </c>
      <c r="U240">
        <f>HYPERLINK("https://klasma.github.io/Logging_2303/knärot/A 29921-2024 karta knärot.png", "A 29921-2024")</f>
        <v/>
      </c>
      <c r="V240">
        <f>HYPERLINK("https://klasma.github.io/Logging_2303/klagomål/A 29921-2024 FSC-klagomål.docx", "A 29921-2024")</f>
        <v/>
      </c>
      <c r="W240">
        <f>HYPERLINK("https://klasma.github.io/Logging_2303/klagomålsmail/A 29921-2024 FSC-klagomål mail.docx", "A 29921-2024")</f>
        <v/>
      </c>
      <c r="X240">
        <f>HYPERLINK("https://klasma.github.io/Logging_2303/tillsyn/A 29921-2024 tillsynsbegäran.docx", "A 29921-2024")</f>
        <v/>
      </c>
      <c r="Y240">
        <f>HYPERLINK("https://klasma.github.io/Logging_2303/tillsynsmail/A 29921-2024 tillsynsbegäran mail.docx", "A 29921-2024")</f>
        <v/>
      </c>
    </row>
    <row r="241" ht="15" customHeight="1">
      <c r="A241" t="inlineStr">
        <is>
          <t>A 36757-2023</t>
        </is>
      </c>
      <c r="B241" s="1" t="n">
        <v>45153</v>
      </c>
      <c r="C241" s="1" t="n">
        <v>46113</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32445-2025</t>
        </is>
      </c>
      <c r="B242" s="1" t="n">
        <v>45838.38627314815</v>
      </c>
      <c r="C242" s="1" t="n">
        <v>46113</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32445-2025 artfynd.xlsx", "A 32445-2025")</f>
        <v/>
      </c>
      <c r="T242">
        <f>HYPERLINK("https://klasma.github.io/Logging_2303/kartor/A 32445-2025 karta.png", "A 32445-2025")</f>
        <v/>
      </c>
      <c r="V242">
        <f>HYPERLINK("https://klasma.github.io/Logging_2303/klagomål/A 32445-2025 FSC-klagomål.docx", "A 32445-2025")</f>
        <v/>
      </c>
      <c r="W242">
        <f>HYPERLINK("https://klasma.github.io/Logging_2303/klagomålsmail/A 32445-2025 FSC-klagomål mail.docx", "A 32445-2025")</f>
        <v/>
      </c>
      <c r="X242">
        <f>HYPERLINK("https://klasma.github.io/Logging_2303/tillsyn/A 32445-2025 tillsynsbegäran.docx", "A 32445-2025")</f>
        <v/>
      </c>
      <c r="Y242">
        <f>HYPERLINK("https://klasma.github.io/Logging_2303/tillsynsmail/A 32445-2025 tillsynsbegäran mail.docx", "A 32445-2025")</f>
        <v/>
      </c>
      <c r="Z242">
        <f>HYPERLINK("https://klasma.github.io/Logging_2303/fåglar/A 32445-2025 prioriterade fågelarter.docx", "A 32445-2025")</f>
        <v/>
      </c>
    </row>
    <row r="243" ht="15" customHeight="1">
      <c r="A243" t="inlineStr">
        <is>
          <t>A 43404-2023</t>
        </is>
      </c>
      <c r="B243" s="1" t="n">
        <v>45183</v>
      </c>
      <c r="C243" s="1" t="n">
        <v>46113</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61324-2024</t>
        </is>
      </c>
      <c r="B244" s="1" t="n">
        <v>45646.34438657408</v>
      </c>
      <c r="C244" s="1" t="n">
        <v>46113</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46113</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34474-2025</t>
        </is>
      </c>
      <c r="B246" s="1" t="n">
        <v>45847.36528935185</v>
      </c>
      <c r="C246" s="1" t="n">
        <v>46113</v>
      </c>
      <c r="D246" t="inlineStr">
        <is>
          <t>JÄMTLANDS LÄN</t>
        </is>
      </c>
      <c r="E246" t="inlineStr">
        <is>
          <t>RAGUNDA</t>
        </is>
      </c>
      <c r="F246" t="inlineStr">
        <is>
          <t>SCA</t>
        </is>
      </c>
      <c r="G246" t="n">
        <v>9.699999999999999</v>
      </c>
      <c r="H246" t="n">
        <v>1</v>
      </c>
      <c r="I246" t="n">
        <v>0</v>
      </c>
      <c r="J246" t="n">
        <v>1</v>
      </c>
      <c r="K246" t="n">
        <v>0</v>
      </c>
      <c r="L246" t="n">
        <v>0</v>
      </c>
      <c r="M246" t="n">
        <v>0</v>
      </c>
      <c r="N246" t="n">
        <v>0</v>
      </c>
      <c r="O246" t="n">
        <v>1</v>
      </c>
      <c r="P246" t="n">
        <v>0</v>
      </c>
      <c r="Q246" t="n">
        <v>1</v>
      </c>
      <c r="R246" s="2" t="inlineStr">
        <is>
          <t>Fjällvråk</t>
        </is>
      </c>
      <c r="S246">
        <f>HYPERLINK("https://klasma.github.io/Logging_2303/artfynd/A 34474-2025 artfynd.xlsx", "A 34474-2025")</f>
        <v/>
      </c>
      <c r="T246">
        <f>HYPERLINK("https://klasma.github.io/Logging_2303/kartor/A 34474-2025 karta.png", "A 34474-2025")</f>
        <v/>
      </c>
      <c r="V246">
        <f>HYPERLINK("https://klasma.github.io/Logging_2303/klagomål/A 34474-2025 FSC-klagomål.docx", "A 34474-2025")</f>
        <v/>
      </c>
      <c r="W246">
        <f>HYPERLINK("https://klasma.github.io/Logging_2303/klagomålsmail/A 34474-2025 FSC-klagomål mail.docx", "A 34474-2025")</f>
        <v/>
      </c>
      <c r="X246">
        <f>HYPERLINK("https://klasma.github.io/Logging_2303/tillsyn/A 34474-2025 tillsynsbegäran.docx", "A 34474-2025")</f>
        <v/>
      </c>
      <c r="Y246">
        <f>HYPERLINK("https://klasma.github.io/Logging_2303/tillsynsmail/A 34474-2025 tillsynsbegäran mail.docx", "A 34474-2025")</f>
        <v/>
      </c>
      <c r="Z246">
        <f>HYPERLINK("https://klasma.github.io/Logging_2303/fåglar/A 34474-2025 prioriterade fågelarter.docx", "A 34474-2025")</f>
        <v/>
      </c>
    </row>
    <row r="247" ht="15" customHeight="1">
      <c r="A247" t="inlineStr">
        <is>
          <t>A 20575-2025</t>
        </is>
      </c>
      <c r="B247" s="1" t="n">
        <v>45775.67769675926</v>
      </c>
      <c r="C247" s="1" t="n">
        <v>46113</v>
      </c>
      <c r="D247" t="inlineStr">
        <is>
          <t>JÄMTLANDS LÄN</t>
        </is>
      </c>
      <c r="E247" t="inlineStr">
        <is>
          <t>RAGUNDA</t>
        </is>
      </c>
      <c r="F247" t="inlineStr">
        <is>
          <t>SCA</t>
        </is>
      </c>
      <c r="G247" t="n">
        <v>8.1</v>
      </c>
      <c r="H247" t="n">
        <v>1</v>
      </c>
      <c r="I247" t="n">
        <v>0</v>
      </c>
      <c r="J247" t="n">
        <v>1</v>
      </c>
      <c r="K247" t="n">
        <v>0</v>
      </c>
      <c r="L247" t="n">
        <v>0</v>
      </c>
      <c r="M247" t="n">
        <v>0</v>
      </c>
      <c r="N247" t="n">
        <v>0</v>
      </c>
      <c r="O247" t="n">
        <v>1</v>
      </c>
      <c r="P247" t="n">
        <v>0</v>
      </c>
      <c r="Q247" t="n">
        <v>1</v>
      </c>
      <c r="R247" s="2" t="inlineStr">
        <is>
          <t>Skogsfru</t>
        </is>
      </c>
      <c r="S247">
        <f>HYPERLINK("https://klasma.github.io/Logging_2303/artfynd/A 20575-2025 artfynd.xlsx", "A 20575-2025")</f>
        <v/>
      </c>
      <c r="T247">
        <f>HYPERLINK("https://klasma.github.io/Logging_2303/kartor/A 20575-2025 karta.png", "A 20575-2025")</f>
        <v/>
      </c>
      <c r="V247">
        <f>HYPERLINK("https://klasma.github.io/Logging_2303/klagomål/A 20575-2025 FSC-klagomål.docx", "A 20575-2025")</f>
        <v/>
      </c>
      <c r="W247">
        <f>HYPERLINK("https://klasma.github.io/Logging_2303/klagomålsmail/A 20575-2025 FSC-klagomål mail.docx", "A 20575-2025")</f>
        <v/>
      </c>
      <c r="X247">
        <f>HYPERLINK("https://klasma.github.io/Logging_2303/tillsyn/A 20575-2025 tillsynsbegäran.docx", "A 20575-2025")</f>
        <v/>
      </c>
      <c r="Y247">
        <f>HYPERLINK("https://klasma.github.io/Logging_2303/tillsynsmail/A 20575-2025 tillsynsbegäran mail.docx", "A 20575-2025")</f>
        <v/>
      </c>
    </row>
    <row r="248" ht="15" customHeight="1">
      <c r="A248" t="inlineStr">
        <is>
          <t>A 10358-2026</t>
        </is>
      </c>
      <c r="B248" s="1" t="n">
        <v>46076</v>
      </c>
      <c r="C248" s="1" t="n">
        <v>46113</v>
      </c>
      <c r="D248" t="inlineStr">
        <is>
          <t>JÄMTLANDS LÄN</t>
        </is>
      </c>
      <c r="E248" t="inlineStr">
        <is>
          <t>RAGUNDA</t>
        </is>
      </c>
      <c r="G248" t="n">
        <v>5.4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10358-2026 artfynd.xlsx", "A 10358-2026")</f>
        <v/>
      </c>
      <c r="T248">
        <f>HYPERLINK("https://klasma.github.io/Logging_2303/kartor/A 10358-2026 karta.png", "A 10358-2026")</f>
        <v/>
      </c>
      <c r="V248">
        <f>HYPERLINK("https://klasma.github.io/Logging_2303/klagomål/A 10358-2026 FSC-klagomål.docx", "A 10358-2026")</f>
        <v/>
      </c>
      <c r="W248">
        <f>HYPERLINK("https://klasma.github.io/Logging_2303/klagomålsmail/A 10358-2026 FSC-klagomål mail.docx", "A 10358-2026")</f>
        <v/>
      </c>
      <c r="X248">
        <f>HYPERLINK("https://klasma.github.io/Logging_2303/tillsyn/A 10358-2026 tillsynsbegäran.docx", "A 10358-2026")</f>
        <v/>
      </c>
      <c r="Y248">
        <f>HYPERLINK("https://klasma.github.io/Logging_2303/tillsynsmail/A 10358-2026 tillsynsbegäran mail.docx", "A 10358-2026")</f>
        <v/>
      </c>
      <c r="Z248">
        <f>HYPERLINK("https://klasma.github.io/Logging_2303/fåglar/A 10358-2026 prioriterade fågelarter.docx", "A 10358-2026")</f>
        <v/>
      </c>
    </row>
    <row r="249" ht="15" customHeight="1">
      <c r="A249" t="inlineStr">
        <is>
          <t>A 2097-2026</t>
        </is>
      </c>
      <c r="B249" s="1" t="n">
        <v>46036.36556712963</v>
      </c>
      <c r="C249" s="1" t="n">
        <v>46113</v>
      </c>
      <c r="D249" t="inlineStr">
        <is>
          <t>JÄMTLANDS LÄN</t>
        </is>
      </c>
      <c r="E249" t="inlineStr">
        <is>
          <t>RAGUNDA</t>
        </is>
      </c>
      <c r="F249" t="inlineStr">
        <is>
          <t>SCA</t>
        </is>
      </c>
      <c r="G249" t="n">
        <v>0.9</v>
      </c>
      <c r="H249" t="n">
        <v>0</v>
      </c>
      <c r="I249" t="n">
        <v>0</v>
      </c>
      <c r="J249" t="n">
        <v>0</v>
      </c>
      <c r="K249" t="n">
        <v>0</v>
      </c>
      <c r="L249" t="n">
        <v>1</v>
      </c>
      <c r="M249" t="n">
        <v>0</v>
      </c>
      <c r="N249" t="n">
        <v>0</v>
      </c>
      <c r="O249" t="n">
        <v>1</v>
      </c>
      <c r="P249" t="n">
        <v>1</v>
      </c>
      <c r="Q249" t="n">
        <v>1</v>
      </c>
      <c r="R249" s="2" t="inlineStr">
        <is>
          <t>Trolldruvemätare</t>
        </is>
      </c>
      <c r="S249">
        <f>HYPERLINK("https://klasma.github.io/Logging_2303/artfynd/A 2097-2026 artfynd.xlsx", "A 2097-2026")</f>
        <v/>
      </c>
      <c r="T249">
        <f>HYPERLINK("https://klasma.github.io/Logging_2303/kartor/A 2097-2026 karta.png", "A 2097-2026")</f>
        <v/>
      </c>
      <c r="V249">
        <f>HYPERLINK("https://klasma.github.io/Logging_2303/klagomål/A 2097-2026 FSC-klagomål.docx", "A 2097-2026")</f>
        <v/>
      </c>
      <c r="W249">
        <f>HYPERLINK("https://klasma.github.io/Logging_2303/klagomålsmail/A 2097-2026 FSC-klagomål mail.docx", "A 2097-2026")</f>
        <v/>
      </c>
      <c r="X249">
        <f>HYPERLINK("https://klasma.github.io/Logging_2303/tillsyn/A 2097-2026 tillsynsbegäran.docx", "A 2097-2026")</f>
        <v/>
      </c>
      <c r="Y249">
        <f>HYPERLINK("https://klasma.github.io/Logging_2303/tillsynsmail/A 2097-2026 tillsynsbegäran mail.docx", "A 2097-2026")</f>
        <v/>
      </c>
    </row>
    <row r="250" ht="15" customHeight="1">
      <c r="A250" t="inlineStr">
        <is>
          <t>A 20774-2024</t>
        </is>
      </c>
      <c r="B250" s="1" t="n">
        <v>45436.94644675926</v>
      </c>
      <c r="C250" s="1" t="n">
        <v>46113</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26317-2024</t>
        </is>
      </c>
      <c r="B251" s="1" t="n">
        <v>45468</v>
      </c>
      <c r="C251" s="1" t="n">
        <v>46113</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22054-2025</t>
        </is>
      </c>
      <c r="B252" s="1" t="n">
        <v>45785.36525462963</v>
      </c>
      <c r="C252" s="1" t="n">
        <v>46113</v>
      </c>
      <c r="D252" t="inlineStr">
        <is>
          <t>JÄMTLANDS LÄN</t>
        </is>
      </c>
      <c r="E252" t="inlineStr">
        <is>
          <t>RAGUNDA</t>
        </is>
      </c>
      <c r="F252" t="inlineStr">
        <is>
          <t>SCA</t>
        </is>
      </c>
      <c r="G252" t="n">
        <v>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22054-2025 artfynd.xlsx", "A 22054-2025")</f>
        <v/>
      </c>
      <c r="T252">
        <f>HYPERLINK("https://klasma.github.io/Logging_2303/kartor/A 22054-2025 karta.png", "A 22054-2025")</f>
        <v/>
      </c>
      <c r="V252">
        <f>HYPERLINK("https://klasma.github.io/Logging_2303/klagomål/A 22054-2025 FSC-klagomål.docx", "A 22054-2025")</f>
        <v/>
      </c>
      <c r="W252">
        <f>HYPERLINK("https://klasma.github.io/Logging_2303/klagomålsmail/A 22054-2025 FSC-klagomål mail.docx", "A 22054-2025")</f>
        <v/>
      </c>
      <c r="X252">
        <f>HYPERLINK("https://klasma.github.io/Logging_2303/tillsyn/A 22054-2025 tillsynsbegäran.docx", "A 22054-2025")</f>
        <v/>
      </c>
      <c r="Y252">
        <f>HYPERLINK("https://klasma.github.io/Logging_2303/tillsynsmail/A 22054-2025 tillsynsbegäran mail.docx", "A 22054-2025")</f>
        <v/>
      </c>
      <c r="Z252">
        <f>HYPERLINK("https://klasma.github.io/Logging_2303/fåglar/A 22054-2025 prioriterade fågelarter.docx", "A 22054-2025")</f>
        <v/>
      </c>
    </row>
    <row r="253" ht="15" customHeight="1">
      <c r="A253" t="inlineStr">
        <is>
          <t>A 4157-2026</t>
        </is>
      </c>
      <c r="B253" s="1" t="n">
        <v>46044.65694444445</v>
      </c>
      <c r="C253" s="1" t="n">
        <v>46113</v>
      </c>
      <c r="D253" t="inlineStr">
        <is>
          <t>JÄMTLANDS LÄN</t>
        </is>
      </c>
      <c r="E253" t="inlineStr">
        <is>
          <t>RAGUNDA</t>
        </is>
      </c>
      <c r="F253" t="inlineStr">
        <is>
          <t>SCA</t>
        </is>
      </c>
      <c r="G253" t="n">
        <v>2.6</v>
      </c>
      <c r="H253" t="n">
        <v>1</v>
      </c>
      <c r="I253" t="n">
        <v>1</v>
      </c>
      <c r="J253" t="n">
        <v>0</v>
      </c>
      <c r="K253" t="n">
        <v>0</v>
      </c>
      <c r="L253" t="n">
        <v>0</v>
      </c>
      <c r="M253" t="n">
        <v>0</v>
      </c>
      <c r="N253" t="n">
        <v>0</v>
      </c>
      <c r="O253" t="n">
        <v>0</v>
      </c>
      <c r="P253" t="n">
        <v>0</v>
      </c>
      <c r="Q253" t="n">
        <v>1</v>
      </c>
      <c r="R253" s="2" t="inlineStr">
        <is>
          <t>Tvåblad</t>
        </is>
      </c>
      <c r="S253">
        <f>HYPERLINK("https://klasma.github.io/Logging_2303/artfynd/A 4157-2026 artfynd.xlsx", "A 4157-2026")</f>
        <v/>
      </c>
      <c r="T253">
        <f>HYPERLINK("https://klasma.github.io/Logging_2303/kartor/A 4157-2026 karta.png", "A 4157-2026")</f>
        <v/>
      </c>
      <c r="V253">
        <f>HYPERLINK("https://klasma.github.io/Logging_2303/klagomål/A 4157-2026 FSC-klagomål.docx", "A 4157-2026")</f>
        <v/>
      </c>
      <c r="W253">
        <f>HYPERLINK("https://klasma.github.io/Logging_2303/klagomålsmail/A 4157-2026 FSC-klagomål mail.docx", "A 4157-2026")</f>
        <v/>
      </c>
      <c r="X253">
        <f>HYPERLINK("https://klasma.github.io/Logging_2303/tillsyn/A 4157-2026 tillsynsbegäran.docx", "A 4157-2026")</f>
        <v/>
      </c>
      <c r="Y253">
        <f>HYPERLINK("https://klasma.github.io/Logging_2303/tillsynsmail/A 4157-2026 tillsynsbegäran mail.docx", "A 4157-2026")</f>
        <v/>
      </c>
    </row>
    <row r="254" ht="15" customHeight="1">
      <c r="A254" t="inlineStr">
        <is>
          <t>A 31773-2021</t>
        </is>
      </c>
      <c r="B254" s="1" t="n">
        <v>44369</v>
      </c>
      <c r="C254" s="1" t="n">
        <v>46113</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46113</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46113</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46113</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46113</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46113</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46113</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46113</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46113</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46113</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46113</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46113</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46113</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46113</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46113</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46113</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46113</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46113</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46113</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46113</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46113</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46113</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46113</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46113</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46113</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46113</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46113</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46113</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46113</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46113</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46113</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46113</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46113</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46113</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46113</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46113</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46113</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46113</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46113</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46113</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46113</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46113</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46113</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46113</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46113</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46113</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46113</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46113</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43163-2022</t>
        </is>
      </c>
      <c r="B302" s="1" t="n">
        <v>44833.95405092592</v>
      </c>
      <c r="C302" s="1" t="n">
        <v>46113</v>
      </c>
      <c r="D302" t="inlineStr">
        <is>
          <t>JÄMTLANDS LÄN</t>
        </is>
      </c>
      <c r="E302" t="inlineStr">
        <is>
          <t>RAGUNDA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46113</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46113</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46113</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46113</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19612-2021</t>
        </is>
      </c>
      <c r="B307" s="1" t="n">
        <v>44308</v>
      </c>
      <c r="C307" s="1" t="n">
        <v>46113</v>
      </c>
      <c r="D307" t="inlineStr">
        <is>
          <t>JÄMTLANDS LÄN</t>
        </is>
      </c>
      <c r="E307" t="inlineStr">
        <is>
          <t>RAGUNDA</t>
        </is>
      </c>
      <c r="G307" t="n">
        <v>1</v>
      </c>
      <c r="H307" t="n">
        <v>0</v>
      </c>
      <c r="I307" t="n">
        <v>0</v>
      </c>
      <c r="J307" t="n">
        <v>0</v>
      </c>
      <c r="K307" t="n">
        <v>0</v>
      </c>
      <c r="L307" t="n">
        <v>0</v>
      </c>
      <c r="M307" t="n">
        <v>0</v>
      </c>
      <c r="N307" t="n">
        <v>0</v>
      </c>
      <c r="O307" t="n">
        <v>0</v>
      </c>
      <c r="P307" t="n">
        <v>0</v>
      </c>
      <c r="Q307" t="n">
        <v>0</v>
      </c>
      <c r="R307" s="2" t="inlineStr"/>
    </row>
    <row r="308" ht="15" customHeight="1">
      <c r="A308" t="inlineStr">
        <is>
          <t>A 19615-2021</t>
        </is>
      </c>
      <c r="B308" s="1" t="n">
        <v>44308</v>
      </c>
      <c r="C308" s="1" t="n">
        <v>46113</v>
      </c>
      <c r="D308" t="inlineStr">
        <is>
          <t>JÄMTLANDS LÄN</t>
        </is>
      </c>
      <c r="E308" t="inlineStr">
        <is>
          <t>RAGUNDA</t>
        </is>
      </c>
      <c r="G308" t="n">
        <v>1.4</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46113</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46113</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46113</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46113</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46113</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46113</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46113</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51012-2022</t>
        </is>
      </c>
      <c r="B316" s="1" t="n">
        <v>44867</v>
      </c>
      <c r="C316" s="1" t="n">
        <v>46113</v>
      </c>
      <c r="D316" t="inlineStr">
        <is>
          <t>JÄMTLANDS LÄN</t>
        </is>
      </c>
      <c r="E316" t="inlineStr">
        <is>
          <t>RAGUNDA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19010-2022</t>
        </is>
      </c>
      <c r="B317" s="1" t="n">
        <v>44690</v>
      </c>
      <c r="C317" s="1" t="n">
        <v>46113</v>
      </c>
      <c r="D317" t="inlineStr">
        <is>
          <t>JÄMTLANDS LÄN</t>
        </is>
      </c>
      <c r="E317" t="inlineStr">
        <is>
          <t>RAGUNDA</t>
        </is>
      </c>
      <c r="F317" t="inlineStr">
        <is>
          <t>SCA</t>
        </is>
      </c>
      <c r="G317" t="n">
        <v>19.6</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46113</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61442-2021</t>
        </is>
      </c>
      <c r="B319" s="1" t="n">
        <v>44500.93887731482</v>
      </c>
      <c r="C319" s="1" t="n">
        <v>46113</v>
      </c>
      <c r="D319" t="inlineStr">
        <is>
          <t>JÄMTLANDS LÄN</t>
        </is>
      </c>
      <c r="E319" t="inlineStr">
        <is>
          <t>RAGUNDA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46113</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22772-2022</t>
        </is>
      </c>
      <c r="B321" s="1" t="n">
        <v>44714.94162037037</v>
      </c>
      <c r="C321" s="1" t="n">
        <v>46113</v>
      </c>
      <c r="D321" t="inlineStr">
        <is>
          <t>JÄMTLANDS LÄN</t>
        </is>
      </c>
      <c r="E321" t="inlineStr">
        <is>
          <t>RAGUNDA</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55932-2021</t>
        </is>
      </c>
      <c r="B322" s="1" t="n">
        <v>44476</v>
      </c>
      <c r="C322" s="1" t="n">
        <v>46113</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46113</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46113</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65424-2021</t>
        </is>
      </c>
      <c r="B325" s="1" t="n">
        <v>44515.93767361111</v>
      </c>
      <c r="C325" s="1" t="n">
        <v>46113</v>
      </c>
      <c r="D325" t="inlineStr">
        <is>
          <t>JÄMTLANDS LÄN</t>
        </is>
      </c>
      <c r="E325" t="inlineStr">
        <is>
          <t>RAGUNDA</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19850-2022</t>
        </is>
      </c>
      <c r="B326" s="1" t="n">
        <v>44696.93986111111</v>
      </c>
      <c r="C326" s="1" t="n">
        <v>46113</v>
      </c>
      <c r="D326" t="inlineStr">
        <is>
          <t>JÄMTLANDS LÄN</t>
        </is>
      </c>
      <c r="E326" t="inlineStr">
        <is>
          <t>RAGUNDA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46113</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46113</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19595-2021</t>
        </is>
      </c>
      <c r="B329" s="1" t="n">
        <v>44308</v>
      </c>
      <c r="C329" s="1" t="n">
        <v>46113</v>
      </c>
      <c r="D329" t="inlineStr">
        <is>
          <t>JÄMTLANDS LÄN</t>
        </is>
      </c>
      <c r="E329" t="inlineStr">
        <is>
          <t>RAGUNDA</t>
        </is>
      </c>
      <c r="G329" t="n">
        <v>5.4</v>
      </c>
      <c r="H329" t="n">
        <v>0</v>
      </c>
      <c r="I329" t="n">
        <v>0</v>
      </c>
      <c r="J329" t="n">
        <v>0</v>
      </c>
      <c r="K329" t="n">
        <v>0</v>
      </c>
      <c r="L329" t="n">
        <v>0</v>
      </c>
      <c r="M329" t="n">
        <v>0</v>
      </c>
      <c r="N329" t="n">
        <v>0</v>
      </c>
      <c r="O329" t="n">
        <v>0</v>
      </c>
      <c r="P329" t="n">
        <v>0</v>
      </c>
      <c r="Q329" t="n">
        <v>0</v>
      </c>
      <c r="R329" s="2" t="inlineStr"/>
    </row>
    <row r="330" ht="15" customHeight="1">
      <c r="A330" t="inlineStr">
        <is>
          <t>A 49904-2022</t>
        </is>
      </c>
      <c r="B330" s="1" t="n">
        <v>44864.94835648148</v>
      </c>
      <c r="C330" s="1" t="n">
        <v>46113</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46113</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46113</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46113</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46113</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46113</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46113</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46113</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35749-2022</t>
        </is>
      </c>
      <c r="B338" s="1" t="n">
        <v>44799.94394675926</v>
      </c>
      <c r="C338" s="1" t="n">
        <v>46113</v>
      </c>
      <c r="D338" t="inlineStr">
        <is>
          <t>JÄMTLANDS LÄN</t>
        </is>
      </c>
      <c r="E338" t="inlineStr">
        <is>
          <t>RAGUNDA</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46113</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46113</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46113</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46113</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46113</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29409-2021</t>
        </is>
      </c>
      <c r="B344" s="1" t="n">
        <v>44361.55445601852</v>
      </c>
      <c r="C344" s="1" t="n">
        <v>46113</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25027-2022</t>
        </is>
      </c>
      <c r="B345" s="1" t="n">
        <v>44728.94392361111</v>
      </c>
      <c r="C345" s="1" t="n">
        <v>46113</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46113</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46113</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46113</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46113</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46113</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46113</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46113</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9185-2022</t>
        </is>
      </c>
      <c r="B353" s="1" t="n">
        <v>44615</v>
      </c>
      <c r="C353" s="1" t="n">
        <v>46113</v>
      </c>
      <c r="D353" t="inlineStr">
        <is>
          <t>JÄMTLANDS LÄN</t>
        </is>
      </c>
      <c r="E353" t="inlineStr">
        <is>
          <t>RAGUNDA</t>
        </is>
      </c>
      <c r="G353" t="n">
        <v>1.1</v>
      </c>
      <c r="H353" t="n">
        <v>0</v>
      </c>
      <c r="I353" t="n">
        <v>0</v>
      </c>
      <c r="J353" t="n">
        <v>0</v>
      </c>
      <c r="K353" t="n">
        <v>0</v>
      </c>
      <c r="L353" t="n">
        <v>0</v>
      </c>
      <c r="M353" t="n">
        <v>0</v>
      </c>
      <c r="N353" t="n">
        <v>0</v>
      </c>
      <c r="O353" t="n">
        <v>0</v>
      </c>
      <c r="P353" t="n">
        <v>0</v>
      </c>
      <c r="Q353" t="n">
        <v>0</v>
      </c>
      <c r="R353" s="2" t="inlineStr"/>
    </row>
    <row r="354" ht="15" customHeight="1">
      <c r="A354" t="inlineStr">
        <is>
          <t>A 18341-2022</t>
        </is>
      </c>
      <c r="B354" s="1" t="n">
        <v>44685</v>
      </c>
      <c r="C354" s="1" t="n">
        <v>46113</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46113</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46113</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46113</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46113</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46113</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47567-2022</t>
        </is>
      </c>
      <c r="B360" s="1" t="n">
        <v>44853</v>
      </c>
      <c r="C360" s="1" t="n">
        <v>46113</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46113</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46113</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46113</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46113</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47803-2022</t>
        </is>
      </c>
      <c r="B365" s="1" t="n">
        <v>44854.95390046296</v>
      </c>
      <c r="C365" s="1" t="n">
        <v>46113</v>
      </c>
      <c r="D365" t="inlineStr">
        <is>
          <t>JÄMTLANDS LÄN</t>
        </is>
      </c>
      <c r="E365" t="inlineStr">
        <is>
          <t>RAGUNDA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42652-2022</t>
        </is>
      </c>
      <c r="B366" s="1" t="n">
        <v>44831.94846064815</v>
      </c>
      <c r="C366" s="1" t="n">
        <v>46113</v>
      </c>
      <c r="D366" t="inlineStr">
        <is>
          <t>JÄMTLANDS LÄN</t>
        </is>
      </c>
      <c r="E366" t="inlineStr">
        <is>
          <t>RAGUNDA</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42653-2022</t>
        </is>
      </c>
      <c r="B367" s="1" t="n">
        <v>44831.9485300926</v>
      </c>
      <c r="C367" s="1" t="n">
        <v>46113</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32986-2022</t>
        </is>
      </c>
      <c r="B368" s="1" t="n">
        <v>44784.94157407407</v>
      </c>
      <c r="C368" s="1" t="n">
        <v>46113</v>
      </c>
      <c r="D368" t="inlineStr">
        <is>
          <t>JÄMTLANDS LÄN</t>
        </is>
      </c>
      <c r="E368" t="inlineStr">
        <is>
          <t>RAGUNDA</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46113</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46113</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46113</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46113</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46113</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46113</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46113</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46113</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46113</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22898-2025</t>
        </is>
      </c>
      <c r="B378" s="1" t="n">
        <v>45790.40670138889</v>
      </c>
      <c r="C378" s="1" t="n">
        <v>46113</v>
      </c>
      <c r="D378" t="inlineStr">
        <is>
          <t>JÄMTLANDS LÄN</t>
        </is>
      </c>
      <c r="E378" t="inlineStr">
        <is>
          <t>RAGUNDA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60456-2023</t>
        </is>
      </c>
      <c r="B379" s="1" t="n">
        <v>45258</v>
      </c>
      <c r="C379" s="1" t="n">
        <v>46113</v>
      </c>
      <c r="D379" t="inlineStr">
        <is>
          <t>JÄMTLANDS LÄN</t>
        </is>
      </c>
      <c r="E379" t="inlineStr">
        <is>
          <t>RAGUNDA</t>
        </is>
      </c>
      <c r="G379" t="n">
        <v>1.8</v>
      </c>
      <c r="H379" t="n">
        <v>0</v>
      </c>
      <c r="I379" t="n">
        <v>0</v>
      </c>
      <c r="J379" t="n">
        <v>0</v>
      </c>
      <c r="K379" t="n">
        <v>0</v>
      </c>
      <c r="L379" t="n">
        <v>0</v>
      </c>
      <c r="M379" t="n">
        <v>0</v>
      </c>
      <c r="N379" t="n">
        <v>0</v>
      </c>
      <c r="O379" t="n">
        <v>0</v>
      </c>
      <c r="P379" t="n">
        <v>0</v>
      </c>
      <c r="Q379" t="n">
        <v>0</v>
      </c>
      <c r="R379" s="2" t="inlineStr"/>
    </row>
    <row r="380" ht="15" customHeight="1">
      <c r="A380" t="inlineStr">
        <is>
          <t>A 58438-2022</t>
        </is>
      </c>
      <c r="B380" s="1" t="n">
        <v>44901</v>
      </c>
      <c r="C380" s="1" t="n">
        <v>46113</v>
      </c>
      <c r="D380" t="inlineStr">
        <is>
          <t>JÄMTLANDS LÄN</t>
        </is>
      </c>
      <c r="E380" t="inlineStr">
        <is>
          <t>RAGUNDA</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58442-2022</t>
        </is>
      </c>
      <c r="B381" s="1" t="n">
        <v>44901</v>
      </c>
      <c r="C381" s="1" t="n">
        <v>46113</v>
      </c>
      <c r="D381" t="inlineStr">
        <is>
          <t>JÄMTLANDS LÄN</t>
        </is>
      </c>
      <c r="E381" t="inlineStr">
        <is>
          <t>RAGUNDA</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31854-2022</t>
        </is>
      </c>
      <c r="B382" s="1" t="n">
        <v>44776</v>
      </c>
      <c r="C382" s="1" t="n">
        <v>46113</v>
      </c>
      <c r="D382" t="inlineStr">
        <is>
          <t>JÄMTLANDS LÄN</t>
        </is>
      </c>
      <c r="E382" t="inlineStr">
        <is>
          <t>RAGUNDA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46113</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49229-2024</t>
        </is>
      </c>
      <c r="B384" s="1" t="n">
        <v>45595.42738425926</v>
      </c>
      <c r="C384" s="1" t="n">
        <v>46113</v>
      </c>
      <c r="D384" t="inlineStr">
        <is>
          <t>JÄMTLANDS LÄN</t>
        </is>
      </c>
      <c r="E384" t="inlineStr">
        <is>
          <t>RAGUNDA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26948-2021</t>
        </is>
      </c>
      <c r="B385" s="1" t="n">
        <v>44349.92013888889</v>
      </c>
      <c r="C385" s="1" t="n">
        <v>46113</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46113</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55524-2024</t>
        </is>
      </c>
      <c r="B387" s="1" t="n">
        <v>45622.47435185185</v>
      </c>
      <c r="C387" s="1" t="n">
        <v>46113</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19419-2024</t>
        </is>
      </c>
      <c r="B388" s="1" t="n">
        <v>45429</v>
      </c>
      <c r="C388" s="1" t="n">
        <v>46113</v>
      </c>
      <c r="D388" t="inlineStr">
        <is>
          <t>JÄMTLANDS LÄN</t>
        </is>
      </c>
      <c r="E388" t="inlineStr">
        <is>
          <t>RAGUNDA</t>
        </is>
      </c>
      <c r="G388" t="n">
        <v>3.5</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46113</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23405-2025</t>
        </is>
      </c>
      <c r="B390" s="1" t="n">
        <v>45792.34527777778</v>
      </c>
      <c r="C390" s="1" t="n">
        <v>46113</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23654-2025</t>
        </is>
      </c>
      <c r="B391" s="1" t="n">
        <v>45792.71905092592</v>
      </c>
      <c r="C391" s="1" t="n">
        <v>46113</v>
      </c>
      <c r="D391" t="inlineStr">
        <is>
          <t>JÄMTLANDS LÄN</t>
        </is>
      </c>
      <c r="E391" t="inlineStr">
        <is>
          <t>RAGUNDA</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23507-2025</t>
        </is>
      </c>
      <c r="B392" s="1" t="n">
        <v>45792.49023148148</v>
      </c>
      <c r="C392" s="1" t="n">
        <v>46113</v>
      </c>
      <c r="D392" t="inlineStr">
        <is>
          <t>JÄMTLANDS LÄN</t>
        </is>
      </c>
      <c r="E392" t="inlineStr">
        <is>
          <t>RAGUNDA</t>
        </is>
      </c>
      <c r="F392" t="inlineStr">
        <is>
          <t>SCA</t>
        </is>
      </c>
      <c r="G392" t="n">
        <v>16.4</v>
      </c>
      <c r="H392" t="n">
        <v>0</v>
      </c>
      <c r="I392" t="n">
        <v>0</v>
      </c>
      <c r="J392" t="n">
        <v>0</v>
      </c>
      <c r="K392" t="n">
        <v>0</v>
      </c>
      <c r="L392" t="n">
        <v>0</v>
      </c>
      <c r="M392" t="n">
        <v>0</v>
      </c>
      <c r="N392" t="n">
        <v>0</v>
      </c>
      <c r="O392" t="n">
        <v>0</v>
      </c>
      <c r="P392" t="n">
        <v>0</v>
      </c>
      <c r="Q392" t="n">
        <v>0</v>
      </c>
      <c r="R392" s="2" t="inlineStr"/>
    </row>
    <row r="393" ht="15" customHeight="1">
      <c r="A393" t="inlineStr">
        <is>
          <t>A 23586-2025</t>
        </is>
      </c>
      <c r="B393" s="1" t="n">
        <v>45792.63584490741</v>
      </c>
      <c r="C393" s="1" t="n">
        <v>46113</v>
      </c>
      <c r="D393" t="inlineStr">
        <is>
          <t>JÄMTLANDS LÄN</t>
        </is>
      </c>
      <c r="E393" t="inlineStr">
        <is>
          <t>RAGUNDA</t>
        </is>
      </c>
      <c r="F393" t="inlineStr">
        <is>
          <t>SCA</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23413-2025</t>
        </is>
      </c>
      <c r="B394" s="1" t="n">
        <v>45792.34606481482</v>
      </c>
      <c r="C394" s="1" t="n">
        <v>46113</v>
      </c>
      <c r="D394" t="inlineStr">
        <is>
          <t>JÄMTLANDS LÄN</t>
        </is>
      </c>
      <c r="E394" t="inlineStr">
        <is>
          <t>RAGUNDA</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21195-2022</t>
        </is>
      </c>
      <c r="B395" s="1" t="n">
        <v>44704.94229166667</v>
      </c>
      <c r="C395" s="1" t="n">
        <v>46113</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49531-2022</t>
        </is>
      </c>
      <c r="B396" s="1" t="n">
        <v>44861</v>
      </c>
      <c r="C396" s="1" t="n">
        <v>46113</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10120-2022</t>
        </is>
      </c>
      <c r="B397" s="1" t="n">
        <v>44621</v>
      </c>
      <c r="C397" s="1" t="n">
        <v>46113</v>
      </c>
      <c r="D397" t="inlineStr">
        <is>
          <t>JÄMTLANDS LÄN</t>
        </is>
      </c>
      <c r="E397" t="inlineStr">
        <is>
          <t>RAGUNDA</t>
        </is>
      </c>
      <c r="G397" t="n">
        <v>0.4</v>
      </c>
      <c r="H397" t="n">
        <v>0</v>
      </c>
      <c r="I397" t="n">
        <v>0</v>
      </c>
      <c r="J397" t="n">
        <v>0</v>
      </c>
      <c r="K397" t="n">
        <v>0</v>
      </c>
      <c r="L397" t="n">
        <v>0</v>
      </c>
      <c r="M397" t="n">
        <v>0</v>
      </c>
      <c r="N397" t="n">
        <v>0</v>
      </c>
      <c r="O397" t="n">
        <v>0</v>
      </c>
      <c r="P397" t="n">
        <v>0</v>
      </c>
      <c r="Q397" t="n">
        <v>0</v>
      </c>
      <c r="R397" s="2" t="inlineStr"/>
    </row>
    <row r="398" ht="15" customHeight="1">
      <c r="A398" t="inlineStr">
        <is>
          <t>A 13964-2022</t>
        </is>
      </c>
      <c r="B398" s="1" t="n">
        <v>44650</v>
      </c>
      <c r="C398" s="1" t="n">
        <v>46113</v>
      </c>
      <c r="D398" t="inlineStr">
        <is>
          <t>JÄMTLANDS LÄN</t>
        </is>
      </c>
      <c r="E398" t="inlineStr">
        <is>
          <t>RAGUNDA</t>
        </is>
      </c>
      <c r="G398" t="n">
        <v>2.6</v>
      </c>
      <c r="H398" t="n">
        <v>0</v>
      </c>
      <c r="I398" t="n">
        <v>0</v>
      </c>
      <c r="J398" t="n">
        <v>0</v>
      </c>
      <c r="K398" t="n">
        <v>0</v>
      </c>
      <c r="L398" t="n">
        <v>0</v>
      </c>
      <c r="M398" t="n">
        <v>0</v>
      </c>
      <c r="N398" t="n">
        <v>0</v>
      </c>
      <c r="O398" t="n">
        <v>0</v>
      </c>
      <c r="P398" t="n">
        <v>0</v>
      </c>
      <c r="Q398" t="n">
        <v>0</v>
      </c>
      <c r="R398" s="2" t="inlineStr"/>
    </row>
    <row r="399" ht="15" customHeight="1">
      <c r="A399" t="inlineStr">
        <is>
          <t>A 23253-2025</t>
        </is>
      </c>
      <c r="B399" s="1" t="n">
        <v>45791.53238425926</v>
      </c>
      <c r="C399" s="1" t="n">
        <v>46113</v>
      </c>
      <c r="D399" t="inlineStr">
        <is>
          <t>JÄMTLANDS LÄN</t>
        </is>
      </c>
      <c r="E399" t="inlineStr">
        <is>
          <t>RAGUNDA</t>
        </is>
      </c>
      <c r="G399" t="n">
        <v>0.7</v>
      </c>
      <c r="H399" t="n">
        <v>0</v>
      </c>
      <c r="I399" t="n">
        <v>0</v>
      </c>
      <c r="J399" t="n">
        <v>0</v>
      </c>
      <c r="K399" t="n">
        <v>0</v>
      </c>
      <c r="L399" t="n">
        <v>0</v>
      </c>
      <c r="M399" t="n">
        <v>0</v>
      </c>
      <c r="N399" t="n">
        <v>0</v>
      </c>
      <c r="O399" t="n">
        <v>0</v>
      </c>
      <c r="P399" t="n">
        <v>0</v>
      </c>
      <c r="Q399" t="n">
        <v>0</v>
      </c>
      <c r="R399" s="2" t="inlineStr"/>
    </row>
    <row r="400" ht="15" customHeight="1">
      <c r="A400" t="inlineStr">
        <is>
          <t>A 9187-2022</t>
        </is>
      </c>
      <c r="B400" s="1" t="n">
        <v>44615</v>
      </c>
      <c r="C400" s="1" t="n">
        <v>46113</v>
      </c>
      <c r="D400" t="inlineStr">
        <is>
          <t>JÄMTLANDS LÄN</t>
        </is>
      </c>
      <c r="E400" t="inlineStr">
        <is>
          <t>RAGUNDA</t>
        </is>
      </c>
      <c r="G400" t="n">
        <v>2</v>
      </c>
      <c r="H400" t="n">
        <v>0</v>
      </c>
      <c r="I400" t="n">
        <v>0</v>
      </c>
      <c r="J400" t="n">
        <v>0</v>
      </c>
      <c r="K400" t="n">
        <v>0</v>
      </c>
      <c r="L400" t="n">
        <v>0</v>
      </c>
      <c r="M400" t="n">
        <v>0</v>
      </c>
      <c r="N400" t="n">
        <v>0</v>
      </c>
      <c r="O400" t="n">
        <v>0</v>
      </c>
      <c r="P400" t="n">
        <v>0</v>
      </c>
      <c r="Q400" t="n">
        <v>0</v>
      </c>
      <c r="R400" s="2" t="inlineStr"/>
    </row>
    <row r="401" ht="15" customHeight="1">
      <c r="A401" t="inlineStr">
        <is>
          <t>A 46211-2024</t>
        </is>
      </c>
      <c r="B401" s="1" t="n">
        <v>45581.55260416667</v>
      </c>
      <c r="C401" s="1" t="n">
        <v>46113</v>
      </c>
      <c r="D401" t="inlineStr">
        <is>
          <t>JÄMTLANDS LÄN</t>
        </is>
      </c>
      <c r="E401" t="inlineStr">
        <is>
          <t>RAGUNDA</t>
        </is>
      </c>
      <c r="G401" t="n">
        <v>7.3</v>
      </c>
      <c r="H401" t="n">
        <v>0</v>
      </c>
      <c r="I401" t="n">
        <v>0</v>
      </c>
      <c r="J401" t="n">
        <v>0</v>
      </c>
      <c r="K401" t="n">
        <v>0</v>
      </c>
      <c r="L401" t="n">
        <v>0</v>
      </c>
      <c r="M401" t="n">
        <v>0</v>
      </c>
      <c r="N401" t="n">
        <v>0</v>
      </c>
      <c r="O401" t="n">
        <v>0</v>
      </c>
      <c r="P401" t="n">
        <v>0</v>
      </c>
      <c r="Q401" t="n">
        <v>0</v>
      </c>
      <c r="R401" s="2" t="inlineStr"/>
    </row>
    <row r="402" ht="15" customHeight="1">
      <c r="A402" t="inlineStr">
        <is>
          <t>A 6177-2022</t>
        </is>
      </c>
      <c r="B402" s="1" t="n">
        <v>44599.98685185185</v>
      </c>
      <c r="C402" s="1" t="n">
        <v>46113</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8679-2023</t>
        </is>
      </c>
      <c r="B403" s="1" t="n">
        <v>44977.98670138889</v>
      </c>
      <c r="C403" s="1" t="n">
        <v>46113</v>
      </c>
      <c r="D403" t="inlineStr">
        <is>
          <t>JÄMTLANDS LÄN</t>
        </is>
      </c>
      <c r="E403" t="inlineStr">
        <is>
          <t>RAGUNDA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18284-2025</t>
        </is>
      </c>
      <c r="B404" s="1" t="n">
        <v>45762.39876157408</v>
      </c>
      <c r="C404" s="1" t="n">
        <v>46113</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c r="U404">
        <f>HYPERLINK("https://klasma.github.io/Logging_2303/knärot/A 18284-2025 karta knärot.png", "A 18284-2025")</f>
        <v/>
      </c>
      <c r="V404">
        <f>HYPERLINK("https://klasma.github.io/Logging_2303/klagomål/A 18284-2025 FSC-klagomål.docx", "A 18284-2025")</f>
        <v/>
      </c>
      <c r="W404">
        <f>HYPERLINK("https://klasma.github.io/Logging_2303/klagomålsmail/A 18284-2025 FSC-klagomål mail.docx", "A 18284-2025")</f>
        <v/>
      </c>
      <c r="X404">
        <f>HYPERLINK("https://klasma.github.io/Logging_2303/tillsyn/A 18284-2025 tillsynsbegäran.docx", "A 18284-2025")</f>
        <v/>
      </c>
      <c r="Y404">
        <f>HYPERLINK("https://klasma.github.io/Logging_2303/tillsynsmail/A 18284-2025 tillsynsbegäran mail.docx", "A 18284-2025")</f>
        <v/>
      </c>
    </row>
    <row r="405" ht="15" customHeight="1">
      <c r="A405" t="inlineStr">
        <is>
          <t>A 14158-2024</t>
        </is>
      </c>
      <c r="B405" s="1" t="n">
        <v>45392</v>
      </c>
      <c r="C405" s="1" t="n">
        <v>46113</v>
      </c>
      <c r="D405" t="inlineStr">
        <is>
          <t>JÄMTLANDS LÄN</t>
        </is>
      </c>
      <c r="E405" t="inlineStr">
        <is>
          <t>RAGUNDA</t>
        </is>
      </c>
      <c r="G405" t="n">
        <v>0.7</v>
      </c>
      <c r="H405" t="n">
        <v>0</v>
      </c>
      <c r="I405" t="n">
        <v>0</v>
      </c>
      <c r="J405" t="n">
        <v>0</v>
      </c>
      <c r="K405" t="n">
        <v>0</v>
      </c>
      <c r="L405" t="n">
        <v>0</v>
      </c>
      <c r="M405" t="n">
        <v>0</v>
      </c>
      <c r="N405" t="n">
        <v>0</v>
      </c>
      <c r="O405" t="n">
        <v>0</v>
      </c>
      <c r="P405" t="n">
        <v>0</v>
      </c>
      <c r="Q405" t="n">
        <v>0</v>
      </c>
      <c r="R405" s="2" t="inlineStr"/>
    </row>
    <row r="406" ht="15" customHeight="1">
      <c r="A406" t="inlineStr">
        <is>
          <t>A 55649-2023</t>
        </is>
      </c>
      <c r="B406" s="1" t="n">
        <v>45238</v>
      </c>
      <c r="C406" s="1" t="n">
        <v>46113</v>
      </c>
      <c r="D406" t="inlineStr">
        <is>
          <t>JÄMTLANDS LÄN</t>
        </is>
      </c>
      <c r="E406" t="inlineStr">
        <is>
          <t>RAGUNDA</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22655-2021</t>
        </is>
      </c>
      <c r="B407" s="1" t="n">
        <v>44322</v>
      </c>
      <c r="C407" s="1" t="n">
        <v>46113</v>
      </c>
      <c r="D407" t="inlineStr">
        <is>
          <t>JÄMTLANDS LÄN</t>
        </is>
      </c>
      <c r="E407" t="inlineStr">
        <is>
          <t>RAGUNDA</t>
        </is>
      </c>
      <c r="G407" t="n">
        <v>5.8</v>
      </c>
      <c r="H407" t="n">
        <v>0</v>
      </c>
      <c r="I407" t="n">
        <v>0</v>
      </c>
      <c r="J407" t="n">
        <v>0</v>
      </c>
      <c r="K407" t="n">
        <v>0</v>
      </c>
      <c r="L407" t="n">
        <v>0</v>
      </c>
      <c r="M407" t="n">
        <v>0</v>
      </c>
      <c r="N407" t="n">
        <v>0</v>
      </c>
      <c r="O407" t="n">
        <v>0</v>
      </c>
      <c r="P407" t="n">
        <v>0</v>
      </c>
      <c r="Q407" t="n">
        <v>0</v>
      </c>
      <c r="R407" s="2" t="inlineStr"/>
    </row>
    <row r="408" ht="15" customHeight="1">
      <c r="A408" t="inlineStr">
        <is>
          <t>A 53769-2023</t>
        </is>
      </c>
      <c r="B408" s="1" t="n">
        <v>45230</v>
      </c>
      <c r="C408" s="1" t="n">
        <v>46113</v>
      </c>
      <c r="D408" t="inlineStr">
        <is>
          <t>JÄMTLANDS LÄN</t>
        </is>
      </c>
      <c r="E408" t="inlineStr">
        <is>
          <t>RAGUNDA</t>
        </is>
      </c>
      <c r="F408" t="inlineStr">
        <is>
          <t>SCA</t>
        </is>
      </c>
      <c r="G408" t="n">
        <v>11.6</v>
      </c>
      <c r="H408" t="n">
        <v>0</v>
      </c>
      <c r="I408" t="n">
        <v>0</v>
      </c>
      <c r="J408" t="n">
        <v>0</v>
      </c>
      <c r="K408" t="n">
        <v>0</v>
      </c>
      <c r="L408" t="n">
        <v>0</v>
      </c>
      <c r="M408" t="n">
        <v>0</v>
      </c>
      <c r="N408" t="n">
        <v>0</v>
      </c>
      <c r="O408" t="n">
        <v>0</v>
      </c>
      <c r="P408" t="n">
        <v>0</v>
      </c>
      <c r="Q408" t="n">
        <v>0</v>
      </c>
      <c r="R408" s="2" t="inlineStr"/>
    </row>
    <row r="409" ht="15" customHeight="1">
      <c r="A409" t="inlineStr">
        <is>
          <t>A 39192-2025</t>
        </is>
      </c>
      <c r="B409" s="1" t="n">
        <v>45888.6775</v>
      </c>
      <c r="C409" s="1" t="n">
        <v>46113</v>
      </c>
      <c r="D409" t="inlineStr">
        <is>
          <t>JÄMTLANDS LÄN</t>
        </is>
      </c>
      <c r="E409" t="inlineStr">
        <is>
          <t>RAGUNDA</t>
        </is>
      </c>
      <c r="F409" t="inlineStr">
        <is>
          <t>Naturvårdsverket</t>
        </is>
      </c>
      <c r="G409" t="n">
        <v>2.3</v>
      </c>
      <c r="H409" t="n">
        <v>0</v>
      </c>
      <c r="I409" t="n">
        <v>0</v>
      </c>
      <c r="J409" t="n">
        <v>0</v>
      </c>
      <c r="K409" t="n">
        <v>0</v>
      </c>
      <c r="L409" t="n">
        <v>0</v>
      </c>
      <c r="M409" t="n">
        <v>0</v>
      </c>
      <c r="N409" t="n">
        <v>0</v>
      </c>
      <c r="O409" t="n">
        <v>0</v>
      </c>
      <c r="P409" t="n">
        <v>0</v>
      </c>
      <c r="Q409" t="n">
        <v>0</v>
      </c>
      <c r="R409" s="2" t="inlineStr"/>
    </row>
    <row r="410" ht="15" customHeight="1">
      <c r="A410" t="inlineStr">
        <is>
          <t>A 21194-2022</t>
        </is>
      </c>
      <c r="B410" s="1" t="n">
        <v>44704.9422337963</v>
      </c>
      <c r="C410" s="1" t="n">
        <v>46113</v>
      </c>
      <c r="D410" t="inlineStr">
        <is>
          <t>JÄMTLANDS LÄN</t>
        </is>
      </c>
      <c r="E410" t="inlineStr">
        <is>
          <t>RAGUNDA</t>
        </is>
      </c>
      <c r="F410" t="inlineStr">
        <is>
          <t>SCA</t>
        </is>
      </c>
      <c r="G410" t="n">
        <v>10.6</v>
      </c>
      <c r="H410" t="n">
        <v>0</v>
      </c>
      <c r="I410" t="n">
        <v>0</v>
      </c>
      <c r="J410" t="n">
        <v>0</v>
      </c>
      <c r="K410" t="n">
        <v>0</v>
      </c>
      <c r="L410" t="n">
        <v>0</v>
      </c>
      <c r="M410" t="n">
        <v>0</v>
      </c>
      <c r="N410" t="n">
        <v>0</v>
      </c>
      <c r="O410" t="n">
        <v>0</v>
      </c>
      <c r="P410" t="n">
        <v>0</v>
      </c>
      <c r="Q410" t="n">
        <v>0</v>
      </c>
      <c r="R410" s="2" t="inlineStr"/>
    </row>
    <row r="411" ht="15" customHeight="1">
      <c r="A411" t="inlineStr">
        <is>
          <t>A 19263-2025</t>
        </is>
      </c>
      <c r="B411" s="1" t="n">
        <v>45769.51075231482</v>
      </c>
      <c r="C411" s="1" t="n">
        <v>46113</v>
      </c>
      <c r="D411" t="inlineStr">
        <is>
          <t>JÄMTLANDS LÄN</t>
        </is>
      </c>
      <c r="E411" t="inlineStr">
        <is>
          <t>RAGUNDA</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23840-2025</t>
        </is>
      </c>
      <c r="B412" s="1" t="n">
        <v>45793</v>
      </c>
      <c r="C412" s="1" t="n">
        <v>46113</v>
      </c>
      <c r="D412" t="inlineStr">
        <is>
          <t>JÄMTLANDS LÄN</t>
        </is>
      </c>
      <c r="E412" t="inlineStr">
        <is>
          <t>RAGUNDA</t>
        </is>
      </c>
      <c r="G412" t="n">
        <v>0.8</v>
      </c>
      <c r="H412" t="n">
        <v>0</v>
      </c>
      <c r="I412" t="n">
        <v>0</v>
      </c>
      <c r="J412" t="n">
        <v>0</v>
      </c>
      <c r="K412" t="n">
        <v>0</v>
      </c>
      <c r="L412" t="n">
        <v>0</v>
      </c>
      <c r="M412" t="n">
        <v>0</v>
      </c>
      <c r="N412" t="n">
        <v>0</v>
      </c>
      <c r="O412" t="n">
        <v>0</v>
      </c>
      <c r="P412" t="n">
        <v>0</v>
      </c>
      <c r="Q412" t="n">
        <v>0</v>
      </c>
      <c r="R412" s="2" t="inlineStr"/>
    </row>
    <row r="413" ht="15" customHeight="1">
      <c r="A413" t="inlineStr">
        <is>
          <t>A 60313-2021</t>
        </is>
      </c>
      <c r="B413" s="1" t="n">
        <v>44495</v>
      </c>
      <c r="C413" s="1" t="n">
        <v>46113</v>
      </c>
      <c r="D413" t="inlineStr">
        <is>
          <t>JÄMTLANDS LÄN</t>
        </is>
      </c>
      <c r="E413" t="inlineStr">
        <is>
          <t>RAGUNDA</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24158-2025</t>
        </is>
      </c>
      <c r="B414" s="1" t="n">
        <v>45796</v>
      </c>
      <c r="C414" s="1" t="n">
        <v>46113</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c r="U414">
        <f>HYPERLINK("https://klasma.github.io/Logging_2303/knärot/A 24158-2025 karta knärot.png", "A 24158-2025")</f>
        <v/>
      </c>
      <c r="V414">
        <f>HYPERLINK("https://klasma.github.io/Logging_2303/klagomål/A 24158-2025 FSC-klagomål.docx", "A 24158-2025")</f>
        <v/>
      </c>
      <c r="W414">
        <f>HYPERLINK("https://klasma.github.io/Logging_2303/klagomålsmail/A 24158-2025 FSC-klagomål mail.docx", "A 24158-2025")</f>
        <v/>
      </c>
      <c r="X414">
        <f>HYPERLINK("https://klasma.github.io/Logging_2303/tillsyn/A 24158-2025 tillsynsbegäran.docx", "A 24158-2025")</f>
        <v/>
      </c>
      <c r="Y414">
        <f>HYPERLINK("https://klasma.github.io/Logging_2303/tillsynsmail/A 24158-2025 tillsynsbegäran mail.docx", "A 24158-2025")</f>
        <v/>
      </c>
    </row>
    <row r="415" ht="15" customHeight="1">
      <c r="A415" t="inlineStr">
        <is>
          <t>A 24161-2025</t>
        </is>
      </c>
      <c r="B415" s="1" t="n">
        <v>45796</v>
      </c>
      <c r="C415" s="1" t="n">
        <v>46113</v>
      </c>
      <c r="D415" t="inlineStr">
        <is>
          <t>JÄMTLANDS LÄN</t>
        </is>
      </c>
      <c r="E415" t="inlineStr">
        <is>
          <t>RAGUNDA</t>
        </is>
      </c>
      <c r="G415" t="n">
        <v>2.4</v>
      </c>
      <c r="H415" t="n">
        <v>0</v>
      </c>
      <c r="I415" t="n">
        <v>0</v>
      </c>
      <c r="J415" t="n">
        <v>0</v>
      </c>
      <c r="K415" t="n">
        <v>0</v>
      </c>
      <c r="L415" t="n">
        <v>0</v>
      </c>
      <c r="M415" t="n">
        <v>0</v>
      </c>
      <c r="N415" t="n">
        <v>0</v>
      </c>
      <c r="O415" t="n">
        <v>0</v>
      </c>
      <c r="P415" t="n">
        <v>0</v>
      </c>
      <c r="Q415" t="n">
        <v>0</v>
      </c>
      <c r="R415" s="2" t="inlineStr"/>
    </row>
    <row r="416" ht="15" customHeight="1">
      <c r="A416" t="inlineStr">
        <is>
          <t>A 40919-2024</t>
        </is>
      </c>
      <c r="B416" s="1" t="n">
        <v>45558.63575231482</v>
      </c>
      <c r="C416" s="1" t="n">
        <v>46113</v>
      </c>
      <c r="D416" t="inlineStr">
        <is>
          <t>JÄMTLANDS LÄN</t>
        </is>
      </c>
      <c r="E416" t="inlineStr">
        <is>
          <t>RAGUNDA</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56193-2022</t>
        </is>
      </c>
      <c r="B417" s="1" t="n">
        <v>44889</v>
      </c>
      <c r="C417" s="1" t="n">
        <v>46113</v>
      </c>
      <c r="D417" t="inlineStr">
        <is>
          <t>JÄMTLANDS LÄN</t>
        </is>
      </c>
      <c r="E417" t="inlineStr">
        <is>
          <t>RAGUNDA</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5515-2022</t>
        </is>
      </c>
      <c r="B418" s="1" t="n">
        <v>44595</v>
      </c>
      <c r="C418" s="1" t="n">
        <v>46113</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28216-2025</t>
        </is>
      </c>
      <c r="B419" s="1" t="n">
        <v>45818.46898148148</v>
      </c>
      <c r="C419" s="1" t="n">
        <v>46113</v>
      </c>
      <c r="D419" t="inlineStr">
        <is>
          <t>JÄMTLANDS LÄN</t>
        </is>
      </c>
      <c r="E419" t="inlineStr">
        <is>
          <t>RAGUNDA</t>
        </is>
      </c>
      <c r="G419" t="n">
        <v>6.6</v>
      </c>
      <c r="H419" t="n">
        <v>0</v>
      </c>
      <c r="I419" t="n">
        <v>0</v>
      </c>
      <c r="J419" t="n">
        <v>0</v>
      </c>
      <c r="K419" t="n">
        <v>0</v>
      </c>
      <c r="L419" t="n">
        <v>0</v>
      </c>
      <c r="M419" t="n">
        <v>0</v>
      </c>
      <c r="N419" t="n">
        <v>0</v>
      </c>
      <c r="O419" t="n">
        <v>0</v>
      </c>
      <c r="P419" t="n">
        <v>0</v>
      </c>
      <c r="Q419" t="n">
        <v>0</v>
      </c>
      <c r="R419" s="2" t="inlineStr"/>
    </row>
    <row r="420" ht="15" customHeight="1">
      <c r="A420" t="inlineStr">
        <is>
          <t>A 15024-2022</t>
        </is>
      </c>
      <c r="B420" s="1" t="n">
        <v>44657</v>
      </c>
      <c r="C420" s="1" t="n">
        <v>46113</v>
      </c>
      <c r="D420" t="inlineStr">
        <is>
          <t>JÄMTLANDS LÄN</t>
        </is>
      </c>
      <c r="E420" t="inlineStr">
        <is>
          <t>RAGUNDA</t>
        </is>
      </c>
      <c r="G420" t="n">
        <v>1.8</v>
      </c>
      <c r="H420" t="n">
        <v>0</v>
      </c>
      <c r="I420" t="n">
        <v>0</v>
      </c>
      <c r="J420" t="n">
        <v>0</v>
      </c>
      <c r="K420" t="n">
        <v>0</v>
      </c>
      <c r="L420" t="n">
        <v>0</v>
      </c>
      <c r="M420" t="n">
        <v>0</v>
      </c>
      <c r="N420" t="n">
        <v>0</v>
      </c>
      <c r="O420" t="n">
        <v>0</v>
      </c>
      <c r="P420" t="n">
        <v>0</v>
      </c>
      <c r="Q420" t="n">
        <v>0</v>
      </c>
      <c r="R420" s="2" t="inlineStr"/>
    </row>
    <row r="421" ht="15" customHeight="1">
      <c r="A421" t="inlineStr">
        <is>
          <t>A 60957-2021</t>
        </is>
      </c>
      <c r="B421" s="1" t="n">
        <v>44496</v>
      </c>
      <c r="C421" s="1" t="n">
        <v>46113</v>
      </c>
      <c r="D421" t="inlineStr">
        <is>
          <t>JÄMTLANDS LÄN</t>
        </is>
      </c>
      <c r="E421" t="inlineStr">
        <is>
          <t>RAGUNDA</t>
        </is>
      </c>
      <c r="G421" t="n">
        <v>1.6</v>
      </c>
      <c r="H421" t="n">
        <v>0</v>
      </c>
      <c r="I421" t="n">
        <v>0</v>
      </c>
      <c r="J421" t="n">
        <v>0</v>
      </c>
      <c r="K421" t="n">
        <v>0</v>
      </c>
      <c r="L421" t="n">
        <v>0</v>
      </c>
      <c r="M421" t="n">
        <v>0</v>
      </c>
      <c r="N421" t="n">
        <v>0</v>
      </c>
      <c r="O421" t="n">
        <v>0</v>
      </c>
      <c r="P421" t="n">
        <v>0</v>
      </c>
      <c r="Q421" t="n">
        <v>0</v>
      </c>
      <c r="R421" s="2" t="inlineStr"/>
    </row>
    <row r="422" ht="15" customHeight="1">
      <c r="A422" t="inlineStr">
        <is>
          <t>A 26122-2022</t>
        </is>
      </c>
      <c r="B422" s="1" t="n">
        <v>44734.94193287037</v>
      </c>
      <c r="C422" s="1" t="n">
        <v>46113</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21193-2022</t>
        </is>
      </c>
      <c r="B423" s="1" t="n">
        <v>44704.94217592593</v>
      </c>
      <c r="C423" s="1" t="n">
        <v>46113</v>
      </c>
      <c r="D423" t="inlineStr">
        <is>
          <t>JÄMTLANDS LÄN</t>
        </is>
      </c>
      <c r="E423" t="inlineStr">
        <is>
          <t>RAGUNDA</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48192-2024</t>
        </is>
      </c>
      <c r="B424" s="1" t="n">
        <v>45590</v>
      </c>
      <c r="C424" s="1" t="n">
        <v>46113</v>
      </c>
      <c r="D424" t="inlineStr">
        <is>
          <t>JÄMTLANDS LÄN</t>
        </is>
      </c>
      <c r="E424" t="inlineStr">
        <is>
          <t>RAGUNDA</t>
        </is>
      </c>
      <c r="G424" t="n">
        <v>2.3</v>
      </c>
      <c r="H424" t="n">
        <v>0</v>
      </c>
      <c r="I424" t="n">
        <v>0</v>
      </c>
      <c r="J424" t="n">
        <v>0</v>
      </c>
      <c r="K424" t="n">
        <v>0</v>
      </c>
      <c r="L424" t="n">
        <v>0</v>
      </c>
      <c r="M424" t="n">
        <v>0</v>
      </c>
      <c r="N424" t="n">
        <v>0</v>
      </c>
      <c r="O424" t="n">
        <v>0</v>
      </c>
      <c r="P424" t="n">
        <v>0</v>
      </c>
      <c r="Q424" t="n">
        <v>0</v>
      </c>
      <c r="R424" s="2" t="inlineStr"/>
    </row>
    <row r="425" ht="15" customHeight="1">
      <c r="A425" t="inlineStr">
        <is>
          <t>A 12768-2022</t>
        </is>
      </c>
      <c r="B425" s="1" t="n">
        <v>44641</v>
      </c>
      <c r="C425" s="1" t="n">
        <v>46113</v>
      </c>
      <c r="D425" t="inlineStr">
        <is>
          <t>JÄMTLANDS LÄN</t>
        </is>
      </c>
      <c r="E425" t="inlineStr">
        <is>
          <t>RAGUNDA</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12773-2022</t>
        </is>
      </c>
      <c r="B426" s="1" t="n">
        <v>44641</v>
      </c>
      <c r="C426" s="1" t="n">
        <v>46113</v>
      </c>
      <c r="D426" t="inlineStr">
        <is>
          <t>JÄMTLANDS LÄN</t>
        </is>
      </c>
      <c r="E426" t="inlineStr">
        <is>
          <t>RAGUNDA</t>
        </is>
      </c>
      <c r="F426" t="inlineStr">
        <is>
          <t>SCA</t>
        </is>
      </c>
      <c r="G426" t="n">
        <v>14.7</v>
      </c>
      <c r="H426" t="n">
        <v>0</v>
      </c>
      <c r="I426" t="n">
        <v>0</v>
      </c>
      <c r="J426" t="n">
        <v>0</v>
      </c>
      <c r="K426" t="n">
        <v>0</v>
      </c>
      <c r="L426" t="n">
        <v>0</v>
      </c>
      <c r="M426" t="n">
        <v>0</v>
      </c>
      <c r="N426" t="n">
        <v>0</v>
      </c>
      <c r="O426" t="n">
        <v>0</v>
      </c>
      <c r="P426" t="n">
        <v>0</v>
      </c>
      <c r="Q426" t="n">
        <v>0</v>
      </c>
      <c r="R426" s="2" t="inlineStr"/>
    </row>
    <row r="427" ht="15" customHeight="1">
      <c r="A427" t="inlineStr">
        <is>
          <t>A 13917-2023</t>
        </is>
      </c>
      <c r="B427" s="1" t="n">
        <v>45007</v>
      </c>
      <c r="C427" s="1" t="n">
        <v>46113</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18820-2023</t>
        </is>
      </c>
      <c r="B428" s="1" t="n">
        <v>45042</v>
      </c>
      <c r="C428" s="1" t="n">
        <v>46113</v>
      </c>
      <c r="D428" t="inlineStr">
        <is>
          <t>JÄMTLANDS LÄN</t>
        </is>
      </c>
      <c r="E428" t="inlineStr">
        <is>
          <t>RAGUNDA</t>
        </is>
      </c>
      <c r="G428" t="n">
        <v>18.8</v>
      </c>
      <c r="H428" t="n">
        <v>0</v>
      </c>
      <c r="I428" t="n">
        <v>0</v>
      </c>
      <c r="J428" t="n">
        <v>0</v>
      </c>
      <c r="K428" t="n">
        <v>0</v>
      </c>
      <c r="L428" t="n">
        <v>0</v>
      </c>
      <c r="M428" t="n">
        <v>0</v>
      </c>
      <c r="N428" t="n">
        <v>0</v>
      </c>
      <c r="O428" t="n">
        <v>0</v>
      </c>
      <c r="P428" t="n">
        <v>0</v>
      </c>
      <c r="Q428" t="n">
        <v>0</v>
      </c>
      <c r="R428" s="2" t="inlineStr"/>
    </row>
    <row r="429" ht="15" customHeight="1">
      <c r="A429" t="inlineStr">
        <is>
          <t>A 39384-2025</t>
        </is>
      </c>
      <c r="B429" s="1" t="n">
        <v>45889.61517361111</v>
      </c>
      <c r="C429" s="1" t="n">
        <v>46113</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11147-2025</t>
        </is>
      </c>
      <c r="B430" s="1" t="n">
        <v>45723.67777777778</v>
      </c>
      <c r="C430" s="1" t="n">
        <v>46113</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24280-2021</t>
        </is>
      </c>
      <c r="B431" s="1" t="n">
        <v>44336</v>
      </c>
      <c r="C431" s="1" t="n">
        <v>46113</v>
      </c>
      <c r="D431" t="inlineStr">
        <is>
          <t>JÄMTLANDS LÄN</t>
        </is>
      </c>
      <c r="E431" t="inlineStr">
        <is>
          <t>RAGUNDA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14821-2025</t>
        </is>
      </c>
      <c r="B432" s="1" t="n">
        <v>45743.36</v>
      </c>
      <c r="C432" s="1" t="n">
        <v>46113</v>
      </c>
      <c r="D432" t="inlineStr">
        <is>
          <t>JÄMTLANDS LÄN</t>
        </is>
      </c>
      <c r="E432" t="inlineStr">
        <is>
          <t>RAGUNDA</t>
        </is>
      </c>
      <c r="F432" t="inlineStr">
        <is>
          <t>Kyrkan</t>
        </is>
      </c>
      <c r="G432" t="n">
        <v>6.4</v>
      </c>
      <c r="H432" t="n">
        <v>0</v>
      </c>
      <c r="I432" t="n">
        <v>0</v>
      </c>
      <c r="J432" t="n">
        <v>0</v>
      </c>
      <c r="K432" t="n">
        <v>0</v>
      </c>
      <c r="L432" t="n">
        <v>0</v>
      </c>
      <c r="M432" t="n">
        <v>0</v>
      </c>
      <c r="N432" t="n">
        <v>0</v>
      </c>
      <c r="O432" t="n">
        <v>0</v>
      </c>
      <c r="P432" t="n">
        <v>0</v>
      </c>
      <c r="Q432" t="n">
        <v>0</v>
      </c>
      <c r="R432" s="2" t="inlineStr"/>
    </row>
    <row r="433" ht="15" customHeight="1">
      <c r="A433" t="inlineStr">
        <is>
          <t>A 23841-2025</t>
        </is>
      </c>
      <c r="B433" s="1" t="n">
        <v>45793.61523148148</v>
      </c>
      <c r="C433" s="1" t="n">
        <v>46113</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62358-2023</t>
        </is>
      </c>
      <c r="B434" s="1" t="n">
        <v>45267</v>
      </c>
      <c r="C434" s="1" t="n">
        <v>46113</v>
      </c>
      <c r="D434" t="inlineStr">
        <is>
          <t>JÄMTLANDS LÄN</t>
        </is>
      </c>
      <c r="E434" t="inlineStr">
        <is>
          <t>RAGUNDA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18375-2022</t>
        </is>
      </c>
      <c r="B435" s="1" t="n">
        <v>44685</v>
      </c>
      <c r="C435" s="1" t="n">
        <v>46113</v>
      </c>
      <c r="D435" t="inlineStr">
        <is>
          <t>JÄMTLANDS LÄN</t>
        </is>
      </c>
      <c r="E435" t="inlineStr">
        <is>
          <t>RAGUNDA</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19264-2025</t>
        </is>
      </c>
      <c r="B436" s="1" t="n">
        <v>45769.51087962963</v>
      </c>
      <c r="C436" s="1" t="n">
        <v>46113</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55536-2024</t>
        </is>
      </c>
      <c r="B437" s="1" t="n">
        <v>45622</v>
      </c>
      <c r="C437" s="1" t="n">
        <v>46113</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39949-2025</t>
        </is>
      </c>
      <c r="B438" s="1" t="n">
        <v>45892.38619212963</v>
      </c>
      <c r="C438" s="1" t="n">
        <v>46113</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23304-2023</t>
        </is>
      </c>
      <c r="B439" s="1" t="n">
        <v>45075.945</v>
      </c>
      <c r="C439" s="1" t="n">
        <v>46113</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2411-2023</t>
        </is>
      </c>
      <c r="B440" s="1" t="n">
        <v>44942</v>
      </c>
      <c r="C440" s="1" t="n">
        <v>46113</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39948-2025</t>
        </is>
      </c>
      <c r="B441" s="1" t="n">
        <v>45892.38591435185</v>
      </c>
      <c r="C441" s="1" t="n">
        <v>46113</v>
      </c>
      <c r="D441" t="inlineStr">
        <is>
          <t>JÄMTLANDS LÄN</t>
        </is>
      </c>
      <c r="E441" t="inlineStr">
        <is>
          <t>RAGUNDA</t>
        </is>
      </c>
      <c r="G441" t="n">
        <v>5</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46113</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11834-2023</t>
        </is>
      </c>
      <c r="B443" s="1" t="n">
        <v>44994.94296296296</v>
      </c>
      <c r="C443" s="1" t="n">
        <v>46113</v>
      </c>
      <c r="D443" t="inlineStr">
        <is>
          <t>JÄMTLANDS LÄN</t>
        </is>
      </c>
      <c r="E443" t="inlineStr">
        <is>
          <t>RAGUNDA</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53264-2024</t>
        </is>
      </c>
      <c r="B444" s="1" t="n">
        <v>45614.34545138889</v>
      </c>
      <c r="C444" s="1" t="n">
        <v>46113</v>
      </c>
      <c r="D444" t="inlineStr">
        <is>
          <t>JÄMTLANDS LÄN</t>
        </is>
      </c>
      <c r="E444" t="inlineStr">
        <is>
          <t>RAGUNDA</t>
        </is>
      </c>
      <c r="G444" t="n">
        <v>1.4</v>
      </c>
      <c r="H444" t="n">
        <v>0</v>
      </c>
      <c r="I444" t="n">
        <v>0</v>
      </c>
      <c r="J444" t="n">
        <v>0</v>
      </c>
      <c r="K444" t="n">
        <v>0</v>
      </c>
      <c r="L444" t="n">
        <v>0</v>
      </c>
      <c r="M444" t="n">
        <v>0</v>
      </c>
      <c r="N444" t="n">
        <v>0</v>
      </c>
      <c r="O444" t="n">
        <v>0</v>
      </c>
      <c r="P444" t="n">
        <v>0</v>
      </c>
      <c r="Q444" t="n">
        <v>0</v>
      </c>
      <c r="R444" s="2" t="inlineStr"/>
    </row>
    <row r="445" ht="15" customHeight="1">
      <c r="A445" t="inlineStr">
        <is>
          <t>A 50431-2024</t>
        </is>
      </c>
      <c r="B445" s="1" t="n">
        <v>45601.40686342592</v>
      </c>
      <c r="C445" s="1" t="n">
        <v>46113</v>
      </c>
      <c r="D445" t="inlineStr">
        <is>
          <t>JÄMTLANDS LÄN</t>
        </is>
      </c>
      <c r="E445" t="inlineStr">
        <is>
          <t>RAGUNDA</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28596-2021</t>
        </is>
      </c>
      <c r="B446" s="1" t="n">
        <v>44356</v>
      </c>
      <c r="C446" s="1" t="n">
        <v>46113</v>
      </c>
      <c r="D446" t="inlineStr">
        <is>
          <t>JÄMTLANDS LÄN</t>
        </is>
      </c>
      <c r="E446" t="inlineStr">
        <is>
          <t>RAGUNDA</t>
        </is>
      </c>
      <c r="G446" t="n">
        <v>5.4</v>
      </c>
      <c r="H446" t="n">
        <v>0</v>
      </c>
      <c r="I446" t="n">
        <v>0</v>
      </c>
      <c r="J446" t="n">
        <v>0</v>
      </c>
      <c r="K446" t="n">
        <v>0</v>
      </c>
      <c r="L446" t="n">
        <v>0</v>
      </c>
      <c r="M446" t="n">
        <v>0</v>
      </c>
      <c r="N446" t="n">
        <v>0</v>
      </c>
      <c r="O446" t="n">
        <v>0</v>
      </c>
      <c r="P446" t="n">
        <v>0</v>
      </c>
      <c r="Q446" t="n">
        <v>0</v>
      </c>
      <c r="R446" s="2" t="inlineStr"/>
    </row>
    <row r="447" ht="15" customHeight="1">
      <c r="A447" t="inlineStr">
        <is>
          <t>A 39947-2025</t>
        </is>
      </c>
      <c r="B447" s="1" t="n">
        <v>45892.34438657408</v>
      </c>
      <c r="C447" s="1" t="n">
        <v>46113</v>
      </c>
      <c r="D447" t="inlineStr">
        <is>
          <t>JÄMTLANDS LÄN</t>
        </is>
      </c>
      <c r="E447" t="inlineStr">
        <is>
          <t>RAGUNDA</t>
        </is>
      </c>
      <c r="G447" t="n">
        <v>6.6</v>
      </c>
      <c r="H447" t="n">
        <v>0</v>
      </c>
      <c r="I447" t="n">
        <v>0</v>
      </c>
      <c r="J447" t="n">
        <v>0</v>
      </c>
      <c r="K447" t="n">
        <v>0</v>
      </c>
      <c r="L447" t="n">
        <v>0</v>
      </c>
      <c r="M447" t="n">
        <v>0</v>
      </c>
      <c r="N447" t="n">
        <v>0</v>
      </c>
      <c r="O447" t="n">
        <v>0</v>
      </c>
      <c r="P447" t="n">
        <v>0</v>
      </c>
      <c r="Q447" t="n">
        <v>0</v>
      </c>
      <c r="R447" s="2" t="inlineStr"/>
    </row>
    <row r="448" ht="15" customHeight="1">
      <c r="A448" t="inlineStr">
        <is>
          <t>A 39951-2025</t>
        </is>
      </c>
      <c r="B448" s="1" t="n">
        <v>45892.38657407407</v>
      </c>
      <c r="C448" s="1" t="n">
        <v>46113</v>
      </c>
      <c r="D448" t="inlineStr">
        <is>
          <t>JÄMTLANDS LÄN</t>
        </is>
      </c>
      <c r="E448" t="inlineStr">
        <is>
          <t>RAGUNDA</t>
        </is>
      </c>
      <c r="G448" t="n">
        <v>2.3</v>
      </c>
      <c r="H448" t="n">
        <v>0</v>
      </c>
      <c r="I448" t="n">
        <v>0</v>
      </c>
      <c r="J448" t="n">
        <v>0</v>
      </c>
      <c r="K448" t="n">
        <v>0</v>
      </c>
      <c r="L448" t="n">
        <v>0</v>
      </c>
      <c r="M448" t="n">
        <v>0</v>
      </c>
      <c r="N448" t="n">
        <v>0</v>
      </c>
      <c r="O448" t="n">
        <v>0</v>
      </c>
      <c r="P448" t="n">
        <v>0</v>
      </c>
      <c r="Q448" t="n">
        <v>0</v>
      </c>
      <c r="R448" s="2" t="inlineStr"/>
    </row>
    <row r="449" ht="15" customHeight="1">
      <c r="A449" t="inlineStr">
        <is>
          <t>A 16334-2025</t>
        </is>
      </c>
      <c r="B449" s="1" t="n">
        <v>45751.36490740741</v>
      </c>
      <c r="C449" s="1" t="n">
        <v>46113</v>
      </c>
      <c r="D449" t="inlineStr">
        <is>
          <t>JÄMTLANDS LÄN</t>
        </is>
      </c>
      <c r="E449" t="inlineStr">
        <is>
          <t>RAGUNDA</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36106-2022</t>
        </is>
      </c>
      <c r="B450" s="1" t="n">
        <v>44802.94811342593</v>
      </c>
      <c r="C450" s="1" t="n">
        <v>46113</v>
      </c>
      <c r="D450" t="inlineStr">
        <is>
          <t>JÄMTLANDS LÄN</t>
        </is>
      </c>
      <c r="E450" t="inlineStr">
        <is>
          <t>RAGUNDA</t>
        </is>
      </c>
      <c r="F450" t="inlineStr">
        <is>
          <t>SCA</t>
        </is>
      </c>
      <c r="G450" t="n">
        <v>7.3</v>
      </c>
      <c r="H450" t="n">
        <v>0</v>
      </c>
      <c r="I450" t="n">
        <v>0</v>
      </c>
      <c r="J450" t="n">
        <v>0</v>
      </c>
      <c r="K450" t="n">
        <v>0</v>
      </c>
      <c r="L450" t="n">
        <v>0</v>
      </c>
      <c r="M450" t="n">
        <v>0</v>
      </c>
      <c r="N450" t="n">
        <v>0</v>
      </c>
      <c r="O450" t="n">
        <v>0</v>
      </c>
      <c r="P450" t="n">
        <v>0</v>
      </c>
      <c r="Q450" t="n">
        <v>0</v>
      </c>
      <c r="R450" s="2" t="inlineStr"/>
    </row>
    <row r="451" ht="15" customHeight="1">
      <c r="A451" t="inlineStr">
        <is>
          <t>A 24159-2025</t>
        </is>
      </c>
      <c r="B451" s="1" t="n">
        <v>45796</v>
      </c>
      <c r="C451" s="1" t="n">
        <v>46113</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39946-2025</t>
        </is>
      </c>
      <c r="B452" s="1" t="n">
        <v>45892.34423611111</v>
      </c>
      <c r="C452" s="1" t="n">
        <v>46113</v>
      </c>
      <c r="D452" t="inlineStr">
        <is>
          <t>JÄMTLANDS LÄN</t>
        </is>
      </c>
      <c r="E452" t="inlineStr">
        <is>
          <t>RAGUNDA</t>
        </is>
      </c>
      <c r="G452" t="n">
        <v>4.7</v>
      </c>
      <c r="H452" t="n">
        <v>0</v>
      </c>
      <c r="I452" t="n">
        <v>0</v>
      </c>
      <c r="J452" t="n">
        <v>0</v>
      </c>
      <c r="K452" t="n">
        <v>0</v>
      </c>
      <c r="L452" t="n">
        <v>0</v>
      </c>
      <c r="M452" t="n">
        <v>0</v>
      </c>
      <c r="N452" t="n">
        <v>0</v>
      </c>
      <c r="O452" t="n">
        <v>0</v>
      </c>
      <c r="P452" t="n">
        <v>0</v>
      </c>
      <c r="Q452" t="n">
        <v>0</v>
      </c>
      <c r="R452" s="2" t="inlineStr"/>
    </row>
    <row r="453" ht="15" customHeight="1">
      <c r="A453" t="inlineStr">
        <is>
          <t>A 39950-2025</t>
        </is>
      </c>
      <c r="B453" s="1" t="n">
        <v>45892.38641203703</v>
      </c>
      <c r="C453" s="1" t="n">
        <v>46113</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39955-2025</t>
        </is>
      </c>
      <c r="B454" s="1" t="n">
        <v>45892.44824074074</v>
      </c>
      <c r="C454" s="1" t="n">
        <v>46113</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39956-2025</t>
        </is>
      </c>
      <c r="B455" s="1" t="n">
        <v>45892.44840277778</v>
      </c>
      <c r="C455" s="1" t="n">
        <v>46113</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40586-2025</t>
        </is>
      </c>
      <c r="B456" s="1" t="n">
        <v>45896.52478009259</v>
      </c>
      <c r="C456" s="1" t="n">
        <v>46113</v>
      </c>
      <c r="D456" t="inlineStr">
        <is>
          <t>JÄMTLANDS LÄN</t>
        </is>
      </c>
      <c r="E456" t="inlineStr">
        <is>
          <t>RAGUNDA</t>
        </is>
      </c>
      <c r="G456" t="n">
        <v>1.2</v>
      </c>
      <c r="H456" t="n">
        <v>0</v>
      </c>
      <c r="I456" t="n">
        <v>0</v>
      </c>
      <c r="J456" t="n">
        <v>0</v>
      </c>
      <c r="K456" t="n">
        <v>0</v>
      </c>
      <c r="L456" t="n">
        <v>0</v>
      </c>
      <c r="M456" t="n">
        <v>0</v>
      </c>
      <c r="N456" t="n">
        <v>0</v>
      </c>
      <c r="O456" t="n">
        <v>0</v>
      </c>
      <c r="P456" t="n">
        <v>0</v>
      </c>
      <c r="Q456" t="n">
        <v>0</v>
      </c>
      <c r="R456" s="2" t="inlineStr"/>
    </row>
    <row r="457" ht="15" customHeight="1">
      <c r="A457" t="inlineStr">
        <is>
          <t>A 7284-2024</t>
        </is>
      </c>
      <c r="B457" s="1" t="n">
        <v>45344.92865740741</v>
      </c>
      <c r="C457" s="1" t="n">
        <v>46113</v>
      </c>
      <c r="D457" t="inlineStr">
        <is>
          <t>JÄMTLANDS LÄN</t>
        </is>
      </c>
      <c r="E457" t="inlineStr">
        <is>
          <t>RAGUNDA</t>
        </is>
      </c>
      <c r="G457" t="n">
        <v>2.1</v>
      </c>
      <c r="H457" t="n">
        <v>0</v>
      </c>
      <c r="I457" t="n">
        <v>0</v>
      </c>
      <c r="J457" t="n">
        <v>0</v>
      </c>
      <c r="K457" t="n">
        <v>0</v>
      </c>
      <c r="L457" t="n">
        <v>0</v>
      </c>
      <c r="M457" t="n">
        <v>0</v>
      </c>
      <c r="N457" t="n">
        <v>0</v>
      </c>
      <c r="O457" t="n">
        <v>0</v>
      </c>
      <c r="P457" t="n">
        <v>0</v>
      </c>
      <c r="Q457" t="n">
        <v>0</v>
      </c>
      <c r="R457" s="2" t="inlineStr"/>
    </row>
    <row r="458" ht="15" customHeight="1">
      <c r="A458" t="inlineStr">
        <is>
          <t>A 7285-2024</t>
        </is>
      </c>
      <c r="B458" s="1" t="n">
        <v>45344.92873842592</v>
      </c>
      <c r="C458" s="1" t="n">
        <v>46113</v>
      </c>
      <c r="D458" t="inlineStr">
        <is>
          <t>JÄMTLANDS LÄN</t>
        </is>
      </c>
      <c r="E458" t="inlineStr">
        <is>
          <t>RAGUNDA</t>
        </is>
      </c>
      <c r="G458" t="n">
        <v>0.5</v>
      </c>
      <c r="H458" t="n">
        <v>0</v>
      </c>
      <c r="I458" t="n">
        <v>0</v>
      </c>
      <c r="J458" t="n">
        <v>0</v>
      </c>
      <c r="K458" t="n">
        <v>0</v>
      </c>
      <c r="L458" t="n">
        <v>0</v>
      </c>
      <c r="M458" t="n">
        <v>0</v>
      </c>
      <c r="N458" t="n">
        <v>0</v>
      </c>
      <c r="O458" t="n">
        <v>0</v>
      </c>
      <c r="P458" t="n">
        <v>0</v>
      </c>
      <c r="Q458" t="n">
        <v>0</v>
      </c>
      <c r="R458" s="2" t="inlineStr"/>
    </row>
    <row r="459" ht="15" customHeight="1">
      <c r="A459" t="inlineStr">
        <is>
          <t>A 2242-2024</t>
        </is>
      </c>
      <c r="B459" s="1" t="n">
        <v>45309</v>
      </c>
      <c r="C459" s="1" t="n">
        <v>46113</v>
      </c>
      <c r="D459" t="inlineStr">
        <is>
          <t>JÄMTLANDS LÄN</t>
        </is>
      </c>
      <c r="E459" t="inlineStr">
        <is>
          <t>RAGUNDA</t>
        </is>
      </c>
      <c r="G459" t="n">
        <v>0.9</v>
      </c>
      <c r="H459" t="n">
        <v>0</v>
      </c>
      <c r="I459" t="n">
        <v>0</v>
      </c>
      <c r="J459" t="n">
        <v>0</v>
      </c>
      <c r="K459" t="n">
        <v>0</v>
      </c>
      <c r="L459" t="n">
        <v>0</v>
      </c>
      <c r="M459" t="n">
        <v>0</v>
      </c>
      <c r="N459" t="n">
        <v>0</v>
      </c>
      <c r="O459" t="n">
        <v>0</v>
      </c>
      <c r="P459" t="n">
        <v>0</v>
      </c>
      <c r="Q459" t="n">
        <v>0</v>
      </c>
      <c r="R459" s="2" t="inlineStr"/>
    </row>
    <row r="460" ht="15" customHeight="1">
      <c r="A460" t="inlineStr">
        <is>
          <t>A 2248-2024</t>
        </is>
      </c>
      <c r="B460" s="1" t="n">
        <v>45309</v>
      </c>
      <c r="C460" s="1" t="n">
        <v>46113</v>
      </c>
      <c r="D460" t="inlineStr">
        <is>
          <t>JÄMTLANDS LÄN</t>
        </is>
      </c>
      <c r="E460" t="inlineStr">
        <is>
          <t>RAGUNDA</t>
        </is>
      </c>
      <c r="G460" t="n">
        <v>4.2</v>
      </c>
      <c r="H460" t="n">
        <v>0</v>
      </c>
      <c r="I460" t="n">
        <v>0</v>
      </c>
      <c r="J460" t="n">
        <v>0</v>
      </c>
      <c r="K460" t="n">
        <v>0</v>
      </c>
      <c r="L460" t="n">
        <v>0</v>
      </c>
      <c r="M460" t="n">
        <v>0</v>
      </c>
      <c r="N460" t="n">
        <v>0</v>
      </c>
      <c r="O460" t="n">
        <v>0</v>
      </c>
      <c r="P460" t="n">
        <v>0</v>
      </c>
      <c r="Q460" t="n">
        <v>0</v>
      </c>
      <c r="R460" s="2" t="inlineStr"/>
    </row>
    <row r="461" ht="15" customHeight="1">
      <c r="A461" t="inlineStr">
        <is>
          <t>A 12585-2024</t>
        </is>
      </c>
      <c r="B461" s="1" t="n">
        <v>45379.93637731481</v>
      </c>
      <c r="C461" s="1" t="n">
        <v>46113</v>
      </c>
      <c r="D461" t="inlineStr">
        <is>
          <t>JÄMTLANDS LÄN</t>
        </is>
      </c>
      <c r="E461" t="inlineStr">
        <is>
          <t>RAGUNDA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15581-2024</t>
        </is>
      </c>
      <c r="B462" s="1" t="n">
        <v>45401</v>
      </c>
      <c r="C462" s="1" t="n">
        <v>46113</v>
      </c>
      <c r="D462" t="inlineStr">
        <is>
          <t>JÄMTLANDS LÄN</t>
        </is>
      </c>
      <c r="E462" t="inlineStr">
        <is>
          <t>RAGUNDA</t>
        </is>
      </c>
      <c r="F462" t="inlineStr">
        <is>
          <t>Kommuner</t>
        </is>
      </c>
      <c r="G462" t="n">
        <v>2.2</v>
      </c>
      <c r="H462" t="n">
        <v>0</v>
      </c>
      <c r="I462" t="n">
        <v>0</v>
      </c>
      <c r="J462" t="n">
        <v>0</v>
      </c>
      <c r="K462" t="n">
        <v>0</v>
      </c>
      <c r="L462" t="n">
        <v>0</v>
      </c>
      <c r="M462" t="n">
        <v>0</v>
      </c>
      <c r="N462" t="n">
        <v>0</v>
      </c>
      <c r="O462" t="n">
        <v>0</v>
      </c>
      <c r="P462" t="n">
        <v>0</v>
      </c>
      <c r="Q462" t="n">
        <v>0</v>
      </c>
      <c r="R462" s="2" t="inlineStr"/>
    </row>
    <row r="463" ht="15" customHeight="1">
      <c r="A463" t="inlineStr">
        <is>
          <t>A 15611-2024</t>
        </is>
      </c>
      <c r="B463" s="1" t="n">
        <v>45401</v>
      </c>
      <c r="C463" s="1" t="n">
        <v>46113</v>
      </c>
      <c r="D463" t="inlineStr">
        <is>
          <t>JÄMTLANDS LÄN</t>
        </is>
      </c>
      <c r="E463" t="inlineStr">
        <is>
          <t>RAGUNDA</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24197-2024</t>
        </is>
      </c>
      <c r="B464" s="1" t="n">
        <v>45456.96601851852</v>
      </c>
      <c r="C464" s="1" t="n">
        <v>46113</v>
      </c>
      <c r="D464" t="inlineStr">
        <is>
          <t>JÄMTLANDS LÄN</t>
        </is>
      </c>
      <c r="E464" t="inlineStr">
        <is>
          <t>RAGUNDA</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4916-2025</t>
        </is>
      </c>
      <c r="B465" s="1" t="n">
        <v>45688.68196759259</v>
      </c>
      <c r="C465" s="1" t="n">
        <v>46113</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11780-2024</t>
        </is>
      </c>
      <c r="B466" s="1" t="n">
        <v>45374</v>
      </c>
      <c r="C466" s="1" t="n">
        <v>46113</v>
      </c>
      <c r="D466" t="inlineStr">
        <is>
          <t>JÄMTLANDS LÄN</t>
        </is>
      </c>
      <c r="E466" t="inlineStr">
        <is>
          <t>RAGUNDA</t>
        </is>
      </c>
      <c r="G466" t="n">
        <v>14.6</v>
      </c>
      <c r="H466" t="n">
        <v>0</v>
      </c>
      <c r="I466" t="n">
        <v>0</v>
      </c>
      <c r="J466" t="n">
        <v>0</v>
      </c>
      <c r="K466" t="n">
        <v>0</v>
      </c>
      <c r="L466" t="n">
        <v>0</v>
      </c>
      <c r="M466" t="n">
        <v>0</v>
      </c>
      <c r="N466" t="n">
        <v>0</v>
      </c>
      <c r="O466" t="n">
        <v>0</v>
      </c>
      <c r="P466" t="n">
        <v>0</v>
      </c>
      <c r="Q466" t="n">
        <v>0</v>
      </c>
      <c r="R466" s="2" t="inlineStr"/>
    </row>
    <row r="467" ht="15" customHeight="1">
      <c r="A467" t="inlineStr">
        <is>
          <t>A 21524-2024</t>
        </is>
      </c>
      <c r="B467" s="1" t="n">
        <v>45441</v>
      </c>
      <c r="C467" s="1" t="n">
        <v>46113</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41161-2025</t>
        </is>
      </c>
      <c r="B468" s="1" t="n">
        <v>45898.53193287037</v>
      </c>
      <c r="C468" s="1" t="n">
        <v>46113</v>
      </c>
      <c r="D468" t="inlineStr">
        <is>
          <t>JÄMTLANDS LÄN</t>
        </is>
      </c>
      <c r="E468" t="inlineStr">
        <is>
          <t>RAGUNDA</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41140-2025</t>
        </is>
      </c>
      <c r="B469" s="1" t="n">
        <v>45898.49012731481</v>
      </c>
      <c r="C469" s="1" t="n">
        <v>46113</v>
      </c>
      <c r="D469" t="inlineStr">
        <is>
          <t>JÄMTLANDS LÄN</t>
        </is>
      </c>
      <c r="E469" t="inlineStr">
        <is>
          <t>RAGUNDA</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22131-2021</t>
        </is>
      </c>
      <c r="B470" s="1" t="n">
        <v>44323</v>
      </c>
      <c r="C470" s="1" t="n">
        <v>46113</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59557-2023</t>
        </is>
      </c>
      <c r="B471" s="1" t="n">
        <v>45253</v>
      </c>
      <c r="C471" s="1" t="n">
        <v>46113</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23305-2023</t>
        </is>
      </c>
      <c r="B472" s="1" t="n">
        <v>45075.94506944445</v>
      </c>
      <c r="C472" s="1" t="n">
        <v>46113</v>
      </c>
      <c r="D472" t="inlineStr">
        <is>
          <t>JÄMTLANDS LÄN</t>
        </is>
      </c>
      <c r="E472" t="inlineStr">
        <is>
          <t>RAGUNDA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38664-2022</t>
        </is>
      </c>
      <c r="B473" s="1" t="n">
        <v>44813</v>
      </c>
      <c r="C473" s="1" t="n">
        <v>46113</v>
      </c>
      <c r="D473" t="inlineStr">
        <is>
          <t>JÄMTLANDS LÄN</t>
        </is>
      </c>
      <c r="E473" t="inlineStr">
        <is>
          <t>RAGUNDA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42893-2022</t>
        </is>
      </c>
      <c r="B474" s="1" t="n">
        <v>44832</v>
      </c>
      <c r="C474" s="1" t="n">
        <v>46113</v>
      </c>
      <c r="D474" t="inlineStr">
        <is>
          <t>JÄMTLANDS LÄN</t>
        </is>
      </c>
      <c r="E474" t="inlineStr">
        <is>
          <t>RAGUNDA</t>
        </is>
      </c>
      <c r="F474" t="inlineStr">
        <is>
          <t>SCA</t>
        </is>
      </c>
      <c r="G474" t="n">
        <v>28.4</v>
      </c>
      <c r="H474" t="n">
        <v>0</v>
      </c>
      <c r="I474" t="n">
        <v>0</v>
      </c>
      <c r="J474" t="n">
        <v>0</v>
      </c>
      <c r="K474" t="n">
        <v>0</v>
      </c>
      <c r="L474" t="n">
        <v>0</v>
      </c>
      <c r="M474" t="n">
        <v>0</v>
      </c>
      <c r="N474" t="n">
        <v>0</v>
      </c>
      <c r="O474" t="n">
        <v>0</v>
      </c>
      <c r="P474" t="n">
        <v>0</v>
      </c>
      <c r="Q474" t="n">
        <v>0</v>
      </c>
      <c r="R474" s="2" t="inlineStr"/>
    </row>
    <row r="475" ht="15" customHeight="1">
      <c r="A475" t="inlineStr">
        <is>
          <t>A 38425-2022</t>
        </is>
      </c>
      <c r="B475" s="1" t="n">
        <v>44812.94709490741</v>
      </c>
      <c r="C475" s="1" t="n">
        <v>46113</v>
      </c>
      <c r="D475" t="inlineStr">
        <is>
          <t>JÄMTLANDS LÄN</t>
        </is>
      </c>
      <c r="E475" t="inlineStr">
        <is>
          <t>RAGUNDA</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36922-2022</t>
        </is>
      </c>
      <c r="B476" s="1" t="n">
        <v>44805.94592592592</v>
      </c>
      <c r="C476" s="1" t="n">
        <v>46113</v>
      </c>
      <c r="D476" t="inlineStr">
        <is>
          <t>JÄMTLANDS LÄN</t>
        </is>
      </c>
      <c r="E476" t="inlineStr">
        <is>
          <t>RAGUNDA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4615-2023</t>
        </is>
      </c>
      <c r="B477" s="1" t="n">
        <v>44956.93924768519</v>
      </c>
      <c r="C477" s="1" t="n">
        <v>46113</v>
      </c>
      <c r="D477" t="inlineStr">
        <is>
          <t>JÄMTLANDS LÄN</t>
        </is>
      </c>
      <c r="E477" t="inlineStr">
        <is>
          <t>RAGUNDA</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2673-2024</t>
        </is>
      </c>
      <c r="B478" s="1" t="n">
        <v>45314</v>
      </c>
      <c r="C478" s="1" t="n">
        <v>46113</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41233-2025</t>
        </is>
      </c>
      <c r="B479" s="1" t="n">
        <v>45898.59295138889</v>
      </c>
      <c r="C479" s="1" t="n">
        <v>46113</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41262-2025</t>
        </is>
      </c>
      <c r="B480" s="1" t="n">
        <v>45898.61502314815</v>
      </c>
      <c r="C480" s="1" t="n">
        <v>46113</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57112-2024</t>
        </is>
      </c>
      <c r="B481" s="1" t="n">
        <v>45629.36486111111</v>
      </c>
      <c r="C481" s="1" t="n">
        <v>46113</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36375-2022</t>
        </is>
      </c>
      <c r="B482" s="1" t="n">
        <v>44803.94351851852</v>
      </c>
      <c r="C482" s="1" t="n">
        <v>46113</v>
      </c>
      <c r="D482" t="inlineStr">
        <is>
          <t>JÄMTLANDS LÄN</t>
        </is>
      </c>
      <c r="E482" t="inlineStr">
        <is>
          <t>RAGUNDA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14513-2025</t>
        </is>
      </c>
      <c r="B483" s="1" t="n">
        <v>45741.63675925926</v>
      </c>
      <c r="C483" s="1" t="n">
        <v>46113</v>
      </c>
      <c r="D483" t="inlineStr">
        <is>
          <t>JÄMTLANDS LÄN</t>
        </is>
      </c>
      <c r="E483" t="inlineStr">
        <is>
          <t>RAGUNDA</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17667-2025</t>
        </is>
      </c>
      <c r="B484" s="1" t="n">
        <v>45758.36487268518</v>
      </c>
      <c r="C484" s="1" t="n">
        <v>46113</v>
      </c>
      <c r="D484" t="inlineStr">
        <is>
          <t>JÄMTLANDS LÄN</t>
        </is>
      </c>
      <c r="E484" t="inlineStr">
        <is>
          <t>RAGUNDA</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5148-2023</t>
        </is>
      </c>
      <c r="B485" s="1" t="n">
        <v>44958</v>
      </c>
      <c r="C485" s="1" t="n">
        <v>46113</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51049-2024</t>
        </is>
      </c>
      <c r="B486" s="1" t="n">
        <v>45603.44644675926</v>
      </c>
      <c r="C486" s="1" t="n">
        <v>46113</v>
      </c>
      <c r="D486" t="inlineStr">
        <is>
          <t>JÄMTLANDS LÄN</t>
        </is>
      </c>
      <c r="E486" t="inlineStr">
        <is>
          <t>RAGUNDA</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41422-2025</t>
        </is>
      </c>
      <c r="B487" s="1" t="n">
        <v>45901.38572916666</v>
      </c>
      <c r="C487" s="1" t="n">
        <v>46113</v>
      </c>
      <c r="D487" t="inlineStr">
        <is>
          <t>JÄMTLANDS LÄN</t>
        </is>
      </c>
      <c r="E487" t="inlineStr">
        <is>
          <t>RAGUNDA</t>
        </is>
      </c>
      <c r="G487" t="n">
        <v>4.3</v>
      </c>
      <c r="H487" t="n">
        <v>0</v>
      </c>
      <c r="I487" t="n">
        <v>0</v>
      </c>
      <c r="J487" t="n">
        <v>0</v>
      </c>
      <c r="K487" t="n">
        <v>0</v>
      </c>
      <c r="L487" t="n">
        <v>0</v>
      </c>
      <c r="M487" t="n">
        <v>0</v>
      </c>
      <c r="N487" t="n">
        <v>0</v>
      </c>
      <c r="O487" t="n">
        <v>0</v>
      </c>
      <c r="P487" t="n">
        <v>0</v>
      </c>
      <c r="Q487" t="n">
        <v>0</v>
      </c>
      <c r="R487" s="2" t="inlineStr"/>
    </row>
    <row r="488" ht="15" customHeight="1">
      <c r="A488" t="inlineStr">
        <is>
          <t>A 55489-2024</t>
        </is>
      </c>
      <c r="B488" s="1" t="n">
        <v>45622.44774305556</v>
      </c>
      <c r="C488" s="1" t="n">
        <v>46113</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9326-2024</t>
        </is>
      </c>
      <c r="B489" s="1" t="n">
        <v>45358.95818287037</v>
      </c>
      <c r="C489" s="1" t="n">
        <v>46113</v>
      </c>
      <c r="D489" t="inlineStr">
        <is>
          <t>JÄMTLANDS LÄN</t>
        </is>
      </c>
      <c r="E489" t="inlineStr">
        <is>
          <t>RAGUNDA</t>
        </is>
      </c>
      <c r="G489" t="n">
        <v>0.7</v>
      </c>
      <c r="H489" t="n">
        <v>0</v>
      </c>
      <c r="I489" t="n">
        <v>0</v>
      </c>
      <c r="J489" t="n">
        <v>0</v>
      </c>
      <c r="K489" t="n">
        <v>0</v>
      </c>
      <c r="L489" t="n">
        <v>0</v>
      </c>
      <c r="M489" t="n">
        <v>0</v>
      </c>
      <c r="N489" t="n">
        <v>0</v>
      </c>
      <c r="O489" t="n">
        <v>0</v>
      </c>
      <c r="P489" t="n">
        <v>0</v>
      </c>
      <c r="Q489" t="n">
        <v>0</v>
      </c>
      <c r="R489" s="2" t="inlineStr"/>
    </row>
    <row r="490" ht="15" customHeight="1">
      <c r="A490" t="inlineStr">
        <is>
          <t>A 41423-2025</t>
        </is>
      </c>
      <c r="B490" s="1" t="n">
        <v>45901.38578703703</v>
      </c>
      <c r="C490" s="1" t="n">
        <v>46113</v>
      </c>
      <c r="D490" t="inlineStr">
        <is>
          <t>JÄMTLANDS LÄN</t>
        </is>
      </c>
      <c r="E490" t="inlineStr">
        <is>
          <t>RAGUNDA</t>
        </is>
      </c>
      <c r="G490" t="n">
        <v>0.7</v>
      </c>
      <c r="H490" t="n">
        <v>0</v>
      </c>
      <c r="I490" t="n">
        <v>0</v>
      </c>
      <c r="J490" t="n">
        <v>0</v>
      </c>
      <c r="K490" t="n">
        <v>0</v>
      </c>
      <c r="L490" t="n">
        <v>0</v>
      </c>
      <c r="M490" t="n">
        <v>0</v>
      </c>
      <c r="N490" t="n">
        <v>0</v>
      </c>
      <c r="O490" t="n">
        <v>0</v>
      </c>
      <c r="P490" t="n">
        <v>0</v>
      </c>
      <c r="Q490" t="n">
        <v>0</v>
      </c>
      <c r="R490" s="2" t="inlineStr"/>
    </row>
    <row r="491" ht="15" customHeight="1">
      <c r="A491" t="inlineStr">
        <is>
          <t>A 14074-2023</t>
        </is>
      </c>
      <c r="B491" s="1" t="n">
        <v>45009.089375</v>
      </c>
      <c r="C491" s="1" t="n">
        <v>46113</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41656-2025</t>
        </is>
      </c>
      <c r="B492" s="1" t="n">
        <v>45902.34423611111</v>
      </c>
      <c r="C492" s="1" t="n">
        <v>46113</v>
      </c>
      <c r="D492" t="inlineStr">
        <is>
          <t>JÄMTLANDS LÄN</t>
        </is>
      </c>
      <c r="E492" t="inlineStr">
        <is>
          <t>RAGUNDA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41424-2025</t>
        </is>
      </c>
      <c r="B493" s="1" t="n">
        <v>45901.38584490741</v>
      </c>
      <c r="C493" s="1" t="n">
        <v>46113</v>
      </c>
      <c r="D493" t="inlineStr">
        <is>
          <t>JÄMTLANDS LÄN</t>
        </is>
      </c>
      <c r="E493" t="inlineStr">
        <is>
          <t>RAGUNDA</t>
        </is>
      </c>
      <c r="G493" t="n">
        <v>3</v>
      </c>
      <c r="H493" t="n">
        <v>0</v>
      </c>
      <c r="I493" t="n">
        <v>0</v>
      </c>
      <c r="J493" t="n">
        <v>0</v>
      </c>
      <c r="K493" t="n">
        <v>0</v>
      </c>
      <c r="L493" t="n">
        <v>0</v>
      </c>
      <c r="M493" t="n">
        <v>0</v>
      </c>
      <c r="N493" t="n">
        <v>0</v>
      </c>
      <c r="O493" t="n">
        <v>0</v>
      </c>
      <c r="P493" t="n">
        <v>0</v>
      </c>
      <c r="Q493" t="n">
        <v>0</v>
      </c>
      <c r="R493" s="2" t="inlineStr"/>
    </row>
    <row r="494" ht="15" customHeight="1">
      <c r="A494" t="inlineStr">
        <is>
          <t>A 7281-2025</t>
        </is>
      </c>
      <c r="B494" s="1" t="n">
        <v>45702.63572916666</v>
      </c>
      <c r="C494" s="1" t="n">
        <v>46113</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54764-2024</t>
        </is>
      </c>
      <c r="B495" s="1" t="n">
        <v>45618.46921296296</v>
      </c>
      <c r="C495" s="1" t="n">
        <v>46113</v>
      </c>
      <c r="D495" t="inlineStr">
        <is>
          <t>JÄMTLANDS LÄN</t>
        </is>
      </c>
      <c r="E495" t="inlineStr">
        <is>
          <t>RAGUNDA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13935-2024</t>
        </is>
      </c>
      <c r="B496" s="1" t="n">
        <v>45391.95329861111</v>
      </c>
      <c r="C496" s="1" t="n">
        <v>46113</v>
      </c>
      <c r="D496" t="inlineStr">
        <is>
          <t>JÄMTLANDS LÄN</t>
        </is>
      </c>
      <c r="E496" t="inlineStr">
        <is>
          <t>RAGUNDA</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7279-2024</t>
        </is>
      </c>
      <c r="B497" s="1" t="n">
        <v>45344.92822916667</v>
      </c>
      <c r="C497" s="1" t="n">
        <v>46113</v>
      </c>
      <c r="D497" t="inlineStr">
        <is>
          <t>JÄMTLANDS LÄN</t>
        </is>
      </c>
      <c r="E497" t="inlineStr">
        <is>
          <t>RAGUNDA</t>
        </is>
      </c>
      <c r="G497" t="n">
        <v>2.1</v>
      </c>
      <c r="H497" t="n">
        <v>0</v>
      </c>
      <c r="I497" t="n">
        <v>0</v>
      </c>
      <c r="J497" t="n">
        <v>0</v>
      </c>
      <c r="K497" t="n">
        <v>0</v>
      </c>
      <c r="L497" t="n">
        <v>0</v>
      </c>
      <c r="M497" t="n">
        <v>0</v>
      </c>
      <c r="N497" t="n">
        <v>0</v>
      </c>
      <c r="O497" t="n">
        <v>0</v>
      </c>
      <c r="P497" t="n">
        <v>0</v>
      </c>
      <c r="Q497" t="n">
        <v>0</v>
      </c>
      <c r="R497" s="2" t="inlineStr"/>
    </row>
    <row r="498" ht="15" customHeight="1">
      <c r="A498" t="inlineStr">
        <is>
          <t>A 18777-2024</t>
        </is>
      </c>
      <c r="B498" s="1" t="n">
        <v>45426</v>
      </c>
      <c r="C498" s="1" t="n">
        <v>46113</v>
      </c>
      <c r="D498" t="inlineStr">
        <is>
          <t>JÄMTLANDS LÄN</t>
        </is>
      </c>
      <c r="E498" t="inlineStr">
        <is>
          <t>RAGUNDA</t>
        </is>
      </c>
      <c r="G498" t="n">
        <v>1.9</v>
      </c>
      <c r="H498" t="n">
        <v>0</v>
      </c>
      <c r="I498" t="n">
        <v>0</v>
      </c>
      <c r="J498" t="n">
        <v>0</v>
      </c>
      <c r="K498" t="n">
        <v>0</v>
      </c>
      <c r="L498" t="n">
        <v>0</v>
      </c>
      <c r="M498" t="n">
        <v>0</v>
      </c>
      <c r="N498" t="n">
        <v>0</v>
      </c>
      <c r="O498" t="n">
        <v>0</v>
      </c>
      <c r="P498" t="n">
        <v>0</v>
      </c>
      <c r="Q498" t="n">
        <v>0</v>
      </c>
      <c r="R498" s="2" t="inlineStr"/>
    </row>
    <row r="499" ht="15" customHeight="1">
      <c r="A499" t="inlineStr">
        <is>
          <t>A 62407-2023</t>
        </is>
      </c>
      <c r="B499" s="1" t="n">
        <v>45266</v>
      </c>
      <c r="C499" s="1" t="n">
        <v>46113</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38191-2024</t>
        </is>
      </c>
      <c r="B500" s="1" t="n">
        <v>45545.49078703704</v>
      </c>
      <c r="C500" s="1" t="n">
        <v>46113</v>
      </c>
      <c r="D500" t="inlineStr">
        <is>
          <t>JÄMTLANDS LÄN</t>
        </is>
      </c>
      <c r="E500" t="inlineStr">
        <is>
          <t>RAGUNDA</t>
        </is>
      </c>
      <c r="G500" t="n">
        <v>1.6</v>
      </c>
      <c r="H500" t="n">
        <v>0</v>
      </c>
      <c r="I500" t="n">
        <v>0</v>
      </c>
      <c r="J500" t="n">
        <v>0</v>
      </c>
      <c r="K500" t="n">
        <v>0</v>
      </c>
      <c r="L500" t="n">
        <v>0</v>
      </c>
      <c r="M500" t="n">
        <v>0</v>
      </c>
      <c r="N500" t="n">
        <v>0</v>
      </c>
      <c r="O500" t="n">
        <v>0</v>
      </c>
      <c r="P500" t="n">
        <v>0</v>
      </c>
      <c r="Q500" t="n">
        <v>0</v>
      </c>
      <c r="R500" s="2" t="inlineStr"/>
    </row>
    <row r="501" ht="15" customHeight="1">
      <c r="A501" t="inlineStr">
        <is>
          <t>A 41876-2025</t>
        </is>
      </c>
      <c r="B501" s="1" t="n">
        <v>45903.34555555556</v>
      </c>
      <c r="C501" s="1" t="n">
        <v>46113</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59670-2023</t>
        </is>
      </c>
      <c r="B502" s="1" t="n">
        <v>45254.96516203704</v>
      </c>
      <c r="C502" s="1" t="n">
        <v>46113</v>
      </c>
      <c r="D502" t="inlineStr">
        <is>
          <t>JÄMTLANDS LÄN</t>
        </is>
      </c>
      <c r="E502" t="inlineStr">
        <is>
          <t>RAGUNDA</t>
        </is>
      </c>
      <c r="F502" t="inlineStr">
        <is>
          <t>SCA</t>
        </is>
      </c>
      <c r="G502" t="n">
        <v>7.6</v>
      </c>
      <c r="H502" t="n">
        <v>0</v>
      </c>
      <c r="I502" t="n">
        <v>0</v>
      </c>
      <c r="J502" t="n">
        <v>0</v>
      </c>
      <c r="K502" t="n">
        <v>0</v>
      </c>
      <c r="L502" t="n">
        <v>0</v>
      </c>
      <c r="M502" t="n">
        <v>0</v>
      </c>
      <c r="N502" t="n">
        <v>0</v>
      </c>
      <c r="O502" t="n">
        <v>0</v>
      </c>
      <c r="P502" t="n">
        <v>0</v>
      </c>
      <c r="Q502" t="n">
        <v>0</v>
      </c>
      <c r="R502" s="2" t="inlineStr"/>
    </row>
    <row r="503" ht="15" customHeight="1">
      <c r="A503" t="inlineStr">
        <is>
          <t>A 10706-2023</t>
        </is>
      </c>
      <c r="B503" s="1" t="n">
        <v>44984</v>
      </c>
      <c r="C503" s="1" t="n">
        <v>46113</v>
      </c>
      <c r="D503" t="inlineStr">
        <is>
          <t>JÄMTLANDS LÄN</t>
        </is>
      </c>
      <c r="E503" t="inlineStr">
        <is>
          <t>RAGUNDA</t>
        </is>
      </c>
      <c r="G503" t="n">
        <v>7.7</v>
      </c>
      <c r="H503" t="n">
        <v>0</v>
      </c>
      <c r="I503" t="n">
        <v>0</v>
      </c>
      <c r="J503" t="n">
        <v>0</v>
      </c>
      <c r="K503" t="n">
        <v>0</v>
      </c>
      <c r="L503" t="n">
        <v>0</v>
      </c>
      <c r="M503" t="n">
        <v>0</v>
      </c>
      <c r="N503" t="n">
        <v>0</v>
      </c>
      <c r="O503" t="n">
        <v>0</v>
      </c>
      <c r="P503" t="n">
        <v>0</v>
      </c>
      <c r="Q503" t="n">
        <v>0</v>
      </c>
      <c r="R503" s="2" t="inlineStr"/>
    </row>
    <row r="504" ht="15" customHeight="1">
      <c r="A504" t="inlineStr">
        <is>
          <t>A 891-2022</t>
        </is>
      </c>
      <c r="B504" s="1" t="n">
        <v>44571</v>
      </c>
      <c r="C504" s="1" t="n">
        <v>46113</v>
      </c>
      <c r="D504" t="inlineStr">
        <is>
          <t>JÄMTLANDS LÄN</t>
        </is>
      </c>
      <c r="E504" t="inlineStr">
        <is>
          <t>RAGUNDA</t>
        </is>
      </c>
      <c r="G504" t="n">
        <v>1.7</v>
      </c>
      <c r="H504" t="n">
        <v>0</v>
      </c>
      <c r="I504" t="n">
        <v>0</v>
      </c>
      <c r="J504" t="n">
        <v>0</v>
      </c>
      <c r="K504" t="n">
        <v>0</v>
      </c>
      <c r="L504" t="n">
        <v>0</v>
      </c>
      <c r="M504" t="n">
        <v>0</v>
      </c>
      <c r="N504" t="n">
        <v>0</v>
      </c>
      <c r="O504" t="n">
        <v>0</v>
      </c>
      <c r="P504" t="n">
        <v>0</v>
      </c>
      <c r="Q504" t="n">
        <v>0</v>
      </c>
      <c r="R504" s="2" t="inlineStr"/>
    </row>
    <row r="505" ht="15" customHeight="1">
      <c r="A505" t="inlineStr">
        <is>
          <t>A 58193-2022</t>
        </is>
      </c>
      <c r="B505" s="1" t="n">
        <v>44900.95700231481</v>
      </c>
      <c r="C505" s="1" t="n">
        <v>46113</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18194-2025</t>
        </is>
      </c>
      <c r="B506" s="1" t="n">
        <v>45761.67744212963</v>
      </c>
      <c r="C506" s="1" t="n">
        <v>46113</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42269-2025</t>
        </is>
      </c>
      <c r="B507" s="1" t="n">
        <v>45904.60431712963</v>
      </c>
      <c r="C507" s="1" t="n">
        <v>46113</v>
      </c>
      <c r="D507" t="inlineStr">
        <is>
          <t>JÄMTLANDS LÄN</t>
        </is>
      </c>
      <c r="E507" t="inlineStr">
        <is>
          <t>RAGUNDA</t>
        </is>
      </c>
      <c r="G507" t="n">
        <v>4.3</v>
      </c>
      <c r="H507" t="n">
        <v>0</v>
      </c>
      <c r="I507" t="n">
        <v>0</v>
      </c>
      <c r="J507" t="n">
        <v>0</v>
      </c>
      <c r="K507" t="n">
        <v>0</v>
      </c>
      <c r="L507" t="n">
        <v>0</v>
      </c>
      <c r="M507" t="n">
        <v>0</v>
      </c>
      <c r="N507" t="n">
        <v>0</v>
      </c>
      <c r="O507" t="n">
        <v>0</v>
      </c>
      <c r="P507" t="n">
        <v>0</v>
      </c>
      <c r="Q507" t="n">
        <v>0</v>
      </c>
      <c r="R507" s="2" t="inlineStr"/>
    </row>
    <row r="508" ht="15" customHeight="1">
      <c r="A508" t="inlineStr">
        <is>
          <t>A 26991-2023</t>
        </is>
      </c>
      <c r="B508" s="1" t="n">
        <v>45093.92207175926</v>
      </c>
      <c r="C508" s="1" t="n">
        <v>46113</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8416-2023</t>
        </is>
      </c>
      <c r="B509" s="1" t="n">
        <v>44977.44373842593</v>
      </c>
      <c r="C509" s="1" t="n">
        <v>46113</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40801-2023</t>
        </is>
      </c>
      <c r="B510" s="1" t="n">
        <v>45170</v>
      </c>
      <c r="C510" s="1" t="n">
        <v>46113</v>
      </c>
      <c r="D510" t="inlineStr">
        <is>
          <t>JÄMTLANDS LÄN</t>
        </is>
      </c>
      <c r="E510" t="inlineStr">
        <is>
          <t>RAGUNDA</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13299-2024</t>
        </is>
      </c>
      <c r="B511" s="1" t="n">
        <v>45386.68003472222</v>
      </c>
      <c r="C511" s="1" t="n">
        <v>46113</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58537-2022</t>
        </is>
      </c>
      <c r="B512" s="1" t="n">
        <v>44894</v>
      </c>
      <c r="C512" s="1" t="n">
        <v>46113</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53347-2023</t>
        </is>
      </c>
      <c r="B513" s="1" t="n">
        <v>45223</v>
      </c>
      <c r="C513" s="1" t="n">
        <v>46113</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33763-2025</t>
        </is>
      </c>
      <c r="B514" s="1" t="n">
        <v>45842.38579861111</v>
      </c>
      <c r="C514" s="1" t="n">
        <v>46113</v>
      </c>
      <c r="D514" t="inlineStr">
        <is>
          <t>JÄMTLANDS LÄN</t>
        </is>
      </c>
      <c r="E514" t="inlineStr">
        <is>
          <t>RAGUNDA</t>
        </is>
      </c>
      <c r="F514" t="inlineStr">
        <is>
          <t>SCA</t>
        </is>
      </c>
      <c r="G514" t="n">
        <v>13.4</v>
      </c>
      <c r="H514" t="n">
        <v>0</v>
      </c>
      <c r="I514" t="n">
        <v>0</v>
      </c>
      <c r="J514" t="n">
        <v>0</v>
      </c>
      <c r="K514" t="n">
        <v>0</v>
      </c>
      <c r="L514" t="n">
        <v>0</v>
      </c>
      <c r="M514" t="n">
        <v>0</v>
      </c>
      <c r="N514" t="n">
        <v>0</v>
      </c>
      <c r="O514" t="n">
        <v>0</v>
      </c>
      <c r="P514" t="n">
        <v>0</v>
      </c>
      <c r="Q514" t="n">
        <v>0</v>
      </c>
      <c r="R514" s="2" t="inlineStr"/>
    </row>
    <row r="515" ht="15" customHeight="1">
      <c r="A515" t="inlineStr">
        <is>
          <t>A 22948-2024</t>
        </is>
      </c>
      <c r="B515" s="1" t="n">
        <v>45448.94600694445</v>
      </c>
      <c r="C515" s="1" t="n">
        <v>46113</v>
      </c>
      <c r="D515" t="inlineStr">
        <is>
          <t>JÄMTLANDS LÄN</t>
        </is>
      </c>
      <c r="E515" t="inlineStr">
        <is>
          <t>RAGUNDA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27499-2024</t>
        </is>
      </c>
      <c r="B516" s="1" t="n">
        <v>45474.50608796296</v>
      </c>
      <c r="C516" s="1" t="n">
        <v>46113</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52148-2024</t>
        </is>
      </c>
      <c r="B517" s="1" t="n">
        <v>45608.52354166667</v>
      </c>
      <c r="C517" s="1" t="n">
        <v>46113</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53678-2022</t>
        </is>
      </c>
      <c r="B518" s="1" t="n">
        <v>44879.95768518518</v>
      </c>
      <c r="C518" s="1" t="n">
        <v>46113</v>
      </c>
      <c r="D518" t="inlineStr">
        <is>
          <t>JÄMTLANDS LÄN</t>
        </is>
      </c>
      <c r="E518" t="inlineStr">
        <is>
          <t>RAGUNDA</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462-2023</t>
        </is>
      </c>
      <c r="B519" s="1" t="n">
        <v>44929</v>
      </c>
      <c r="C519" s="1" t="n">
        <v>46113</v>
      </c>
      <c r="D519" t="inlineStr">
        <is>
          <t>JÄMTLANDS LÄN</t>
        </is>
      </c>
      <c r="E519" t="inlineStr">
        <is>
          <t>RAGUNDA</t>
        </is>
      </c>
      <c r="G519" t="n">
        <v>4.5</v>
      </c>
      <c r="H519" t="n">
        <v>0</v>
      </c>
      <c r="I519" t="n">
        <v>0</v>
      </c>
      <c r="J519" t="n">
        <v>0</v>
      </c>
      <c r="K519" t="n">
        <v>0</v>
      </c>
      <c r="L519" t="n">
        <v>0</v>
      </c>
      <c r="M519" t="n">
        <v>0</v>
      </c>
      <c r="N519" t="n">
        <v>0</v>
      </c>
      <c r="O519" t="n">
        <v>0</v>
      </c>
      <c r="P519" t="n">
        <v>0</v>
      </c>
      <c r="Q519" t="n">
        <v>0</v>
      </c>
      <c r="R519" s="2" t="inlineStr"/>
    </row>
    <row r="520" ht="15" customHeight="1">
      <c r="A520" t="inlineStr">
        <is>
          <t>A 14369-2024</t>
        </is>
      </c>
      <c r="B520" s="1" t="n">
        <v>45393.94459490741</v>
      </c>
      <c r="C520" s="1" t="n">
        <v>46113</v>
      </c>
      <c r="D520" t="inlineStr">
        <is>
          <t>JÄMTLANDS LÄN</t>
        </is>
      </c>
      <c r="E520" t="inlineStr">
        <is>
          <t>RAGUNDA</t>
        </is>
      </c>
      <c r="F520" t="inlineStr">
        <is>
          <t>Naturvårdsverket</t>
        </is>
      </c>
      <c r="G520" t="n">
        <v>1.8</v>
      </c>
      <c r="H520" t="n">
        <v>0</v>
      </c>
      <c r="I520" t="n">
        <v>0</v>
      </c>
      <c r="J520" t="n">
        <v>0</v>
      </c>
      <c r="K520" t="n">
        <v>0</v>
      </c>
      <c r="L520" t="n">
        <v>0</v>
      </c>
      <c r="M520" t="n">
        <v>0</v>
      </c>
      <c r="N520" t="n">
        <v>0</v>
      </c>
      <c r="O520" t="n">
        <v>0</v>
      </c>
      <c r="P520" t="n">
        <v>0</v>
      </c>
      <c r="Q520" t="n">
        <v>0</v>
      </c>
      <c r="R520" s="2" t="inlineStr"/>
    </row>
    <row r="521" ht="15" customHeight="1">
      <c r="A521" t="inlineStr">
        <is>
          <t>A 10639-2024</t>
        </is>
      </c>
      <c r="B521" s="1" t="n">
        <v>45367.67256944445</v>
      </c>
      <c r="C521" s="1" t="n">
        <v>46113</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26645-2024</t>
        </is>
      </c>
      <c r="B522" s="1" t="n">
        <v>45469.94667824074</v>
      </c>
      <c r="C522" s="1" t="n">
        <v>46113</v>
      </c>
      <c r="D522" t="inlineStr">
        <is>
          <t>JÄMTLANDS LÄN</t>
        </is>
      </c>
      <c r="E522" t="inlineStr">
        <is>
          <t>RAGUNDA</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32258-2024</t>
        </is>
      </c>
      <c r="B523" s="1" t="n">
        <v>45511</v>
      </c>
      <c r="C523" s="1" t="n">
        <v>46113</v>
      </c>
      <c r="D523" t="inlineStr">
        <is>
          <t>JÄMTLANDS LÄN</t>
        </is>
      </c>
      <c r="E523" t="inlineStr">
        <is>
          <t>RAGUNDA</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43330-2025</t>
        </is>
      </c>
      <c r="B524" s="1" t="n">
        <v>45910.67766203704</v>
      </c>
      <c r="C524" s="1" t="n">
        <v>46113</v>
      </c>
      <c r="D524" t="inlineStr">
        <is>
          <t>JÄMTLANDS LÄN</t>
        </is>
      </c>
      <c r="E524" t="inlineStr">
        <is>
          <t>RAGUNDA</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50649-2022</t>
        </is>
      </c>
      <c r="B525" s="1" t="n">
        <v>44866</v>
      </c>
      <c r="C525" s="1" t="n">
        <v>46113</v>
      </c>
      <c r="D525" t="inlineStr">
        <is>
          <t>JÄMTLANDS LÄN</t>
        </is>
      </c>
      <c r="E525" t="inlineStr">
        <is>
          <t>RAGUNDA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43181-2025</t>
        </is>
      </c>
      <c r="B526" s="1" t="n">
        <v>45910.40721064815</v>
      </c>
      <c r="C526" s="1" t="n">
        <v>46113</v>
      </c>
      <c r="D526" t="inlineStr">
        <is>
          <t>JÄMTLANDS LÄN</t>
        </is>
      </c>
      <c r="E526" t="inlineStr">
        <is>
          <t>RAGUNDA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43177-2025</t>
        </is>
      </c>
      <c r="B527" s="1" t="n">
        <v>45910.40667824074</v>
      </c>
      <c r="C527" s="1" t="n">
        <v>46113</v>
      </c>
      <c r="D527" t="inlineStr">
        <is>
          <t>JÄMTLANDS LÄN</t>
        </is>
      </c>
      <c r="E527" t="inlineStr">
        <is>
          <t>RAGUNDA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50650-2023</t>
        </is>
      </c>
      <c r="B528" s="1" t="n">
        <v>45210</v>
      </c>
      <c r="C528" s="1" t="n">
        <v>46113</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60195-2023</t>
        </is>
      </c>
      <c r="B529" s="1" t="n">
        <v>45257</v>
      </c>
      <c r="C529" s="1" t="n">
        <v>46113</v>
      </c>
      <c r="D529" t="inlineStr">
        <is>
          <t>JÄMTLANDS LÄN</t>
        </is>
      </c>
      <c r="E529" t="inlineStr">
        <is>
          <t>RAGUNDA</t>
        </is>
      </c>
      <c r="G529" t="n">
        <v>1.7</v>
      </c>
      <c r="H529" t="n">
        <v>0</v>
      </c>
      <c r="I529" t="n">
        <v>0</v>
      </c>
      <c r="J529" t="n">
        <v>0</v>
      </c>
      <c r="K529" t="n">
        <v>0</v>
      </c>
      <c r="L529" t="n">
        <v>0</v>
      </c>
      <c r="M529" t="n">
        <v>0</v>
      </c>
      <c r="N529" t="n">
        <v>0</v>
      </c>
      <c r="O529" t="n">
        <v>0</v>
      </c>
      <c r="P529" t="n">
        <v>0</v>
      </c>
      <c r="Q529" t="n">
        <v>0</v>
      </c>
      <c r="R529" s="2" t="inlineStr"/>
    </row>
    <row r="530" ht="15" customHeight="1">
      <c r="A530" t="inlineStr">
        <is>
          <t>A 24391-2025</t>
        </is>
      </c>
      <c r="B530" s="1" t="n">
        <v>45797.63627314815</v>
      </c>
      <c r="C530" s="1" t="n">
        <v>46113</v>
      </c>
      <c r="D530" t="inlineStr">
        <is>
          <t>JÄMTLANDS LÄN</t>
        </is>
      </c>
      <c r="E530" t="inlineStr">
        <is>
          <t>RAGUNDA</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2819-2023</t>
        </is>
      </c>
      <c r="B531" s="1" t="n">
        <v>44944</v>
      </c>
      <c r="C531" s="1" t="n">
        <v>46113</v>
      </c>
      <c r="D531" t="inlineStr">
        <is>
          <t>JÄMTLANDS LÄN</t>
        </is>
      </c>
      <c r="E531" t="inlineStr">
        <is>
          <t>RAGUNDA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564-2025</t>
        </is>
      </c>
      <c r="B532" s="1" t="n">
        <v>45664.55241898148</v>
      </c>
      <c r="C532" s="1" t="n">
        <v>46113</v>
      </c>
      <c r="D532" t="inlineStr">
        <is>
          <t>JÄMTLANDS LÄN</t>
        </is>
      </c>
      <c r="E532" t="inlineStr">
        <is>
          <t>RAGUNDA</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182-2023</t>
        </is>
      </c>
      <c r="B533" s="1" t="n">
        <v>44922</v>
      </c>
      <c r="C533" s="1" t="n">
        <v>46113</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25376-2025</t>
        </is>
      </c>
      <c r="B534" s="1" t="n">
        <v>45800.63619212963</v>
      </c>
      <c r="C534" s="1" t="n">
        <v>46113</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66011-2021</t>
        </is>
      </c>
      <c r="B535" s="1" t="n">
        <v>44517.58137731482</v>
      </c>
      <c r="C535" s="1" t="n">
        <v>46113</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32904-2024</t>
        </is>
      </c>
      <c r="B536" s="1" t="n">
        <v>45516.94732638889</v>
      </c>
      <c r="C536" s="1" t="n">
        <v>46113</v>
      </c>
      <c r="D536" t="inlineStr">
        <is>
          <t>JÄMTLANDS LÄN</t>
        </is>
      </c>
      <c r="E536" t="inlineStr">
        <is>
          <t>RAGUNDA</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3767-2025</t>
        </is>
      </c>
      <c r="B537" s="1" t="n">
        <v>45681.60203703704</v>
      </c>
      <c r="C537" s="1" t="n">
        <v>46113</v>
      </c>
      <c r="D537" t="inlineStr">
        <is>
          <t>JÄMTLANDS LÄN</t>
        </is>
      </c>
      <c r="E537" t="inlineStr">
        <is>
          <t>RAGUNDA</t>
        </is>
      </c>
      <c r="G537" t="n">
        <v>4.9</v>
      </c>
      <c r="H537" t="n">
        <v>0</v>
      </c>
      <c r="I537" t="n">
        <v>0</v>
      </c>
      <c r="J537" t="n">
        <v>0</v>
      </c>
      <c r="K537" t="n">
        <v>0</v>
      </c>
      <c r="L537" t="n">
        <v>0</v>
      </c>
      <c r="M537" t="n">
        <v>0</v>
      </c>
      <c r="N537" t="n">
        <v>0</v>
      </c>
      <c r="O537" t="n">
        <v>0</v>
      </c>
      <c r="P537" t="n">
        <v>0</v>
      </c>
      <c r="Q537" t="n">
        <v>0</v>
      </c>
      <c r="R537" s="2" t="inlineStr"/>
    </row>
    <row r="538" ht="15" customHeight="1">
      <c r="A538" t="inlineStr">
        <is>
          <t>A 43776-2025</t>
        </is>
      </c>
      <c r="B538" s="1" t="n">
        <v>45912.51086805556</v>
      </c>
      <c r="C538" s="1" t="n">
        <v>46113</v>
      </c>
      <c r="D538" t="inlineStr">
        <is>
          <t>JÄMTLANDS LÄN</t>
        </is>
      </c>
      <c r="E538" t="inlineStr">
        <is>
          <t>RAGUNDA</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3186-2025</t>
        </is>
      </c>
      <c r="B539" s="1" t="n">
        <v>45679.40362268518</v>
      </c>
      <c r="C539" s="1" t="n">
        <v>46113</v>
      </c>
      <c r="D539" t="inlineStr">
        <is>
          <t>JÄMTLANDS LÄN</t>
        </is>
      </c>
      <c r="E539" t="inlineStr">
        <is>
          <t>RAGUNDA</t>
        </is>
      </c>
      <c r="G539" t="n">
        <v>5.2</v>
      </c>
      <c r="H539" t="n">
        <v>0</v>
      </c>
      <c r="I539" t="n">
        <v>0</v>
      </c>
      <c r="J539" t="n">
        <v>0</v>
      </c>
      <c r="K539" t="n">
        <v>0</v>
      </c>
      <c r="L539" t="n">
        <v>0</v>
      </c>
      <c r="M539" t="n">
        <v>0</v>
      </c>
      <c r="N539" t="n">
        <v>0</v>
      </c>
      <c r="O539" t="n">
        <v>0</v>
      </c>
      <c r="P539" t="n">
        <v>0</v>
      </c>
      <c r="Q539" t="n">
        <v>0</v>
      </c>
      <c r="R539" s="2" t="inlineStr"/>
    </row>
    <row r="540" ht="15" customHeight="1">
      <c r="A540" t="inlineStr">
        <is>
          <t>A 43804-2025</t>
        </is>
      </c>
      <c r="B540" s="1" t="n">
        <v>45912.57373842593</v>
      </c>
      <c r="C540" s="1" t="n">
        <v>46113</v>
      </c>
      <c r="D540" t="inlineStr">
        <is>
          <t>JÄMTLANDS LÄN</t>
        </is>
      </c>
      <c r="E540" t="inlineStr">
        <is>
          <t>RAGUNDA</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1308-2025</t>
        </is>
      </c>
      <c r="B541" s="1" t="n">
        <v>45667.55239583334</v>
      </c>
      <c r="C541" s="1" t="n">
        <v>46113</v>
      </c>
      <c r="D541" t="inlineStr">
        <is>
          <t>JÄMTLANDS LÄN</t>
        </is>
      </c>
      <c r="E541" t="inlineStr">
        <is>
          <t>RAGUNDA</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43971-2025</t>
        </is>
      </c>
      <c r="B542" s="1" t="n">
        <v>45915.40694444445</v>
      </c>
      <c r="C542" s="1" t="n">
        <v>46113</v>
      </c>
      <c r="D542" t="inlineStr">
        <is>
          <t>JÄMTLANDS LÄN</t>
        </is>
      </c>
      <c r="E542" t="inlineStr">
        <is>
          <t>RAGUNDA</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41262-2021</t>
        </is>
      </c>
      <c r="B543" s="1" t="n">
        <v>44424</v>
      </c>
      <c r="C543" s="1" t="n">
        <v>46113</v>
      </c>
      <c r="D543" t="inlineStr">
        <is>
          <t>JÄMTLANDS LÄN</t>
        </is>
      </c>
      <c r="E543" t="inlineStr">
        <is>
          <t>RAGUNDA</t>
        </is>
      </c>
      <c r="G543" t="n">
        <v>2.6</v>
      </c>
      <c r="H543" t="n">
        <v>0</v>
      </c>
      <c r="I543" t="n">
        <v>0</v>
      </c>
      <c r="J543" t="n">
        <v>0</v>
      </c>
      <c r="K543" t="n">
        <v>0</v>
      </c>
      <c r="L543" t="n">
        <v>0</v>
      </c>
      <c r="M543" t="n">
        <v>0</v>
      </c>
      <c r="N543" t="n">
        <v>0</v>
      </c>
      <c r="O543" t="n">
        <v>0</v>
      </c>
      <c r="P543" t="n">
        <v>0</v>
      </c>
      <c r="Q543" t="n">
        <v>0</v>
      </c>
      <c r="R543" s="2" t="inlineStr"/>
    </row>
    <row r="544" ht="15" customHeight="1">
      <c r="A544" t="inlineStr">
        <is>
          <t>A 36371-2023</t>
        </is>
      </c>
      <c r="B544" s="1" t="n">
        <v>45149</v>
      </c>
      <c r="C544" s="1" t="n">
        <v>46113</v>
      </c>
      <c r="D544" t="inlineStr">
        <is>
          <t>JÄMTLANDS LÄN</t>
        </is>
      </c>
      <c r="E544" t="inlineStr">
        <is>
          <t>RAGUNDA</t>
        </is>
      </c>
      <c r="G544" t="n">
        <v>25.7</v>
      </c>
      <c r="H544" t="n">
        <v>0</v>
      </c>
      <c r="I544" t="n">
        <v>0</v>
      </c>
      <c r="J544" t="n">
        <v>0</v>
      </c>
      <c r="K544" t="n">
        <v>0</v>
      </c>
      <c r="L544" t="n">
        <v>0</v>
      </c>
      <c r="M544" t="n">
        <v>0</v>
      </c>
      <c r="N544" t="n">
        <v>0</v>
      </c>
      <c r="O544" t="n">
        <v>0</v>
      </c>
      <c r="P544" t="n">
        <v>0</v>
      </c>
      <c r="Q544" t="n">
        <v>0</v>
      </c>
      <c r="R544" s="2" t="inlineStr"/>
    </row>
    <row r="545" ht="15" customHeight="1">
      <c r="A545" t="inlineStr">
        <is>
          <t>A 23528-2024</t>
        </is>
      </c>
      <c r="B545" s="1" t="n">
        <v>45453.95016203704</v>
      </c>
      <c r="C545" s="1" t="n">
        <v>46113</v>
      </c>
      <c r="D545" t="inlineStr">
        <is>
          <t>JÄMTLANDS LÄN</t>
        </is>
      </c>
      <c r="E545" t="inlineStr">
        <is>
          <t>RAGUNDA</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51579-2024</t>
        </is>
      </c>
      <c r="B546" s="1" t="n">
        <v>45604.63575231482</v>
      </c>
      <c r="C546" s="1" t="n">
        <v>46113</v>
      </c>
      <c r="D546" t="inlineStr">
        <is>
          <t>JÄMTLANDS LÄN</t>
        </is>
      </c>
      <c r="E546" t="inlineStr">
        <is>
          <t>RAGUNDA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22412-2024</t>
        </is>
      </c>
      <c r="B547" s="1" t="n">
        <v>45446.68947916666</v>
      </c>
      <c r="C547" s="1" t="n">
        <v>46113</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24196-2024</t>
        </is>
      </c>
      <c r="B548" s="1" t="n">
        <v>45456.96569444444</v>
      </c>
      <c r="C548" s="1" t="n">
        <v>46113</v>
      </c>
      <c r="D548" t="inlineStr">
        <is>
          <t>JÄMTLANDS LÄN</t>
        </is>
      </c>
      <c r="E548" t="inlineStr">
        <is>
          <t>RAGUNDA</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55701-2021</t>
        </is>
      </c>
      <c r="B549" s="1" t="n">
        <v>44475</v>
      </c>
      <c r="C549" s="1" t="n">
        <v>46113</v>
      </c>
      <c r="D549" t="inlineStr">
        <is>
          <t>JÄMTLANDS LÄN</t>
        </is>
      </c>
      <c r="E549" t="inlineStr">
        <is>
          <t>RAGUNDA</t>
        </is>
      </c>
      <c r="G549" t="n">
        <v>5.6</v>
      </c>
      <c r="H549" t="n">
        <v>0</v>
      </c>
      <c r="I549" t="n">
        <v>0</v>
      </c>
      <c r="J549" t="n">
        <v>0</v>
      </c>
      <c r="K549" t="n">
        <v>0</v>
      </c>
      <c r="L549" t="n">
        <v>0</v>
      </c>
      <c r="M549" t="n">
        <v>0</v>
      </c>
      <c r="N549" t="n">
        <v>0</v>
      </c>
      <c r="O549" t="n">
        <v>0</v>
      </c>
      <c r="P549" t="n">
        <v>0</v>
      </c>
      <c r="Q549" t="n">
        <v>0</v>
      </c>
      <c r="R549" s="2" t="inlineStr"/>
    </row>
    <row r="550" ht="15" customHeight="1">
      <c r="A550" t="inlineStr">
        <is>
          <t>A 24171-2021</t>
        </is>
      </c>
      <c r="B550" s="1" t="n">
        <v>44336</v>
      </c>
      <c r="C550" s="1" t="n">
        <v>46113</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44630-2023</t>
        </is>
      </c>
      <c r="B551" s="1" t="n">
        <v>45184</v>
      </c>
      <c r="C551" s="1" t="n">
        <v>46113</v>
      </c>
      <c r="D551" t="inlineStr">
        <is>
          <t>JÄMTLANDS LÄN</t>
        </is>
      </c>
      <c r="E551" t="inlineStr">
        <is>
          <t>RAGUNDA</t>
        </is>
      </c>
      <c r="G551" t="n">
        <v>3.4</v>
      </c>
      <c r="H551" t="n">
        <v>0</v>
      </c>
      <c r="I551" t="n">
        <v>0</v>
      </c>
      <c r="J551" t="n">
        <v>0</v>
      </c>
      <c r="K551" t="n">
        <v>0</v>
      </c>
      <c r="L551" t="n">
        <v>0</v>
      </c>
      <c r="M551" t="n">
        <v>0</v>
      </c>
      <c r="N551" t="n">
        <v>0</v>
      </c>
      <c r="O551" t="n">
        <v>0</v>
      </c>
      <c r="P551" t="n">
        <v>0</v>
      </c>
      <c r="Q551" t="n">
        <v>0</v>
      </c>
      <c r="R551" s="2" t="inlineStr"/>
    </row>
    <row r="552" ht="15" customHeight="1">
      <c r="A552" t="inlineStr">
        <is>
          <t>A 12522-2023</t>
        </is>
      </c>
      <c r="B552" s="1" t="n">
        <v>45000</v>
      </c>
      <c r="C552" s="1" t="n">
        <v>46113</v>
      </c>
      <c r="D552" t="inlineStr">
        <is>
          <t>JÄMTLANDS LÄN</t>
        </is>
      </c>
      <c r="E552" t="inlineStr">
        <is>
          <t>RAGUNDA</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12523-2023</t>
        </is>
      </c>
      <c r="B553" s="1" t="n">
        <v>45000</v>
      </c>
      <c r="C553" s="1" t="n">
        <v>46113</v>
      </c>
      <c r="D553" t="inlineStr">
        <is>
          <t>JÄMTLANDS LÄN</t>
        </is>
      </c>
      <c r="E553" t="inlineStr">
        <is>
          <t>RAGUNDA</t>
        </is>
      </c>
      <c r="F553" t="inlineStr">
        <is>
          <t>SCA</t>
        </is>
      </c>
      <c r="G553" t="n">
        <v>14.3</v>
      </c>
      <c r="H553" t="n">
        <v>0</v>
      </c>
      <c r="I553" t="n">
        <v>0</v>
      </c>
      <c r="J553" t="n">
        <v>0</v>
      </c>
      <c r="K553" t="n">
        <v>0</v>
      </c>
      <c r="L553" t="n">
        <v>0</v>
      </c>
      <c r="M553" t="n">
        <v>0</v>
      </c>
      <c r="N553" t="n">
        <v>0</v>
      </c>
      <c r="O553" t="n">
        <v>0</v>
      </c>
      <c r="P553" t="n">
        <v>0</v>
      </c>
      <c r="Q553" t="n">
        <v>0</v>
      </c>
      <c r="R553" s="2" t="inlineStr"/>
    </row>
    <row r="554" ht="15" customHeight="1">
      <c r="A554" t="inlineStr">
        <is>
          <t>A 44954-2025</t>
        </is>
      </c>
      <c r="B554" s="1" t="n">
        <v>45918.61203703703</v>
      </c>
      <c r="C554" s="1" t="n">
        <v>46113</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2224-2024</t>
        </is>
      </c>
      <c r="B555" s="1" t="n">
        <v>45309.92524305556</v>
      </c>
      <c r="C555" s="1" t="n">
        <v>46113</v>
      </c>
      <c r="D555" t="inlineStr">
        <is>
          <t>JÄMTLANDS LÄN</t>
        </is>
      </c>
      <c r="E555" t="inlineStr">
        <is>
          <t>RAGUNDA</t>
        </is>
      </c>
      <c r="G555" t="n">
        <v>0.9</v>
      </c>
      <c r="H555" t="n">
        <v>0</v>
      </c>
      <c r="I555" t="n">
        <v>0</v>
      </c>
      <c r="J555" t="n">
        <v>0</v>
      </c>
      <c r="K555" t="n">
        <v>0</v>
      </c>
      <c r="L555" t="n">
        <v>0</v>
      </c>
      <c r="M555" t="n">
        <v>0</v>
      </c>
      <c r="N555" t="n">
        <v>0</v>
      </c>
      <c r="O555" t="n">
        <v>0</v>
      </c>
      <c r="P555" t="n">
        <v>0</v>
      </c>
      <c r="Q555" t="n">
        <v>0</v>
      </c>
      <c r="R555" s="2" t="inlineStr"/>
    </row>
    <row r="556" ht="15" customHeight="1">
      <c r="A556" t="inlineStr">
        <is>
          <t>A 36246-2024</t>
        </is>
      </c>
      <c r="B556" s="1" t="n">
        <v>45534</v>
      </c>
      <c r="C556" s="1" t="n">
        <v>46113</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32063-2024</t>
        </is>
      </c>
      <c r="B557" s="1" t="n">
        <v>45510</v>
      </c>
      <c r="C557" s="1" t="n">
        <v>46113</v>
      </c>
      <c r="D557" t="inlineStr">
        <is>
          <t>JÄMTLANDS LÄN</t>
        </is>
      </c>
      <c r="E557" t="inlineStr">
        <is>
          <t>RAGUNDA</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45279-2025</t>
        </is>
      </c>
      <c r="B558" s="1" t="n">
        <v>45919.71912037037</v>
      </c>
      <c r="C558" s="1" t="n">
        <v>46113</v>
      </c>
      <c r="D558" t="inlineStr">
        <is>
          <t>JÄMTLANDS LÄN</t>
        </is>
      </c>
      <c r="E558" t="inlineStr">
        <is>
          <t>RAGUNDA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56702-2023</t>
        </is>
      </c>
      <c r="B559" s="1" t="n">
        <v>45243</v>
      </c>
      <c r="C559" s="1" t="n">
        <v>46113</v>
      </c>
      <c r="D559" t="inlineStr">
        <is>
          <t>JÄMTLANDS LÄN</t>
        </is>
      </c>
      <c r="E559" t="inlineStr">
        <is>
          <t>RAGUNDA</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63708-2023</t>
        </is>
      </c>
      <c r="B560" s="1" t="n">
        <v>45275.95060185185</v>
      </c>
      <c r="C560" s="1" t="n">
        <v>46113</v>
      </c>
      <c r="D560" t="inlineStr">
        <is>
          <t>JÄMTLANDS LÄN</t>
        </is>
      </c>
      <c r="E560" t="inlineStr">
        <is>
          <t>RAGUNDA</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26651-2024</t>
        </is>
      </c>
      <c r="B561" s="1" t="n">
        <v>45469.94876157407</v>
      </c>
      <c r="C561" s="1" t="n">
        <v>46113</v>
      </c>
      <c r="D561" t="inlineStr">
        <is>
          <t>JÄMTLANDS LÄN</t>
        </is>
      </c>
      <c r="E561" t="inlineStr">
        <is>
          <t>RAGUNDA</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5307-2025</t>
        </is>
      </c>
      <c r="B562" s="1" t="n">
        <v>45692.48993055556</v>
      </c>
      <c r="C562" s="1" t="n">
        <v>46113</v>
      </c>
      <c r="D562" t="inlineStr">
        <is>
          <t>JÄMTLANDS LÄN</t>
        </is>
      </c>
      <c r="E562" t="inlineStr">
        <is>
          <t>RAGUNDA</t>
        </is>
      </c>
      <c r="F562" t="inlineStr">
        <is>
          <t>SCA</t>
        </is>
      </c>
      <c r="G562" t="n">
        <v>20.9</v>
      </c>
      <c r="H562" t="n">
        <v>0</v>
      </c>
      <c r="I562" t="n">
        <v>0</v>
      </c>
      <c r="J562" t="n">
        <v>0</v>
      </c>
      <c r="K562" t="n">
        <v>0</v>
      </c>
      <c r="L562" t="n">
        <v>0</v>
      </c>
      <c r="M562" t="n">
        <v>0</v>
      </c>
      <c r="N562" t="n">
        <v>0</v>
      </c>
      <c r="O562" t="n">
        <v>0</v>
      </c>
      <c r="P562" t="n">
        <v>0</v>
      </c>
      <c r="Q562" t="n">
        <v>0</v>
      </c>
      <c r="R562" s="2" t="inlineStr"/>
    </row>
    <row r="563" ht="15" customHeight="1">
      <c r="A563" t="inlineStr">
        <is>
          <t>A 48066-2022</t>
        </is>
      </c>
      <c r="B563" s="1" t="n">
        <v>44855</v>
      </c>
      <c r="C563" s="1" t="n">
        <v>46113</v>
      </c>
      <c r="D563" t="inlineStr">
        <is>
          <t>JÄMTLANDS LÄN</t>
        </is>
      </c>
      <c r="E563" t="inlineStr">
        <is>
          <t>RAGUNDA</t>
        </is>
      </c>
      <c r="F563" t="inlineStr">
        <is>
          <t>SCA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26942-2021</t>
        </is>
      </c>
      <c r="B564" s="1" t="n">
        <v>44349.91978009259</v>
      </c>
      <c r="C564" s="1" t="n">
        <v>46113</v>
      </c>
      <c r="D564" t="inlineStr">
        <is>
          <t>JÄMTLANDS LÄN</t>
        </is>
      </c>
      <c r="E564" t="inlineStr">
        <is>
          <t>RAGUNDA</t>
        </is>
      </c>
      <c r="G564" t="n">
        <v>6.2</v>
      </c>
      <c r="H564" t="n">
        <v>0</v>
      </c>
      <c r="I564" t="n">
        <v>0</v>
      </c>
      <c r="J564" t="n">
        <v>0</v>
      </c>
      <c r="K564" t="n">
        <v>0</v>
      </c>
      <c r="L564" t="n">
        <v>0</v>
      </c>
      <c r="M564" t="n">
        <v>0</v>
      </c>
      <c r="N564" t="n">
        <v>0</v>
      </c>
      <c r="O564" t="n">
        <v>0</v>
      </c>
      <c r="P564" t="n">
        <v>0</v>
      </c>
      <c r="Q564" t="n">
        <v>0</v>
      </c>
      <c r="R564" s="2" t="inlineStr"/>
    </row>
    <row r="565" ht="15" customHeight="1">
      <c r="A565" t="inlineStr">
        <is>
          <t>A 56504-2024</t>
        </is>
      </c>
      <c r="B565" s="1" t="n">
        <v>45625.51068287037</v>
      </c>
      <c r="C565" s="1" t="n">
        <v>46113</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25350-2025</t>
        </is>
      </c>
      <c r="B566" s="1" t="n">
        <v>45800</v>
      </c>
      <c r="C566" s="1" t="n">
        <v>46113</v>
      </c>
      <c r="D566" t="inlineStr">
        <is>
          <t>JÄMTLANDS LÄN</t>
        </is>
      </c>
      <c r="E566" t="inlineStr">
        <is>
          <t>RAGUNDA</t>
        </is>
      </c>
      <c r="G566" t="n">
        <v>2.4</v>
      </c>
      <c r="H566" t="n">
        <v>0</v>
      </c>
      <c r="I566" t="n">
        <v>0</v>
      </c>
      <c r="J566" t="n">
        <v>0</v>
      </c>
      <c r="K566" t="n">
        <v>0</v>
      </c>
      <c r="L566" t="n">
        <v>0</v>
      </c>
      <c r="M566" t="n">
        <v>0</v>
      </c>
      <c r="N566" t="n">
        <v>0</v>
      </c>
      <c r="O566" t="n">
        <v>0</v>
      </c>
      <c r="P566" t="n">
        <v>0</v>
      </c>
      <c r="Q566" t="n">
        <v>0</v>
      </c>
      <c r="R566" s="2" t="inlineStr"/>
    </row>
    <row r="567" ht="15" customHeight="1">
      <c r="A567" t="inlineStr">
        <is>
          <t>A 45894-2025</t>
        </is>
      </c>
      <c r="B567" s="1" t="n">
        <v>45923.67765046296</v>
      </c>
      <c r="C567" s="1" t="n">
        <v>46113</v>
      </c>
      <c r="D567" t="inlineStr">
        <is>
          <t>JÄMTLANDS LÄN</t>
        </is>
      </c>
      <c r="E567" t="inlineStr">
        <is>
          <t>RAGUNDA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5938-2025</t>
        </is>
      </c>
      <c r="B568" s="1" t="n">
        <v>45695.45868055556</v>
      </c>
      <c r="C568" s="1" t="n">
        <v>46113</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46192-2025</t>
        </is>
      </c>
      <c r="B569" s="1" t="n">
        <v>45924.67789351852</v>
      </c>
      <c r="C569" s="1" t="n">
        <v>46113</v>
      </c>
      <c r="D569" t="inlineStr">
        <is>
          <t>JÄMTLANDS LÄN</t>
        </is>
      </c>
      <c r="E569" t="inlineStr">
        <is>
          <t>RAGUNDA</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50486-2023</t>
        </is>
      </c>
      <c r="B570" s="1" t="n">
        <v>45216.92424768519</v>
      </c>
      <c r="C570" s="1" t="n">
        <v>46113</v>
      </c>
      <c r="D570" t="inlineStr">
        <is>
          <t>JÄMTLANDS LÄN</t>
        </is>
      </c>
      <c r="E570" t="inlineStr">
        <is>
          <t>RAGUNDA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28173-2024</t>
        </is>
      </c>
      <c r="B571" s="1" t="n">
        <v>45476.94533564815</v>
      </c>
      <c r="C571" s="1" t="n">
        <v>46113</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9084-2023</t>
        </is>
      </c>
      <c r="B572" s="1" t="n">
        <v>44979</v>
      </c>
      <c r="C572" s="1" t="n">
        <v>46113</v>
      </c>
      <c r="D572" t="inlineStr">
        <is>
          <t>JÄMTLANDS LÄN</t>
        </is>
      </c>
      <c r="E572" t="inlineStr">
        <is>
          <t>RAGUNDA</t>
        </is>
      </c>
      <c r="G572" t="n">
        <v>1.9</v>
      </c>
      <c r="H572" t="n">
        <v>0</v>
      </c>
      <c r="I572" t="n">
        <v>0</v>
      </c>
      <c r="J572" t="n">
        <v>0</v>
      </c>
      <c r="K572" t="n">
        <v>0</v>
      </c>
      <c r="L572" t="n">
        <v>0</v>
      </c>
      <c r="M572" t="n">
        <v>0</v>
      </c>
      <c r="N572" t="n">
        <v>0</v>
      </c>
      <c r="O572" t="n">
        <v>0</v>
      </c>
      <c r="P572" t="n">
        <v>0</v>
      </c>
      <c r="Q572" t="n">
        <v>0</v>
      </c>
      <c r="R572" s="2" t="inlineStr"/>
    </row>
    <row r="573" ht="15" customHeight="1">
      <c r="A573" t="inlineStr">
        <is>
          <t>A 35537-2021</t>
        </is>
      </c>
      <c r="B573" s="1" t="n">
        <v>44384</v>
      </c>
      <c r="C573" s="1" t="n">
        <v>46113</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9360-2023</t>
        </is>
      </c>
      <c r="B574" s="1" t="n">
        <v>44980.93865740741</v>
      </c>
      <c r="C574" s="1" t="n">
        <v>46113</v>
      </c>
      <c r="D574" t="inlineStr">
        <is>
          <t>JÄMTLANDS LÄN</t>
        </is>
      </c>
      <c r="E574" t="inlineStr">
        <is>
          <t>RAGUNDA</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66706-2021</t>
        </is>
      </c>
      <c r="B575" s="1" t="n">
        <v>44519.94440972222</v>
      </c>
      <c r="C575" s="1" t="n">
        <v>46113</v>
      </c>
      <c r="D575" t="inlineStr">
        <is>
          <t>JÄMTLANDS LÄN</t>
        </is>
      </c>
      <c r="E575" t="inlineStr">
        <is>
          <t>RAGUNDA</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46689-2025</t>
        </is>
      </c>
      <c r="B576" s="1" t="n">
        <v>45926.55307870371</v>
      </c>
      <c r="C576" s="1" t="n">
        <v>46113</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32259-2024</t>
        </is>
      </c>
      <c r="B577" s="1" t="n">
        <v>45511</v>
      </c>
      <c r="C577" s="1" t="n">
        <v>46113</v>
      </c>
      <c r="D577" t="inlineStr">
        <is>
          <t>JÄMTLANDS LÄN</t>
        </is>
      </c>
      <c r="E577" t="inlineStr">
        <is>
          <t>RAGUNDA</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25152-2025</t>
        </is>
      </c>
      <c r="B578" s="1" t="n">
        <v>45800.42743055556</v>
      </c>
      <c r="C578" s="1" t="n">
        <v>46113</v>
      </c>
      <c r="D578" t="inlineStr">
        <is>
          <t>JÄMTLANDS LÄN</t>
        </is>
      </c>
      <c r="E578" t="inlineStr">
        <is>
          <t>RAGUNDA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25175-2025</t>
        </is>
      </c>
      <c r="B579" s="1" t="n">
        <v>45800.44822916666</v>
      </c>
      <c r="C579" s="1" t="n">
        <v>46113</v>
      </c>
      <c r="D579" t="inlineStr">
        <is>
          <t>JÄMTLANDS LÄN</t>
        </is>
      </c>
      <c r="E579" t="inlineStr">
        <is>
          <t>RAGUNDA</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25177-2025</t>
        </is>
      </c>
      <c r="B580" s="1" t="n">
        <v>45800.44862268519</v>
      </c>
      <c r="C580" s="1" t="n">
        <v>46113</v>
      </c>
      <c r="D580" t="inlineStr">
        <is>
          <t>JÄMTLANDS LÄN</t>
        </is>
      </c>
      <c r="E580" t="inlineStr">
        <is>
          <t>RAGUNDA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18778-2024</t>
        </is>
      </c>
      <c r="B581" s="1" t="n">
        <v>45426</v>
      </c>
      <c r="C581" s="1" t="n">
        <v>46113</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18781-2024</t>
        </is>
      </c>
      <c r="B582" s="1" t="n">
        <v>45426</v>
      </c>
      <c r="C582" s="1" t="n">
        <v>46113</v>
      </c>
      <c r="D582" t="inlineStr">
        <is>
          <t>JÄMTLANDS LÄN</t>
        </is>
      </c>
      <c r="E582" t="inlineStr">
        <is>
          <t>RAGUNDA</t>
        </is>
      </c>
      <c r="G582" t="n">
        <v>0.9</v>
      </c>
      <c r="H582" t="n">
        <v>0</v>
      </c>
      <c r="I582" t="n">
        <v>0</v>
      </c>
      <c r="J582" t="n">
        <v>0</v>
      </c>
      <c r="K582" t="n">
        <v>0</v>
      </c>
      <c r="L582" t="n">
        <v>0</v>
      </c>
      <c r="M582" t="n">
        <v>0</v>
      </c>
      <c r="N582" t="n">
        <v>0</v>
      </c>
      <c r="O582" t="n">
        <v>0</v>
      </c>
      <c r="P582" t="n">
        <v>0</v>
      </c>
      <c r="Q582" t="n">
        <v>0</v>
      </c>
      <c r="R582" s="2" t="inlineStr"/>
    </row>
    <row r="583" ht="15" customHeight="1">
      <c r="A583" t="inlineStr">
        <is>
          <t>A 17248-2023</t>
        </is>
      </c>
      <c r="B583" s="1" t="n">
        <v>45033</v>
      </c>
      <c r="C583" s="1" t="n">
        <v>46113</v>
      </c>
      <c r="D583" t="inlineStr">
        <is>
          <t>JÄMTLANDS LÄN</t>
        </is>
      </c>
      <c r="E583" t="inlineStr">
        <is>
          <t>RAGUNDA</t>
        </is>
      </c>
      <c r="G583" t="n">
        <v>3</v>
      </c>
      <c r="H583" t="n">
        <v>0</v>
      </c>
      <c r="I583" t="n">
        <v>0</v>
      </c>
      <c r="J583" t="n">
        <v>0</v>
      </c>
      <c r="K583" t="n">
        <v>0</v>
      </c>
      <c r="L583" t="n">
        <v>0</v>
      </c>
      <c r="M583" t="n">
        <v>0</v>
      </c>
      <c r="N583" t="n">
        <v>0</v>
      </c>
      <c r="O583" t="n">
        <v>0</v>
      </c>
      <c r="P583" t="n">
        <v>0</v>
      </c>
      <c r="Q583" t="n">
        <v>0</v>
      </c>
      <c r="R583" s="2" t="inlineStr"/>
    </row>
    <row r="584" ht="15" customHeight="1">
      <c r="A584" t="inlineStr">
        <is>
          <t>A 46275-2025</t>
        </is>
      </c>
      <c r="B584" s="1" t="n">
        <v>45925.3711574074</v>
      </c>
      <c r="C584" s="1" t="n">
        <v>46113</v>
      </c>
      <c r="D584" t="inlineStr">
        <is>
          <t>JÄMTLANDS LÄN</t>
        </is>
      </c>
      <c r="E584" t="inlineStr">
        <is>
          <t>RAGUNDA</t>
        </is>
      </c>
      <c r="G584" t="n">
        <v>2.7</v>
      </c>
      <c r="H584" t="n">
        <v>0</v>
      </c>
      <c r="I584" t="n">
        <v>0</v>
      </c>
      <c r="J584" t="n">
        <v>0</v>
      </c>
      <c r="K584" t="n">
        <v>0</v>
      </c>
      <c r="L584" t="n">
        <v>0</v>
      </c>
      <c r="M584" t="n">
        <v>0</v>
      </c>
      <c r="N584" t="n">
        <v>0</v>
      </c>
      <c r="O584" t="n">
        <v>0</v>
      </c>
      <c r="P584" t="n">
        <v>0</v>
      </c>
      <c r="Q584" t="n">
        <v>0</v>
      </c>
      <c r="R584" s="2" t="inlineStr"/>
    </row>
    <row r="585" ht="15" customHeight="1">
      <c r="A585" t="inlineStr">
        <is>
          <t>A 46710-2025</t>
        </is>
      </c>
      <c r="B585" s="1" t="n">
        <v>45926.57337962963</v>
      </c>
      <c r="C585" s="1" t="n">
        <v>46113</v>
      </c>
      <c r="D585" t="inlineStr">
        <is>
          <t>JÄMTLANDS LÄN</t>
        </is>
      </c>
      <c r="E585" t="inlineStr">
        <is>
          <t>RAGUNDA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46751-2025</t>
        </is>
      </c>
      <c r="B586" s="1" t="n">
        <v>45926.6153125</v>
      </c>
      <c r="C586" s="1" t="n">
        <v>46113</v>
      </c>
      <c r="D586" t="inlineStr">
        <is>
          <t>JÄMTLANDS LÄN</t>
        </is>
      </c>
      <c r="E586" t="inlineStr">
        <is>
          <t>RAGUNDA</t>
        </is>
      </c>
      <c r="F586" t="inlineStr">
        <is>
          <t>SCA</t>
        </is>
      </c>
      <c r="G586" t="n">
        <v>7.8</v>
      </c>
      <c r="H586" t="n">
        <v>0</v>
      </c>
      <c r="I586" t="n">
        <v>0</v>
      </c>
      <c r="J586" t="n">
        <v>0</v>
      </c>
      <c r="K586" t="n">
        <v>0</v>
      </c>
      <c r="L586" t="n">
        <v>0</v>
      </c>
      <c r="M586" t="n">
        <v>0</v>
      </c>
      <c r="N586" t="n">
        <v>0</v>
      </c>
      <c r="O586" t="n">
        <v>0</v>
      </c>
      <c r="P586" t="n">
        <v>0</v>
      </c>
      <c r="Q586" t="n">
        <v>0</v>
      </c>
      <c r="R586" s="2" t="inlineStr"/>
    </row>
    <row r="587" ht="15" customHeight="1">
      <c r="A587" t="inlineStr">
        <is>
          <t>A 18248-2023</t>
        </is>
      </c>
      <c r="B587" s="1" t="n">
        <v>45040</v>
      </c>
      <c r="C587" s="1" t="n">
        <v>46113</v>
      </c>
      <c r="D587" t="inlineStr">
        <is>
          <t>JÄMTLANDS LÄN</t>
        </is>
      </c>
      <c r="E587" t="inlineStr">
        <is>
          <t>RAGUNDA</t>
        </is>
      </c>
      <c r="G587" t="n">
        <v>4.3</v>
      </c>
      <c r="H587" t="n">
        <v>0</v>
      </c>
      <c r="I587" t="n">
        <v>0</v>
      </c>
      <c r="J587" t="n">
        <v>0</v>
      </c>
      <c r="K587" t="n">
        <v>0</v>
      </c>
      <c r="L587" t="n">
        <v>0</v>
      </c>
      <c r="M587" t="n">
        <v>0</v>
      </c>
      <c r="N587" t="n">
        <v>0</v>
      </c>
      <c r="O587" t="n">
        <v>0</v>
      </c>
      <c r="P587" t="n">
        <v>0</v>
      </c>
      <c r="Q587" t="n">
        <v>0</v>
      </c>
      <c r="R587" s="2" t="inlineStr"/>
    </row>
    <row r="588" ht="15" customHeight="1">
      <c r="A588" t="inlineStr">
        <is>
          <t>A 46753-2025</t>
        </is>
      </c>
      <c r="B588" s="1" t="n">
        <v>45926.61552083334</v>
      </c>
      <c r="C588" s="1" t="n">
        <v>46113</v>
      </c>
      <c r="D588" t="inlineStr">
        <is>
          <t>JÄMTLANDS LÄN</t>
        </is>
      </c>
      <c r="E588" t="inlineStr">
        <is>
          <t>RAGUNDA</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45438-2022</t>
        </is>
      </c>
      <c r="B589" s="1" t="n">
        <v>44844.95368055555</v>
      </c>
      <c r="C589" s="1" t="n">
        <v>46113</v>
      </c>
      <c r="D589" t="inlineStr">
        <is>
          <t>JÄMTLANDS LÄN</t>
        </is>
      </c>
      <c r="E589" t="inlineStr">
        <is>
          <t>RAGUNDA</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53263-2024</t>
        </is>
      </c>
      <c r="B590" s="1" t="n">
        <v>45614.34541666666</v>
      </c>
      <c r="C590" s="1" t="n">
        <v>46113</v>
      </c>
      <c r="D590" t="inlineStr">
        <is>
          <t>JÄMTLANDS LÄN</t>
        </is>
      </c>
      <c r="E590" t="inlineStr">
        <is>
          <t>RAGUNDA</t>
        </is>
      </c>
      <c r="G590" t="n">
        <v>1.9</v>
      </c>
      <c r="H590" t="n">
        <v>0</v>
      </c>
      <c r="I590" t="n">
        <v>0</v>
      </c>
      <c r="J590" t="n">
        <v>0</v>
      </c>
      <c r="K590" t="n">
        <v>0</v>
      </c>
      <c r="L590" t="n">
        <v>0</v>
      </c>
      <c r="M590" t="n">
        <v>0</v>
      </c>
      <c r="N590" t="n">
        <v>0</v>
      </c>
      <c r="O590" t="n">
        <v>0</v>
      </c>
      <c r="P590" t="n">
        <v>0</v>
      </c>
      <c r="Q590" t="n">
        <v>0</v>
      </c>
      <c r="R590" s="2" t="inlineStr"/>
    </row>
    <row r="591" ht="15" customHeight="1">
      <c r="A591" t="inlineStr">
        <is>
          <t>A 30459-2021</t>
        </is>
      </c>
      <c r="B591" s="1" t="n">
        <v>44362</v>
      </c>
      <c r="C591" s="1" t="n">
        <v>46113</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58630-2024</t>
        </is>
      </c>
      <c r="B592" s="1" t="n">
        <v>45635.57331018519</v>
      </c>
      <c r="C592" s="1" t="n">
        <v>46113</v>
      </c>
      <c r="D592" t="inlineStr">
        <is>
          <t>JÄMTLANDS LÄN</t>
        </is>
      </c>
      <c r="E592" t="inlineStr">
        <is>
          <t>RAGUNDA</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29263-2024</t>
        </is>
      </c>
      <c r="B593" s="1" t="n">
        <v>45482.94891203703</v>
      </c>
      <c r="C593" s="1" t="n">
        <v>46113</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29265-2024</t>
        </is>
      </c>
      <c r="B594" s="1" t="n">
        <v>45482.9491087963</v>
      </c>
      <c r="C594" s="1" t="n">
        <v>46113</v>
      </c>
      <c r="D594" t="inlineStr">
        <is>
          <t>JÄMTLANDS LÄN</t>
        </is>
      </c>
      <c r="E594" t="inlineStr">
        <is>
          <t>RAGUNDA</t>
        </is>
      </c>
      <c r="F594" t="inlineStr">
        <is>
          <t>SCA</t>
        </is>
      </c>
      <c r="G594" t="n">
        <v>11.6</v>
      </c>
      <c r="H594" t="n">
        <v>0</v>
      </c>
      <c r="I594" t="n">
        <v>0</v>
      </c>
      <c r="J594" t="n">
        <v>0</v>
      </c>
      <c r="K594" t="n">
        <v>0</v>
      </c>
      <c r="L594" t="n">
        <v>0</v>
      </c>
      <c r="M594" t="n">
        <v>0</v>
      </c>
      <c r="N594" t="n">
        <v>0</v>
      </c>
      <c r="O594" t="n">
        <v>0</v>
      </c>
      <c r="P594" t="n">
        <v>0</v>
      </c>
      <c r="Q594" t="n">
        <v>0</v>
      </c>
      <c r="R594" s="2" t="inlineStr"/>
    </row>
    <row r="595" ht="15" customHeight="1">
      <c r="A595" t="inlineStr">
        <is>
          <t>A 14896-2022</t>
        </is>
      </c>
      <c r="B595" s="1" t="n">
        <v>44656</v>
      </c>
      <c r="C595" s="1" t="n">
        <v>46113</v>
      </c>
      <c r="D595" t="inlineStr">
        <is>
          <t>JÄMTLANDS LÄN</t>
        </is>
      </c>
      <c r="E595" t="inlineStr">
        <is>
          <t>RAGUNDA</t>
        </is>
      </c>
      <c r="F595" t="inlineStr">
        <is>
          <t>SCA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13898-2023</t>
        </is>
      </c>
      <c r="B596" s="1" t="n">
        <v>45008.01408564814</v>
      </c>
      <c r="C596" s="1" t="n">
        <v>46113</v>
      </c>
      <c r="D596" t="inlineStr">
        <is>
          <t>JÄMTLANDS LÄN</t>
        </is>
      </c>
      <c r="E596" t="inlineStr">
        <is>
          <t>RAGUNDA</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41693-2023</t>
        </is>
      </c>
      <c r="B597" s="1" t="n">
        <v>45176</v>
      </c>
      <c r="C597" s="1" t="n">
        <v>46113</v>
      </c>
      <c r="D597" t="inlineStr">
        <is>
          <t>JÄMTLANDS LÄN</t>
        </is>
      </c>
      <c r="E597" t="inlineStr">
        <is>
          <t>RAGUNDA</t>
        </is>
      </c>
      <c r="G597" t="n">
        <v>5.5</v>
      </c>
      <c r="H597" t="n">
        <v>0</v>
      </c>
      <c r="I597" t="n">
        <v>0</v>
      </c>
      <c r="J597" t="n">
        <v>0</v>
      </c>
      <c r="K597" t="n">
        <v>0</v>
      </c>
      <c r="L597" t="n">
        <v>0</v>
      </c>
      <c r="M597" t="n">
        <v>0</v>
      </c>
      <c r="N597" t="n">
        <v>0</v>
      </c>
      <c r="O597" t="n">
        <v>0</v>
      </c>
      <c r="P597" t="n">
        <v>0</v>
      </c>
      <c r="Q597" t="n">
        <v>0</v>
      </c>
      <c r="R597" s="2" t="inlineStr"/>
    </row>
    <row r="598" ht="15" customHeight="1">
      <c r="A598" t="inlineStr">
        <is>
          <t>A 11551-2024</t>
        </is>
      </c>
      <c r="B598" s="1" t="n">
        <v>45372.95762731481</v>
      </c>
      <c r="C598" s="1" t="n">
        <v>46113</v>
      </c>
      <c r="D598" t="inlineStr">
        <is>
          <t>JÄMTLANDS LÄN</t>
        </is>
      </c>
      <c r="E598" t="inlineStr">
        <is>
          <t>RAGUNDA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3770-2025</t>
        </is>
      </c>
      <c r="B599" s="1" t="n">
        <v>45681.6050925926</v>
      </c>
      <c r="C599" s="1" t="n">
        <v>46113</v>
      </c>
      <c r="D599" t="inlineStr">
        <is>
          <t>JÄMTLANDS LÄN</t>
        </is>
      </c>
      <c r="E599" t="inlineStr">
        <is>
          <t>RAGUNDA</t>
        </is>
      </c>
      <c r="G599" t="n">
        <v>2.7</v>
      </c>
      <c r="H599" t="n">
        <v>0</v>
      </c>
      <c r="I599" t="n">
        <v>0</v>
      </c>
      <c r="J599" t="n">
        <v>0</v>
      </c>
      <c r="K599" t="n">
        <v>0</v>
      </c>
      <c r="L599" t="n">
        <v>0</v>
      </c>
      <c r="M599" t="n">
        <v>0</v>
      </c>
      <c r="N599" t="n">
        <v>0</v>
      </c>
      <c r="O599" t="n">
        <v>0</v>
      </c>
      <c r="P599" t="n">
        <v>0</v>
      </c>
      <c r="Q599" t="n">
        <v>0</v>
      </c>
      <c r="R599" s="2" t="inlineStr"/>
    </row>
    <row r="600" ht="15" customHeight="1">
      <c r="A600" t="inlineStr">
        <is>
          <t>A 47228-2025</t>
        </is>
      </c>
      <c r="B600" s="1" t="n">
        <v>45930.3990162037</v>
      </c>
      <c r="C600" s="1" t="n">
        <v>46113</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46974-2025</t>
        </is>
      </c>
      <c r="B601" s="1" t="n">
        <v>45929.51104166666</v>
      </c>
      <c r="C601" s="1" t="n">
        <v>46113</v>
      </c>
      <c r="D601" t="inlineStr">
        <is>
          <t>JÄMTLANDS LÄN</t>
        </is>
      </c>
      <c r="E601" t="inlineStr">
        <is>
          <t>RAGUNDA</t>
        </is>
      </c>
      <c r="F601" t="inlineStr">
        <is>
          <t>SCA</t>
        </is>
      </c>
      <c r="G601" t="n">
        <v>12.1</v>
      </c>
      <c r="H601" t="n">
        <v>0</v>
      </c>
      <c r="I601" t="n">
        <v>0</v>
      </c>
      <c r="J601" t="n">
        <v>0</v>
      </c>
      <c r="K601" t="n">
        <v>0</v>
      </c>
      <c r="L601" t="n">
        <v>0</v>
      </c>
      <c r="M601" t="n">
        <v>0</v>
      </c>
      <c r="N601" t="n">
        <v>0</v>
      </c>
      <c r="O601" t="n">
        <v>0</v>
      </c>
      <c r="P601" t="n">
        <v>0</v>
      </c>
      <c r="Q601" t="n">
        <v>0</v>
      </c>
      <c r="R601" s="2" t="inlineStr"/>
    </row>
    <row r="602" ht="15" customHeight="1">
      <c r="A602" t="inlineStr">
        <is>
          <t>A 47037-2025</t>
        </is>
      </c>
      <c r="B602" s="1" t="n">
        <v>45929.59456018519</v>
      </c>
      <c r="C602" s="1" t="n">
        <v>46113</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57839-2022</t>
        </is>
      </c>
      <c r="B603" s="1" t="n">
        <v>44897</v>
      </c>
      <c r="C603" s="1" t="n">
        <v>46113</v>
      </c>
      <c r="D603" t="inlineStr">
        <is>
          <t>JÄMTLANDS LÄN</t>
        </is>
      </c>
      <c r="E603" t="inlineStr">
        <is>
          <t>RAGUNDA</t>
        </is>
      </c>
      <c r="F603" t="inlineStr">
        <is>
          <t>SCA</t>
        </is>
      </c>
      <c r="G603" t="n">
        <v>8.5</v>
      </c>
      <c r="H603" t="n">
        <v>0</v>
      </c>
      <c r="I603" t="n">
        <v>0</v>
      </c>
      <c r="J603" t="n">
        <v>0</v>
      </c>
      <c r="K603" t="n">
        <v>0</v>
      </c>
      <c r="L603" t="n">
        <v>0</v>
      </c>
      <c r="M603" t="n">
        <v>0</v>
      </c>
      <c r="N603" t="n">
        <v>0</v>
      </c>
      <c r="O603" t="n">
        <v>0</v>
      </c>
      <c r="P603" t="n">
        <v>0</v>
      </c>
      <c r="Q603" t="n">
        <v>0</v>
      </c>
      <c r="R603" s="2" t="inlineStr"/>
    </row>
    <row r="604" ht="15" customHeight="1">
      <c r="A604" t="inlineStr">
        <is>
          <t>A 47119-2025</t>
        </is>
      </c>
      <c r="B604" s="1" t="n">
        <v>45929.67795138889</v>
      </c>
      <c r="C604" s="1" t="n">
        <v>46113</v>
      </c>
      <c r="D604" t="inlineStr">
        <is>
          <t>JÄMTLANDS LÄN</t>
        </is>
      </c>
      <c r="E604" t="inlineStr">
        <is>
          <t>RAGUNDA</t>
        </is>
      </c>
      <c r="F604" t="inlineStr">
        <is>
          <t>SCA</t>
        </is>
      </c>
      <c r="G604" t="n">
        <v>22.7</v>
      </c>
      <c r="H604" t="n">
        <v>0</v>
      </c>
      <c r="I604" t="n">
        <v>0</v>
      </c>
      <c r="J604" t="n">
        <v>0</v>
      </c>
      <c r="K604" t="n">
        <v>0</v>
      </c>
      <c r="L604" t="n">
        <v>0</v>
      </c>
      <c r="M604" t="n">
        <v>0</v>
      </c>
      <c r="N604" t="n">
        <v>0</v>
      </c>
      <c r="O604" t="n">
        <v>0</v>
      </c>
      <c r="P604" t="n">
        <v>0</v>
      </c>
      <c r="Q604" t="n">
        <v>0</v>
      </c>
      <c r="R604" s="2" t="inlineStr"/>
    </row>
    <row r="605" ht="15" customHeight="1">
      <c r="A605" t="inlineStr">
        <is>
          <t>A 47122-2025</t>
        </is>
      </c>
      <c r="B605" s="1" t="n">
        <v>45929.67878472222</v>
      </c>
      <c r="C605" s="1" t="n">
        <v>46113</v>
      </c>
      <c r="D605" t="inlineStr">
        <is>
          <t>JÄMTLANDS LÄN</t>
        </is>
      </c>
      <c r="E605" t="inlineStr">
        <is>
          <t>RAGUNDA</t>
        </is>
      </c>
      <c r="F605" t="inlineStr">
        <is>
          <t>SCA</t>
        </is>
      </c>
      <c r="G605" t="n">
        <v>31.1</v>
      </c>
      <c r="H605" t="n">
        <v>0</v>
      </c>
      <c r="I605" t="n">
        <v>0</v>
      </c>
      <c r="J605" t="n">
        <v>0</v>
      </c>
      <c r="K605" t="n">
        <v>0</v>
      </c>
      <c r="L605" t="n">
        <v>0</v>
      </c>
      <c r="M605" t="n">
        <v>0</v>
      </c>
      <c r="N605" t="n">
        <v>0</v>
      </c>
      <c r="O605" t="n">
        <v>0</v>
      </c>
      <c r="P605" t="n">
        <v>0</v>
      </c>
      <c r="Q605" t="n">
        <v>0</v>
      </c>
      <c r="R605" s="2" t="inlineStr"/>
    </row>
    <row r="606" ht="15" customHeight="1">
      <c r="A606" t="inlineStr">
        <is>
          <t>A 11252-2025</t>
        </is>
      </c>
      <c r="B606" s="1" t="n">
        <v>45726.38615740741</v>
      </c>
      <c r="C606" s="1" t="n">
        <v>46113</v>
      </c>
      <c r="D606" t="inlineStr">
        <is>
          <t>JÄMTLANDS LÄN</t>
        </is>
      </c>
      <c r="E606" t="inlineStr">
        <is>
          <t>RAGUNDA</t>
        </is>
      </c>
      <c r="G606" t="n">
        <v>1.9</v>
      </c>
      <c r="H606" t="n">
        <v>0</v>
      </c>
      <c r="I606" t="n">
        <v>0</v>
      </c>
      <c r="J606" t="n">
        <v>0</v>
      </c>
      <c r="K606" t="n">
        <v>0</v>
      </c>
      <c r="L606" t="n">
        <v>0</v>
      </c>
      <c r="M606" t="n">
        <v>0</v>
      </c>
      <c r="N606" t="n">
        <v>0</v>
      </c>
      <c r="O606" t="n">
        <v>0</v>
      </c>
      <c r="P606" t="n">
        <v>0</v>
      </c>
      <c r="Q606" t="n">
        <v>0</v>
      </c>
      <c r="R606" s="2" t="inlineStr"/>
    </row>
    <row r="607" ht="15" customHeight="1">
      <c r="A607" t="inlineStr">
        <is>
          <t>A 7668-2025</t>
        </is>
      </c>
      <c r="B607" s="1" t="n">
        <v>45706.34450231482</v>
      </c>
      <c r="C607" s="1" t="n">
        <v>46113</v>
      </c>
      <c r="D607" t="inlineStr">
        <is>
          <t>JÄMTLANDS LÄN</t>
        </is>
      </c>
      <c r="E607" t="inlineStr">
        <is>
          <t>RAGUNDA</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60663-2022</t>
        </is>
      </c>
      <c r="B608" s="1" t="n">
        <v>44911.93846064815</v>
      </c>
      <c r="C608" s="1" t="n">
        <v>46113</v>
      </c>
      <c r="D608" t="inlineStr">
        <is>
          <t>JÄMTLANDS LÄN</t>
        </is>
      </c>
      <c r="E608" t="inlineStr">
        <is>
          <t>RAGUNDA</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46909-2025</t>
        </is>
      </c>
      <c r="B609" s="1" t="n">
        <v>45929.40673611111</v>
      </c>
      <c r="C609" s="1" t="n">
        <v>46113</v>
      </c>
      <c r="D609" t="inlineStr">
        <is>
          <t>JÄMTLANDS LÄN</t>
        </is>
      </c>
      <c r="E609" t="inlineStr">
        <is>
          <t>RAGUNDA</t>
        </is>
      </c>
      <c r="G609" t="n">
        <v>5.7</v>
      </c>
      <c r="H609" t="n">
        <v>0</v>
      </c>
      <c r="I609" t="n">
        <v>0</v>
      </c>
      <c r="J609" t="n">
        <v>0</v>
      </c>
      <c r="K609" t="n">
        <v>0</v>
      </c>
      <c r="L609" t="n">
        <v>0</v>
      </c>
      <c r="M609" t="n">
        <v>0</v>
      </c>
      <c r="N609" t="n">
        <v>0</v>
      </c>
      <c r="O609" t="n">
        <v>0</v>
      </c>
      <c r="P609" t="n">
        <v>0</v>
      </c>
      <c r="Q609" t="n">
        <v>0</v>
      </c>
      <c r="R609" s="2" t="inlineStr"/>
    </row>
    <row r="610" ht="15" customHeight="1">
      <c r="A610" t="inlineStr">
        <is>
          <t>A 9548-2025</t>
        </is>
      </c>
      <c r="B610" s="1" t="n">
        <v>45715.59405092592</v>
      </c>
      <c r="C610" s="1" t="n">
        <v>46113</v>
      </c>
      <c r="D610" t="inlineStr">
        <is>
          <t>JÄMTLANDS LÄN</t>
        </is>
      </c>
      <c r="E610" t="inlineStr">
        <is>
          <t>RAGUNDA</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59496-2024</t>
        </is>
      </c>
      <c r="B611" s="1" t="n">
        <v>45638</v>
      </c>
      <c r="C611" s="1" t="n">
        <v>46113</v>
      </c>
      <c r="D611" t="inlineStr">
        <is>
          <t>JÄMTLANDS LÄN</t>
        </is>
      </c>
      <c r="E611" t="inlineStr">
        <is>
          <t>RAGUNDA</t>
        </is>
      </c>
      <c r="G611" t="n">
        <v>13.1</v>
      </c>
      <c r="H611" t="n">
        <v>0</v>
      </c>
      <c r="I611" t="n">
        <v>0</v>
      </c>
      <c r="J611" t="n">
        <v>0</v>
      </c>
      <c r="K611" t="n">
        <v>0</v>
      </c>
      <c r="L611" t="n">
        <v>0</v>
      </c>
      <c r="M611" t="n">
        <v>0</v>
      </c>
      <c r="N611" t="n">
        <v>0</v>
      </c>
      <c r="O611" t="n">
        <v>0</v>
      </c>
      <c r="P611" t="n">
        <v>0</v>
      </c>
      <c r="Q611" t="n">
        <v>0</v>
      </c>
      <c r="R611" s="2" t="inlineStr"/>
    </row>
    <row r="612" ht="15" customHeight="1">
      <c r="A612" t="inlineStr">
        <is>
          <t>A 47229-2025</t>
        </is>
      </c>
      <c r="B612" s="1" t="n">
        <v>45930.40166666666</v>
      </c>
      <c r="C612" s="1" t="n">
        <v>46113</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37265-2024</t>
        </is>
      </c>
      <c r="B613" s="1" t="n">
        <v>45540.38564814815</v>
      </c>
      <c r="C613" s="1" t="n">
        <v>46113</v>
      </c>
      <c r="D613" t="inlineStr">
        <is>
          <t>JÄMTLANDS LÄN</t>
        </is>
      </c>
      <c r="E613" t="inlineStr">
        <is>
          <t>RAGUNDA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47075-2025</t>
        </is>
      </c>
      <c r="B614" s="1" t="n">
        <v>45929.63728009259</v>
      </c>
      <c r="C614" s="1" t="n">
        <v>46113</v>
      </c>
      <c r="D614" t="inlineStr">
        <is>
          <t>JÄMTLANDS LÄN</t>
        </is>
      </c>
      <c r="E614" t="inlineStr">
        <is>
          <t>RAGUNDA</t>
        </is>
      </c>
      <c r="F614" t="inlineStr">
        <is>
          <t>SCA</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18612-2024</t>
        </is>
      </c>
      <c r="B615" s="1" t="n">
        <v>45425.96239583333</v>
      </c>
      <c r="C615" s="1" t="n">
        <v>46113</v>
      </c>
      <c r="D615" t="inlineStr">
        <is>
          <t>JÄMTLANDS LÄN</t>
        </is>
      </c>
      <c r="E615" t="inlineStr">
        <is>
          <t>RAGUNDA</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46825-2025</t>
        </is>
      </c>
      <c r="B616" s="1" t="n">
        <v>45926.92506944444</v>
      </c>
      <c r="C616" s="1" t="n">
        <v>46113</v>
      </c>
      <c r="D616" t="inlineStr">
        <is>
          <t>JÄMTLANDS LÄN</t>
        </is>
      </c>
      <c r="E616" t="inlineStr">
        <is>
          <t>RAGUNDA</t>
        </is>
      </c>
      <c r="G616" t="n">
        <v>1.4</v>
      </c>
      <c r="H616" t="n">
        <v>0</v>
      </c>
      <c r="I616" t="n">
        <v>0</v>
      </c>
      <c r="J616" t="n">
        <v>0</v>
      </c>
      <c r="K616" t="n">
        <v>0</v>
      </c>
      <c r="L616" t="n">
        <v>0</v>
      </c>
      <c r="M616" t="n">
        <v>0</v>
      </c>
      <c r="N616" t="n">
        <v>0</v>
      </c>
      <c r="O616" t="n">
        <v>0</v>
      </c>
      <c r="P616" t="n">
        <v>0</v>
      </c>
      <c r="Q616" t="n">
        <v>0</v>
      </c>
      <c r="R616" s="2" t="inlineStr"/>
    </row>
    <row r="617" ht="15" customHeight="1">
      <c r="A617" t="inlineStr">
        <is>
          <t>A 48249-2024</t>
        </is>
      </c>
      <c r="B617" s="1" t="n">
        <v>45590.40675925926</v>
      </c>
      <c r="C617" s="1" t="n">
        <v>46113</v>
      </c>
      <c r="D617" t="inlineStr">
        <is>
          <t>JÄMTLANDS LÄN</t>
        </is>
      </c>
      <c r="E617" t="inlineStr">
        <is>
          <t>RAGUNDA</t>
        </is>
      </c>
      <c r="F617" t="inlineStr">
        <is>
          <t>SCA</t>
        </is>
      </c>
      <c r="G617" t="n">
        <v>14.4</v>
      </c>
      <c r="H617" t="n">
        <v>0</v>
      </c>
      <c r="I617" t="n">
        <v>0</v>
      </c>
      <c r="J617" t="n">
        <v>0</v>
      </c>
      <c r="K617" t="n">
        <v>0</v>
      </c>
      <c r="L617" t="n">
        <v>0</v>
      </c>
      <c r="M617" t="n">
        <v>0</v>
      </c>
      <c r="N617" t="n">
        <v>0</v>
      </c>
      <c r="O617" t="n">
        <v>0</v>
      </c>
      <c r="P617" t="n">
        <v>0</v>
      </c>
      <c r="Q617" t="n">
        <v>0</v>
      </c>
      <c r="R617" s="2" t="inlineStr"/>
    </row>
    <row r="618" ht="15" customHeight="1">
      <c r="A618" t="inlineStr">
        <is>
          <t>A 47749-2025</t>
        </is>
      </c>
      <c r="B618" s="1" t="n">
        <v>45931.65711805555</v>
      </c>
      <c r="C618" s="1" t="n">
        <v>46113</v>
      </c>
      <c r="D618" t="inlineStr">
        <is>
          <t>JÄMTLANDS LÄN</t>
        </is>
      </c>
      <c r="E618" t="inlineStr">
        <is>
          <t>RAGUNDA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57237-2022</t>
        </is>
      </c>
      <c r="B619" s="1" t="n">
        <v>44889</v>
      </c>
      <c r="C619" s="1" t="n">
        <v>46113</v>
      </c>
      <c r="D619" t="inlineStr">
        <is>
          <t>JÄMTLANDS LÄN</t>
        </is>
      </c>
      <c r="E619" t="inlineStr">
        <is>
          <t>RAGUNDA</t>
        </is>
      </c>
      <c r="G619" t="n">
        <v>2.2</v>
      </c>
      <c r="H619" t="n">
        <v>0</v>
      </c>
      <c r="I619" t="n">
        <v>0</v>
      </c>
      <c r="J619" t="n">
        <v>0</v>
      </c>
      <c r="K619" t="n">
        <v>0</v>
      </c>
      <c r="L619" t="n">
        <v>0</v>
      </c>
      <c r="M619" t="n">
        <v>0</v>
      </c>
      <c r="N619" t="n">
        <v>0</v>
      </c>
      <c r="O619" t="n">
        <v>0</v>
      </c>
      <c r="P619" t="n">
        <v>0</v>
      </c>
      <c r="Q619" t="n">
        <v>0</v>
      </c>
      <c r="R619" s="2" t="inlineStr"/>
    </row>
    <row r="620" ht="15" customHeight="1">
      <c r="A620" t="inlineStr">
        <is>
          <t>A 19438-2023</t>
        </is>
      </c>
      <c r="B620" s="1" t="n">
        <v>45049</v>
      </c>
      <c r="C620" s="1" t="n">
        <v>46113</v>
      </c>
      <c r="D620" t="inlineStr">
        <is>
          <t>JÄMTLANDS LÄN</t>
        </is>
      </c>
      <c r="E620" t="inlineStr">
        <is>
          <t>RAGUNDA</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61934-2022</t>
        </is>
      </c>
      <c r="B621" s="1" t="n">
        <v>44917</v>
      </c>
      <c r="C621" s="1" t="n">
        <v>46113</v>
      </c>
      <c r="D621" t="inlineStr">
        <is>
          <t>JÄMTLANDS LÄN</t>
        </is>
      </c>
      <c r="E621" t="inlineStr">
        <is>
          <t>RAGUNDA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11558-2023</t>
        </is>
      </c>
      <c r="B622" s="1" t="n">
        <v>44993.94958333333</v>
      </c>
      <c r="C622" s="1" t="n">
        <v>46113</v>
      </c>
      <c r="D622" t="inlineStr">
        <is>
          <t>JÄMTLANDS LÄN</t>
        </is>
      </c>
      <c r="E622" t="inlineStr">
        <is>
          <t>RAGUNDA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13263-2025</t>
        </is>
      </c>
      <c r="B623" s="1" t="n">
        <v>45735.53177083333</v>
      </c>
      <c r="C623" s="1" t="n">
        <v>46113</v>
      </c>
      <c r="D623" t="inlineStr">
        <is>
          <t>JÄMTLANDS LÄN</t>
        </is>
      </c>
      <c r="E623" t="inlineStr">
        <is>
          <t>RAGUNDA</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13276-2025</t>
        </is>
      </c>
      <c r="B624" s="1" t="n">
        <v>45735.5517824074</v>
      </c>
      <c r="C624" s="1" t="n">
        <v>46113</v>
      </c>
      <c r="D624" t="inlineStr">
        <is>
          <t>JÄMTLANDS LÄN</t>
        </is>
      </c>
      <c r="E624" t="inlineStr">
        <is>
          <t>RAGUNDA</t>
        </is>
      </c>
      <c r="G624" t="n">
        <v>16.6</v>
      </c>
      <c r="H624" t="n">
        <v>0</v>
      </c>
      <c r="I624" t="n">
        <v>0</v>
      </c>
      <c r="J624" t="n">
        <v>0</v>
      </c>
      <c r="K624" t="n">
        <v>0</v>
      </c>
      <c r="L624" t="n">
        <v>0</v>
      </c>
      <c r="M624" t="n">
        <v>0</v>
      </c>
      <c r="N624" t="n">
        <v>0</v>
      </c>
      <c r="O624" t="n">
        <v>0</v>
      </c>
      <c r="P624" t="n">
        <v>0</v>
      </c>
      <c r="Q624" t="n">
        <v>0</v>
      </c>
      <c r="R624" s="2" t="inlineStr"/>
    </row>
    <row r="625" ht="15" customHeight="1">
      <c r="A625" t="inlineStr">
        <is>
          <t>A 12405-2025</t>
        </is>
      </c>
      <c r="B625" s="1" t="n">
        <v>45730.42738425926</v>
      </c>
      <c r="C625" s="1" t="n">
        <v>46113</v>
      </c>
      <c r="D625" t="inlineStr">
        <is>
          <t>JÄMTLANDS LÄN</t>
        </is>
      </c>
      <c r="E625" t="inlineStr">
        <is>
          <t>RAGUNDA</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12808-2025</t>
        </is>
      </c>
      <c r="B626" s="1" t="n">
        <v>45733.61554398148</v>
      </c>
      <c r="C626" s="1" t="n">
        <v>46113</v>
      </c>
      <c r="D626" t="inlineStr">
        <is>
          <t>JÄMTLANDS LÄN</t>
        </is>
      </c>
      <c r="E626" t="inlineStr">
        <is>
          <t>RAGUNDA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46546-2023</t>
        </is>
      </c>
      <c r="B627" s="1" t="n">
        <v>45197.94152777778</v>
      </c>
      <c r="C627" s="1" t="n">
        <v>46113</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25631-2025</t>
        </is>
      </c>
      <c r="B628" s="1" t="n">
        <v>45803.5946875</v>
      </c>
      <c r="C628" s="1" t="n">
        <v>46113</v>
      </c>
      <c r="D628" t="inlineStr">
        <is>
          <t>JÄMTLANDS LÄN</t>
        </is>
      </c>
      <c r="E628" t="inlineStr">
        <is>
          <t>RAGUNDA</t>
        </is>
      </c>
      <c r="G628" t="n">
        <v>1.1</v>
      </c>
      <c r="H628" t="n">
        <v>0</v>
      </c>
      <c r="I628" t="n">
        <v>0</v>
      </c>
      <c r="J628" t="n">
        <v>0</v>
      </c>
      <c r="K628" t="n">
        <v>0</v>
      </c>
      <c r="L628" t="n">
        <v>0</v>
      </c>
      <c r="M628" t="n">
        <v>0</v>
      </c>
      <c r="N628" t="n">
        <v>0</v>
      </c>
      <c r="O628" t="n">
        <v>0</v>
      </c>
      <c r="P628" t="n">
        <v>0</v>
      </c>
      <c r="Q628" t="n">
        <v>0</v>
      </c>
      <c r="R628" s="2" t="inlineStr"/>
    </row>
    <row r="629" ht="15" customHeight="1">
      <c r="A629" t="inlineStr">
        <is>
          <t>A 6716-2025</t>
        </is>
      </c>
      <c r="B629" s="1" t="n">
        <v>45700.57324074074</v>
      </c>
      <c r="C629" s="1" t="n">
        <v>46113</v>
      </c>
      <c r="D629" t="inlineStr">
        <is>
          <t>JÄMTLANDS LÄN</t>
        </is>
      </c>
      <c r="E629" t="inlineStr">
        <is>
          <t>RAGUNDA</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21332-2025</t>
        </is>
      </c>
      <c r="B630" s="1" t="n">
        <v>45782.36506944444</v>
      </c>
      <c r="C630" s="1" t="n">
        <v>46113</v>
      </c>
      <c r="D630" t="inlineStr">
        <is>
          <t>JÄMTLANDS LÄN</t>
        </is>
      </c>
      <c r="E630" t="inlineStr">
        <is>
          <t>RAGUNDA</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47748-2025</t>
        </is>
      </c>
      <c r="B631" s="1" t="n">
        <v>45931.65693287037</v>
      </c>
      <c r="C631" s="1" t="n">
        <v>46113</v>
      </c>
      <c r="D631" t="inlineStr">
        <is>
          <t>JÄMTLANDS LÄN</t>
        </is>
      </c>
      <c r="E631" t="inlineStr">
        <is>
          <t>RAGUNDA</t>
        </is>
      </c>
      <c r="F631" t="inlineStr">
        <is>
          <t>SCA</t>
        </is>
      </c>
      <c r="G631" t="n">
        <v>8.6</v>
      </c>
      <c r="H631" t="n">
        <v>0</v>
      </c>
      <c r="I631" t="n">
        <v>0</v>
      </c>
      <c r="J631" t="n">
        <v>0</v>
      </c>
      <c r="K631" t="n">
        <v>0</v>
      </c>
      <c r="L631" t="n">
        <v>0</v>
      </c>
      <c r="M631" t="n">
        <v>0</v>
      </c>
      <c r="N631" t="n">
        <v>0</v>
      </c>
      <c r="O631" t="n">
        <v>0</v>
      </c>
      <c r="P631" t="n">
        <v>0</v>
      </c>
      <c r="Q631" t="n">
        <v>0</v>
      </c>
      <c r="R631" s="2" t="inlineStr"/>
    </row>
    <row r="632" ht="15" customHeight="1">
      <c r="A632" t="inlineStr">
        <is>
          <t>A 30823-2023</t>
        </is>
      </c>
      <c r="B632" s="1" t="n">
        <v>45112</v>
      </c>
      <c r="C632" s="1" t="n">
        <v>46113</v>
      </c>
      <c r="D632" t="inlineStr">
        <is>
          <t>JÄMTLANDS LÄN</t>
        </is>
      </c>
      <c r="E632" t="inlineStr">
        <is>
          <t>RAGUNDA</t>
        </is>
      </c>
      <c r="F632" t="inlineStr">
        <is>
          <t>SCA</t>
        </is>
      </c>
      <c r="G632" t="n">
        <v>9</v>
      </c>
      <c r="H632" t="n">
        <v>0</v>
      </c>
      <c r="I632" t="n">
        <v>0</v>
      </c>
      <c r="J632" t="n">
        <v>0</v>
      </c>
      <c r="K632" t="n">
        <v>0</v>
      </c>
      <c r="L632" t="n">
        <v>0</v>
      </c>
      <c r="M632" t="n">
        <v>0</v>
      </c>
      <c r="N632" t="n">
        <v>0</v>
      </c>
      <c r="O632" t="n">
        <v>0</v>
      </c>
      <c r="P632" t="n">
        <v>0</v>
      </c>
      <c r="Q632" t="n">
        <v>0</v>
      </c>
      <c r="R632" s="2" t="inlineStr"/>
    </row>
    <row r="633" ht="15" customHeight="1">
      <c r="A633" t="inlineStr">
        <is>
          <t>A 49648-2023</t>
        </is>
      </c>
      <c r="B633" s="1" t="n">
        <v>45211.95061342593</v>
      </c>
      <c r="C633" s="1" t="n">
        <v>46113</v>
      </c>
      <c r="D633" t="inlineStr">
        <is>
          <t>JÄMTLANDS LÄN</t>
        </is>
      </c>
      <c r="E633" t="inlineStr">
        <is>
          <t>RAGUNDA</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30484-2024</t>
        </is>
      </c>
      <c r="B634" s="1" t="n">
        <v>45491</v>
      </c>
      <c r="C634" s="1" t="n">
        <v>46113</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25659-2025</t>
        </is>
      </c>
      <c r="B635" s="1" t="n">
        <v>45803.61552083334</v>
      </c>
      <c r="C635" s="1" t="n">
        <v>46113</v>
      </c>
      <c r="D635" t="inlineStr">
        <is>
          <t>JÄMTLANDS LÄN</t>
        </is>
      </c>
      <c r="E635" t="inlineStr">
        <is>
          <t>RAGUNDA</t>
        </is>
      </c>
      <c r="G635" t="n">
        <v>1.5</v>
      </c>
      <c r="H635" t="n">
        <v>0</v>
      </c>
      <c r="I635" t="n">
        <v>0</v>
      </c>
      <c r="J635" t="n">
        <v>0</v>
      </c>
      <c r="K635" t="n">
        <v>0</v>
      </c>
      <c r="L635" t="n">
        <v>0</v>
      </c>
      <c r="M635" t="n">
        <v>0</v>
      </c>
      <c r="N635" t="n">
        <v>0</v>
      </c>
      <c r="O635" t="n">
        <v>0</v>
      </c>
      <c r="P635" t="n">
        <v>0</v>
      </c>
      <c r="Q635" t="n">
        <v>0</v>
      </c>
      <c r="R635" s="2" t="inlineStr"/>
    </row>
    <row r="636" ht="15" customHeight="1">
      <c r="A636" t="inlineStr">
        <is>
          <t>A 25661-2025</t>
        </is>
      </c>
      <c r="B636" s="1" t="n">
        <v>45803.61557870371</v>
      </c>
      <c r="C636" s="1" t="n">
        <v>46113</v>
      </c>
      <c r="D636" t="inlineStr">
        <is>
          <t>JÄMTLANDS LÄN</t>
        </is>
      </c>
      <c r="E636" t="inlineStr">
        <is>
          <t>RAGUNDA</t>
        </is>
      </c>
      <c r="G636" t="n">
        <v>1.4</v>
      </c>
      <c r="H636" t="n">
        <v>0</v>
      </c>
      <c r="I636" t="n">
        <v>0</v>
      </c>
      <c r="J636" t="n">
        <v>0</v>
      </c>
      <c r="K636" t="n">
        <v>0</v>
      </c>
      <c r="L636" t="n">
        <v>0</v>
      </c>
      <c r="M636" t="n">
        <v>0</v>
      </c>
      <c r="N636" t="n">
        <v>0</v>
      </c>
      <c r="O636" t="n">
        <v>0</v>
      </c>
      <c r="P636" t="n">
        <v>0</v>
      </c>
      <c r="Q636" t="n">
        <v>0</v>
      </c>
      <c r="R636" s="2" t="inlineStr"/>
    </row>
    <row r="637" ht="15" customHeight="1">
      <c r="A637" t="inlineStr">
        <is>
          <t>A 48528-2025</t>
        </is>
      </c>
      <c r="B637" s="1" t="n">
        <v>45936.40758101852</v>
      </c>
      <c r="C637" s="1" t="n">
        <v>46113</v>
      </c>
      <c r="D637" t="inlineStr">
        <is>
          <t>JÄMTLANDS LÄN</t>
        </is>
      </c>
      <c r="E637" t="inlineStr">
        <is>
          <t>RAGUNDA</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25944-2025</t>
        </is>
      </c>
      <c r="B638" s="1" t="n">
        <v>45804.59487268519</v>
      </c>
      <c r="C638" s="1" t="n">
        <v>46113</v>
      </c>
      <c r="D638" t="inlineStr">
        <is>
          <t>JÄMTLANDS LÄN</t>
        </is>
      </c>
      <c r="E638" t="inlineStr">
        <is>
          <t>RAGUNDA</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11288-2022</t>
        </is>
      </c>
      <c r="B639" s="1" t="n">
        <v>44629</v>
      </c>
      <c r="C639" s="1" t="n">
        <v>46113</v>
      </c>
      <c r="D639" t="inlineStr">
        <is>
          <t>JÄMTLANDS LÄN</t>
        </is>
      </c>
      <c r="E639" t="inlineStr">
        <is>
          <t>RAGUNDA</t>
        </is>
      </c>
      <c r="G639" t="n">
        <v>4.9</v>
      </c>
      <c r="H639" t="n">
        <v>0</v>
      </c>
      <c r="I639" t="n">
        <v>0</v>
      </c>
      <c r="J639" t="n">
        <v>0</v>
      </c>
      <c r="K639" t="n">
        <v>0</v>
      </c>
      <c r="L639" t="n">
        <v>0</v>
      </c>
      <c r="M639" t="n">
        <v>0</v>
      </c>
      <c r="N639" t="n">
        <v>0</v>
      </c>
      <c r="O639" t="n">
        <v>0</v>
      </c>
      <c r="P639" t="n">
        <v>0</v>
      </c>
      <c r="Q639" t="n">
        <v>0</v>
      </c>
      <c r="R639" s="2" t="inlineStr"/>
    </row>
    <row r="640" ht="15" customHeight="1">
      <c r="A640" t="inlineStr">
        <is>
          <t>A 58194-2022</t>
        </is>
      </c>
      <c r="B640" s="1" t="n">
        <v>44900</v>
      </c>
      <c r="C640" s="1" t="n">
        <v>46113</v>
      </c>
      <c r="D640" t="inlineStr">
        <is>
          <t>JÄMTLANDS LÄN</t>
        </is>
      </c>
      <c r="E640" t="inlineStr">
        <is>
          <t>RAGUNDA</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25814-2025</t>
        </is>
      </c>
      <c r="B641" s="1" t="n">
        <v>45804.42642361111</v>
      </c>
      <c r="C641" s="1" t="n">
        <v>46113</v>
      </c>
      <c r="D641" t="inlineStr">
        <is>
          <t>JÄMTLANDS LÄN</t>
        </is>
      </c>
      <c r="E641" t="inlineStr">
        <is>
          <t>RAGUNDA</t>
        </is>
      </c>
      <c r="G641" t="n">
        <v>0.8</v>
      </c>
      <c r="H641" t="n">
        <v>0</v>
      </c>
      <c r="I641" t="n">
        <v>0</v>
      </c>
      <c r="J641" t="n">
        <v>0</v>
      </c>
      <c r="K641" t="n">
        <v>0</v>
      </c>
      <c r="L641" t="n">
        <v>0</v>
      </c>
      <c r="M641" t="n">
        <v>0</v>
      </c>
      <c r="N641" t="n">
        <v>0</v>
      </c>
      <c r="O641" t="n">
        <v>0</v>
      </c>
      <c r="P641" t="n">
        <v>0</v>
      </c>
      <c r="Q641" t="n">
        <v>0</v>
      </c>
      <c r="R641" s="2" t="inlineStr"/>
    </row>
    <row r="642" ht="15" customHeight="1">
      <c r="A642" t="inlineStr">
        <is>
          <t>A 42875-2024</t>
        </is>
      </c>
      <c r="B642" s="1" t="n">
        <v>45566.68125</v>
      </c>
      <c r="C642" s="1" t="n">
        <v>46113</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19865-2023</t>
        </is>
      </c>
      <c r="B643" s="1" t="n">
        <v>45053.94305555556</v>
      </c>
      <c r="C643" s="1" t="n">
        <v>46113</v>
      </c>
      <c r="D643" t="inlineStr">
        <is>
          <t>JÄMTLANDS LÄN</t>
        </is>
      </c>
      <c r="E643" t="inlineStr">
        <is>
          <t>RAGUNDA</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15864-2024</t>
        </is>
      </c>
      <c r="B644" s="1" t="n">
        <v>45404.99792824074</v>
      </c>
      <c r="C644" s="1" t="n">
        <v>46113</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c r="U644">
        <f>HYPERLINK("https://klasma.github.io/Logging_2303/knärot/A 15864-2024 karta knärot.png", "A 15864-2024")</f>
        <v/>
      </c>
      <c r="V644">
        <f>HYPERLINK("https://klasma.github.io/Logging_2303/klagomål/A 15864-2024 FSC-klagomål.docx", "A 15864-2024")</f>
        <v/>
      </c>
      <c r="W644">
        <f>HYPERLINK("https://klasma.github.io/Logging_2303/klagomålsmail/A 15864-2024 FSC-klagomål mail.docx", "A 15864-2024")</f>
        <v/>
      </c>
      <c r="X644">
        <f>HYPERLINK("https://klasma.github.io/Logging_2303/tillsyn/A 15864-2024 tillsynsbegäran.docx", "A 15864-2024")</f>
        <v/>
      </c>
      <c r="Y644">
        <f>HYPERLINK("https://klasma.github.io/Logging_2303/tillsynsmail/A 15864-2024 tillsynsbegäran mail.docx", "A 15864-2024")</f>
        <v/>
      </c>
    </row>
    <row r="645" ht="15" customHeight="1">
      <c r="A645" t="inlineStr">
        <is>
          <t>A 1554-2024</t>
        </is>
      </c>
      <c r="B645" s="1" t="n">
        <v>45306</v>
      </c>
      <c r="C645" s="1" t="n">
        <v>46113</v>
      </c>
      <c r="D645" t="inlineStr">
        <is>
          <t>JÄMTLANDS LÄN</t>
        </is>
      </c>
      <c r="E645" t="inlineStr">
        <is>
          <t>RAGUNDA</t>
        </is>
      </c>
      <c r="G645" t="n">
        <v>4.3</v>
      </c>
      <c r="H645" t="n">
        <v>0</v>
      </c>
      <c r="I645" t="n">
        <v>0</v>
      </c>
      <c r="J645" t="n">
        <v>0</v>
      </c>
      <c r="K645" t="n">
        <v>0</v>
      </c>
      <c r="L645" t="n">
        <v>0</v>
      </c>
      <c r="M645" t="n">
        <v>0</v>
      </c>
      <c r="N645" t="n">
        <v>0</v>
      </c>
      <c r="O645" t="n">
        <v>0</v>
      </c>
      <c r="P645" t="n">
        <v>0</v>
      </c>
      <c r="Q645" t="n">
        <v>0</v>
      </c>
      <c r="R645" s="2" t="inlineStr"/>
    </row>
    <row r="646" ht="15" customHeight="1">
      <c r="A646" t="inlineStr">
        <is>
          <t>A 4015-2022</t>
        </is>
      </c>
      <c r="B646" s="1" t="n">
        <v>44587.92149305555</v>
      </c>
      <c r="C646" s="1" t="n">
        <v>46113</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2599-2023</t>
        </is>
      </c>
      <c r="B647" s="1" t="n">
        <v>44943.94802083333</v>
      </c>
      <c r="C647" s="1" t="n">
        <v>46113</v>
      </c>
      <c r="D647" t="inlineStr">
        <is>
          <t>JÄMTLANDS LÄN</t>
        </is>
      </c>
      <c r="E647" t="inlineStr">
        <is>
          <t>RAGUNDA</t>
        </is>
      </c>
      <c r="F647" t="inlineStr">
        <is>
          <t>SCA</t>
        </is>
      </c>
      <c r="G647" t="n">
        <v>5.9</v>
      </c>
      <c r="H647" t="n">
        <v>0</v>
      </c>
      <c r="I647" t="n">
        <v>0</v>
      </c>
      <c r="J647" t="n">
        <v>0</v>
      </c>
      <c r="K647" t="n">
        <v>0</v>
      </c>
      <c r="L647" t="n">
        <v>0</v>
      </c>
      <c r="M647" t="n">
        <v>0</v>
      </c>
      <c r="N647" t="n">
        <v>0</v>
      </c>
      <c r="O647" t="n">
        <v>0</v>
      </c>
      <c r="P647" t="n">
        <v>0</v>
      </c>
      <c r="Q647" t="n">
        <v>0</v>
      </c>
      <c r="R647" s="2" t="inlineStr"/>
    </row>
    <row r="648" ht="15" customHeight="1">
      <c r="A648" t="inlineStr">
        <is>
          <t>A 48742-2025</t>
        </is>
      </c>
      <c r="B648" s="1" t="n">
        <v>45936.67810185185</v>
      </c>
      <c r="C648" s="1" t="n">
        <v>46113</v>
      </c>
      <c r="D648" t="inlineStr">
        <is>
          <t>JÄMTLANDS LÄN</t>
        </is>
      </c>
      <c r="E648" t="inlineStr">
        <is>
          <t>RAGUNDA</t>
        </is>
      </c>
      <c r="F648" t="inlineStr">
        <is>
          <t>SCA</t>
        </is>
      </c>
      <c r="G648" t="n">
        <v>8.9</v>
      </c>
      <c r="H648" t="n">
        <v>0</v>
      </c>
      <c r="I648" t="n">
        <v>0</v>
      </c>
      <c r="J648" t="n">
        <v>0</v>
      </c>
      <c r="K648" t="n">
        <v>0</v>
      </c>
      <c r="L648" t="n">
        <v>0</v>
      </c>
      <c r="M648" t="n">
        <v>0</v>
      </c>
      <c r="N648" t="n">
        <v>0</v>
      </c>
      <c r="O648" t="n">
        <v>0</v>
      </c>
      <c r="P648" t="n">
        <v>0</v>
      </c>
      <c r="Q648" t="n">
        <v>0</v>
      </c>
      <c r="R648" s="2" t="inlineStr"/>
    </row>
    <row r="649" ht="15" customHeight="1">
      <c r="A649" t="inlineStr">
        <is>
          <t>A 59044-2022</t>
        </is>
      </c>
      <c r="B649" s="1" t="n">
        <v>44903</v>
      </c>
      <c r="C649" s="1" t="n">
        <v>46113</v>
      </c>
      <c r="D649" t="inlineStr">
        <is>
          <t>JÄMTLANDS LÄN</t>
        </is>
      </c>
      <c r="E649" t="inlineStr">
        <is>
          <t>RAGUNDA</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22011-2023</t>
        </is>
      </c>
      <c r="B650" s="1" t="n">
        <v>45068</v>
      </c>
      <c r="C650" s="1" t="n">
        <v>46113</v>
      </c>
      <c r="D650" t="inlineStr">
        <is>
          <t>JÄMTLANDS LÄN</t>
        </is>
      </c>
      <c r="E650" t="inlineStr">
        <is>
          <t>RAGUNDA</t>
        </is>
      </c>
      <c r="F650" t="inlineStr">
        <is>
          <t>SCA</t>
        </is>
      </c>
      <c r="G650" t="n">
        <v>12.2</v>
      </c>
      <c r="H650" t="n">
        <v>0</v>
      </c>
      <c r="I650" t="n">
        <v>0</v>
      </c>
      <c r="J650" t="n">
        <v>0</v>
      </c>
      <c r="K650" t="n">
        <v>0</v>
      </c>
      <c r="L650" t="n">
        <v>0</v>
      </c>
      <c r="M650" t="n">
        <v>0</v>
      </c>
      <c r="N650" t="n">
        <v>0</v>
      </c>
      <c r="O650" t="n">
        <v>0</v>
      </c>
      <c r="P650" t="n">
        <v>0</v>
      </c>
      <c r="Q650" t="n">
        <v>0</v>
      </c>
      <c r="R650" s="2" t="inlineStr"/>
    </row>
    <row r="651" ht="15" customHeight="1">
      <c r="A651" t="inlineStr">
        <is>
          <t>A 4014-2022</t>
        </is>
      </c>
      <c r="B651" s="1" t="n">
        <v>44587.92144675926</v>
      </c>
      <c r="C651" s="1" t="n">
        <v>46113</v>
      </c>
      <c r="D651" t="inlineStr">
        <is>
          <t>JÄMTLANDS LÄN</t>
        </is>
      </c>
      <c r="E651" t="inlineStr">
        <is>
          <t>RAGUNDA</t>
        </is>
      </c>
      <c r="G651" t="n">
        <v>3.6</v>
      </c>
      <c r="H651" t="n">
        <v>0</v>
      </c>
      <c r="I651" t="n">
        <v>0</v>
      </c>
      <c r="J651" t="n">
        <v>0</v>
      </c>
      <c r="K651" t="n">
        <v>0</v>
      </c>
      <c r="L651" t="n">
        <v>0</v>
      </c>
      <c r="M651" t="n">
        <v>0</v>
      </c>
      <c r="N651" t="n">
        <v>0</v>
      </c>
      <c r="O651" t="n">
        <v>0</v>
      </c>
      <c r="P651" t="n">
        <v>0</v>
      </c>
      <c r="Q651" t="n">
        <v>0</v>
      </c>
      <c r="R651" s="2" t="inlineStr"/>
    </row>
    <row r="652" ht="15" customHeight="1">
      <c r="A652" t="inlineStr">
        <is>
          <t>A 8243-2024</t>
        </is>
      </c>
      <c r="B652" s="1" t="n">
        <v>45351.98532407408</v>
      </c>
      <c r="C652" s="1" t="n">
        <v>46113</v>
      </c>
      <c r="D652" t="inlineStr">
        <is>
          <t>JÄMTLANDS LÄN</t>
        </is>
      </c>
      <c r="E652" t="inlineStr">
        <is>
          <t>RAGUNDA</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6902-2024</t>
        </is>
      </c>
      <c r="B653" s="1" t="n">
        <v>45342</v>
      </c>
      <c r="C653" s="1" t="n">
        <v>46113</v>
      </c>
      <c r="D653" t="inlineStr">
        <is>
          <t>JÄMTLANDS LÄN</t>
        </is>
      </c>
      <c r="E653" t="inlineStr">
        <is>
          <t>RAGUNDA</t>
        </is>
      </c>
      <c r="F653" t="inlineStr">
        <is>
          <t>SCA</t>
        </is>
      </c>
      <c r="G653" t="n">
        <v>18.7</v>
      </c>
      <c r="H653" t="n">
        <v>0</v>
      </c>
      <c r="I653" t="n">
        <v>0</v>
      </c>
      <c r="J653" t="n">
        <v>0</v>
      </c>
      <c r="K653" t="n">
        <v>0</v>
      </c>
      <c r="L653" t="n">
        <v>0</v>
      </c>
      <c r="M653" t="n">
        <v>0</v>
      </c>
      <c r="N653" t="n">
        <v>0</v>
      </c>
      <c r="O653" t="n">
        <v>0</v>
      </c>
      <c r="P653" t="n">
        <v>0</v>
      </c>
      <c r="Q653" t="n">
        <v>0</v>
      </c>
      <c r="R653" s="2" t="inlineStr"/>
    </row>
    <row r="654" ht="15" customHeight="1">
      <c r="A654" t="inlineStr">
        <is>
          <t>A 6905-2024</t>
        </is>
      </c>
      <c r="B654" s="1" t="n">
        <v>45342.9462037037</v>
      </c>
      <c r="C654" s="1" t="n">
        <v>46113</v>
      </c>
      <c r="D654" t="inlineStr">
        <is>
          <t>JÄMTLANDS LÄN</t>
        </is>
      </c>
      <c r="E654" t="inlineStr">
        <is>
          <t>RAGUNDA</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13389-2025</t>
        </is>
      </c>
      <c r="B655" s="1" t="n">
        <v>45735.69842592593</v>
      </c>
      <c r="C655" s="1" t="n">
        <v>46113</v>
      </c>
      <c r="D655" t="inlineStr">
        <is>
          <t>JÄMTLANDS LÄN</t>
        </is>
      </c>
      <c r="E655" t="inlineStr">
        <is>
          <t>RAGUNDA</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2831-2024</t>
        </is>
      </c>
      <c r="B656" s="1" t="n">
        <v>45314.92758101852</v>
      </c>
      <c r="C656" s="1" t="n">
        <v>46113</v>
      </c>
      <c r="D656" t="inlineStr">
        <is>
          <t>JÄMTLANDS LÄN</t>
        </is>
      </c>
      <c r="E656" t="inlineStr">
        <is>
          <t>RAGUNDA</t>
        </is>
      </c>
      <c r="G656" t="n">
        <v>0.6</v>
      </c>
      <c r="H656" t="n">
        <v>0</v>
      </c>
      <c r="I656" t="n">
        <v>0</v>
      </c>
      <c r="J656" t="n">
        <v>0</v>
      </c>
      <c r="K656" t="n">
        <v>0</v>
      </c>
      <c r="L656" t="n">
        <v>0</v>
      </c>
      <c r="M656" t="n">
        <v>0</v>
      </c>
      <c r="N656" t="n">
        <v>0</v>
      </c>
      <c r="O656" t="n">
        <v>0</v>
      </c>
      <c r="P656" t="n">
        <v>0</v>
      </c>
      <c r="Q656" t="n">
        <v>0</v>
      </c>
      <c r="R656" s="2" t="inlineStr"/>
    </row>
    <row r="657" ht="15" customHeight="1">
      <c r="A657" t="inlineStr">
        <is>
          <t>A 48748-2025</t>
        </is>
      </c>
      <c r="B657" s="1" t="n">
        <v>45936.67912037037</v>
      </c>
      <c r="C657" s="1" t="n">
        <v>46113</v>
      </c>
      <c r="D657" t="inlineStr">
        <is>
          <t>JÄMTLANDS LÄN</t>
        </is>
      </c>
      <c r="E657" t="inlineStr">
        <is>
          <t>RAGUNDA</t>
        </is>
      </c>
      <c r="F657" t="inlineStr">
        <is>
          <t>SCA</t>
        </is>
      </c>
      <c r="G657" t="n">
        <v>11.1</v>
      </c>
      <c r="H657" t="n">
        <v>0</v>
      </c>
      <c r="I657" t="n">
        <v>0</v>
      </c>
      <c r="J657" t="n">
        <v>0</v>
      </c>
      <c r="K657" t="n">
        <v>0</v>
      </c>
      <c r="L657" t="n">
        <v>0</v>
      </c>
      <c r="M657" t="n">
        <v>0</v>
      </c>
      <c r="N657" t="n">
        <v>0</v>
      </c>
      <c r="O657" t="n">
        <v>0</v>
      </c>
      <c r="P657" t="n">
        <v>0</v>
      </c>
      <c r="Q657" t="n">
        <v>0</v>
      </c>
      <c r="R657" s="2" t="inlineStr"/>
    </row>
    <row r="658" ht="15" customHeight="1">
      <c r="A658" t="inlineStr">
        <is>
          <t>A 53989-2024</t>
        </is>
      </c>
      <c r="B658" s="1" t="n">
        <v>45616.34479166667</v>
      </c>
      <c r="C658" s="1" t="n">
        <v>46113</v>
      </c>
      <c r="D658" t="inlineStr">
        <is>
          <t>JÄMTLANDS LÄN</t>
        </is>
      </c>
      <c r="E658" t="inlineStr">
        <is>
          <t>RAGUNDA</t>
        </is>
      </c>
      <c r="F658" t="inlineStr">
        <is>
          <t>SCA</t>
        </is>
      </c>
      <c r="G658" t="n">
        <v>7.2</v>
      </c>
      <c r="H658" t="n">
        <v>0</v>
      </c>
      <c r="I658" t="n">
        <v>0</v>
      </c>
      <c r="J658" t="n">
        <v>0</v>
      </c>
      <c r="K658" t="n">
        <v>0</v>
      </c>
      <c r="L658" t="n">
        <v>0</v>
      </c>
      <c r="M658" t="n">
        <v>0</v>
      </c>
      <c r="N658" t="n">
        <v>0</v>
      </c>
      <c r="O658" t="n">
        <v>0</v>
      </c>
      <c r="P658" t="n">
        <v>0</v>
      </c>
      <c r="Q658" t="n">
        <v>0</v>
      </c>
      <c r="R658" s="2" t="inlineStr"/>
    </row>
    <row r="659" ht="15" customHeight="1">
      <c r="A659" t="inlineStr">
        <is>
          <t>A 42509-2023</t>
        </is>
      </c>
      <c r="B659" s="1" t="n">
        <v>45180</v>
      </c>
      <c r="C659" s="1" t="n">
        <v>46113</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42510-2023</t>
        </is>
      </c>
      <c r="B660" s="1" t="n">
        <v>45180.95927083334</v>
      </c>
      <c r="C660" s="1" t="n">
        <v>46113</v>
      </c>
      <c r="D660" t="inlineStr">
        <is>
          <t>JÄMTLANDS LÄN</t>
        </is>
      </c>
      <c r="E660" t="inlineStr">
        <is>
          <t>RAGUNDA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13264-2025</t>
        </is>
      </c>
      <c r="B661" s="1" t="n">
        <v>45735</v>
      </c>
      <c r="C661" s="1" t="n">
        <v>46113</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11048-2023</t>
        </is>
      </c>
      <c r="B662" s="1" t="n">
        <v>44991</v>
      </c>
      <c r="C662" s="1" t="n">
        <v>46113</v>
      </c>
      <c r="D662" t="inlineStr">
        <is>
          <t>JÄMTLANDS LÄN</t>
        </is>
      </c>
      <c r="E662" t="inlineStr">
        <is>
          <t>RAGUNDA</t>
        </is>
      </c>
      <c r="F662" t="inlineStr">
        <is>
          <t>SCA</t>
        </is>
      </c>
      <c r="G662" t="n">
        <v>13.5</v>
      </c>
      <c r="H662" t="n">
        <v>0</v>
      </c>
      <c r="I662" t="n">
        <v>0</v>
      </c>
      <c r="J662" t="n">
        <v>0</v>
      </c>
      <c r="K662" t="n">
        <v>0</v>
      </c>
      <c r="L662" t="n">
        <v>0</v>
      </c>
      <c r="M662" t="n">
        <v>0</v>
      </c>
      <c r="N662" t="n">
        <v>0</v>
      </c>
      <c r="O662" t="n">
        <v>0</v>
      </c>
      <c r="P662" t="n">
        <v>0</v>
      </c>
      <c r="Q662" t="n">
        <v>0</v>
      </c>
      <c r="R662" s="2" t="inlineStr"/>
    </row>
    <row r="663" ht="15" customHeight="1">
      <c r="A663" t="inlineStr">
        <is>
          <t>A 48746-2025</t>
        </is>
      </c>
      <c r="B663" s="1" t="n">
        <v>45936.67878472222</v>
      </c>
      <c r="C663" s="1" t="n">
        <v>46113</v>
      </c>
      <c r="D663" t="inlineStr">
        <is>
          <t>JÄMTLANDS LÄN</t>
        </is>
      </c>
      <c r="E663" t="inlineStr">
        <is>
          <t>RAGUNDA</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37268-2024</t>
        </is>
      </c>
      <c r="B664" s="1" t="n">
        <v>45540.38586805556</v>
      </c>
      <c r="C664" s="1" t="n">
        <v>46113</v>
      </c>
      <c r="D664" t="inlineStr">
        <is>
          <t>JÄMTLANDS LÄN</t>
        </is>
      </c>
      <c r="E664" t="inlineStr">
        <is>
          <t>RAGUNDA</t>
        </is>
      </c>
      <c r="F664" t="inlineStr">
        <is>
          <t>SCA</t>
        </is>
      </c>
      <c r="G664" t="n">
        <v>6.3</v>
      </c>
      <c r="H664" t="n">
        <v>0</v>
      </c>
      <c r="I664" t="n">
        <v>0</v>
      </c>
      <c r="J664" t="n">
        <v>0</v>
      </c>
      <c r="K664" t="n">
        <v>0</v>
      </c>
      <c r="L664" t="n">
        <v>0</v>
      </c>
      <c r="M664" t="n">
        <v>0</v>
      </c>
      <c r="N664" t="n">
        <v>0</v>
      </c>
      <c r="O664" t="n">
        <v>0</v>
      </c>
      <c r="P664" t="n">
        <v>0</v>
      </c>
      <c r="Q664" t="n">
        <v>0</v>
      </c>
      <c r="R664" s="2" t="inlineStr"/>
    </row>
    <row r="665" ht="15" customHeight="1">
      <c r="A665" t="inlineStr">
        <is>
          <t>A 41179-2022</t>
        </is>
      </c>
      <c r="B665" s="1" t="n">
        <v>44825</v>
      </c>
      <c r="C665" s="1" t="n">
        <v>46113</v>
      </c>
      <c r="D665" t="inlineStr">
        <is>
          <t>JÄMTLANDS LÄN</t>
        </is>
      </c>
      <c r="E665" t="inlineStr">
        <is>
          <t>RAGUNDA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16364-2023</t>
        </is>
      </c>
      <c r="B666" s="1" t="n">
        <v>45028</v>
      </c>
      <c r="C666" s="1" t="n">
        <v>46113</v>
      </c>
      <c r="D666" t="inlineStr">
        <is>
          <t>JÄMTLANDS LÄN</t>
        </is>
      </c>
      <c r="E666" t="inlineStr">
        <is>
          <t>RAGUNDA</t>
        </is>
      </c>
      <c r="G666" t="n">
        <v>0.5</v>
      </c>
      <c r="H666" t="n">
        <v>0</v>
      </c>
      <c r="I666" t="n">
        <v>0</v>
      </c>
      <c r="J666" t="n">
        <v>0</v>
      </c>
      <c r="K666" t="n">
        <v>0</v>
      </c>
      <c r="L666" t="n">
        <v>0</v>
      </c>
      <c r="M666" t="n">
        <v>0</v>
      </c>
      <c r="N666" t="n">
        <v>0</v>
      </c>
      <c r="O666" t="n">
        <v>0</v>
      </c>
      <c r="P666" t="n">
        <v>0</v>
      </c>
      <c r="Q666" t="n">
        <v>0</v>
      </c>
      <c r="R666" s="2" t="inlineStr"/>
    </row>
    <row r="667" ht="15" customHeight="1">
      <c r="A667" t="inlineStr">
        <is>
          <t>A 17598-2021</t>
        </is>
      </c>
      <c r="B667" s="1" t="n">
        <v>44299</v>
      </c>
      <c r="C667" s="1" t="n">
        <v>46113</v>
      </c>
      <c r="D667" t="inlineStr">
        <is>
          <t>JÄMTLANDS LÄN</t>
        </is>
      </c>
      <c r="E667" t="inlineStr">
        <is>
          <t>RAGUNDA</t>
        </is>
      </c>
      <c r="G667" t="n">
        <v>4.6</v>
      </c>
      <c r="H667" t="n">
        <v>0</v>
      </c>
      <c r="I667" t="n">
        <v>0</v>
      </c>
      <c r="J667" t="n">
        <v>0</v>
      </c>
      <c r="K667" t="n">
        <v>0</v>
      </c>
      <c r="L667" t="n">
        <v>0</v>
      </c>
      <c r="M667" t="n">
        <v>0</v>
      </c>
      <c r="N667" t="n">
        <v>0</v>
      </c>
      <c r="O667" t="n">
        <v>0</v>
      </c>
      <c r="P667" t="n">
        <v>0</v>
      </c>
      <c r="Q667" t="n">
        <v>0</v>
      </c>
      <c r="R667" s="2" t="inlineStr"/>
    </row>
    <row r="668" ht="15" customHeight="1">
      <c r="A668" t="inlineStr">
        <is>
          <t>A 62541-2022</t>
        </is>
      </c>
      <c r="B668" s="1" t="n">
        <v>44917</v>
      </c>
      <c r="C668" s="1" t="n">
        <v>46113</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49059-2025</t>
        </is>
      </c>
      <c r="B669" s="1" t="n">
        <v>45937.64123842592</v>
      </c>
      <c r="C669" s="1" t="n">
        <v>46113</v>
      </c>
      <c r="D669" t="inlineStr">
        <is>
          <t>JÄMTLANDS LÄN</t>
        </is>
      </c>
      <c r="E669" t="inlineStr">
        <is>
          <t>RAGUNDA</t>
        </is>
      </c>
      <c r="G669" t="n">
        <v>2.1</v>
      </c>
      <c r="H669" t="n">
        <v>0</v>
      </c>
      <c r="I669" t="n">
        <v>0</v>
      </c>
      <c r="J669" t="n">
        <v>0</v>
      </c>
      <c r="K669" t="n">
        <v>0</v>
      </c>
      <c r="L669" t="n">
        <v>0</v>
      </c>
      <c r="M669" t="n">
        <v>0</v>
      </c>
      <c r="N669" t="n">
        <v>0</v>
      </c>
      <c r="O669" t="n">
        <v>0</v>
      </c>
      <c r="P669" t="n">
        <v>0</v>
      </c>
      <c r="Q669" t="n">
        <v>0</v>
      </c>
      <c r="R669" s="2" t="inlineStr"/>
    </row>
    <row r="670" ht="15" customHeight="1">
      <c r="A670" t="inlineStr">
        <is>
          <t>A 49092-2025</t>
        </is>
      </c>
      <c r="B670" s="1" t="n">
        <v>45937.67792824074</v>
      </c>
      <c r="C670" s="1" t="n">
        <v>46113</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49193-2025</t>
        </is>
      </c>
      <c r="B671" s="1" t="n">
        <v>45938.40831018519</v>
      </c>
      <c r="C671" s="1" t="n">
        <v>46113</v>
      </c>
      <c r="D671" t="inlineStr">
        <is>
          <t>JÄMTLANDS LÄN</t>
        </is>
      </c>
      <c r="E671" t="inlineStr">
        <is>
          <t>RAGUNDA</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46549-2023</t>
        </is>
      </c>
      <c r="B672" s="1" t="n">
        <v>45197.94171296297</v>
      </c>
      <c r="C672" s="1" t="n">
        <v>46113</v>
      </c>
      <c r="D672" t="inlineStr">
        <is>
          <t>JÄMTLANDS LÄN</t>
        </is>
      </c>
      <c r="E672" t="inlineStr">
        <is>
          <t>RAGUNDA</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61400-2022</t>
        </is>
      </c>
      <c r="B673" s="1" t="n">
        <v>44915</v>
      </c>
      <c r="C673" s="1" t="n">
        <v>46113</v>
      </c>
      <c r="D673" t="inlineStr">
        <is>
          <t>JÄMTLANDS LÄN</t>
        </is>
      </c>
      <c r="E673" t="inlineStr">
        <is>
          <t>RAGUNDA</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24861-2023</t>
        </is>
      </c>
      <c r="B674" s="1" t="n">
        <v>45078</v>
      </c>
      <c r="C674" s="1" t="n">
        <v>46113</v>
      </c>
      <c r="D674" t="inlineStr">
        <is>
          <t>JÄMTLANDS LÄN</t>
        </is>
      </c>
      <c r="E674" t="inlineStr">
        <is>
          <t>RAGUNDA</t>
        </is>
      </c>
      <c r="G674" t="n">
        <v>1.3</v>
      </c>
      <c r="H674" t="n">
        <v>0</v>
      </c>
      <c r="I674" t="n">
        <v>0</v>
      </c>
      <c r="J674" t="n">
        <v>0</v>
      </c>
      <c r="K674" t="n">
        <v>0</v>
      </c>
      <c r="L674" t="n">
        <v>0</v>
      </c>
      <c r="M674" t="n">
        <v>0</v>
      </c>
      <c r="N674" t="n">
        <v>0</v>
      </c>
      <c r="O674" t="n">
        <v>0</v>
      </c>
      <c r="P674" t="n">
        <v>0</v>
      </c>
      <c r="Q674" t="n">
        <v>0</v>
      </c>
      <c r="R674" s="2" t="inlineStr"/>
    </row>
    <row r="675" ht="15" customHeight="1">
      <c r="A675" t="inlineStr">
        <is>
          <t>A 49290-2025</t>
        </is>
      </c>
      <c r="B675" s="1" t="n">
        <v>45938.53168981482</v>
      </c>
      <c r="C675" s="1" t="n">
        <v>46113</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49238-2025</t>
        </is>
      </c>
      <c r="B676" s="1" t="n">
        <v>45938.48231481481</v>
      </c>
      <c r="C676" s="1" t="n">
        <v>46113</v>
      </c>
      <c r="D676" t="inlineStr">
        <is>
          <t>JÄMTLANDS LÄN</t>
        </is>
      </c>
      <c r="E676" t="inlineStr">
        <is>
          <t>RAGUNDA</t>
        </is>
      </c>
      <c r="G676" t="n">
        <v>4.7</v>
      </c>
      <c r="H676" t="n">
        <v>0</v>
      </c>
      <c r="I676" t="n">
        <v>0</v>
      </c>
      <c r="J676" t="n">
        <v>0</v>
      </c>
      <c r="K676" t="n">
        <v>0</v>
      </c>
      <c r="L676" t="n">
        <v>0</v>
      </c>
      <c r="M676" t="n">
        <v>0</v>
      </c>
      <c r="N676" t="n">
        <v>0</v>
      </c>
      <c r="O676" t="n">
        <v>0</v>
      </c>
      <c r="P676" t="n">
        <v>0</v>
      </c>
      <c r="Q676" t="n">
        <v>0</v>
      </c>
      <c r="R676" s="2" t="inlineStr"/>
    </row>
    <row r="677" ht="15" customHeight="1">
      <c r="A677" t="inlineStr">
        <is>
          <t>A 38270-2021</t>
        </is>
      </c>
      <c r="B677" s="1" t="n">
        <v>44405.92065972222</v>
      </c>
      <c r="C677" s="1" t="n">
        <v>46113</v>
      </c>
      <c r="D677" t="inlineStr">
        <is>
          <t>JÄMTLANDS LÄN</t>
        </is>
      </c>
      <c r="E677" t="inlineStr">
        <is>
          <t>RAGUNDA</t>
        </is>
      </c>
      <c r="G677" t="n">
        <v>1.3</v>
      </c>
      <c r="H677" t="n">
        <v>0</v>
      </c>
      <c r="I677" t="n">
        <v>0</v>
      </c>
      <c r="J677" t="n">
        <v>0</v>
      </c>
      <c r="K677" t="n">
        <v>0</v>
      </c>
      <c r="L677" t="n">
        <v>0</v>
      </c>
      <c r="M677" t="n">
        <v>0</v>
      </c>
      <c r="N677" t="n">
        <v>0</v>
      </c>
      <c r="O677" t="n">
        <v>0</v>
      </c>
      <c r="P677" t="n">
        <v>0</v>
      </c>
      <c r="Q677" t="n">
        <v>0</v>
      </c>
      <c r="R677" s="2" t="inlineStr"/>
    </row>
    <row r="678" ht="15" customHeight="1">
      <c r="A678" t="inlineStr">
        <is>
          <t>A 4866-2025</t>
        </is>
      </c>
      <c r="B678" s="1" t="n">
        <v>45688.67542824074</v>
      </c>
      <c r="C678" s="1" t="n">
        <v>46113</v>
      </c>
      <c r="D678" t="inlineStr">
        <is>
          <t>JÄMTLANDS LÄN</t>
        </is>
      </c>
      <c r="E678" t="inlineStr">
        <is>
          <t>RAGUNDA</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49639-2025</t>
        </is>
      </c>
      <c r="B679" s="1" t="n">
        <v>45939.61253472222</v>
      </c>
      <c r="C679" s="1" t="n">
        <v>46113</v>
      </c>
      <c r="D679" t="inlineStr">
        <is>
          <t>JÄMTLANDS LÄN</t>
        </is>
      </c>
      <c r="E679" t="inlineStr">
        <is>
          <t>RAGUNDA</t>
        </is>
      </c>
      <c r="F679" t="inlineStr">
        <is>
          <t>Kommuner</t>
        </is>
      </c>
      <c r="G679" t="n">
        <v>13.6</v>
      </c>
      <c r="H679" t="n">
        <v>0</v>
      </c>
      <c r="I679" t="n">
        <v>0</v>
      </c>
      <c r="J679" t="n">
        <v>0</v>
      </c>
      <c r="K679" t="n">
        <v>0</v>
      </c>
      <c r="L679" t="n">
        <v>0</v>
      </c>
      <c r="M679" t="n">
        <v>0</v>
      </c>
      <c r="N679" t="n">
        <v>0</v>
      </c>
      <c r="O679" t="n">
        <v>0</v>
      </c>
      <c r="P679" t="n">
        <v>0</v>
      </c>
      <c r="Q679" t="n">
        <v>0</v>
      </c>
      <c r="R679" s="2" t="inlineStr"/>
    </row>
    <row r="680" ht="15" customHeight="1">
      <c r="A680" t="inlineStr">
        <is>
          <t>A 55214-2022</t>
        </is>
      </c>
      <c r="B680" s="1" t="n">
        <v>44886</v>
      </c>
      <c r="C680" s="1" t="n">
        <v>46113</v>
      </c>
      <c r="D680" t="inlineStr">
        <is>
          <t>JÄMTLANDS LÄN</t>
        </is>
      </c>
      <c r="E680" t="inlineStr">
        <is>
          <t>RAGUNDA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40246-2024</t>
        </is>
      </c>
      <c r="B681" s="1" t="n">
        <v>45554.61583333334</v>
      </c>
      <c r="C681" s="1" t="n">
        <v>46113</v>
      </c>
      <c r="D681" t="inlineStr">
        <is>
          <t>JÄMTLANDS LÄN</t>
        </is>
      </c>
      <c r="E681" t="inlineStr">
        <is>
          <t>RAGUNDA</t>
        </is>
      </c>
      <c r="G681" t="n">
        <v>1</v>
      </c>
      <c r="H681" t="n">
        <v>0</v>
      </c>
      <c r="I681" t="n">
        <v>0</v>
      </c>
      <c r="J681" t="n">
        <v>0</v>
      </c>
      <c r="K681" t="n">
        <v>0</v>
      </c>
      <c r="L681" t="n">
        <v>0</v>
      </c>
      <c r="M681" t="n">
        <v>0</v>
      </c>
      <c r="N681" t="n">
        <v>0</v>
      </c>
      <c r="O681" t="n">
        <v>0</v>
      </c>
      <c r="P681" t="n">
        <v>0</v>
      </c>
      <c r="Q681" t="n">
        <v>0</v>
      </c>
      <c r="R681" s="2" t="inlineStr"/>
    </row>
    <row r="682" ht="15" customHeight="1">
      <c r="A682" t="inlineStr">
        <is>
          <t>A 179-2025</t>
        </is>
      </c>
      <c r="B682" s="1" t="n">
        <v>45659.69822916666</v>
      </c>
      <c r="C682" s="1" t="n">
        <v>46113</v>
      </c>
      <c r="D682" t="inlineStr">
        <is>
          <t>JÄMTLANDS LÄN</t>
        </is>
      </c>
      <c r="E682" t="inlineStr">
        <is>
          <t>RAGUNDA</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20088-2023</t>
        </is>
      </c>
      <c r="B683" s="1" t="n">
        <v>45054</v>
      </c>
      <c r="C683" s="1" t="n">
        <v>46113</v>
      </c>
      <c r="D683" t="inlineStr">
        <is>
          <t>JÄMTLANDS LÄN</t>
        </is>
      </c>
      <c r="E683" t="inlineStr">
        <is>
          <t>RAGUNDA</t>
        </is>
      </c>
      <c r="F683" t="inlineStr">
        <is>
          <t>SCA</t>
        </is>
      </c>
      <c r="G683" t="n">
        <v>23.4</v>
      </c>
      <c r="H683" t="n">
        <v>0</v>
      </c>
      <c r="I683" t="n">
        <v>0</v>
      </c>
      <c r="J683" t="n">
        <v>0</v>
      </c>
      <c r="K683" t="n">
        <v>0</v>
      </c>
      <c r="L683" t="n">
        <v>0</v>
      </c>
      <c r="M683" t="n">
        <v>0</v>
      </c>
      <c r="N683" t="n">
        <v>0</v>
      </c>
      <c r="O683" t="n">
        <v>0</v>
      </c>
      <c r="P683" t="n">
        <v>0</v>
      </c>
      <c r="Q683" t="n">
        <v>0</v>
      </c>
      <c r="R683" s="2" t="inlineStr"/>
    </row>
    <row r="684" ht="15" customHeight="1">
      <c r="A684" t="inlineStr">
        <is>
          <t>A 59136-2023</t>
        </is>
      </c>
      <c r="B684" s="1" t="n">
        <v>45251</v>
      </c>
      <c r="C684" s="1" t="n">
        <v>46113</v>
      </c>
      <c r="D684" t="inlineStr">
        <is>
          <t>JÄMTLANDS LÄN</t>
        </is>
      </c>
      <c r="E684" t="inlineStr">
        <is>
          <t>RAGUNDA</t>
        </is>
      </c>
      <c r="G684" t="n">
        <v>1.7</v>
      </c>
      <c r="H684" t="n">
        <v>0</v>
      </c>
      <c r="I684" t="n">
        <v>0</v>
      </c>
      <c r="J684" t="n">
        <v>0</v>
      </c>
      <c r="K684" t="n">
        <v>0</v>
      </c>
      <c r="L684" t="n">
        <v>0</v>
      </c>
      <c r="M684" t="n">
        <v>0</v>
      </c>
      <c r="N684" t="n">
        <v>0</v>
      </c>
      <c r="O684" t="n">
        <v>0</v>
      </c>
      <c r="P684" t="n">
        <v>0</v>
      </c>
      <c r="Q684" t="n">
        <v>0</v>
      </c>
      <c r="R684" s="2" t="inlineStr"/>
    </row>
    <row r="685" ht="15" customHeight="1">
      <c r="A685" t="inlineStr">
        <is>
          <t>A 35274-2023</t>
        </is>
      </c>
      <c r="B685" s="1" t="n">
        <v>45145</v>
      </c>
      <c r="C685" s="1" t="n">
        <v>46113</v>
      </c>
      <c r="D685" t="inlineStr">
        <is>
          <t>JÄMTLANDS LÄN</t>
        </is>
      </c>
      <c r="E685" t="inlineStr">
        <is>
          <t>RAGUNDA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34088-2025</t>
        </is>
      </c>
      <c r="B686" s="1" t="n">
        <v>45845</v>
      </c>
      <c r="C686" s="1" t="n">
        <v>46113</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21853-2024</t>
        </is>
      </c>
      <c r="B687" s="1" t="n">
        <v>45442.96296296296</v>
      </c>
      <c r="C687" s="1" t="n">
        <v>46113</v>
      </c>
      <c r="D687" t="inlineStr">
        <is>
          <t>JÄMTLANDS LÄN</t>
        </is>
      </c>
      <c r="E687" t="inlineStr">
        <is>
          <t>RAGUNDA</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29775-2023</t>
        </is>
      </c>
      <c r="B688" s="1" t="n">
        <v>45098</v>
      </c>
      <c r="C688" s="1" t="n">
        <v>46113</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19613-2023</t>
        </is>
      </c>
      <c r="B689" s="1" t="n">
        <v>45050.94020833333</v>
      </c>
      <c r="C689" s="1" t="n">
        <v>46113</v>
      </c>
      <c r="D689" t="inlineStr">
        <is>
          <t>JÄMTLANDS LÄN</t>
        </is>
      </c>
      <c r="E689" t="inlineStr">
        <is>
          <t>RAGUNDA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49994-2025</t>
        </is>
      </c>
      <c r="B690" s="1" t="n">
        <v>45942.96922453704</v>
      </c>
      <c r="C690" s="1" t="n">
        <v>46113</v>
      </c>
      <c r="D690" t="inlineStr">
        <is>
          <t>JÄMTLANDS LÄN</t>
        </is>
      </c>
      <c r="E690" t="inlineStr">
        <is>
          <t>RAGUNDA</t>
        </is>
      </c>
      <c r="G690" t="n">
        <v>4.5</v>
      </c>
      <c r="H690" t="n">
        <v>0</v>
      </c>
      <c r="I690" t="n">
        <v>0</v>
      </c>
      <c r="J690" t="n">
        <v>0</v>
      </c>
      <c r="K690" t="n">
        <v>0</v>
      </c>
      <c r="L690" t="n">
        <v>0</v>
      </c>
      <c r="M690" t="n">
        <v>0</v>
      </c>
      <c r="N690" t="n">
        <v>0</v>
      </c>
      <c r="O690" t="n">
        <v>0</v>
      </c>
      <c r="P690" t="n">
        <v>0</v>
      </c>
      <c r="Q690" t="n">
        <v>0</v>
      </c>
      <c r="R690" s="2" t="inlineStr"/>
    </row>
    <row r="691" ht="15" customHeight="1">
      <c r="A691" t="inlineStr">
        <is>
          <t>A 49995-2025</t>
        </is>
      </c>
      <c r="B691" s="1" t="n">
        <v>45943.00986111111</v>
      </c>
      <c r="C691" s="1" t="n">
        <v>46113</v>
      </c>
      <c r="D691" t="inlineStr">
        <is>
          <t>JÄMTLANDS LÄN</t>
        </is>
      </c>
      <c r="E691" t="inlineStr">
        <is>
          <t>RAGUNDA</t>
        </is>
      </c>
      <c r="G691" t="n">
        <v>2.5</v>
      </c>
      <c r="H691" t="n">
        <v>0</v>
      </c>
      <c r="I691" t="n">
        <v>0</v>
      </c>
      <c r="J691" t="n">
        <v>0</v>
      </c>
      <c r="K691" t="n">
        <v>0</v>
      </c>
      <c r="L691" t="n">
        <v>0</v>
      </c>
      <c r="M691" t="n">
        <v>0</v>
      </c>
      <c r="N691" t="n">
        <v>0</v>
      </c>
      <c r="O691" t="n">
        <v>0</v>
      </c>
      <c r="P691" t="n">
        <v>0</v>
      </c>
      <c r="Q691" t="n">
        <v>0</v>
      </c>
      <c r="R691" s="2" t="inlineStr"/>
    </row>
    <row r="692" ht="15" customHeight="1">
      <c r="A692" t="inlineStr">
        <is>
          <t>A 25994-2025</t>
        </is>
      </c>
      <c r="B692" s="1" t="n">
        <v>45804.65672453704</v>
      </c>
      <c r="C692" s="1" t="n">
        <v>46113</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40365-2024</t>
        </is>
      </c>
      <c r="B693" s="1" t="n">
        <v>45555.38509259259</v>
      </c>
      <c r="C693" s="1" t="n">
        <v>46113</v>
      </c>
      <c r="D693" t="inlineStr">
        <is>
          <t>JÄMTLANDS LÄN</t>
        </is>
      </c>
      <c r="E693" t="inlineStr">
        <is>
          <t>RAGUNDA</t>
        </is>
      </c>
      <c r="G693" t="n">
        <v>7.8</v>
      </c>
      <c r="H693" t="n">
        <v>0</v>
      </c>
      <c r="I693" t="n">
        <v>0</v>
      </c>
      <c r="J693" t="n">
        <v>0</v>
      </c>
      <c r="K693" t="n">
        <v>0</v>
      </c>
      <c r="L693" t="n">
        <v>0</v>
      </c>
      <c r="M693" t="n">
        <v>0</v>
      </c>
      <c r="N693" t="n">
        <v>0</v>
      </c>
      <c r="O693" t="n">
        <v>0</v>
      </c>
      <c r="P693" t="n">
        <v>0</v>
      </c>
      <c r="Q693" t="n">
        <v>0</v>
      </c>
      <c r="R693" s="2" t="inlineStr"/>
    </row>
    <row r="694" ht="15" customHeight="1">
      <c r="A694" t="inlineStr">
        <is>
          <t>A 64264-2023</t>
        </is>
      </c>
      <c r="B694" s="1" t="n">
        <v>45279.94564814815</v>
      </c>
      <c r="C694" s="1" t="n">
        <v>46113</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50098-2025</t>
        </is>
      </c>
      <c r="B695" s="1" t="n">
        <v>45943.51086805556</v>
      </c>
      <c r="C695" s="1" t="n">
        <v>46113</v>
      </c>
      <c r="D695" t="inlineStr">
        <is>
          <t>JÄMTLANDS LÄN</t>
        </is>
      </c>
      <c r="E695" t="inlineStr">
        <is>
          <t>RAGUNDA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50126-2025</t>
        </is>
      </c>
      <c r="B696" s="1" t="n">
        <v>45943.55271990741</v>
      </c>
      <c r="C696" s="1" t="n">
        <v>46113</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26347-2023</t>
        </is>
      </c>
      <c r="B697" s="1" t="n">
        <v>45091</v>
      </c>
      <c r="C697" s="1" t="n">
        <v>46113</v>
      </c>
      <c r="D697" t="inlineStr">
        <is>
          <t>JÄMTLANDS LÄN</t>
        </is>
      </c>
      <c r="E697" t="inlineStr">
        <is>
          <t>RAGUNDA</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26283-2025</t>
        </is>
      </c>
      <c r="B698" s="1" t="n">
        <v>45805.61495370371</v>
      </c>
      <c r="C698" s="1" t="n">
        <v>46113</v>
      </c>
      <c r="D698" t="inlineStr">
        <is>
          <t>JÄMTLANDS LÄN</t>
        </is>
      </c>
      <c r="E698" t="inlineStr">
        <is>
          <t>RAGUNDA</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50081-2025</t>
        </is>
      </c>
      <c r="B699" s="1" t="n">
        <v>45943.46954861111</v>
      </c>
      <c r="C699" s="1" t="n">
        <v>46113</v>
      </c>
      <c r="D699" t="inlineStr">
        <is>
          <t>JÄMTLANDS LÄN</t>
        </is>
      </c>
      <c r="E699" t="inlineStr">
        <is>
          <t>RAGUNDA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51538-2022</t>
        </is>
      </c>
      <c r="B700" s="1" t="n">
        <v>44869</v>
      </c>
      <c r="C700" s="1" t="n">
        <v>46113</v>
      </c>
      <c r="D700" t="inlineStr">
        <is>
          <t>JÄMTLANDS LÄN</t>
        </is>
      </c>
      <c r="E700" t="inlineStr">
        <is>
          <t>RAGUNDA</t>
        </is>
      </c>
      <c r="G700" t="n">
        <v>6.8</v>
      </c>
      <c r="H700" t="n">
        <v>0</v>
      </c>
      <c r="I700" t="n">
        <v>0</v>
      </c>
      <c r="J700" t="n">
        <v>0</v>
      </c>
      <c r="K700" t="n">
        <v>0</v>
      </c>
      <c r="L700" t="n">
        <v>0</v>
      </c>
      <c r="M700" t="n">
        <v>0</v>
      </c>
      <c r="N700" t="n">
        <v>0</v>
      </c>
      <c r="O700" t="n">
        <v>0</v>
      </c>
      <c r="P700" t="n">
        <v>0</v>
      </c>
      <c r="Q700" t="n">
        <v>0</v>
      </c>
      <c r="R700" s="2" t="inlineStr"/>
    </row>
    <row r="701" ht="15" customHeight="1">
      <c r="A701" t="inlineStr">
        <is>
          <t>A 59492-2024</t>
        </is>
      </c>
      <c r="B701" s="1" t="n">
        <v>45638</v>
      </c>
      <c r="C701" s="1" t="n">
        <v>46113</v>
      </c>
      <c r="D701" t="inlineStr">
        <is>
          <t>JÄMTLANDS LÄN</t>
        </is>
      </c>
      <c r="E701" t="inlineStr">
        <is>
          <t>RAGUNDA</t>
        </is>
      </c>
      <c r="G701" t="n">
        <v>1.2</v>
      </c>
      <c r="H701" t="n">
        <v>0</v>
      </c>
      <c r="I701" t="n">
        <v>0</v>
      </c>
      <c r="J701" t="n">
        <v>0</v>
      </c>
      <c r="K701" t="n">
        <v>0</v>
      </c>
      <c r="L701" t="n">
        <v>0</v>
      </c>
      <c r="M701" t="n">
        <v>0</v>
      </c>
      <c r="N701" t="n">
        <v>0</v>
      </c>
      <c r="O701" t="n">
        <v>0</v>
      </c>
      <c r="P701" t="n">
        <v>0</v>
      </c>
      <c r="Q701" t="n">
        <v>0</v>
      </c>
      <c r="R701" s="2" t="inlineStr"/>
    </row>
    <row r="702" ht="15" customHeight="1">
      <c r="A702" t="inlineStr">
        <is>
          <t>A 50260-2025</t>
        </is>
      </c>
      <c r="B702" s="1" t="n">
        <v>45944.34515046296</v>
      </c>
      <c r="C702" s="1" t="n">
        <v>46113</v>
      </c>
      <c r="D702" t="inlineStr">
        <is>
          <t>JÄMTLANDS LÄN</t>
        </is>
      </c>
      <c r="E702" t="inlineStr">
        <is>
          <t>RAGUNDA</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61109-2024</t>
        </is>
      </c>
      <c r="B703" s="1" t="n">
        <v>45645.55672453704</v>
      </c>
      <c r="C703" s="1" t="n">
        <v>46113</v>
      </c>
      <c r="D703" t="inlineStr">
        <is>
          <t>JÄMTLANDS LÄN</t>
        </is>
      </c>
      <c r="E703" t="inlineStr">
        <is>
          <t>RAGUNDA</t>
        </is>
      </c>
      <c r="G703" t="n">
        <v>4</v>
      </c>
      <c r="H703" t="n">
        <v>0</v>
      </c>
      <c r="I703" t="n">
        <v>0</v>
      </c>
      <c r="J703" t="n">
        <v>0</v>
      </c>
      <c r="K703" t="n">
        <v>0</v>
      </c>
      <c r="L703" t="n">
        <v>0</v>
      </c>
      <c r="M703" t="n">
        <v>0</v>
      </c>
      <c r="N703" t="n">
        <v>0</v>
      </c>
      <c r="O703" t="n">
        <v>0</v>
      </c>
      <c r="P703" t="n">
        <v>0</v>
      </c>
      <c r="Q703" t="n">
        <v>0</v>
      </c>
      <c r="R703" s="2" t="inlineStr"/>
    </row>
    <row r="704" ht="15" customHeight="1">
      <c r="A704" t="inlineStr">
        <is>
          <t>A 50215-2025</t>
        </is>
      </c>
      <c r="B704" s="1" t="n">
        <v>45943.67842592593</v>
      </c>
      <c r="C704" s="1" t="n">
        <v>46113</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49991-2025</t>
        </is>
      </c>
      <c r="B705" s="1" t="n">
        <v>45942.91568287037</v>
      </c>
      <c r="C705" s="1" t="n">
        <v>46113</v>
      </c>
      <c r="D705" t="inlineStr">
        <is>
          <t>JÄMTLANDS LÄN</t>
        </is>
      </c>
      <c r="E705" t="inlineStr">
        <is>
          <t>RAGUNDA</t>
        </is>
      </c>
      <c r="G705" t="n">
        <v>9</v>
      </c>
      <c r="H705" t="n">
        <v>0</v>
      </c>
      <c r="I705" t="n">
        <v>0</v>
      </c>
      <c r="J705" t="n">
        <v>0</v>
      </c>
      <c r="K705" t="n">
        <v>0</v>
      </c>
      <c r="L705" t="n">
        <v>0</v>
      </c>
      <c r="M705" t="n">
        <v>0</v>
      </c>
      <c r="N705" t="n">
        <v>0</v>
      </c>
      <c r="O705" t="n">
        <v>0</v>
      </c>
      <c r="P705" t="n">
        <v>0</v>
      </c>
      <c r="Q705" t="n">
        <v>0</v>
      </c>
      <c r="R705" s="2" t="inlineStr"/>
    </row>
    <row r="706" ht="15" customHeight="1">
      <c r="A706" t="inlineStr">
        <is>
          <t>A 49993-2025</t>
        </is>
      </c>
      <c r="B706" s="1" t="n">
        <v>45942.94371527778</v>
      </c>
      <c r="C706" s="1" t="n">
        <v>46113</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50125-2025</t>
        </is>
      </c>
      <c r="B707" s="1" t="n">
        <v>45943.55262731481</v>
      </c>
      <c r="C707" s="1" t="n">
        <v>46113</v>
      </c>
      <c r="D707" t="inlineStr">
        <is>
          <t>JÄMTLANDS LÄN</t>
        </is>
      </c>
      <c r="E707" t="inlineStr">
        <is>
          <t>RAGUNDA</t>
        </is>
      </c>
      <c r="F707" t="inlineStr">
        <is>
          <t>Sveaskog</t>
        </is>
      </c>
      <c r="G707" t="n">
        <v>23.2</v>
      </c>
      <c r="H707" t="n">
        <v>0</v>
      </c>
      <c r="I707" t="n">
        <v>0</v>
      </c>
      <c r="J707" t="n">
        <v>0</v>
      </c>
      <c r="K707" t="n">
        <v>0</v>
      </c>
      <c r="L707" t="n">
        <v>0</v>
      </c>
      <c r="M707" t="n">
        <v>0</v>
      </c>
      <c r="N707" t="n">
        <v>0</v>
      </c>
      <c r="O707" t="n">
        <v>0</v>
      </c>
      <c r="P707" t="n">
        <v>0</v>
      </c>
      <c r="Q707" t="n">
        <v>0</v>
      </c>
      <c r="R707" s="2" t="inlineStr"/>
    </row>
    <row r="708" ht="15" customHeight="1">
      <c r="A708" t="inlineStr">
        <is>
          <t>A 50080-2025</t>
        </is>
      </c>
      <c r="B708" s="1" t="n">
        <v>45943.469375</v>
      </c>
      <c r="C708" s="1" t="n">
        <v>46113</v>
      </c>
      <c r="D708" t="inlineStr">
        <is>
          <t>JÄMTLANDS LÄN</t>
        </is>
      </c>
      <c r="E708" t="inlineStr">
        <is>
          <t>RAGUNDA</t>
        </is>
      </c>
      <c r="F708" t="inlineStr">
        <is>
          <t>Naturvårdsverket</t>
        </is>
      </c>
      <c r="G708" t="n">
        <v>6.1</v>
      </c>
      <c r="H708" t="n">
        <v>0</v>
      </c>
      <c r="I708" t="n">
        <v>0</v>
      </c>
      <c r="J708" t="n">
        <v>0</v>
      </c>
      <c r="K708" t="n">
        <v>0</v>
      </c>
      <c r="L708" t="n">
        <v>0</v>
      </c>
      <c r="M708" t="n">
        <v>0</v>
      </c>
      <c r="N708" t="n">
        <v>0</v>
      </c>
      <c r="O708" t="n">
        <v>0</v>
      </c>
      <c r="P708" t="n">
        <v>0</v>
      </c>
      <c r="Q708" t="n">
        <v>0</v>
      </c>
      <c r="R708" s="2" t="inlineStr"/>
    </row>
    <row r="709" ht="15" customHeight="1">
      <c r="A709" t="inlineStr">
        <is>
          <t>A 27373-2023</t>
        </is>
      </c>
      <c r="B709" s="1" t="n">
        <v>45096.93866898148</v>
      </c>
      <c r="C709" s="1" t="n">
        <v>46113</v>
      </c>
      <c r="D709" t="inlineStr">
        <is>
          <t>JÄMTLANDS LÄN</t>
        </is>
      </c>
      <c r="E709" t="inlineStr">
        <is>
          <t>RAGUNDA</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24258-2025</t>
        </is>
      </c>
      <c r="B710" s="1" t="n">
        <v>45797.40800925926</v>
      </c>
      <c r="C710" s="1" t="n">
        <v>46113</v>
      </c>
      <c r="D710" t="inlineStr">
        <is>
          <t>JÄMTLANDS LÄN</t>
        </is>
      </c>
      <c r="E710" t="inlineStr">
        <is>
          <t>RAGUNDA</t>
        </is>
      </c>
      <c r="G710" t="n">
        <v>1.2</v>
      </c>
      <c r="H710" t="n">
        <v>0</v>
      </c>
      <c r="I710" t="n">
        <v>0</v>
      </c>
      <c r="J710" t="n">
        <v>0</v>
      </c>
      <c r="K710" t="n">
        <v>0</v>
      </c>
      <c r="L710" t="n">
        <v>0</v>
      </c>
      <c r="M710" t="n">
        <v>0</v>
      </c>
      <c r="N710" t="n">
        <v>0</v>
      </c>
      <c r="O710" t="n">
        <v>0</v>
      </c>
      <c r="P710" t="n">
        <v>0</v>
      </c>
      <c r="Q710" t="n">
        <v>0</v>
      </c>
      <c r="R710" s="2" t="inlineStr"/>
    </row>
    <row r="711" ht="15" customHeight="1">
      <c r="A711" t="inlineStr">
        <is>
          <t>A 26172-2025</t>
        </is>
      </c>
      <c r="B711" s="1" t="n">
        <v>45805.46613425926</v>
      </c>
      <c r="C711" s="1" t="n">
        <v>46113</v>
      </c>
      <c r="D711" t="inlineStr">
        <is>
          <t>JÄMTLANDS LÄN</t>
        </is>
      </c>
      <c r="E711" t="inlineStr">
        <is>
          <t>RAGUNDA</t>
        </is>
      </c>
      <c r="G711" t="n">
        <v>2.1</v>
      </c>
      <c r="H711" t="n">
        <v>0</v>
      </c>
      <c r="I711" t="n">
        <v>0</v>
      </c>
      <c r="J711" t="n">
        <v>0</v>
      </c>
      <c r="K711" t="n">
        <v>0</v>
      </c>
      <c r="L711" t="n">
        <v>0</v>
      </c>
      <c r="M711" t="n">
        <v>0</v>
      </c>
      <c r="N711" t="n">
        <v>0</v>
      </c>
      <c r="O711" t="n">
        <v>0</v>
      </c>
      <c r="P711" t="n">
        <v>0</v>
      </c>
      <c r="Q711" t="n">
        <v>0</v>
      </c>
      <c r="R711" s="2" t="inlineStr"/>
    </row>
    <row r="712" ht="15" customHeight="1">
      <c r="A712" t="inlineStr">
        <is>
          <t>A 16321-2025</t>
        </is>
      </c>
      <c r="B712" s="1" t="n">
        <v>45751.34873842593</v>
      </c>
      <c r="C712" s="1" t="n">
        <v>46113</v>
      </c>
      <c r="D712" t="inlineStr">
        <is>
          <t>JÄMTLANDS LÄN</t>
        </is>
      </c>
      <c r="E712" t="inlineStr">
        <is>
          <t>RAGUNDA</t>
        </is>
      </c>
      <c r="F712" t="inlineStr">
        <is>
          <t>SCA</t>
        </is>
      </c>
      <c r="G712" t="n">
        <v>63.3</v>
      </c>
      <c r="H712" t="n">
        <v>0</v>
      </c>
      <c r="I712" t="n">
        <v>0</v>
      </c>
      <c r="J712" t="n">
        <v>0</v>
      </c>
      <c r="K712" t="n">
        <v>0</v>
      </c>
      <c r="L712" t="n">
        <v>0</v>
      </c>
      <c r="M712" t="n">
        <v>0</v>
      </c>
      <c r="N712" t="n">
        <v>0</v>
      </c>
      <c r="O712" t="n">
        <v>0</v>
      </c>
      <c r="P712" t="n">
        <v>0</v>
      </c>
      <c r="Q712" t="n">
        <v>0</v>
      </c>
      <c r="R712" s="2" t="inlineStr"/>
    </row>
    <row r="713" ht="15" customHeight="1">
      <c r="A713" t="inlineStr">
        <is>
          <t>A 50504-2025</t>
        </is>
      </c>
      <c r="B713" s="1" t="n">
        <v>45945.4284837963</v>
      </c>
      <c r="C713" s="1" t="n">
        <v>46113</v>
      </c>
      <c r="D713" t="inlineStr">
        <is>
          <t>JÄMTLANDS LÄN</t>
        </is>
      </c>
      <c r="E713" t="inlineStr">
        <is>
          <t>RAGUNDA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55904-2022</t>
        </is>
      </c>
      <c r="B714" s="1" t="n">
        <v>44888</v>
      </c>
      <c r="C714" s="1" t="n">
        <v>46113</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50473-2025</t>
        </is>
      </c>
      <c r="B715" s="1" t="n">
        <v>45945.36520833334</v>
      </c>
      <c r="C715" s="1" t="n">
        <v>46113</v>
      </c>
      <c r="D715" t="inlineStr">
        <is>
          <t>JÄMTLANDS LÄN</t>
        </is>
      </c>
      <c r="E715" t="inlineStr">
        <is>
          <t>RAGUNDA</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10788-2025</t>
        </is>
      </c>
      <c r="B716" s="1" t="n">
        <v>45722.48982638889</v>
      </c>
      <c r="C716" s="1" t="n">
        <v>46113</v>
      </c>
      <c r="D716" t="inlineStr">
        <is>
          <t>JÄMTLANDS LÄN</t>
        </is>
      </c>
      <c r="E716" t="inlineStr">
        <is>
          <t>RAGUNDA</t>
        </is>
      </c>
      <c r="G716" t="n">
        <v>3.5</v>
      </c>
      <c r="H716" t="n">
        <v>0</v>
      </c>
      <c r="I716" t="n">
        <v>0</v>
      </c>
      <c r="J716" t="n">
        <v>0</v>
      </c>
      <c r="K716" t="n">
        <v>0</v>
      </c>
      <c r="L716" t="n">
        <v>0</v>
      </c>
      <c r="M716" t="n">
        <v>0</v>
      </c>
      <c r="N716" t="n">
        <v>0</v>
      </c>
      <c r="O716" t="n">
        <v>0</v>
      </c>
      <c r="P716" t="n">
        <v>0</v>
      </c>
      <c r="Q716" t="n">
        <v>0</v>
      </c>
      <c r="R716" s="2" t="inlineStr"/>
    </row>
    <row r="717" ht="15" customHeight="1">
      <c r="A717" t="inlineStr">
        <is>
          <t>A 19854-2025</t>
        </is>
      </c>
      <c r="B717" s="1" t="n">
        <v>45771.51074074074</v>
      </c>
      <c r="C717" s="1" t="n">
        <v>46113</v>
      </c>
      <c r="D717" t="inlineStr">
        <is>
          <t>JÄMTLANDS LÄN</t>
        </is>
      </c>
      <c r="E717" t="inlineStr">
        <is>
          <t>RAGUNDA</t>
        </is>
      </c>
      <c r="F717" t="inlineStr">
        <is>
          <t>SCA</t>
        </is>
      </c>
      <c r="G717" t="n">
        <v>8.4</v>
      </c>
      <c r="H717" t="n">
        <v>0</v>
      </c>
      <c r="I717" t="n">
        <v>0</v>
      </c>
      <c r="J717" t="n">
        <v>0</v>
      </c>
      <c r="K717" t="n">
        <v>0</v>
      </c>
      <c r="L717" t="n">
        <v>0</v>
      </c>
      <c r="M717" t="n">
        <v>0</v>
      </c>
      <c r="N717" t="n">
        <v>0</v>
      </c>
      <c r="O717" t="n">
        <v>0</v>
      </c>
      <c r="P717" t="n">
        <v>0</v>
      </c>
      <c r="Q717" t="n">
        <v>0</v>
      </c>
      <c r="R717" s="2" t="inlineStr"/>
    </row>
    <row r="718" ht="15" customHeight="1">
      <c r="A718" t="inlineStr">
        <is>
          <t>A 6688-2024</t>
        </is>
      </c>
      <c r="B718" s="1" t="n">
        <v>45341</v>
      </c>
      <c r="C718" s="1" t="n">
        <v>46113</v>
      </c>
      <c r="D718" t="inlineStr">
        <is>
          <t>JÄMTLANDS LÄN</t>
        </is>
      </c>
      <c r="E718" t="inlineStr">
        <is>
          <t>RAGUNDA</t>
        </is>
      </c>
      <c r="G718" t="n">
        <v>2</v>
      </c>
      <c r="H718" t="n">
        <v>0</v>
      </c>
      <c r="I718" t="n">
        <v>0</v>
      </c>
      <c r="J718" t="n">
        <v>0</v>
      </c>
      <c r="K718" t="n">
        <v>0</v>
      </c>
      <c r="L718" t="n">
        <v>0</v>
      </c>
      <c r="M718" t="n">
        <v>0</v>
      </c>
      <c r="N718" t="n">
        <v>0</v>
      </c>
      <c r="O718" t="n">
        <v>0</v>
      </c>
      <c r="P718" t="n">
        <v>0</v>
      </c>
      <c r="Q718" t="n">
        <v>0</v>
      </c>
      <c r="R718" s="2" t="inlineStr"/>
    </row>
    <row r="719" ht="15" customHeight="1">
      <c r="A719" t="inlineStr">
        <is>
          <t>A 30642-2024</t>
        </is>
      </c>
      <c r="B719" s="1" t="n">
        <v>45495.57677083334</v>
      </c>
      <c r="C719" s="1" t="n">
        <v>46113</v>
      </c>
      <c r="D719" t="inlineStr">
        <is>
          <t>JÄMTLANDS LÄN</t>
        </is>
      </c>
      <c r="E719" t="inlineStr">
        <is>
          <t>RAGUNDA</t>
        </is>
      </c>
      <c r="G719" t="n">
        <v>2.7</v>
      </c>
      <c r="H719" t="n">
        <v>0</v>
      </c>
      <c r="I719" t="n">
        <v>0</v>
      </c>
      <c r="J719" t="n">
        <v>0</v>
      </c>
      <c r="K719" t="n">
        <v>0</v>
      </c>
      <c r="L719" t="n">
        <v>0</v>
      </c>
      <c r="M719" t="n">
        <v>0</v>
      </c>
      <c r="N719" t="n">
        <v>0</v>
      </c>
      <c r="O719" t="n">
        <v>0</v>
      </c>
      <c r="P719" t="n">
        <v>0</v>
      </c>
      <c r="Q719" t="n">
        <v>0</v>
      </c>
      <c r="R719" s="2" t="inlineStr"/>
    </row>
    <row r="720" ht="15" customHeight="1">
      <c r="A720" t="inlineStr">
        <is>
          <t>A 26246-2025</t>
        </is>
      </c>
      <c r="B720" s="1" t="n">
        <v>45805.57390046296</v>
      </c>
      <c r="C720" s="1" t="n">
        <v>46113</v>
      </c>
      <c r="D720" t="inlineStr">
        <is>
          <t>JÄMTLANDS LÄN</t>
        </is>
      </c>
      <c r="E720" t="inlineStr">
        <is>
          <t>RAGUNDA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50503-2025</t>
        </is>
      </c>
      <c r="B721" s="1" t="n">
        <v>45945.42746527777</v>
      </c>
      <c r="C721" s="1" t="n">
        <v>46113</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2001-2025</t>
        </is>
      </c>
      <c r="B722" s="1" t="n">
        <v>45672.44898148148</v>
      </c>
      <c r="C722" s="1" t="n">
        <v>46113</v>
      </c>
      <c r="D722" t="inlineStr">
        <is>
          <t>JÄMTLANDS LÄN</t>
        </is>
      </c>
      <c r="E722" t="inlineStr">
        <is>
          <t>RAGUNDA</t>
        </is>
      </c>
      <c r="F722" t="inlineStr">
        <is>
          <t>SCA</t>
        </is>
      </c>
      <c r="G722" t="n">
        <v>16.2</v>
      </c>
      <c r="H722" t="n">
        <v>0</v>
      </c>
      <c r="I722" t="n">
        <v>0</v>
      </c>
      <c r="J722" t="n">
        <v>0</v>
      </c>
      <c r="K722" t="n">
        <v>0</v>
      </c>
      <c r="L722" t="n">
        <v>0</v>
      </c>
      <c r="M722" t="n">
        <v>0</v>
      </c>
      <c r="N722" t="n">
        <v>0</v>
      </c>
      <c r="O722" t="n">
        <v>0</v>
      </c>
      <c r="P722" t="n">
        <v>0</v>
      </c>
      <c r="Q722" t="n">
        <v>0</v>
      </c>
      <c r="R722" s="2" t="inlineStr"/>
    </row>
    <row r="723" ht="15" customHeight="1">
      <c r="A723" t="inlineStr">
        <is>
          <t>A 50719-2025</t>
        </is>
      </c>
      <c r="B723" s="1" t="n">
        <v>45946.34642361111</v>
      </c>
      <c r="C723" s="1" t="n">
        <v>46113</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50711-2025</t>
        </is>
      </c>
      <c r="B724" s="1" t="n">
        <v>45946.34431712963</v>
      </c>
      <c r="C724" s="1" t="n">
        <v>46113</v>
      </c>
      <c r="D724" t="inlineStr">
        <is>
          <t>JÄMTLANDS LÄN</t>
        </is>
      </c>
      <c r="E724" t="inlineStr">
        <is>
          <t>RAGUNDA</t>
        </is>
      </c>
      <c r="F724" t="inlineStr">
        <is>
          <t>SCA</t>
        </is>
      </c>
      <c r="G724" t="n">
        <v>8</v>
      </c>
      <c r="H724" t="n">
        <v>0</v>
      </c>
      <c r="I724" t="n">
        <v>0</v>
      </c>
      <c r="J724" t="n">
        <v>0</v>
      </c>
      <c r="K724" t="n">
        <v>0</v>
      </c>
      <c r="L724" t="n">
        <v>0</v>
      </c>
      <c r="M724" t="n">
        <v>0</v>
      </c>
      <c r="N724" t="n">
        <v>0</v>
      </c>
      <c r="O724" t="n">
        <v>0</v>
      </c>
      <c r="P724" t="n">
        <v>0</v>
      </c>
      <c r="Q724" t="n">
        <v>0</v>
      </c>
      <c r="R724" s="2" t="inlineStr"/>
    </row>
    <row r="725" ht="15" customHeight="1">
      <c r="A725" t="inlineStr">
        <is>
          <t>A 50716-2025</t>
        </is>
      </c>
      <c r="B725" s="1" t="n">
        <v>45946.34572916666</v>
      </c>
      <c r="C725" s="1" t="n">
        <v>46113</v>
      </c>
      <c r="D725" t="inlineStr">
        <is>
          <t>JÄMTLANDS LÄN</t>
        </is>
      </c>
      <c r="E725" t="inlineStr">
        <is>
          <t>RAGUNDA</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51395-2025</t>
        </is>
      </c>
      <c r="B726" s="1" t="n">
        <v>45950.46989583333</v>
      </c>
      <c r="C726" s="1" t="n">
        <v>46113</v>
      </c>
      <c r="D726" t="inlineStr">
        <is>
          <t>JÄMTLANDS LÄN</t>
        </is>
      </c>
      <c r="E726" t="inlineStr">
        <is>
          <t>RAGUNDA</t>
        </is>
      </c>
      <c r="F726" t="inlineStr">
        <is>
          <t>SCA</t>
        </is>
      </c>
      <c r="G726" t="n">
        <v>30.7</v>
      </c>
      <c r="H726" t="n">
        <v>0</v>
      </c>
      <c r="I726" t="n">
        <v>0</v>
      </c>
      <c r="J726" t="n">
        <v>0</v>
      </c>
      <c r="K726" t="n">
        <v>0</v>
      </c>
      <c r="L726" t="n">
        <v>0</v>
      </c>
      <c r="M726" t="n">
        <v>0</v>
      </c>
      <c r="N726" t="n">
        <v>0</v>
      </c>
      <c r="O726" t="n">
        <v>0</v>
      </c>
      <c r="P726" t="n">
        <v>0</v>
      </c>
      <c r="Q726" t="n">
        <v>0</v>
      </c>
      <c r="R726" s="2" t="inlineStr"/>
    </row>
    <row r="727" ht="15" customHeight="1">
      <c r="A727" t="inlineStr">
        <is>
          <t>A 50985-2025</t>
        </is>
      </c>
      <c r="B727" s="1" t="n">
        <v>45947.34506944445</v>
      </c>
      <c r="C727" s="1" t="n">
        <v>46113</v>
      </c>
      <c r="D727" t="inlineStr">
        <is>
          <t>JÄMTLANDS LÄN</t>
        </is>
      </c>
      <c r="E727" t="inlineStr">
        <is>
          <t>RAGUNDA</t>
        </is>
      </c>
      <c r="F727" t="inlineStr">
        <is>
          <t>SCA</t>
        </is>
      </c>
      <c r="G727" t="n">
        <v>8</v>
      </c>
      <c r="H727" t="n">
        <v>0</v>
      </c>
      <c r="I727" t="n">
        <v>0</v>
      </c>
      <c r="J727" t="n">
        <v>0</v>
      </c>
      <c r="K727" t="n">
        <v>0</v>
      </c>
      <c r="L727" t="n">
        <v>0</v>
      </c>
      <c r="M727" t="n">
        <v>0</v>
      </c>
      <c r="N727" t="n">
        <v>0</v>
      </c>
      <c r="O727" t="n">
        <v>0</v>
      </c>
      <c r="P727" t="n">
        <v>0</v>
      </c>
      <c r="Q727" t="n">
        <v>0</v>
      </c>
      <c r="R727" s="2" t="inlineStr"/>
    </row>
    <row r="728" ht="15" customHeight="1">
      <c r="A728" t="inlineStr">
        <is>
          <t>A 16635-2025</t>
        </is>
      </c>
      <c r="B728" s="1" t="n">
        <v>45754</v>
      </c>
      <c r="C728" s="1" t="n">
        <v>46113</v>
      </c>
      <c r="D728" t="inlineStr">
        <is>
          <t>JÄMTLANDS LÄN</t>
        </is>
      </c>
      <c r="E728" t="inlineStr">
        <is>
          <t>RAGUNDA</t>
        </is>
      </c>
      <c r="F728" t="inlineStr">
        <is>
          <t>SCA</t>
        </is>
      </c>
      <c r="G728" t="n">
        <v>55.4</v>
      </c>
      <c r="H728" t="n">
        <v>0</v>
      </c>
      <c r="I728" t="n">
        <v>0</v>
      </c>
      <c r="J728" t="n">
        <v>0</v>
      </c>
      <c r="K728" t="n">
        <v>0</v>
      </c>
      <c r="L728" t="n">
        <v>0</v>
      </c>
      <c r="M728" t="n">
        <v>0</v>
      </c>
      <c r="N728" t="n">
        <v>0</v>
      </c>
      <c r="O728" t="n">
        <v>0</v>
      </c>
      <c r="P728" t="n">
        <v>0</v>
      </c>
      <c r="Q728" t="n">
        <v>0</v>
      </c>
      <c r="R728" s="2" t="inlineStr"/>
    </row>
    <row r="729" ht="15" customHeight="1">
      <c r="A729" t="inlineStr">
        <is>
          <t>A 51034-2025</t>
        </is>
      </c>
      <c r="B729" s="1" t="n">
        <v>45947.40670138889</v>
      </c>
      <c r="C729" s="1" t="n">
        <v>46113</v>
      </c>
      <c r="D729" t="inlineStr">
        <is>
          <t>JÄMTLANDS LÄN</t>
        </is>
      </c>
      <c r="E729" t="inlineStr">
        <is>
          <t>RAGUNDA</t>
        </is>
      </c>
      <c r="F729" t="inlineStr">
        <is>
          <t>SCA</t>
        </is>
      </c>
      <c r="G729" t="n">
        <v>44.1</v>
      </c>
      <c r="H729" t="n">
        <v>0</v>
      </c>
      <c r="I729" t="n">
        <v>0</v>
      </c>
      <c r="J729" t="n">
        <v>0</v>
      </c>
      <c r="K729" t="n">
        <v>0</v>
      </c>
      <c r="L729" t="n">
        <v>0</v>
      </c>
      <c r="M729" t="n">
        <v>0</v>
      </c>
      <c r="N729" t="n">
        <v>0</v>
      </c>
      <c r="O729" t="n">
        <v>0</v>
      </c>
      <c r="P729" t="n">
        <v>0</v>
      </c>
      <c r="Q729" t="n">
        <v>0</v>
      </c>
      <c r="R729" s="2" t="inlineStr"/>
    </row>
    <row r="730" ht="15" customHeight="1">
      <c r="A730" t="inlineStr">
        <is>
          <t>A 73278-2021</t>
        </is>
      </c>
      <c r="B730" s="1" t="n">
        <v>44550.92168981482</v>
      </c>
      <c r="C730" s="1" t="n">
        <v>46113</v>
      </c>
      <c r="D730" t="inlineStr">
        <is>
          <t>JÄMTLANDS LÄN</t>
        </is>
      </c>
      <c r="E730" t="inlineStr">
        <is>
          <t>RAGUNDA</t>
        </is>
      </c>
      <c r="G730" t="n">
        <v>4.4</v>
      </c>
      <c r="H730" t="n">
        <v>0</v>
      </c>
      <c r="I730" t="n">
        <v>0</v>
      </c>
      <c r="J730" t="n">
        <v>0</v>
      </c>
      <c r="K730" t="n">
        <v>0</v>
      </c>
      <c r="L730" t="n">
        <v>0</v>
      </c>
      <c r="M730" t="n">
        <v>0</v>
      </c>
      <c r="N730" t="n">
        <v>0</v>
      </c>
      <c r="O730" t="n">
        <v>0</v>
      </c>
      <c r="P730" t="n">
        <v>0</v>
      </c>
      <c r="Q730" t="n">
        <v>0</v>
      </c>
      <c r="R730" s="2" t="inlineStr"/>
    </row>
    <row r="731" ht="15" customHeight="1">
      <c r="A731" t="inlineStr">
        <is>
          <t>A 51019-2025</t>
        </is>
      </c>
      <c r="B731" s="1" t="n">
        <v>45947.38623842593</v>
      </c>
      <c r="C731" s="1" t="n">
        <v>46113</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51394-2025</t>
        </is>
      </c>
      <c r="B732" s="1" t="n">
        <v>45950.46972222222</v>
      </c>
      <c r="C732" s="1" t="n">
        <v>46113</v>
      </c>
      <c r="D732" t="inlineStr">
        <is>
          <t>JÄMTLANDS LÄN</t>
        </is>
      </c>
      <c r="E732" t="inlineStr">
        <is>
          <t>RAGUNDA</t>
        </is>
      </c>
      <c r="F732" t="inlineStr">
        <is>
          <t>SCA</t>
        </is>
      </c>
      <c r="G732" t="n">
        <v>36.5</v>
      </c>
      <c r="H732" t="n">
        <v>0</v>
      </c>
      <c r="I732" t="n">
        <v>0</v>
      </c>
      <c r="J732" t="n">
        <v>0</v>
      </c>
      <c r="K732" t="n">
        <v>0</v>
      </c>
      <c r="L732" t="n">
        <v>0</v>
      </c>
      <c r="M732" t="n">
        <v>0</v>
      </c>
      <c r="N732" t="n">
        <v>0</v>
      </c>
      <c r="O732" t="n">
        <v>0</v>
      </c>
      <c r="P732" t="n">
        <v>0</v>
      </c>
      <c r="Q732" t="n">
        <v>0</v>
      </c>
      <c r="R732" s="2" t="inlineStr"/>
    </row>
    <row r="733" ht="15" customHeight="1">
      <c r="A733" t="inlineStr">
        <is>
          <t>A 51484-2025</t>
        </is>
      </c>
      <c r="B733" s="1" t="n">
        <v>45950.62196759259</v>
      </c>
      <c r="C733" s="1" t="n">
        <v>46113</v>
      </c>
      <c r="D733" t="inlineStr">
        <is>
          <t>JÄMTLANDS LÄN</t>
        </is>
      </c>
      <c r="E733" t="inlineStr">
        <is>
          <t>RAGUNDA</t>
        </is>
      </c>
      <c r="F733" t="inlineStr">
        <is>
          <t>SCA</t>
        </is>
      </c>
      <c r="G733" t="n">
        <v>23.1</v>
      </c>
      <c r="H733" t="n">
        <v>0</v>
      </c>
      <c r="I733" t="n">
        <v>0</v>
      </c>
      <c r="J733" t="n">
        <v>0</v>
      </c>
      <c r="K733" t="n">
        <v>0</v>
      </c>
      <c r="L733" t="n">
        <v>0</v>
      </c>
      <c r="M733" t="n">
        <v>0</v>
      </c>
      <c r="N733" t="n">
        <v>0</v>
      </c>
      <c r="O733" t="n">
        <v>0</v>
      </c>
      <c r="P733" t="n">
        <v>0</v>
      </c>
      <c r="Q733" t="n">
        <v>0</v>
      </c>
      <c r="R733" s="2" t="inlineStr"/>
    </row>
    <row r="734" ht="15" customHeight="1">
      <c r="A734" t="inlineStr">
        <is>
          <t>A 51491-2025</t>
        </is>
      </c>
      <c r="B734" s="1" t="n">
        <v>45950.63362268519</v>
      </c>
      <c r="C734" s="1" t="n">
        <v>46113</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37479-2023</t>
        </is>
      </c>
      <c r="B735" s="1" t="n">
        <v>45156</v>
      </c>
      <c r="C735" s="1" t="n">
        <v>46113</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41772-2024</t>
        </is>
      </c>
      <c r="B736" s="1" t="n">
        <v>45561.34663194444</v>
      </c>
      <c r="C736" s="1" t="n">
        <v>46113</v>
      </c>
      <c r="D736" t="inlineStr">
        <is>
          <t>JÄMTLANDS LÄN</t>
        </is>
      </c>
      <c r="E736" t="inlineStr">
        <is>
          <t>RAGUNDA</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12660-2024</t>
        </is>
      </c>
      <c r="B737" s="1" t="n">
        <v>45384</v>
      </c>
      <c r="C737" s="1" t="n">
        <v>46113</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51396-2024</t>
        </is>
      </c>
      <c r="B738" s="1" t="n">
        <v>45604.4190625</v>
      </c>
      <c r="C738" s="1" t="n">
        <v>46113</v>
      </c>
      <c r="D738" t="inlineStr">
        <is>
          <t>JÄMTLANDS LÄN</t>
        </is>
      </c>
      <c r="E738" t="inlineStr">
        <is>
          <t>RAGUNDA</t>
        </is>
      </c>
      <c r="G738" t="n">
        <v>0.8</v>
      </c>
      <c r="H738" t="n">
        <v>0</v>
      </c>
      <c r="I738" t="n">
        <v>0</v>
      </c>
      <c r="J738" t="n">
        <v>0</v>
      </c>
      <c r="K738" t="n">
        <v>0</v>
      </c>
      <c r="L738" t="n">
        <v>0</v>
      </c>
      <c r="M738" t="n">
        <v>0</v>
      </c>
      <c r="N738" t="n">
        <v>0</v>
      </c>
      <c r="O738" t="n">
        <v>0</v>
      </c>
      <c r="P738" t="n">
        <v>0</v>
      </c>
      <c r="Q738" t="n">
        <v>0</v>
      </c>
      <c r="R738" s="2" t="inlineStr"/>
    </row>
    <row r="739" ht="15" customHeight="1">
      <c r="A739" t="inlineStr">
        <is>
          <t>A 51702-2025</t>
        </is>
      </c>
      <c r="B739" s="1" t="n">
        <v>45951.55305555555</v>
      </c>
      <c r="C739" s="1" t="n">
        <v>46113</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25332-2023</t>
        </is>
      </c>
      <c r="B740" s="1" t="n">
        <v>45086.94010416666</v>
      </c>
      <c r="C740" s="1" t="n">
        <v>46113</v>
      </c>
      <c r="D740" t="inlineStr">
        <is>
          <t>JÄMTLANDS LÄN</t>
        </is>
      </c>
      <c r="E740" t="inlineStr">
        <is>
          <t>RAGUNDA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26640-2025</t>
        </is>
      </c>
      <c r="B741" s="1" t="n">
        <v>45810.36495370371</v>
      </c>
      <c r="C741" s="1" t="n">
        <v>46113</v>
      </c>
      <c r="D741" t="inlineStr">
        <is>
          <t>JÄMTLANDS LÄN</t>
        </is>
      </c>
      <c r="E741" t="inlineStr">
        <is>
          <t>RAGUNDA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53762-2023</t>
        </is>
      </c>
      <c r="B742" s="1" t="n">
        <v>45230.96376157407</v>
      </c>
      <c r="C742" s="1" t="n">
        <v>46113</v>
      </c>
      <c r="D742" t="inlineStr">
        <is>
          <t>JÄMTLANDS LÄN</t>
        </is>
      </c>
      <c r="E742" t="inlineStr">
        <is>
          <t>RAGUNDA</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51678-2025</t>
        </is>
      </c>
      <c r="B743" s="1" t="n">
        <v>45951.51106481482</v>
      </c>
      <c r="C743" s="1" t="n">
        <v>46113</v>
      </c>
      <c r="D743" t="inlineStr">
        <is>
          <t>JÄMTLANDS LÄN</t>
        </is>
      </c>
      <c r="E743" t="inlineStr">
        <is>
          <t>RAGUNDA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33615-2023</t>
        </is>
      </c>
      <c r="B744" s="1" t="n">
        <v>45119</v>
      </c>
      <c r="C744" s="1" t="n">
        <v>46113</v>
      </c>
      <c r="D744" t="inlineStr">
        <is>
          <t>JÄMTLANDS LÄN</t>
        </is>
      </c>
      <c r="E744" t="inlineStr">
        <is>
          <t>RAGUNDA</t>
        </is>
      </c>
      <c r="G744" t="n">
        <v>0.9</v>
      </c>
      <c r="H744" t="n">
        <v>0</v>
      </c>
      <c r="I744" t="n">
        <v>0</v>
      </c>
      <c r="J744" t="n">
        <v>0</v>
      </c>
      <c r="K744" t="n">
        <v>0</v>
      </c>
      <c r="L744" t="n">
        <v>0</v>
      </c>
      <c r="M744" t="n">
        <v>0</v>
      </c>
      <c r="N744" t="n">
        <v>0</v>
      </c>
      <c r="O744" t="n">
        <v>0</v>
      </c>
      <c r="P744" t="n">
        <v>0</v>
      </c>
      <c r="Q744" t="n">
        <v>0</v>
      </c>
      <c r="R744" s="2" t="inlineStr"/>
    </row>
    <row r="745" ht="15" customHeight="1">
      <c r="A745" t="inlineStr">
        <is>
          <t>A 43132-2023</t>
        </is>
      </c>
      <c r="B745" s="1" t="n">
        <v>45182</v>
      </c>
      <c r="C745" s="1" t="n">
        <v>46113</v>
      </c>
      <c r="D745" t="inlineStr">
        <is>
          <t>JÄMTLANDS LÄN</t>
        </is>
      </c>
      <c r="E745" t="inlineStr">
        <is>
          <t>RAGUNDA</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51906-2025</t>
        </is>
      </c>
      <c r="B746" s="1" t="n">
        <v>45952.4615162037</v>
      </c>
      <c r="C746" s="1" t="n">
        <v>46113</v>
      </c>
      <c r="D746" t="inlineStr">
        <is>
          <t>JÄMTLANDS LÄN</t>
        </is>
      </c>
      <c r="E746" t="inlineStr">
        <is>
          <t>RAGUNDA</t>
        </is>
      </c>
      <c r="G746" t="n">
        <v>4.5</v>
      </c>
      <c r="H746" t="n">
        <v>0</v>
      </c>
      <c r="I746" t="n">
        <v>0</v>
      </c>
      <c r="J746" t="n">
        <v>0</v>
      </c>
      <c r="K746" t="n">
        <v>0</v>
      </c>
      <c r="L746" t="n">
        <v>0</v>
      </c>
      <c r="M746" t="n">
        <v>0</v>
      </c>
      <c r="N746" t="n">
        <v>0</v>
      </c>
      <c r="O746" t="n">
        <v>0</v>
      </c>
      <c r="P746" t="n">
        <v>0</v>
      </c>
      <c r="Q746" t="n">
        <v>0</v>
      </c>
      <c r="R746" s="2" t="inlineStr"/>
    </row>
    <row r="747" ht="15" customHeight="1">
      <c r="A747" t="inlineStr">
        <is>
          <t>A 51791-2025</t>
        </is>
      </c>
      <c r="B747" s="1" t="n">
        <v>45951.69833333333</v>
      </c>
      <c r="C747" s="1" t="n">
        <v>46113</v>
      </c>
      <c r="D747" t="inlineStr">
        <is>
          <t>JÄMTLANDS LÄN</t>
        </is>
      </c>
      <c r="E747" t="inlineStr">
        <is>
          <t>RAGUNDA</t>
        </is>
      </c>
      <c r="F747" t="inlineStr">
        <is>
          <t>SCA</t>
        </is>
      </c>
      <c r="G747" t="n">
        <v>43.3</v>
      </c>
      <c r="H747" t="n">
        <v>0</v>
      </c>
      <c r="I747" t="n">
        <v>0</v>
      </c>
      <c r="J747" t="n">
        <v>0</v>
      </c>
      <c r="K747" t="n">
        <v>0</v>
      </c>
      <c r="L747" t="n">
        <v>0</v>
      </c>
      <c r="M747" t="n">
        <v>0</v>
      </c>
      <c r="N747" t="n">
        <v>0</v>
      </c>
      <c r="O747" t="n">
        <v>0</v>
      </c>
      <c r="P747" t="n">
        <v>0</v>
      </c>
      <c r="Q747" t="n">
        <v>0</v>
      </c>
      <c r="R747" s="2" t="inlineStr"/>
    </row>
    <row r="748" ht="15" customHeight="1">
      <c r="A748" t="inlineStr">
        <is>
          <t>A 19089-2024</t>
        </is>
      </c>
      <c r="B748" s="1" t="n">
        <v>45428.00471064815</v>
      </c>
      <c r="C748" s="1" t="n">
        <v>46113</v>
      </c>
      <c r="D748" t="inlineStr">
        <is>
          <t>JÄMTLANDS LÄN</t>
        </is>
      </c>
      <c r="E748" t="inlineStr">
        <is>
          <t>RAGUNDA</t>
        </is>
      </c>
      <c r="F748" t="inlineStr">
        <is>
          <t>SCA</t>
        </is>
      </c>
      <c r="G748" t="n">
        <v>6.1</v>
      </c>
      <c r="H748" t="n">
        <v>0</v>
      </c>
      <c r="I748" t="n">
        <v>0</v>
      </c>
      <c r="J748" t="n">
        <v>0</v>
      </c>
      <c r="K748" t="n">
        <v>0</v>
      </c>
      <c r="L748" t="n">
        <v>0</v>
      </c>
      <c r="M748" t="n">
        <v>0</v>
      </c>
      <c r="N748" t="n">
        <v>0</v>
      </c>
      <c r="O748" t="n">
        <v>0</v>
      </c>
      <c r="P748" t="n">
        <v>0</v>
      </c>
      <c r="Q748" t="n">
        <v>0</v>
      </c>
      <c r="R748" s="2" t="inlineStr"/>
    </row>
    <row r="749" ht="15" customHeight="1">
      <c r="A749" t="inlineStr">
        <is>
          <t>A 51592-2025</t>
        </is>
      </c>
      <c r="B749" s="1" t="n">
        <v>45951.36541666667</v>
      </c>
      <c r="C749" s="1" t="n">
        <v>46113</v>
      </c>
      <c r="D749" t="inlineStr">
        <is>
          <t>JÄMTLANDS LÄN</t>
        </is>
      </c>
      <c r="E749" t="inlineStr">
        <is>
          <t>RAGUNDA</t>
        </is>
      </c>
      <c r="G749" t="n">
        <v>1.3</v>
      </c>
      <c r="H749" t="n">
        <v>0</v>
      </c>
      <c r="I749" t="n">
        <v>0</v>
      </c>
      <c r="J749" t="n">
        <v>0</v>
      </c>
      <c r="K749" t="n">
        <v>0</v>
      </c>
      <c r="L749" t="n">
        <v>0</v>
      </c>
      <c r="M749" t="n">
        <v>0</v>
      </c>
      <c r="N749" t="n">
        <v>0</v>
      </c>
      <c r="O749" t="n">
        <v>0</v>
      </c>
      <c r="P749" t="n">
        <v>0</v>
      </c>
      <c r="Q749" t="n">
        <v>0</v>
      </c>
      <c r="R749" s="2" t="inlineStr"/>
    </row>
    <row r="750" ht="15" customHeight="1">
      <c r="A750" t="inlineStr">
        <is>
          <t>A 51593-2025</t>
        </is>
      </c>
      <c r="B750" s="1" t="n">
        <v>45951.36548611111</v>
      </c>
      <c r="C750" s="1" t="n">
        <v>46113</v>
      </c>
      <c r="D750" t="inlineStr">
        <is>
          <t>JÄMTLANDS LÄN</t>
        </is>
      </c>
      <c r="E750" t="inlineStr">
        <is>
          <t>RAGUNDA</t>
        </is>
      </c>
      <c r="G750" t="n">
        <v>1.5</v>
      </c>
      <c r="H750" t="n">
        <v>0</v>
      </c>
      <c r="I750" t="n">
        <v>0</v>
      </c>
      <c r="J750" t="n">
        <v>0</v>
      </c>
      <c r="K750" t="n">
        <v>0</v>
      </c>
      <c r="L750" t="n">
        <v>0</v>
      </c>
      <c r="M750" t="n">
        <v>0</v>
      </c>
      <c r="N750" t="n">
        <v>0</v>
      </c>
      <c r="O750" t="n">
        <v>0</v>
      </c>
      <c r="P750" t="n">
        <v>0</v>
      </c>
      <c r="Q750" t="n">
        <v>0</v>
      </c>
      <c r="R750" s="2" t="inlineStr"/>
    </row>
    <row r="751" ht="15" customHeight="1">
      <c r="A751" t="inlineStr">
        <is>
          <t>A 8654-2024</t>
        </is>
      </c>
      <c r="B751" s="1" t="n">
        <v>45356.03784722222</v>
      </c>
      <c r="C751" s="1" t="n">
        <v>46113</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9325-2024</t>
        </is>
      </c>
      <c r="B752" s="1" t="n">
        <v>45358.95813657407</v>
      </c>
      <c r="C752" s="1" t="n">
        <v>46113</v>
      </c>
      <c r="D752" t="inlineStr">
        <is>
          <t>JÄMTLANDS LÄN</t>
        </is>
      </c>
      <c r="E752" t="inlineStr">
        <is>
          <t>RAGUNDA</t>
        </is>
      </c>
      <c r="G752" t="n">
        <v>3.1</v>
      </c>
      <c r="H752" t="n">
        <v>0</v>
      </c>
      <c r="I752" t="n">
        <v>0</v>
      </c>
      <c r="J752" t="n">
        <v>0</v>
      </c>
      <c r="K752" t="n">
        <v>0</v>
      </c>
      <c r="L752" t="n">
        <v>0</v>
      </c>
      <c r="M752" t="n">
        <v>0</v>
      </c>
      <c r="N752" t="n">
        <v>0</v>
      </c>
      <c r="O752" t="n">
        <v>0</v>
      </c>
      <c r="P752" t="n">
        <v>0</v>
      </c>
      <c r="Q752" t="n">
        <v>0</v>
      </c>
      <c r="R752" s="2" t="inlineStr"/>
    </row>
    <row r="753" ht="15" customHeight="1">
      <c r="A753" t="inlineStr">
        <is>
          <t>A 52093-2025</t>
        </is>
      </c>
      <c r="B753" s="1" t="n">
        <v>45952.67865740741</v>
      </c>
      <c r="C753" s="1" t="n">
        <v>46113</v>
      </c>
      <c r="D753" t="inlineStr">
        <is>
          <t>JÄMTLANDS LÄN</t>
        </is>
      </c>
      <c r="E753" t="inlineStr">
        <is>
          <t>RAGUNDA</t>
        </is>
      </c>
      <c r="F753" t="inlineStr">
        <is>
          <t>SCA</t>
        </is>
      </c>
      <c r="G753" t="n">
        <v>22.7</v>
      </c>
      <c r="H753" t="n">
        <v>0</v>
      </c>
      <c r="I753" t="n">
        <v>0</v>
      </c>
      <c r="J753" t="n">
        <v>0</v>
      </c>
      <c r="K753" t="n">
        <v>0</v>
      </c>
      <c r="L753" t="n">
        <v>0</v>
      </c>
      <c r="M753" t="n">
        <v>0</v>
      </c>
      <c r="N753" t="n">
        <v>0</v>
      </c>
      <c r="O753" t="n">
        <v>0</v>
      </c>
      <c r="P753" t="n">
        <v>0</v>
      </c>
      <c r="Q753" t="n">
        <v>0</v>
      </c>
      <c r="R753" s="2" t="inlineStr"/>
    </row>
    <row r="754" ht="15" customHeight="1">
      <c r="A754" t="inlineStr">
        <is>
          <t>A 4348-2023</t>
        </is>
      </c>
      <c r="B754" s="1" t="n">
        <v>44953</v>
      </c>
      <c r="C754" s="1" t="n">
        <v>46113</v>
      </c>
      <c r="D754" t="inlineStr">
        <is>
          <t>JÄMTLANDS LÄN</t>
        </is>
      </c>
      <c r="E754" t="inlineStr">
        <is>
          <t>RAGUNDA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8678-2023</t>
        </is>
      </c>
      <c r="B755" s="1" t="n">
        <v>44977.98660879629</v>
      </c>
      <c r="C755" s="1" t="n">
        <v>46113</v>
      </c>
      <c r="D755" t="inlineStr">
        <is>
          <t>JÄMTLANDS LÄN</t>
        </is>
      </c>
      <c r="E755" t="inlineStr">
        <is>
          <t>RAGUNDA</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29766-2023</t>
        </is>
      </c>
      <c r="B756" s="1" t="n">
        <v>45098</v>
      </c>
      <c r="C756" s="1" t="n">
        <v>46113</v>
      </c>
      <c r="D756" t="inlineStr">
        <is>
          <t>JÄMTLANDS LÄN</t>
        </is>
      </c>
      <c r="E756" t="inlineStr">
        <is>
          <t>RAGUNDA</t>
        </is>
      </c>
      <c r="G756" t="n">
        <v>2.7</v>
      </c>
      <c r="H756" t="n">
        <v>0</v>
      </c>
      <c r="I756" t="n">
        <v>0</v>
      </c>
      <c r="J756" t="n">
        <v>0</v>
      </c>
      <c r="K756" t="n">
        <v>0</v>
      </c>
      <c r="L756" t="n">
        <v>0</v>
      </c>
      <c r="M756" t="n">
        <v>0</v>
      </c>
      <c r="N756" t="n">
        <v>0</v>
      </c>
      <c r="O756" t="n">
        <v>0</v>
      </c>
      <c r="P756" t="n">
        <v>0</v>
      </c>
      <c r="Q756" t="n">
        <v>0</v>
      </c>
      <c r="R756" s="2" t="inlineStr"/>
    </row>
    <row r="757" ht="15" customHeight="1">
      <c r="A757" t="inlineStr">
        <is>
          <t>A 52122-2025</t>
        </is>
      </c>
      <c r="B757" s="1" t="n">
        <v>45952.71946759259</v>
      </c>
      <c r="C757" s="1" t="n">
        <v>46113</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51882-2025</t>
        </is>
      </c>
      <c r="B758" s="1" t="n">
        <v>45952.40685185185</v>
      </c>
      <c r="C758" s="1" t="n">
        <v>46113</v>
      </c>
      <c r="D758" t="inlineStr">
        <is>
          <t>JÄMTLANDS LÄN</t>
        </is>
      </c>
      <c r="E758" t="inlineStr">
        <is>
          <t>RAGUNDA</t>
        </is>
      </c>
      <c r="F758" t="inlineStr">
        <is>
          <t>SCA</t>
        </is>
      </c>
      <c r="G758" t="n">
        <v>11.9</v>
      </c>
      <c r="H758" t="n">
        <v>0</v>
      </c>
      <c r="I758" t="n">
        <v>0</v>
      </c>
      <c r="J758" t="n">
        <v>0</v>
      </c>
      <c r="K758" t="n">
        <v>0</v>
      </c>
      <c r="L758" t="n">
        <v>0</v>
      </c>
      <c r="M758" t="n">
        <v>0</v>
      </c>
      <c r="N758" t="n">
        <v>0</v>
      </c>
      <c r="O758" t="n">
        <v>0</v>
      </c>
      <c r="P758" t="n">
        <v>0</v>
      </c>
      <c r="Q758" t="n">
        <v>0</v>
      </c>
      <c r="R758" s="2" t="inlineStr"/>
    </row>
    <row r="759" ht="15" customHeight="1">
      <c r="A759" t="inlineStr">
        <is>
          <t>A 51903-2025</t>
        </is>
      </c>
      <c r="B759" s="1" t="n">
        <v>45952.44857638889</v>
      </c>
      <c r="C759" s="1" t="n">
        <v>46113</v>
      </c>
      <c r="D759" t="inlineStr">
        <is>
          <t>JÄMTLANDS LÄN</t>
        </is>
      </c>
      <c r="E759" t="inlineStr">
        <is>
          <t>RAGUNDA</t>
        </is>
      </c>
      <c r="F759" t="inlineStr">
        <is>
          <t>SCA</t>
        </is>
      </c>
      <c r="G759" t="n">
        <v>20.8</v>
      </c>
      <c r="H759" t="n">
        <v>0</v>
      </c>
      <c r="I759" t="n">
        <v>0</v>
      </c>
      <c r="J759" t="n">
        <v>0</v>
      </c>
      <c r="K759" t="n">
        <v>0</v>
      </c>
      <c r="L759" t="n">
        <v>0</v>
      </c>
      <c r="M759" t="n">
        <v>0</v>
      </c>
      <c r="N759" t="n">
        <v>0</v>
      </c>
      <c r="O759" t="n">
        <v>0</v>
      </c>
      <c r="P759" t="n">
        <v>0</v>
      </c>
      <c r="Q759" t="n">
        <v>0</v>
      </c>
      <c r="R759" s="2" t="inlineStr"/>
    </row>
    <row r="760" ht="15" customHeight="1">
      <c r="A760" t="inlineStr">
        <is>
          <t>A 51932-2025</t>
        </is>
      </c>
      <c r="B760" s="1" t="n">
        <v>45952.51094907407</v>
      </c>
      <c r="C760" s="1" t="n">
        <v>46113</v>
      </c>
      <c r="D760" t="inlineStr">
        <is>
          <t>JÄMTLANDS LÄN</t>
        </is>
      </c>
      <c r="E760" t="inlineStr">
        <is>
          <t>RAGUNDA</t>
        </is>
      </c>
      <c r="F760" t="inlineStr">
        <is>
          <t>SCA</t>
        </is>
      </c>
      <c r="G760" t="n">
        <v>39.2</v>
      </c>
      <c r="H760" t="n">
        <v>0</v>
      </c>
      <c r="I760" t="n">
        <v>0</v>
      </c>
      <c r="J760" t="n">
        <v>0</v>
      </c>
      <c r="K760" t="n">
        <v>0</v>
      </c>
      <c r="L760" t="n">
        <v>0</v>
      </c>
      <c r="M760" t="n">
        <v>0</v>
      </c>
      <c r="N760" t="n">
        <v>0</v>
      </c>
      <c r="O760" t="n">
        <v>0</v>
      </c>
      <c r="P760" t="n">
        <v>0</v>
      </c>
      <c r="Q760" t="n">
        <v>0</v>
      </c>
      <c r="R760" s="2" t="inlineStr"/>
    </row>
    <row r="761" ht="15" customHeight="1">
      <c r="A761" t="inlineStr">
        <is>
          <t>A 60935-2024</t>
        </is>
      </c>
      <c r="B761" s="1" t="n">
        <v>45645.36740740741</v>
      </c>
      <c r="C761" s="1" t="n">
        <v>46113</v>
      </c>
      <c r="D761" t="inlineStr">
        <is>
          <t>JÄMTLANDS LÄN</t>
        </is>
      </c>
      <c r="E761" t="inlineStr">
        <is>
          <t>RAGUNDA</t>
        </is>
      </c>
      <c r="G761" t="n">
        <v>2.6</v>
      </c>
      <c r="H761" t="n">
        <v>0</v>
      </c>
      <c r="I761" t="n">
        <v>0</v>
      </c>
      <c r="J761" t="n">
        <v>0</v>
      </c>
      <c r="K761" t="n">
        <v>0</v>
      </c>
      <c r="L761" t="n">
        <v>0</v>
      </c>
      <c r="M761" t="n">
        <v>0</v>
      </c>
      <c r="N761" t="n">
        <v>0</v>
      </c>
      <c r="O761" t="n">
        <v>0</v>
      </c>
      <c r="P761" t="n">
        <v>0</v>
      </c>
      <c r="Q761" t="n">
        <v>0</v>
      </c>
      <c r="R761" s="2" t="inlineStr"/>
    </row>
    <row r="762" ht="15" customHeight="1">
      <c r="A762" t="inlineStr">
        <is>
          <t>A 52317-2025</t>
        </is>
      </c>
      <c r="B762" s="1" t="n">
        <v>45953.65675925926</v>
      </c>
      <c r="C762" s="1" t="n">
        <v>46113</v>
      </c>
      <c r="D762" t="inlineStr">
        <is>
          <t>JÄMTLANDS LÄN</t>
        </is>
      </c>
      <c r="E762" t="inlineStr">
        <is>
          <t>RAGUNDA</t>
        </is>
      </c>
      <c r="F762" t="inlineStr">
        <is>
          <t>SCA</t>
        </is>
      </c>
      <c r="G762" t="n">
        <v>27.2</v>
      </c>
      <c r="H762" t="n">
        <v>0</v>
      </c>
      <c r="I762" t="n">
        <v>0</v>
      </c>
      <c r="J762" t="n">
        <v>0</v>
      </c>
      <c r="K762" t="n">
        <v>0</v>
      </c>
      <c r="L762" t="n">
        <v>0</v>
      </c>
      <c r="M762" t="n">
        <v>0</v>
      </c>
      <c r="N762" t="n">
        <v>0</v>
      </c>
      <c r="O762" t="n">
        <v>0</v>
      </c>
      <c r="P762" t="n">
        <v>0</v>
      </c>
      <c r="Q762" t="n">
        <v>0</v>
      </c>
      <c r="R762" s="2" t="inlineStr"/>
    </row>
    <row r="763" ht="15" customHeight="1">
      <c r="A763" t="inlineStr">
        <is>
          <t>A 52330-2025</t>
        </is>
      </c>
      <c r="B763" s="1" t="n">
        <v>45953.67752314815</v>
      </c>
      <c r="C763" s="1" t="n">
        <v>46113</v>
      </c>
      <c r="D763" t="inlineStr">
        <is>
          <t>JÄMTLANDS LÄN</t>
        </is>
      </c>
      <c r="E763" t="inlineStr">
        <is>
          <t>RAGUNDA</t>
        </is>
      </c>
      <c r="F763" t="inlineStr">
        <is>
          <t>SCA</t>
        </is>
      </c>
      <c r="G763" t="n">
        <v>10.1</v>
      </c>
      <c r="H763" t="n">
        <v>0</v>
      </c>
      <c r="I763" t="n">
        <v>0</v>
      </c>
      <c r="J763" t="n">
        <v>0</v>
      </c>
      <c r="K763" t="n">
        <v>0</v>
      </c>
      <c r="L763" t="n">
        <v>0</v>
      </c>
      <c r="M763" t="n">
        <v>0</v>
      </c>
      <c r="N763" t="n">
        <v>0</v>
      </c>
      <c r="O763" t="n">
        <v>0</v>
      </c>
      <c r="P763" t="n">
        <v>0</v>
      </c>
      <c r="Q763" t="n">
        <v>0</v>
      </c>
      <c r="R763" s="2" t="inlineStr"/>
    </row>
    <row r="764" ht="15" customHeight="1">
      <c r="A764" t="inlineStr">
        <is>
          <t>A 14156-2024</t>
        </is>
      </c>
      <c r="B764" s="1" t="n">
        <v>45392</v>
      </c>
      <c r="C764" s="1" t="n">
        <v>46113</v>
      </c>
      <c r="D764" t="inlineStr">
        <is>
          <t>JÄMTLANDS LÄN</t>
        </is>
      </c>
      <c r="E764" t="inlineStr">
        <is>
          <t>RAGUNDA</t>
        </is>
      </c>
      <c r="G764" t="n">
        <v>0.6</v>
      </c>
      <c r="H764" t="n">
        <v>0</v>
      </c>
      <c r="I764" t="n">
        <v>0</v>
      </c>
      <c r="J764" t="n">
        <v>0</v>
      </c>
      <c r="K764" t="n">
        <v>0</v>
      </c>
      <c r="L764" t="n">
        <v>0</v>
      </c>
      <c r="M764" t="n">
        <v>0</v>
      </c>
      <c r="N764" t="n">
        <v>0</v>
      </c>
      <c r="O764" t="n">
        <v>0</v>
      </c>
      <c r="P764" t="n">
        <v>0</v>
      </c>
      <c r="Q764" t="n">
        <v>0</v>
      </c>
      <c r="R764" s="2" t="inlineStr"/>
    </row>
    <row r="765" ht="15" customHeight="1">
      <c r="A765" t="inlineStr">
        <is>
          <t>A 14157-2024</t>
        </is>
      </c>
      <c r="B765" s="1" t="n">
        <v>45392.92903935185</v>
      </c>
      <c r="C765" s="1" t="n">
        <v>46113</v>
      </c>
      <c r="D765" t="inlineStr">
        <is>
          <t>JÄMTLANDS LÄN</t>
        </is>
      </c>
      <c r="E765" t="inlineStr">
        <is>
          <t>RAGUNDA</t>
        </is>
      </c>
      <c r="G765" t="n">
        <v>1.7</v>
      </c>
      <c r="H765" t="n">
        <v>0</v>
      </c>
      <c r="I765" t="n">
        <v>0</v>
      </c>
      <c r="J765" t="n">
        <v>0</v>
      </c>
      <c r="K765" t="n">
        <v>0</v>
      </c>
      <c r="L765" t="n">
        <v>0</v>
      </c>
      <c r="M765" t="n">
        <v>0</v>
      </c>
      <c r="N765" t="n">
        <v>0</v>
      </c>
      <c r="O765" t="n">
        <v>0</v>
      </c>
      <c r="P765" t="n">
        <v>0</v>
      </c>
      <c r="Q765" t="n">
        <v>0</v>
      </c>
      <c r="R765" s="2" t="inlineStr"/>
    </row>
    <row r="766" ht="15" customHeight="1">
      <c r="A766" t="inlineStr">
        <is>
          <t>A 52395-2025</t>
        </is>
      </c>
      <c r="B766" s="1" t="n">
        <v>45954.34487268519</v>
      </c>
      <c r="C766" s="1" t="n">
        <v>46113</v>
      </c>
      <c r="D766" t="inlineStr">
        <is>
          <t>JÄMTLANDS LÄN</t>
        </is>
      </c>
      <c r="E766" t="inlineStr">
        <is>
          <t>RAGUNDA</t>
        </is>
      </c>
      <c r="F766" t="inlineStr">
        <is>
          <t>SCA</t>
        </is>
      </c>
      <c r="G766" t="n">
        <v>14.2</v>
      </c>
      <c r="H766" t="n">
        <v>0</v>
      </c>
      <c r="I766" t="n">
        <v>0</v>
      </c>
      <c r="J766" t="n">
        <v>0</v>
      </c>
      <c r="K766" t="n">
        <v>0</v>
      </c>
      <c r="L766" t="n">
        <v>0</v>
      </c>
      <c r="M766" t="n">
        <v>0</v>
      </c>
      <c r="N766" t="n">
        <v>0</v>
      </c>
      <c r="O766" t="n">
        <v>0</v>
      </c>
      <c r="P766" t="n">
        <v>0</v>
      </c>
      <c r="Q766" t="n">
        <v>0</v>
      </c>
      <c r="R766" s="2" t="inlineStr"/>
    </row>
    <row r="767" ht="15" customHeight="1">
      <c r="A767" t="inlineStr">
        <is>
          <t>A 44727-2024</t>
        </is>
      </c>
      <c r="B767" s="1" t="n">
        <v>45574.57967592592</v>
      </c>
      <c r="C767" s="1" t="n">
        <v>46113</v>
      </c>
      <c r="D767" t="inlineStr">
        <is>
          <t>JÄMTLANDS LÄN</t>
        </is>
      </c>
      <c r="E767" t="inlineStr">
        <is>
          <t>RAGUNDA</t>
        </is>
      </c>
      <c r="G767" t="n">
        <v>4.7</v>
      </c>
      <c r="H767" t="n">
        <v>0</v>
      </c>
      <c r="I767" t="n">
        <v>0</v>
      </c>
      <c r="J767" t="n">
        <v>0</v>
      </c>
      <c r="K767" t="n">
        <v>0</v>
      </c>
      <c r="L767" t="n">
        <v>0</v>
      </c>
      <c r="M767" t="n">
        <v>0</v>
      </c>
      <c r="N767" t="n">
        <v>0</v>
      </c>
      <c r="O767" t="n">
        <v>0</v>
      </c>
      <c r="P767" t="n">
        <v>0</v>
      </c>
      <c r="Q767" t="n">
        <v>0</v>
      </c>
      <c r="R767" s="2" t="inlineStr"/>
    </row>
    <row r="768" ht="15" customHeight="1">
      <c r="A768" t="inlineStr">
        <is>
          <t>A 53032-2025</t>
        </is>
      </c>
      <c r="B768" s="1" t="n">
        <v>45958.34462962963</v>
      </c>
      <c r="C768" s="1" t="n">
        <v>46113</v>
      </c>
      <c r="D768" t="inlineStr">
        <is>
          <t>JÄMTLANDS LÄN</t>
        </is>
      </c>
      <c r="E768" t="inlineStr">
        <is>
          <t>RAGUNDA</t>
        </is>
      </c>
      <c r="G768" t="n">
        <v>2.6</v>
      </c>
      <c r="H768" t="n">
        <v>0</v>
      </c>
      <c r="I768" t="n">
        <v>0</v>
      </c>
      <c r="J768" t="n">
        <v>0</v>
      </c>
      <c r="K768" t="n">
        <v>0</v>
      </c>
      <c r="L768" t="n">
        <v>0</v>
      </c>
      <c r="M768" t="n">
        <v>0</v>
      </c>
      <c r="N768" t="n">
        <v>0</v>
      </c>
      <c r="O768" t="n">
        <v>0</v>
      </c>
      <c r="P768" t="n">
        <v>0</v>
      </c>
      <c r="Q768" t="n">
        <v>0</v>
      </c>
      <c r="R768" s="2" t="inlineStr"/>
    </row>
    <row r="769" ht="15" customHeight="1">
      <c r="A769" t="inlineStr">
        <is>
          <t>A 53076-2025</t>
        </is>
      </c>
      <c r="B769" s="1" t="n">
        <v>45958.38604166666</v>
      </c>
      <c r="C769" s="1" t="n">
        <v>46113</v>
      </c>
      <c r="D769" t="inlineStr">
        <is>
          <t>JÄMTLANDS LÄN</t>
        </is>
      </c>
      <c r="E769" t="inlineStr">
        <is>
          <t>RAGUNDA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21661-2023</t>
        </is>
      </c>
      <c r="B770" s="1" t="n">
        <v>45063</v>
      </c>
      <c r="C770" s="1" t="n">
        <v>46113</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52394-2025</t>
        </is>
      </c>
      <c r="B771" s="1" t="n">
        <v>45954.34466435185</v>
      </c>
      <c r="C771" s="1" t="n">
        <v>46113</v>
      </c>
      <c r="D771" t="inlineStr">
        <is>
          <t>JÄMTLANDS LÄN</t>
        </is>
      </c>
      <c r="E771" t="inlineStr">
        <is>
          <t>RAGUNDA</t>
        </is>
      </c>
      <c r="F771" t="inlineStr">
        <is>
          <t>SCA</t>
        </is>
      </c>
      <c r="G771" t="n">
        <v>53.8</v>
      </c>
      <c r="H771" t="n">
        <v>0</v>
      </c>
      <c r="I771" t="n">
        <v>0</v>
      </c>
      <c r="J771" t="n">
        <v>0</v>
      </c>
      <c r="K771" t="n">
        <v>0</v>
      </c>
      <c r="L771" t="n">
        <v>0</v>
      </c>
      <c r="M771" t="n">
        <v>0</v>
      </c>
      <c r="N771" t="n">
        <v>0</v>
      </c>
      <c r="O771" t="n">
        <v>0</v>
      </c>
      <c r="P771" t="n">
        <v>0</v>
      </c>
      <c r="Q771" t="n">
        <v>0</v>
      </c>
      <c r="R771" s="2" t="inlineStr"/>
    </row>
    <row r="772" ht="15" customHeight="1">
      <c r="A772" t="inlineStr">
        <is>
          <t>A 7281-2024</t>
        </is>
      </c>
      <c r="B772" s="1" t="n">
        <v>45344</v>
      </c>
      <c r="C772" s="1" t="n">
        <v>46113</v>
      </c>
      <c r="D772" t="inlineStr">
        <is>
          <t>JÄMTLANDS LÄN</t>
        </is>
      </c>
      <c r="E772" t="inlineStr">
        <is>
          <t>RAGUNDA</t>
        </is>
      </c>
      <c r="G772" t="n">
        <v>1.2</v>
      </c>
      <c r="H772" t="n">
        <v>0</v>
      </c>
      <c r="I772" t="n">
        <v>0</v>
      </c>
      <c r="J772" t="n">
        <v>0</v>
      </c>
      <c r="K772" t="n">
        <v>0</v>
      </c>
      <c r="L772" t="n">
        <v>0</v>
      </c>
      <c r="M772" t="n">
        <v>0</v>
      </c>
      <c r="N772" t="n">
        <v>0</v>
      </c>
      <c r="O772" t="n">
        <v>0</v>
      </c>
      <c r="P772" t="n">
        <v>0</v>
      </c>
      <c r="Q772" t="n">
        <v>0</v>
      </c>
      <c r="R772" s="2" t="inlineStr"/>
    </row>
    <row r="773" ht="15" customHeight="1">
      <c r="A773" t="inlineStr">
        <is>
          <t>A 19382-2025</t>
        </is>
      </c>
      <c r="B773" s="1" t="n">
        <v>45769.65659722222</v>
      </c>
      <c r="C773" s="1" t="n">
        <v>46113</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19403-2025</t>
        </is>
      </c>
      <c r="B774" s="1" t="n">
        <v>45769.67790509259</v>
      </c>
      <c r="C774" s="1" t="n">
        <v>46113</v>
      </c>
      <c r="D774" t="inlineStr">
        <is>
          <t>JÄMTLANDS LÄN</t>
        </is>
      </c>
      <c r="E774" t="inlineStr">
        <is>
          <t>RAGUNDA</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60225-2022</t>
        </is>
      </c>
      <c r="B775" s="1" t="n">
        <v>44903</v>
      </c>
      <c r="C775" s="1" t="n">
        <v>46113</v>
      </c>
      <c r="D775" t="inlineStr">
        <is>
          <t>JÄMTLANDS LÄN</t>
        </is>
      </c>
      <c r="E775" t="inlineStr">
        <is>
          <t>RAGUNDA</t>
        </is>
      </c>
      <c r="G775" t="n">
        <v>1</v>
      </c>
      <c r="H775" t="n">
        <v>0</v>
      </c>
      <c r="I775" t="n">
        <v>0</v>
      </c>
      <c r="J775" t="n">
        <v>0</v>
      </c>
      <c r="K775" t="n">
        <v>0</v>
      </c>
      <c r="L775" t="n">
        <v>0</v>
      </c>
      <c r="M775" t="n">
        <v>0</v>
      </c>
      <c r="N775" t="n">
        <v>0</v>
      </c>
      <c r="O775" t="n">
        <v>0</v>
      </c>
      <c r="P775" t="n">
        <v>0</v>
      </c>
      <c r="Q775" t="n">
        <v>0</v>
      </c>
      <c r="R775" s="2" t="inlineStr"/>
    </row>
    <row r="776" ht="15" customHeight="1">
      <c r="A776" t="inlineStr">
        <is>
          <t>A 52430-2025</t>
        </is>
      </c>
      <c r="B776" s="1" t="n">
        <v>45954.38592592593</v>
      </c>
      <c r="C776" s="1" t="n">
        <v>46113</v>
      </c>
      <c r="D776" t="inlineStr">
        <is>
          <t>JÄMTLANDS LÄN</t>
        </is>
      </c>
      <c r="E776" t="inlineStr">
        <is>
          <t>RAGUNDA</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61045-2022</t>
        </is>
      </c>
      <c r="B777" s="1" t="n">
        <v>44914</v>
      </c>
      <c r="C777" s="1" t="n">
        <v>46113</v>
      </c>
      <c r="D777" t="inlineStr">
        <is>
          <t>JÄMTLANDS LÄN</t>
        </is>
      </c>
      <c r="E777" t="inlineStr">
        <is>
          <t>RAGUNDA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52875-2025</t>
        </is>
      </c>
      <c r="B778" s="1" t="n">
        <v>45957.53211805555</v>
      </c>
      <c r="C778" s="1" t="n">
        <v>46113</v>
      </c>
      <c r="D778" t="inlineStr">
        <is>
          <t>JÄMTLANDS LÄN</t>
        </is>
      </c>
      <c r="E778" t="inlineStr">
        <is>
          <t>RAGUNDA</t>
        </is>
      </c>
      <c r="F778" t="inlineStr">
        <is>
          <t>SCA</t>
        </is>
      </c>
      <c r="G778" t="n">
        <v>34.3</v>
      </c>
      <c r="H778" t="n">
        <v>0</v>
      </c>
      <c r="I778" t="n">
        <v>0</v>
      </c>
      <c r="J778" t="n">
        <v>0</v>
      </c>
      <c r="K778" t="n">
        <v>0</v>
      </c>
      <c r="L778" t="n">
        <v>0</v>
      </c>
      <c r="M778" t="n">
        <v>0</v>
      </c>
      <c r="N778" t="n">
        <v>0</v>
      </c>
      <c r="O778" t="n">
        <v>0</v>
      </c>
      <c r="P778" t="n">
        <v>0</v>
      </c>
      <c r="Q778" t="n">
        <v>0</v>
      </c>
      <c r="R778" s="2" t="inlineStr"/>
    </row>
    <row r="779" ht="15" customHeight="1">
      <c r="A779" t="inlineStr">
        <is>
          <t>A 19404-2025</t>
        </is>
      </c>
      <c r="B779" s="1" t="n">
        <v>45769.67802083334</v>
      </c>
      <c r="C779" s="1" t="n">
        <v>46113</v>
      </c>
      <c r="D779" t="inlineStr">
        <is>
          <t>JÄMTLANDS LÄN</t>
        </is>
      </c>
      <c r="E779" t="inlineStr">
        <is>
          <t>RAGUNDA</t>
        </is>
      </c>
      <c r="F779" t="inlineStr">
        <is>
          <t>SCA</t>
        </is>
      </c>
      <c r="G779" t="n">
        <v>3</v>
      </c>
      <c r="H779" t="n">
        <v>0</v>
      </c>
      <c r="I779" t="n">
        <v>0</v>
      </c>
      <c r="J779" t="n">
        <v>0</v>
      </c>
      <c r="K779" t="n">
        <v>0</v>
      </c>
      <c r="L779" t="n">
        <v>0</v>
      </c>
      <c r="M779" t="n">
        <v>0</v>
      </c>
      <c r="N779" t="n">
        <v>0</v>
      </c>
      <c r="O779" t="n">
        <v>0</v>
      </c>
      <c r="P779" t="n">
        <v>0</v>
      </c>
      <c r="Q779" t="n">
        <v>0</v>
      </c>
      <c r="R779" s="2" t="inlineStr"/>
      <c r="U779">
        <f>HYPERLINK("https://klasma.github.io/Logging_2303/knärot/A 19404-2025 karta knärot.png", "A 19404-2025")</f>
        <v/>
      </c>
      <c r="V779">
        <f>HYPERLINK("https://klasma.github.io/Logging_2303/klagomål/A 19404-2025 FSC-klagomål.docx", "A 19404-2025")</f>
        <v/>
      </c>
      <c r="W779">
        <f>HYPERLINK("https://klasma.github.io/Logging_2303/klagomålsmail/A 19404-2025 FSC-klagomål mail.docx", "A 19404-2025")</f>
        <v/>
      </c>
      <c r="X779">
        <f>HYPERLINK("https://klasma.github.io/Logging_2303/tillsyn/A 19404-2025 tillsynsbegäran.docx", "A 19404-2025")</f>
        <v/>
      </c>
      <c r="Y779">
        <f>HYPERLINK("https://klasma.github.io/Logging_2303/tillsynsmail/A 19404-2025 tillsynsbegäran mail.docx", "A 19404-2025")</f>
        <v/>
      </c>
    </row>
    <row r="780" ht="15" customHeight="1">
      <c r="A780" t="inlineStr">
        <is>
          <t>A 53211-2025</t>
        </is>
      </c>
      <c r="B780" s="1" t="n">
        <v>45958.59490740741</v>
      </c>
      <c r="C780" s="1" t="n">
        <v>46113</v>
      </c>
      <c r="D780" t="inlineStr">
        <is>
          <t>JÄMTLANDS LÄN</t>
        </is>
      </c>
      <c r="E780" t="inlineStr">
        <is>
          <t>RAGUNDA</t>
        </is>
      </c>
      <c r="F780" t="inlineStr">
        <is>
          <t>SCA</t>
        </is>
      </c>
      <c r="G780" t="n">
        <v>7.4</v>
      </c>
      <c r="H780" t="n">
        <v>0</v>
      </c>
      <c r="I780" t="n">
        <v>0</v>
      </c>
      <c r="J780" t="n">
        <v>0</v>
      </c>
      <c r="K780" t="n">
        <v>0</v>
      </c>
      <c r="L780" t="n">
        <v>0</v>
      </c>
      <c r="M780" t="n">
        <v>0</v>
      </c>
      <c r="N780" t="n">
        <v>0</v>
      </c>
      <c r="O780" t="n">
        <v>0</v>
      </c>
      <c r="P780" t="n">
        <v>0</v>
      </c>
      <c r="Q780" t="n">
        <v>0</v>
      </c>
      <c r="R780" s="2" t="inlineStr"/>
    </row>
    <row r="781" ht="15" customHeight="1">
      <c r="A781" t="inlineStr">
        <is>
          <t>A 52972-2025</t>
        </is>
      </c>
      <c r="B781" s="1" t="n">
        <v>45957.67783564814</v>
      </c>
      <c r="C781" s="1" t="n">
        <v>46113</v>
      </c>
      <c r="D781" t="inlineStr">
        <is>
          <t>JÄMTLANDS LÄN</t>
        </is>
      </c>
      <c r="E781" t="inlineStr">
        <is>
          <t>RAGUNDA</t>
        </is>
      </c>
      <c r="F781" t="inlineStr">
        <is>
          <t>SCA</t>
        </is>
      </c>
      <c r="G781" t="n">
        <v>53.4</v>
      </c>
      <c r="H781" t="n">
        <v>0</v>
      </c>
      <c r="I781" t="n">
        <v>0</v>
      </c>
      <c r="J781" t="n">
        <v>0</v>
      </c>
      <c r="K781" t="n">
        <v>0</v>
      </c>
      <c r="L781" t="n">
        <v>0</v>
      </c>
      <c r="M781" t="n">
        <v>0</v>
      </c>
      <c r="N781" t="n">
        <v>0</v>
      </c>
      <c r="O781" t="n">
        <v>0</v>
      </c>
      <c r="P781" t="n">
        <v>0</v>
      </c>
      <c r="Q781" t="n">
        <v>0</v>
      </c>
      <c r="R781" s="2" t="inlineStr"/>
    </row>
    <row r="782" ht="15" customHeight="1">
      <c r="A782" t="inlineStr">
        <is>
          <t>A 53075-2025</t>
        </is>
      </c>
      <c r="B782" s="1" t="n">
        <v>45958.38584490741</v>
      </c>
      <c r="C782" s="1" t="n">
        <v>46113</v>
      </c>
      <c r="D782" t="inlineStr">
        <is>
          <t>JÄMTLANDS LÄN</t>
        </is>
      </c>
      <c r="E782" t="inlineStr">
        <is>
          <t>RAGUNDA</t>
        </is>
      </c>
      <c r="F782" t="inlineStr">
        <is>
          <t>SCA</t>
        </is>
      </c>
      <c r="G782" t="n">
        <v>28.9</v>
      </c>
      <c r="H782" t="n">
        <v>0</v>
      </c>
      <c r="I782" t="n">
        <v>0</v>
      </c>
      <c r="J782" t="n">
        <v>0</v>
      </c>
      <c r="K782" t="n">
        <v>0</v>
      </c>
      <c r="L782" t="n">
        <v>0</v>
      </c>
      <c r="M782" t="n">
        <v>0</v>
      </c>
      <c r="N782" t="n">
        <v>0</v>
      </c>
      <c r="O782" t="n">
        <v>0</v>
      </c>
      <c r="P782" t="n">
        <v>0</v>
      </c>
      <c r="Q782" t="n">
        <v>0</v>
      </c>
      <c r="R782" s="2" t="inlineStr"/>
    </row>
    <row r="783" ht="15" customHeight="1">
      <c r="A783" t="inlineStr">
        <is>
          <t>A 27510-2025</t>
        </is>
      </c>
      <c r="B783" s="1" t="n">
        <v>45813.42790509259</v>
      </c>
      <c r="C783" s="1" t="n">
        <v>46113</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53726-2025</t>
        </is>
      </c>
      <c r="B784" s="1" t="n">
        <v>45960.63597222222</v>
      </c>
      <c r="C784" s="1" t="n">
        <v>46113</v>
      </c>
      <c r="D784" t="inlineStr">
        <is>
          <t>JÄMTLANDS LÄN</t>
        </is>
      </c>
      <c r="E784" t="inlineStr">
        <is>
          <t>RAGUNDA</t>
        </is>
      </c>
      <c r="F784" t="inlineStr">
        <is>
          <t>SCA</t>
        </is>
      </c>
      <c r="G784" t="n">
        <v>10.9</v>
      </c>
      <c r="H784" t="n">
        <v>0</v>
      </c>
      <c r="I784" t="n">
        <v>0</v>
      </c>
      <c r="J784" t="n">
        <v>0</v>
      </c>
      <c r="K784" t="n">
        <v>0</v>
      </c>
      <c r="L784" t="n">
        <v>0</v>
      </c>
      <c r="M784" t="n">
        <v>0</v>
      </c>
      <c r="N784" t="n">
        <v>0</v>
      </c>
      <c r="O784" t="n">
        <v>0</v>
      </c>
      <c r="P784" t="n">
        <v>0</v>
      </c>
      <c r="Q784" t="n">
        <v>0</v>
      </c>
      <c r="R784" s="2" t="inlineStr"/>
    </row>
    <row r="785" ht="15" customHeight="1">
      <c r="A785" t="inlineStr">
        <is>
          <t>A 16320-2025</t>
        </is>
      </c>
      <c r="B785" s="1" t="n">
        <v>45751.34859953704</v>
      </c>
      <c r="C785" s="1" t="n">
        <v>46113</v>
      </c>
      <c r="D785" t="inlineStr">
        <is>
          <t>JÄMTLANDS LÄN</t>
        </is>
      </c>
      <c r="E785" t="inlineStr">
        <is>
          <t>RAGUNDA</t>
        </is>
      </c>
      <c r="F785" t="inlineStr">
        <is>
          <t>SCA</t>
        </is>
      </c>
      <c r="G785" t="n">
        <v>16.2</v>
      </c>
      <c r="H785" t="n">
        <v>0</v>
      </c>
      <c r="I785" t="n">
        <v>0</v>
      </c>
      <c r="J785" t="n">
        <v>0</v>
      </c>
      <c r="K785" t="n">
        <v>0</v>
      </c>
      <c r="L785" t="n">
        <v>0</v>
      </c>
      <c r="M785" t="n">
        <v>0</v>
      </c>
      <c r="N785" t="n">
        <v>0</v>
      </c>
      <c r="O785" t="n">
        <v>0</v>
      </c>
      <c r="P785" t="n">
        <v>0</v>
      </c>
      <c r="Q785" t="n">
        <v>0</v>
      </c>
      <c r="R785" s="2" t="inlineStr"/>
    </row>
    <row r="786" ht="15" customHeight="1">
      <c r="A786" t="inlineStr">
        <is>
          <t>A 11557-2023</t>
        </is>
      </c>
      <c r="B786" s="1" t="n">
        <v>44993.94950231481</v>
      </c>
      <c r="C786" s="1" t="n">
        <v>46113</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11562-2023</t>
        </is>
      </c>
      <c r="B787" s="1" t="n">
        <v>44993</v>
      </c>
      <c r="C787" s="1" t="n">
        <v>46113</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25304-2023</t>
        </is>
      </c>
      <c r="B788" s="1" t="n">
        <v>45086</v>
      </c>
      <c r="C788" s="1" t="n">
        <v>46113</v>
      </c>
      <c r="D788" t="inlineStr">
        <is>
          <t>JÄMTLANDS LÄN</t>
        </is>
      </c>
      <c r="E788" t="inlineStr">
        <is>
          <t>RAGUNDA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52578-2025</t>
        </is>
      </c>
      <c r="B789" s="1" t="n">
        <v>45954.61508101852</v>
      </c>
      <c r="C789" s="1" t="n">
        <v>46113</v>
      </c>
      <c r="D789" t="inlineStr">
        <is>
          <t>JÄMTLANDS LÄN</t>
        </is>
      </c>
      <c r="E789" t="inlineStr">
        <is>
          <t>RAGUNDA</t>
        </is>
      </c>
      <c r="F789" t="inlineStr">
        <is>
          <t>SCA</t>
        </is>
      </c>
      <c r="G789" t="n">
        <v>25.2</v>
      </c>
      <c r="H789" t="n">
        <v>0</v>
      </c>
      <c r="I789" t="n">
        <v>0</v>
      </c>
      <c r="J789" t="n">
        <v>0</v>
      </c>
      <c r="K789" t="n">
        <v>0</v>
      </c>
      <c r="L789" t="n">
        <v>0</v>
      </c>
      <c r="M789" t="n">
        <v>0</v>
      </c>
      <c r="N789" t="n">
        <v>0</v>
      </c>
      <c r="O789" t="n">
        <v>0</v>
      </c>
      <c r="P789" t="n">
        <v>0</v>
      </c>
      <c r="Q789" t="n">
        <v>0</v>
      </c>
      <c r="R789" s="2" t="inlineStr"/>
    </row>
    <row r="790" ht="15" customHeight="1">
      <c r="A790" t="inlineStr">
        <is>
          <t>A 53748-2025</t>
        </is>
      </c>
      <c r="B790" s="1" t="n">
        <v>45960.65673611111</v>
      </c>
      <c r="C790" s="1" t="n">
        <v>46113</v>
      </c>
      <c r="D790" t="inlineStr">
        <is>
          <t>JÄMTLANDS LÄN</t>
        </is>
      </c>
      <c r="E790" t="inlineStr">
        <is>
          <t>RAGUNDA</t>
        </is>
      </c>
      <c r="F790" t="inlineStr">
        <is>
          <t>SCA</t>
        </is>
      </c>
      <c r="G790" t="n">
        <v>14.9</v>
      </c>
      <c r="H790" t="n">
        <v>0</v>
      </c>
      <c r="I790" t="n">
        <v>0</v>
      </c>
      <c r="J790" t="n">
        <v>0</v>
      </c>
      <c r="K790" t="n">
        <v>0</v>
      </c>
      <c r="L790" t="n">
        <v>0</v>
      </c>
      <c r="M790" t="n">
        <v>0</v>
      </c>
      <c r="N790" t="n">
        <v>0</v>
      </c>
      <c r="O790" t="n">
        <v>0</v>
      </c>
      <c r="P790" t="n">
        <v>0</v>
      </c>
      <c r="Q790" t="n">
        <v>0</v>
      </c>
      <c r="R790" s="2" t="inlineStr"/>
    </row>
    <row r="791" ht="15" customHeight="1">
      <c r="A791" t="inlineStr">
        <is>
          <t>A 5175-2023</t>
        </is>
      </c>
      <c r="B791" s="1" t="n">
        <v>44958.94298611111</v>
      </c>
      <c r="C791" s="1" t="n">
        <v>46113</v>
      </c>
      <c r="D791" t="inlineStr">
        <is>
          <t>JÄMTLANDS LÄN</t>
        </is>
      </c>
      <c r="E791" t="inlineStr">
        <is>
          <t>RAGUNDA</t>
        </is>
      </c>
      <c r="F791" t="inlineStr">
        <is>
          <t>SCA</t>
        </is>
      </c>
      <c r="G791" t="n">
        <v>17.9</v>
      </c>
      <c r="H791" t="n">
        <v>0</v>
      </c>
      <c r="I791" t="n">
        <v>0</v>
      </c>
      <c r="J791" t="n">
        <v>0</v>
      </c>
      <c r="K791" t="n">
        <v>0</v>
      </c>
      <c r="L791" t="n">
        <v>0</v>
      </c>
      <c r="M791" t="n">
        <v>0</v>
      </c>
      <c r="N791" t="n">
        <v>0</v>
      </c>
      <c r="O791" t="n">
        <v>0</v>
      </c>
      <c r="P791" t="n">
        <v>0</v>
      </c>
      <c r="Q791" t="n">
        <v>0</v>
      </c>
      <c r="R791" s="2" t="inlineStr"/>
    </row>
    <row r="792" ht="15" customHeight="1">
      <c r="A792" t="inlineStr">
        <is>
          <t>A 18989-2025</t>
        </is>
      </c>
      <c r="B792" s="1" t="n">
        <v>45764</v>
      </c>
      <c r="C792" s="1" t="n">
        <v>46113</v>
      </c>
      <c r="D792" t="inlineStr">
        <is>
          <t>JÄMTLANDS LÄN</t>
        </is>
      </c>
      <c r="E792" t="inlineStr">
        <is>
          <t>RAGUNDA</t>
        </is>
      </c>
      <c r="G792" t="n">
        <v>0.9</v>
      </c>
      <c r="H792" t="n">
        <v>0</v>
      </c>
      <c r="I792" t="n">
        <v>0</v>
      </c>
      <c r="J792" t="n">
        <v>0</v>
      </c>
      <c r="K792" t="n">
        <v>0</v>
      </c>
      <c r="L792" t="n">
        <v>0</v>
      </c>
      <c r="M792" t="n">
        <v>0</v>
      </c>
      <c r="N792" t="n">
        <v>0</v>
      </c>
      <c r="O792" t="n">
        <v>0</v>
      </c>
      <c r="P792" t="n">
        <v>0</v>
      </c>
      <c r="Q792" t="n">
        <v>0</v>
      </c>
      <c r="R792" s="2" t="inlineStr"/>
    </row>
    <row r="793" ht="15" customHeight="1">
      <c r="A793" t="inlineStr">
        <is>
          <t>A 53549-2025</t>
        </is>
      </c>
      <c r="B793" s="1" t="n">
        <v>45960.38576388889</v>
      </c>
      <c r="C793" s="1" t="n">
        <v>46113</v>
      </c>
      <c r="D793" t="inlineStr">
        <is>
          <t>JÄMTLANDS LÄN</t>
        </is>
      </c>
      <c r="E793" t="inlineStr">
        <is>
          <t>RAGUNDA</t>
        </is>
      </c>
      <c r="G793" t="n">
        <v>5.4</v>
      </c>
      <c r="H793" t="n">
        <v>0</v>
      </c>
      <c r="I793" t="n">
        <v>0</v>
      </c>
      <c r="J793" t="n">
        <v>0</v>
      </c>
      <c r="K793" t="n">
        <v>0</v>
      </c>
      <c r="L793" t="n">
        <v>0</v>
      </c>
      <c r="M793" t="n">
        <v>0</v>
      </c>
      <c r="N793" t="n">
        <v>0</v>
      </c>
      <c r="O793" t="n">
        <v>0</v>
      </c>
      <c r="P793" t="n">
        <v>0</v>
      </c>
      <c r="Q793" t="n">
        <v>0</v>
      </c>
      <c r="R793" s="2" t="inlineStr"/>
    </row>
    <row r="794" ht="15" customHeight="1">
      <c r="A794" t="inlineStr">
        <is>
          <t>A 53765-2025</t>
        </is>
      </c>
      <c r="B794" s="1" t="n">
        <v>45960.67753472222</v>
      </c>
      <c r="C794" s="1" t="n">
        <v>46113</v>
      </c>
      <c r="D794" t="inlineStr">
        <is>
          <t>JÄMTLANDS LÄN</t>
        </is>
      </c>
      <c r="E794" t="inlineStr">
        <is>
          <t>RAGUNDA</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53986-2025</t>
        </is>
      </c>
      <c r="B795" s="1" t="n">
        <v>45961.57381944444</v>
      </c>
      <c r="C795" s="1" t="n">
        <v>46113</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53951-2025</t>
        </is>
      </c>
      <c r="B796" s="1" t="n">
        <v>45961.50200231482</v>
      </c>
      <c r="C796" s="1" t="n">
        <v>46113</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53975-2025</t>
        </is>
      </c>
      <c r="B797" s="1" t="n">
        <v>45961.55277777778</v>
      </c>
      <c r="C797" s="1" t="n">
        <v>46113</v>
      </c>
      <c r="D797" t="inlineStr">
        <is>
          <t>JÄMTLANDS LÄN</t>
        </is>
      </c>
      <c r="E797" t="inlineStr">
        <is>
          <t>RAGUNDA</t>
        </is>
      </c>
      <c r="F797" t="inlineStr">
        <is>
          <t>SCA</t>
        </is>
      </c>
      <c r="G797" t="n">
        <v>21.9</v>
      </c>
      <c r="H797" t="n">
        <v>0</v>
      </c>
      <c r="I797" t="n">
        <v>0</v>
      </c>
      <c r="J797" t="n">
        <v>0</v>
      </c>
      <c r="K797" t="n">
        <v>0</v>
      </c>
      <c r="L797" t="n">
        <v>0</v>
      </c>
      <c r="M797" t="n">
        <v>0</v>
      </c>
      <c r="N797" t="n">
        <v>0</v>
      </c>
      <c r="O797" t="n">
        <v>0</v>
      </c>
      <c r="P797" t="n">
        <v>0</v>
      </c>
      <c r="Q797" t="n">
        <v>0</v>
      </c>
      <c r="R797" s="2" t="inlineStr"/>
    </row>
    <row r="798" ht="15" customHeight="1">
      <c r="A798" t="inlineStr">
        <is>
          <t>A 54195-2025</t>
        </is>
      </c>
      <c r="B798" s="1" t="n">
        <v>45964.57413194444</v>
      </c>
      <c r="C798" s="1" t="n">
        <v>46113</v>
      </c>
      <c r="D798" t="inlineStr">
        <is>
          <t>JÄMTLANDS LÄN</t>
        </is>
      </c>
      <c r="E798" t="inlineStr">
        <is>
          <t>RAGUNDA</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41343-2024</t>
        </is>
      </c>
      <c r="B799" s="1" t="n">
        <v>45559.67745370371</v>
      </c>
      <c r="C799" s="1" t="n">
        <v>46113</v>
      </c>
      <c r="D799" t="inlineStr">
        <is>
          <t>JÄMTLANDS LÄN</t>
        </is>
      </c>
      <c r="E799" t="inlineStr">
        <is>
          <t>RAGUNDA</t>
        </is>
      </c>
      <c r="F799" t="inlineStr">
        <is>
          <t>SCA</t>
        </is>
      </c>
      <c r="G799" t="n">
        <v>25.1</v>
      </c>
      <c r="H799" t="n">
        <v>0</v>
      </c>
      <c r="I799" t="n">
        <v>0</v>
      </c>
      <c r="J799" t="n">
        <v>0</v>
      </c>
      <c r="K799" t="n">
        <v>0</v>
      </c>
      <c r="L799" t="n">
        <v>0</v>
      </c>
      <c r="M799" t="n">
        <v>0</v>
      </c>
      <c r="N799" t="n">
        <v>0</v>
      </c>
      <c r="O799" t="n">
        <v>0</v>
      </c>
      <c r="P799" t="n">
        <v>0</v>
      </c>
      <c r="Q799" t="n">
        <v>0</v>
      </c>
      <c r="R799" s="2" t="inlineStr"/>
    </row>
    <row r="800" ht="15" customHeight="1">
      <c r="A800" t="inlineStr">
        <is>
          <t>A 12039-2023</t>
        </is>
      </c>
      <c r="B800" s="1" t="n">
        <v>44995.98341435185</v>
      </c>
      <c r="C800" s="1" t="n">
        <v>46113</v>
      </c>
      <c r="D800" t="inlineStr">
        <is>
          <t>JÄMTLANDS LÄN</t>
        </is>
      </c>
      <c r="E800" t="inlineStr">
        <is>
          <t>RAGUNDA</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12050-2023</t>
        </is>
      </c>
      <c r="B801" s="1" t="n">
        <v>44995.98644675926</v>
      </c>
      <c r="C801" s="1" t="n">
        <v>46113</v>
      </c>
      <c r="D801" t="inlineStr">
        <is>
          <t>JÄMTLANDS LÄN</t>
        </is>
      </c>
      <c r="E801" t="inlineStr">
        <is>
          <t>RAGUNDA</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2751-2024</t>
        </is>
      </c>
      <c r="B802" s="1" t="n">
        <v>45314</v>
      </c>
      <c r="C802" s="1" t="n">
        <v>46113</v>
      </c>
      <c r="D802" t="inlineStr">
        <is>
          <t>JÄMTLANDS LÄN</t>
        </is>
      </c>
      <c r="E802" t="inlineStr">
        <is>
          <t>RAGUNDA</t>
        </is>
      </c>
      <c r="G802" t="n">
        <v>1.8</v>
      </c>
      <c r="H802" t="n">
        <v>0</v>
      </c>
      <c r="I802" t="n">
        <v>0</v>
      </c>
      <c r="J802" t="n">
        <v>0</v>
      </c>
      <c r="K802" t="n">
        <v>0</v>
      </c>
      <c r="L802" t="n">
        <v>0</v>
      </c>
      <c r="M802" t="n">
        <v>0</v>
      </c>
      <c r="N802" t="n">
        <v>0</v>
      </c>
      <c r="O802" t="n">
        <v>0</v>
      </c>
      <c r="P802" t="n">
        <v>0</v>
      </c>
      <c r="Q802" t="n">
        <v>0</v>
      </c>
      <c r="R802" s="2" t="inlineStr"/>
    </row>
    <row r="803" ht="15" customHeight="1">
      <c r="A803" t="inlineStr">
        <is>
          <t>A 36986-2023</t>
        </is>
      </c>
      <c r="B803" s="1" t="n">
        <v>45154.95525462963</v>
      </c>
      <c r="C803" s="1" t="n">
        <v>46113</v>
      </c>
      <c r="D803" t="inlineStr">
        <is>
          <t>JÄMTLANDS LÄN</t>
        </is>
      </c>
      <c r="E803" t="inlineStr">
        <is>
          <t>RAGUNDA</t>
        </is>
      </c>
      <c r="F803" t="inlineStr">
        <is>
          <t>SCA</t>
        </is>
      </c>
      <c r="G803" t="n">
        <v>0.2</v>
      </c>
      <c r="H803" t="n">
        <v>0</v>
      </c>
      <c r="I803" t="n">
        <v>0</v>
      </c>
      <c r="J803" t="n">
        <v>0</v>
      </c>
      <c r="K803" t="n">
        <v>0</v>
      </c>
      <c r="L803" t="n">
        <v>0</v>
      </c>
      <c r="M803" t="n">
        <v>0</v>
      </c>
      <c r="N803" t="n">
        <v>0</v>
      </c>
      <c r="O803" t="n">
        <v>0</v>
      </c>
      <c r="P803" t="n">
        <v>0</v>
      </c>
      <c r="Q803" t="n">
        <v>0</v>
      </c>
      <c r="R803" s="2" t="inlineStr"/>
    </row>
    <row r="804" ht="15" customHeight="1">
      <c r="A804" t="inlineStr">
        <is>
          <t>A 14368-2024</t>
        </is>
      </c>
      <c r="B804" s="1" t="n">
        <v>45393.94431712963</v>
      </c>
      <c r="C804" s="1" t="n">
        <v>46113</v>
      </c>
      <c r="D804" t="inlineStr">
        <is>
          <t>JÄMTLANDS LÄN</t>
        </is>
      </c>
      <c r="E804" t="inlineStr">
        <is>
          <t>RAGUNDA</t>
        </is>
      </c>
      <c r="F804" t="inlineStr">
        <is>
          <t>Naturvårdsverket</t>
        </is>
      </c>
      <c r="G804" t="n">
        <v>1.6</v>
      </c>
      <c r="H804" t="n">
        <v>0</v>
      </c>
      <c r="I804" t="n">
        <v>0</v>
      </c>
      <c r="J804" t="n">
        <v>0</v>
      </c>
      <c r="K804" t="n">
        <v>0</v>
      </c>
      <c r="L804" t="n">
        <v>0</v>
      </c>
      <c r="M804" t="n">
        <v>0</v>
      </c>
      <c r="N804" t="n">
        <v>0</v>
      </c>
      <c r="O804" t="n">
        <v>0</v>
      </c>
      <c r="P804" t="n">
        <v>0</v>
      </c>
      <c r="Q804" t="n">
        <v>0</v>
      </c>
      <c r="R804" s="2" t="inlineStr"/>
    </row>
    <row r="805" ht="15" customHeight="1">
      <c r="A805" t="inlineStr">
        <is>
          <t>A 53948-2025</t>
        </is>
      </c>
      <c r="B805" s="1" t="n">
        <v>45961.50033564815</v>
      </c>
      <c r="C805" s="1" t="n">
        <v>46113</v>
      </c>
      <c r="D805" t="inlineStr">
        <is>
          <t>JÄMTLANDS LÄN</t>
        </is>
      </c>
      <c r="E805" t="inlineStr">
        <is>
          <t>RAGUNDA</t>
        </is>
      </c>
      <c r="G805" t="n">
        <v>7.9</v>
      </c>
      <c r="H805" t="n">
        <v>0</v>
      </c>
      <c r="I805" t="n">
        <v>0</v>
      </c>
      <c r="J805" t="n">
        <v>0</v>
      </c>
      <c r="K805" t="n">
        <v>0</v>
      </c>
      <c r="L805" t="n">
        <v>0</v>
      </c>
      <c r="M805" t="n">
        <v>0</v>
      </c>
      <c r="N805" t="n">
        <v>0</v>
      </c>
      <c r="O805" t="n">
        <v>0</v>
      </c>
      <c r="P805" t="n">
        <v>0</v>
      </c>
      <c r="Q805" t="n">
        <v>0</v>
      </c>
      <c r="R805" s="2" t="inlineStr"/>
    </row>
    <row r="806" ht="15" customHeight="1">
      <c r="A806" t="inlineStr">
        <is>
          <t>A 53973-2025</t>
        </is>
      </c>
      <c r="B806" s="1" t="n">
        <v>45961.55246527777</v>
      </c>
      <c r="C806" s="1" t="n">
        <v>46113</v>
      </c>
      <c r="D806" t="inlineStr">
        <is>
          <t>JÄMTLANDS LÄN</t>
        </is>
      </c>
      <c r="E806" t="inlineStr">
        <is>
          <t>RAGUNDA</t>
        </is>
      </c>
      <c r="G806" t="n">
        <v>2.4</v>
      </c>
      <c r="H806" t="n">
        <v>0</v>
      </c>
      <c r="I806" t="n">
        <v>0</v>
      </c>
      <c r="J806" t="n">
        <v>0</v>
      </c>
      <c r="K806" t="n">
        <v>0</v>
      </c>
      <c r="L806" t="n">
        <v>0</v>
      </c>
      <c r="M806" t="n">
        <v>0</v>
      </c>
      <c r="N806" t="n">
        <v>0</v>
      </c>
      <c r="O806" t="n">
        <v>0</v>
      </c>
      <c r="P806" t="n">
        <v>0</v>
      </c>
      <c r="Q806" t="n">
        <v>0</v>
      </c>
      <c r="R806" s="2" t="inlineStr"/>
    </row>
    <row r="807" ht="15" customHeight="1">
      <c r="A807" t="inlineStr">
        <is>
          <t>A 18159-2023</t>
        </is>
      </c>
      <c r="B807" s="1" t="n">
        <v>45040.94277777777</v>
      </c>
      <c r="C807" s="1" t="n">
        <v>46113</v>
      </c>
      <c r="D807" t="inlineStr">
        <is>
          <t>JÄMTLANDS LÄN</t>
        </is>
      </c>
      <c r="E807" t="inlineStr">
        <is>
          <t>RAGUNDA</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54396-2025</t>
        </is>
      </c>
      <c r="B808" s="1" t="n">
        <v>45965.44849537037</v>
      </c>
      <c r="C808" s="1" t="n">
        <v>46113</v>
      </c>
      <c r="D808" t="inlineStr">
        <is>
          <t>JÄMTLANDS LÄN</t>
        </is>
      </c>
      <c r="E808" t="inlineStr">
        <is>
          <t>RAGUNDA</t>
        </is>
      </c>
      <c r="F808" t="inlineStr">
        <is>
          <t>SCA</t>
        </is>
      </c>
      <c r="G808" t="n">
        <v>35.2</v>
      </c>
      <c r="H808" t="n">
        <v>0</v>
      </c>
      <c r="I808" t="n">
        <v>0</v>
      </c>
      <c r="J808" t="n">
        <v>0</v>
      </c>
      <c r="K808" t="n">
        <v>0</v>
      </c>
      <c r="L808" t="n">
        <v>0</v>
      </c>
      <c r="M808" t="n">
        <v>0</v>
      </c>
      <c r="N808" t="n">
        <v>0</v>
      </c>
      <c r="O808" t="n">
        <v>0</v>
      </c>
      <c r="P808" t="n">
        <v>0</v>
      </c>
      <c r="Q808" t="n">
        <v>0</v>
      </c>
      <c r="R808" s="2" t="inlineStr"/>
    </row>
    <row r="809" ht="15" customHeight="1">
      <c r="A809" t="inlineStr">
        <is>
          <t>A 13700-2023</t>
        </is>
      </c>
      <c r="B809" s="1" t="n">
        <v>45006</v>
      </c>
      <c r="C809" s="1" t="n">
        <v>46113</v>
      </c>
      <c r="D809" t="inlineStr">
        <is>
          <t>JÄMTLANDS LÄN</t>
        </is>
      </c>
      <c r="E809" t="inlineStr">
        <is>
          <t>RAGUNDA</t>
        </is>
      </c>
      <c r="F809" t="inlineStr">
        <is>
          <t>SCA</t>
        </is>
      </c>
      <c r="G809" t="n">
        <v>50.3</v>
      </c>
      <c r="H809" t="n">
        <v>0</v>
      </c>
      <c r="I809" t="n">
        <v>0</v>
      </c>
      <c r="J809" t="n">
        <v>0</v>
      </c>
      <c r="K809" t="n">
        <v>0</v>
      </c>
      <c r="L809" t="n">
        <v>0</v>
      </c>
      <c r="M809" t="n">
        <v>0</v>
      </c>
      <c r="N809" t="n">
        <v>0</v>
      </c>
      <c r="O809" t="n">
        <v>0</v>
      </c>
      <c r="P809" t="n">
        <v>0</v>
      </c>
      <c r="Q809" t="n">
        <v>0</v>
      </c>
      <c r="R809" s="2" t="inlineStr"/>
    </row>
    <row r="810" ht="15" customHeight="1">
      <c r="A810" t="inlineStr">
        <is>
          <t>A 58909-2025</t>
        </is>
      </c>
      <c r="B810" s="1" t="n">
        <v>45987</v>
      </c>
      <c r="C810" s="1" t="n">
        <v>46113</v>
      </c>
      <c r="D810" t="inlineStr">
        <is>
          <t>JÄMTLANDS LÄN</t>
        </is>
      </c>
      <c r="E810" t="inlineStr">
        <is>
          <t>RAGUNDA</t>
        </is>
      </c>
      <c r="G810" t="n">
        <v>9.5</v>
      </c>
      <c r="H810" t="n">
        <v>0</v>
      </c>
      <c r="I810" t="n">
        <v>0</v>
      </c>
      <c r="J810" t="n">
        <v>0</v>
      </c>
      <c r="K810" t="n">
        <v>0</v>
      </c>
      <c r="L810" t="n">
        <v>0</v>
      </c>
      <c r="M810" t="n">
        <v>0</v>
      </c>
      <c r="N810" t="n">
        <v>0</v>
      </c>
      <c r="O810" t="n">
        <v>0</v>
      </c>
      <c r="P810" t="n">
        <v>0</v>
      </c>
      <c r="Q810" t="n">
        <v>0</v>
      </c>
      <c r="R810" s="2" t="inlineStr"/>
    </row>
    <row r="811" ht="15" customHeight="1">
      <c r="A811" t="inlineStr">
        <is>
          <t>A 54820-2025</t>
        </is>
      </c>
      <c r="B811" s="1" t="n">
        <v>45966.65728009259</v>
      </c>
      <c r="C811" s="1" t="n">
        <v>46113</v>
      </c>
      <c r="D811" t="inlineStr">
        <is>
          <t>JÄMTLANDS LÄN</t>
        </is>
      </c>
      <c r="E811" t="inlineStr">
        <is>
          <t>RAGUNDA</t>
        </is>
      </c>
      <c r="G811" t="n">
        <v>15.3</v>
      </c>
      <c r="H811" t="n">
        <v>0</v>
      </c>
      <c r="I811" t="n">
        <v>0</v>
      </c>
      <c r="J811" t="n">
        <v>0</v>
      </c>
      <c r="K811" t="n">
        <v>0</v>
      </c>
      <c r="L811" t="n">
        <v>0</v>
      </c>
      <c r="M811" t="n">
        <v>0</v>
      </c>
      <c r="N811" t="n">
        <v>0</v>
      </c>
      <c r="O811" t="n">
        <v>0</v>
      </c>
      <c r="P811" t="n">
        <v>0</v>
      </c>
      <c r="Q811" t="n">
        <v>0</v>
      </c>
      <c r="R811" s="2" t="inlineStr"/>
    </row>
    <row r="812" ht="15" customHeight="1">
      <c r="A812" t="inlineStr">
        <is>
          <t>A 37543-2023</t>
        </is>
      </c>
      <c r="B812" s="1" t="n">
        <v>45158.94231481481</v>
      </c>
      <c r="C812" s="1" t="n">
        <v>46113</v>
      </c>
      <c r="D812" t="inlineStr">
        <is>
          <t>JÄMTLANDS LÄN</t>
        </is>
      </c>
      <c r="E812" t="inlineStr">
        <is>
          <t>RAGUNDA</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53171-2024</t>
        </is>
      </c>
      <c r="B813" s="1" t="n">
        <v>45611.65679398148</v>
      </c>
      <c r="C813" s="1" t="n">
        <v>46113</v>
      </c>
      <c r="D813" t="inlineStr">
        <is>
          <t>JÄMTLANDS LÄN</t>
        </is>
      </c>
      <c r="E813" t="inlineStr">
        <is>
          <t>RAGUNDA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54794-2025</t>
        </is>
      </c>
      <c r="B814" s="1" t="n">
        <v>45966.63592592593</v>
      </c>
      <c r="C814" s="1" t="n">
        <v>46113</v>
      </c>
      <c r="D814" t="inlineStr">
        <is>
          <t>JÄMTLANDS LÄN</t>
        </is>
      </c>
      <c r="E814" t="inlineStr">
        <is>
          <t>RAGUNDA</t>
        </is>
      </c>
      <c r="G814" t="n">
        <v>4</v>
      </c>
      <c r="H814" t="n">
        <v>0</v>
      </c>
      <c r="I814" t="n">
        <v>0</v>
      </c>
      <c r="J814" t="n">
        <v>0</v>
      </c>
      <c r="K814" t="n">
        <v>0</v>
      </c>
      <c r="L814" t="n">
        <v>0</v>
      </c>
      <c r="M814" t="n">
        <v>0</v>
      </c>
      <c r="N814" t="n">
        <v>0</v>
      </c>
      <c r="O814" t="n">
        <v>0</v>
      </c>
      <c r="P814" t="n">
        <v>0</v>
      </c>
      <c r="Q814" t="n">
        <v>0</v>
      </c>
      <c r="R814" s="2" t="inlineStr"/>
    </row>
    <row r="815" ht="15" customHeight="1">
      <c r="A815" t="inlineStr">
        <is>
          <t>A 1523-2024</t>
        </is>
      </c>
      <c r="B815" s="1" t="n">
        <v>45306</v>
      </c>
      <c r="C815" s="1" t="n">
        <v>46113</v>
      </c>
      <c r="D815" t="inlineStr">
        <is>
          <t>JÄMTLANDS LÄN</t>
        </is>
      </c>
      <c r="E815" t="inlineStr">
        <is>
          <t>RAGUNDA</t>
        </is>
      </c>
      <c r="G815" t="n">
        <v>4.1</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45279.94572916667</v>
      </c>
      <c r="C816" s="1" t="n">
        <v>46113</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44605-2024</t>
        </is>
      </c>
      <c r="B817" s="1" t="n">
        <v>45574.51185185185</v>
      </c>
      <c r="C817" s="1" t="n">
        <v>46113</v>
      </c>
      <c r="D817" t="inlineStr">
        <is>
          <t>JÄMTLANDS LÄN</t>
        </is>
      </c>
      <c r="E817" t="inlineStr">
        <is>
          <t>RAGUNDA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28637-2025</t>
        </is>
      </c>
      <c r="B818" s="1" t="n">
        <v>45819.6359375</v>
      </c>
      <c r="C818" s="1" t="n">
        <v>46113</v>
      </c>
      <c r="D818" t="inlineStr">
        <is>
          <t>JÄMTLANDS LÄN</t>
        </is>
      </c>
      <c r="E818" t="inlineStr">
        <is>
          <t>RAGUNDA</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53136-2024</t>
        </is>
      </c>
      <c r="B819" s="1" t="n">
        <v>45611.5953125</v>
      </c>
      <c r="C819" s="1" t="n">
        <v>46113</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52228-2024</t>
        </is>
      </c>
      <c r="B820" s="1" t="n">
        <v>45608.6078587963</v>
      </c>
      <c r="C820" s="1" t="n">
        <v>46113</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59372-2024</t>
        </is>
      </c>
      <c r="B821" s="1" t="n">
        <v>45638.34431712963</v>
      </c>
      <c r="C821" s="1" t="n">
        <v>46113</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62115-2024</t>
        </is>
      </c>
      <c r="B822" s="1" t="n">
        <v>45656</v>
      </c>
      <c r="C822" s="1" t="n">
        <v>46113</v>
      </c>
      <c r="D822" t="inlineStr">
        <is>
          <t>JÄMTLANDS LÄN</t>
        </is>
      </c>
      <c r="E822" t="inlineStr">
        <is>
          <t>RAGUNDA</t>
        </is>
      </c>
      <c r="G822" t="n">
        <v>3.3</v>
      </c>
      <c r="H822" t="n">
        <v>0</v>
      </c>
      <c r="I822" t="n">
        <v>0</v>
      </c>
      <c r="J822" t="n">
        <v>0</v>
      </c>
      <c r="K822" t="n">
        <v>0</v>
      </c>
      <c r="L822" t="n">
        <v>0</v>
      </c>
      <c r="M822" t="n">
        <v>0</v>
      </c>
      <c r="N822" t="n">
        <v>0</v>
      </c>
      <c r="O822" t="n">
        <v>0</v>
      </c>
      <c r="P822" t="n">
        <v>0</v>
      </c>
      <c r="Q822" t="n">
        <v>0</v>
      </c>
      <c r="R822" s="2" t="inlineStr"/>
    </row>
    <row r="823" ht="15" customHeight="1">
      <c r="A823" t="inlineStr">
        <is>
          <t>A 4594-2024</t>
        </is>
      </c>
      <c r="B823" s="1" t="n">
        <v>45327.94459490741</v>
      </c>
      <c r="C823" s="1" t="n">
        <v>46113</v>
      </c>
      <c r="D823" t="inlineStr">
        <is>
          <t>JÄMTLANDS LÄN</t>
        </is>
      </c>
      <c r="E823" t="inlineStr">
        <is>
          <t>RAGUNDA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46113</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28973-2025</t>
        </is>
      </c>
      <c r="B825" s="1" t="n">
        <v>45821.34513888889</v>
      </c>
      <c r="C825" s="1" t="n">
        <v>46113</v>
      </c>
      <c r="D825" t="inlineStr">
        <is>
          <t>JÄMTLANDS LÄN</t>
        </is>
      </c>
      <c r="E825" t="inlineStr">
        <is>
          <t>RAGUNDA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48065-2023</t>
        </is>
      </c>
      <c r="B826" s="1" t="n">
        <v>45204.94399305555</v>
      </c>
      <c r="C826" s="1" t="n">
        <v>46113</v>
      </c>
      <c r="D826" t="inlineStr">
        <is>
          <t>JÄMTLANDS LÄN</t>
        </is>
      </c>
      <c r="E826" t="inlineStr">
        <is>
          <t>RAGUNDA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56170-2025</t>
        </is>
      </c>
      <c r="B827" s="1" t="n">
        <v>45974.39398148148</v>
      </c>
      <c r="C827" s="1" t="n">
        <v>46113</v>
      </c>
      <c r="D827" t="inlineStr">
        <is>
          <t>JÄMTLANDS LÄN</t>
        </is>
      </c>
      <c r="E827" t="inlineStr">
        <is>
          <t>RAGUNDA</t>
        </is>
      </c>
      <c r="G827" t="n">
        <v>2</v>
      </c>
      <c r="H827" t="n">
        <v>0</v>
      </c>
      <c r="I827" t="n">
        <v>0</v>
      </c>
      <c r="J827" t="n">
        <v>0</v>
      </c>
      <c r="K827" t="n">
        <v>0</v>
      </c>
      <c r="L827" t="n">
        <v>0</v>
      </c>
      <c r="M827" t="n">
        <v>0</v>
      </c>
      <c r="N827" t="n">
        <v>0</v>
      </c>
      <c r="O827" t="n">
        <v>0</v>
      </c>
      <c r="P827" t="n">
        <v>0</v>
      </c>
      <c r="Q827" t="n">
        <v>0</v>
      </c>
      <c r="R827" s="2" t="inlineStr"/>
    </row>
    <row r="828" ht="15" customHeight="1">
      <c r="A828" t="inlineStr">
        <is>
          <t>A 29723-2025</t>
        </is>
      </c>
      <c r="B828" s="1" t="n">
        <v>45825.57675925926</v>
      </c>
      <c r="C828" s="1" t="n">
        <v>46113</v>
      </c>
      <c r="D828" t="inlineStr">
        <is>
          <t>JÄMTLANDS LÄN</t>
        </is>
      </c>
      <c r="E828" t="inlineStr">
        <is>
          <t>RAGUNDA</t>
        </is>
      </c>
      <c r="G828" t="n">
        <v>3.1</v>
      </c>
      <c r="H828" t="n">
        <v>0</v>
      </c>
      <c r="I828" t="n">
        <v>0</v>
      </c>
      <c r="J828" t="n">
        <v>0</v>
      </c>
      <c r="K828" t="n">
        <v>0</v>
      </c>
      <c r="L828" t="n">
        <v>0</v>
      </c>
      <c r="M828" t="n">
        <v>0</v>
      </c>
      <c r="N828" t="n">
        <v>0</v>
      </c>
      <c r="O828" t="n">
        <v>0</v>
      </c>
      <c r="P828" t="n">
        <v>0</v>
      </c>
      <c r="Q828" t="n">
        <v>0</v>
      </c>
      <c r="R828" s="2" t="inlineStr"/>
    </row>
    <row r="829" ht="15" customHeight="1">
      <c r="A829" t="inlineStr">
        <is>
          <t>A 29731-2025</t>
        </is>
      </c>
      <c r="B829" s="1" t="n">
        <v>45825.58252314815</v>
      </c>
      <c r="C829" s="1" t="n">
        <v>46113</v>
      </c>
      <c r="D829" t="inlineStr">
        <is>
          <t>JÄMTLANDS LÄN</t>
        </is>
      </c>
      <c r="E829" t="inlineStr">
        <is>
          <t>RAGUNDA</t>
        </is>
      </c>
      <c r="G829" t="n">
        <v>2.3</v>
      </c>
      <c r="H829" t="n">
        <v>0</v>
      </c>
      <c r="I829" t="n">
        <v>0</v>
      </c>
      <c r="J829" t="n">
        <v>0</v>
      </c>
      <c r="K829" t="n">
        <v>0</v>
      </c>
      <c r="L829" t="n">
        <v>0</v>
      </c>
      <c r="M829" t="n">
        <v>0</v>
      </c>
      <c r="N829" t="n">
        <v>0</v>
      </c>
      <c r="O829" t="n">
        <v>0</v>
      </c>
      <c r="P829" t="n">
        <v>0</v>
      </c>
      <c r="Q829" t="n">
        <v>0</v>
      </c>
      <c r="R829" s="2" t="inlineStr"/>
    </row>
    <row r="830" ht="15" customHeight="1">
      <c r="A830" t="inlineStr">
        <is>
          <t>A 44597-2024</t>
        </is>
      </c>
      <c r="B830" s="1" t="n">
        <v>45574.51087962963</v>
      </c>
      <c r="C830" s="1" t="n">
        <v>46113</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44598-2024</t>
        </is>
      </c>
      <c r="B831" s="1" t="n">
        <v>45574.51090277778</v>
      </c>
      <c r="C831" s="1" t="n">
        <v>46113</v>
      </c>
      <c r="D831" t="inlineStr">
        <is>
          <t>JÄMTLANDS LÄN</t>
        </is>
      </c>
      <c r="E831" t="inlineStr">
        <is>
          <t>RAGUNDA</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49659-2023</t>
        </is>
      </c>
      <c r="B832" s="1" t="n">
        <v>45211.95134259259</v>
      </c>
      <c r="C832" s="1" t="n">
        <v>46113</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23734-2024</t>
        </is>
      </c>
      <c r="B833" s="1" t="n">
        <v>45454.95960648148</v>
      </c>
      <c r="C833" s="1" t="n">
        <v>46113</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12653-2024</t>
        </is>
      </c>
      <c r="B834" s="1" t="n">
        <v>45384</v>
      </c>
      <c r="C834" s="1" t="n">
        <v>46113</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55897-2025</t>
        </is>
      </c>
      <c r="B835" s="1" t="n">
        <v>45973.38600694444</v>
      </c>
      <c r="C835" s="1" t="n">
        <v>46113</v>
      </c>
      <c r="D835" t="inlineStr">
        <is>
          <t>JÄMTLANDS LÄN</t>
        </is>
      </c>
      <c r="E835" t="inlineStr">
        <is>
          <t>RAGUNDA</t>
        </is>
      </c>
      <c r="F835" t="inlineStr">
        <is>
          <t>SCA</t>
        </is>
      </c>
      <c r="G835" t="n">
        <v>14.1</v>
      </c>
      <c r="H835" t="n">
        <v>0</v>
      </c>
      <c r="I835" t="n">
        <v>0</v>
      </c>
      <c r="J835" t="n">
        <v>0</v>
      </c>
      <c r="K835" t="n">
        <v>0</v>
      </c>
      <c r="L835" t="n">
        <v>0</v>
      </c>
      <c r="M835" t="n">
        <v>0</v>
      </c>
      <c r="N835" t="n">
        <v>0</v>
      </c>
      <c r="O835" t="n">
        <v>0</v>
      </c>
      <c r="P835" t="n">
        <v>0</v>
      </c>
      <c r="Q835" t="n">
        <v>0</v>
      </c>
      <c r="R835" s="2" t="inlineStr"/>
    </row>
    <row r="836" ht="15" customHeight="1">
      <c r="A836" t="inlineStr">
        <is>
          <t>A 34483-2023</t>
        </is>
      </c>
      <c r="B836" s="1" t="n">
        <v>45139.94681712963</v>
      </c>
      <c r="C836" s="1" t="n">
        <v>46113</v>
      </c>
      <c r="D836" t="inlineStr">
        <is>
          <t>JÄMTLANDS LÄN</t>
        </is>
      </c>
      <c r="E836" t="inlineStr">
        <is>
          <t>RAGUNDA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23567-2024</t>
        </is>
      </c>
      <c r="B837" s="1" t="n">
        <v>45453.95538194444</v>
      </c>
      <c r="C837" s="1" t="n">
        <v>46113</v>
      </c>
      <c r="D837" t="inlineStr">
        <is>
          <t>JÄMTLANDS LÄN</t>
        </is>
      </c>
      <c r="E837" t="inlineStr">
        <is>
          <t>RAGUNDA</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57116-2024</t>
        </is>
      </c>
      <c r="B838" s="1" t="n">
        <v>45629.36513888889</v>
      </c>
      <c r="C838" s="1" t="n">
        <v>46113</v>
      </c>
      <c r="D838" t="inlineStr">
        <is>
          <t>JÄMTLANDS LÄN</t>
        </is>
      </c>
      <c r="E838" t="inlineStr">
        <is>
          <t>RAGUNDA</t>
        </is>
      </c>
      <c r="G838" t="n">
        <v>0.6</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46113</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56806-2025</t>
        </is>
      </c>
      <c r="B840" s="1" t="n">
        <v>45978.44842592593</v>
      </c>
      <c r="C840" s="1" t="n">
        <v>46113</v>
      </c>
      <c r="D840" t="inlineStr">
        <is>
          <t>JÄMTLANDS LÄN</t>
        </is>
      </c>
      <c r="E840" t="inlineStr">
        <is>
          <t>RAGUNDA</t>
        </is>
      </c>
      <c r="F840" t="inlineStr">
        <is>
          <t>SCA</t>
        </is>
      </c>
      <c r="G840" t="n">
        <v>7.5</v>
      </c>
      <c r="H840" t="n">
        <v>0</v>
      </c>
      <c r="I840" t="n">
        <v>0</v>
      </c>
      <c r="J840" t="n">
        <v>0</v>
      </c>
      <c r="K840" t="n">
        <v>0</v>
      </c>
      <c r="L840" t="n">
        <v>0</v>
      </c>
      <c r="M840" t="n">
        <v>0</v>
      </c>
      <c r="N840" t="n">
        <v>0</v>
      </c>
      <c r="O840" t="n">
        <v>0</v>
      </c>
      <c r="P840" t="n">
        <v>0</v>
      </c>
      <c r="Q840" t="n">
        <v>0</v>
      </c>
      <c r="R840" s="2" t="inlineStr"/>
    </row>
    <row r="841" ht="15" customHeight="1">
      <c r="A841" t="inlineStr">
        <is>
          <t>A 9262-2025</t>
        </is>
      </c>
      <c r="B841" s="1" t="n">
        <v>45714.60649305556</v>
      </c>
      <c r="C841" s="1" t="n">
        <v>46113</v>
      </c>
      <c r="D841" t="inlineStr">
        <is>
          <t>JÄMTLANDS LÄN</t>
        </is>
      </c>
      <c r="E841" t="inlineStr">
        <is>
          <t>RAGUNDA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16982-2024</t>
        </is>
      </c>
      <c r="B842" s="1" t="n">
        <v>45412.02506944445</v>
      </c>
      <c r="C842" s="1" t="n">
        <v>46113</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57111-2025</t>
        </is>
      </c>
      <c r="B843" s="1" t="n">
        <v>45978</v>
      </c>
      <c r="C843" s="1" t="n">
        <v>46113</v>
      </c>
      <c r="D843" t="inlineStr">
        <is>
          <t>JÄMTLANDS LÄN</t>
        </is>
      </c>
      <c r="E843" t="inlineStr">
        <is>
          <t>RAGUNDA</t>
        </is>
      </c>
      <c r="G843" t="n">
        <v>2.3</v>
      </c>
      <c r="H843" t="n">
        <v>0</v>
      </c>
      <c r="I843" t="n">
        <v>0</v>
      </c>
      <c r="J843" t="n">
        <v>0</v>
      </c>
      <c r="K843" t="n">
        <v>0</v>
      </c>
      <c r="L843" t="n">
        <v>0</v>
      </c>
      <c r="M843" t="n">
        <v>0</v>
      </c>
      <c r="N843" t="n">
        <v>0</v>
      </c>
      <c r="O843" t="n">
        <v>0</v>
      </c>
      <c r="P843" t="n">
        <v>0</v>
      </c>
      <c r="Q843" t="n">
        <v>0</v>
      </c>
      <c r="R843" s="2" t="inlineStr"/>
    </row>
    <row r="844" ht="15" customHeight="1">
      <c r="A844" t="inlineStr">
        <is>
          <t>A 57117-2025</t>
        </is>
      </c>
      <c r="B844" s="1" t="n">
        <v>45978</v>
      </c>
      <c r="C844" s="1" t="n">
        <v>46113</v>
      </c>
      <c r="D844" t="inlineStr">
        <is>
          <t>JÄMTLANDS LÄN</t>
        </is>
      </c>
      <c r="E844" t="inlineStr">
        <is>
          <t>RAGUNDA</t>
        </is>
      </c>
      <c r="G844" t="n">
        <v>4.2</v>
      </c>
      <c r="H844" t="n">
        <v>0</v>
      </c>
      <c r="I844" t="n">
        <v>0</v>
      </c>
      <c r="J844" t="n">
        <v>0</v>
      </c>
      <c r="K844" t="n">
        <v>0</v>
      </c>
      <c r="L844" t="n">
        <v>0</v>
      </c>
      <c r="M844" t="n">
        <v>0</v>
      </c>
      <c r="N844" t="n">
        <v>0</v>
      </c>
      <c r="O844" t="n">
        <v>0</v>
      </c>
      <c r="P844" t="n">
        <v>0</v>
      </c>
      <c r="Q844" t="n">
        <v>0</v>
      </c>
      <c r="R844" s="2" t="inlineStr"/>
    </row>
    <row r="845" ht="15" customHeight="1">
      <c r="A845" t="inlineStr">
        <is>
          <t>A 56751-2025</t>
        </is>
      </c>
      <c r="B845" s="1" t="n">
        <v>45978.36538194444</v>
      </c>
      <c r="C845" s="1" t="n">
        <v>46113</v>
      </c>
      <c r="D845" t="inlineStr">
        <is>
          <t>JÄMTLANDS LÄN</t>
        </is>
      </c>
      <c r="E845" t="inlineStr">
        <is>
          <t>RAGUNDA</t>
        </is>
      </c>
      <c r="F845" t="inlineStr">
        <is>
          <t>SCA</t>
        </is>
      </c>
      <c r="G845" t="n">
        <v>34.5</v>
      </c>
      <c r="H845" t="n">
        <v>0</v>
      </c>
      <c r="I845" t="n">
        <v>0</v>
      </c>
      <c r="J845" t="n">
        <v>0</v>
      </c>
      <c r="K845" t="n">
        <v>0</v>
      </c>
      <c r="L845" t="n">
        <v>0</v>
      </c>
      <c r="M845" t="n">
        <v>0</v>
      </c>
      <c r="N845" t="n">
        <v>0</v>
      </c>
      <c r="O845" t="n">
        <v>0</v>
      </c>
      <c r="P845" t="n">
        <v>0</v>
      </c>
      <c r="Q845" t="n">
        <v>0</v>
      </c>
      <c r="R845" s="2" t="inlineStr"/>
    </row>
    <row r="846" ht="15" customHeight="1">
      <c r="A846" t="inlineStr">
        <is>
          <t>A 58564-2024</t>
        </is>
      </c>
      <c r="B846" s="1" t="n">
        <v>45635.47243055556</v>
      </c>
      <c r="C846" s="1" t="n">
        <v>46113</v>
      </c>
      <c r="D846" t="inlineStr">
        <is>
          <t>JÄMTLANDS LÄN</t>
        </is>
      </c>
      <c r="E846" t="inlineStr">
        <is>
          <t>RAGUNDA</t>
        </is>
      </c>
      <c r="G846" t="n">
        <v>2.6</v>
      </c>
      <c r="H846" t="n">
        <v>0</v>
      </c>
      <c r="I846" t="n">
        <v>0</v>
      </c>
      <c r="J846" t="n">
        <v>0</v>
      </c>
      <c r="K846" t="n">
        <v>0</v>
      </c>
      <c r="L846" t="n">
        <v>0</v>
      </c>
      <c r="M846" t="n">
        <v>0</v>
      </c>
      <c r="N846" t="n">
        <v>0</v>
      </c>
      <c r="O846" t="n">
        <v>0</v>
      </c>
      <c r="P846" t="n">
        <v>0</v>
      </c>
      <c r="Q846" t="n">
        <v>0</v>
      </c>
      <c r="R846" s="2" t="inlineStr"/>
    </row>
    <row r="847" ht="15" customHeight="1">
      <c r="A847" t="inlineStr">
        <is>
          <t>A 53144-2024</t>
        </is>
      </c>
      <c r="B847" s="1" t="n">
        <v>45611</v>
      </c>
      <c r="C847" s="1" t="n">
        <v>46113</v>
      </c>
      <c r="D847" t="inlineStr">
        <is>
          <t>JÄMTLANDS LÄN</t>
        </is>
      </c>
      <c r="E847" t="inlineStr">
        <is>
          <t>RAGUNDA</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30088-2025</t>
        </is>
      </c>
      <c r="B848" s="1" t="n">
        <v>45826.65759259259</v>
      </c>
      <c r="C848" s="1" t="n">
        <v>46113</v>
      </c>
      <c r="D848" t="inlineStr">
        <is>
          <t>JÄMTLANDS LÄN</t>
        </is>
      </c>
      <c r="E848" t="inlineStr">
        <is>
          <t>RAGUNDA</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56435-2025</t>
        </is>
      </c>
      <c r="B849" s="1" t="n">
        <v>45975.34679398148</v>
      </c>
      <c r="C849" s="1" t="n">
        <v>46113</v>
      </c>
      <c r="D849" t="inlineStr">
        <is>
          <t>JÄMTLANDS LÄN</t>
        </is>
      </c>
      <c r="E849" t="inlineStr">
        <is>
          <t>RAGUNDA</t>
        </is>
      </c>
      <c r="F849" t="inlineStr">
        <is>
          <t>SCA</t>
        </is>
      </c>
      <c r="G849" t="n">
        <v>9.199999999999999</v>
      </c>
      <c r="H849" t="n">
        <v>0</v>
      </c>
      <c r="I849" t="n">
        <v>0</v>
      </c>
      <c r="J849" t="n">
        <v>0</v>
      </c>
      <c r="K849" t="n">
        <v>0</v>
      </c>
      <c r="L849" t="n">
        <v>0</v>
      </c>
      <c r="M849" t="n">
        <v>0</v>
      </c>
      <c r="N849" t="n">
        <v>0</v>
      </c>
      <c r="O849" t="n">
        <v>0</v>
      </c>
      <c r="P849" t="n">
        <v>0</v>
      </c>
      <c r="Q849" t="n">
        <v>0</v>
      </c>
      <c r="R849" s="2" t="inlineStr"/>
      <c r="U849">
        <f>HYPERLINK("https://klasma.github.io/Logging_2303/knärot/A 56435-2025 karta knärot.png", "A 56435-2025")</f>
        <v/>
      </c>
      <c r="V849">
        <f>HYPERLINK("https://klasma.github.io/Logging_2303/klagomål/A 56435-2025 FSC-klagomål.docx", "A 56435-2025")</f>
        <v/>
      </c>
      <c r="W849">
        <f>HYPERLINK("https://klasma.github.io/Logging_2303/klagomålsmail/A 56435-2025 FSC-klagomål mail.docx", "A 56435-2025")</f>
        <v/>
      </c>
      <c r="X849">
        <f>HYPERLINK("https://klasma.github.io/Logging_2303/tillsyn/A 56435-2025 tillsynsbegäran.docx", "A 56435-2025")</f>
        <v/>
      </c>
      <c r="Y849">
        <f>HYPERLINK("https://klasma.github.io/Logging_2303/tillsynsmail/A 56435-2025 tillsynsbegäran mail.docx", "A 56435-2025")</f>
        <v/>
      </c>
    </row>
    <row r="850" ht="15" customHeight="1">
      <c r="A850" t="inlineStr">
        <is>
          <t>A 5806-2025</t>
        </is>
      </c>
      <c r="B850" s="1" t="n">
        <v>45694.69826388889</v>
      </c>
      <c r="C850" s="1" t="n">
        <v>46113</v>
      </c>
      <c r="D850" t="inlineStr">
        <is>
          <t>JÄMTLANDS LÄN</t>
        </is>
      </c>
      <c r="E850" t="inlineStr">
        <is>
          <t>RAGUNDA</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31463-2024</t>
        </is>
      </c>
      <c r="B851" s="1" t="n">
        <v>45505</v>
      </c>
      <c r="C851" s="1" t="n">
        <v>46113</v>
      </c>
      <c r="D851" t="inlineStr">
        <is>
          <t>JÄMTLANDS LÄN</t>
        </is>
      </c>
      <c r="E851" t="inlineStr">
        <is>
          <t>RAGUNDA</t>
        </is>
      </c>
      <c r="F851" t="inlineStr">
        <is>
          <t>SCA</t>
        </is>
      </c>
      <c r="G851" t="n">
        <v>20.3</v>
      </c>
      <c r="H851" t="n">
        <v>0</v>
      </c>
      <c r="I851" t="n">
        <v>0</v>
      </c>
      <c r="J851" t="n">
        <v>0</v>
      </c>
      <c r="K851" t="n">
        <v>0</v>
      </c>
      <c r="L851" t="n">
        <v>0</v>
      </c>
      <c r="M851" t="n">
        <v>0</v>
      </c>
      <c r="N851" t="n">
        <v>0</v>
      </c>
      <c r="O851" t="n">
        <v>0</v>
      </c>
      <c r="P851" t="n">
        <v>0</v>
      </c>
      <c r="Q851" t="n">
        <v>0</v>
      </c>
      <c r="R851" s="2" t="inlineStr"/>
    </row>
    <row r="852" ht="15" customHeight="1">
      <c r="A852" t="inlineStr">
        <is>
          <t>A 20773-2024</t>
        </is>
      </c>
      <c r="B852" s="1" t="n">
        <v>45436.94636574074</v>
      </c>
      <c r="C852" s="1" t="n">
        <v>46113</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30348-2025</t>
        </is>
      </c>
      <c r="B853" s="1" t="n">
        <v>45827.53178240741</v>
      </c>
      <c r="C853" s="1" t="n">
        <v>46113</v>
      </c>
      <c r="D853" t="inlineStr">
        <is>
          <t>JÄMTLANDS LÄN</t>
        </is>
      </c>
      <c r="E853" t="inlineStr">
        <is>
          <t>RAGUNDA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30434-2025</t>
        </is>
      </c>
      <c r="B854" s="1" t="n">
        <v>45827.63582175926</v>
      </c>
      <c r="C854" s="1" t="n">
        <v>46113</v>
      </c>
      <c r="D854" t="inlineStr">
        <is>
          <t>JÄMTLANDS LÄN</t>
        </is>
      </c>
      <c r="E854" t="inlineStr">
        <is>
          <t>RAGUNDA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57332-2025</t>
        </is>
      </c>
      <c r="B855" s="1" t="n">
        <v>45980.34467592592</v>
      </c>
      <c r="C855" s="1" t="n">
        <v>46113</v>
      </c>
      <c r="D855" t="inlineStr">
        <is>
          <t>JÄMTLANDS LÄN</t>
        </is>
      </c>
      <c r="E855" t="inlineStr">
        <is>
          <t>RAGUNDA</t>
        </is>
      </c>
      <c r="F855" t="inlineStr">
        <is>
          <t>SCA</t>
        </is>
      </c>
      <c r="G855" t="n">
        <v>22.6</v>
      </c>
      <c r="H855" t="n">
        <v>0</v>
      </c>
      <c r="I855" t="n">
        <v>0</v>
      </c>
      <c r="J855" t="n">
        <v>0</v>
      </c>
      <c r="K855" t="n">
        <v>0</v>
      </c>
      <c r="L855" t="n">
        <v>0</v>
      </c>
      <c r="M855" t="n">
        <v>0</v>
      </c>
      <c r="N855" t="n">
        <v>0</v>
      </c>
      <c r="O855" t="n">
        <v>0</v>
      </c>
      <c r="P855" t="n">
        <v>0</v>
      </c>
      <c r="Q855" t="n">
        <v>0</v>
      </c>
      <c r="R855" s="2" t="inlineStr"/>
    </row>
    <row r="856" ht="15" customHeight="1">
      <c r="A856" t="inlineStr">
        <is>
          <t>A 57561-2025</t>
        </is>
      </c>
      <c r="B856" s="1" t="n">
        <v>45980.69885416667</v>
      </c>
      <c r="C856" s="1" t="n">
        <v>46113</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57560-2025</t>
        </is>
      </c>
      <c r="B857" s="1" t="n">
        <v>45980.6987962963</v>
      </c>
      <c r="C857" s="1" t="n">
        <v>46113</v>
      </c>
      <c r="D857" t="inlineStr">
        <is>
          <t>JÄMTLANDS LÄN</t>
        </is>
      </c>
      <c r="E857" t="inlineStr">
        <is>
          <t>RAGUNDA</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64108-2025</t>
        </is>
      </c>
      <c r="B858" s="1" t="n">
        <v>46013</v>
      </c>
      <c r="C858" s="1" t="n">
        <v>46113</v>
      </c>
      <c r="D858" t="inlineStr">
        <is>
          <t>JÄMTLANDS LÄN</t>
        </is>
      </c>
      <c r="E858" t="inlineStr">
        <is>
          <t>RAGUNDA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57184-2025</t>
        </is>
      </c>
      <c r="B859" s="1" t="n">
        <v>45979.57361111111</v>
      </c>
      <c r="C859" s="1" t="n">
        <v>46113</v>
      </c>
      <c r="D859" t="inlineStr">
        <is>
          <t>JÄMTLANDS LÄN</t>
        </is>
      </c>
      <c r="E859" t="inlineStr">
        <is>
          <t>RAGUNDA</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14076-2023</t>
        </is>
      </c>
      <c r="B860" s="1" t="n">
        <v>45009.0897337963</v>
      </c>
      <c r="C860" s="1" t="n">
        <v>46113</v>
      </c>
      <c r="D860" t="inlineStr">
        <is>
          <t>JÄMTLANDS LÄN</t>
        </is>
      </c>
      <c r="E860" t="inlineStr">
        <is>
          <t>RAGUNDA</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45335-2023</t>
        </is>
      </c>
      <c r="B861" s="1" t="n">
        <v>45191</v>
      </c>
      <c r="C861" s="1" t="n">
        <v>46113</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57833-2025</t>
        </is>
      </c>
      <c r="B862" s="1" t="n">
        <v>45981.61541666667</v>
      </c>
      <c r="C862" s="1" t="n">
        <v>46113</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10972-2022</t>
        </is>
      </c>
      <c r="B863" s="1" t="n">
        <v>44628</v>
      </c>
      <c r="C863" s="1" t="n">
        <v>46113</v>
      </c>
      <c r="D863" t="inlineStr">
        <is>
          <t>JÄMTLANDS LÄN</t>
        </is>
      </c>
      <c r="E863" t="inlineStr">
        <is>
          <t>RAGUNDA</t>
        </is>
      </c>
      <c r="G863" t="n">
        <v>9.5</v>
      </c>
      <c r="H863" t="n">
        <v>0</v>
      </c>
      <c r="I863" t="n">
        <v>0</v>
      </c>
      <c r="J863" t="n">
        <v>0</v>
      </c>
      <c r="K863" t="n">
        <v>0</v>
      </c>
      <c r="L863" t="n">
        <v>0</v>
      </c>
      <c r="M863" t="n">
        <v>0</v>
      </c>
      <c r="N863" t="n">
        <v>0</v>
      </c>
      <c r="O863" t="n">
        <v>0</v>
      </c>
      <c r="P863" t="n">
        <v>0</v>
      </c>
      <c r="Q863" t="n">
        <v>0</v>
      </c>
      <c r="R863" s="2" t="inlineStr"/>
    </row>
    <row r="864" ht="15" customHeight="1">
      <c r="A864" t="inlineStr">
        <is>
          <t>A 30883-2025</t>
        </is>
      </c>
      <c r="B864" s="1" t="n">
        <v>45832.34552083333</v>
      </c>
      <c r="C864" s="1" t="n">
        <v>46113</v>
      </c>
      <c r="D864" t="inlineStr">
        <is>
          <t>JÄMTLANDS LÄN</t>
        </is>
      </c>
      <c r="E864" t="inlineStr">
        <is>
          <t>RAGUNDA</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58076-2025</t>
        </is>
      </c>
      <c r="B865" s="1" t="n">
        <v>45982.55273148148</v>
      </c>
      <c r="C865" s="1" t="n">
        <v>46113</v>
      </c>
      <c r="D865" t="inlineStr">
        <is>
          <t>JÄMTLANDS LÄN</t>
        </is>
      </c>
      <c r="E865" t="inlineStr">
        <is>
          <t>RAGUNDA</t>
        </is>
      </c>
      <c r="G865" t="n">
        <v>0.1</v>
      </c>
      <c r="H865" t="n">
        <v>0</v>
      </c>
      <c r="I865" t="n">
        <v>0</v>
      </c>
      <c r="J865" t="n">
        <v>0</v>
      </c>
      <c r="K865" t="n">
        <v>0</v>
      </c>
      <c r="L865" t="n">
        <v>0</v>
      </c>
      <c r="M865" t="n">
        <v>0</v>
      </c>
      <c r="N865" t="n">
        <v>0</v>
      </c>
      <c r="O865" t="n">
        <v>0</v>
      </c>
      <c r="P865" t="n">
        <v>0</v>
      </c>
      <c r="Q865" t="n">
        <v>0</v>
      </c>
      <c r="R865" s="2" t="inlineStr"/>
    </row>
    <row r="866" ht="15" customHeight="1">
      <c r="A866" t="inlineStr">
        <is>
          <t>A 58093-2025</t>
        </is>
      </c>
      <c r="B866" s="1" t="n">
        <v>45982.5741087963</v>
      </c>
      <c r="C866" s="1" t="n">
        <v>46113</v>
      </c>
      <c r="D866" t="inlineStr">
        <is>
          <t>JÄMTLANDS LÄN</t>
        </is>
      </c>
      <c r="E866" t="inlineStr">
        <is>
          <t>RAGUNDA</t>
        </is>
      </c>
      <c r="G866" t="n">
        <v>22.2</v>
      </c>
      <c r="H866" t="n">
        <v>0</v>
      </c>
      <c r="I866" t="n">
        <v>0</v>
      </c>
      <c r="J866" t="n">
        <v>0</v>
      </c>
      <c r="K866" t="n">
        <v>0</v>
      </c>
      <c r="L866" t="n">
        <v>0</v>
      </c>
      <c r="M866" t="n">
        <v>0</v>
      </c>
      <c r="N866" t="n">
        <v>0</v>
      </c>
      <c r="O866" t="n">
        <v>0</v>
      </c>
      <c r="P866" t="n">
        <v>0</v>
      </c>
      <c r="Q866" t="n">
        <v>0</v>
      </c>
      <c r="R866" s="2" t="inlineStr"/>
    </row>
    <row r="867" ht="15" customHeight="1">
      <c r="A867" t="inlineStr">
        <is>
          <t>A 57914-2025</t>
        </is>
      </c>
      <c r="B867" s="1" t="n">
        <v>45981</v>
      </c>
      <c r="C867" s="1" t="n">
        <v>46113</v>
      </c>
      <c r="D867" t="inlineStr">
        <is>
          <t>JÄMTLANDS LÄN</t>
        </is>
      </c>
      <c r="E867" t="inlineStr">
        <is>
          <t>RAGUNDA</t>
        </is>
      </c>
      <c r="G867" t="n">
        <v>3.2</v>
      </c>
      <c r="H867" t="n">
        <v>0</v>
      </c>
      <c r="I867" t="n">
        <v>0</v>
      </c>
      <c r="J867" t="n">
        <v>0</v>
      </c>
      <c r="K867" t="n">
        <v>0</v>
      </c>
      <c r="L867" t="n">
        <v>0</v>
      </c>
      <c r="M867" t="n">
        <v>0</v>
      </c>
      <c r="N867" t="n">
        <v>0</v>
      </c>
      <c r="O867" t="n">
        <v>0</v>
      </c>
      <c r="P867" t="n">
        <v>0</v>
      </c>
      <c r="Q867" t="n">
        <v>0</v>
      </c>
      <c r="R867" s="2" t="inlineStr"/>
    </row>
    <row r="868" ht="15" customHeight="1">
      <c r="A868" t="inlineStr">
        <is>
          <t>A 43102-2023</t>
        </is>
      </c>
      <c r="B868" s="1" t="n">
        <v>45182</v>
      </c>
      <c r="C868" s="1" t="n">
        <v>46113</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57915-2025</t>
        </is>
      </c>
      <c r="B869" s="1" t="n">
        <v>45981</v>
      </c>
      <c r="C869" s="1" t="n">
        <v>46113</v>
      </c>
      <c r="D869" t="inlineStr">
        <is>
          <t>JÄMTLANDS LÄN</t>
        </is>
      </c>
      <c r="E869" t="inlineStr">
        <is>
          <t>RAGUNDA</t>
        </is>
      </c>
      <c r="G869" t="n">
        <v>6.4</v>
      </c>
      <c r="H869" t="n">
        <v>0</v>
      </c>
      <c r="I869" t="n">
        <v>0</v>
      </c>
      <c r="J869" t="n">
        <v>0</v>
      </c>
      <c r="K869" t="n">
        <v>0</v>
      </c>
      <c r="L869" t="n">
        <v>0</v>
      </c>
      <c r="M869" t="n">
        <v>0</v>
      </c>
      <c r="N869" t="n">
        <v>0</v>
      </c>
      <c r="O869" t="n">
        <v>0</v>
      </c>
      <c r="P869" t="n">
        <v>0</v>
      </c>
      <c r="Q869" t="n">
        <v>0</v>
      </c>
      <c r="R869" s="2" t="inlineStr"/>
    </row>
    <row r="870" ht="15" customHeight="1">
      <c r="A870" t="inlineStr">
        <is>
          <t>A 57963-2025</t>
        </is>
      </c>
      <c r="B870" s="1" t="n">
        <v>45982.37800925926</v>
      </c>
      <c r="C870" s="1" t="n">
        <v>46113</v>
      </c>
      <c r="D870" t="inlineStr">
        <is>
          <t>JÄMTLANDS LÄN</t>
        </is>
      </c>
      <c r="E870" t="inlineStr">
        <is>
          <t>RAGUNDA</t>
        </is>
      </c>
      <c r="G870" t="n">
        <v>1.7</v>
      </c>
      <c r="H870" t="n">
        <v>0</v>
      </c>
      <c r="I870" t="n">
        <v>0</v>
      </c>
      <c r="J870" t="n">
        <v>0</v>
      </c>
      <c r="K870" t="n">
        <v>0</v>
      </c>
      <c r="L870" t="n">
        <v>0</v>
      </c>
      <c r="M870" t="n">
        <v>0</v>
      </c>
      <c r="N870" t="n">
        <v>0</v>
      </c>
      <c r="O870" t="n">
        <v>0</v>
      </c>
      <c r="P870" t="n">
        <v>0</v>
      </c>
      <c r="Q870" t="n">
        <v>0</v>
      </c>
      <c r="R870" s="2" t="inlineStr"/>
    </row>
    <row r="871" ht="15" customHeight="1">
      <c r="A871" t="inlineStr">
        <is>
          <t>A 57916-2025</t>
        </is>
      </c>
      <c r="B871" s="1" t="n">
        <v>45981</v>
      </c>
      <c r="C871" s="1" t="n">
        <v>46113</v>
      </c>
      <c r="D871" t="inlineStr">
        <is>
          <t>JÄMTLANDS LÄN</t>
        </is>
      </c>
      <c r="E871" t="inlineStr">
        <is>
          <t>RAGUNDA</t>
        </is>
      </c>
      <c r="G871" t="n">
        <v>5.3</v>
      </c>
      <c r="H871" t="n">
        <v>0</v>
      </c>
      <c r="I871" t="n">
        <v>0</v>
      </c>
      <c r="J871" t="n">
        <v>0</v>
      </c>
      <c r="K871" t="n">
        <v>0</v>
      </c>
      <c r="L871" t="n">
        <v>0</v>
      </c>
      <c r="M871" t="n">
        <v>0</v>
      </c>
      <c r="N871" t="n">
        <v>0</v>
      </c>
      <c r="O871" t="n">
        <v>0</v>
      </c>
      <c r="P871" t="n">
        <v>0</v>
      </c>
      <c r="Q871" t="n">
        <v>0</v>
      </c>
      <c r="R871" s="2" t="inlineStr"/>
    </row>
    <row r="872" ht="15" customHeight="1">
      <c r="A872" t="inlineStr">
        <is>
          <t>A 57970-2025</t>
        </is>
      </c>
      <c r="B872" s="1" t="n">
        <v>45982.38582175926</v>
      </c>
      <c r="C872" s="1" t="n">
        <v>46113</v>
      </c>
      <c r="D872" t="inlineStr">
        <is>
          <t>JÄMTLANDS LÄN</t>
        </is>
      </c>
      <c r="E872" t="inlineStr">
        <is>
          <t>RAGUNDA</t>
        </is>
      </c>
      <c r="G872" t="n">
        <v>4.9</v>
      </c>
      <c r="H872" t="n">
        <v>0</v>
      </c>
      <c r="I872" t="n">
        <v>0</v>
      </c>
      <c r="J872" t="n">
        <v>0</v>
      </c>
      <c r="K872" t="n">
        <v>0</v>
      </c>
      <c r="L872" t="n">
        <v>0</v>
      </c>
      <c r="M872" t="n">
        <v>0</v>
      </c>
      <c r="N872" t="n">
        <v>0</v>
      </c>
      <c r="O872" t="n">
        <v>0</v>
      </c>
      <c r="P872" t="n">
        <v>0</v>
      </c>
      <c r="Q872" t="n">
        <v>0</v>
      </c>
      <c r="R872" s="2" t="inlineStr"/>
    </row>
    <row r="873" ht="15" customHeight="1">
      <c r="A873" t="inlineStr">
        <is>
          <t>A 57785-2025</t>
        </is>
      </c>
      <c r="B873" s="1" t="n">
        <v>45981.57393518519</v>
      </c>
      <c r="C873" s="1" t="n">
        <v>46113</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6694-2024</t>
        </is>
      </c>
      <c r="B874" s="1" t="n">
        <v>45341.95381944445</v>
      </c>
      <c r="C874" s="1" t="n">
        <v>46113</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21083-2024</t>
        </is>
      </c>
      <c r="B875" s="1" t="n">
        <v>45439.92752314815</v>
      </c>
      <c r="C875" s="1" t="n">
        <v>46113</v>
      </c>
      <c r="D875" t="inlineStr">
        <is>
          <t>JÄMTLANDS LÄN</t>
        </is>
      </c>
      <c r="E875" t="inlineStr">
        <is>
          <t>RAGUNDA</t>
        </is>
      </c>
      <c r="G875" t="n">
        <v>1.5</v>
      </c>
      <c r="H875" t="n">
        <v>0</v>
      </c>
      <c r="I875" t="n">
        <v>0</v>
      </c>
      <c r="J875" t="n">
        <v>0</v>
      </c>
      <c r="K875" t="n">
        <v>0</v>
      </c>
      <c r="L875" t="n">
        <v>0</v>
      </c>
      <c r="M875" t="n">
        <v>0</v>
      </c>
      <c r="N875" t="n">
        <v>0</v>
      </c>
      <c r="O875" t="n">
        <v>0</v>
      </c>
      <c r="P875" t="n">
        <v>0</v>
      </c>
      <c r="Q875" t="n">
        <v>0</v>
      </c>
      <c r="R875" s="2" t="inlineStr"/>
    </row>
    <row r="876" ht="15" customHeight="1">
      <c r="A876" t="inlineStr">
        <is>
          <t>A 58638-2025</t>
        </is>
      </c>
      <c r="B876" s="1" t="n">
        <v>45986.49016203704</v>
      </c>
      <c r="C876" s="1" t="n">
        <v>46113</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59759-2024</t>
        </is>
      </c>
      <c r="B877" s="1" t="n">
        <v>45639.55240740741</v>
      </c>
      <c r="C877" s="1" t="n">
        <v>46113</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58559-2025</t>
        </is>
      </c>
      <c r="B878" s="1" t="n">
        <v>45986.34475694445</v>
      </c>
      <c r="C878" s="1" t="n">
        <v>46113</v>
      </c>
      <c r="D878" t="inlineStr">
        <is>
          <t>JÄMTLANDS LÄN</t>
        </is>
      </c>
      <c r="E878" t="inlineStr">
        <is>
          <t>RAGUNDA</t>
        </is>
      </c>
      <c r="F878" t="inlineStr">
        <is>
          <t>SCA</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12204-2025</t>
        </is>
      </c>
      <c r="B879" s="1" t="n">
        <v>45729.51074074074</v>
      </c>
      <c r="C879" s="1" t="n">
        <v>46113</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11245-2025</t>
        </is>
      </c>
      <c r="B880" s="1" t="n">
        <v>45726.38575231482</v>
      </c>
      <c r="C880" s="1" t="n">
        <v>46113</v>
      </c>
      <c r="D880" t="inlineStr">
        <is>
          <t>JÄMTLANDS LÄN</t>
        </is>
      </c>
      <c r="E880" t="inlineStr">
        <is>
          <t>RAGUNDA</t>
        </is>
      </c>
      <c r="G880" t="n">
        <v>2.3</v>
      </c>
      <c r="H880" t="n">
        <v>0</v>
      </c>
      <c r="I880" t="n">
        <v>0</v>
      </c>
      <c r="J880" t="n">
        <v>0</v>
      </c>
      <c r="K880" t="n">
        <v>0</v>
      </c>
      <c r="L880" t="n">
        <v>0</v>
      </c>
      <c r="M880" t="n">
        <v>0</v>
      </c>
      <c r="N880" t="n">
        <v>0</v>
      </c>
      <c r="O880" t="n">
        <v>0</v>
      </c>
      <c r="P880" t="n">
        <v>0</v>
      </c>
      <c r="Q880" t="n">
        <v>0</v>
      </c>
      <c r="R880" s="2" t="inlineStr"/>
    </row>
    <row r="881" ht="15" customHeight="1">
      <c r="A881" t="inlineStr">
        <is>
          <t>A 13905-2025</t>
        </is>
      </c>
      <c r="B881" s="1" t="n">
        <v>45737.63574074074</v>
      </c>
      <c r="C881" s="1" t="n">
        <v>46113</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53109-2025</t>
        </is>
      </c>
      <c r="B882" s="1" t="n">
        <v>45958</v>
      </c>
      <c r="C882" s="1" t="n">
        <v>46113</v>
      </c>
      <c r="D882" t="inlineStr">
        <is>
          <t>JÄMTLANDS LÄN</t>
        </is>
      </c>
      <c r="E882" t="inlineStr">
        <is>
          <t>RAGUNDA</t>
        </is>
      </c>
      <c r="G882" t="n">
        <v>2.1</v>
      </c>
      <c r="H882" t="n">
        <v>0</v>
      </c>
      <c r="I882" t="n">
        <v>0</v>
      </c>
      <c r="J882" t="n">
        <v>0</v>
      </c>
      <c r="K882" t="n">
        <v>0</v>
      </c>
      <c r="L882" t="n">
        <v>0</v>
      </c>
      <c r="M882" t="n">
        <v>0</v>
      </c>
      <c r="N882" t="n">
        <v>0</v>
      </c>
      <c r="O882" t="n">
        <v>0</v>
      </c>
      <c r="P882" t="n">
        <v>0</v>
      </c>
      <c r="Q882" t="n">
        <v>0</v>
      </c>
      <c r="R882" s="2" t="inlineStr"/>
    </row>
    <row r="883" ht="15" customHeight="1">
      <c r="A883" t="inlineStr">
        <is>
          <t>A 59214-2025</t>
        </is>
      </c>
      <c r="B883" s="1" t="n">
        <v>45988.61623842592</v>
      </c>
      <c r="C883" s="1" t="n">
        <v>46113</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30880-2025</t>
        </is>
      </c>
      <c r="B884" s="1" t="n">
        <v>45832.34524305556</v>
      </c>
      <c r="C884" s="1" t="n">
        <v>46113</v>
      </c>
      <c r="D884" t="inlineStr">
        <is>
          <t>JÄMTLANDS LÄN</t>
        </is>
      </c>
      <c r="E884" t="inlineStr">
        <is>
          <t>RAGUNDA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30887-2025</t>
        </is>
      </c>
      <c r="B885" s="1" t="n">
        <v>45832.3459375</v>
      </c>
      <c r="C885" s="1" t="n">
        <v>46113</v>
      </c>
      <c r="D885" t="inlineStr">
        <is>
          <t>JÄMTLANDS LÄN</t>
        </is>
      </c>
      <c r="E885" t="inlineStr">
        <is>
          <t>RAGUNDA</t>
        </is>
      </c>
      <c r="F885" t="inlineStr">
        <is>
          <t>SCA</t>
        </is>
      </c>
      <c r="G885" t="n">
        <v>10.1</v>
      </c>
      <c r="H885" t="n">
        <v>0</v>
      </c>
      <c r="I885" t="n">
        <v>0</v>
      </c>
      <c r="J885" t="n">
        <v>0</v>
      </c>
      <c r="K885" t="n">
        <v>0</v>
      </c>
      <c r="L885" t="n">
        <v>0</v>
      </c>
      <c r="M885" t="n">
        <v>0</v>
      </c>
      <c r="N885" t="n">
        <v>0</v>
      </c>
      <c r="O885" t="n">
        <v>0</v>
      </c>
      <c r="P885" t="n">
        <v>0</v>
      </c>
      <c r="Q885" t="n">
        <v>0</v>
      </c>
      <c r="R885" s="2" t="inlineStr"/>
    </row>
    <row r="886" ht="15" customHeight="1">
      <c r="A886" t="inlineStr">
        <is>
          <t>A 58918-2025</t>
        </is>
      </c>
      <c r="B886" s="1" t="n">
        <v>45987.52952546296</v>
      </c>
      <c r="C886" s="1" t="n">
        <v>46113</v>
      </c>
      <c r="D886" t="inlineStr">
        <is>
          <t>JÄMTLANDS LÄN</t>
        </is>
      </c>
      <c r="E886" t="inlineStr">
        <is>
          <t>RAGUNDA</t>
        </is>
      </c>
      <c r="G886" t="n">
        <v>2</v>
      </c>
      <c r="H886" t="n">
        <v>0</v>
      </c>
      <c r="I886" t="n">
        <v>0</v>
      </c>
      <c r="J886" t="n">
        <v>0</v>
      </c>
      <c r="K886" t="n">
        <v>0</v>
      </c>
      <c r="L886" t="n">
        <v>0</v>
      </c>
      <c r="M886" t="n">
        <v>0</v>
      </c>
      <c r="N886" t="n">
        <v>0</v>
      </c>
      <c r="O886" t="n">
        <v>0</v>
      </c>
      <c r="P886" t="n">
        <v>0</v>
      </c>
      <c r="Q886" t="n">
        <v>0</v>
      </c>
      <c r="R886" s="2" t="inlineStr"/>
    </row>
    <row r="887" ht="15" customHeight="1">
      <c r="A887" t="inlineStr">
        <is>
          <t>A 4125-2024</t>
        </is>
      </c>
      <c r="B887" s="1" t="n">
        <v>45323</v>
      </c>
      <c r="C887" s="1" t="n">
        <v>46113</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44980-2023</t>
        </is>
      </c>
      <c r="B888" s="1" t="n">
        <v>45190</v>
      </c>
      <c r="C888" s="1" t="n">
        <v>46113</v>
      </c>
      <c r="D888" t="inlineStr">
        <is>
          <t>JÄMTLANDS LÄN</t>
        </is>
      </c>
      <c r="E888" t="inlineStr">
        <is>
          <t>RAGUNDA</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59692-2025</t>
        </is>
      </c>
      <c r="B889" s="1" t="n">
        <v>45992.49001157407</v>
      </c>
      <c r="C889" s="1" t="n">
        <v>46113</v>
      </c>
      <c r="D889" t="inlineStr">
        <is>
          <t>JÄMTLANDS LÄN</t>
        </is>
      </c>
      <c r="E889" t="inlineStr">
        <is>
          <t>RAGUNDA</t>
        </is>
      </c>
      <c r="G889" t="n">
        <v>2.7</v>
      </c>
      <c r="H889" t="n">
        <v>0</v>
      </c>
      <c r="I889" t="n">
        <v>0</v>
      </c>
      <c r="J889" t="n">
        <v>0</v>
      </c>
      <c r="K889" t="n">
        <v>0</v>
      </c>
      <c r="L889" t="n">
        <v>0</v>
      </c>
      <c r="M889" t="n">
        <v>0</v>
      </c>
      <c r="N889" t="n">
        <v>0</v>
      </c>
      <c r="O889" t="n">
        <v>0</v>
      </c>
      <c r="P889" t="n">
        <v>0</v>
      </c>
      <c r="Q889" t="n">
        <v>0</v>
      </c>
      <c r="R889" s="2" t="inlineStr"/>
    </row>
    <row r="890" ht="15" customHeight="1">
      <c r="A890" t="inlineStr">
        <is>
          <t>A 59693-2025</t>
        </is>
      </c>
      <c r="B890" s="1" t="n">
        <v>45992.49009259259</v>
      </c>
      <c r="C890" s="1" t="n">
        <v>46113</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59491-2025</t>
        </is>
      </c>
      <c r="B891" s="1" t="n">
        <v>45989.60376157407</v>
      </c>
      <c r="C891" s="1" t="n">
        <v>46113</v>
      </c>
      <c r="D891" t="inlineStr">
        <is>
          <t>JÄMTLANDS LÄN</t>
        </is>
      </c>
      <c r="E891" t="inlineStr">
        <is>
          <t>RAGUNDA</t>
        </is>
      </c>
      <c r="G891" t="n">
        <v>0.9</v>
      </c>
      <c r="H891" t="n">
        <v>0</v>
      </c>
      <c r="I891" t="n">
        <v>0</v>
      </c>
      <c r="J891" t="n">
        <v>0</v>
      </c>
      <c r="K891" t="n">
        <v>0</v>
      </c>
      <c r="L891" t="n">
        <v>0</v>
      </c>
      <c r="M891" t="n">
        <v>0</v>
      </c>
      <c r="N891" t="n">
        <v>0</v>
      </c>
      <c r="O891" t="n">
        <v>0</v>
      </c>
      <c r="P891" t="n">
        <v>0</v>
      </c>
      <c r="Q891" t="n">
        <v>0</v>
      </c>
      <c r="R891" s="2" t="inlineStr"/>
    </row>
    <row r="892" ht="15" customHeight="1">
      <c r="A892" t="inlineStr">
        <is>
          <t>A 59499-2025</t>
        </is>
      </c>
      <c r="B892" s="1" t="n">
        <v>45989.61846064815</v>
      </c>
      <c r="C892" s="1" t="n">
        <v>46113</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59503-2025</t>
        </is>
      </c>
      <c r="B893" s="1" t="n">
        <v>45989.62703703704</v>
      </c>
      <c r="C893" s="1" t="n">
        <v>46113</v>
      </c>
      <c r="D893" t="inlineStr">
        <is>
          <t>JÄMTLANDS LÄN</t>
        </is>
      </c>
      <c r="E893" t="inlineStr">
        <is>
          <t>RAGUNDA</t>
        </is>
      </c>
      <c r="G893" t="n">
        <v>0.6</v>
      </c>
      <c r="H893" t="n">
        <v>0</v>
      </c>
      <c r="I893" t="n">
        <v>0</v>
      </c>
      <c r="J893" t="n">
        <v>0</v>
      </c>
      <c r="K893" t="n">
        <v>0</v>
      </c>
      <c r="L893" t="n">
        <v>0</v>
      </c>
      <c r="M893" t="n">
        <v>0</v>
      </c>
      <c r="N893" t="n">
        <v>0</v>
      </c>
      <c r="O893" t="n">
        <v>0</v>
      </c>
      <c r="P893" t="n">
        <v>0</v>
      </c>
      <c r="Q893" t="n">
        <v>0</v>
      </c>
      <c r="R893" s="2" t="inlineStr"/>
    </row>
    <row r="894" ht="15" customHeight="1">
      <c r="A894" t="inlineStr">
        <is>
          <t>A 27777-2022</t>
        </is>
      </c>
      <c r="B894" s="1" t="n">
        <v>44743</v>
      </c>
      <c r="C894" s="1" t="n">
        <v>46113</v>
      </c>
      <c r="D894" t="inlineStr">
        <is>
          <t>JÄMTLANDS LÄN</t>
        </is>
      </c>
      <c r="E894" t="inlineStr">
        <is>
          <t>RAGUNDA</t>
        </is>
      </c>
      <c r="G894" t="n">
        <v>1.5</v>
      </c>
      <c r="H894" t="n">
        <v>0</v>
      </c>
      <c r="I894" t="n">
        <v>0</v>
      </c>
      <c r="J894" t="n">
        <v>0</v>
      </c>
      <c r="K894" t="n">
        <v>0</v>
      </c>
      <c r="L894" t="n">
        <v>0</v>
      </c>
      <c r="M894" t="n">
        <v>0</v>
      </c>
      <c r="N894" t="n">
        <v>0</v>
      </c>
      <c r="O894" t="n">
        <v>0</v>
      </c>
      <c r="P894" t="n">
        <v>0</v>
      </c>
      <c r="Q894" t="n">
        <v>0</v>
      </c>
      <c r="R894" s="2" t="inlineStr"/>
    </row>
    <row r="895" ht="15" customHeight="1">
      <c r="A895" t="inlineStr">
        <is>
          <t>A 51245-2024</t>
        </is>
      </c>
      <c r="B895" s="1" t="n">
        <v>45603.67850694444</v>
      </c>
      <c r="C895" s="1" t="n">
        <v>46113</v>
      </c>
      <c r="D895" t="inlineStr">
        <is>
          <t>JÄMTLANDS LÄN</t>
        </is>
      </c>
      <c r="E895" t="inlineStr">
        <is>
          <t>RAGUNDA</t>
        </is>
      </c>
      <c r="G895" t="n">
        <v>0.9</v>
      </c>
      <c r="H895" t="n">
        <v>0</v>
      </c>
      <c r="I895" t="n">
        <v>0</v>
      </c>
      <c r="J895" t="n">
        <v>0</v>
      </c>
      <c r="K895" t="n">
        <v>0</v>
      </c>
      <c r="L895" t="n">
        <v>0</v>
      </c>
      <c r="M895" t="n">
        <v>0</v>
      </c>
      <c r="N895" t="n">
        <v>0</v>
      </c>
      <c r="O895" t="n">
        <v>0</v>
      </c>
      <c r="P895" t="n">
        <v>0</v>
      </c>
      <c r="Q895" t="n">
        <v>0</v>
      </c>
      <c r="R895" s="2" t="inlineStr"/>
    </row>
    <row r="896" ht="15" customHeight="1">
      <c r="A896" t="inlineStr">
        <is>
          <t>A 59740-2025</t>
        </is>
      </c>
      <c r="B896" s="1" t="n">
        <v>45992.5743287037</v>
      </c>
      <c r="C896" s="1" t="n">
        <v>46113</v>
      </c>
      <c r="D896" t="inlineStr">
        <is>
          <t>JÄMTLANDS LÄN</t>
        </is>
      </c>
      <c r="E896" t="inlineStr">
        <is>
          <t>RAGUNDA</t>
        </is>
      </c>
      <c r="F896" t="inlineStr">
        <is>
          <t>SCA</t>
        </is>
      </c>
      <c r="G896" t="n">
        <v>14.1</v>
      </c>
      <c r="H896" t="n">
        <v>0</v>
      </c>
      <c r="I896" t="n">
        <v>0</v>
      </c>
      <c r="J896" t="n">
        <v>0</v>
      </c>
      <c r="K896" t="n">
        <v>0</v>
      </c>
      <c r="L896" t="n">
        <v>0</v>
      </c>
      <c r="M896" t="n">
        <v>0</v>
      </c>
      <c r="N896" t="n">
        <v>0</v>
      </c>
      <c r="O896" t="n">
        <v>0</v>
      </c>
      <c r="P896" t="n">
        <v>0</v>
      </c>
      <c r="Q896" t="n">
        <v>0</v>
      </c>
      <c r="R896" s="2" t="inlineStr"/>
    </row>
    <row r="897" ht="15" customHeight="1">
      <c r="A897" t="inlineStr">
        <is>
          <t>A 61923-2024</t>
        </is>
      </c>
      <c r="B897" s="1" t="n">
        <v>45653.44836805556</v>
      </c>
      <c r="C897" s="1" t="n">
        <v>46113</v>
      </c>
      <c r="D897" t="inlineStr">
        <is>
          <t>JÄMTLANDS LÄN</t>
        </is>
      </c>
      <c r="E897" t="inlineStr">
        <is>
          <t>RAGUNDA</t>
        </is>
      </c>
      <c r="F897" t="inlineStr">
        <is>
          <t>SCA</t>
        </is>
      </c>
      <c r="G897" t="n">
        <v>11.1</v>
      </c>
      <c r="H897" t="n">
        <v>0</v>
      </c>
      <c r="I897" t="n">
        <v>0</v>
      </c>
      <c r="J897" t="n">
        <v>0</v>
      </c>
      <c r="K897" t="n">
        <v>0</v>
      </c>
      <c r="L897" t="n">
        <v>0</v>
      </c>
      <c r="M897" t="n">
        <v>0</v>
      </c>
      <c r="N897" t="n">
        <v>0</v>
      </c>
      <c r="O897" t="n">
        <v>0</v>
      </c>
      <c r="P897" t="n">
        <v>0</v>
      </c>
      <c r="Q897" t="n">
        <v>0</v>
      </c>
      <c r="R897" s="2" t="inlineStr"/>
    </row>
    <row r="898" ht="15" customHeight="1">
      <c r="A898" t="inlineStr">
        <is>
          <t>A 50503-2024</t>
        </is>
      </c>
      <c r="B898" s="1" t="n">
        <v>45601.5315625</v>
      </c>
      <c r="C898" s="1" t="n">
        <v>46113</v>
      </c>
      <c r="D898" t="inlineStr">
        <is>
          <t>JÄMTLANDS LÄN</t>
        </is>
      </c>
      <c r="E898" t="inlineStr">
        <is>
          <t>RAGUNDA</t>
        </is>
      </c>
      <c r="F898" t="inlineStr">
        <is>
          <t>SCA</t>
        </is>
      </c>
      <c r="G898" t="n">
        <v>5.2</v>
      </c>
      <c r="H898" t="n">
        <v>0</v>
      </c>
      <c r="I898" t="n">
        <v>0</v>
      </c>
      <c r="J898" t="n">
        <v>0</v>
      </c>
      <c r="K898" t="n">
        <v>0</v>
      </c>
      <c r="L898" t="n">
        <v>0</v>
      </c>
      <c r="M898" t="n">
        <v>0</v>
      </c>
      <c r="N898" t="n">
        <v>0</v>
      </c>
      <c r="O898" t="n">
        <v>0</v>
      </c>
      <c r="P898" t="n">
        <v>0</v>
      </c>
      <c r="Q898" t="n">
        <v>0</v>
      </c>
      <c r="R898" s="2" t="inlineStr"/>
    </row>
    <row r="899" ht="15" customHeight="1">
      <c r="A899" t="inlineStr">
        <is>
          <t>A 59556-2024</t>
        </is>
      </c>
      <c r="B899" s="1" t="n">
        <v>45638.63600694444</v>
      </c>
      <c r="C899" s="1" t="n">
        <v>46113</v>
      </c>
      <c r="D899" t="inlineStr">
        <is>
          <t>JÄMTLANDS LÄN</t>
        </is>
      </c>
      <c r="E899" t="inlineStr">
        <is>
          <t>RAGUNDA</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59738-2025</t>
        </is>
      </c>
      <c r="B900" s="1" t="n">
        <v>45992.57408564815</v>
      </c>
      <c r="C900" s="1" t="n">
        <v>46113</v>
      </c>
      <c r="D900" t="inlineStr">
        <is>
          <t>JÄMTLANDS LÄN</t>
        </is>
      </c>
      <c r="E900" t="inlineStr">
        <is>
          <t>RAGUNDA</t>
        </is>
      </c>
      <c r="F900" t="inlineStr">
        <is>
          <t>SCA</t>
        </is>
      </c>
      <c r="G900" t="n">
        <v>12.5</v>
      </c>
      <c r="H900" t="n">
        <v>0</v>
      </c>
      <c r="I900" t="n">
        <v>0</v>
      </c>
      <c r="J900" t="n">
        <v>0</v>
      </c>
      <c r="K900" t="n">
        <v>0</v>
      </c>
      <c r="L900" t="n">
        <v>0</v>
      </c>
      <c r="M900" t="n">
        <v>0</v>
      </c>
      <c r="N900" t="n">
        <v>0</v>
      </c>
      <c r="O900" t="n">
        <v>0</v>
      </c>
      <c r="P900" t="n">
        <v>0</v>
      </c>
      <c r="Q900" t="n">
        <v>0</v>
      </c>
      <c r="R900" s="2" t="inlineStr"/>
    </row>
    <row r="901" ht="15" customHeight="1">
      <c r="A901" t="inlineStr">
        <is>
          <t>A 59739-2025</t>
        </is>
      </c>
      <c r="B901" s="1" t="n">
        <v>45992.57417824074</v>
      </c>
      <c r="C901" s="1" t="n">
        <v>46113</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13302-2022</t>
        </is>
      </c>
      <c r="B902" s="1" t="n">
        <v>44644</v>
      </c>
      <c r="C902" s="1" t="n">
        <v>46113</v>
      </c>
      <c r="D902" t="inlineStr">
        <is>
          <t>JÄMTLANDS LÄN</t>
        </is>
      </c>
      <c r="E902" t="inlineStr">
        <is>
          <t>RAGUNDA</t>
        </is>
      </c>
      <c r="F902" t="inlineStr">
        <is>
          <t>SCA</t>
        </is>
      </c>
      <c r="G902" t="n">
        <v>35.6</v>
      </c>
      <c r="H902" t="n">
        <v>0</v>
      </c>
      <c r="I902" t="n">
        <v>0</v>
      </c>
      <c r="J902" t="n">
        <v>0</v>
      </c>
      <c r="K902" t="n">
        <v>0</v>
      </c>
      <c r="L902" t="n">
        <v>0</v>
      </c>
      <c r="M902" t="n">
        <v>0</v>
      </c>
      <c r="N902" t="n">
        <v>0</v>
      </c>
      <c r="O902" t="n">
        <v>0</v>
      </c>
      <c r="P902" t="n">
        <v>0</v>
      </c>
      <c r="Q902" t="n">
        <v>0</v>
      </c>
      <c r="R902" s="2" t="inlineStr"/>
    </row>
    <row r="903" ht="15" customHeight="1">
      <c r="A903" t="inlineStr">
        <is>
          <t>A 18225-2024</t>
        </is>
      </c>
      <c r="B903" s="1" t="n">
        <v>45420</v>
      </c>
      <c r="C903" s="1" t="n">
        <v>46113</v>
      </c>
      <c r="D903" t="inlineStr">
        <is>
          <t>JÄMTLANDS LÄN</t>
        </is>
      </c>
      <c r="E903" t="inlineStr">
        <is>
          <t>RAGUNDA</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60130-2025</t>
        </is>
      </c>
      <c r="B904" s="1" t="n">
        <v>45994.34467592592</v>
      </c>
      <c r="C904" s="1" t="n">
        <v>46113</v>
      </c>
      <c r="D904" t="inlineStr">
        <is>
          <t>JÄMTLANDS LÄN</t>
        </is>
      </c>
      <c r="E904" t="inlineStr">
        <is>
          <t>RAGUNDA</t>
        </is>
      </c>
      <c r="G904" t="n">
        <v>4.9</v>
      </c>
      <c r="H904" t="n">
        <v>0</v>
      </c>
      <c r="I904" t="n">
        <v>0</v>
      </c>
      <c r="J904" t="n">
        <v>0</v>
      </c>
      <c r="K904" t="n">
        <v>0</v>
      </c>
      <c r="L904" t="n">
        <v>0</v>
      </c>
      <c r="M904" t="n">
        <v>0</v>
      </c>
      <c r="N904" t="n">
        <v>0</v>
      </c>
      <c r="O904" t="n">
        <v>0</v>
      </c>
      <c r="P904" t="n">
        <v>0</v>
      </c>
      <c r="Q904" t="n">
        <v>0</v>
      </c>
      <c r="R904" s="2" t="inlineStr"/>
    </row>
    <row r="905" ht="15" customHeight="1">
      <c r="A905" t="inlineStr">
        <is>
          <t>A 59931-2025</t>
        </is>
      </c>
      <c r="B905" s="1" t="n">
        <v>45993.40177083333</v>
      </c>
      <c r="C905" s="1" t="n">
        <v>46113</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60062-2025</t>
        </is>
      </c>
      <c r="B906" s="1" t="n">
        <v>45993.65694444445</v>
      </c>
      <c r="C906" s="1" t="n">
        <v>46113</v>
      </c>
      <c r="D906" t="inlineStr">
        <is>
          <t>JÄMTLANDS LÄN</t>
        </is>
      </c>
      <c r="E906" t="inlineStr">
        <is>
          <t>RAGUNDA</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61598-2024</t>
        </is>
      </c>
      <c r="B907" s="1" t="n">
        <v>45646.63605324074</v>
      </c>
      <c r="C907" s="1" t="n">
        <v>46113</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31882-2025</t>
        </is>
      </c>
      <c r="B908" s="1" t="n">
        <v>45834.65662037037</v>
      </c>
      <c r="C908" s="1" t="n">
        <v>46113</v>
      </c>
      <c r="D908" t="inlineStr">
        <is>
          <t>JÄMTLANDS LÄN</t>
        </is>
      </c>
      <c r="E908" t="inlineStr">
        <is>
          <t>RAGUNDA</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7280-2024</t>
        </is>
      </c>
      <c r="B909" s="1" t="n">
        <v>45344</v>
      </c>
      <c r="C909" s="1" t="n">
        <v>46113</v>
      </c>
      <c r="D909" t="inlineStr">
        <is>
          <t>JÄMTLANDS LÄN</t>
        </is>
      </c>
      <c r="E909" t="inlineStr">
        <is>
          <t>RAGUNDA</t>
        </is>
      </c>
      <c r="G909" t="n">
        <v>1.6</v>
      </c>
      <c r="H909" t="n">
        <v>0</v>
      </c>
      <c r="I909" t="n">
        <v>0</v>
      </c>
      <c r="J909" t="n">
        <v>0</v>
      </c>
      <c r="K909" t="n">
        <v>0</v>
      </c>
      <c r="L909" t="n">
        <v>0</v>
      </c>
      <c r="M909" t="n">
        <v>0</v>
      </c>
      <c r="N909" t="n">
        <v>0</v>
      </c>
      <c r="O909" t="n">
        <v>0</v>
      </c>
      <c r="P909" t="n">
        <v>0</v>
      </c>
      <c r="Q909" t="n">
        <v>0</v>
      </c>
      <c r="R909" s="2" t="inlineStr"/>
    </row>
    <row r="910" ht="15" customHeight="1">
      <c r="A910" t="inlineStr">
        <is>
          <t>A 21662-2023</t>
        </is>
      </c>
      <c r="B910" s="1" t="n">
        <v>45063</v>
      </c>
      <c r="C910" s="1" t="n">
        <v>46113</v>
      </c>
      <c r="D910" t="inlineStr">
        <is>
          <t>JÄMTLANDS LÄN</t>
        </is>
      </c>
      <c r="E910" t="inlineStr">
        <is>
          <t>RAGUNDA</t>
        </is>
      </c>
      <c r="G910" t="n">
        <v>1.8</v>
      </c>
      <c r="H910" t="n">
        <v>0</v>
      </c>
      <c r="I910" t="n">
        <v>0</v>
      </c>
      <c r="J910" t="n">
        <v>0</v>
      </c>
      <c r="K910" t="n">
        <v>0</v>
      </c>
      <c r="L910" t="n">
        <v>0</v>
      </c>
      <c r="M910" t="n">
        <v>0</v>
      </c>
      <c r="N910" t="n">
        <v>0</v>
      </c>
      <c r="O910" t="n">
        <v>0</v>
      </c>
      <c r="P910" t="n">
        <v>0</v>
      </c>
      <c r="Q910" t="n">
        <v>0</v>
      </c>
      <c r="R910" s="2" t="inlineStr"/>
    </row>
    <row r="911" ht="15" customHeight="1">
      <c r="A911" t="inlineStr">
        <is>
          <t>A 61107-2024</t>
        </is>
      </c>
      <c r="B911" s="1" t="n">
        <v>45645.55665509259</v>
      </c>
      <c r="C911" s="1" t="n">
        <v>46113</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60128-2025</t>
        </is>
      </c>
      <c r="B912" s="1" t="n">
        <v>45994.34456018519</v>
      </c>
      <c r="C912" s="1" t="n">
        <v>46113</v>
      </c>
      <c r="D912" t="inlineStr">
        <is>
          <t>JÄMTLANDS LÄN</t>
        </is>
      </c>
      <c r="E912" t="inlineStr">
        <is>
          <t>RAGUNDA</t>
        </is>
      </c>
      <c r="G912" t="n">
        <v>7.1</v>
      </c>
      <c r="H912" t="n">
        <v>0</v>
      </c>
      <c r="I912" t="n">
        <v>0</v>
      </c>
      <c r="J912" t="n">
        <v>0</v>
      </c>
      <c r="K912" t="n">
        <v>0</v>
      </c>
      <c r="L912" t="n">
        <v>0</v>
      </c>
      <c r="M912" t="n">
        <v>0</v>
      </c>
      <c r="N912" t="n">
        <v>0</v>
      </c>
      <c r="O912" t="n">
        <v>0</v>
      </c>
      <c r="P912" t="n">
        <v>0</v>
      </c>
      <c r="Q912" t="n">
        <v>0</v>
      </c>
      <c r="R912" s="2" t="inlineStr"/>
    </row>
    <row r="913" ht="15" customHeight="1">
      <c r="A913" t="inlineStr">
        <is>
          <t>A 60307-2025</t>
        </is>
      </c>
      <c r="B913" s="1" t="n">
        <v>45994.6842824074</v>
      </c>
      <c r="C913" s="1" t="n">
        <v>46113</v>
      </c>
      <c r="D913" t="inlineStr">
        <is>
          <t>JÄMTLANDS LÄN</t>
        </is>
      </c>
      <c r="E913" t="inlineStr">
        <is>
          <t>RAGUNDA</t>
        </is>
      </c>
      <c r="G913" t="n">
        <v>4</v>
      </c>
      <c r="H913" t="n">
        <v>0</v>
      </c>
      <c r="I913" t="n">
        <v>0</v>
      </c>
      <c r="J913" t="n">
        <v>0</v>
      </c>
      <c r="K913" t="n">
        <v>0</v>
      </c>
      <c r="L913" t="n">
        <v>0</v>
      </c>
      <c r="M913" t="n">
        <v>0</v>
      </c>
      <c r="N913" t="n">
        <v>0</v>
      </c>
      <c r="O913" t="n">
        <v>0</v>
      </c>
      <c r="P913" t="n">
        <v>0</v>
      </c>
      <c r="Q913" t="n">
        <v>0</v>
      </c>
      <c r="R913" s="2" t="inlineStr"/>
    </row>
    <row r="914" ht="15" customHeight="1">
      <c r="A914" t="inlineStr">
        <is>
          <t>A 5313-2025</t>
        </is>
      </c>
      <c r="B914" s="1" t="n">
        <v>45692.51069444444</v>
      </c>
      <c r="C914" s="1" t="n">
        <v>46113</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5357-2025</t>
        </is>
      </c>
      <c r="B915" s="1" t="n">
        <v>45692.57326388889</v>
      </c>
      <c r="C915" s="1" t="n">
        <v>46113</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44494-2024</t>
        </is>
      </c>
      <c r="B916" s="1" t="n">
        <v>45574.39081018518</v>
      </c>
      <c r="C916" s="1" t="n">
        <v>46113</v>
      </c>
      <c r="D916" t="inlineStr">
        <is>
          <t>JÄMTLANDS LÄN</t>
        </is>
      </c>
      <c r="E916" t="inlineStr">
        <is>
          <t>RAGUNDA</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60389-2025</t>
        </is>
      </c>
      <c r="B917" s="1" t="n">
        <v>45995.38628472222</v>
      </c>
      <c r="C917" s="1" t="n">
        <v>46113</v>
      </c>
      <c r="D917" t="inlineStr">
        <is>
          <t>JÄMTLANDS LÄN</t>
        </is>
      </c>
      <c r="E917" t="inlineStr">
        <is>
          <t>RAGUNDA</t>
        </is>
      </c>
      <c r="G917" t="n">
        <v>3.3</v>
      </c>
      <c r="H917" t="n">
        <v>0</v>
      </c>
      <c r="I917" t="n">
        <v>0</v>
      </c>
      <c r="J917" t="n">
        <v>0</v>
      </c>
      <c r="K917" t="n">
        <v>0</v>
      </c>
      <c r="L917" t="n">
        <v>0</v>
      </c>
      <c r="M917" t="n">
        <v>0</v>
      </c>
      <c r="N917" t="n">
        <v>0</v>
      </c>
      <c r="O917" t="n">
        <v>0</v>
      </c>
      <c r="P917" t="n">
        <v>0</v>
      </c>
      <c r="Q917" t="n">
        <v>0</v>
      </c>
      <c r="R917" s="2" t="inlineStr"/>
    </row>
    <row r="918" ht="15" customHeight="1">
      <c r="A918" t="inlineStr">
        <is>
          <t>A 12983-2025</t>
        </is>
      </c>
      <c r="B918" s="1" t="n">
        <v>45734.4633912037</v>
      </c>
      <c r="C918" s="1" t="n">
        <v>46113</v>
      </c>
      <c r="D918" t="inlineStr">
        <is>
          <t>JÄMTLANDS LÄN</t>
        </is>
      </c>
      <c r="E918" t="inlineStr">
        <is>
          <t>RAGUNDA</t>
        </is>
      </c>
      <c r="G918" t="n">
        <v>5.2</v>
      </c>
      <c r="H918" t="n">
        <v>0</v>
      </c>
      <c r="I918" t="n">
        <v>0</v>
      </c>
      <c r="J918" t="n">
        <v>0</v>
      </c>
      <c r="K918" t="n">
        <v>0</v>
      </c>
      <c r="L918" t="n">
        <v>0</v>
      </c>
      <c r="M918" t="n">
        <v>0</v>
      </c>
      <c r="N918" t="n">
        <v>0</v>
      </c>
      <c r="O918" t="n">
        <v>0</v>
      </c>
      <c r="P918" t="n">
        <v>0</v>
      </c>
      <c r="Q918" t="n">
        <v>0</v>
      </c>
      <c r="R918" s="2" t="inlineStr"/>
    </row>
    <row r="919" ht="15" customHeight="1">
      <c r="A919" t="inlineStr">
        <is>
          <t>A 60387-2025</t>
        </is>
      </c>
      <c r="B919" s="1" t="n">
        <v>45995.38611111111</v>
      </c>
      <c r="C919" s="1" t="n">
        <v>46113</v>
      </c>
      <c r="D919" t="inlineStr">
        <is>
          <t>JÄMTLANDS LÄN</t>
        </is>
      </c>
      <c r="E919" t="inlineStr">
        <is>
          <t>RAGUNDA</t>
        </is>
      </c>
      <c r="G919" t="n">
        <v>8.5</v>
      </c>
      <c r="H919" t="n">
        <v>0</v>
      </c>
      <c r="I919" t="n">
        <v>0</v>
      </c>
      <c r="J919" t="n">
        <v>0</v>
      </c>
      <c r="K919" t="n">
        <v>0</v>
      </c>
      <c r="L919" t="n">
        <v>0</v>
      </c>
      <c r="M919" t="n">
        <v>0</v>
      </c>
      <c r="N919" t="n">
        <v>0</v>
      </c>
      <c r="O919" t="n">
        <v>0</v>
      </c>
      <c r="P919" t="n">
        <v>0</v>
      </c>
      <c r="Q919" t="n">
        <v>0</v>
      </c>
      <c r="R919" s="2" t="inlineStr"/>
    </row>
    <row r="920" ht="15" customHeight="1">
      <c r="A920" t="inlineStr">
        <is>
          <t>A 39626-2024</t>
        </is>
      </c>
      <c r="B920" s="1" t="n">
        <v>45552.44096064815</v>
      </c>
      <c r="C920" s="1" t="n">
        <v>46113</v>
      </c>
      <c r="D920" t="inlineStr">
        <is>
          <t>JÄMTLANDS LÄN</t>
        </is>
      </c>
      <c r="E920" t="inlineStr">
        <is>
          <t>RAGUNDA</t>
        </is>
      </c>
      <c r="G920" t="n">
        <v>23.5</v>
      </c>
      <c r="H920" t="n">
        <v>0</v>
      </c>
      <c r="I920" t="n">
        <v>0</v>
      </c>
      <c r="J920" t="n">
        <v>0</v>
      </c>
      <c r="K920" t="n">
        <v>0</v>
      </c>
      <c r="L920" t="n">
        <v>0</v>
      </c>
      <c r="M920" t="n">
        <v>0</v>
      </c>
      <c r="N920" t="n">
        <v>0</v>
      </c>
      <c r="O920" t="n">
        <v>0</v>
      </c>
      <c r="P920" t="n">
        <v>0</v>
      </c>
      <c r="Q920" t="n">
        <v>0</v>
      </c>
      <c r="R920" s="2" t="inlineStr"/>
    </row>
    <row r="921" ht="15" customHeight="1">
      <c r="A921" t="inlineStr">
        <is>
          <t>A 45631-2024</t>
        </is>
      </c>
      <c r="B921" s="1" t="n">
        <v>45579.47052083333</v>
      </c>
      <c r="C921" s="1" t="n">
        <v>46113</v>
      </c>
      <c r="D921" t="inlineStr">
        <is>
          <t>JÄMTLANDS LÄN</t>
        </is>
      </c>
      <c r="E921" t="inlineStr">
        <is>
          <t>RAGUNDA</t>
        </is>
      </c>
      <c r="G921" t="n">
        <v>15.1</v>
      </c>
      <c r="H921" t="n">
        <v>0</v>
      </c>
      <c r="I921" t="n">
        <v>0</v>
      </c>
      <c r="J921" t="n">
        <v>0</v>
      </c>
      <c r="K921" t="n">
        <v>0</v>
      </c>
      <c r="L921" t="n">
        <v>0</v>
      </c>
      <c r="M921" t="n">
        <v>0</v>
      </c>
      <c r="N921" t="n">
        <v>0</v>
      </c>
      <c r="O921" t="n">
        <v>0</v>
      </c>
      <c r="P921" t="n">
        <v>0</v>
      </c>
      <c r="Q921" t="n">
        <v>0</v>
      </c>
      <c r="R921" s="2" t="inlineStr"/>
    </row>
    <row r="922" ht="15" customHeight="1">
      <c r="A922" t="inlineStr">
        <is>
          <t>A 60630-2025</t>
        </is>
      </c>
      <c r="B922" s="1" t="n">
        <v>45996.42120370371</v>
      </c>
      <c r="C922" s="1" t="n">
        <v>46113</v>
      </c>
      <c r="D922" t="inlineStr">
        <is>
          <t>JÄMTLANDS LÄN</t>
        </is>
      </c>
      <c r="E922" t="inlineStr">
        <is>
          <t>RAGUNDA</t>
        </is>
      </c>
      <c r="G922" t="n">
        <v>13.2</v>
      </c>
      <c r="H922" t="n">
        <v>0</v>
      </c>
      <c r="I922" t="n">
        <v>0</v>
      </c>
      <c r="J922" t="n">
        <v>0</v>
      </c>
      <c r="K922" t="n">
        <v>0</v>
      </c>
      <c r="L922" t="n">
        <v>0</v>
      </c>
      <c r="M922" t="n">
        <v>0</v>
      </c>
      <c r="N922" t="n">
        <v>0</v>
      </c>
      <c r="O922" t="n">
        <v>0</v>
      </c>
      <c r="P922" t="n">
        <v>0</v>
      </c>
      <c r="Q922" t="n">
        <v>0</v>
      </c>
      <c r="R922" s="2" t="inlineStr"/>
    </row>
    <row r="923" ht="15" customHeight="1">
      <c r="A923" t="inlineStr">
        <is>
          <t>A 62135-2024</t>
        </is>
      </c>
      <c r="B923" s="1" t="n">
        <v>45656.64223379629</v>
      </c>
      <c r="C923" s="1" t="n">
        <v>46113</v>
      </c>
      <c r="D923" t="inlineStr">
        <is>
          <t>JÄMTLANDS LÄN</t>
        </is>
      </c>
      <c r="E923" t="inlineStr">
        <is>
          <t>RAGUNDA</t>
        </is>
      </c>
      <c r="G923" t="n">
        <v>1.5</v>
      </c>
      <c r="H923" t="n">
        <v>0</v>
      </c>
      <c r="I923" t="n">
        <v>0</v>
      </c>
      <c r="J923" t="n">
        <v>0</v>
      </c>
      <c r="K923" t="n">
        <v>0</v>
      </c>
      <c r="L923" t="n">
        <v>0</v>
      </c>
      <c r="M923" t="n">
        <v>0</v>
      </c>
      <c r="N923" t="n">
        <v>0</v>
      </c>
      <c r="O923" t="n">
        <v>0</v>
      </c>
      <c r="P923" t="n">
        <v>0</v>
      </c>
      <c r="Q923" t="n">
        <v>0</v>
      </c>
      <c r="R923" s="2" t="inlineStr"/>
    </row>
    <row r="924" ht="15" customHeight="1">
      <c r="A924" t="inlineStr">
        <is>
          <t>A 8802-2022</t>
        </is>
      </c>
      <c r="B924" s="1" t="n">
        <v>44614</v>
      </c>
      <c r="C924" s="1" t="n">
        <v>46113</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9823-2025</t>
        </is>
      </c>
      <c r="B925" s="1" t="n">
        <v>45716</v>
      </c>
      <c r="C925" s="1" t="n">
        <v>46113</v>
      </c>
      <c r="D925" t="inlineStr">
        <is>
          <t>JÄMTLANDS LÄN</t>
        </is>
      </c>
      <c r="E925" t="inlineStr">
        <is>
          <t>RAGUNDA</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9847-2025</t>
        </is>
      </c>
      <c r="B926" s="1" t="n">
        <v>45716.61487268518</v>
      </c>
      <c r="C926" s="1" t="n">
        <v>46113</v>
      </c>
      <c r="D926" t="inlineStr">
        <is>
          <t>JÄMTLANDS LÄN</t>
        </is>
      </c>
      <c r="E926" t="inlineStr">
        <is>
          <t>RAGUNDA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61233-2025</t>
        </is>
      </c>
      <c r="B927" s="1" t="n">
        <v>46000.6359837963</v>
      </c>
      <c r="C927" s="1" t="n">
        <v>46113</v>
      </c>
      <c r="D927" t="inlineStr">
        <is>
          <t>JÄMTLANDS LÄN</t>
        </is>
      </c>
      <c r="E927" t="inlineStr">
        <is>
          <t>RAGUNDA</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32762-2025</t>
        </is>
      </c>
      <c r="B928" s="1" t="n">
        <v>45838</v>
      </c>
      <c r="C928" s="1" t="n">
        <v>46113</v>
      </c>
      <c r="D928" t="inlineStr">
        <is>
          <t>JÄMTLANDS LÄN</t>
        </is>
      </c>
      <c r="E928" t="inlineStr">
        <is>
          <t>RAGUNDA</t>
        </is>
      </c>
      <c r="G928" t="n">
        <v>0.6</v>
      </c>
      <c r="H928" t="n">
        <v>0</v>
      </c>
      <c r="I928" t="n">
        <v>0</v>
      </c>
      <c r="J928" t="n">
        <v>0</v>
      </c>
      <c r="K928" t="n">
        <v>0</v>
      </c>
      <c r="L928" t="n">
        <v>0</v>
      </c>
      <c r="M928" t="n">
        <v>0</v>
      </c>
      <c r="N928" t="n">
        <v>0</v>
      </c>
      <c r="O928" t="n">
        <v>0</v>
      </c>
      <c r="P928" t="n">
        <v>0</v>
      </c>
      <c r="Q928" t="n">
        <v>0</v>
      </c>
      <c r="R928" s="2" t="inlineStr"/>
    </row>
    <row r="929" ht="15" customHeight="1">
      <c r="A929" t="inlineStr">
        <is>
          <t>A 61266-2025</t>
        </is>
      </c>
      <c r="B929" s="1" t="n">
        <v>46000.67784722222</v>
      </c>
      <c r="C929" s="1" t="n">
        <v>46113</v>
      </c>
      <c r="D929" t="inlineStr">
        <is>
          <t>JÄMTLANDS LÄN</t>
        </is>
      </c>
      <c r="E929" t="inlineStr">
        <is>
          <t>RAGUNDA</t>
        </is>
      </c>
      <c r="G929" t="n">
        <v>7.9</v>
      </c>
      <c r="H929" t="n">
        <v>0</v>
      </c>
      <c r="I929" t="n">
        <v>0</v>
      </c>
      <c r="J929" t="n">
        <v>0</v>
      </c>
      <c r="K929" t="n">
        <v>0</v>
      </c>
      <c r="L929" t="n">
        <v>0</v>
      </c>
      <c r="M929" t="n">
        <v>0</v>
      </c>
      <c r="N929" t="n">
        <v>0</v>
      </c>
      <c r="O929" t="n">
        <v>0</v>
      </c>
      <c r="P929" t="n">
        <v>0</v>
      </c>
      <c r="Q929" t="n">
        <v>0</v>
      </c>
      <c r="R929" s="2" t="inlineStr"/>
    </row>
    <row r="930" ht="15" customHeight="1">
      <c r="A930" t="inlineStr">
        <is>
          <t>A 20987-2023</t>
        </is>
      </c>
      <c r="B930" s="1" t="n">
        <v>45056</v>
      </c>
      <c r="C930" s="1" t="n">
        <v>46113</v>
      </c>
      <c r="D930" t="inlineStr">
        <is>
          <t>JÄMTLANDS LÄN</t>
        </is>
      </c>
      <c r="E930" t="inlineStr">
        <is>
          <t>RAGUNDA</t>
        </is>
      </c>
      <c r="G930" t="n">
        <v>1.1</v>
      </c>
      <c r="H930" t="n">
        <v>0</v>
      </c>
      <c r="I930" t="n">
        <v>0</v>
      </c>
      <c r="J930" t="n">
        <v>0</v>
      </c>
      <c r="K930" t="n">
        <v>0</v>
      </c>
      <c r="L930" t="n">
        <v>0</v>
      </c>
      <c r="M930" t="n">
        <v>0</v>
      </c>
      <c r="N930" t="n">
        <v>0</v>
      </c>
      <c r="O930" t="n">
        <v>0</v>
      </c>
      <c r="P930" t="n">
        <v>0</v>
      </c>
      <c r="Q930" t="n">
        <v>0</v>
      </c>
      <c r="R930" s="2" t="inlineStr"/>
    </row>
    <row r="931" ht="15" customHeight="1">
      <c r="A931" t="inlineStr">
        <is>
          <t>A 20994-2023</t>
        </is>
      </c>
      <c r="B931" s="1" t="n">
        <v>45056</v>
      </c>
      <c r="C931" s="1" t="n">
        <v>46113</v>
      </c>
      <c r="D931" t="inlineStr">
        <is>
          <t>JÄMTLANDS LÄN</t>
        </is>
      </c>
      <c r="E931" t="inlineStr">
        <is>
          <t>RAGUNDA</t>
        </is>
      </c>
      <c r="G931" t="n">
        <v>1.3</v>
      </c>
      <c r="H931" t="n">
        <v>0</v>
      </c>
      <c r="I931" t="n">
        <v>0</v>
      </c>
      <c r="J931" t="n">
        <v>0</v>
      </c>
      <c r="K931" t="n">
        <v>0</v>
      </c>
      <c r="L931" t="n">
        <v>0</v>
      </c>
      <c r="M931" t="n">
        <v>0</v>
      </c>
      <c r="N931" t="n">
        <v>0</v>
      </c>
      <c r="O931" t="n">
        <v>0</v>
      </c>
      <c r="P931" t="n">
        <v>0</v>
      </c>
      <c r="Q931" t="n">
        <v>0</v>
      </c>
      <c r="R931" s="2" t="inlineStr"/>
    </row>
    <row r="932" ht="15" customHeight="1">
      <c r="A932" t="inlineStr">
        <is>
          <t>A 60775-2025</t>
        </is>
      </c>
      <c r="B932" s="1" t="n">
        <v>45999.3905787037</v>
      </c>
      <c r="C932" s="1" t="n">
        <v>46113</v>
      </c>
      <c r="D932" t="inlineStr">
        <is>
          <t>JÄMTLANDS LÄN</t>
        </is>
      </c>
      <c r="E932" t="inlineStr">
        <is>
          <t>RAGUNDA</t>
        </is>
      </c>
      <c r="G932" t="n">
        <v>15.7</v>
      </c>
      <c r="H932" t="n">
        <v>0</v>
      </c>
      <c r="I932" t="n">
        <v>0</v>
      </c>
      <c r="J932" t="n">
        <v>0</v>
      </c>
      <c r="K932" t="n">
        <v>0</v>
      </c>
      <c r="L932" t="n">
        <v>0</v>
      </c>
      <c r="M932" t="n">
        <v>0</v>
      </c>
      <c r="N932" t="n">
        <v>0</v>
      </c>
      <c r="O932" t="n">
        <v>0</v>
      </c>
      <c r="P932" t="n">
        <v>0</v>
      </c>
      <c r="Q932" t="n">
        <v>0</v>
      </c>
      <c r="R932" s="2" t="inlineStr"/>
    </row>
    <row r="933" ht="15" customHeight="1">
      <c r="A933" t="inlineStr">
        <is>
          <t>A 6490-2022</t>
        </is>
      </c>
      <c r="B933" s="1" t="n">
        <v>44601</v>
      </c>
      <c r="C933" s="1" t="n">
        <v>46113</v>
      </c>
      <c r="D933" t="inlineStr">
        <is>
          <t>JÄMTLANDS LÄN</t>
        </is>
      </c>
      <c r="E933" t="inlineStr">
        <is>
          <t>RAGUNDA</t>
        </is>
      </c>
      <c r="G933" t="n">
        <v>3.8</v>
      </c>
      <c r="H933" t="n">
        <v>0</v>
      </c>
      <c r="I933" t="n">
        <v>0</v>
      </c>
      <c r="J933" t="n">
        <v>0</v>
      </c>
      <c r="K933" t="n">
        <v>0</v>
      </c>
      <c r="L933" t="n">
        <v>0</v>
      </c>
      <c r="M933" t="n">
        <v>0</v>
      </c>
      <c r="N933" t="n">
        <v>0</v>
      </c>
      <c r="O933" t="n">
        <v>0</v>
      </c>
      <c r="P933" t="n">
        <v>0</v>
      </c>
      <c r="Q933" t="n">
        <v>0</v>
      </c>
      <c r="R933" s="2" t="inlineStr"/>
    </row>
    <row r="934" ht="15" customHeight="1">
      <c r="A934" t="inlineStr">
        <is>
          <t>A 32306-2025</t>
        </is>
      </c>
      <c r="B934" s="1" t="n">
        <v>45835.72046296296</v>
      </c>
      <c r="C934" s="1" t="n">
        <v>46113</v>
      </c>
      <c r="D934" t="inlineStr">
        <is>
          <t>JÄMTLANDS LÄN</t>
        </is>
      </c>
      <c r="E934" t="inlineStr">
        <is>
          <t>RAGUNDA</t>
        </is>
      </c>
      <c r="G934" t="n">
        <v>10.2</v>
      </c>
      <c r="H934" t="n">
        <v>0</v>
      </c>
      <c r="I934" t="n">
        <v>0</v>
      </c>
      <c r="J934" t="n">
        <v>0</v>
      </c>
      <c r="K934" t="n">
        <v>0</v>
      </c>
      <c r="L934" t="n">
        <v>0</v>
      </c>
      <c r="M934" t="n">
        <v>0</v>
      </c>
      <c r="N934" t="n">
        <v>0</v>
      </c>
      <c r="O934" t="n">
        <v>0</v>
      </c>
      <c r="P934" t="n">
        <v>0</v>
      </c>
      <c r="Q934" t="n">
        <v>0</v>
      </c>
      <c r="R934" s="2" t="inlineStr"/>
    </row>
    <row r="935" ht="15" customHeight="1">
      <c r="A935" t="inlineStr">
        <is>
          <t>A 23287-2024</t>
        </is>
      </c>
      <c r="B935" s="1" t="n">
        <v>45453.42041666667</v>
      </c>
      <c r="C935" s="1" t="n">
        <v>46113</v>
      </c>
      <c r="D935" t="inlineStr">
        <is>
          <t>JÄMTLANDS LÄN</t>
        </is>
      </c>
      <c r="E935" t="inlineStr">
        <is>
          <t>RAGUNDA</t>
        </is>
      </c>
      <c r="G935" t="n">
        <v>3.1</v>
      </c>
      <c r="H935" t="n">
        <v>0</v>
      </c>
      <c r="I935" t="n">
        <v>0</v>
      </c>
      <c r="J935" t="n">
        <v>0</v>
      </c>
      <c r="K935" t="n">
        <v>0</v>
      </c>
      <c r="L935" t="n">
        <v>0</v>
      </c>
      <c r="M935" t="n">
        <v>0</v>
      </c>
      <c r="N935" t="n">
        <v>0</v>
      </c>
      <c r="O935" t="n">
        <v>0</v>
      </c>
      <c r="P935" t="n">
        <v>0</v>
      </c>
      <c r="Q935" t="n">
        <v>0</v>
      </c>
      <c r="R935" s="2" t="inlineStr"/>
    </row>
    <row r="936" ht="15" customHeight="1">
      <c r="A936" t="inlineStr">
        <is>
          <t>A 53740-2024</t>
        </is>
      </c>
      <c r="B936" s="1" t="n">
        <v>45615.47091435185</v>
      </c>
      <c r="C936" s="1" t="n">
        <v>46113</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1325-2025</t>
        </is>
      </c>
      <c r="B937" s="1" t="n">
        <v>45667.57342592593</v>
      </c>
      <c r="C937" s="1" t="n">
        <v>46113</v>
      </c>
      <c r="D937" t="inlineStr">
        <is>
          <t>JÄMTLANDS LÄN</t>
        </is>
      </c>
      <c r="E937" t="inlineStr">
        <is>
          <t>RAGUNDA</t>
        </is>
      </c>
      <c r="F937" t="inlineStr">
        <is>
          <t>SCA</t>
        </is>
      </c>
      <c r="G937" t="n">
        <v>20.2</v>
      </c>
      <c r="H937" t="n">
        <v>0</v>
      </c>
      <c r="I937" t="n">
        <v>0</v>
      </c>
      <c r="J937" t="n">
        <v>0</v>
      </c>
      <c r="K937" t="n">
        <v>0</v>
      </c>
      <c r="L937" t="n">
        <v>0</v>
      </c>
      <c r="M937" t="n">
        <v>0</v>
      </c>
      <c r="N937" t="n">
        <v>0</v>
      </c>
      <c r="O937" t="n">
        <v>0</v>
      </c>
      <c r="P937" t="n">
        <v>0</v>
      </c>
      <c r="Q937" t="n">
        <v>0</v>
      </c>
      <c r="R937" s="2" t="inlineStr"/>
    </row>
    <row r="938" ht="15" customHeight="1">
      <c r="A938" t="inlineStr">
        <is>
          <t>A 1326-2025</t>
        </is>
      </c>
      <c r="B938" s="1" t="n">
        <v>45667.57347222222</v>
      </c>
      <c r="C938" s="1" t="n">
        <v>46113</v>
      </c>
      <c r="D938" t="inlineStr">
        <is>
          <t>JÄMTLANDS LÄN</t>
        </is>
      </c>
      <c r="E938" t="inlineStr">
        <is>
          <t>RAGUNDA</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32757-2025</t>
        </is>
      </c>
      <c r="B939" s="1" t="n">
        <v>45838</v>
      </c>
      <c r="C939" s="1" t="n">
        <v>46113</v>
      </c>
      <c r="D939" t="inlineStr">
        <is>
          <t>JÄMTLANDS LÄN</t>
        </is>
      </c>
      <c r="E939" t="inlineStr">
        <is>
          <t>RAGUNDA</t>
        </is>
      </c>
      <c r="G939" t="n">
        <v>4.5</v>
      </c>
      <c r="H939" t="n">
        <v>0</v>
      </c>
      <c r="I939" t="n">
        <v>0</v>
      </c>
      <c r="J939" t="n">
        <v>0</v>
      </c>
      <c r="K939" t="n">
        <v>0</v>
      </c>
      <c r="L939" t="n">
        <v>0</v>
      </c>
      <c r="M939" t="n">
        <v>0</v>
      </c>
      <c r="N939" t="n">
        <v>0</v>
      </c>
      <c r="O939" t="n">
        <v>0</v>
      </c>
      <c r="P939" t="n">
        <v>0</v>
      </c>
      <c r="Q939" t="n">
        <v>0</v>
      </c>
      <c r="R939" s="2" t="inlineStr"/>
    </row>
    <row r="940" ht="15" customHeight="1">
      <c r="A940" t="inlineStr">
        <is>
          <t>A 60760-2025</t>
        </is>
      </c>
      <c r="B940" s="1" t="n">
        <v>45999.38597222222</v>
      </c>
      <c r="C940" s="1" t="n">
        <v>46113</v>
      </c>
      <c r="D940" t="inlineStr">
        <is>
          <t>JÄMTLANDS LÄN</t>
        </is>
      </c>
      <c r="E940" t="inlineStr">
        <is>
          <t>RAGUNDA</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14696-2022</t>
        </is>
      </c>
      <c r="B941" s="1" t="n">
        <v>44655</v>
      </c>
      <c r="C941" s="1" t="n">
        <v>46113</v>
      </c>
      <c r="D941" t="inlineStr">
        <is>
          <t>JÄMTLANDS LÄN</t>
        </is>
      </c>
      <c r="E941" t="inlineStr">
        <is>
          <t>RAGUNDA</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61697-2025</t>
        </is>
      </c>
      <c r="B942" s="1" t="n">
        <v>46002</v>
      </c>
      <c r="C942" s="1" t="n">
        <v>46113</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32660-2025</t>
        </is>
      </c>
      <c r="B943" s="1" t="n">
        <v>45838.67887731481</v>
      </c>
      <c r="C943" s="1" t="n">
        <v>46113</v>
      </c>
      <c r="D943" t="inlineStr">
        <is>
          <t>JÄMTLANDS LÄN</t>
        </is>
      </c>
      <c r="E943" t="inlineStr">
        <is>
          <t>RAGUNDA</t>
        </is>
      </c>
      <c r="F943" t="inlineStr">
        <is>
          <t>SCA</t>
        </is>
      </c>
      <c r="G943" t="n">
        <v>10.3</v>
      </c>
      <c r="H943" t="n">
        <v>0</v>
      </c>
      <c r="I943" t="n">
        <v>0</v>
      </c>
      <c r="J943" t="n">
        <v>0</v>
      </c>
      <c r="K943" t="n">
        <v>0</v>
      </c>
      <c r="L943" t="n">
        <v>0</v>
      </c>
      <c r="M943" t="n">
        <v>0</v>
      </c>
      <c r="N943" t="n">
        <v>0</v>
      </c>
      <c r="O943" t="n">
        <v>0</v>
      </c>
      <c r="P943" t="n">
        <v>0</v>
      </c>
      <c r="Q943" t="n">
        <v>0</v>
      </c>
      <c r="R943" s="2" t="inlineStr"/>
    </row>
    <row r="944" ht="15" customHeight="1">
      <c r="A944" t="inlineStr">
        <is>
          <t>A 32527-2025</t>
        </is>
      </c>
      <c r="B944" s="1" t="n">
        <v>45838.48996527777</v>
      </c>
      <c r="C944" s="1" t="n">
        <v>46113</v>
      </c>
      <c r="D944" t="inlineStr">
        <is>
          <t>JÄMTLANDS LÄN</t>
        </is>
      </c>
      <c r="E944" t="inlineStr">
        <is>
          <t>RAGUNDA</t>
        </is>
      </c>
      <c r="G944" t="n">
        <v>5</v>
      </c>
      <c r="H944" t="n">
        <v>0</v>
      </c>
      <c r="I944" t="n">
        <v>0</v>
      </c>
      <c r="J944" t="n">
        <v>0</v>
      </c>
      <c r="K944" t="n">
        <v>0</v>
      </c>
      <c r="L944" t="n">
        <v>0</v>
      </c>
      <c r="M944" t="n">
        <v>0</v>
      </c>
      <c r="N944" t="n">
        <v>0</v>
      </c>
      <c r="O944" t="n">
        <v>0</v>
      </c>
      <c r="P944" t="n">
        <v>0</v>
      </c>
      <c r="Q944" t="n">
        <v>0</v>
      </c>
      <c r="R944" s="2" t="inlineStr"/>
    </row>
    <row r="945" ht="15" customHeight="1">
      <c r="A945" t="inlineStr">
        <is>
          <t>A 3841-2026</t>
        </is>
      </c>
      <c r="B945" s="1" t="n">
        <v>46043</v>
      </c>
      <c r="C945" s="1" t="n">
        <v>46113</v>
      </c>
      <c r="D945" t="inlineStr">
        <is>
          <t>JÄMTLANDS LÄN</t>
        </is>
      </c>
      <c r="E945" t="inlineStr">
        <is>
          <t>RAGUNDA</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61509-2025</t>
        </is>
      </c>
      <c r="B946" s="1" t="n">
        <v>46001.68189814815</v>
      </c>
      <c r="C946" s="1" t="n">
        <v>46113</v>
      </c>
      <c r="D946" t="inlineStr">
        <is>
          <t>JÄMTLANDS LÄN</t>
        </is>
      </c>
      <c r="E946" t="inlineStr">
        <is>
          <t>RAGUNDA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45952-2023</t>
        </is>
      </c>
      <c r="B947" s="1" t="n">
        <v>45195</v>
      </c>
      <c r="C947" s="1" t="n">
        <v>46113</v>
      </c>
      <c r="D947" t="inlineStr">
        <is>
          <t>JÄMTLANDS LÄN</t>
        </is>
      </c>
      <c r="E947" t="inlineStr">
        <is>
          <t>RAGUNDA</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45954-2023</t>
        </is>
      </c>
      <c r="B948" s="1" t="n">
        <v>45195.94679398148</v>
      </c>
      <c r="C948" s="1" t="n">
        <v>46113</v>
      </c>
      <c r="D948" t="inlineStr">
        <is>
          <t>JÄMTLANDS LÄN</t>
        </is>
      </c>
      <c r="E948" t="inlineStr">
        <is>
          <t>RAGUNDA</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45955-2023</t>
        </is>
      </c>
      <c r="B949" s="1" t="n">
        <v>45195.94685185186</v>
      </c>
      <c r="C949" s="1" t="n">
        <v>46113</v>
      </c>
      <c r="D949" t="inlineStr">
        <is>
          <t>JÄMTLANDS LÄN</t>
        </is>
      </c>
      <c r="E949" t="inlineStr">
        <is>
          <t>RAGUNDA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8787-2022</t>
        </is>
      </c>
      <c r="B950" s="1" t="n">
        <v>44614</v>
      </c>
      <c r="C950" s="1" t="n">
        <v>46113</v>
      </c>
      <c r="D950" t="inlineStr">
        <is>
          <t>JÄMTLANDS LÄN</t>
        </is>
      </c>
      <c r="E950" t="inlineStr">
        <is>
          <t>RAGUNDA</t>
        </is>
      </c>
      <c r="G950" t="n">
        <v>6.4</v>
      </c>
      <c r="H950" t="n">
        <v>0</v>
      </c>
      <c r="I950" t="n">
        <v>0</v>
      </c>
      <c r="J950" t="n">
        <v>0</v>
      </c>
      <c r="K950" t="n">
        <v>0</v>
      </c>
      <c r="L950" t="n">
        <v>0</v>
      </c>
      <c r="M950" t="n">
        <v>0</v>
      </c>
      <c r="N950" t="n">
        <v>0</v>
      </c>
      <c r="O950" t="n">
        <v>0</v>
      </c>
      <c r="P950" t="n">
        <v>0</v>
      </c>
      <c r="Q950" t="n">
        <v>0</v>
      </c>
      <c r="R950" s="2" t="inlineStr"/>
    </row>
    <row r="951" ht="15" customHeight="1">
      <c r="A951" t="inlineStr">
        <is>
          <t>A 5308-2025</t>
        </is>
      </c>
      <c r="B951" s="1" t="n">
        <v>45692.49008101852</v>
      </c>
      <c r="C951" s="1" t="n">
        <v>46113</v>
      </c>
      <c r="D951" t="inlineStr">
        <is>
          <t>JÄMTLANDS LÄN</t>
        </is>
      </c>
      <c r="E951" t="inlineStr">
        <is>
          <t>RAGUNDA</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45253-2023</t>
        </is>
      </c>
      <c r="B952" s="1" t="n">
        <v>45187</v>
      </c>
      <c r="C952" s="1" t="n">
        <v>46113</v>
      </c>
      <c r="D952" t="inlineStr">
        <is>
          <t>JÄMTLANDS LÄN</t>
        </is>
      </c>
      <c r="E952" t="inlineStr">
        <is>
          <t>RAGUNDA</t>
        </is>
      </c>
      <c r="G952" t="n">
        <v>3.3</v>
      </c>
      <c r="H952" t="n">
        <v>0</v>
      </c>
      <c r="I952" t="n">
        <v>0</v>
      </c>
      <c r="J952" t="n">
        <v>0</v>
      </c>
      <c r="K952" t="n">
        <v>0</v>
      </c>
      <c r="L952" t="n">
        <v>0</v>
      </c>
      <c r="M952" t="n">
        <v>0</v>
      </c>
      <c r="N952" t="n">
        <v>0</v>
      </c>
      <c r="O952" t="n">
        <v>0</v>
      </c>
      <c r="P952" t="n">
        <v>0</v>
      </c>
      <c r="Q952" t="n">
        <v>0</v>
      </c>
      <c r="R952" s="2" t="inlineStr"/>
    </row>
    <row r="953" ht="15" customHeight="1">
      <c r="A953" t="inlineStr">
        <is>
          <t>A 61755-2025</t>
        </is>
      </c>
      <c r="B953" s="1" t="n">
        <v>46002</v>
      </c>
      <c r="C953" s="1" t="n">
        <v>46113</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32021-2025</t>
        </is>
      </c>
      <c r="B954" s="1" t="n">
        <v>45835.40668981482</v>
      </c>
      <c r="C954" s="1" t="n">
        <v>46113</v>
      </c>
      <c r="D954" t="inlineStr">
        <is>
          <t>JÄMTLANDS LÄN</t>
        </is>
      </c>
      <c r="E954" t="inlineStr">
        <is>
          <t>RAGUNDA</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3104-2025</t>
        </is>
      </c>
      <c r="B955" s="1" t="n">
        <v>45678.67761574074</v>
      </c>
      <c r="C955" s="1" t="n">
        <v>46113</v>
      </c>
      <c r="D955" t="inlineStr">
        <is>
          <t>JÄMTLANDS LÄN</t>
        </is>
      </c>
      <c r="E955" t="inlineStr">
        <is>
          <t>RAGUNDA</t>
        </is>
      </c>
      <c r="F955" t="inlineStr">
        <is>
          <t>SCA</t>
        </is>
      </c>
      <c r="G955" t="n">
        <v>46.2</v>
      </c>
      <c r="H955" t="n">
        <v>0</v>
      </c>
      <c r="I955" t="n">
        <v>0</v>
      </c>
      <c r="J955" t="n">
        <v>0</v>
      </c>
      <c r="K955" t="n">
        <v>0</v>
      </c>
      <c r="L955" t="n">
        <v>0</v>
      </c>
      <c r="M955" t="n">
        <v>0</v>
      </c>
      <c r="N955" t="n">
        <v>0</v>
      </c>
      <c r="O955" t="n">
        <v>0</v>
      </c>
      <c r="P955" t="n">
        <v>0</v>
      </c>
      <c r="Q955" t="n">
        <v>0</v>
      </c>
      <c r="R955" s="2" t="inlineStr"/>
    </row>
    <row r="956" ht="15" customHeight="1">
      <c r="A956" t="inlineStr">
        <is>
          <t>A 32655-2025</t>
        </is>
      </c>
      <c r="B956" s="1" t="n">
        <v>45838.67800925926</v>
      </c>
      <c r="C956" s="1" t="n">
        <v>46113</v>
      </c>
      <c r="D956" t="inlineStr">
        <is>
          <t>JÄMTLANDS LÄN</t>
        </is>
      </c>
      <c r="E956" t="inlineStr">
        <is>
          <t>RAGUNDA</t>
        </is>
      </c>
      <c r="G956" t="n">
        <v>2.8</v>
      </c>
      <c r="H956" t="n">
        <v>0</v>
      </c>
      <c r="I956" t="n">
        <v>0</v>
      </c>
      <c r="J956" t="n">
        <v>0</v>
      </c>
      <c r="K956" t="n">
        <v>0</v>
      </c>
      <c r="L956" t="n">
        <v>0</v>
      </c>
      <c r="M956" t="n">
        <v>0</v>
      </c>
      <c r="N956" t="n">
        <v>0</v>
      </c>
      <c r="O956" t="n">
        <v>0</v>
      </c>
      <c r="P956" t="n">
        <v>0</v>
      </c>
      <c r="Q956" t="n">
        <v>0</v>
      </c>
      <c r="R956" s="2" t="inlineStr"/>
    </row>
    <row r="957" ht="15" customHeight="1">
      <c r="A957" t="inlineStr">
        <is>
          <t>A 32151-2025</t>
        </is>
      </c>
      <c r="B957" s="1" t="n">
        <v>45835.53166666667</v>
      </c>
      <c r="C957" s="1" t="n">
        <v>46113</v>
      </c>
      <c r="D957" t="inlineStr">
        <is>
          <t>JÄMTLANDS LÄN</t>
        </is>
      </c>
      <c r="E957" t="inlineStr">
        <is>
          <t>RAGUNDA</t>
        </is>
      </c>
      <c r="F957" t="inlineStr">
        <is>
          <t>SCA</t>
        </is>
      </c>
      <c r="G957" t="n">
        <v>12.3</v>
      </c>
      <c r="H957" t="n">
        <v>0</v>
      </c>
      <c r="I957" t="n">
        <v>0</v>
      </c>
      <c r="J957" t="n">
        <v>0</v>
      </c>
      <c r="K957" t="n">
        <v>0</v>
      </c>
      <c r="L957" t="n">
        <v>0</v>
      </c>
      <c r="M957" t="n">
        <v>0</v>
      </c>
      <c r="N957" t="n">
        <v>0</v>
      </c>
      <c r="O957" t="n">
        <v>0</v>
      </c>
      <c r="P957" t="n">
        <v>0</v>
      </c>
      <c r="Q957" t="n">
        <v>0</v>
      </c>
      <c r="R957" s="2" t="inlineStr"/>
    </row>
    <row r="958" ht="15" customHeight="1">
      <c r="A958" t="inlineStr">
        <is>
          <t>A 32096-2025</t>
        </is>
      </c>
      <c r="B958" s="1" t="n">
        <v>45835.46334490741</v>
      </c>
      <c r="C958" s="1" t="n">
        <v>46113</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36046-2023</t>
        </is>
      </c>
      <c r="B959" s="1" t="n">
        <v>45148</v>
      </c>
      <c r="C959" s="1" t="n">
        <v>46113</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18193-2022</t>
        </is>
      </c>
      <c r="B960" s="1" t="n">
        <v>44684.94032407407</v>
      </c>
      <c r="C960" s="1" t="n">
        <v>46113</v>
      </c>
      <c r="D960" t="inlineStr">
        <is>
          <t>JÄMTLANDS LÄN</t>
        </is>
      </c>
      <c r="E960" t="inlineStr">
        <is>
          <t>RAGUNDA</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32748-2025</t>
        </is>
      </c>
      <c r="B961" s="1" t="n">
        <v>45839.42822916667</v>
      </c>
      <c r="C961" s="1" t="n">
        <v>46113</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32777-2025</t>
        </is>
      </c>
      <c r="B962" s="1" t="n">
        <v>45839.46915509259</v>
      </c>
      <c r="C962" s="1" t="n">
        <v>46113</v>
      </c>
      <c r="D962" t="inlineStr">
        <is>
          <t>JÄMTLANDS LÄN</t>
        </is>
      </c>
      <c r="E962" t="inlineStr">
        <is>
          <t>RAGUNDA</t>
        </is>
      </c>
      <c r="F962" t="inlineStr">
        <is>
          <t>SCA</t>
        </is>
      </c>
      <c r="G962" t="n">
        <v>21.7</v>
      </c>
      <c r="H962" t="n">
        <v>0</v>
      </c>
      <c r="I962" t="n">
        <v>0</v>
      </c>
      <c r="J962" t="n">
        <v>0</v>
      </c>
      <c r="K962" t="n">
        <v>0</v>
      </c>
      <c r="L962" t="n">
        <v>0</v>
      </c>
      <c r="M962" t="n">
        <v>0</v>
      </c>
      <c r="N962" t="n">
        <v>0</v>
      </c>
      <c r="O962" t="n">
        <v>0</v>
      </c>
      <c r="P962" t="n">
        <v>0</v>
      </c>
      <c r="Q962" t="n">
        <v>0</v>
      </c>
      <c r="R962" s="2" t="inlineStr"/>
    </row>
    <row r="963" ht="15" customHeight="1">
      <c r="A963" t="inlineStr">
        <is>
          <t>A 34323-2023</t>
        </is>
      </c>
      <c r="B963" s="1" t="n">
        <v>45138.94925925926</v>
      </c>
      <c r="C963" s="1" t="n">
        <v>46113</v>
      </c>
      <c r="D963" t="inlineStr">
        <is>
          <t>JÄMTLANDS LÄN</t>
        </is>
      </c>
      <c r="E963" t="inlineStr">
        <is>
          <t>RAGUNDA</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58843-2024</t>
        </is>
      </c>
      <c r="B964" s="1" t="n">
        <v>45636.38599537037</v>
      </c>
      <c r="C964" s="1" t="n">
        <v>46113</v>
      </c>
      <c r="D964" t="inlineStr">
        <is>
          <t>JÄMTLANDS LÄN</t>
        </is>
      </c>
      <c r="E964" t="inlineStr">
        <is>
          <t>RAGUNDA</t>
        </is>
      </c>
      <c r="F964" t="inlineStr">
        <is>
          <t>SCA</t>
        </is>
      </c>
      <c r="G964" t="n">
        <v>4.8</v>
      </c>
      <c r="H964" t="n">
        <v>0</v>
      </c>
      <c r="I964" t="n">
        <v>0</v>
      </c>
      <c r="J964" t="n">
        <v>0</v>
      </c>
      <c r="K964" t="n">
        <v>0</v>
      </c>
      <c r="L964" t="n">
        <v>0</v>
      </c>
      <c r="M964" t="n">
        <v>0</v>
      </c>
      <c r="N964" t="n">
        <v>0</v>
      </c>
      <c r="O964" t="n">
        <v>0</v>
      </c>
      <c r="P964" t="n">
        <v>0</v>
      </c>
      <c r="Q964" t="n">
        <v>0</v>
      </c>
      <c r="R964" s="2" t="inlineStr"/>
    </row>
    <row r="965" ht="15" customHeight="1">
      <c r="A965" t="inlineStr">
        <is>
          <t>A 32430-2025</t>
        </is>
      </c>
      <c r="B965" s="1" t="n">
        <v>45838.36532407408</v>
      </c>
      <c r="C965" s="1" t="n">
        <v>46113</v>
      </c>
      <c r="D965" t="inlineStr">
        <is>
          <t>JÄMTLANDS LÄN</t>
        </is>
      </c>
      <c r="E965" t="inlineStr">
        <is>
          <t>RAGUNDA</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32796-2025</t>
        </is>
      </c>
      <c r="B966" s="1" t="n">
        <v>45839.49082175926</v>
      </c>
      <c r="C966" s="1" t="n">
        <v>46113</v>
      </c>
      <c r="D966" t="inlineStr">
        <is>
          <t>JÄMTLANDS LÄN</t>
        </is>
      </c>
      <c r="E966" t="inlineStr">
        <is>
          <t>RAGUNDA</t>
        </is>
      </c>
      <c r="G966" t="n">
        <v>1.7</v>
      </c>
      <c r="H966" t="n">
        <v>0</v>
      </c>
      <c r="I966" t="n">
        <v>0</v>
      </c>
      <c r="J966" t="n">
        <v>0</v>
      </c>
      <c r="K966" t="n">
        <v>0</v>
      </c>
      <c r="L966" t="n">
        <v>0</v>
      </c>
      <c r="M966" t="n">
        <v>0</v>
      </c>
      <c r="N966" t="n">
        <v>0</v>
      </c>
      <c r="O966" t="n">
        <v>0</v>
      </c>
      <c r="P966" t="n">
        <v>0</v>
      </c>
      <c r="Q966" t="n">
        <v>0</v>
      </c>
      <c r="R966" s="2" t="inlineStr"/>
    </row>
    <row r="967" ht="15" customHeight="1">
      <c r="A967" t="inlineStr">
        <is>
          <t>A 45953-2023</t>
        </is>
      </c>
      <c r="B967" s="1" t="n">
        <v>45195.94672453704</v>
      </c>
      <c r="C967" s="1" t="n">
        <v>46113</v>
      </c>
      <c r="D967" t="inlineStr">
        <is>
          <t>JÄMTLANDS LÄN</t>
        </is>
      </c>
      <c r="E967" t="inlineStr">
        <is>
          <t>RAGUNDA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32747-2025</t>
        </is>
      </c>
      <c r="B968" s="1" t="n">
        <v>45839.42810185185</v>
      </c>
      <c r="C968" s="1" t="n">
        <v>46113</v>
      </c>
      <c r="D968" t="inlineStr">
        <is>
          <t>JÄMTLANDS LÄN</t>
        </is>
      </c>
      <c r="E968" t="inlineStr">
        <is>
          <t>RAGUNDA</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62819-2025</t>
        </is>
      </c>
      <c r="B969" s="1" t="n">
        <v>46008</v>
      </c>
      <c r="C969" s="1" t="n">
        <v>46113</v>
      </c>
      <c r="D969" t="inlineStr">
        <is>
          <t>JÄMTLANDS LÄN</t>
        </is>
      </c>
      <c r="E969" t="inlineStr">
        <is>
          <t>RAGUNDA</t>
        </is>
      </c>
      <c r="G969" t="n">
        <v>3.5</v>
      </c>
      <c r="H969" t="n">
        <v>0</v>
      </c>
      <c r="I969" t="n">
        <v>0</v>
      </c>
      <c r="J969" t="n">
        <v>0</v>
      </c>
      <c r="K969" t="n">
        <v>0</v>
      </c>
      <c r="L969" t="n">
        <v>0</v>
      </c>
      <c r="M969" t="n">
        <v>0</v>
      </c>
      <c r="N969" t="n">
        <v>0</v>
      </c>
      <c r="O969" t="n">
        <v>0</v>
      </c>
      <c r="P969" t="n">
        <v>0</v>
      </c>
      <c r="Q969" t="n">
        <v>0</v>
      </c>
      <c r="R969" s="2" t="inlineStr"/>
    </row>
    <row r="970" ht="15" customHeight="1">
      <c r="A970" t="inlineStr">
        <is>
          <t>A 62490-2025</t>
        </is>
      </c>
      <c r="B970" s="1" t="n">
        <v>46007.5697337963</v>
      </c>
      <c r="C970" s="1" t="n">
        <v>46113</v>
      </c>
      <c r="D970" t="inlineStr">
        <is>
          <t>JÄMTLANDS LÄN</t>
        </is>
      </c>
      <c r="E970" t="inlineStr">
        <is>
          <t>RAGUNDA</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30824-2023</t>
        </is>
      </c>
      <c r="B971" s="1" t="n">
        <v>45112.94303240741</v>
      </c>
      <c r="C971" s="1" t="n">
        <v>46113</v>
      </c>
      <c r="D971" t="inlineStr">
        <is>
          <t>JÄMTLANDS LÄN</t>
        </is>
      </c>
      <c r="E971" t="inlineStr">
        <is>
          <t>RAGUNDA</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30825-2023</t>
        </is>
      </c>
      <c r="B972" s="1" t="n">
        <v>45112.94310185185</v>
      </c>
      <c r="C972" s="1" t="n">
        <v>46113</v>
      </c>
      <c r="D972" t="inlineStr">
        <is>
          <t>JÄMTLANDS LÄN</t>
        </is>
      </c>
      <c r="E972" t="inlineStr">
        <is>
          <t>RAGUNDA</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62638-2025</t>
        </is>
      </c>
      <c r="B973" s="1" t="n">
        <v>46008.36564814814</v>
      </c>
      <c r="C973" s="1" t="n">
        <v>46113</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62436-2025</t>
        </is>
      </c>
      <c r="B974" s="1" t="n">
        <v>46007</v>
      </c>
      <c r="C974" s="1" t="n">
        <v>46113</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62467-2025</t>
        </is>
      </c>
      <c r="B975" s="1" t="n">
        <v>46007.5108912037</v>
      </c>
      <c r="C975" s="1" t="n">
        <v>46113</v>
      </c>
      <c r="D975" t="inlineStr">
        <is>
          <t>JÄMTLANDS LÄN</t>
        </is>
      </c>
      <c r="E975" t="inlineStr">
        <is>
          <t>RAGUNDA</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31506-2024</t>
        </is>
      </c>
      <c r="B976" s="1" t="n">
        <v>45505</v>
      </c>
      <c r="C976" s="1" t="n">
        <v>46113</v>
      </c>
      <c r="D976" t="inlineStr">
        <is>
          <t>JÄMTLANDS LÄN</t>
        </is>
      </c>
      <c r="E976" t="inlineStr">
        <is>
          <t>RAGUNDA</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62432-2025</t>
        </is>
      </c>
      <c r="B977" s="1" t="n">
        <v>46007</v>
      </c>
      <c r="C977" s="1" t="n">
        <v>46113</v>
      </c>
      <c r="D977" t="inlineStr">
        <is>
          <t>JÄMTLANDS LÄN</t>
        </is>
      </c>
      <c r="E977" t="inlineStr">
        <is>
          <t>RAGUNDA</t>
        </is>
      </c>
      <c r="G977" t="n">
        <v>4.7</v>
      </c>
      <c r="H977" t="n">
        <v>0</v>
      </c>
      <c r="I977" t="n">
        <v>0</v>
      </c>
      <c r="J977" t="n">
        <v>0</v>
      </c>
      <c r="K977" t="n">
        <v>0</v>
      </c>
      <c r="L977" t="n">
        <v>0</v>
      </c>
      <c r="M977" t="n">
        <v>0</v>
      </c>
      <c r="N977" t="n">
        <v>0</v>
      </c>
      <c r="O977" t="n">
        <v>0</v>
      </c>
      <c r="P977" t="n">
        <v>0</v>
      </c>
      <c r="Q977" t="n">
        <v>0</v>
      </c>
      <c r="R977" s="2" t="inlineStr"/>
    </row>
    <row r="978" ht="15" customHeight="1">
      <c r="A978" t="inlineStr">
        <is>
          <t>A 55222-2024</t>
        </is>
      </c>
      <c r="B978" s="1" t="n">
        <v>45621.57395833333</v>
      </c>
      <c r="C978" s="1" t="n">
        <v>46113</v>
      </c>
      <c r="D978" t="inlineStr">
        <is>
          <t>JÄMTLANDS LÄN</t>
        </is>
      </c>
      <c r="E978" t="inlineStr">
        <is>
          <t>RAGUNDA</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62691-2025</t>
        </is>
      </c>
      <c r="B979" s="1" t="n">
        <v>46008.4759837963</v>
      </c>
      <c r="C979" s="1" t="n">
        <v>46113</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32751-2025</t>
        </is>
      </c>
      <c r="B980" s="1" t="n">
        <v>45839.42864583333</v>
      </c>
      <c r="C980" s="1" t="n">
        <v>46113</v>
      </c>
      <c r="D980" t="inlineStr">
        <is>
          <t>JÄMTLANDS LÄN</t>
        </is>
      </c>
      <c r="E980" t="inlineStr">
        <is>
          <t>RAGUNDA</t>
        </is>
      </c>
      <c r="F980" t="inlineStr">
        <is>
          <t>SCA</t>
        </is>
      </c>
      <c r="G980" t="n">
        <v>10</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46113</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63141-2025</t>
        </is>
      </c>
      <c r="B982" s="1" t="n">
        <v>46010.34440972222</v>
      </c>
      <c r="C982" s="1" t="n">
        <v>46113</v>
      </c>
      <c r="D982" t="inlineStr">
        <is>
          <t>JÄMTLANDS LÄN</t>
        </is>
      </c>
      <c r="E982" t="inlineStr">
        <is>
          <t>RAGUNDA</t>
        </is>
      </c>
      <c r="F982" t="inlineStr">
        <is>
          <t>SCA</t>
        </is>
      </c>
      <c r="G982" t="n">
        <v>24.4</v>
      </c>
      <c r="H982" t="n">
        <v>0</v>
      </c>
      <c r="I982" t="n">
        <v>0</v>
      </c>
      <c r="J982" t="n">
        <v>0</v>
      </c>
      <c r="K982" t="n">
        <v>0</v>
      </c>
      <c r="L982" t="n">
        <v>0</v>
      </c>
      <c r="M982" t="n">
        <v>0</v>
      </c>
      <c r="N982" t="n">
        <v>0</v>
      </c>
      <c r="O982" t="n">
        <v>0</v>
      </c>
      <c r="P982" t="n">
        <v>0</v>
      </c>
      <c r="Q982" t="n">
        <v>0</v>
      </c>
      <c r="R982" s="2" t="inlineStr"/>
    </row>
    <row r="983" ht="15" customHeight="1">
      <c r="A983" t="inlineStr">
        <is>
          <t>A 33140-2025</t>
        </is>
      </c>
      <c r="B983" s="1" t="n">
        <v>45840.52225694444</v>
      </c>
      <c r="C983" s="1" t="n">
        <v>46113</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44755-2024</t>
        </is>
      </c>
      <c r="B984" s="1" t="n">
        <v>45574.61184027778</v>
      </c>
      <c r="C984" s="1" t="n">
        <v>46113</v>
      </c>
      <c r="D984" t="inlineStr">
        <is>
          <t>JÄMTLANDS LÄN</t>
        </is>
      </c>
      <c r="E984" t="inlineStr">
        <is>
          <t>RAGUNDA</t>
        </is>
      </c>
      <c r="G984" t="n">
        <v>4.4</v>
      </c>
      <c r="H984" t="n">
        <v>0</v>
      </c>
      <c r="I984" t="n">
        <v>0</v>
      </c>
      <c r="J984" t="n">
        <v>0</v>
      </c>
      <c r="K984" t="n">
        <v>0</v>
      </c>
      <c r="L984" t="n">
        <v>0</v>
      </c>
      <c r="M984" t="n">
        <v>0</v>
      </c>
      <c r="N984" t="n">
        <v>0</v>
      </c>
      <c r="O984" t="n">
        <v>0</v>
      </c>
      <c r="P984" t="n">
        <v>0</v>
      </c>
      <c r="Q984" t="n">
        <v>0</v>
      </c>
      <c r="R984" s="2" t="inlineStr"/>
    </row>
    <row r="985" ht="15" customHeight="1">
      <c r="A985" t="inlineStr">
        <is>
          <t>A 44766-2024</t>
        </is>
      </c>
      <c r="B985" s="1" t="n">
        <v>45574.62297453704</v>
      </c>
      <c r="C985" s="1" t="n">
        <v>46113</v>
      </c>
      <c r="D985" t="inlineStr">
        <is>
          <t>JÄMTLANDS LÄN</t>
        </is>
      </c>
      <c r="E985" t="inlineStr">
        <is>
          <t>RAGUNDA</t>
        </is>
      </c>
      <c r="G985" t="n">
        <v>3.2</v>
      </c>
      <c r="H985" t="n">
        <v>0</v>
      </c>
      <c r="I985" t="n">
        <v>0</v>
      </c>
      <c r="J985" t="n">
        <v>0</v>
      </c>
      <c r="K985" t="n">
        <v>0</v>
      </c>
      <c r="L985" t="n">
        <v>0</v>
      </c>
      <c r="M985" t="n">
        <v>0</v>
      </c>
      <c r="N985" t="n">
        <v>0</v>
      </c>
      <c r="O985" t="n">
        <v>0</v>
      </c>
      <c r="P985" t="n">
        <v>0</v>
      </c>
      <c r="Q985" t="n">
        <v>0</v>
      </c>
      <c r="R985" s="2" t="inlineStr"/>
    </row>
    <row r="986" ht="15" customHeight="1">
      <c r="A986" t="inlineStr">
        <is>
          <t>A 44778-2024</t>
        </is>
      </c>
      <c r="B986" s="1" t="n">
        <v>45574.63355324074</v>
      </c>
      <c r="C986" s="1" t="n">
        <v>46113</v>
      </c>
      <c r="D986" t="inlineStr">
        <is>
          <t>JÄMTLANDS LÄN</t>
        </is>
      </c>
      <c r="E986" t="inlineStr">
        <is>
          <t>RAGUNDA</t>
        </is>
      </c>
      <c r="G986" t="n">
        <v>5.5</v>
      </c>
      <c r="H986" t="n">
        <v>0</v>
      </c>
      <c r="I986" t="n">
        <v>0</v>
      </c>
      <c r="J986" t="n">
        <v>0</v>
      </c>
      <c r="K986" t="n">
        <v>0</v>
      </c>
      <c r="L986" t="n">
        <v>0</v>
      </c>
      <c r="M986" t="n">
        <v>0</v>
      </c>
      <c r="N986" t="n">
        <v>0</v>
      </c>
      <c r="O986" t="n">
        <v>0</v>
      </c>
      <c r="P986" t="n">
        <v>0</v>
      </c>
      <c r="Q986" t="n">
        <v>0</v>
      </c>
      <c r="R986" s="2" t="inlineStr"/>
    </row>
    <row r="987" ht="15" customHeight="1">
      <c r="A987" t="inlineStr">
        <is>
          <t>A 62927-2025</t>
        </is>
      </c>
      <c r="B987" s="1" t="n">
        <v>46009.38609953703</v>
      </c>
      <c r="C987" s="1" t="n">
        <v>46113</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c r="U987">
        <f>HYPERLINK("https://klasma.github.io/Logging_2303/knärot/A 62927-2025 karta knärot.png", "A 62927-2025")</f>
        <v/>
      </c>
      <c r="V987">
        <f>HYPERLINK("https://klasma.github.io/Logging_2303/klagomål/A 62927-2025 FSC-klagomål.docx", "A 62927-2025")</f>
        <v/>
      </c>
      <c r="W987">
        <f>HYPERLINK("https://klasma.github.io/Logging_2303/klagomålsmail/A 62927-2025 FSC-klagomål mail.docx", "A 62927-2025")</f>
        <v/>
      </c>
      <c r="X987">
        <f>HYPERLINK("https://klasma.github.io/Logging_2303/tillsyn/A 62927-2025 tillsynsbegäran.docx", "A 62927-2025")</f>
        <v/>
      </c>
      <c r="Y987">
        <f>HYPERLINK("https://klasma.github.io/Logging_2303/tillsynsmail/A 62927-2025 tillsynsbegäran mail.docx", "A 62927-2025")</f>
        <v/>
      </c>
    </row>
    <row r="988" ht="15" customHeight="1">
      <c r="A988" t="inlineStr">
        <is>
          <t>A 63060-2025</t>
        </is>
      </c>
      <c r="B988" s="1" t="n">
        <v>46009.64414351852</v>
      </c>
      <c r="C988" s="1" t="n">
        <v>46113</v>
      </c>
      <c r="D988" t="inlineStr">
        <is>
          <t>JÄMTLANDS LÄN</t>
        </is>
      </c>
      <c r="E988" t="inlineStr">
        <is>
          <t>RAGUNDA</t>
        </is>
      </c>
      <c r="G988" t="n">
        <v>6.5</v>
      </c>
      <c r="H988" t="n">
        <v>0</v>
      </c>
      <c r="I988" t="n">
        <v>0</v>
      </c>
      <c r="J988" t="n">
        <v>0</v>
      </c>
      <c r="K988" t="n">
        <v>0</v>
      </c>
      <c r="L988" t="n">
        <v>0</v>
      </c>
      <c r="M988" t="n">
        <v>0</v>
      </c>
      <c r="N988" t="n">
        <v>0</v>
      </c>
      <c r="O988" t="n">
        <v>0</v>
      </c>
      <c r="P988" t="n">
        <v>0</v>
      </c>
      <c r="Q988" t="n">
        <v>0</v>
      </c>
      <c r="R988" s="2" t="inlineStr"/>
    </row>
    <row r="989" ht="15" customHeight="1">
      <c r="A989" t="inlineStr">
        <is>
          <t>A 8795-2022</t>
        </is>
      </c>
      <c r="B989" s="1" t="n">
        <v>44614</v>
      </c>
      <c r="C989" s="1" t="n">
        <v>46113</v>
      </c>
      <c r="D989" t="inlineStr">
        <is>
          <t>JÄMTLANDS LÄN</t>
        </is>
      </c>
      <c r="E989" t="inlineStr">
        <is>
          <t>RAGUNDA</t>
        </is>
      </c>
      <c r="G989" t="n">
        <v>3.9</v>
      </c>
      <c r="H989" t="n">
        <v>0</v>
      </c>
      <c r="I989" t="n">
        <v>0</v>
      </c>
      <c r="J989" t="n">
        <v>0</v>
      </c>
      <c r="K989" t="n">
        <v>0</v>
      </c>
      <c r="L989" t="n">
        <v>0</v>
      </c>
      <c r="M989" t="n">
        <v>0</v>
      </c>
      <c r="N989" t="n">
        <v>0</v>
      </c>
      <c r="O989" t="n">
        <v>0</v>
      </c>
      <c r="P989" t="n">
        <v>0</v>
      </c>
      <c r="Q989" t="n">
        <v>0</v>
      </c>
      <c r="R989" s="2" t="inlineStr"/>
    </row>
    <row r="990" ht="15" customHeight="1">
      <c r="A990" t="inlineStr">
        <is>
          <t>A 14905-2022</t>
        </is>
      </c>
      <c r="B990" s="1" t="n">
        <v>44656.94708333333</v>
      </c>
      <c r="C990" s="1" t="n">
        <v>46113</v>
      </c>
      <c r="D990" t="inlineStr">
        <is>
          <t>JÄMTLANDS LÄN</t>
        </is>
      </c>
      <c r="E990" t="inlineStr">
        <is>
          <t>RAGUNDA</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63057-2025</t>
        </is>
      </c>
      <c r="B991" s="1" t="n">
        <v>46009.63837962963</v>
      </c>
      <c r="C991" s="1" t="n">
        <v>46113</v>
      </c>
      <c r="D991" t="inlineStr">
        <is>
          <t>JÄMTLANDS LÄN</t>
        </is>
      </c>
      <c r="E991" t="inlineStr">
        <is>
          <t>RAGUNDA</t>
        </is>
      </c>
      <c r="G991" t="n">
        <v>13.7</v>
      </c>
      <c r="H991" t="n">
        <v>0</v>
      </c>
      <c r="I991" t="n">
        <v>0</v>
      </c>
      <c r="J991" t="n">
        <v>0</v>
      </c>
      <c r="K991" t="n">
        <v>0</v>
      </c>
      <c r="L991" t="n">
        <v>0</v>
      </c>
      <c r="M991" t="n">
        <v>0</v>
      </c>
      <c r="N991" t="n">
        <v>0</v>
      </c>
      <c r="O991" t="n">
        <v>0</v>
      </c>
      <c r="P991" t="n">
        <v>0</v>
      </c>
      <c r="Q991" t="n">
        <v>0</v>
      </c>
      <c r="R991" s="2" t="inlineStr"/>
    </row>
    <row r="992" ht="15" customHeight="1">
      <c r="A992" t="inlineStr">
        <is>
          <t>A 6257-2025</t>
        </is>
      </c>
      <c r="B992" s="1" t="n">
        <v>45698.59409722222</v>
      </c>
      <c r="C992" s="1" t="n">
        <v>46113</v>
      </c>
      <c r="D992" t="inlineStr">
        <is>
          <t>JÄMTLANDS LÄN</t>
        </is>
      </c>
      <c r="E992" t="inlineStr">
        <is>
          <t>RAGUNDA</t>
        </is>
      </c>
      <c r="F992" t="inlineStr">
        <is>
          <t>SCA</t>
        </is>
      </c>
      <c r="G992" t="n">
        <v>7</v>
      </c>
      <c r="H992" t="n">
        <v>0</v>
      </c>
      <c r="I992" t="n">
        <v>0</v>
      </c>
      <c r="J992" t="n">
        <v>0</v>
      </c>
      <c r="K992" t="n">
        <v>0</v>
      </c>
      <c r="L992" t="n">
        <v>0</v>
      </c>
      <c r="M992" t="n">
        <v>0</v>
      </c>
      <c r="N992" t="n">
        <v>0</v>
      </c>
      <c r="O992" t="n">
        <v>0</v>
      </c>
      <c r="P992" t="n">
        <v>0</v>
      </c>
      <c r="Q992" t="n">
        <v>0</v>
      </c>
      <c r="R992" s="2" t="inlineStr"/>
    </row>
    <row r="993" ht="15" customHeight="1">
      <c r="A993" t="inlineStr">
        <is>
          <t>A 42508-2023</t>
        </is>
      </c>
      <c r="B993" s="1" t="n">
        <v>45180.95907407408</v>
      </c>
      <c r="C993" s="1" t="n">
        <v>46113</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63672-2025</t>
        </is>
      </c>
      <c r="B994" s="1" t="n">
        <v>46014.47575231481</v>
      </c>
      <c r="C994" s="1" t="n">
        <v>46113</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63671-2025</t>
        </is>
      </c>
      <c r="B995" s="1" t="n">
        <v>46014.46555555556</v>
      </c>
      <c r="C995" s="1" t="n">
        <v>46113</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63578-2025</t>
        </is>
      </c>
      <c r="B996" s="1" t="n">
        <v>46013.67690972222</v>
      </c>
      <c r="C996" s="1" t="n">
        <v>46113</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33556-2025</t>
        </is>
      </c>
      <c r="B997" s="1" t="n">
        <v>45841.57427083333</v>
      </c>
      <c r="C997" s="1" t="n">
        <v>46113</v>
      </c>
      <c r="D997" t="inlineStr">
        <is>
          <t>JÄMTLANDS LÄN</t>
        </is>
      </c>
      <c r="E997" t="inlineStr">
        <is>
          <t>RAGUNDA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55633-2025</t>
        </is>
      </c>
      <c r="B998" s="1" t="n">
        <v>45972</v>
      </c>
      <c r="C998" s="1" t="n">
        <v>46113</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55671-2025</t>
        </is>
      </c>
      <c r="B999" s="1" t="n">
        <v>45972</v>
      </c>
      <c r="C999" s="1" t="n">
        <v>46113</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59286-2023</t>
        </is>
      </c>
      <c r="B1000" s="1" t="n">
        <v>45253</v>
      </c>
      <c r="C1000" s="1" t="n">
        <v>46113</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55797-2025</t>
        </is>
      </c>
      <c r="B1001" s="1" t="n">
        <v>45972.65693287037</v>
      </c>
      <c r="C1001" s="1" t="n">
        <v>46113</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53727-2025</t>
        </is>
      </c>
      <c r="B1002" s="1" t="n">
        <v>45960.63630787037</v>
      </c>
      <c r="C1002" s="1" t="n">
        <v>46113</v>
      </c>
      <c r="D1002" t="inlineStr">
        <is>
          <t>JÄMTLANDS LÄN</t>
        </is>
      </c>
      <c r="E1002" t="inlineStr">
        <is>
          <t>RAGUNDA</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33790-2025</t>
        </is>
      </c>
      <c r="B1003" s="1" t="n">
        <v>45842.42608796297</v>
      </c>
      <c r="C1003" s="1" t="n">
        <v>46113</v>
      </c>
      <c r="D1003" t="inlineStr">
        <is>
          <t>JÄMTLANDS LÄN</t>
        </is>
      </c>
      <c r="E1003" t="inlineStr">
        <is>
          <t>RAGUNDA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55547-2025</t>
        </is>
      </c>
      <c r="B1004" s="1" t="n">
        <v>45971</v>
      </c>
      <c r="C1004" s="1" t="n">
        <v>46113</v>
      </c>
      <c r="D1004" t="inlineStr">
        <is>
          <t>JÄMTLANDS LÄN</t>
        </is>
      </c>
      <c r="E1004" t="inlineStr">
        <is>
          <t>RAGUNDA</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7284-2025</t>
        </is>
      </c>
      <c r="B1005" s="1" t="n">
        <v>45702.63604166666</v>
      </c>
      <c r="C1005" s="1" t="n">
        <v>46113</v>
      </c>
      <c r="D1005" t="inlineStr">
        <is>
          <t>JÄMTLANDS LÄN</t>
        </is>
      </c>
      <c r="E1005" t="inlineStr">
        <is>
          <t>RAGUNDA</t>
        </is>
      </c>
      <c r="F1005" t="inlineStr">
        <is>
          <t>SCA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63714-2025</t>
        </is>
      </c>
      <c r="B1006" s="1" t="n">
        <v>46014</v>
      </c>
      <c r="C1006" s="1" t="n">
        <v>46113</v>
      </c>
      <c r="D1006" t="inlineStr">
        <is>
          <t>JÄMTLANDS LÄN</t>
        </is>
      </c>
      <c r="E1006" t="inlineStr">
        <is>
          <t>RAGUNDA</t>
        </is>
      </c>
      <c r="F1006" t="inlineStr">
        <is>
          <t>Sveaskog</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60012-2023</t>
        </is>
      </c>
      <c r="B1007" s="1" t="n">
        <v>45257</v>
      </c>
      <c r="C1007" s="1" t="n">
        <v>46113</v>
      </c>
      <c r="D1007" t="inlineStr">
        <is>
          <t>JÄMTLANDS LÄN</t>
        </is>
      </c>
      <c r="E1007" t="inlineStr">
        <is>
          <t>RAGUNDA</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20221-2025</t>
        </is>
      </c>
      <c r="B1008" s="1" t="n">
        <v>45772.6565625</v>
      </c>
      <c r="C1008" s="1" t="n">
        <v>46113</v>
      </c>
      <c r="D1008" t="inlineStr">
        <is>
          <t>JÄMTLANDS LÄN</t>
        </is>
      </c>
      <c r="E1008" t="inlineStr">
        <is>
          <t>RAGUNDA</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34296-2025</t>
        </is>
      </c>
      <c r="B1009" s="1" t="n">
        <v>45846.34454861111</v>
      </c>
      <c r="C1009" s="1" t="n">
        <v>46113</v>
      </c>
      <c r="D1009" t="inlineStr">
        <is>
          <t>JÄMTLANDS LÄN</t>
        </is>
      </c>
      <c r="E1009" t="inlineStr">
        <is>
          <t>RAGUNDA</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35265-2023</t>
        </is>
      </c>
      <c r="B1010" s="1" t="n">
        <v>45145.95326388889</v>
      </c>
      <c r="C1010" s="1" t="n">
        <v>46113</v>
      </c>
      <c r="D1010" t="inlineStr">
        <is>
          <t>JÄMTLANDS LÄN</t>
        </is>
      </c>
      <c r="E1010" t="inlineStr">
        <is>
          <t>RAGUNDA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31435-2022</t>
        </is>
      </c>
      <c r="B1011" s="1" t="n">
        <v>44774</v>
      </c>
      <c r="C1011" s="1" t="n">
        <v>46113</v>
      </c>
      <c r="D1011" t="inlineStr">
        <is>
          <t>JÄMTLANDS LÄN</t>
        </is>
      </c>
      <c r="E1011" t="inlineStr">
        <is>
          <t>RAGUNDA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50211-2023</t>
        </is>
      </c>
      <c r="B1012" s="1" t="n">
        <v>45215.94657407407</v>
      </c>
      <c r="C1012" s="1" t="n">
        <v>46113</v>
      </c>
      <c r="D1012" t="inlineStr">
        <is>
          <t>JÄMTLANDS LÄN</t>
        </is>
      </c>
      <c r="E1012" t="inlineStr">
        <is>
          <t>RAGUNDA</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63828-2025</t>
        </is>
      </c>
      <c r="B1013" s="1" t="n">
        <v>46020.37814814815</v>
      </c>
      <c r="C1013" s="1" t="n">
        <v>46113</v>
      </c>
      <c r="D1013" t="inlineStr">
        <is>
          <t>JÄMTLANDS LÄN</t>
        </is>
      </c>
      <c r="E1013" t="inlineStr">
        <is>
          <t>RAGUNDA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16529-2022</t>
        </is>
      </c>
      <c r="B1014" s="1" t="n">
        <v>44671</v>
      </c>
      <c r="C1014" s="1" t="n">
        <v>46113</v>
      </c>
      <c r="D1014" t="inlineStr">
        <is>
          <t>JÄMTLANDS LÄN</t>
        </is>
      </c>
      <c r="E1014" t="inlineStr">
        <is>
          <t>RAGUNDA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40269-2022</t>
        </is>
      </c>
      <c r="B1015" s="1" t="n">
        <v>44820</v>
      </c>
      <c r="C1015" s="1" t="n">
        <v>46113</v>
      </c>
      <c r="D1015" t="inlineStr">
        <is>
          <t>JÄMTLANDS LÄN</t>
        </is>
      </c>
      <c r="E1015" t="inlineStr">
        <is>
          <t>RAGUNDA</t>
        </is>
      </c>
      <c r="F1015" t="inlineStr">
        <is>
          <t>SCA</t>
        </is>
      </c>
      <c r="G1015" t="n">
        <v>77.8</v>
      </c>
      <c r="H1015" t="n">
        <v>0</v>
      </c>
      <c r="I1015" t="n">
        <v>0</v>
      </c>
      <c r="J1015" t="n">
        <v>0</v>
      </c>
      <c r="K1015" t="n">
        <v>0</v>
      </c>
      <c r="L1015" t="n">
        <v>0</v>
      </c>
      <c r="M1015" t="n">
        <v>0</v>
      </c>
      <c r="N1015" t="n">
        <v>0</v>
      </c>
      <c r="O1015" t="n">
        <v>0</v>
      </c>
      <c r="P1015" t="n">
        <v>0</v>
      </c>
      <c r="Q1015" t="n">
        <v>0</v>
      </c>
      <c r="R1015" s="2" t="inlineStr"/>
    </row>
    <row r="1016" ht="15" customHeight="1">
      <c r="A1016" t="inlineStr">
        <is>
          <t>A 33650-2025</t>
        </is>
      </c>
      <c r="B1016" s="1" t="n">
        <v>45841</v>
      </c>
      <c r="C1016" s="1" t="n">
        <v>46113</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44536-2022</t>
        </is>
      </c>
      <c r="B1017" s="1" t="n">
        <v>44839</v>
      </c>
      <c r="C1017" s="1" t="n">
        <v>46113</v>
      </c>
      <c r="D1017" t="inlineStr">
        <is>
          <t>JÄMTLANDS LÄN</t>
        </is>
      </c>
      <c r="E1017" t="inlineStr">
        <is>
          <t>RAGUNDA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36212-2023</t>
        </is>
      </c>
      <c r="B1018" s="1" t="n">
        <v>45149.95241898148</v>
      </c>
      <c r="C1018" s="1" t="n">
        <v>46113</v>
      </c>
      <c r="D1018" t="inlineStr">
        <is>
          <t>JÄMTLANDS LÄN</t>
        </is>
      </c>
      <c r="E1018" t="inlineStr">
        <is>
          <t>RAGUNDA</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557-2026</t>
        </is>
      </c>
      <c r="B1019" s="1" t="n">
        <v>46021</v>
      </c>
      <c r="C1019" s="1" t="n">
        <v>46113</v>
      </c>
      <c r="D1019" t="inlineStr">
        <is>
          <t>JÄMTLANDS LÄN</t>
        </is>
      </c>
      <c r="E1019" t="inlineStr">
        <is>
          <t>RAGUNDA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46113</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54599-2023</t>
        </is>
      </c>
      <c r="B1021" s="1" t="n">
        <v>45233.92591435185</v>
      </c>
      <c r="C1021" s="1" t="n">
        <v>46113</v>
      </c>
      <c r="D1021" t="inlineStr">
        <is>
          <t>JÄMTLANDS LÄN</t>
        </is>
      </c>
      <c r="E1021" t="inlineStr">
        <is>
          <t>RAGUNDA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122-2026</t>
        </is>
      </c>
      <c r="B1022" s="1" t="n">
        <v>46024.57335648148</v>
      </c>
      <c r="C1022" s="1" t="n">
        <v>46113</v>
      </c>
      <c r="D1022" t="inlineStr">
        <is>
          <t>JÄMTLANDS LÄN</t>
        </is>
      </c>
      <c r="E1022" t="inlineStr">
        <is>
          <t>RAGUNDA</t>
        </is>
      </c>
      <c r="F1022" t="inlineStr">
        <is>
          <t>SCA</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10610-2024</t>
        </is>
      </c>
      <c r="B1023" s="1" t="n">
        <v>45367.04693287037</v>
      </c>
      <c r="C1023" s="1" t="n">
        <v>46113</v>
      </c>
      <c r="D1023" t="inlineStr">
        <is>
          <t>JÄMTLANDS LÄN</t>
        </is>
      </c>
      <c r="E1023" t="inlineStr">
        <is>
          <t>RAGUNDA</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34461-2025</t>
        </is>
      </c>
      <c r="B1024" s="1" t="n">
        <v>45847.34474537037</v>
      </c>
      <c r="C1024" s="1" t="n">
        <v>46113</v>
      </c>
      <c r="D1024" t="inlineStr">
        <is>
          <t>JÄMTLANDS LÄN</t>
        </is>
      </c>
      <c r="E1024" t="inlineStr">
        <is>
          <t>RAGUNDA</t>
        </is>
      </c>
      <c r="F1024" t="inlineStr">
        <is>
          <t>SCA</t>
        </is>
      </c>
      <c r="G1024" t="n">
        <v>44.8</v>
      </c>
      <c r="H1024" t="n">
        <v>0</v>
      </c>
      <c r="I1024" t="n">
        <v>0</v>
      </c>
      <c r="J1024" t="n">
        <v>0</v>
      </c>
      <c r="K1024" t="n">
        <v>0</v>
      </c>
      <c r="L1024" t="n">
        <v>0</v>
      </c>
      <c r="M1024" t="n">
        <v>0</v>
      </c>
      <c r="N1024" t="n">
        <v>0</v>
      </c>
      <c r="O1024" t="n">
        <v>0</v>
      </c>
      <c r="P1024" t="n">
        <v>0</v>
      </c>
      <c r="Q1024" t="n">
        <v>0</v>
      </c>
      <c r="R1024" s="2" t="inlineStr"/>
    </row>
    <row r="1025" ht="15" customHeight="1">
      <c r="A1025" t="inlineStr">
        <is>
          <t>A 34464-2025</t>
        </is>
      </c>
      <c r="B1025" s="1" t="n">
        <v>45847.34528935186</v>
      </c>
      <c r="C1025" s="1" t="n">
        <v>46113</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8779-2025</t>
        </is>
      </c>
      <c r="B1026" s="1" t="n">
        <v>45712.61552083334</v>
      </c>
      <c r="C1026" s="1" t="n">
        <v>46113</v>
      </c>
      <c r="D1026" t="inlineStr">
        <is>
          <t>JÄMTLANDS LÄN</t>
        </is>
      </c>
      <c r="E1026" t="inlineStr">
        <is>
          <t>RAGUNDA</t>
        </is>
      </c>
      <c r="F1026" t="inlineStr">
        <is>
          <t>SCA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20574-2025</t>
        </is>
      </c>
      <c r="B1027" s="1" t="n">
        <v>45775.67747685185</v>
      </c>
      <c r="C1027" s="1" t="n">
        <v>46113</v>
      </c>
      <c r="D1027" t="inlineStr">
        <is>
          <t>JÄMTLANDS LÄN</t>
        </is>
      </c>
      <c r="E1027" t="inlineStr">
        <is>
          <t>RAGUNDA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16676-2022</t>
        </is>
      </c>
      <c r="B1028" s="1" t="n">
        <v>44672.94018518519</v>
      </c>
      <c r="C1028" s="1" t="n">
        <v>46113</v>
      </c>
      <c r="D1028" t="inlineStr">
        <is>
          <t>JÄMTLANDS LÄN</t>
        </is>
      </c>
      <c r="E1028" t="inlineStr">
        <is>
          <t>RAGUNDA</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34468-2025</t>
        </is>
      </c>
      <c r="B1029" s="1" t="n">
        <v>45847.34597222223</v>
      </c>
      <c r="C1029" s="1" t="n">
        <v>46113</v>
      </c>
      <c r="D1029" t="inlineStr">
        <is>
          <t>JÄMTLANDS LÄN</t>
        </is>
      </c>
      <c r="E1029" t="inlineStr">
        <is>
          <t>RAGUNDA</t>
        </is>
      </c>
      <c r="F1029" t="inlineStr">
        <is>
          <t>SCA</t>
        </is>
      </c>
      <c r="G1029" t="n">
        <v>10</v>
      </c>
      <c r="H1029" t="n">
        <v>0</v>
      </c>
      <c r="I1029" t="n">
        <v>0</v>
      </c>
      <c r="J1029" t="n">
        <v>0</v>
      </c>
      <c r="K1029" t="n">
        <v>0</v>
      </c>
      <c r="L1029" t="n">
        <v>0</v>
      </c>
      <c r="M1029" t="n">
        <v>0</v>
      </c>
      <c r="N1029" t="n">
        <v>0</v>
      </c>
      <c r="O1029" t="n">
        <v>0</v>
      </c>
      <c r="P1029" t="n">
        <v>0</v>
      </c>
      <c r="Q1029" t="n">
        <v>0</v>
      </c>
      <c r="R1029" s="2" t="inlineStr"/>
    </row>
    <row r="1030" ht="15" customHeight="1">
      <c r="A1030" t="inlineStr">
        <is>
          <t>A 222-2026</t>
        </is>
      </c>
      <c r="B1030" s="1" t="n">
        <v>46026.84054398148</v>
      </c>
      <c r="C1030" s="1" t="n">
        <v>46113</v>
      </c>
      <c r="D1030" t="inlineStr">
        <is>
          <t>JÄMTLANDS LÄN</t>
        </is>
      </c>
      <c r="E1030" t="inlineStr">
        <is>
          <t>RAGUNDA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34586-2025</t>
        </is>
      </c>
      <c r="B1031" s="1" t="n">
        <v>45847.61513888889</v>
      </c>
      <c r="C1031" s="1" t="n">
        <v>46113</v>
      </c>
      <c r="D1031" t="inlineStr">
        <is>
          <t>JÄMTLANDS LÄN</t>
        </is>
      </c>
      <c r="E1031" t="inlineStr">
        <is>
          <t>RAGUNDA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34607-2025</t>
        </is>
      </c>
      <c r="B1032" s="1" t="n">
        <v>45847.65703703704</v>
      </c>
      <c r="C1032" s="1" t="n">
        <v>46113</v>
      </c>
      <c r="D1032" t="inlineStr">
        <is>
          <t>JÄMTLANDS LÄN</t>
        </is>
      </c>
      <c r="E1032" t="inlineStr">
        <is>
          <t>RAGUNDA</t>
        </is>
      </c>
      <c r="F1032" t="inlineStr">
        <is>
          <t>SCA</t>
        </is>
      </c>
      <c r="G1032" t="n">
        <v>31.4</v>
      </c>
      <c r="H1032" t="n">
        <v>0</v>
      </c>
      <c r="I1032" t="n">
        <v>0</v>
      </c>
      <c r="J1032" t="n">
        <v>0</v>
      </c>
      <c r="K1032" t="n">
        <v>0</v>
      </c>
      <c r="L1032" t="n">
        <v>0</v>
      </c>
      <c r="M1032" t="n">
        <v>0</v>
      </c>
      <c r="N1032" t="n">
        <v>0</v>
      </c>
      <c r="O1032" t="n">
        <v>0</v>
      </c>
      <c r="P1032" t="n">
        <v>0</v>
      </c>
      <c r="Q1032" t="n">
        <v>0</v>
      </c>
      <c r="R1032" s="2" t="inlineStr"/>
    </row>
    <row r="1033" ht="15" customHeight="1">
      <c r="A1033" t="inlineStr">
        <is>
          <t>A 57078-2023</t>
        </is>
      </c>
      <c r="B1033" s="1" t="n">
        <v>45244.96774305555</v>
      </c>
      <c r="C1033" s="1" t="n">
        <v>46113</v>
      </c>
      <c r="D1033" t="inlineStr">
        <is>
          <t>JÄMTLANDS LÄN</t>
        </is>
      </c>
      <c r="E1033" t="inlineStr">
        <is>
          <t>RAGUNDA</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34772-2025</t>
        </is>
      </c>
      <c r="B1034" s="1" t="n">
        <v>45848.65658564815</v>
      </c>
      <c r="C1034" s="1" t="n">
        <v>46113</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265-2026</t>
        </is>
      </c>
      <c r="B1035" s="1" t="n">
        <v>46027.44956018519</v>
      </c>
      <c r="C1035" s="1" t="n">
        <v>46113</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34466-2025</t>
        </is>
      </c>
      <c r="B1036" s="1" t="n">
        <v>45847.34565972222</v>
      </c>
      <c r="C1036" s="1" t="n">
        <v>46113</v>
      </c>
      <c r="D1036" t="inlineStr">
        <is>
          <t>JÄMTLANDS LÄN</t>
        </is>
      </c>
      <c r="E1036" t="inlineStr">
        <is>
          <t>RAGUNDA</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12976-2025</t>
        </is>
      </c>
      <c r="B1037" s="1" t="n">
        <v>45734.45268518518</v>
      </c>
      <c r="C1037" s="1" t="n">
        <v>46113</v>
      </c>
      <c r="D1037" t="inlineStr">
        <is>
          <t>JÄMTLANDS LÄN</t>
        </is>
      </c>
      <c r="E1037" t="inlineStr">
        <is>
          <t>RAGUNDA</t>
        </is>
      </c>
      <c r="G1037" t="n">
        <v>24.2</v>
      </c>
      <c r="H1037" t="n">
        <v>0</v>
      </c>
      <c r="I1037" t="n">
        <v>0</v>
      </c>
      <c r="J1037" t="n">
        <v>0</v>
      </c>
      <c r="K1037" t="n">
        <v>0</v>
      </c>
      <c r="L1037" t="n">
        <v>0</v>
      </c>
      <c r="M1037" t="n">
        <v>0</v>
      </c>
      <c r="N1037" t="n">
        <v>0</v>
      </c>
      <c r="O1037" t="n">
        <v>0</v>
      </c>
      <c r="P1037" t="n">
        <v>0</v>
      </c>
      <c r="Q1037" t="n">
        <v>0</v>
      </c>
      <c r="R1037" s="2" t="inlineStr"/>
    </row>
    <row r="1038" ht="15" customHeight="1">
      <c r="A1038" t="inlineStr">
        <is>
          <t>A 56286-2023</t>
        </is>
      </c>
      <c r="B1038" s="1" t="n">
        <v>45241.95741898148</v>
      </c>
      <c r="C1038" s="1" t="n">
        <v>46113</v>
      </c>
      <c r="D1038" t="inlineStr">
        <is>
          <t>JÄMTLANDS LÄN</t>
        </is>
      </c>
      <c r="E1038" t="inlineStr">
        <is>
          <t>RAGUNDA</t>
        </is>
      </c>
      <c r="F1038" t="inlineStr">
        <is>
          <t>SCA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56287-2023</t>
        </is>
      </c>
      <c r="B1039" s="1" t="n">
        <v>45241</v>
      </c>
      <c r="C1039" s="1" t="n">
        <v>46113</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34588-2025</t>
        </is>
      </c>
      <c r="B1040" s="1" t="n">
        <v>45847.61548611111</v>
      </c>
      <c r="C1040" s="1" t="n">
        <v>46113</v>
      </c>
      <c r="D1040" t="inlineStr">
        <is>
          <t>JÄMTLANDS LÄN</t>
        </is>
      </c>
      <c r="E1040" t="inlineStr">
        <is>
          <t>RAGUNDA</t>
        </is>
      </c>
      <c r="G1040" t="n">
        <v>32.3</v>
      </c>
      <c r="H1040" t="n">
        <v>0</v>
      </c>
      <c r="I1040" t="n">
        <v>0</v>
      </c>
      <c r="J1040" t="n">
        <v>0</v>
      </c>
      <c r="K1040" t="n">
        <v>0</v>
      </c>
      <c r="L1040" t="n">
        <v>0</v>
      </c>
      <c r="M1040" t="n">
        <v>0</v>
      </c>
      <c r="N1040" t="n">
        <v>0</v>
      </c>
      <c r="O1040" t="n">
        <v>0</v>
      </c>
      <c r="P1040" t="n">
        <v>0</v>
      </c>
      <c r="Q1040" t="n">
        <v>0</v>
      </c>
      <c r="R1040" s="2" t="inlineStr"/>
    </row>
    <row r="1041" ht="15" customHeight="1">
      <c r="A1041" t="inlineStr">
        <is>
          <t>A 59658-2023</t>
        </is>
      </c>
      <c r="B1041" s="1" t="n">
        <v>45254.96402777778</v>
      </c>
      <c r="C1041" s="1" t="n">
        <v>46113</v>
      </c>
      <c r="D1041" t="inlineStr">
        <is>
          <t>JÄMTLANDS LÄN</t>
        </is>
      </c>
      <c r="E1041" t="inlineStr">
        <is>
          <t>RAGUNDA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34463-2025</t>
        </is>
      </c>
      <c r="B1042" s="1" t="n">
        <v>45847.34515046296</v>
      </c>
      <c r="C1042" s="1" t="n">
        <v>46113</v>
      </c>
      <c r="D1042" t="inlineStr">
        <is>
          <t>JÄMTLANDS LÄN</t>
        </is>
      </c>
      <c r="E1042" t="inlineStr">
        <is>
          <t>RAGUNDA</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34710-2025</t>
        </is>
      </c>
      <c r="B1043" s="1" t="n">
        <v>45848.49774305556</v>
      </c>
      <c r="C1043" s="1" t="n">
        <v>46113</v>
      </c>
      <c r="D1043" t="inlineStr">
        <is>
          <t>JÄMTLANDS LÄN</t>
        </is>
      </c>
      <c r="E1043" t="inlineStr">
        <is>
          <t>RAGUNDA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28081-2022</t>
        </is>
      </c>
      <c r="B1044" s="1" t="n">
        <v>44746</v>
      </c>
      <c r="C1044" s="1" t="n">
        <v>46113</v>
      </c>
      <c r="D1044" t="inlineStr">
        <is>
          <t>JÄMTLANDS LÄN</t>
        </is>
      </c>
      <c r="E1044" t="inlineStr">
        <is>
          <t>RAGUNDA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34709-2025</t>
        </is>
      </c>
      <c r="B1045" s="1" t="n">
        <v>45848.49761574074</v>
      </c>
      <c r="C1045" s="1" t="n">
        <v>46113</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9566-2026</t>
        </is>
      </c>
      <c r="B1046" s="1" t="n">
        <v>46071.65679398148</v>
      </c>
      <c r="C1046" s="1" t="n">
        <v>46113</v>
      </c>
      <c r="D1046" t="inlineStr">
        <is>
          <t>JÄMTLANDS LÄN</t>
        </is>
      </c>
      <c r="E1046" t="inlineStr">
        <is>
          <t>RAGUNDA</t>
        </is>
      </c>
      <c r="F1046" t="inlineStr">
        <is>
          <t>SCA</t>
        </is>
      </c>
      <c r="G1046" t="n">
        <v>18.9</v>
      </c>
      <c r="H1046" t="n">
        <v>0</v>
      </c>
      <c r="I1046" t="n">
        <v>0</v>
      </c>
      <c r="J1046" t="n">
        <v>0</v>
      </c>
      <c r="K1046" t="n">
        <v>0</v>
      </c>
      <c r="L1046" t="n">
        <v>0</v>
      </c>
      <c r="M1046" t="n">
        <v>0</v>
      </c>
      <c r="N1046" t="n">
        <v>0</v>
      </c>
      <c r="O1046" t="n">
        <v>0</v>
      </c>
      <c r="P1046" t="n">
        <v>0</v>
      </c>
      <c r="Q1046" t="n">
        <v>0</v>
      </c>
      <c r="R1046" s="2" t="inlineStr"/>
    </row>
    <row r="1047" ht="15" customHeight="1">
      <c r="A1047" t="inlineStr">
        <is>
          <t>A 9538-2026</t>
        </is>
      </c>
      <c r="B1047" s="1" t="n">
        <v>46071.61511574074</v>
      </c>
      <c r="C1047" s="1" t="n">
        <v>46113</v>
      </c>
      <c r="D1047" t="inlineStr">
        <is>
          <t>JÄMTLANDS LÄN</t>
        </is>
      </c>
      <c r="E1047" t="inlineStr">
        <is>
          <t>RAGUNDA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647-2026</t>
        </is>
      </c>
      <c r="B1048" s="1" t="n">
        <v>46029.57357638889</v>
      </c>
      <c r="C1048" s="1" t="n">
        <v>46113</v>
      </c>
      <c r="D1048" t="inlineStr">
        <is>
          <t>JÄMTLANDS LÄN</t>
        </is>
      </c>
      <c r="E1048" t="inlineStr">
        <is>
          <t>RAGUNDA</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9537-2026</t>
        </is>
      </c>
      <c r="B1049" s="1" t="n">
        <v>46071.61503472222</v>
      </c>
      <c r="C1049" s="1" t="n">
        <v>46113</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37324-2022</t>
        </is>
      </c>
      <c r="B1050" s="1" t="n">
        <v>44806</v>
      </c>
      <c r="C1050" s="1" t="n">
        <v>46113</v>
      </c>
      <c r="D1050" t="inlineStr">
        <is>
          <t>JÄMTLANDS LÄN</t>
        </is>
      </c>
      <c r="E1050" t="inlineStr">
        <is>
          <t>RAGUNDA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35092-2025</t>
        </is>
      </c>
      <c r="B1051" s="1" t="n">
        <v>45852.53185185185</v>
      </c>
      <c r="C1051" s="1" t="n">
        <v>46113</v>
      </c>
      <c r="D1051" t="inlineStr">
        <is>
          <t>JÄMTLANDS LÄN</t>
        </is>
      </c>
      <c r="E1051" t="inlineStr">
        <is>
          <t>RAGUNDA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34998-2025</t>
        </is>
      </c>
      <c r="B1052" s="1" t="n">
        <v>45850.34434027778</v>
      </c>
      <c r="C1052" s="1" t="n">
        <v>46113</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9513-2026</t>
        </is>
      </c>
      <c r="B1053" s="1" t="n">
        <v>46071.59444444445</v>
      </c>
      <c r="C1053" s="1" t="n">
        <v>46113</v>
      </c>
      <c r="D1053" t="inlineStr">
        <is>
          <t>JÄMTLANDS LÄN</t>
        </is>
      </c>
      <c r="E1053" t="inlineStr">
        <is>
          <t>RAGUNDA</t>
        </is>
      </c>
      <c r="F1053" t="inlineStr">
        <is>
          <t>SCA</t>
        </is>
      </c>
      <c r="G1053" t="n">
        <v>26.1</v>
      </c>
      <c r="H1053" t="n">
        <v>0</v>
      </c>
      <c r="I1053" t="n">
        <v>0</v>
      </c>
      <c r="J1053" t="n">
        <v>0</v>
      </c>
      <c r="K1053" t="n">
        <v>0</v>
      </c>
      <c r="L1053" t="n">
        <v>0</v>
      </c>
      <c r="M1053" t="n">
        <v>0</v>
      </c>
      <c r="N1053" t="n">
        <v>0</v>
      </c>
      <c r="O1053" t="n">
        <v>0</v>
      </c>
      <c r="P1053" t="n">
        <v>0</v>
      </c>
      <c r="Q1053" t="n">
        <v>0</v>
      </c>
      <c r="R1053" s="2" t="inlineStr"/>
    </row>
    <row r="1054" ht="15" customHeight="1">
      <c r="A1054" t="inlineStr">
        <is>
          <t>A 34968-2025</t>
        </is>
      </c>
      <c r="B1054" s="1" t="n">
        <v>45849.65663194445</v>
      </c>
      <c r="C1054" s="1" t="n">
        <v>46113</v>
      </c>
      <c r="D1054" t="inlineStr">
        <is>
          <t>JÄMTLANDS LÄN</t>
        </is>
      </c>
      <c r="E1054" t="inlineStr">
        <is>
          <t>RAGUNDA</t>
        </is>
      </c>
      <c r="F1054" t="inlineStr">
        <is>
          <t>SCA</t>
        </is>
      </c>
      <c r="G1054" t="n">
        <v>20.2</v>
      </c>
      <c r="H1054" t="n">
        <v>0</v>
      </c>
      <c r="I1054" t="n">
        <v>0</v>
      </c>
      <c r="J1054" t="n">
        <v>0</v>
      </c>
      <c r="K1054" t="n">
        <v>0</v>
      </c>
      <c r="L1054" t="n">
        <v>0</v>
      </c>
      <c r="M1054" t="n">
        <v>0</v>
      </c>
      <c r="N1054" t="n">
        <v>0</v>
      </c>
      <c r="O1054" t="n">
        <v>0</v>
      </c>
      <c r="P1054" t="n">
        <v>0</v>
      </c>
      <c r="Q1054" t="n">
        <v>0</v>
      </c>
      <c r="R1054" s="2" t="inlineStr"/>
    </row>
    <row r="1055" ht="15" customHeight="1">
      <c r="A1055" t="inlineStr">
        <is>
          <t>A 34999-2025</t>
        </is>
      </c>
      <c r="B1055" s="1" t="n">
        <v>45850.34450231482</v>
      </c>
      <c r="C1055" s="1" t="n">
        <v>46113</v>
      </c>
      <c r="D1055" t="inlineStr">
        <is>
          <t>JÄMTLANDS LÄN</t>
        </is>
      </c>
      <c r="E1055" t="inlineStr">
        <is>
          <t>RAGUNDA</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9736-2026</t>
        </is>
      </c>
      <c r="B1056" s="1" t="n">
        <v>46072.49005787037</v>
      </c>
      <c r="C1056" s="1" t="n">
        <v>46113</v>
      </c>
      <c r="D1056" t="inlineStr">
        <is>
          <t>JÄMTLANDS LÄN</t>
        </is>
      </c>
      <c r="E1056" t="inlineStr">
        <is>
          <t>RAGUNDA</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35091-2025</t>
        </is>
      </c>
      <c r="B1057" s="1" t="n">
        <v>45852.53168981482</v>
      </c>
      <c r="C1057" s="1" t="n">
        <v>46113</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1333-2026</t>
        </is>
      </c>
      <c r="B1058" s="1" t="n">
        <v>46031.57340277778</v>
      </c>
      <c r="C1058" s="1" t="n">
        <v>46113</v>
      </c>
      <c r="D1058" t="inlineStr">
        <is>
          <t>JÄMTLANDS LÄN</t>
        </is>
      </c>
      <c r="E1058" t="inlineStr">
        <is>
          <t>RAGUNDA</t>
        </is>
      </c>
      <c r="F1058" t="inlineStr">
        <is>
          <t>SCA</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62106-2023</t>
        </is>
      </c>
      <c r="B1059" s="1" t="n">
        <v>45266.95082175926</v>
      </c>
      <c r="C1059" s="1" t="n">
        <v>46113</v>
      </c>
      <c r="D1059" t="inlineStr">
        <is>
          <t>JÄMTLANDS LÄN</t>
        </is>
      </c>
      <c r="E1059" t="inlineStr">
        <is>
          <t>RAGUNDA</t>
        </is>
      </c>
      <c r="F1059" t="inlineStr">
        <is>
          <t>SCA</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35355-2025</t>
        </is>
      </c>
      <c r="B1060" s="1" t="n">
        <v>45854.65663194445</v>
      </c>
      <c r="C1060" s="1" t="n">
        <v>46113</v>
      </c>
      <c r="D1060" t="inlineStr">
        <is>
          <t>JÄMTLANDS LÄN</t>
        </is>
      </c>
      <c r="E1060" t="inlineStr">
        <is>
          <t>RAGUNDA</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4592-2024</t>
        </is>
      </c>
      <c r="B1061" s="1" t="n">
        <v>45327.94443287037</v>
      </c>
      <c r="C1061" s="1" t="n">
        <v>46113</v>
      </c>
      <c r="D1061" t="inlineStr">
        <is>
          <t>JÄMTLANDS LÄN</t>
        </is>
      </c>
      <c r="E1061" t="inlineStr">
        <is>
          <t>RAGUNDA</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10344-2026</t>
        </is>
      </c>
      <c r="B1062" s="1" t="n">
        <v>46076.68523148148</v>
      </c>
      <c r="C1062" s="1" t="n">
        <v>46113</v>
      </c>
      <c r="D1062" t="inlineStr">
        <is>
          <t>JÄMTLANDS LÄN</t>
        </is>
      </c>
      <c r="E1062" t="inlineStr">
        <is>
          <t>RAGUNDA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10090-2026</t>
        </is>
      </c>
      <c r="B1063" s="1" t="n">
        <v>46073.69875</v>
      </c>
      <c r="C1063" s="1" t="n">
        <v>46113</v>
      </c>
      <c r="D1063" t="inlineStr">
        <is>
          <t>JÄMTLANDS LÄN</t>
        </is>
      </c>
      <c r="E1063" t="inlineStr">
        <is>
          <t>RAGUNDA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18984-2023</t>
        </is>
      </c>
      <c r="B1064" s="1" t="n">
        <v>45044</v>
      </c>
      <c r="C1064" s="1" t="n">
        <v>46113</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8241-2024</t>
        </is>
      </c>
      <c r="B1065" s="1" t="n">
        <v>45351.98496527778</v>
      </c>
      <c r="C1065" s="1" t="n">
        <v>46113</v>
      </c>
      <c r="D1065" t="inlineStr">
        <is>
          <t>JÄMTLANDS LÄN</t>
        </is>
      </c>
      <c r="E1065" t="inlineStr">
        <is>
          <t>RAGUNDA</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14512-2025</t>
        </is>
      </c>
      <c r="B1066" s="1" t="n">
        <v>45741.63659722222</v>
      </c>
      <c r="C1066" s="1" t="n">
        <v>46113</v>
      </c>
      <c r="D1066" t="inlineStr">
        <is>
          <t>JÄMTLANDS LÄN</t>
        </is>
      </c>
      <c r="E1066" t="inlineStr">
        <is>
          <t>RAGUNDA</t>
        </is>
      </c>
      <c r="F1066" t="inlineStr">
        <is>
          <t>SCA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35477-2025</t>
        </is>
      </c>
      <c r="B1067" s="1" t="n">
        <v>45855.67899305555</v>
      </c>
      <c r="C1067" s="1" t="n">
        <v>46113</v>
      </c>
      <c r="D1067" t="inlineStr">
        <is>
          <t>JÄMTLANDS LÄN</t>
        </is>
      </c>
      <c r="E1067" t="inlineStr">
        <is>
          <t>RAGUNDA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35541-2025</t>
        </is>
      </c>
      <c r="B1068" s="1" t="n">
        <v>45856.46931712963</v>
      </c>
      <c r="C1068" s="1" t="n">
        <v>46113</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35462-2025</t>
        </is>
      </c>
      <c r="B1069" s="1" t="n">
        <v>45855.61523148148</v>
      </c>
      <c r="C1069" s="1" t="n">
        <v>46113</v>
      </c>
      <c r="D1069" t="inlineStr">
        <is>
          <t>JÄMTLANDS LÄN</t>
        </is>
      </c>
      <c r="E1069" t="inlineStr">
        <is>
          <t>RAGUNDA</t>
        </is>
      </c>
      <c r="F1069" t="inlineStr">
        <is>
          <t>SCA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53019-2023</t>
        </is>
      </c>
      <c r="B1070" s="1" t="n">
        <v>45222</v>
      </c>
      <c r="C1070" s="1" t="n">
        <v>46113</v>
      </c>
      <c r="D1070" t="inlineStr">
        <is>
          <t>JÄMTLANDS LÄN</t>
        </is>
      </c>
      <c r="E1070" t="inlineStr">
        <is>
          <t>RAGUNDA</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59996-2023</t>
        </is>
      </c>
      <c r="B1071" s="1" t="n">
        <v>45257.92826388889</v>
      </c>
      <c r="C1071" s="1" t="n">
        <v>46113</v>
      </c>
      <c r="D1071" t="inlineStr">
        <is>
          <t>JÄMTLANDS LÄN</t>
        </is>
      </c>
      <c r="E1071" t="inlineStr">
        <is>
          <t>RAGUNDA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1537-2024</t>
        </is>
      </c>
      <c r="B1072" s="1" t="n">
        <v>45306</v>
      </c>
      <c r="C1072" s="1" t="n">
        <v>46113</v>
      </c>
      <c r="D1072" t="inlineStr">
        <is>
          <t>JÄMTLANDS LÄN</t>
        </is>
      </c>
      <c r="E1072" t="inlineStr">
        <is>
          <t>RAGUNDA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35689-2025</t>
        </is>
      </c>
      <c r="B1073" s="1" t="n">
        <v>45860.30229166667</v>
      </c>
      <c r="C1073" s="1" t="n">
        <v>46113</v>
      </c>
      <c r="D1073" t="inlineStr">
        <is>
          <t>JÄMTLANDS LÄN</t>
        </is>
      </c>
      <c r="E1073" t="inlineStr">
        <is>
          <t>RAGUNDA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35658-2025</t>
        </is>
      </c>
      <c r="B1074" s="1" t="n">
        <v>45859.594375</v>
      </c>
      <c r="C1074" s="1" t="n">
        <v>46113</v>
      </c>
      <c r="D1074" t="inlineStr">
        <is>
          <t>JÄMTLANDS LÄN</t>
        </is>
      </c>
      <c r="E1074" t="inlineStr">
        <is>
          <t>RAGUNDA</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10740-2026</t>
        </is>
      </c>
      <c r="B1075" s="1" t="n">
        <v>46078.5109375</v>
      </c>
      <c r="C1075" s="1" t="n">
        <v>46113</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2173-2026</t>
        </is>
      </c>
      <c r="B1076" s="1" t="n">
        <v>46036.44984953704</v>
      </c>
      <c r="C1076" s="1" t="n">
        <v>46113</v>
      </c>
      <c r="D1076" t="inlineStr">
        <is>
          <t>JÄMTLANDS LÄN</t>
        </is>
      </c>
      <c r="E1076" t="inlineStr">
        <is>
          <t>RAGUNDA</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29257-2024</t>
        </is>
      </c>
      <c r="B1077" s="1" t="n">
        <v>45482.94815972223</v>
      </c>
      <c r="C1077" s="1" t="n">
        <v>46113</v>
      </c>
      <c r="D1077" t="inlineStr">
        <is>
          <t>JÄMTLANDS LÄN</t>
        </is>
      </c>
      <c r="E1077" t="inlineStr">
        <is>
          <t>RAGUNDA</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2233-2026</t>
        </is>
      </c>
      <c r="B1078" s="1" t="n">
        <v>46036.53207175926</v>
      </c>
      <c r="C1078" s="1" t="n">
        <v>46113</v>
      </c>
      <c r="D1078" t="inlineStr">
        <is>
          <t>JÄMTLANDS LÄN</t>
        </is>
      </c>
      <c r="E1078" t="inlineStr">
        <is>
          <t>RAGUNDA</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10649-2026</t>
        </is>
      </c>
      <c r="B1079" s="1" t="n">
        <v>46078.34486111111</v>
      </c>
      <c r="C1079" s="1" t="n">
        <v>46113</v>
      </c>
      <c r="D1079" t="inlineStr">
        <is>
          <t>JÄMTLANDS LÄN</t>
        </is>
      </c>
      <c r="E1079" t="inlineStr">
        <is>
          <t>RAGUNDA</t>
        </is>
      </c>
      <c r="F1079" t="inlineStr">
        <is>
          <t>SCA</t>
        </is>
      </c>
      <c r="G1079" t="n">
        <v>45.5</v>
      </c>
      <c r="H1079" t="n">
        <v>0</v>
      </c>
      <c r="I1079" t="n">
        <v>0</v>
      </c>
      <c r="J1079" t="n">
        <v>0</v>
      </c>
      <c r="K1079" t="n">
        <v>0</v>
      </c>
      <c r="L1079" t="n">
        <v>0</v>
      </c>
      <c r="M1079" t="n">
        <v>0</v>
      </c>
      <c r="N1079" t="n">
        <v>0</v>
      </c>
      <c r="O1079" t="n">
        <v>0</v>
      </c>
      <c r="P1079" t="n">
        <v>0</v>
      </c>
      <c r="Q1079" t="n">
        <v>0</v>
      </c>
      <c r="R1079" s="2" t="inlineStr"/>
    </row>
    <row r="1080" ht="15" customHeight="1">
      <c r="A1080" t="inlineStr">
        <is>
          <t>A 55487-2023</t>
        </is>
      </c>
      <c r="B1080" s="1" t="n">
        <v>45238</v>
      </c>
      <c r="C1080" s="1" t="n">
        <v>46113</v>
      </c>
      <c r="D1080" t="inlineStr">
        <is>
          <t>JÄMTLANDS LÄN</t>
        </is>
      </c>
      <c r="E1080" t="inlineStr">
        <is>
          <t>RAGUNDA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2271-2026</t>
        </is>
      </c>
      <c r="B1081" s="1" t="n">
        <v>46036.57347222222</v>
      </c>
      <c r="C1081" s="1" t="n">
        <v>46113</v>
      </c>
      <c r="D1081" t="inlineStr">
        <is>
          <t>JÄMTLANDS LÄN</t>
        </is>
      </c>
      <c r="E1081" t="inlineStr">
        <is>
          <t>RAGUNDA</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10410-2026</t>
        </is>
      </c>
      <c r="B1082" s="1" t="n">
        <v>46077.34527777778</v>
      </c>
      <c r="C1082" s="1" t="n">
        <v>46113</v>
      </c>
      <c r="D1082" t="inlineStr">
        <is>
          <t>JÄMTLANDS LÄN</t>
        </is>
      </c>
      <c r="E1082" t="inlineStr">
        <is>
          <t>RAGUNDA</t>
        </is>
      </c>
      <c r="F1082" t="inlineStr">
        <is>
          <t>SCA</t>
        </is>
      </c>
      <c r="G1082" t="n">
        <v>46.5</v>
      </c>
      <c r="H1082" t="n">
        <v>0</v>
      </c>
      <c r="I1082" t="n">
        <v>0</v>
      </c>
      <c r="J1082" t="n">
        <v>0</v>
      </c>
      <c r="K1082" t="n">
        <v>0</v>
      </c>
      <c r="L1082" t="n">
        <v>0</v>
      </c>
      <c r="M1082" t="n">
        <v>0</v>
      </c>
      <c r="N1082" t="n">
        <v>0</v>
      </c>
      <c r="O1082" t="n">
        <v>0</v>
      </c>
      <c r="P1082" t="n">
        <v>0</v>
      </c>
      <c r="Q1082" t="n">
        <v>0</v>
      </c>
      <c r="R1082" s="2" t="inlineStr"/>
    </row>
    <row r="1083" ht="15" customHeight="1">
      <c r="A1083" t="inlineStr">
        <is>
          <t>A 20770-2024</t>
        </is>
      </c>
      <c r="B1083" s="1" t="n">
        <v>45436.94613425926</v>
      </c>
      <c r="C1083" s="1" t="n">
        <v>46113</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10570-2026</t>
        </is>
      </c>
      <c r="B1084" s="1" t="n">
        <v>46077.6568287037</v>
      </c>
      <c r="C1084" s="1" t="n">
        <v>46113</v>
      </c>
      <c r="D1084" t="inlineStr">
        <is>
          <t>JÄMTLANDS LÄN</t>
        </is>
      </c>
      <c r="E1084" t="inlineStr">
        <is>
          <t>RAGUNDA</t>
        </is>
      </c>
      <c r="F1084" t="inlineStr">
        <is>
          <t>SCA</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2156-2026</t>
        </is>
      </c>
      <c r="B1085" s="1" t="n">
        <v>46036.42771990741</v>
      </c>
      <c r="C1085" s="1" t="n">
        <v>46113</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2123-2026</t>
        </is>
      </c>
      <c r="B1086" s="1" t="n">
        <v>46036.38618055556</v>
      </c>
      <c r="C1086" s="1" t="n">
        <v>46113</v>
      </c>
      <c r="D1086" t="inlineStr">
        <is>
          <t>JÄMTLANDS LÄN</t>
        </is>
      </c>
      <c r="E1086" t="inlineStr">
        <is>
          <t>RAGUNDA</t>
        </is>
      </c>
      <c r="F1086" t="inlineStr">
        <is>
          <t>SCA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19383-2025</t>
        </is>
      </c>
      <c r="B1087" s="1" t="n">
        <v>45769.65688657408</v>
      </c>
      <c r="C1087" s="1" t="n">
        <v>46113</v>
      </c>
      <c r="D1087" t="inlineStr">
        <is>
          <t>JÄMTLANDS LÄN</t>
        </is>
      </c>
      <c r="E1087" t="inlineStr">
        <is>
          <t>RAGUNDA</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12783-2023</t>
        </is>
      </c>
      <c r="B1088" s="1" t="n">
        <v>45000</v>
      </c>
      <c r="C1088" s="1" t="n">
        <v>46113</v>
      </c>
      <c r="D1088" t="inlineStr">
        <is>
          <t>JÄMTLANDS LÄN</t>
        </is>
      </c>
      <c r="E1088" t="inlineStr">
        <is>
          <t>RAGUNDA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35153-2024</t>
        </is>
      </c>
      <c r="B1089" s="1" t="n">
        <v>45530</v>
      </c>
      <c r="C1089" s="1" t="n">
        <v>46113</v>
      </c>
      <c r="D1089" t="inlineStr">
        <is>
          <t>JÄMTLANDS LÄN</t>
        </is>
      </c>
      <c r="E1089" t="inlineStr">
        <is>
          <t>RAGUNDA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61197-2023</t>
        </is>
      </c>
      <c r="B1090" s="1" t="n">
        <v>45260</v>
      </c>
      <c r="C1090" s="1" t="n">
        <v>46113</v>
      </c>
      <c r="D1090" t="inlineStr">
        <is>
          <t>JÄMTLANDS LÄN</t>
        </is>
      </c>
      <c r="E1090" t="inlineStr">
        <is>
          <t>RAGUNDA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54092-2024</t>
        </is>
      </c>
      <c r="B1091" s="1" t="n">
        <v>45616.5108912037</v>
      </c>
      <c r="C1091" s="1" t="n">
        <v>46113</v>
      </c>
      <c r="D1091" t="inlineStr">
        <is>
          <t>JÄMTLANDS LÄN</t>
        </is>
      </c>
      <c r="E1091" t="inlineStr">
        <is>
          <t>RAGUNDA</t>
        </is>
      </c>
      <c r="F1091" t="inlineStr">
        <is>
          <t>Naturvårdsverket</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11243-2026</t>
        </is>
      </c>
      <c r="B1092" s="1" t="n">
        <v>46080.53181712963</v>
      </c>
      <c r="C1092" s="1" t="n">
        <v>46113</v>
      </c>
      <c r="D1092" t="inlineStr">
        <is>
          <t>JÄMTLANDS LÄN</t>
        </is>
      </c>
      <c r="E1092" t="inlineStr">
        <is>
          <t>RAGUNDA</t>
        </is>
      </c>
      <c r="F1092" t="inlineStr">
        <is>
          <t>SCA</t>
        </is>
      </c>
      <c r="G1092" t="n">
        <v>52.9</v>
      </c>
      <c r="H1092" t="n">
        <v>0</v>
      </c>
      <c r="I1092" t="n">
        <v>0</v>
      </c>
      <c r="J1092" t="n">
        <v>0</v>
      </c>
      <c r="K1092" t="n">
        <v>0</v>
      </c>
      <c r="L1092" t="n">
        <v>0</v>
      </c>
      <c r="M1092" t="n">
        <v>0</v>
      </c>
      <c r="N1092" t="n">
        <v>0</v>
      </c>
      <c r="O1092" t="n">
        <v>0</v>
      </c>
      <c r="P1092" t="n">
        <v>0</v>
      </c>
      <c r="Q1092" t="n">
        <v>0</v>
      </c>
      <c r="R1092" s="2" t="inlineStr"/>
    </row>
    <row r="1093" ht="15" customHeight="1">
      <c r="A1093" t="inlineStr">
        <is>
          <t>A 31135-2023</t>
        </is>
      </c>
      <c r="B1093" s="1" t="n">
        <v>45103</v>
      </c>
      <c r="C1093" s="1" t="n">
        <v>46113</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13767-2022</t>
        </is>
      </c>
      <c r="B1094" s="1" t="n">
        <v>44649.47048611111</v>
      </c>
      <c r="C1094" s="1" t="n">
        <v>46113</v>
      </c>
      <c r="D1094" t="inlineStr">
        <is>
          <t>JÄMTLANDS LÄN</t>
        </is>
      </c>
      <c r="E1094" t="inlineStr">
        <is>
          <t>RAGUNDA</t>
        </is>
      </c>
      <c r="F1094" t="inlineStr">
        <is>
          <t>Kommuner</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22569-2023</t>
        </is>
      </c>
      <c r="B1095" s="1" t="n">
        <v>45069</v>
      </c>
      <c r="C1095" s="1" t="n">
        <v>46113</v>
      </c>
      <c r="D1095" t="inlineStr">
        <is>
          <t>JÄMTLANDS LÄN</t>
        </is>
      </c>
      <c r="E1095" t="inlineStr">
        <is>
          <t>RAGUNDA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36541-2025</t>
        </is>
      </c>
      <c r="B1096" s="1" t="n">
        <v>45869.65666666667</v>
      </c>
      <c r="C1096" s="1" t="n">
        <v>46113</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36544-2025</t>
        </is>
      </c>
      <c r="B1097" s="1" t="n">
        <v>45869.67744212963</v>
      </c>
      <c r="C1097" s="1" t="n">
        <v>46113</v>
      </c>
      <c r="D1097" t="inlineStr">
        <is>
          <t>JÄMTLANDS LÄN</t>
        </is>
      </c>
      <c r="E1097" t="inlineStr">
        <is>
          <t>RAGUNDA</t>
        </is>
      </c>
      <c r="F1097" t="inlineStr">
        <is>
          <t>SCA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4212-2024</t>
        </is>
      </c>
      <c r="B1098" s="1" t="n">
        <v>45324</v>
      </c>
      <c r="C1098" s="1" t="n">
        <v>46113</v>
      </c>
      <c r="D1098" t="inlineStr">
        <is>
          <t>JÄMTLANDS LÄN</t>
        </is>
      </c>
      <c r="E1098" t="inlineStr">
        <is>
          <t>RAGUNDA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36553-2025</t>
        </is>
      </c>
      <c r="B1099" s="1" t="n">
        <v>45870.34439814815</v>
      </c>
      <c r="C1099" s="1" t="n">
        <v>46113</v>
      </c>
      <c r="D1099" t="inlineStr">
        <is>
          <t>JÄMTLANDS LÄN</t>
        </is>
      </c>
      <c r="E1099" t="inlineStr">
        <is>
          <t>RAGUNDA</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43405-2023</t>
        </is>
      </c>
      <c r="B1100" s="1" t="n">
        <v>45183.95563657407</v>
      </c>
      <c r="C1100" s="1" t="n">
        <v>46113</v>
      </c>
      <c r="D1100" t="inlineStr">
        <is>
          <t>JÄMTLANDS LÄN</t>
        </is>
      </c>
      <c r="E1100" t="inlineStr">
        <is>
          <t>RAGUNDA</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56984-2022</t>
        </is>
      </c>
      <c r="B1101" s="1" t="n">
        <v>44894.79018518519</v>
      </c>
      <c r="C1101" s="1" t="n">
        <v>46113</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3561-2026</t>
        </is>
      </c>
      <c r="B1102" s="1" t="n">
        <v>46042.67142361111</v>
      </c>
      <c r="C1102" s="1" t="n">
        <v>46113</v>
      </c>
      <c r="D1102" t="inlineStr">
        <is>
          <t>JÄMTLANDS LÄN</t>
        </is>
      </c>
      <c r="E1102" t="inlineStr">
        <is>
          <t>RAGUNDA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5958-2023</t>
        </is>
      </c>
      <c r="B1103" s="1" t="n">
        <v>44963</v>
      </c>
      <c r="C1103" s="1" t="n">
        <v>46113</v>
      </c>
      <c r="D1103" t="inlineStr">
        <is>
          <t>JÄMTLANDS LÄN</t>
        </is>
      </c>
      <c r="E1103" t="inlineStr">
        <is>
          <t>RAGUNDA</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50521-2024</t>
        </is>
      </c>
      <c r="B1104" s="1" t="n">
        <v>45601.55331018518</v>
      </c>
      <c r="C1104" s="1" t="n">
        <v>46113</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3065-2026</t>
        </is>
      </c>
      <c r="B1105" s="1" t="n">
        <v>46040.47866898148</v>
      </c>
      <c r="C1105" s="1" t="n">
        <v>46113</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29920-2024</t>
        </is>
      </c>
      <c r="B1106" s="1" t="n">
        <v>45487.92856481481</v>
      </c>
      <c r="C1106" s="1" t="n">
        <v>46113</v>
      </c>
      <c r="D1106" t="inlineStr">
        <is>
          <t>JÄMTLANDS LÄN</t>
        </is>
      </c>
      <c r="E1106" t="inlineStr">
        <is>
          <t>RAGUNDA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62011-2022</t>
        </is>
      </c>
      <c r="B1107" s="1" t="n">
        <v>44914</v>
      </c>
      <c r="C1107" s="1" t="n">
        <v>46113</v>
      </c>
      <c r="D1107" t="inlineStr">
        <is>
          <t>JÄMTLANDS LÄN</t>
        </is>
      </c>
      <c r="E1107" t="inlineStr">
        <is>
          <t>RAGUNDA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11876-2026</t>
        </is>
      </c>
      <c r="B1108" s="1" t="n">
        <v>46085.50024305555</v>
      </c>
      <c r="C1108" s="1" t="n">
        <v>46113</v>
      </c>
      <c r="D1108" t="inlineStr">
        <is>
          <t>JÄMTLANDS LÄN</t>
        </is>
      </c>
      <c r="E1108" t="inlineStr">
        <is>
          <t>RAGUNDA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11878-2026</t>
        </is>
      </c>
      <c r="B1109" s="1" t="n">
        <v>46085.50053240741</v>
      </c>
      <c r="C1109" s="1" t="n">
        <v>46113</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11880-2026</t>
        </is>
      </c>
      <c r="B1110" s="1" t="n">
        <v>46085.50150462963</v>
      </c>
      <c r="C1110" s="1" t="n">
        <v>46113</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36947-2025</t>
        </is>
      </c>
      <c r="B1111" s="1" t="n">
        <v>45874.59496527778</v>
      </c>
      <c r="C1111" s="1" t="n">
        <v>46113</v>
      </c>
      <c r="D1111" t="inlineStr">
        <is>
          <t>JÄMTLANDS LÄN</t>
        </is>
      </c>
      <c r="E1111" t="inlineStr">
        <is>
          <t>RAGUNDA</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22311-2024</t>
        </is>
      </c>
      <c r="B1112" s="1" t="n">
        <v>45446.57052083333</v>
      </c>
      <c r="C1112" s="1" t="n">
        <v>46113</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45053.94313657407</v>
      </c>
      <c r="C1113" s="1" t="n">
        <v>46113</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12179-2026</t>
        </is>
      </c>
      <c r="B1114" s="1" t="n">
        <v>46086.69835648148</v>
      </c>
      <c r="C1114" s="1" t="n">
        <v>46113</v>
      </c>
      <c r="D1114" t="inlineStr">
        <is>
          <t>JÄMTLANDS LÄN</t>
        </is>
      </c>
      <c r="E1114" t="inlineStr">
        <is>
          <t>RAGUNDA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53935-2022</t>
        </is>
      </c>
      <c r="B1115" s="1" t="n">
        <v>44880</v>
      </c>
      <c r="C1115" s="1" t="n">
        <v>46113</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32075-2025</t>
        </is>
      </c>
      <c r="B1116" s="1" t="n">
        <v>45835.4506712963</v>
      </c>
      <c r="C1116" s="1" t="n">
        <v>46113</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3813-2026</t>
        </is>
      </c>
      <c r="B1117" s="1" t="n">
        <v>46043.58447916667</v>
      </c>
      <c r="C1117" s="1" t="n">
        <v>46113</v>
      </c>
      <c r="D1117" t="inlineStr">
        <is>
          <t>JÄMTLANDS LÄN</t>
        </is>
      </c>
      <c r="E1117" t="inlineStr">
        <is>
          <t>RAGUNDA</t>
        </is>
      </c>
      <c r="F1117" t="inlineStr">
        <is>
          <t>SCA</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36994-2025</t>
        </is>
      </c>
      <c r="B1118" s="1" t="n">
        <v>45874.67746527777</v>
      </c>
      <c r="C1118" s="1" t="n">
        <v>46113</v>
      </c>
      <c r="D1118" t="inlineStr">
        <is>
          <t>JÄMTLANDS LÄN</t>
        </is>
      </c>
      <c r="E1118" t="inlineStr">
        <is>
          <t>RAGUNDA</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18631-2024</t>
        </is>
      </c>
      <c r="B1119" s="1" t="n">
        <v>45425.96494212963</v>
      </c>
      <c r="C1119" s="1" t="n">
        <v>46113</v>
      </c>
      <c r="D1119" t="inlineStr">
        <is>
          <t>JÄMTLANDS LÄN</t>
        </is>
      </c>
      <c r="E1119" t="inlineStr">
        <is>
          <t>RAGUNDA</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32874-2025</t>
        </is>
      </c>
      <c r="B1120" s="1" t="n">
        <v>45839</v>
      </c>
      <c r="C1120" s="1" t="n">
        <v>46113</v>
      </c>
      <c r="D1120" t="inlineStr">
        <is>
          <t>JÄMTLANDS LÄN</t>
        </is>
      </c>
      <c r="E1120" t="inlineStr">
        <is>
          <t>RAGUNDA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11882-2026</t>
        </is>
      </c>
      <c r="B1121" s="1" t="n">
        <v>46085.504375</v>
      </c>
      <c r="C1121" s="1" t="n">
        <v>46113</v>
      </c>
      <c r="D1121" t="inlineStr">
        <is>
          <t>JÄMTLANDS LÄN</t>
        </is>
      </c>
      <c r="E1121" t="inlineStr">
        <is>
          <t>RAGUNDA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4099-2026</t>
        </is>
      </c>
      <c r="B1122" s="1" t="n">
        <v>46044.57357638889</v>
      </c>
      <c r="C1122" s="1" t="n">
        <v>46113</v>
      </c>
      <c r="D1122" t="inlineStr">
        <is>
          <t>JÄMTLANDS LÄN</t>
        </is>
      </c>
      <c r="E1122" t="inlineStr">
        <is>
          <t>RAGUNDA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4142-2026</t>
        </is>
      </c>
      <c r="B1123" s="1" t="n">
        <v>46044.63607638889</v>
      </c>
      <c r="C1123" s="1" t="n">
        <v>46113</v>
      </c>
      <c r="D1123" t="inlineStr">
        <is>
          <t>JÄMTLANDS LÄN</t>
        </is>
      </c>
      <c r="E1123" t="inlineStr">
        <is>
          <t>RAGUNDA</t>
        </is>
      </c>
      <c r="F1123" t="inlineStr">
        <is>
          <t>SCA</t>
        </is>
      </c>
      <c r="G1123" t="n">
        <v>19.3</v>
      </c>
      <c r="H1123" t="n">
        <v>0</v>
      </c>
      <c r="I1123" t="n">
        <v>0</v>
      </c>
      <c r="J1123" t="n">
        <v>0</v>
      </c>
      <c r="K1123" t="n">
        <v>0</v>
      </c>
      <c r="L1123" t="n">
        <v>0</v>
      </c>
      <c r="M1123" t="n">
        <v>0</v>
      </c>
      <c r="N1123" t="n">
        <v>0</v>
      </c>
      <c r="O1123" t="n">
        <v>0</v>
      </c>
      <c r="P1123" t="n">
        <v>0</v>
      </c>
      <c r="Q1123" t="n">
        <v>0</v>
      </c>
      <c r="R1123" s="2" t="inlineStr"/>
    </row>
    <row r="1124" ht="15" customHeight="1">
      <c r="A1124" t="inlineStr">
        <is>
          <t>A 11832-2026</t>
        </is>
      </c>
      <c r="B1124" s="1" t="n">
        <v>46085.42788194444</v>
      </c>
      <c r="C1124" s="1" t="n">
        <v>46113</v>
      </c>
      <c r="D1124" t="inlineStr">
        <is>
          <t>JÄMTLANDS LÄN</t>
        </is>
      </c>
      <c r="E1124" t="inlineStr">
        <is>
          <t>RAGUNDA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37008-2025</t>
        </is>
      </c>
      <c r="B1125" s="1" t="n">
        <v>45874.69844907407</v>
      </c>
      <c r="C1125" s="1" t="n">
        <v>46113</v>
      </c>
      <c r="D1125" t="inlineStr">
        <is>
          <t>JÄMTLANDS LÄN</t>
        </is>
      </c>
      <c r="E1125" t="inlineStr">
        <is>
          <t>RAGUNDA</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4047-2026</t>
        </is>
      </c>
      <c r="B1126" s="1" t="n">
        <v>46044.46944444445</v>
      </c>
      <c r="C1126" s="1" t="n">
        <v>46113</v>
      </c>
      <c r="D1126" t="inlineStr">
        <is>
          <t>JÄMTLANDS LÄN</t>
        </is>
      </c>
      <c r="E1126" t="inlineStr">
        <is>
          <t>RAGUNDA</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4046-2026</t>
        </is>
      </c>
      <c r="B1127" s="1" t="n">
        <v>46044.46921296296</v>
      </c>
      <c r="C1127" s="1" t="n">
        <v>46113</v>
      </c>
      <c r="D1127" t="inlineStr">
        <is>
          <t>JÄMTLANDS LÄN</t>
        </is>
      </c>
      <c r="E1127" t="inlineStr">
        <is>
          <t>RAGUNDA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4073-2026</t>
        </is>
      </c>
      <c r="B1128" s="1" t="n">
        <v>46044.53168981482</v>
      </c>
      <c r="C1128" s="1" t="n">
        <v>46113</v>
      </c>
      <c r="D1128" t="inlineStr">
        <is>
          <t>JÄMTLANDS LÄN</t>
        </is>
      </c>
      <c r="E1128" t="inlineStr">
        <is>
          <t>RAGUNDA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12805-2025</t>
        </is>
      </c>
      <c r="B1129" s="1" t="n">
        <v>45733.61497685185</v>
      </c>
      <c r="C1129" s="1" t="n">
        <v>46113</v>
      </c>
      <c r="D1129" t="inlineStr">
        <is>
          <t>JÄMTLANDS LÄN</t>
        </is>
      </c>
      <c r="E1129" t="inlineStr">
        <is>
          <t>RAGUNDA</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37292-2025</t>
        </is>
      </c>
      <c r="B1130" s="1" t="n">
        <v>45876.53188657408</v>
      </c>
      <c r="C1130" s="1" t="n">
        <v>46113</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4629-2026</t>
        </is>
      </c>
      <c r="B1131" s="1" t="n">
        <v>46048.38622685185</v>
      </c>
      <c r="C1131" s="1" t="n">
        <v>46113</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11062-2023</t>
        </is>
      </c>
      <c r="B1132" s="1" t="n">
        <v>44991</v>
      </c>
      <c r="C1132" s="1" t="n">
        <v>46113</v>
      </c>
      <c r="D1132" t="inlineStr">
        <is>
          <t>JÄMTLANDS LÄN</t>
        </is>
      </c>
      <c r="E1132" t="inlineStr">
        <is>
          <t>RAGUNDA</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4841-2026</t>
        </is>
      </c>
      <c r="B1133" s="1" t="n">
        <v>46048.61550925926</v>
      </c>
      <c r="C1133" s="1" t="n">
        <v>46113</v>
      </c>
      <c r="D1133" t="inlineStr">
        <is>
          <t>JÄMTLANDS LÄN</t>
        </is>
      </c>
      <c r="E1133" t="inlineStr">
        <is>
          <t>RAGUNDA</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12499-2026</t>
        </is>
      </c>
      <c r="B1134" s="1" t="n">
        <v>46090.57364583333</v>
      </c>
      <c r="C1134" s="1" t="n">
        <v>46113</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4616-2026</t>
        </is>
      </c>
      <c r="B1135" s="1" t="n">
        <v>46048.37070601852</v>
      </c>
      <c r="C1135" s="1" t="n">
        <v>46113</v>
      </c>
      <c r="D1135" t="inlineStr">
        <is>
          <t>JÄMTLANDS LÄN</t>
        </is>
      </c>
      <c r="E1135" t="inlineStr">
        <is>
          <t>RAGUNDA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12344-2026</t>
        </is>
      </c>
      <c r="B1136" s="1" t="n">
        <v>46087.67763888889</v>
      </c>
      <c r="C1136" s="1" t="n">
        <v>46113</v>
      </c>
      <c r="D1136" t="inlineStr">
        <is>
          <t>JÄMTLANDS LÄN</t>
        </is>
      </c>
      <c r="E1136" t="inlineStr">
        <is>
          <t>RAGUNDA</t>
        </is>
      </c>
      <c r="F1136" t="inlineStr">
        <is>
          <t>SCA</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4627-2026</t>
        </is>
      </c>
      <c r="B1137" s="1" t="n">
        <v>46048.3860300926</v>
      </c>
      <c r="C1137" s="1" t="n">
        <v>46113</v>
      </c>
      <c r="D1137" t="inlineStr">
        <is>
          <t>JÄMTLANDS LÄN</t>
        </is>
      </c>
      <c r="E1137" t="inlineStr">
        <is>
          <t>RAGUNDA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4628-2026</t>
        </is>
      </c>
      <c r="B1138" s="1" t="n">
        <v>46048.3862037037</v>
      </c>
      <c r="C1138" s="1" t="n">
        <v>46113</v>
      </c>
      <c r="D1138" t="inlineStr">
        <is>
          <t>JÄMTLANDS LÄN</t>
        </is>
      </c>
      <c r="E1138" t="inlineStr">
        <is>
          <t>RAGUNDA</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69153-2021</t>
        </is>
      </c>
      <c r="B1139" s="1" t="n">
        <v>44530.94694444445</v>
      </c>
      <c r="C1139" s="1" t="n">
        <v>46113</v>
      </c>
      <c r="D1139" t="inlineStr">
        <is>
          <t>JÄMTLANDS LÄN</t>
        </is>
      </c>
      <c r="E1139" t="inlineStr">
        <is>
          <t>RAGUNDA</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4882-2023</t>
        </is>
      </c>
      <c r="B1140" s="1" t="n">
        <v>44957.94075231482</v>
      </c>
      <c r="C1140" s="1" t="n">
        <v>46113</v>
      </c>
      <c r="D1140" t="inlineStr">
        <is>
          <t>JÄMTLANDS LÄN</t>
        </is>
      </c>
      <c r="E1140" t="inlineStr">
        <is>
          <t>RAGUNDA</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39608-2024</t>
        </is>
      </c>
      <c r="B1141" s="1" t="n">
        <v>45552.39113425926</v>
      </c>
      <c r="C1141" s="1" t="n">
        <v>46113</v>
      </c>
      <c r="D1141" t="inlineStr">
        <is>
          <t>JÄMTLANDS LÄN</t>
        </is>
      </c>
      <c r="E1141" t="inlineStr">
        <is>
          <t>RAGUNDA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18454-2021</t>
        </is>
      </c>
      <c r="B1142" s="1" t="n">
        <v>44305.92047453704</v>
      </c>
      <c r="C1142" s="1" t="n">
        <v>46113</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12347-2026</t>
        </is>
      </c>
      <c r="B1143" s="1" t="n">
        <v>46087.67805555555</v>
      </c>
      <c r="C1143" s="1" t="n">
        <v>46113</v>
      </c>
      <c r="D1143" t="inlineStr">
        <is>
          <t>JÄMTLANDS LÄN</t>
        </is>
      </c>
      <c r="E1143" t="inlineStr">
        <is>
          <t>RAGUNDA</t>
        </is>
      </c>
      <c r="F1143" t="inlineStr">
        <is>
          <t>SCA</t>
        </is>
      </c>
      <c r="G1143" t="n">
        <v>33.1</v>
      </c>
      <c r="H1143" t="n">
        <v>0</v>
      </c>
      <c r="I1143" t="n">
        <v>0</v>
      </c>
      <c r="J1143" t="n">
        <v>0</v>
      </c>
      <c r="K1143" t="n">
        <v>0</v>
      </c>
      <c r="L1143" t="n">
        <v>0</v>
      </c>
      <c r="M1143" t="n">
        <v>0</v>
      </c>
      <c r="N1143" t="n">
        <v>0</v>
      </c>
      <c r="O1143" t="n">
        <v>0</v>
      </c>
      <c r="P1143" t="n">
        <v>0</v>
      </c>
      <c r="Q1143" t="n">
        <v>0</v>
      </c>
      <c r="R1143" s="2" t="inlineStr"/>
    </row>
    <row r="1144" ht="15" customHeight="1">
      <c r="A1144" t="inlineStr">
        <is>
          <t>A 12346-2026</t>
        </is>
      </c>
      <c r="B1144" s="1" t="n">
        <v>46087.6778587963</v>
      </c>
      <c r="C1144" s="1" t="n">
        <v>46113</v>
      </c>
      <c r="D1144" t="inlineStr">
        <is>
          <t>JÄMTLANDS LÄN</t>
        </is>
      </c>
      <c r="E1144" t="inlineStr">
        <is>
          <t>RAGUNDA</t>
        </is>
      </c>
      <c r="F1144" t="inlineStr">
        <is>
          <t>SCA</t>
        </is>
      </c>
      <c r="G1144" t="n">
        <v>38.3</v>
      </c>
      <c r="H1144" t="n">
        <v>0</v>
      </c>
      <c r="I1144" t="n">
        <v>0</v>
      </c>
      <c r="J1144" t="n">
        <v>0</v>
      </c>
      <c r="K1144" t="n">
        <v>0</v>
      </c>
      <c r="L1144" t="n">
        <v>0</v>
      </c>
      <c r="M1144" t="n">
        <v>0</v>
      </c>
      <c r="N1144" t="n">
        <v>0</v>
      </c>
      <c r="O1144" t="n">
        <v>0</v>
      </c>
      <c r="P1144" t="n">
        <v>0</v>
      </c>
      <c r="Q1144" t="n">
        <v>0</v>
      </c>
      <c r="R1144" s="2" t="inlineStr"/>
    </row>
    <row r="1145" ht="15" customHeight="1">
      <c r="A1145" t="inlineStr">
        <is>
          <t>A 26455-2023</t>
        </is>
      </c>
      <c r="B1145" s="1" t="n">
        <v>45092</v>
      </c>
      <c r="C1145" s="1" t="n">
        <v>46113</v>
      </c>
      <c r="D1145" t="inlineStr">
        <is>
          <t>JÄMTLANDS LÄN</t>
        </is>
      </c>
      <c r="E1145" t="inlineStr">
        <is>
          <t>RAGUNDA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4237-2026</t>
        </is>
      </c>
      <c r="B1146" s="1" t="n">
        <v>46044.92743055556</v>
      </c>
      <c r="C1146" s="1" t="n">
        <v>46113</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6801-2023</t>
        </is>
      </c>
      <c r="B1147" s="1" t="n">
        <v>44966.95328703704</v>
      </c>
      <c r="C1147" s="1" t="n">
        <v>46113</v>
      </c>
      <c r="D1147" t="inlineStr">
        <is>
          <t>JÄMTLANDS LÄN</t>
        </is>
      </c>
      <c r="E1147" t="inlineStr">
        <is>
          <t>RAGUNDA</t>
        </is>
      </c>
      <c r="F1147" t="inlineStr">
        <is>
          <t>SCA</t>
        </is>
      </c>
      <c r="G1147" t="n">
        <v>10.6</v>
      </c>
      <c r="H1147" t="n">
        <v>0</v>
      </c>
      <c r="I1147" t="n">
        <v>0</v>
      </c>
      <c r="J1147" t="n">
        <v>0</v>
      </c>
      <c r="K1147" t="n">
        <v>0</v>
      </c>
      <c r="L1147" t="n">
        <v>0</v>
      </c>
      <c r="M1147" t="n">
        <v>0</v>
      </c>
      <c r="N1147" t="n">
        <v>0</v>
      </c>
      <c r="O1147" t="n">
        <v>0</v>
      </c>
      <c r="P1147" t="n">
        <v>0</v>
      </c>
      <c r="Q1147" t="n">
        <v>0</v>
      </c>
      <c r="R1147" s="2" t="inlineStr"/>
    </row>
    <row r="1148" ht="15" customHeight="1">
      <c r="A1148" t="inlineStr">
        <is>
          <t>A 4839-2026</t>
        </is>
      </c>
      <c r="B1148" s="1" t="n">
        <v>46048.61520833334</v>
      </c>
      <c r="C1148" s="1" t="n">
        <v>46113</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12985-2026</t>
        </is>
      </c>
      <c r="B1149" s="1" t="n">
        <v>46092.66290509259</v>
      </c>
      <c r="C1149" s="1" t="n">
        <v>46113</v>
      </c>
      <c r="D1149" t="inlineStr">
        <is>
          <t>JÄMTLANDS LÄN</t>
        </is>
      </c>
      <c r="E1149" t="inlineStr">
        <is>
          <t>RAGUNDA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10641-2024</t>
        </is>
      </c>
      <c r="B1150" s="1" t="n">
        <v>45367.69850694444</v>
      </c>
      <c r="C1150" s="1" t="n">
        <v>46113</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10644-2024</t>
        </is>
      </c>
      <c r="B1151" s="1" t="n">
        <v>45367.71348379629</v>
      </c>
      <c r="C1151" s="1" t="n">
        <v>46113</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17559-2023</t>
        </is>
      </c>
      <c r="B1152" s="1" t="n">
        <v>45034</v>
      </c>
      <c r="C1152" s="1" t="n">
        <v>46113</v>
      </c>
      <c r="D1152" t="inlineStr">
        <is>
          <t>JÄMTLANDS LÄN</t>
        </is>
      </c>
      <c r="E1152" t="inlineStr">
        <is>
          <t>RAGUNDA</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5359-2026</t>
        </is>
      </c>
      <c r="B1153" s="1" t="n">
        <v>46050.4484837963</v>
      </c>
      <c r="C1153" s="1" t="n">
        <v>46113</v>
      </c>
      <c r="D1153" t="inlineStr">
        <is>
          <t>JÄMTLANDS LÄN</t>
        </is>
      </c>
      <c r="E1153" t="inlineStr">
        <is>
          <t>RAGUNDA</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30826-2023</t>
        </is>
      </c>
      <c r="B1154" s="1" t="n">
        <v>45112</v>
      </c>
      <c r="C1154" s="1" t="n">
        <v>46113</v>
      </c>
      <c r="D1154" t="inlineStr">
        <is>
          <t>JÄMTLANDS LÄN</t>
        </is>
      </c>
      <c r="E1154" t="inlineStr">
        <is>
          <t>RAGUNDA</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12960-2026</t>
        </is>
      </c>
      <c r="B1155" s="1" t="n">
        <v>46092.64105324074</v>
      </c>
      <c r="C1155" s="1" t="n">
        <v>46113</v>
      </c>
      <c r="D1155" t="inlineStr">
        <is>
          <t>JÄMTLANDS LÄN</t>
        </is>
      </c>
      <c r="E1155" t="inlineStr">
        <is>
          <t>RAGUNDA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56191-2022</t>
        </is>
      </c>
      <c r="B1156" s="1" t="n">
        <v>44889.95015046297</v>
      </c>
      <c r="C1156" s="1" t="n">
        <v>46113</v>
      </c>
      <c r="D1156" t="inlineStr">
        <is>
          <t>JÄMTLANDS LÄN</t>
        </is>
      </c>
      <c r="E1156" t="inlineStr">
        <is>
          <t>RAGUNDA</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5073-2026</t>
        </is>
      </c>
      <c r="B1157" s="1" t="n">
        <v>46049.51126157407</v>
      </c>
      <c r="C1157" s="1" t="n">
        <v>46113</v>
      </c>
      <c r="D1157" t="inlineStr">
        <is>
          <t>JÄMTLANDS LÄN</t>
        </is>
      </c>
      <c r="E1157" t="inlineStr">
        <is>
          <t>RAGUNDA</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33621-2023</t>
        </is>
      </c>
      <c r="B1158" s="1" t="n">
        <v>45119</v>
      </c>
      <c r="C1158" s="1" t="n">
        <v>46113</v>
      </c>
      <c r="D1158" t="inlineStr">
        <is>
          <t>JÄMTLANDS LÄN</t>
        </is>
      </c>
      <c r="E1158" t="inlineStr">
        <is>
          <t>RAGUNDA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65216-2023</t>
        </is>
      </c>
      <c r="B1159" s="1" t="n">
        <v>45289</v>
      </c>
      <c r="C1159" s="1" t="n">
        <v>46113</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60838-2023</t>
        </is>
      </c>
      <c r="B1160" s="1" t="n">
        <v>45260.92561342593</v>
      </c>
      <c r="C1160" s="1" t="n">
        <v>46113</v>
      </c>
      <c r="D1160" t="inlineStr">
        <is>
          <t>JÄMTLANDS LÄN</t>
        </is>
      </c>
      <c r="E1160" t="inlineStr">
        <is>
          <t>RAGUNDA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2133-2023</t>
        </is>
      </c>
      <c r="B1161" s="1" t="n">
        <v>44939</v>
      </c>
      <c r="C1161" s="1" t="n">
        <v>46113</v>
      </c>
      <c r="D1161" t="inlineStr">
        <is>
          <t>JÄMTLANDS LÄN</t>
        </is>
      </c>
      <c r="E1161" t="inlineStr">
        <is>
          <t>RAGUNDA</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5009-2026</t>
        </is>
      </c>
      <c r="B1162" s="1" t="n">
        <v>46049.42839120371</v>
      </c>
      <c r="C1162" s="1" t="n">
        <v>46113</v>
      </c>
      <c r="D1162" t="inlineStr">
        <is>
          <t>JÄMTLANDS LÄN</t>
        </is>
      </c>
      <c r="E1162" t="inlineStr">
        <is>
          <t>RAGUNDA</t>
        </is>
      </c>
      <c r="F1162" t="inlineStr">
        <is>
          <t>SCA</t>
        </is>
      </c>
      <c r="G1162" t="n">
        <v>37.4</v>
      </c>
      <c r="H1162" t="n">
        <v>0</v>
      </c>
      <c r="I1162" t="n">
        <v>0</v>
      </c>
      <c r="J1162" t="n">
        <v>0</v>
      </c>
      <c r="K1162" t="n">
        <v>0</v>
      </c>
      <c r="L1162" t="n">
        <v>0</v>
      </c>
      <c r="M1162" t="n">
        <v>0</v>
      </c>
      <c r="N1162" t="n">
        <v>0</v>
      </c>
      <c r="O1162" t="n">
        <v>0</v>
      </c>
      <c r="P1162" t="n">
        <v>0</v>
      </c>
      <c r="Q1162" t="n">
        <v>0</v>
      </c>
      <c r="R1162" s="2" t="inlineStr"/>
    </row>
    <row r="1163" ht="15" customHeight="1">
      <c r="A1163" t="inlineStr">
        <is>
          <t>A 9504-2025</t>
        </is>
      </c>
      <c r="B1163" s="1" t="n">
        <v>45714</v>
      </c>
      <c r="C1163" s="1" t="n">
        <v>46113</v>
      </c>
      <c r="D1163" t="inlineStr">
        <is>
          <t>JÄMTLANDS LÄN</t>
        </is>
      </c>
      <c r="E1163" t="inlineStr">
        <is>
          <t>RAGUNDA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13326-2026</t>
        </is>
      </c>
      <c r="B1164" s="1" t="n">
        <v>46094.35868055555</v>
      </c>
      <c r="C1164" s="1" t="n">
        <v>46113</v>
      </c>
      <c r="D1164" t="inlineStr">
        <is>
          <t>JÄMTLANDS LÄN</t>
        </is>
      </c>
      <c r="E1164" t="inlineStr">
        <is>
          <t>RAGUNDA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49647-2024</t>
        </is>
      </c>
      <c r="B1165" s="1" t="n">
        <v>45596.61533564814</v>
      </c>
      <c r="C1165" s="1" t="n">
        <v>46113</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6569-2026</t>
        </is>
      </c>
      <c r="B1166" s="1" t="n">
        <v>46052</v>
      </c>
      <c r="C1166" s="1" t="n">
        <v>46113</v>
      </c>
      <c r="D1166" t="inlineStr">
        <is>
          <t>JÄMTLANDS LÄN</t>
        </is>
      </c>
      <c r="E1166" t="inlineStr">
        <is>
          <t>RAGUNDA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13439-2026</t>
        </is>
      </c>
      <c r="B1167" s="1" t="n">
        <v>46094.49064814814</v>
      </c>
      <c r="C1167" s="1" t="n">
        <v>46113</v>
      </c>
      <c r="D1167" t="inlineStr">
        <is>
          <t>JÄMTLANDS LÄN</t>
        </is>
      </c>
      <c r="E1167" t="inlineStr">
        <is>
          <t>RAGUNDA</t>
        </is>
      </c>
      <c r="F1167" t="inlineStr">
        <is>
          <t>SCA</t>
        </is>
      </c>
      <c r="G1167" t="n">
        <v>31.2</v>
      </c>
      <c r="H1167" t="n">
        <v>0</v>
      </c>
      <c r="I1167" t="n">
        <v>0</v>
      </c>
      <c r="J1167" t="n">
        <v>0</v>
      </c>
      <c r="K1167" t="n">
        <v>0</v>
      </c>
      <c r="L1167" t="n">
        <v>0</v>
      </c>
      <c r="M1167" t="n">
        <v>0</v>
      </c>
      <c r="N1167" t="n">
        <v>0</v>
      </c>
      <c r="O1167" t="n">
        <v>0</v>
      </c>
      <c r="P1167" t="n">
        <v>0</v>
      </c>
      <c r="Q1167" t="n">
        <v>0</v>
      </c>
      <c r="R1167" s="2" t="inlineStr"/>
    </row>
    <row r="1168" ht="15" customHeight="1">
      <c r="A1168" t="inlineStr">
        <is>
          <t>A 64415-2023</t>
        </is>
      </c>
      <c r="B1168" s="1" t="n">
        <v>45280</v>
      </c>
      <c r="C1168" s="1" t="n">
        <v>46113</v>
      </c>
      <c r="D1168" t="inlineStr">
        <is>
          <t>JÄMTLANDS LÄN</t>
        </is>
      </c>
      <c r="E1168" t="inlineStr">
        <is>
          <t>RAGUNDA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12794-2026</t>
        </is>
      </c>
      <c r="B1169" s="1" t="n">
        <v>46092.34559027778</v>
      </c>
      <c r="C1169" s="1" t="n">
        <v>46113</v>
      </c>
      <c r="D1169" t="inlineStr">
        <is>
          <t>JÄMTLANDS LÄN</t>
        </is>
      </c>
      <c r="E1169" t="inlineStr">
        <is>
          <t>RAGUNDA</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38782-2021</t>
        </is>
      </c>
      <c r="B1170" s="1" t="n">
        <v>44410</v>
      </c>
      <c r="C1170" s="1" t="n">
        <v>46113</v>
      </c>
      <c r="D1170" t="inlineStr">
        <is>
          <t>JÄMTLANDS LÄN</t>
        </is>
      </c>
      <c r="E1170" t="inlineStr">
        <is>
          <t>RAGUNDA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16250-2022</t>
        </is>
      </c>
      <c r="B1171" s="1" t="n">
        <v>44670</v>
      </c>
      <c r="C1171" s="1" t="n">
        <v>46113</v>
      </c>
      <c r="D1171" t="inlineStr">
        <is>
          <t>JÄMTLANDS LÄN</t>
        </is>
      </c>
      <c r="E1171" t="inlineStr">
        <is>
          <t>RAGUNDA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13712-2026</t>
        </is>
      </c>
      <c r="B1172" s="1" t="n">
        <v>46097.58015046296</v>
      </c>
      <c r="C1172" s="1" t="n">
        <v>46113</v>
      </c>
      <c r="D1172" t="inlineStr">
        <is>
          <t>JÄMTLANDS LÄN</t>
        </is>
      </c>
      <c r="E1172" t="inlineStr">
        <is>
          <t>RAGUNDA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13334-2024</t>
        </is>
      </c>
      <c r="B1173" s="1" t="n">
        <v>45386</v>
      </c>
      <c r="C1173" s="1" t="n">
        <v>46113</v>
      </c>
      <c r="D1173" t="inlineStr">
        <is>
          <t>JÄMTLANDS LÄN</t>
        </is>
      </c>
      <c r="E1173" t="inlineStr">
        <is>
          <t>RAGUNDA</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13752-2026</t>
        </is>
      </c>
      <c r="B1174" s="1" t="n">
        <v>46097.63755787037</v>
      </c>
      <c r="C1174" s="1" t="n">
        <v>46113</v>
      </c>
      <c r="D1174" t="inlineStr">
        <is>
          <t>JÄMTLANDS LÄN</t>
        </is>
      </c>
      <c r="E1174" t="inlineStr">
        <is>
          <t>RAGUNDA</t>
        </is>
      </c>
      <c r="F1174" t="inlineStr">
        <is>
          <t>SCA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13725-2026</t>
        </is>
      </c>
      <c r="B1175" s="1" t="n">
        <v>46097.61016203704</v>
      </c>
      <c r="C1175" s="1" t="n">
        <v>46113</v>
      </c>
      <c r="D1175" t="inlineStr">
        <is>
          <t>JÄMTLANDS LÄN</t>
        </is>
      </c>
      <c r="E1175" t="inlineStr">
        <is>
          <t>RAGUNDA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6174-2026</t>
        </is>
      </c>
      <c r="B1176" s="1" t="n">
        <v>46055.34457175926</v>
      </c>
      <c r="C1176" s="1" t="n">
        <v>46113</v>
      </c>
      <c r="D1176" t="inlineStr">
        <is>
          <t>JÄMTLANDS LÄN</t>
        </is>
      </c>
      <c r="E1176" t="inlineStr">
        <is>
          <t>RAGUNDA</t>
        </is>
      </c>
      <c r="F1176" t="inlineStr">
        <is>
          <t>SCA</t>
        </is>
      </c>
      <c r="G1176" t="n">
        <v>24.3</v>
      </c>
      <c r="H1176" t="n">
        <v>0</v>
      </c>
      <c r="I1176" t="n">
        <v>0</v>
      </c>
      <c r="J1176" t="n">
        <v>0</v>
      </c>
      <c r="K1176" t="n">
        <v>0</v>
      </c>
      <c r="L1176" t="n">
        <v>0</v>
      </c>
      <c r="M1176" t="n">
        <v>0</v>
      </c>
      <c r="N1176" t="n">
        <v>0</v>
      </c>
      <c r="O1176" t="n">
        <v>0</v>
      </c>
      <c r="P1176" t="n">
        <v>0</v>
      </c>
      <c r="Q1176" t="n">
        <v>0</v>
      </c>
      <c r="R1176" s="2" t="inlineStr"/>
    </row>
    <row r="1177" ht="15" customHeight="1">
      <c r="A1177" t="inlineStr">
        <is>
          <t>A 55669-2023</t>
        </is>
      </c>
      <c r="B1177" s="1" t="n">
        <v>45238.96797453704</v>
      </c>
      <c r="C1177" s="1" t="n">
        <v>46113</v>
      </c>
      <c r="D1177" t="inlineStr">
        <is>
          <t>JÄMTLANDS LÄN</t>
        </is>
      </c>
      <c r="E1177" t="inlineStr">
        <is>
          <t>RAGUNDA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13620-2026</t>
        </is>
      </c>
      <c r="B1178" s="1" t="n">
        <v>46097.34435185185</v>
      </c>
      <c r="C1178" s="1" t="n">
        <v>46113</v>
      </c>
      <c r="D1178" t="inlineStr">
        <is>
          <t>JÄMTLANDS LÄN</t>
        </is>
      </c>
      <c r="E1178" t="inlineStr">
        <is>
          <t>RAGUNDA</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13719-2026</t>
        </is>
      </c>
      <c r="B1179" s="1" t="n">
        <v>46097.60271990741</v>
      </c>
      <c r="C1179" s="1" t="n">
        <v>46113</v>
      </c>
      <c r="D1179" t="inlineStr">
        <is>
          <t>JÄMTLANDS LÄN</t>
        </is>
      </c>
      <c r="E1179" t="inlineStr">
        <is>
          <t>RAGUNDA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13751-2026</t>
        </is>
      </c>
      <c r="B1180" s="1" t="n">
        <v>46097.6374074074</v>
      </c>
      <c r="C1180" s="1" t="n">
        <v>46113</v>
      </c>
      <c r="D1180" t="inlineStr">
        <is>
          <t>JÄMTLANDS LÄN</t>
        </is>
      </c>
      <c r="E1180" t="inlineStr">
        <is>
          <t>RAGUNDA</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51389-2024</t>
        </is>
      </c>
      <c r="B1181" s="1" t="n">
        <v>45604.40540509259</v>
      </c>
      <c r="C1181" s="1" t="n">
        <v>46113</v>
      </c>
      <c r="D1181" t="inlineStr">
        <is>
          <t>JÄMTLANDS LÄN</t>
        </is>
      </c>
      <c r="E1181" t="inlineStr">
        <is>
          <t>RAGUNDA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51393-2024</t>
        </is>
      </c>
      <c r="B1182" s="1" t="n">
        <v>45604.41625</v>
      </c>
      <c r="C1182" s="1" t="n">
        <v>46113</v>
      </c>
      <c r="D1182" t="inlineStr">
        <is>
          <t>JÄMTLANDS LÄN</t>
        </is>
      </c>
      <c r="E1182" t="inlineStr">
        <is>
          <t>RAGUNDA</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43339-2024</t>
        </is>
      </c>
      <c r="B1183" s="1" t="n">
        <v>45568.51075231482</v>
      </c>
      <c r="C1183" s="1" t="n">
        <v>46113</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6693-2026</t>
        </is>
      </c>
      <c r="B1184" s="1" t="n">
        <v>46056</v>
      </c>
      <c r="C1184" s="1" t="n">
        <v>46113</v>
      </c>
      <c r="D1184" t="inlineStr">
        <is>
          <t>JÄMTLANDS LÄN</t>
        </is>
      </c>
      <c r="E1184" t="inlineStr">
        <is>
          <t>RAGUNDA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38548-2024</t>
        </is>
      </c>
      <c r="B1185" s="1" t="n">
        <v>45546</v>
      </c>
      <c r="C1185" s="1" t="n">
        <v>46113</v>
      </c>
      <c r="D1185" t="inlineStr">
        <is>
          <t>JÄMTLANDS LÄN</t>
        </is>
      </c>
      <c r="E1185" t="inlineStr">
        <is>
          <t>RAGUNDA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26026-2024</t>
        </is>
      </c>
      <c r="B1186" s="1" t="n">
        <v>45467.96207175926</v>
      </c>
      <c r="C1186" s="1" t="n">
        <v>46113</v>
      </c>
      <c r="D1186" t="inlineStr">
        <is>
          <t>JÄMTLANDS LÄN</t>
        </is>
      </c>
      <c r="E1186" t="inlineStr">
        <is>
          <t>RAGUNDA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5971-2025</t>
        </is>
      </c>
      <c r="B1187" s="1" t="n">
        <v>45695.51070601852</v>
      </c>
      <c r="C1187" s="1" t="n">
        <v>46113</v>
      </c>
      <c r="D1187" t="inlineStr">
        <is>
          <t>JÄMTLANDS LÄN</t>
        </is>
      </c>
      <c r="E1187" t="inlineStr">
        <is>
          <t>RAGUNDA</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51537-2022</t>
        </is>
      </c>
      <c r="B1188" s="1" t="n">
        <v>44869</v>
      </c>
      <c r="C1188" s="1" t="n">
        <v>46113</v>
      </c>
      <c r="D1188" t="inlineStr">
        <is>
          <t>JÄMTLANDS LÄN</t>
        </is>
      </c>
      <c r="E1188" t="inlineStr">
        <is>
          <t>RAGUNDA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12995-2023</t>
        </is>
      </c>
      <c r="B1189" s="1" t="n">
        <v>45002.0328125</v>
      </c>
      <c r="C1189" s="1" t="n">
        <v>46113</v>
      </c>
      <c r="D1189" t="inlineStr">
        <is>
          <t>JÄMTLANDS LÄN</t>
        </is>
      </c>
      <c r="E1189" t="inlineStr">
        <is>
          <t>RAGUNDA</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14412-2026</t>
        </is>
      </c>
      <c r="B1190" s="1" t="n">
        <v>46100.44820601852</v>
      </c>
      <c r="C1190" s="1" t="n">
        <v>46113</v>
      </c>
      <c r="D1190" t="inlineStr">
        <is>
          <t>JÄMTLANDS LÄN</t>
        </is>
      </c>
      <c r="E1190" t="inlineStr">
        <is>
          <t>RAGUNDA</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14443-2026</t>
        </is>
      </c>
      <c r="B1191" s="1" t="n">
        <v>46100.50819444445</v>
      </c>
      <c r="C1191" s="1" t="n">
        <v>46113</v>
      </c>
      <c r="D1191" t="inlineStr">
        <is>
          <t>JÄMTLANDS LÄN</t>
        </is>
      </c>
      <c r="E1191" t="inlineStr">
        <is>
          <t>RAGUNDA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14387-2026</t>
        </is>
      </c>
      <c r="B1192" s="1" t="n">
        <v>46100.38605324074</v>
      </c>
      <c r="C1192" s="1" t="n">
        <v>46113</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8800-2025</t>
        </is>
      </c>
      <c r="B1193" s="1" t="n">
        <v>45712.65671296296</v>
      </c>
      <c r="C1193" s="1" t="n">
        <v>46113</v>
      </c>
      <c r="D1193" t="inlineStr">
        <is>
          <t>JÄMTLANDS LÄN</t>
        </is>
      </c>
      <c r="E1193" t="inlineStr">
        <is>
          <t>RAGUNDA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56284-2023</t>
        </is>
      </c>
      <c r="B1194" s="1" t="n">
        <v>45241.95724537037</v>
      </c>
      <c r="C1194" s="1" t="n">
        <v>46113</v>
      </c>
      <c r="D1194" t="inlineStr">
        <is>
          <t>JÄMTLANDS LÄN</t>
        </is>
      </c>
      <c r="E1194" t="inlineStr">
        <is>
          <t>RAGUNDA</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18610-2024</t>
        </is>
      </c>
      <c r="B1195" s="1" t="n">
        <v>45425.96230324074</v>
      </c>
      <c r="C1195" s="1" t="n">
        <v>46113</v>
      </c>
      <c r="D1195" t="inlineStr">
        <is>
          <t>JÄMTLANDS LÄN</t>
        </is>
      </c>
      <c r="E1195" t="inlineStr">
        <is>
          <t>RAGUNDA</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30563-2023</t>
        </is>
      </c>
      <c r="B1196" s="1" t="n">
        <v>45111.92793981481</v>
      </c>
      <c r="C1196" s="1" t="n">
        <v>46113</v>
      </c>
      <c r="D1196" t="inlineStr">
        <is>
          <t>JÄMTLANDS LÄN</t>
        </is>
      </c>
      <c r="E1196" t="inlineStr">
        <is>
          <t>RAGUNDA</t>
        </is>
      </c>
      <c r="F1196" t="inlineStr">
        <is>
          <t>Övriga Aktiebolag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14668-2026</t>
        </is>
      </c>
      <c r="B1197" s="1" t="n">
        <v>46101.4575462963</v>
      </c>
      <c r="C1197" s="1" t="n">
        <v>46113</v>
      </c>
      <c r="D1197" t="inlineStr">
        <is>
          <t>JÄMTLANDS LÄN</t>
        </is>
      </c>
      <c r="E1197" t="inlineStr">
        <is>
          <t>RAGUNDA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8886-2024</t>
        </is>
      </c>
      <c r="B1198" s="1" t="n">
        <v>45357.05300925926</v>
      </c>
      <c r="C1198" s="1" t="n">
        <v>46113</v>
      </c>
      <c r="D1198" t="inlineStr">
        <is>
          <t>JÄMTLANDS LÄN</t>
        </is>
      </c>
      <c r="E1198" t="inlineStr">
        <is>
          <t>RAGUNDA</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18615-2024</t>
        </is>
      </c>
      <c r="B1199" s="1" t="n">
        <v>45425.96275462963</v>
      </c>
      <c r="C1199" s="1" t="n">
        <v>46113</v>
      </c>
      <c r="D1199" t="inlineStr">
        <is>
          <t>JÄMTLANDS LÄN</t>
        </is>
      </c>
      <c r="E1199" t="inlineStr">
        <is>
          <t>RAGUNDA</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7777-2026</t>
        </is>
      </c>
      <c r="B1200" s="1" t="n">
        <v>46062.57324074074</v>
      </c>
      <c r="C1200" s="1" t="n">
        <v>46113</v>
      </c>
      <c r="D1200" t="inlineStr">
        <is>
          <t>JÄMTLANDS LÄN</t>
        </is>
      </c>
      <c r="E1200" t="inlineStr">
        <is>
          <t>RAGUNDA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15349-2026</t>
        </is>
      </c>
      <c r="B1201" s="1" t="n">
        <v>46105.69865740741</v>
      </c>
      <c r="C1201" s="1" t="n">
        <v>46113</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15356-2026</t>
        </is>
      </c>
      <c r="B1202" s="1" t="n">
        <v>46105.69986111111</v>
      </c>
      <c r="C1202" s="1" t="n">
        <v>46113</v>
      </c>
      <c r="D1202" t="inlineStr">
        <is>
          <t>JÄMTLANDS LÄN</t>
        </is>
      </c>
      <c r="E1202" t="inlineStr">
        <is>
          <t>RAGUNDA</t>
        </is>
      </c>
      <c r="F1202" t="inlineStr">
        <is>
          <t>SCA</t>
        </is>
      </c>
      <c r="G1202" t="n">
        <v>35.2</v>
      </c>
      <c r="H1202" t="n">
        <v>0</v>
      </c>
      <c r="I1202" t="n">
        <v>0</v>
      </c>
      <c r="J1202" t="n">
        <v>0</v>
      </c>
      <c r="K1202" t="n">
        <v>0</v>
      </c>
      <c r="L1202" t="n">
        <v>0</v>
      </c>
      <c r="M1202" t="n">
        <v>0</v>
      </c>
      <c r="N1202" t="n">
        <v>0</v>
      </c>
      <c r="O1202" t="n">
        <v>0</v>
      </c>
      <c r="P1202" t="n">
        <v>0</v>
      </c>
      <c r="Q1202" t="n">
        <v>0</v>
      </c>
      <c r="R1202" s="2" t="inlineStr"/>
    </row>
    <row r="1203" ht="15" customHeight="1">
      <c r="A1203" t="inlineStr">
        <is>
          <t>A 15563-2026</t>
        </is>
      </c>
      <c r="B1203" s="1" t="n">
        <v>46106.55273148148</v>
      </c>
      <c r="C1203" s="1" t="n">
        <v>46113</v>
      </c>
      <c r="D1203" t="inlineStr">
        <is>
          <t>JÄMTLANDS LÄN</t>
        </is>
      </c>
      <c r="E1203" t="inlineStr">
        <is>
          <t>RAGUNDA</t>
        </is>
      </c>
      <c r="F1203" t="inlineStr">
        <is>
          <t>SCA</t>
        </is>
      </c>
      <c r="G1203" t="n">
        <v>31.9</v>
      </c>
      <c r="H1203" t="n">
        <v>0</v>
      </c>
      <c r="I1203" t="n">
        <v>0</v>
      </c>
      <c r="J1203" t="n">
        <v>0</v>
      </c>
      <c r="K1203" t="n">
        <v>0</v>
      </c>
      <c r="L1203" t="n">
        <v>0</v>
      </c>
      <c r="M1203" t="n">
        <v>0</v>
      </c>
      <c r="N1203" t="n">
        <v>0</v>
      </c>
      <c r="O1203" t="n">
        <v>0</v>
      </c>
      <c r="P1203" t="n">
        <v>0</v>
      </c>
      <c r="Q1203" t="n">
        <v>0</v>
      </c>
      <c r="R1203" s="2" t="inlineStr"/>
    </row>
    <row r="1204" ht="15" customHeight="1">
      <c r="A1204" t="inlineStr">
        <is>
          <t>A 15564-2026</t>
        </is>
      </c>
      <c r="B1204" s="1" t="n">
        <v>46106.55290509259</v>
      </c>
      <c r="C1204" s="1" t="n">
        <v>46113</v>
      </c>
      <c r="D1204" t="inlineStr">
        <is>
          <t>JÄMTLANDS LÄN</t>
        </is>
      </c>
      <c r="E1204" t="inlineStr">
        <is>
          <t>RAGUNDA</t>
        </is>
      </c>
      <c r="F1204" t="inlineStr">
        <is>
          <t>SCA</t>
        </is>
      </c>
      <c r="G1204" t="n">
        <v>32.2</v>
      </c>
      <c r="H1204" t="n">
        <v>0</v>
      </c>
      <c r="I1204" t="n">
        <v>0</v>
      </c>
      <c r="J1204" t="n">
        <v>0</v>
      </c>
      <c r="K1204" t="n">
        <v>0</v>
      </c>
      <c r="L1204" t="n">
        <v>0</v>
      </c>
      <c r="M1204" t="n">
        <v>0</v>
      </c>
      <c r="N1204" t="n">
        <v>0</v>
      </c>
      <c r="O1204" t="n">
        <v>0</v>
      </c>
      <c r="P1204" t="n">
        <v>0</v>
      </c>
      <c r="Q1204" t="n">
        <v>0</v>
      </c>
      <c r="R1204" s="2" t="inlineStr"/>
    </row>
    <row r="1205" ht="15" customHeight="1">
      <c r="A1205" t="inlineStr">
        <is>
          <t>A 23303-2024</t>
        </is>
      </c>
      <c r="B1205" s="1" t="n">
        <v>45453.4444212963</v>
      </c>
      <c r="C1205" s="1" t="n">
        <v>46113</v>
      </c>
      <c r="D1205" t="inlineStr">
        <is>
          <t>JÄMTLANDS LÄN</t>
        </is>
      </c>
      <c r="E1205" t="inlineStr">
        <is>
          <t>RAGUNDA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8312-2026</t>
        </is>
      </c>
      <c r="B1206" s="1" t="n">
        <v>46064</v>
      </c>
      <c r="C1206" s="1" t="n">
        <v>46113</v>
      </c>
      <c r="D1206" t="inlineStr">
        <is>
          <t>JÄMTLANDS LÄN</t>
        </is>
      </c>
      <c r="E1206" t="inlineStr">
        <is>
          <t>RAGUNDA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465-2023</t>
        </is>
      </c>
      <c r="B1207" s="1" t="n">
        <v>44929</v>
      </c>
      <c r="C1207" s="1" t="n">
        <v>46113</v>
      </c>
      <c r="D1207" t="inlineStr">
        <is>
          <t>JÄMTLANDS LÄN</t>
        </is>
      </c>
      <c r="E1207" t="inlineStr">
        <is>
          <t>RAGUNDA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32832-2021</t>
        </is>
      </c>
      <c r="B1208" s="1" t="n">
        <v>44375</v>
      </c>
      <c r="C1208" s="1" t="n">
        <v>46113</v>
      </c>
      <c r="D1208" t="inlineStr">
        <is>
          <t>JÄMTLANDS LÄN</t>
        </is>
      </c>
      <c r="E1208" t="inlineStr">
        <is>
          <t>RAGUNDA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15651-2026</t>
        </is>
      </c>
      <c r="B1209" s="1" t="n">
        <v>46106.65706018519</v>
      </c>
      <c r="C1209" s="1" t="n">
        <v>46113</v>
      </c>
      <c r="D1209" t="inlineStr">
        <is>
          <t>JÄMTLANDS LÄN</t>
        </is>
      </c>
      <c r="E1209" t="inlineStr">
        <is>
          <t>RAGUNDA</t>
        </is>
      </c>
      <c r="F1209" t="inlineStr">
        <is>
          <t>SCA</t>
        </is>
      </c>
      <c r="G1209" t="n">
        <v>34.8</v>
      </c>
      <c r="H1209" t="n">
        <v>0</v>
      </c>
      <c r="I1209" t="n">
        <v>0</v>
      </c>
      <c r="J1209" t="n">
        <v>0</v>
      </c>
      <c r="K1209" t="n">
        <v>0</v>
      </c>
      <c r="L1209" t="n">
        <v>0</v>
      </c>
      <c r="M1209" t="n">
        <v>0</v>
      </c>
      <c r="N1209" t="n">
        <v>0</v>
      </c>
      <c r="O1209" t="n">
        <v>0</v>
      </c>
      <c r="P1209" t="n">
        <v>0</v>
      </c>
      <c r="Q1209" t="n">
        <v>0</v>
      </c>
      <c r="R1209" s="2" t="inlineStr"/>
    </row>
    <row r="1210" ht="15" customHeight="1">
      <c r="A1210" t="inlineStr">
        <is>
          <t>A 3938-2024</t>
        </is>
      </c>
      <c r="B1210" s="1" t="n">
        <v>45322</v>
      </c>
      <c r="C1210" s="1" t="n">
        <v>46113</v>
      </c>
      <c r="D1210" t="inlineStr">
        <is>
          <t>JÄMTLANDS LÄN</t>
        </is>
      </c>
      <c r="E1210" t="inlineStr">
        <is>
          <t>RAGUNDA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62081-2022</t>
        </is>
      </c>
      <c r="B1211" s="1" t="n">
        <v>44918</v>
      </c>
      <c r="C1211" s="1" t="n">
        <v>46113</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15565-2026</t>
        </is>
      </c>
      <c r="B1212" s="1" t="n">
        <v>46106.55313657408</v>
      </c>
      <c r="C1212" s="1" t="n">
        <v>46113</v>
      </c>
      <c r="D1212" t="inlineStr">
        <is>
          <t>JÄMTLANDS LÄN</t>
        </is>
      </c>
      <c r="E1212" t="inlineStr">
        <is>
          <t>RAGUNDA</t>
        </is>
      </c>
      <c r="F1212" t="inlineStr">
        <is>
          <t>SCA</t>
        </is>
      </c>
      <c r="G1212" t="n">
        <v>10.6</v>
      </c>
      <c r="H1212" t="n">
        <v>0</v>
      </c>
      <c r="I1212" t="n">
        <v>0</v>
      </c>
      <c r="J1212" t="n">
        <v>0</v>
      </c>
      <c r="K1212" t="n">
        <v>0</v>
      </c>
      <c r="L1212" t="n">
        <v>0</v>
      </c>
      <c r="M1212" t="n">
        <v>0</v>
      </c>
      <c r="N1212" t="n">
        <v>0</v>
      </c>
      <c r="O1212" t="n">
        <v>0</v>
      </c>
      <c r="P1212" t="n">
        <v>0</v>
      </c>
      <c r="Q1212" t="n">
        <v>0</v>
      </c>
      <c r="R1212" s="2" t="inlineStr"/>
    </row>
    <row r="1213" ht="15" customHeight="1">
      <c r="A1213" t="inlineStr">
        <is>
          <t>A 55508-2024</t>
        </is>
      </c>
      <c r="B1213" s="1" t="n">
        <v>45622.46200231482</v>
      </c>
      <c r="C1213" s="1" t="n">
        <v>46113</v>
      </c>
      <c r="D1213" t="inlineStr">
        <is>
          <t>JÄMTLANDS LÄN</t>
        </is>
      </c>
      <c r="E1213" t="inlineStr">
        <is>
          <t>RAGUNDA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15470-2026</t>
        </is>
      </c>
      <c r="B1214" s="1" t="n">
        <v>46106.43222222223</v>
      </c>
      <c r="C1214" s="1" t="n">
        <v>46113</v>
      </c>
      <c r="D1214" t="inlineStr">
        <is>
          <t>JÄMTLANDS LÄN</t>
        </is>
      </c>
      <c r="E1214" t="inlineStr">
        <is>
          <t>RAGUNDA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15652-2026</t>
        </is>
      </c>
      <c r="B1215" s="1" t="n">
        <v>46106.65717592592</v>
      </c>
      <c r="C1215" s="1" t="n">
        <v>46113</v>
      </c>
      <c r="D1215" t="inlineStr">
        <is>
          <t>JÄMTLANDS LÄN</t>
        </is>
      </c>
      <c r="E1215" t="inlineStr">
        <is>
          <t>RAGUNDA</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8067-2026</t>
        </is>
      </c>
      <c r="B1216" s="1" t="n">
        <v>46063.6358912037</v>
      </c>
      <c r="C1216" s="1" t="n">
        <v>46113</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12521-2023</t>
        </is>
      </c>
      <c r="B1217" s="1" t="n">
        <v>45000</v>
      </c>
      <c r="C1217" s="1" t="n">
        <v>46113</v>
      </c>
      <c r="D1217" t="inlineStr">
        <is>
          <t>JÄMTLANDS LÄN</t>
        </is>
      </c>
      <c r="E1217" t="inlineStr">
        <is>
          <t>RAGUNDA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3720-2025</t>
        </is>
      </c>
      <c r="B1218" s="1" t="n">
        <v>45681.5315625</v>
      </c>
      <c r="C1218" s="1" t="n">
        <v>46113</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2339-2025</t>
        </is>
      </c>
      <c r="B1219" s="1" t="n">
        <v>45673.66358796296</v>
      </c>
      <c r="C1219" s="1" t="n">
        <v>46113</v>
      </c>
      <c r="D1219" t="inlineStr">
        <is>
          <t>JÄMTLANDS LÄN</t>
        </is>
      </c>
      <c r="E1219" t="inlineStr">
        <is>
          <t>RAGUNDA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17742-2022</t>
        </is>
      </c>
      <c r="B1220" s="1" t="n">
        <v>44680.95246527778</v>
      </c>
      <c r="C1220" s="1" t="n">
        <v>46113</v>
      </c>
      <c r="D1220" t="inlineStr">
        <is>
          <t>JÄMTLANDS LÄN</t>
        </is>
      </c>
      <c r="E1220" t="inlineStr">
        <is>
          <t>RAGUNDA</t>
        </is>
      </c>
      <c r="F1220" t="inlineStr">
        <is>
          <t>SCA</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16127-2026</t>
        </is>
      </c>
      <c r="B1221" s="1" t="n">
        <v>46108.63616898148</v>
      </c>
      <c r="C1221" s="1" t="n">
        <v>46113</v>
      </c>
      <c r="D1221" t="inlineStr">
        <is>
          <t>JÄMTLANDS LÄN</t>
        </is>
      </c>
      <c r="E1221" t="inlineStr">
        <is>
          <t>RAGUNDA</t>
        </is>
      </c>
      <c r="F1221" t="inlineStr">
        <is>
          <t>SCA</t>
        </is>
      </c>
      <c r="G1221" t="n">
        <v>16.7</v>
      </c>
      <c r="H1221" t="n">
        <v>0</v>
      </c>
      <c r="I1221" t="n">
        <v>0</v>
      </c>
      <c r="J1221" t="n">
        <v>0</v>
      </c>
      <c r="K1221" t="n">
        <v>0</v>
      </c>
      <c r="L1221" t="n">
        <v>0</v>
      </c>
      <c r="M1221" t="n">
        <v>0</v>
      </c>
      <c r="N1221" t="n">
        <v>0</v>
      </c>
      <c r="O1221" t="n">
        <v>0</v>
      </c>
      <c r="P1221" t="n">
        <v>0</v>
      </c>
      <c r="Q1221" t="n">
        <v>0</v>
      </c>
      <c r="R1221" s="2" t="inlineStr"/>
    </row>
    <row r="1222" ht="15" customHeight="1">
      <c r="A1222" t="inlineStr">
        <is>
          <t>A 16129-2026</t>
        </is>
      </c>
      <c r="B1222" s="1" t="n">
        <v>46108.63652777778</v>
      </c>
      <c r="C1222" s="1" t="n">
        <v>46113</v>
      </c>
      <c r="D1222" t="inlineStr">
        <is>
          <t>JÄMTLANDS LÄN</t>
        </is>
      </c>
      <c r="E1222" t="inlineStr">
        <is>
          <t>RAGUNDA</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15931-2026</t>
        </is>
      </c>
      <c r="B1223" s="1" t="n">
        <v>46107.66560185186</v>
      </c>
      <c r="C1223" s="1" t="n">
        <v>46113</v>
      </c>
      <c r="D1223" t="inlineStr">
        <is>
          <t>JÄMTLANDS LÄN</t>
        </is>
      </c>
      <c r="E1223" t="inlineStr">
        <is>
          <t>RAGUNDA</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50555-2024</t>
        </is>
      </c>
      <c r="B1224" s="1" t="n">
        <v>45601.59518518519</v>
      </c>
      <c r="C1224" s="1" t="n">
        <v>46113</v>
      </c>
      <c r="D1224" t="inlineStr">
        <is>
          <t>JÄMTLANDS LÄN</t>
        </is>
      </c>
      <c r="E1224" t="inlineStr">
        <is>
          <t>RAGUNDA</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15830-2026</t>
        </is>
      </c>
      <c r="B1225" s="1" t="n">
        <v>46107.55273148148</v>
      </c>
      <c r="C1225" s="1" t="n">
        <v>46113</v>
      </c>
      <c r="D1225" t="inlineStr">
        <is>
          <t>JÄMTLANDS LÄN</t>
        </is>
      </c>
      <c r="E1225" t="inlineStr">
        <is>
          <t>RAGUNDA</t>
        </is>
      </c>
      <c r="F1225" t="inlineStr">
        <is>
          <t>SCA</t>
        </is>
      </c>
      <c r="G1225" t="n">
        <v>49.5</v>
      </c>
      <c r="H1225" t="n">
        <v>0</v>
      </c>
      <c r="I1225" t="n">
        <v>0</v>
      </c>
      <c r="J1225" t="n">
        <v>0</v>
      </c>
      <c r="K1225" t="n">
        <v>0</v>
      </c>
      <c r="L1225" t="n">
        <v>0</v>
      </c>
      <c r="M1225" t="n">
        <v>0</v>
      </c>
      <c r="N1225" t="n">
        <v>0</v>
      </c>
      <c r="O1225" t="n">
        <v>0</v>
      </c>
      <c r="P1225" t="n">
        <v>0</v>
      </c>
      <c r="Q1225" t="n">
        <v>0</v>
      </c>
      <c r="R1225" s="2" t="inlineStr"/>
    </row>
    <row r="1226" ht="15" customHeight="1">
      <c r="A1226" t="inlineStr">
        <is>
          <t>A 16126-2026</t>
        </is>
      </c>
      <c r="B1226" s="1" t="n">
        <v>46108.63608796296</v>
      </c>
      <c r="C1226" s="1" t="n">
        <v>46113</v>
      </c>
      <c r="D1226" t="inlineStr">
        <is>
          <t>JÄMTLANDS LÄN</t>
        </is>
      </c>
      <c r="E1226" t="inlineStr">
        <is>
          <t>RAGUNDA</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16142-2026</t>
        </is>
      </c>
      <c r="B1227" s="1" t="n">
        <v>46108.65679398148</v>
      </c>
      <c r="C1227" s="1" t="n">
        <v>46113</v>
      </c>
      <c r="D1227" t="inlineStr">
        <is>
          <t>JÄMTLANDS LÄN</t>
        </is>
      </c>
      <c r="E1227" t="inlineStr">
        <is>
          <t>RAGUNDA</t>
        </is>
      </c>
      <c r="F1227" t="inlineStr">
        <is>
          <t>SCA</t>
        </is>
      </c>
      <c r="G1227" t="n">
        <v>52.5</v>
      </c>
      <c r="H1227" t="n">
        <v>0</v>
      </c>
      <c r="I1227" t="n">
        <v>0</v>
      </c>
      <c r="J1227" t="n">
        <v>0</v>
      </c>
      <c r="K1227" t="n">
        <v>0</v>
      </c>
      <c r="L1227" t="n">
        <v>0</v>
      </c>
      <c r="M1227" t="n">
        <v>0</v>
      </c>
      <c r="N1227" t="n">
        <v>0</v>
      </c>
      <c r="O1227" t="n">
        <v>0</v>
      </c>
      <c r="P1227" t="n">
        <v>0</v>
      </c>
      <c r="Q1227" t="n">
        <v>0</v>
      </c>
      <c r="R1227" s="2" t="inlineStr"/>
    </row>
    <row r="1228" ht="15" customHeight="1">
      <c r="A1228" t="inlineStr">
        <is>
          <t>A 53676-2022</t>
        </is>
      </c>
      <c r="B1228" s="1" t="n">
        <v>44879</v>
      </c>
      <c r="C1228" s="1" t="n">
        <v>46113</v>
      </c>
      <c r="D1228" t="inlineStr">
        <is>
          <t>JÄMTLANDS LÄN</t>
        </is>
      </c>
      <c r="E1228" t="inlineStr">
        <is>
          <t>RAGUNDA</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14212-2023</t>
        </is>
      </c>
      <c r="B1229" s="1" t="n">
        <v>45009</v>
      </c>
      <c r="C1229" s="1" t="n">
        <v>46113</v>
      </c>
      <c r="D1229" t="inlineStr">
        <is>
          <t>JÄMTLANDS LÄN</t>
        </is>
      </c>
      <c r="E1229" t="inlineStr">
        <is>
          <t>RAGUNDA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15939-2026</t>
        </is>
      </c>
      <c r="B1230" s="1" t="n">
        <v>46107.6872337963</v>
      </c>
      <c r="C1230" s="1" t="n">
        <v>46113</v>
      </c>
      <c r="D1230" t="inlineStr">
        <is>
          <t>JÄMTLANDS LÄN</t>
        </is>
      </c>
      <c r="E1230" t="inlineStr">
        <is>
          <t>RAGUNDA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20772-2024</t>
        </is>
      </c>
      <c r="B1231" s="1" t="n">
        <v>45436.94628472222</v>
      </c>
      <c r="C1231" s="1" t="n">
        <v>46113</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18614-2024</t>
        </is>
      </c>
      <c r="B1232" s="1" t="n">
        <v>45425.96263888889</v>
      </c>
      <c r="C1232" s="1" t="n">
        <v>46113</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53757-2024</t>
        </is>
      </c>
      <c r="B1233" s="1" t="n">
        <v>45615.50034722222</v>
      </c>
      <c r="C1233" s="1" t="n">
        <v>46113</v>
      </c>
      <c r="D1233" t="inlineStr">
        <is>
          <t>JÄMTLANDS LÄN</t>
        </is>
      </c>
      <c r="E1233" t="inlineStr">
        <is>
          <t>RAGUNDA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19246-2023</t>
        </is>
      </c>
      <c r="B1234" s="1" t="n">
        <v>45048.94340277778</v>
      </c>
      <c r="C1234" s="1" t="n">
        <v>46113</v>
      </c>
      <c r="D1234" t="inlineStr">
        <is>
          <t>JÄMTLANDS LÄN</t>
        </is>
      </c>
      <c r="E1234" t="inlineStr">
        <is>
          <t>RAGUNDA</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464-2023</t>
        </is>
      </c>
      <c r="B1235" s="1" t="n">
        <v>44929.92489583333</v>
      </c>
      <c r="C1235" s="1" t="n">
        <v>46113</v>
      </c>
      <c r="D1235" t="inlineStr">
        <is>
          <t>JÄMTLANDS LÄN</t>
        </is>
      </c>
      <c r="E1235" t="inlineStr">
        <is>
          <t>RAGUNDA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49649-2024</t>
        </is>
      </c>
      <c r="B1236" s="1" t="n">
        <v>45596.61553240741</v>
      </c>
      <c r="C1236" s="1" t="n">
        <v>46113</v>
      </c>
      <c r="D1236" t="inlineStr">
        <is>
          <t>JÄMTLANDS LÄN</t>
        </is>
      </c>
      <c r="E1236" t="inlineStr">
        <is>
          <t>RAGUNDA</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20426-2024</t>
        </is>
      </c>
      <c r="B1237" s="1" t="n">
        <v>45435</v>
      </c>
      <c r="C1237" s="1" t="n">
        <v>46113</v>
      </c>
      <c r="D1237" t="inlineStr">
        <is>
          <t>JÄMTLANDS LÄN</t>
        </is>
      </c>
      <c r="E1237" t="inlineStr">
        <is>
          <t>RAGUNDA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41344-2024</t>
        </is>
      </c>
      <c r="B1238" s="1" t="n">
        <v>45559.67759259259</v>
      </c>
      <c r="C1238" s="1" t="n">
        <v>46113</v>
      </c>
      <c r="D1238" t="inlineStr">
        <is>
          <t>JÄMTLANDS LÄN</t>
        </is>
      </c>
      <c r="E1238" t="inlineStr">
        <is>
          <t>RAGUNDA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58955-2024</t>
        </is>
      </c>
      <c r="B1239" s="1" t="n">
        <v>45636.57329861111</v>
      </c>
      <c r="C1239" s="1" t="n">
        <v>46113</v>
      </c>
      <c r="D1239" t="inlineStr">
        <is>
          <t>JÄMTLANDS LÄN</t>
        </is>
      </c>
      <c r="E1239" t="inlineStr">
        <is>
          <t>RAGUNDA</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4878-2022</t>
        </is>
      </c>
      <c r="B1240" s="1" t="n">
        <v>44593</v>
      </c>
      <c r="C1240" s="1" t="n">
        <v>46113</v>
      </c>
      <c r="D1240" t="inlineStr">
        <is>
          <t>JÄMTLANDS LÄN</t>
        </is>
      </c>
      <c r="E1240" t="inlineStr">
        <is>
          <t>RAGUNDA</t>
        </is>
      </c>
      <c r="G1240" t="n">
        <v>21.7</v>
      </c>
      <c r="H1240" t="n">
        <v>0</v>
      </c>
      <c r="I1240" t="n">
        <v>0</v>
      </c>
      <c r="J1240" t="n">
        <v>0</v>
      </c>
      <c r="K1240" t="n">
        <v>0</v>
      </c>
      <c r="L1240" t="n">
        <v>0</v>
      </c>
      <c r="M1240" t="n">
        <v>0</v>
      </c>
      <c r="N1240" t="n">
        <v>0</v>
      </c>
      <c r="O1240" t="n">
        <v>0</v>
      </c>
      <c r="P1240" t="n">
        <v>0</v>
      </c>
      <c r="Q1240" t="n">
        <v>0</v>
      </c>
      <c r="R1240" s="2" t="inlineStr"/>
    </row>
    <row r="1241" ht="15" customHeight="1">
      <c r="A1241" t="inlineStr">
        <is>
          <t>A 9097-2026</t>
        </is>
      </c>
      <c r="B1241" s="1" t="n">
        <v>46069.63592592593</v>
      </c>
      <c r="C1241" s="1" t="n">
        <v>46113</v>
      </c>
      <c r="D1241" t="inlineStr">
        <is>
          <t>JÄMTLANDS LÄN</t>
        </is>
      </c>
      <c r="E1241" t="inlineStr">
        <is>
          <t>RAGUNDA</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16311-2026</t>
        </is>
      </c>
      <c r="B1242" s="1" t="n">
        <v>46111.55025462963</v>
      </c>
      <c r="C1242" s="1" t="n">
        <v>46113</v>
      </c>
      <c r="D1242" t="inlineStr">
        <is>
          <t>JÄMTLANDS LÄN</t>
        </is>
      </c>
      <c r="E1242" t="inlineStr">
        <is>
          <t>RAGUNDA</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9316-2026</t>
        </is>
      </c>
      <c r="B1243" s="1" t="n">
        <v>46070.62200231481</v>
      </c>
      <c r="C1243" s="1" t="n">
        <v>46113</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39489-2023</t>
        </is>
      </c>
      <c r="B1244" s="1" t="n">
        <v>45166</v>
      </c>
      <c r="C1244" s="1" t="n">
        <v>46113</v>
      </c>
      <c r="D1244" t="inlineStr">
        <is>
          <t>JÄMTLANDS LÄN</t>
        </is>
      </c>
      <c r="E1244" t="inlineStr">
        <is>
          <t>RAGUNDA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16372-2026</t>
        </is>
      </c>
      <c r="B1245" s="1" t="n">
        <v>46111.61523148148</v>
      </c>
      <c r="C1245" s="1" t="n">
        <v>46113</v>
      </c>
      <c r="D1245" t="inlineStr">
        <is>
          <t>JÄMTLANDS LÄN</t>
        </is>
      </c>
      <c r="E1245" t="inlineStr">
        <is>
          <t>RAGUNDA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11058-2025</t>
        </is>
      </c>
      <c r="B1246" s="1" t="n">
        <v>45723.51079861111</v>
      </c>
      <c r="C1246" s="1" t="n">
        <v>46113</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15554-2025</t>
        </is>
      </c>
      <c r="B1247" s="1" t="n">
        <v>45747.67739583334</v>
      </c>
      <c r="C1247" s="1" t="n">
        <v>46113</v>
      </c>
      <c r="D1247" t="inlineStr">
        <is>
          <t>JÄMTLANDS LÄN</t>
        </is>
      </c>
      <c r="E1247" t="inlineStr">
        <is>
          <t>RAGUNDA</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57170-2024</t>
        </is>
      </c>
      <c r="B1248" s="1" t="n">
        <v>45629.42759259259</v>
      </c>
      <c r="C1248" s="1" t="n">
        <v>46113</v>
      </c>
      <c r="D1248" t="inlineStr">
        <is>
          <t>JÄMTLANDS LÄN</t>
        </is>
      </c>
      <c r="E1248" t="inlineStr">
        <is>
          <t>RAGUNDA</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29940-2023</t>
        </is>
      </c>
      <c r="B1249" s="1" t="n">
        <v>45107</v>
      </c>
      <c r="C1249" s="1" t="n">
        <v>46113</v>
      </c>
      <c r="D1249" t="inlineStr">
        <is>
          <t>JÄMTLANDS LÄN</t>
        </is>
      </c>
      <c r="E1249" t="inlineStr">
        <is>
          <t>RAGUNDA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66471-2021</t>
        </is>
      </c>
      <c r="B1250" s="1" t="n">
        <v>44518</v>
      </c>
      <c r="C1250" s="1" t="n">
        <v>46113</v>
      </c>
      <c r="D1250" t="inlineStr">
        <is>
          <t>JÄMTLANDS LÄN</t>
        </is>
      </c>
      <c r="E1250" t="inlineStr">
        <is>
          <t>RAGUNDA</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22731-2023</t>
        </is>
      </c>
      <c r="B1251" s="1" t="n">
        <v>45071</v>
      </c>
      <c r="C1251" s="1" t="n">
        <v>46113</v>
      </c>
      <c r="D1251" t="inlineStr">
        <is>
          <t>JÄMTLANDS LÄN</t>
        </is>
      </c>
      <c r="E1251" t="inlineStr">
        <is>
          <t>RAGUNDA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33877-2023</t>
        </is>
      </c>
      <c r="B1252" s="1" t="n">
        <v>45133</v>
      </c>
      <c r="C1252" s="1" t="n">
        <v>46113</v>
      </c>
      <c r="D1252" t="inlineStr">
        <is>
          <t>JÄMTLANDS LÄN</t>
        </is>
      </c>
      <c r="E1252" t="inlineStr">
        <is>
          <t>RAGUNDA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8775-2025</t>
        </is>
      </c>
      <c r="B1253" s="1" t="n">
        <v>45712.61502314815</v>
      </c>
      <c r="C1253" s="1" t="n">
        <v>46113</v>
      </c>
      <c r="D1253" t="inlineStr">
        <is>
          <t>JÄMTLANDS LÄN</t>
        </is>
      </c>
      <c r="E1253" t="inlineStr">
        <is>
          <t>RAGUNDA</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16456-2026</t>
        </is>
      </c>
      <c r="B1254" s="1" t="n">
        <v>46112.34467592592</v>
      </c>
      <c r="C1254" s="1" t="n">
        <v>46113</v>
      </c>
      <c r="D1254" t="inlineStr">
        <is>
          <t>JÄMTLANDS LÄN</t>
        </is>
      </c>
      <c r="E1254" t="inlineStr">
        <is>
          <t>RAGUNDA</t>
        </is>
      </c>
      <c r="F1254" t="inlineStr">
        <is>
          <t>SCA</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16298-2026</t>
        </is>
      </c>
      <c r="B1255" s="1" t="n">
        <v>46111.53591435185</v>
      </c>
      <c r="C1255" s="1" t="n">
        <v>46113</v>
      </c>
      <c r="D1255" t="inlineStr">
        <is>
          <t>JÄMTLANDS LÄN</t>
        </is>
      </c>
      <c r="E1255" t="inlineStr">
        <is>
          <t>RAGUNDA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8776-2025</t>
        </is>
      </c>
      <c r="B1256" s="1" t="n">
        <v>45712.61510416667</v>
      </c>
      <c r="C1256" s="1" t="n">
        <v>46113</v>
      </c>
      <c r="D1256" t="inlineStr">
        <is>
          <t>JÄMTLANDS LÄN</t>
        </is>
      </c>
      <c r="E1256" t="inlineStr">
        <is>
          <t>RAGUNDA</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57749-2024</t>
        </is>
      </c>
      <c r="B1257" s="1" t="n">
        <v>45630.7862037037</v>
      </c>
      <c r="C1257" s="1" t="n">
        <v>46113</v>
      </c>
      <c r="D1257" t="inlineStr">
        <is>
          <t>JÄMTLANDS LÄN</t>
        </is>
      </c>
      <c r="E1257" t="inlineStr">
        <is>
          <t>RAGUNDA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9042-2026</t>
        </is>
      </c>
      <c r="B1258" s="1" t="n">
        <v>46069.54721064815</v>
      </c>
      <c r="C1258" s="1" t="n">
        <v>46113</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5067-2024</t>
        </is>
      </c>
      <c r="B1259" s="1" t="n">
        <v>45329.95806712963</v>
      </c>
      <c r="C1259" s="1" t="n">
        <v>46113</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5429-2024</t>
        </is>
      </c>
      <c r="B1260" s="1" t="n">
        <v>45331.92746527777</v>
      </c>
      <c r="C1260" s="1" t="n">
        <v>46113</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16320-2026</t>
        </is>
      </c>
      <c r="B1261" s="1" t="n">
        <v>46111.55797453703</v>
      </c>
      <c r="C1261" s="1" t="n">
        <v>46113</v>
      </c>
      <c r="D1261" t="inlineStr">
        <is>
          <t>JÄMTLANDS LÄN</t>
        </is>
      </c>
      <c r="E1261" t="inlineStr">
        <is>
          <t>RAGUNDA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28742-2023</t>
        </is>
      </c>
      <c r="B1262" s="1" t="n">
        <v>45103</v>
      </c>
      <c r="C1262" s="1" t="n">
        <v>46113</v>
      </c>
      <c r="D1262" t="inlineStr">
        <is>
          <t>JÄMTLANDS LÄN</t>
        </is>
      </c>
      <c r="E1262" t="inlineStr">
        <is>
          <t>RAGUNDA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22981-2023</t>
        </is>
      </c>
      <c r="B1263" s="1" t="n">
        <v>45072.92737268518</v>
      </c>
      <c r="C1263" s="1" t="n">
        <v>46113</v>
      </c>
      <c r="D1263" t="inlineStr">
        <is>
          <t>JÄMTLANDS LÄN</t>
        </is>
      </c>
      <c r="E1263" t="inlineStr">
        <is>
          <t>RAGUNDA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21726-2023</t>
        </is>
      </c>
      <c r="B1264" s="1" t="n">
        <v>45065.42894675926</v>
      </c>
      <c r="C1264" s="1" t="n">
        <v>46113</v>
      </c>
      <c r="D1264" t="inlineStr">
        <is>
          <t>JÄMTLANDS LÄN</t>
        </is>
      </c>
      <c r="E1264" t="inlineStr">
        <is>
          <t>RAGUNDA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55514-2024</t>
        </is>
      </c>
      <c r="B1265" s="1" t="n">
        <v>45622.46910879629</v>
      </c>
      <c r="C1265" s="1" t="n">
        <v>46113</v>
      </c>
      <c r="D1265" t="inlineStr">
        <is>
          <t>JÄMTLANDS LÄN</t>
        </is>
      </c>
      <c r="E1265" t="inlineStr">
        <is>
          <t>RAGUNDA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24441-2024</t>
        </is>
      </c>
      <c r="B1266" s="1" t="n">
        <v>45457.96372685185</v>
      </c>
      <c r="C1266" s="1" t="n">
        <v>46113</v>
      </c>
      <c r="D1266" t="inlineStr">
        <is>
          <t>JÄMTLANDS LÄN</t>
        </is>
      </c>
      <c r="E1266" t="inlineStr">
        <is>
          <t>RAGUNDA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934-2023</t>
        </is>
      </c>
      <c r="B1267" s="1" t="n">
        <v>44932.93927083333</v>
      </c>
      <c r="C1267" s="1" t="n">
        <v>46113</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37242-2024</t>
        </is>
      </c>
      <c r="B1268" s="1" t="n">
        <v>45540.34428240741</v>
      </c>
      <c r="C1268" s="1" t="n">
        <v>46113</v>
      </c>
      <c r="D1268" t="inlineStr">
        <is>
          <t>JÄMTLANDS LÄN</t>
        </is>
      </c>
      <c r="E1268" t="inlineStr">
        <is>
          <t>RAGUNDA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9232-2025</t>
        </is>
      </c>
      <c r="B1269" s="1" t="n">
        <v>45714.55064814815</v>
      </c>
      <c r="C1269" s="1" t="n">
        <v>46113</v>
      </c>
      <c r="D1269" t="inlineStr">
        <is>
          <t>JÄMTLANDS LÄN</t>
        </is>
      </c>
      <c r="E1269" t="inlineStr">
        <is>
          <t>RAGUNDA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41656-2023</t>
        </is>
      </c>
      <c r="B1270" s="1" t="n">
        <v>45175</v>
      </c>
      <c r="C1270" s="1" t="n">
        <v>46113</v>
      </c>
      <c r="D1270" t="inlineStr">
        <is>
          <t>JÄMTLANDS LÄN</t>
        </is>
      </c>
      <c r="E1270" t="inlineStr">
        <is>
          <t>RAGUNDA</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36317-2024</t>
        </is>
      </c>
      <c r="B1271" s="1" t="n">
        <v>45534.63537037037</v>
      </c>
      <c r="C1271" s="1" t="n">
        <v>46113</v>
      </c>
      <c r="D1271" t="inlineStr">
        <is>
          <t>JÄMTLANDS LÄN</t>
        </is>
      </c>
      <c r="E1271" t="inlineStr">
        <is>
          <t>RAGUNDA</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36226-2023</t>
        </is>
      </c>
      <c r="B1272" s="1" t="n">
        <v>45149.95372685185</v>
      </c>
      <c r="C1272" s="1" t="n">
        <v>46113</v>
      </c>
      <c r="D1272" t="inlineStr">
        <is>
          <t>JÄMTLANDS LÄN</t>
        </is>
      </c>
      <c r="E1272" t="inlineStr">
        <is>
          <t>RAGUNDA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59368-2022</t>
        </is>
      </c>
      <c r="B1273" s="1" t="n">
        <v>44904.94824074074</v>
      </c>
      <c r="C1273" s="1" t="n">
        <v>46113</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893-2025</t>
        </is>
      </c>
      <c r="B1274" s="1" t="n">
        <v>45665.65684027778</v>
      </c>
      <c r="C1274" s="1" t="n">
        <v>46113</v>
      </c>
      <c r="D1274" t="inlineStr">
        <is>
          <t>JÄMTLANDS LÄN</t>
        </is>
      </c>
      <c r="E1274" t="inlineStr">
        <is>
          <t>RAGUNDA</t>
        </is>
      </c>
      <c r="F1274" t="inlineStr">
        <is>
          <t>SCA</t>
        </is>
      </c>
      <c r="G1274" t="n">
        <v>45.1</v>
      </c>
      <c r="H1274" t="n">
        <v>0</v>
      </c>
      <c r="I1274" t="n">
        <v>0</v>
      </c>
      <c r="J1274" t="n">
        <v>0</v>
      </c>
      <c r="K1274" t="n">
        <v>0</v>
      </c>
      <c r="L1274" t="n">
        <v>0</v>
      </c>
      <c r="M1274" t="n">
        <v>0</v>
      </c>
      <c r="N1274" t="n">
        <v>0</v>
      </c>
      <c r="O1274" t="n">
        <v>0</v>
      </c>
      <c r="P1274" t="n">
        <v>0</v>
      </c>
      <c r="Q1274" t="n">
        <v>0</v>
      </c>
      <c r="R1274" s="2" t="inlineStr"/>
    </row>
    <row r="1275" ht="15" customHeight="1">
      <c r="A1275" t="inlineStr">
        <is>
          <t>A 7520-2023</t>
        </is>
      </c>
      <c r="B1275" s="1" t="n">
        <v>44971</v>
      </c>
      <c r="C1275" s="1" t="n">
        <v>46113</v>
      </c>
      <c r="D1275" t="inlineStr">
        <is>
          <t>JÄMTLANDS LÄN</t>
        </is>
      </c>
      <c r="E1275" t="inlineStr">
        <is>
          <t>RAGUNDA</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53549-2024</t>
        </is>
      </c>
      <c r="B1276" s="1" t="n">
        <v>45614.63869212963</v>
      </c>
      <c r="C1276" s="1" t="n">
        <v>46113</v>
      </c>
      <c r="D1276" t="inlineStr">
        <is>
          <t>JÄMTLANDS LÄN</t>
        </is>
      </c>
      <c r="E1276" t="inlineStr">
        <is>
          <t>RAGUNDA</t>
        </is>
      </c>
      <c r="F1276" t="inlineStr">
        <is>
          <t>Kyrkan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53955-2022</t>
        </is>
      </c>
      <c r="B1277" s="1" t="n">
        <v>44880.95741898148</v>
      </c>
      <c r="C1277" s="1" t="n">
        <v>46113</v>
      </c>
      <c r="D1277" t="inlineStr">
        <is>
          <t>JÄMTLANDS LÄN</t>
        </is>
      </c>
      <c r="E1277" t="inlineStr">
        <is>
          <t>RAGUNDA</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9567-2025</t>
        </is>
      </c>
      <c r="B1278" s="1" t="n">
        <v>45715.61523148148</v>
      </c>
      <c r="C1278" s="1" t="n">
        <v>46113</v>
      </c>
      <c r="D1278" t="inlineStr">
        <is>
          <t>JÄMTLANDS LÄN</t>
        </is>
      </c>
      <c r="E1278" t="inlineStr">
        <is>
          <t>RAGUNDA</t>
        </is>
      </c>
      <c r="F1278" t="inlineStr">
        <is>
          <t>SCA</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53287-2022</t>
        </is>
      </c>
      <c r="B1279" s="1" t="n">
        <v>44876</v>
      </c>
      <c r="C1279" s="1" t="n">
        <v>46113</v>
      </c>
      <c r="D1279" t="inlineStr">
        <is>
          <t>JÄMTLANDS LÄN</t>
        </is>
      </c>
      <c r="E1279" t="inlineStr">
        <is>
          <t>RAGUNDA</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51646-2023</t>
        </is>
      </c>
      <c r="B1280" s="1" t="n">
        <v>45215</v>
      </c>
      <c r="C1280" s="1" t="n">
        <v>46113</v>
      </c>
      <c r="D1280" t="inlineStr">
        <is>
          <t>JÄMTLANDS LÄN</t>
        </is>
      </c>
      <c r="E1280" t="inlineStr">
        <is>
          <t>RAGUNDA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29319-2023</t>
        </is>
      </c>
      <c r="B1281" s="1" t="n">
        <v>45105</v>
      </c>
      <c r="C1281" s="1" t="n">
        <v>46113</v>
      </c>
      <c r="D1281" t="inlineStr">
        <is>
          <t>JÄMTLANDS LÄN</t>
        </is>
      </c>
      <c r="E1281" t="inlineStr">
        <is>
          <t>RAGUNDA</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17323-2025</t>
        </is>
      </c>
      <c r="B1282" s="1" t="n">
        <v>45756.63601851852</v>
      </c>
      <c r="C1282" s="1" t="n">
        <v>46113</v>
      </c>
      <c r="D1282" t="inlineStr">
        <is>
          <t>JÄMTLANDS LÄN</t>
        </is>
      </c>
      <c r="E1282" t="inlineStr">
        <is>
          <t>RAGUNDA</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19486-2024</t>
        </is>
      </c>
      <c r="B1283" s="1" t="n">
        <v>45429</v>
      </c>
      <c r="C1283" s="1" t="n">
        <v>46113</v>
      </c>
      <c r="D1283" t="inlineStr">
        <is>
          <t>JÄMTLANDS LÄN</t>
        </is>
      </c>
      <c r="E1283" t="inlineStr">
        <is>
          <t>RAGUNDA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13941-2025</t>
        </is>
      </c>
      <c r="B1284" s="1" t="n">
        <v>45737.69822916666</v>
      </c>
      <c r="C1284" s="1" t="n">
        <v>46113</v>
      </c>
      <c r="D1284" t="inlineStr">
        <is>
          <t>JÄMTLANDS LÄN</t>
        </is>
      </c>
      <c r="E1284" t="inlineStr">
        <is>
          <t>RAGUNDA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26646-2023</t>
        </is>
      </c>
      <c r="B1285" s="1" t="n">
        <v>45092</v>
      </c>
      <c r="C1285" s="1" t="n">
        <v>46113</v>
      </c>
      <c r="D1285" t="inlineStr">
        <is>
          <t>JÄMTLANDS LÄN</t>
        </is>
      </c>
      <c r="E1285" t="inlineStr">
        <is>
          <t>RAGUNDA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27291-2022</t>
        </is>
      </c>
      <c r="B1286" s="1" t="n">
        <v>44741.94070601852</v>
      </c>
      <c r="C1286" s="1" t="n">
        <v>46113</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49650-2024</t>
        </is>
      </c>
      <c r="B1287" s="1" t="n">
        <v>45596.61569444444</v>
      </c>
      <c r="C1287" s="1" t="n">
        <v>46113</v>
      </c>
      <c r="D1287" t="inlineStr">
        <is>
          <t>JÄMTLANDS LÄN</t>
        </is>
      </c>
      <c r="E1287" t="inlineStr">
        <is>
          <t>RAGUNDA</t>
        </is>
      </c>
      <c r="F1287" t="inlineStr">
        <is>
          <t>Naturvårdsverket</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49651-2024</t>
        </is>
      </c>
      <c r="B1288" s="1" t="n">
        <v>45596.61582175926</v>
      </c>
      <c r="C1288" s="1" t="n">
        <v>46113</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6477-2024</t>
        </is>
      </c>
      <c r="B1289" s="1" t="n">
        <v>45338.95405092592</v>
      </c>
      <c r="C1289" s="1" t="n">
        <v>46113</v>
      </c>
      <c r="D1289" t="inlineStr">
        <is>
          <t>JÄMTLANDS LÄN</t>
        </is>
      </c>
      <c r="E1289" t="inlineStr">
        <is>
          <t>RAGUNDA</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60443-2023</t>
        </is>
      </c>
      <c r="B1290" s="1" t="n">
        <v>45258</v>
      </c>
      <c r="C1290" s="1" t="n">
        <v>46113</v>
      </c>
      <c r="D1290" t="inlineStr">
        <is>
          <t>JÄMTLANDS LÄN</t>
        </is>
      </c>
      <c r="E1290" t="inlineStr">
        <is>
          <t>RAGUNDA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44759-2024</t>
        </is>
      </c>
      <c r="B1291" s="1" t="n">
        <v>45574.61634259259</v>
      </c>
      <c r="C1291" s="1" t="n">
        <v>46113</v>
      </c>
      <c r="D1291" t="inlineStr">
        <is>
          <t>JÄMTLANDS LÄN</t>
        </is>
      </c>
      <c r="E1291" t="inlineStr">
        <is>
          <t>RAGUNDA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993-2025</t>
        </is>
      </c>
      <c r="B1292" s="1" t="n">
        <v>45666.44943287037</v>
      </c>
      <c r="C1292" s="1" t="n">
        <v>46113</v>
      </c>
      <c r="D1292" t="inlineStr">
        <is>
          <t>JÄMTLANDS LÄN</t>
        </is>
      </c>
      <c r="E1292" t="inlineStr">
        <is>
          <t>RAGUNDA</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57064-2024</t>
        </is>
      </c>
      <c r="B1293" s="1" t="n">
        <v>45629.35326388889</v>
      </c>
      <c r="C1293" s="1" t="n">
        <v>46113</v>
      </c>
      <c r="D1293" t="inlineStr">
        <is>
          <t>JÄMTLANDS LÄN</t>
        </is>
      </c>
      <c r="E1293" t="inlineStr">
        <is>
          <t>RAGUNDA</t>
        </is>
      </c>
      <c r="F1293" t="inlineStr">
        <is>
          <t>Naturvårdsverket</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60936-2024</t>
        </is>
      </c>
      <c r="B1294" s="1" t="n">
        <v>45645.36743055555</v>
      </c>
      <c r="C1294" s="1" t="n">
        <v>46113</v>
      </c>
      <c r="D1294" t="inlineStr">
        <is>
          <t>JÄMTLANDS LÄN</t>
        </is>
      </c>
      <c r="E1294" t="inlineStr">
        <is>
          <t>RAGUNDA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5930-2025</t>
        </is>
      </c>
      <c r="B1295" s="1" t="n">
        <v>45695.44724537037</v>
      </c>
      <c r="C1295" s="1" t="n">
        <v>46113</v>
      </c>
      <c r="D1295" t="inlineStr">
        <is>
          <t>JÄMTLANDS LÄN</t>
        </is>
      </c>
      <c r="E1295" t="inlineStr">
        <is>
          <t>RAGUNDA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58847-2024</t>
        </is>
      </c>
      <c r="B1296" s="1" t="n">
        <v>45636.3864699074</v>
      </c>
      <c r="C1296" s="1" t="n">
        <v>46113</v>
      </c>
      <c r="D1296" t="inlineStr">
        <is>
          <t>JÄMTLANDS LÄN</t>
        </is>
      </c>
      <c r="E1296" t="inlineStr">
        <is>
          <t>RAGUNDA</t>
        </is>
      </c>
      <c r="F1296" t="inlineStr">
        <is>
          <t>SCA</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7722-2023</t>
        </is>
      </c>
      <c r="B1297" s="1" t="n">
        <v>44972.94140046297</v>
      </c>
      <c r="C1297" s="1" t="n">
        <v>46113</v>
      </c>
      <c r="D1297" t="inlineStr">
        <is>
          <t>JÄMTLANDS LÄN</t>
        </is>
      </c>
      <c r="E1297" t="inlineStr">
        <is>
          <t>RAGUNDA</t>
        </is>
      </c>
      <c r="F1297" t="inlineStr">
        <is>
          <t>SCA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20653-2025</t>
        </is>
      </c>
      <c r="B1298" s="1" t="n">
        <v>45776.40311342593</v>
      </c>
      <c r="C1298" s="1" t="n">
        <v>46113</v>
      </c>
      <c r="D1298" t="inlineStr">
        <is>
          <t>JÄMTLANDS LÄN</t>
        </is>
      </c>
      <c r="E1298" t="inlineStr">
        <is>
          <t>RAGUNDA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20777-2025</t>
        </is>
      </c>
      <c r="B1299" s="1" t="n">
        <v>45776.59422453704</v>
      </c>
      <c r="C1299" s="1" t="n">
        <v>46113</v>
      </c>
      <c r="D1299" t="inlineStr">
        <is>
          <t>JÄMTLANDS LÄN</t>
        </is>
      </c>
      <c r="E1299" t="inlineStr">
        <is>
          <t>RAGUNDA</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20722-2025</t>
        </is>
      </c>
      <c r="B1300" s="1" t="n">
        <v>45776.50651620371</v>
      </c>
      <c r="C1300" s="1" t="n">
        <v>46113</v>
      </c>
      <c r="D1300" t="inlineStr">
        <is>
          <t>JÄMTLANDS LÄN</t>
        </is>
      </c>
      <c r="E1300" t="inlineStr">
        <is>
          <t>RAGUNDA</t>
        </is>
      </c>
      <c r="F1300" t="inlineStr">
        <is>
          <t>Kommuner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20728-2025</t>
        </is>
      </c>
      <c r="B1301" s="1" t="n">
        <v>45776.51130787037</v>
      </c>
      <c r="C1301" s="1" t="n">
        <v>46113</v>
      </c>
      <c r="D1301" t="inlineStr">
        <is>
          <t>JÄMTLANDS LÄN</t>
        </is>
      </c>
      <c r="E1301" t="inlineStr">
        <is>
          <t>RAGUNDA</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21430-2025</t>
        </is>
      </c>
      <c r="B1302" s="1" t="n">
        <v>45782.51099537037</v>
      </c>
      <c r="C1302" s="1" t="n">
        <v>46113</v>
      </c>
      <c r="D1302" t="inlineStr">
        <is>
          <t>JÄMTLANDS LÄN</t>
        </is>
      </c>
      <c r="E1302" t="inlineStr">
        <is>
          <t>RAGUNDA</t>
        </is>
      </c>
      <c r="F1302" t="inlineStr">
        <is>
          <t>SCA</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21432-2025</t>
        </is>
      </c>
      <c r="B1303" s="1" t="n">
        <v>45782.51109953703</v>
      </c>
      <c r="C1303" s="1" t="n">
        <v>46113</v>
      </c>
      <c r="D1303" t="inlineStr">
        <is>
          <t>JÄMTLANDS LÄN</t>
        </is>
      </c>
      <c r="E1303" t="inlineStr">
        <is>
          <t>RAGUNDA</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21550-2025</t>
        </is>
      </c>
      <c r="B1304" s="1" t="n">
        <v>45782.67758101852</v>
      </c>
      <c r="C1304" s="1" t="n">
        <v>46113</v>
      </c>
      <c r="D1304" t="inlineStr">
        <is>
          <t>JÄMTLANDS LÄN</t>
        </is>
      </c>
      <c r="E1304" t="inlineStr">
        <is>
          <t>RAGUNDA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21451-2025</t>
        </is>
      </c>
      <c r="B1305" s="1" t="n">
        <v>45782.55287037037</v>
      </c>
      <c r="C1305" s="1" t="n">
        <v>46113</v>
      </c>
      <c r="D1305" t="inlineStr">
        <is>
          <t>JÄMTLANDS LÄN</t>
        </is>
      </c>
      <c r="E1305" t="inlineStr">
        <is>
          <t>RAGUNDA</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21150-2025</t>
        </is>
      </c>
      <c r="B1306" s="1" t="n">
        <v>45779.34417824074</v>
      </c>
      <c r="C1306" s="1" t="n">
        <v>46113</v>
      </c>
      <c r="D1306" t="inlineStr">
        <is>
          <t>JÄMTLANDS LÄN</t>
        </is>
      </c>
      <c r="E1306" t="inlineStr">
        <is>
          <t>RAGUNDA</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21331-2025</t>
        </is>
      </c>
      <c r="B1307" s="1" t="n">
        <v>45782.36494212963</v>
      </c>
      <c r="C1307" s="1" t="n">
        <v>46113</v>
      </c>
      <c r="D1307" t="inlineStr">
        <is>
          <t>JÄMTLANDS LÄN</t>
        </is>
      </c>
      <c r="E1307" t="inlineStr">
        <is>
          <t>RAGUNDA</t>
        </is>
      </c>
      <c r="F1307" t="inlineStr">
        <is>
          <t>SCA</t>
        </is>
      </c>
      <c r="G1307" t="n">
        <v>23.1</v>
      </c>
      <c r="H1307" t="n">
        <v>0</v>
      </c>
      <c r="I1307" t="n">
        <v>0</v>
      </c>
      <c r="J1307" t="n">
        <v>0</v>
      </c>
      <c r="K1307" t="n">
        <v>0</v>
      </c>
      <c r="L1307" t="n">
        <v>0</v>
      </c>
      <c r="M1307" t="n">
        <v>0</v>
      </c>
      <c r="N1307" t="n">
        <v>0</v>
      </c>
      <c r="O1307" t="n">
        <v>0</v>
      </c>
      <c r="P1307" t="n">
        <v>0</v>
      </c>
      <c r="Q1307" t="n">
        <v>0</v>
      </c>
      <c r="R1307" s="2" t="inlineStr"/>
      <c r="U1307">
        <f>HYPERLINK("https://klasma.github.io/Logging_2303/knärot/A 21331-2025 karta knärot.png", "A 21331-2025")</f>
        <v/>
      </c>
      <c r="V1307">
        <f>HYPERLINK("https://klasma.github.io/Logging_2303/klagomål/A 21331-2025 FSC-klagomål.docx", "A 21331-2025")</f>
        <v/>
      </c>
      <c r="W1307">
        <f>HYPERLINK("https://klasma.github.io/Logging_2303/klagomålsmail/A 21331-2025 FSC-klagomål mail.docx", "A 21331-2025")</f>
        <v/>
      </c>
      <c r="X1307">
        <f>HYPERLINK("https://klasma.github.io/Logging_2303/tillsyn/A 21331-2025 tillsynsbegäran.docx", "A 21331-2025")</f>
        <v/>
      </c>
      <c r="Y1307">
        <f>HYPERLINK("https://klasma.github.io/Logging_2303/tillsynsmail/A 21331-2025 tillsynsbegäran mail.docx", "A 21331-2025")</f>
        <v/>
      </c>
    </row>
    <row r="1308" ht="15" customHeight="1">
      <c r="A1308" t="inlineStr">
        <is>
          <t>A 21214-2025</t>
        </is>
      </c>
      <c r="B1308" s="1" t="n">
        <v>45779.49025462963</v>
      </c>
      <c r="C1308" s="1" t="n">
        <v>46113</v>
      </c>
      <c r="D1308" t="inlineStr">
        <is>
          <t>JÄMTLANDS LÄN</t>
        </is>
      </c>
      <c r="E1308" t="inlineStr">
        <is>
          <t>RAGUNDA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22941-2024</t>
        </is>
      </c>
      <c r="B1309" s="1" t="n">
        <v>45448.94520833333</v>
      </c>
      <c r="C1309" s="1" t="n">
        <v>46113</v>
      </c>
      <c r="D1309" t="inlineStr">
        <is>
          <t>JÄMTLANDS LÄN</t>
        </is>
      </c>
      <c r="E1309" t="inlineStr">
        <is>
          <t>RAGUNDA</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44881-2023</t>
        </is>
      </c>
      <c r="B1310" s="1" t="n">
        <v>45187</v>
      </c>
      <c r="C1310" s="1" t="n">
        <v>46113</v>
      </c>
      <c r="D1310" t="inlineStr">
        <is>
          <t>JÄMTLANDS LÄN</t>
        </is>
      </c>
      <c r="E1310" t="inlineStr">
        <is>
          <t>RAGUNDA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60629-2023</t>
        </is>
      </c>
      <c r="B1311" s="1" t="n">
        <v>45259</v>
      </c>
      <c r="C1311" s="1" t="n">
        <v>46113</v>
      </c>
      <c r="D1311" t="inlineStr">
        <is>
          <t>JÄMTLANDS LÄN</t>
        </is>
      </c>
      <c r="E1311" t="inlineStr">
        <is>
          <t>RAGUNDA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57889-2024</t>
        </is>
      </c>
      <c r="B1312" s="1" t="n">
        <v>45631.46665509259</v>
      </c>
      <c r="C1312" s="1" t="n">
        <v>46113</v>
      </c>
      <c r="D1312" t="inlineStr">
        <is>
          <t>JÄMTLANDS LÄN</t>
        </is>
      </c>
      <c r="E1312" t="inlineStr">
        <is>
          <t>RAGUNDA</t>
        </is>
      </c>
      <c r="G1312" t="n">
        <v>11.1</v>
      </c>
      <c r="H1312" t="n">
        <v>0</v>
      </c>
      <c r="I1312" t="n">
        <v>0</v>
      </c>
      <c r="J1312" t="n">
        <v>0</v>
      </c>
      <c r="K1312" t="n">
        <v>0</v>
      </c>
      <c r="L1312" t="n">
        <v>0</v>
      </c>
      <c r="M1312" t="n">
        <v>0</v>
      </c>
      <c r="N1312" t="n">
        <v>0</v>
      </c>
      <c r="O1312" t="n">
        <v>0</v>
      </c>
      <c r="P1312" t="n">
        <v>0</v>
      </c>
      <c r="Q1312" t="n">
        <v>0</v>
      </c>
      <c r="R1312" s="2" t="inlineStr"/>
    </row>
    <row r="1313">
      <c r="A1313" t="inlineStr">
        <is>
          <t>A 22388-2025</t>
        </is>
      </c>
      <c r="B1313" s="1" t="n">
        <v>45786.51077546296</v>
      </c>
      <c r="C1313" s="1" t="n">
        <v>46113</v>
      </c>
      <c r="D1313" t="inlineStr">
        <is>
          <t>JÄMTLANDS LÄN</t>
        </is>
      </c>
      <c r="E1313" t="inlineStr">
        <is>
          <t>RAGUNDA</t>
        </is>
      </c>
      <c r="F1313" t="inlineStr">
        <is>
          <t>SCA</t>
        </is>
      </c>
      <c r="G1313" t="n">
        <v>1</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2026-04-01T10:41:41Z</dcterms:created>
  <dcterms:modified xmlns:dcterms="http://purl.org/dc/terms/" xmlns:xsi="http://www.w3.org/2001/XMLSchema-instance" xsi:type="dcterms:W3CDTF">2026-04-01T10:41:42Z</dcterms:modified>
</cp:coreProperties>
</file>