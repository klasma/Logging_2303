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45783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45783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45783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2288-2025</t>
        </is>
      </c>
      <c r="B11" s="1" t="n">
        <v>45673</v>
      </c>
      <c r="C11" s="1" t="n">
        <v>45783</v>
      </c>
      <c r="D11" t="inlineStr">
        <is>
          <t>JÄMTLANDS LÄN</t>
        </is>
      </c>
      <c r="E11" t="inlineStr">
        <is>
          <t>RAGUNDA</t>
        </is>
      </c>
      <c r="G11" t="n">
        <v>10.5</v>
      </c>
      <c r="H11" t="n">
        <v>5</v>
      </c>
      <c r="I11" t="n">
        <v>6</v>
      </c>
      <c r="J11" t="n">
        <v>12</v>
      </c>
      <c r="K11" t="n">
        <v>1</v>
      </c>
      <c r="L11" t="n">
        <v>0</v>
      </c>
      <c r="M11" t="n">
        <v>0</v>
      </c>
      <c r="N11" t="n">
        <v>0</v>
      </c>
      <c r="O11" t="n">
        <v>13</v>
      </c>
      <c r="P11" t="n">
        <v>1</v>
      </c>
      <c r="Q11" t="n">
        <v>21</v>
      </c>
      <c r="R11" s="2" t="inlineStr">
        <is>
          <t>Knärot
Garnlav
Granticka
Liten svartspik
Lunglav
Mörk kolflarnlav
Skrovellav
Talltita
Tretåig hackspett
Ullticka
Violettgrå tagellav
Vitgrynig nållav
Vitskaftad svartspik
Bårdlav
Luddlav
Norrlandslav
Stuplav
Vedticka
Ögonpyrola
Kungsfågel
Sparvuggla</t>
        </is>
      </c>
      <c r="S11">
        <f>HYPERLINK("https://klasma.github.io/Logging_2303/artfynd/A 2288-2025 artfynd.xlsx", "A 2288-2025")</f>
        <v/>
      </c>
      <c r="T11">
        <f>HYPERLINK("https://klasma.github.io/Logging_2303/kartor/A 2288-2025 karta.png", "A 2288-2025")</f>
        <v/>
      </c>
      <c r="U11">
        <f>HYPERLINK("https://klasma.github.io/Logging_2303/knärot/A 2288-2025 karta knärot.png", "A 2288-2025")</f>
        <v/>
      </c>
      <c r="V11">
        <f>HYPERLINK("https://klasma.github.io/Logging_2303/klagomål/A 2288-2025 FSC-klagomål.docx", "A 2288-2025")</f>
        <v/>
      </c>
      <c r="W11">
        <f>HYPERLINK("https://klasma.github.io/Logging_2303/klagomålsmail/A 2288-2025 FSC-klagomål mail.docx", "A 2288-2025")</f>
        <v/>
      </c>
      <c r="X11">
        <f>HYPERLINK("https://klasma.github.io/Logging_2303/tillsyn/A 2288-2025 tillsynsbegäran.docx", "A 2288-2025")</f>
        <v/>
      </c>
      <c r="Y11">
        <f>HYPERLINK("https://klasma.github.io/Logging_2303/tillsynsmail/A 2288-2025 tillsynsbegäran mail.docx", "A 2288-2025")</f>
        <v/>
      </c>
      <c r="Z11">
        <f>HYPERLINK("https://klasma.github.io/Logging_2303/fåglar/A 2288-2025 prioriterade fågelarter.docx", "A 2288-2025")</f>
        <v/>
      </c>
    </row>
    <row r="12" ht="15" customHeight="1">
      <c r="A12" t="inlineStr">
        <is>
          <t>A 6222-2020</t>
        </is>
      </c>
      <c r="B12" s="1" t="n">
        <v>43865</v>
      </c>
      <c r="C12" s="1" t="n">
        <v>45783</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45783</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45783</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45783</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45783</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45783</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45783</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45783</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45783</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45783</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45783</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45783</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45783</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45783</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45783</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45783</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45783</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45783</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45783</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45783</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45783</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45783</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45783</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45783</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45783</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45783</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45783</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45783</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45783</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45783</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45783</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45783</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45783</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45783</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45783</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45783</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45783</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45783</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45783</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45783</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45783</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45783</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45783</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45783</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45783</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45783</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45783</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45783</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45783</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45783</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45783</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45783</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45783</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45783</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45783</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45783</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45783</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45783</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45783</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45783</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45783</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45783</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45783</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45783</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45783</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45783</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45783</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45783</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45783</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45783</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45783</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45783</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45783</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45783</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45783</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45783</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45783</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45783</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45783</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45783</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45783</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45783</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45783</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45783</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45783</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51010-2020</t>
        </is>
      </c>
      <c r="B170" s="1" t="n">
        <v>44111</v>
      </c>
      <c r="C170" s="1" t="n">
        <v>45783</v>
      </c>
      <c r="D170" t="inlineStr">
        <is>
          <t>JÄMTLANDS LÄN</t>
        </is>
      </c>
      <c r="E170" t="inlineStr">
        <is>
          <t>RAGUNDA</t>
        </is>
      </c>
      <c r="F170" t="inlineStr">
        <is>
          <t>SCA</t>
        </is>
      </c>
      <c r="G170" t="n">
        <v>4.1</v>
      </c>
      <c r="H170" t="n">
        <v>0</v>
      </c>
      <c r="I170" t="n">
        <v>0</v>
      </c>
      <c r="J170" t="n">
        <v>3</v>
      </c>
      <c r="K170" t="n">
        <v>0</v>
      </c>
      <c r="L170" t="n">
        <v>0</v>
      </c>
      <c r="M170" t="n">
        <v>0</v>
      </c>
      <c r="N170" t="n">
        <v>0</v>
      </c>
      <c r="O170" t="n">
        <v>3</v>
      </c>
      <c r="P170" t="n">
        <v>0</v>
      </c>
      <c r="Q170" t="n">
        <v>3</v>
      </c>
      <c r="R170" s="2" t="inlineStr">
        <is>
          <t>Garnlav
Lunglav
Ullticka</t>
        </is>
      </c>
      <c r="S170">
        <f>HYPERLINK("https://klasma.github.io/Logging_2303/artfynd/A 51010-2020 artfynd.xlsx", "A 51010-2020")</f>
        <v/>
      </c>
      <c r="T170">
        <f>HYPERLINK("https://klasma.github.io/Logging_2303/kartor/A 51010-2020 karta.png", "A 51010-2020")</f>
        <v/>
      </c>
      <c r="V170">
        <f>HYPERLINK("https://klasma.github.io/Logging_2303/klagomål/A 51010-2020 FSC-klagomål.docx", "A 51010-2020")</f>
        <v/>
      </c>
      <c r="W170">
        <f>HYPERLINK("https://klasma.github.io/Logging_2303/klagomålsmail/A 51010-2020 FSC-klagomål mail.docx", "A 51010-2020")</f>
        <v/>
      </c>
      <c r="X170">
        <f>HYPERLINK("https://klasma.github.io/Logging_2303/tillsyn/A 51010-2020 tillsynsbegäran.docx", "A 51010-2020")</f>
        <v/>
      </c>
      <c r="Y170">
        <f>HYPERLINK("https://klasma.github.io/Logging_2303/tillsynsmail/A 51010-2020 tillsynsbegäran mail.docx", "A 51010-2020")</f>
        <v/>
      </c>
    </row>
    <row r="171" ht="15" customHeight="1">
      <c r="A171" t="inlineStr">
        <is>
          <t>A 41065-2021</t>
        </is>
      </c>
      <c r="B171" s="1" t="n">
        <v>44421</v>
      </c>
      <c r="C171" s="1" t="n">
        <v>45783</v>
      </c>
      <c r="D171" t="inlineStr">
        <is>
          <t>JÄMTLANDS LÄN</t>
        </is>
      </c>
      <c r="E171" t="inlineStr">
        <is>
          <t>RAGUNDA</t>
        </is>
      </c>
      <c r="F171" t="inlineStr">
        <is>
          <t>SCA</t>
        </is>
      </c>
      <c r="G171" t="n">
        <v>1.6</v>
      </c>
      <c r="H171" t="n">
        <v>0</v>
      </c>
      <c r="I171" t="n">
        <v>1</v>
      </c>
      <c r="J171" t="n">
        <v>2</v>
      </c>
      <c r="K171" t="n">
        <v>0</v>
      </c>
      <c r="L171" t="n">
        <v>0</v>
      </c>
      <c r="M171" t="n">
        <v>0</v>
      </c>
      <c r="N171" t="n">
        <v>0</v>
      </c>
      <c r="O171" t="n">
        <v>2</v>
      </c>
      <c r="P171" t="n">
        <v>0</v>
      </c>
      <c r="Q171" t="n">
        <v>3</v>
      </c>
      <c r="R171" s="2" t="inlineStr">
        <is>
          <t>Kolflarnlav
Lunglav
Stuplav</t>
        </is>
      </c>
      <c r="S171">
        <f>HYPERLINK("https://klasma.github.io/Logging_2303/artfynd/A 41065-2021 artfynd.xlsx", "A 41065-2021")</f>
        <v/>
      </c>
      <c r="T171">
        <f>HYPERLINK("https://klasma.github.io/Logging_2303/kartor/A 41065-2021 karta.png", "A 41065-2021")</f>
        <v/>
      </c>
      <c r="V171">
        <f>HYPERLINK("https://klasma.github.io/Logging_2303/klagomål/A 41065-2021 FSC-klagomål.docx", "A 41065-2021")</f>
        <v/>
      </c>
      <c r="W171">
        <f>HYPERLINK("https://klasma.github.io/Logging_2303/klagomålsmail/A 41065-2021 FSC-klagomål mail.docx", "A 41065-2021")</f>
        <v/>
      </c>
      <c r="X171">
        <f>HYPERLINK("https://klasma.github.io/Logging_2303/tillsyn/A 41065-2021 tillsynsbegäran.docx", "A 41065-2021")</f>
        <v/>
      </c>
      <c r="Y171">
        <f>HYPERLINK("https://klasma.github.io/Logging_2303/tillsynsmail/A 41065-2021 tillsynsbegäran mail.docx", "A 41065-2021")</f>
        <v/>
      </c>
    </row>
    <row r="172" ht="15" customHeight="1">
      <c r="A172" t="inlineStr">
        <is>
          <t>A 27025-2022</t>
        </is>
      </c>
      <c r="B172" s="1" t="n">
        <v>44740</v>
      </c>
      <c r="C172" s="1" t="n">
        <v>45783</v>
      </c>
      <c r="D172" t="inlineStr">
        <is>
          <t>JÄMTLANDS LÄN</t>
        </is>
      </c>
      <c r="E172" t="inlineStr">
        <is>
          <t>RAGUNDA</t>
        </is>
      </c>
      <c r="G172" t="n">
        <v>5.8</v>
      </c>
      <c r="H172" t="n">
        <v>0</v>
      </c>
      <c r="I172" t="n">
        <v>1</v>
      </c>
      <c r="J172" t="n">
        <v>2</v>
      </c>
      <c r="K172" t="n">
        <v>0</v>
      </c>
      <c r="L172" t="n">
        <v>0</v>
      </c>
      <c r="M172" t="n">
        <v>0</v>
      </c>
      <c r="N172" t="n">
        <v>0</v>
      </c>
      <c r="O172" t="n">
        <v>2</v>
      </c>
      <c r="P172" t="n">
        <v>0</v>
      </c>
      <c r="Q172" t="n">
        <v>3</v>
      </c>
      <c r="R172" s="2" t="inlineStr">
        <is>
          <t>Blanksvart spiklav
Kortskaftad ärgspik
Dropptaggsvamp</t>
        </is>
      </c>
      <c r="S172">
        <f>HYPERLINK("https://klasma.github.io/Logging_2303/artfynd/A 27025-2022 artfynd.xlsx", "A 27025-2022")</f>
        <v/>
      </c>
      <c r="T172">
        <f>HYPERLINK("https://klasma.github.io/Logging_2303/kartor/A 27025-2022 karta.png", "A 27025-2022")</f>
        <v/>
      </c>
      <c r="V172">
        <f>HYPERLINK("https://klasma.github.io/Logging_2303/klagomål/A 27025-2022 FSC-klagomål.docx", "A 27025-2022")</f>
        <v/>
      </c>
      <c r="W172">
        <f>HYPERLINK("https://klasma.github.io/Logging_2303/klagomålsmail/A 27025-2022 FSC-klagomål mail.docx", "A 27025-2022")</f>
        <v/>
      </c>
      <c r="X172">
        <f>HYPERLINK("https://klasma.github.io/Logging_2303/tillsyn/A 27025-2022 tillsynsbegäran.docx", "A 27025-2022")</f>
        <v/>
      </c>
      <c r="Y172">
        <f>HYPERLINK("https://klasma.github.io/Logging_2303/tillsynsmail/A 27025-2022 tillsynsbegäran mail.docx", "A 27025-2022")</f>
        <v/>
      </c>
    </row>
    <row r="173" ht="15" customHeight="1">
      <c r="A173" t="inlineStr">
        <is>
          <t>A 48052-2022</t>
        </is>
      </c>
      <c r="B173" s="1" t="n">
        <v>44855</v>
      </c>
      <c r="C173" s="1" t="n">
        <v>45783</v>
      </c>
      <c r="D173" t="inlineStr">
        <is>
          <t>JÄMTLANDS LÄN</t>
        </is>
      </c>
      <c r="E173" t="inlineStr">
        <is>
          <t>RAGUNDA</t>
        </is>
      </c>
      <c r="F173" t="inlineStr">
        <is>
          <t>SCA</t>
        </is>
      </c>
      <c r="G173" t="n">
        <v>8.6</v>
      </c>
      <c r="H173" t="n">
        <v>0</v>
      </c>
      <c r="I173" t="n">
        <v>1</v>
      </c>
      <c r="J173" t="n">
        <v>2</v>
      </c>
      <c r="K173" t="n">
        <v>0</v>
      </c>
      <c r="L173" t="n">
        <v>0</v>
      </c>
      <c r="M173" t="n">
        <v>0</v>
      </c>
      <c r="N173" t="n">
        <v>0</v>
      </c>
      <c r="O173" t="n">
        <v>2</v>
      </c>
      <c r="P173" t="n">
        <v>0</v>
      </c>
      <c r="Q173" t="n">
        <v>3</v>
      </c>
      <c r="R173" s="2" t="inlineStr">
        <is>
          <t>Lunglav
Ullticka
Stuplav</t>
        </is>
      </c>
      <c r="S173">
        <f>HYPERLINK("https://klasma.github.io/Logging_2303/artfynd/A 48052-2022 artfynd.xlsx", "A 48052-2022")</f>
        <v/>
      </c>
      <c r="T173">
        <f>HYPERLINK("https://klasma.github.io/Logging_2303/kartor/A 48052-2022 karta.png", "A 48052-2022")</f>
        <v/>
      </c>
      <c r="V173">
        <f>HYPERLINK("https://klasma.github.io/Logging_2303/klagomål/A 48052-2022 FSC-klagomål.docx", "A 48052-2022")</f>
        <v/>
      </c>
      <c r="W173">
        <f>HYPERLINK("https://klasma.github.io/Logging_2303/klagomålsmail/A 48052-2022 FSC-klagomål mail.docx", "A 48052-2022")</f>
        <v/>
      </c>
      <c r="X173">
        <f>HYPERLINK("https://klasma.github.io/Logging_2303/tillsyn/A 48052-2022 tillsynsbegäran.docx", "A 48052-2022")</f>
        <v/>
      </c>
      <c r="Y173">
        <f>HYPERLINK("https://klasma.github.io/Logging_2303/tillsynsmail/A 48052-2022 tillsynsbegäran mail.docx", "A 48052-2022")</f>
        <v/>
      </c>
    </row>
    <row r="174" ht="15" customHeight="1">
      <c r="A174" t="inlineStr">
        <is>
          <t>A 48054-2022</t>
        </is>
      </c>
      <c r="B174" s="1" t="n">
        <v>44855</v>
      </c>
      <c r="C174" s="1" t="n">
        <v>45783</v>
      </c>
      <c r="D174" t="inlineStr">
        <is>
          <t>JÄMTLANDS LÄN</t>
        </is>
      </c>
      <c r="E174" t="inlineStr">
        <is>
          <t>RAGUNDA</t>
        </is>
      </c>
      <c r="F174" t="inlineStr">
        <is>
          <t>SCA</t>
        </is>
      </c>
      <c r="G174" t="n">
        <v>1.5</v>
      </c>
      <c r="H174" t="n">
        <v>2</v>
      </c>
      <c r="I174" t="n">
        <v>0</v>
      </c>
      <c r="J174" t="n">
        <v>1</v>
      </c>
      <c r="K174" t="n">
        <v>1</v>
      </c>
      <c r="L174" t="n">
        <v>0</v>
      </c>
      <c r="M174" t="n">
        <v>0</v>
      </c>
      <c r="N174" t="n">
        <v>0</v>
      </c>
      <c r="O174" t="n">
        <v>2</v>
      </c>
      <c r="P174" t="n">
        <v>1</v>
      </c>
      <c r="Q174" t="n">
        <v>3</v>
      </c>
      <c r="R174" s="2" t="inlineStr">
        <is>
          <t>Knärot
Lunglav
Blåsippa</t>
        </is>
      </c>
      <c r="S174">
        <f>HYPERLINK("https://klasma.github.io/Logging_2303/artfynd/A 48054-2022 artfynd.xlsx", "A 48054-2022")</f>
        <v/>
      </c>
      <c r="T174">
        <f>HYPERLINK("https://klasma.github.io/Logging_2303/kartor/A 48054-2022 karta.png", "A 48054-2022")</f>
        <v/>
      </c>
      <c r="U174">
        <f>HYPERLINK("https://klasma.github.io/Logging_2303/knärot/A 48054-2022 karta knärot.png", "A 48054-2022")</f>
        <v/>
      </c>
      <c r="V174">
        <f>HYPERLINK("https://klasma.github.io/Logging_2303/klagomål/A 48054-2022 FSC-klagomål.docx", "A 48054-2022")</f>
        <v/>
      </c>
      <c r="W174">
        <f>HYPERLINK("https://klasma.github.io/Logging_2303/klagomålsmail/A 48054-2022 FSC-klagomål mail.docx", "A 48054-2022")</f>
        <v/>
      </c>
      <c r="X174">
        <f>HYPERLINK("https://klasma.github.io/Logging_2303/tillsyn/A 48054-2022 tillsynsbegäran.docx", "A 48054-2022")</f>
        <v/>
      </c>
      <c r="Y174">
        <f>HYPERLINK("https://klasma.github.io/Logging_2303/tillsynsmail/A 48054-2022 tillsynsbegäran mail.docx", "A 48054-2022")</f>
        <v/>
      </c>
    </row>
    <row r="175" ht="15" customHeight="1">
      <c r="A175" t="inlineStr">
        <is>
          <t>A 53022-2022</t>
        </is>
      </c>
      <c r="B175" s="1" t="n">
        <v>44875</v>
      </c>
      <c r="C175" s="1" t="n">
        <v>45783</v>
      </c>
      <c r="D175" t="inlineStr">
        <is>
          <t>JÄMTLANDS LÄN</t>
        </is>
      </c>
      <c r="E175" t="inlineStr">
        <is>
          <t>RAGUNDA</t>
        </is>
      </c>
      <c r="F175" t="inlineStr">
        <is>
          <t>SCA</t>
        </is>
      </c>
      <c r="G175" t="n">
        <v>2.7</v>
      </c>
      <c r="H175" t="n">
        <v>0</v>
      </c>
      <c r="I175" t="n">
        <v>1</v>
      </c>
      <c r="J175" t="n">
        <v>2</v>
      </c>
      <c r="K175" t="n">
        <v>0</v>
      </c>
      <c r="L175" t="n">
        <v>0</v>
      </c>
      <c r="M175" t="n">
        <v>0</v>
      </c>
      <c r="N175" t="n">
        <v>0</v>
      </c>
      <c r="O175" t="n">
        <v>2</v>
      </c>
      <c r="P175" t="n">
        <v>0</v>
      </c>
      <c r="Q175" t="n">
        <v>3</v>
      </c>
      <c r="R175" s="2" t="inlineStr">
        <is>
          <t>Garnlav
Lunglav
Dropptaggsvamp</t>
        </is>
      </c>
      <c r="S175">
        <f>HYPERLINK("https://klasma.github.io/Logging_2303/artfynd/A 53022-2022 artfynd.xlsx", "A 53022-2022")</f>
        <v/>
      </c>
      <c r="T175">
        <f>HYPERLINK("https://klasma.github.io/Logging_2303/kartor/A 53022-2022 karta.png", "A 53022-2022")</f>
        <v/>
      </c>
      <c r="V175">
        <f>HYPERLINK("https://klasma.github.io/Logging_2303/klagomål/A 53022-2022 FSC-klagomål.docx", "A 53022-2022")</f>
        <v/>
      </c>
      <c r="W175">
        <f>HYPERLINK("https://klasma.github.io/Logging_2303/klagomålsmail/A 53022-2022 FSC-klagomål mail.docx", "A 53022-2022")</f>
        <v/>
      </c>
      <c r="X175">
        <f>HYPERLINK("https://klasma.github.io/Logging_2303/tillsyn/A 53022-2022 tillsynsbegäran.docx", "A 53022-2022")</f>
        <v/>
      </c>
      <c r="Y175">
        <f>HYPERLINK("https://klasma.github.io/Logging_2303/tillsynsmail/A 53022-2022 tillsynsbegäran mail.docx", "A 53022-2022")</f>
        <v/>
      </c>
    </row>
    <row r="176" ht="15" customHeight="1">
      <c r="A176" t="inlineStr">
        <is>
          <t>A 58737-2022</t>
        </is>
      </c>
      <c r="B176" s="1" t="n">
        <v>44902</v>
      </c>
      <c r="C176" s="1" t="n">
        <v>45783</v>
      </c>
      <c r="D176" t="inlineStr">
        <is>
          <t>JÄMTLANDS LÄN</t>
        </is>
      </c>
      <c r="E176" t="inlineStr">
        <is>
          <t>RAGUNDA</t>
        </is>
      </c>
      <c r="F176" t="inlineStr">
        <is>
          <t>SCA</t>
        </is>
      </c>
      <c r="G176" t="n">
        <v>2.7</v>
      </c>
      <c r="H176" t="n">
        <v>0</v>
      </c>
      <c r="I176" t="n">
        <v>2</v>
      </c>
      <c r="J176" t="n">
        <v>1</v>
      </c>
      <c r="K176" t="n">
        <v>0</v>
      </c>
      <c r="L176" t="n">
        <v>0</v>
      </c>
      <c r="M176" t="n">
        <v>0</v>
      </c>
      <c r="N176" t="n">
        <v>0</v>
      </c>
      <c r="O176" t="n">
        <v>1</v>
      </c>
      <c r="P176" t="n">
        <v>0</v>
      </c>
      <c r="Q176" t="n">
        <v>3</v>
      </c>
      <c r="R176" s="2" t="inlineStr">
        <is>
          <t>Garnlav
Källmossor
Stuplav</t>
        </is>
      </c>
      <c r="S176">
        <f>HYPERLINK("https://klasma.github.io/Logging_2303/artfynd/A 58737-2022 artfynd.xlsx", "A 58737-2022")</f>
        <v/>
      </c>
      <c r="T176">
        <f>HYPERLINK("https://klasma.github.io/Logging_2303/kartor/A 58737-2022 karta.png", "A 58737-2022")</f>
        <v/>
      </c>
      <c r="V176">
        <f>HYPERLINK("https://klasma.github.io/Logging_2303/klagomål/A 58737-2022 FSC-klagomål.docx", "A 58737-2022")</f>
        <v/>
      </c>
      <c r="W176">
        <f>HYPERLINK("https://klasma.github.io/Logging_2303/klagomålsmail/A 58737-2022 FSC-klagomål mail.docx", "A 58737-2022")</f>
        <v/>
      </c>
      <c r="X176">
        <f>HYPERLINK("https://klasma.github.io/Logging_2303/tillsyn/A 58737-2022 tillsynsbegäran.docx", "A 58737-2022")</f>
        <v/>
      </c>
      <c r="Y176">
        <f>HYPERLINK("https://klasma.github.io/Logging_2303/tillsynsmail/A 58737-2022 tillsynsbegäran mail.docx", "A 58737-2022")</f>
        <v/>
      </c>
    </row>
    <row r="177" ht="15" customHeight="1">
      <c r="A177" t="inlineStr">
        <is>
          <t>A 7519-2023</t>
        </is>
      </c>
      <c r="B177" s="1" t="n">
        <v>44971</v>
      </c>
      <c r="C177" s="1" t="n">
        <v>45783</v>
      </c>
      <c r="D177" t="inlineStr">
        <is>
          <t>JÄMTLANDS LÄN</t>
        </is>
      </c>
      <c r="E177" t="inlineStr">
        <is>
          <t>RAGUNDA</t>
        </is>
      </c>
      <c r="F177" t="inlineStr">
        <is>
          <t>SCA</t>
        </is>
      </c>
      <c r="G177" t="n">
        <v>3.2</v>
      </c>
      <c r="H177" t="n">
        <v>0</v>
      </c>
      <c r="I177" t="n">
        <v>1</v>
      </c>
      <c r="J177" t="n">
        <v>2</v>
      </c>
      <c r="K177" t="n">
        <v>0</v>
      </c>
      <c r="L177" t="n">
        <v>0</v>
      </c>
      <c r="M177" t="n">
        <v>0</v>
      </c>
      <c r="N177" t="n">
        <v>0</v>
      </c>
      <c r="O177" t="n">
        <v>2</v>
      </c>
      <c r="P177" t="n">
        <v>0</v>
      </c>
      <c r="Q177" t="n">
        <v>3</v>
      </c>
      <c r="R177" s="2" t="inlineStr">
        <is>
          <t>Granticka
Lunglav
Stor aspticka</t>
        </is>
      </c>
      <c r="S177">
        <f>HYPERLINK("https://klasma.github.io/Logging_2303/artfynd/A 7519-2023 artfynd.xlsx", "A 7519-2023")</f>
        <v/>
      </c>
      <c r="T177">
        <f>HYPERLINK("https://klasma.github.io/Logging_2303/kartor/A 7519-2023 karta.png", "A 7519-2023")</f>
        <v/>
      </c>
      <c r="V177">
        <f>HYPERLINK("https://klasma.github.io/Logging_2303/klagomål/A 7519-2023 FSC-klagomål.docx", "A 7519-2023")</f>
        <v/>
      </c>
      <c r="W177">
        <f>HYPERLINK("https://klasma.github.io/Logging_2303/klagomålsmail/A 7519-2023 FSC-klagomål mail.docx", "A 7519-2023")</f>
        <v/>
      </c>
      <c r="X177">
        <f>HYPERLINK("https://klasma.github.io/Logging_2303/tillsyn/A 7519-2023 tillsynsbegäran.docx", "A 7519-2023")</f>
        <v/>
      </c>
      <c r="Y177">
        <f>HYPERLINK("https://klasma.github.io/Logging_2303/tillsynsmail/A 7519-2023 tillsynsbegäran mail.docx", "A 7519-2023")</f>
        <v/>
      </c>
    </row>
    <row r="178" ht="15" customHeight="1">
      <c r="A178" t="inlineStr">
        <is>
          <t>A 10531-2023</t>
        </is>
      </c>
      <c r="B178" s="1" t="n">
        <v>44987</v>
      </c>
      <c r="C178" s="1" t="n">
        <v>45783</v>
      </c>
      <c r="D178" t="inlineStr">
        <is>
          <t>JÄMTLANDS LÄN</t>
        </is>
      </c>
      <c r="E178" t="inlineStr">
        <is>
          <t>RAGUNDA</t>
        </is>
      </c>
      <c r="G178" t="n">
        <v>27.1</v>
      </c>
      <c r="H178" t="n">
        <v>0</v>
      </c>
      <c r="I178" t="n">
        <v>1</v>
      </c>
      <c r="J178" t="n">
        <v>2</v>
      </c>
      <c r="K178" t="n">
        <v>0</v>
      </c>
      <c r="L178" t="n">
        <v>0</v>
      </c>
      <c r="M178" t="n">
        <v>0</v>
      </c>
      <c r="N178" t="n">
        <v>0</v>
      </c>
      <c r="O178" t="n">
        <v>2</v>
      </c>
      <c r="P178" t="n">
        <v>0</v>
      </c>
      <c r="Q178" t="n">
        <v>3</v>
      </c>
      <c r="R178" s="2" t="inlineStr">
        <is>
          <t>Blanksvart spiklav
Stiftgelélav
Dropptaggsvamp</t>
        </is>
      </c>
      <c r="S178">
        <f>HYPERLINK("https://klasma.github.io/Logging_2303/artfynd/A 10531-2023 artfynd.xlsx", "A 10531-2023")</f>
        <v/>
      </c>
      <c r="T178">
        <f>HYPERLINK("https://klasma.github.io/Logging_2303/kartor/A 10531-2023 karta.png", "A 10531-2023")</f>
        <v/>
      </c>
      <c r="U178">
        <f>HYPERLINK("https://klasma.github.io/Logging_2303/knärot/A 10531-2023 karta knärot.png", "A 10531-2023")</f>
        <v/>
      </c>
      <c r="V178">
        <f>HYPERLINK("https://klasma.github.io/Logging_2303/klagomål/A 10531-2023 FSC-klagomål.docx", "A 10531-2023")</f>
        <v/>
      </c>
      <c r="W178">
        <f>HYPERLINK("https://klasma.github.io/Logging_2303/klagomålsmail/A 10531-2023 FSC-klagomål mail.docx", "A 10531-2023")</f>
        <v/>
      </c>
      <c r="X178">
        <f>HYPERLINK("https://klasma.github.io/Logging_2303/tillsyn/A 10531-2023 tillsynsbegäran.docx", "A 10531-2023")</f>
        <v/>
      </c>
      <c r="Y178">
        <f>HYPERLINK("https://klasma.github.io/Logging_2303/tillsynsmail/A 10531-2023 tillsynsbegäran mail.docx", "A 10531-2023")</f>
        <v/>
      </c>
    </row>
    <row r="179" ht="15" customHeight="1">
      <c r="A179" t="inlineStr">
        <is>
          <t>A 15368-2023</t>
        </is>
      </c>
      <c r="B179" s="1" t="n">
        <v>45016</v>
      </c>
      <c r="C179" s="1" t="n">
        <v>45783</v>
      </c>
      <c r="D179" t="inlineStr">
        <is>
          <t>JÄMTLANDS LÄN</t>
        </is>
      </c>
      <c r="E179" t="inlineStr">
        <is>
          <t>RAGUNDA</t>
        </is>
      </c>
      <c r="G179" t="n">
        <v>13</v>
      </c>
      <c r="H179" t="n">
        <v>0</v>
      </c>
      <c r="I179" t="n">
        <v>0</v>
      </c>
      <c r="J179" t="n">
        <v>3</v>
      </c>
      <c r="K179" t="n">
        <v>0</v>
      </c>
      <c r="L179" t="n">
        <v>0</v>
      </c>
      <c r="M179" t="n">
        <v>0</v>
      </c>
      <c r="N179" t="n">
        <v>0</v>
      </c>
      <c r="O179" t="n">
        <v>3</v>
      </c>
      <c r="P179" t="n">
        <v>0</v>
      </c>
      <c r="Q179" t="n">
        <v>3</v>
      </c>
      <c r="R179" s="2" t="inlineStr">
        <is>
          <t>Lunglav
Rosenticka
Ullticka</t>
        </is>
      </c>
      <c r="S179">
        <f>HYPERLINK("https://klasma.github.io/Logging_2303/artfynd/A 15368-2023 artfynd.xlsx", "A 15368-2023")</f>
        <v/>
      </c>
      <c r="T179">
        <f>HYPERLINK("https://klasma.github.io/Logging_2303/kartor/A 15368-2023 karta.png", "A 15368-2023")</f>
        <v/>
      </c>
      <c r="V179">
        <f>HYPERLINK("https://klasma.github.io/Logging_2303/klagomål/A 15368-2023 FSC-klagomål.docx", "A 15368-2023")</f>
        <v/>
      </c>
      <c r="W179">
        <f>HYPERLINK("https://klasma.github.io/Logging_2303/klagomålsmail/A 15368-2023 FSC-klagomål mail.docx", "A 15368-2023")</f>
        <v/>
      </c>
      <c r="X179">
        <f>HYPERLINK("https://klasma.github.io/Logging_2303/tillsyn/A 15368-2023 tillsynsbegäran.docx", "A 15368-2023")</f>
        <v/>
      </c>
      <c r="Y179">
        <f>HYPERLINK("https://klasma.github.io/Logging_2303/tillsynsmail/A 15368-2023 tillsynsbegäran mail.docx", "A 15368-2023")</f>
        <v/>
      </c>
    </row>
    <row r="180" ht="15" customHeight="1">
      <c r="A180" t="inlineStr">
        <is>
          <t>A 19439-2023</t>
        </is>
      </c>
      <c r="B180" s="1" t="n">
        <v>45049</v>
      </c>
      <c r="C180" s="1" t="n">
        <v>45783</v>
      </c>
      <c r="D180" t="inlineStr">
        <is>
          <t>JÄMTLANDS LÄN</t>
        </is>
      </c>
      <c r="E180" t="inlineStr">
        <is>
          <t>RAGUNDA</t>
        </is>
      </c>
      <c r="F180" t="inlineStr">
        <is>
          <t>SCA</t>
        </is>
      </c>
      <c r="G180" t="n">
        <v>1.7</v>
      </c>
      <c r="H180" t="n">
        <v>2</v>
      </c>
      <c r="I180" t="n">
        <v>0</v>
      </c>
      <c r="J180" t="n">
        <v>1</v>
      </c>
      <c r="K180" t="n">
        <v>0</v>
      </c>
      <c r="L180" t="n">
        <v>0</v>
      </c>
      <c r="M180" t="n">
        <v>0</v>
      </c>
      <c r="N180" t="n">
        <v>0</v>
      </c>
      <c r="O180" t="n">
        <v>1</v>
      </c>
      <c r="P180" t="n">
        <v>0</v>
      </c>
      <c r="Q180" t="n">
        <v>3</v>
      </c>
      <c r="R180" s="2" t="inlineStr">
        <is>
          <t>Lunglav
Nattviol
Blåsippa</t>
        </is>
      </c>
      <c r="S180">
        <f>HYPERLINK("https://klasma.github.io/Logging_2303/artfynd/A 19439-2023 artfynd.xlsx", "A 19439-2023")</f>
        <v/>
      </c>
      <c r="T180">
        <f>HYPERLINK("https://klasma.github.io/Logging_2303/kartor/A 19439-2023 karta.png", "A 19439-2023")</f>
        <v/>
      </c>
      <c r="V180">
        <f>HYPERLINK("https://klasma.github.io/Logging_2303/klagomål/A 19439-2023 FSC-klagomål.docx", "A 19439-2023")</f>
        <v/>
      </c>
      <c r="W180">
        <f>HYPERLINK("https://klasma.github.io/Logging_2303/klagomålsmail/A 19439-2023 FSC-klagomål mail.docx", "A 19439-2023")</f>
        <v/>
      </c>
      <c r="X180">
        <f>HYPERLINK("https://klasma.github.io/Logging_2303/tillsyn/A 19439-2023 tillsynsbegäran.docx", "A 19439-2023")</f>
        <v/>
      </c>
      <c r="Y180">
        <f>HYPERLINK("https://klasma.github.io/Logging_2303/tillsynsmail/A 19439-2023 tillsynsbegäran mail.docx", "A 19439-2023")</f>
        <v/>
      </c>
    </row>
    <row r="181" ht="15" customHeight="1">
      <c r="A181" t="inlineStr">
        <is>
          <t>A 22730-2023</t>
        </is>
      </c>
      <c r="B181" s="1" t="n">
        <v>45071</v>
      </c>
      <c r="C181" s="1" t="n">
        <v>45783</v>
      </c>
      <c r="D181" t="inlineStr">
        <is>
          <t>JÄMTLANDS LÄN</t>
        </is>
      </c>
      <c r="E181" t="inlineStr">
        <is>
          <t>RAGUNDA</t>
        </is>
      </c>
      <c r="G181" t="n">
        <v>3.6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HYPERLINK("https://klasma.github.io/Logging_2303/artfynd/A 22730-2023 artfynd.xlsx", "A 22730-2023")</f>
        <v/>
      </c>
      <c r="T181">
        <f>HYPERLINK("https://klasma.github.io/Logging_2303/kartor/A 22730-2023 karta.png", "A 22730-2023")</f>
        <v/>
      </c>
      <c r="V181">
        <f>HYPERLINK("https://klasma.github.io/Logging_2303/klagomål/A 22730-2023 FSC-klagomål.docx", "A 22730-2023")</f>
        <v/>
      </c>
      <c r="W181">
        <f>HYPERLINK("https://klasma.github.io/Logging_2303/klagomålsmail/A 22730-2023 FSC-klagomål mail.docx", "A 22730-2023")</f>
        <v/>
      </c>
      <c r="X181">
        <f>HYPERLINK("https://klasma.github.io/Logging_2303/tillsyn/A 22730-2023 tillsynsbegäran.docx", "A 22730-2023")</f>
        <v/>
      </c>
      <c r="Y181">
        <f>HYPERLINK("https://klasma.github.io/Logging_2303/tillsynsmail/A 22730-2023 tillsynsbegäran mail.docx", "A 22730-2023")</f>
        <v/>
      </c>
    </row>
    <row r="182" ht="15" customHeight="1">
      <c r="A182" t="inlineStr">
        <is>
          <t>A 28178-2023</t>
        </is>
      </c>
      <c r="B182" s="1" t="n">
        <v>45093</v>
      </c>
      <c r="C182" s="1" t="n">
        <v>45783</v>
      </c>
      <c r="D182" t="inlineStr">
        <is>
          <t>JÄMTLANDS LÄN</t>
        </is>
      </c>
      <c r="E182" t="inlineStr">
        <is>
          <t>RAGUNDA</t>
        </is>
      </c>
      <c r="G182" t="n">
        <v>5.6</v>
      </c>
      <c r="H182" t="n">
        <v>0</v>
      </c>
      <c r="I182" t="n">
        <v>0</v>
      </c>
      <c r="J182" t="n">
        <v>3</v>
      </c>
      <c r="K182" t="n">
        <v>0</v>
      </c>
      <c r="L182" t="n">
        <v>0</v>
      </c>
      <c r="M182" t="n">
        <v>0</v>
      </c>
      <c r="N182" t="n">
        <v>0</v>
      </c>
      <c r="O182" t="n">
        <v>3</v>
      </c>
      <c r="P182" t="n">
        <v>0</v>
      </c>
      <c r="Q182" t="n">
        <v>3</v>
      </c>
      <c r="R182" s="2" t="inlineStr">
        <is>
          <t>Garnlav
Gultoppig fingersvamp
Violettgrå tagellav</t>
        </is>
      </c>
      <c r="S182">
        <f>HYPERLINK("https://klasma.github.io/Logging_2303/artfynd/A 28178-2023 artfynd.xlsx", "A 28178-2023")</f>
        <v/>
      </c>
      <c r="T182">
        <f>HYPERLINK("https://klasma.github.io/Logging_2303/kartor/A 28178-2023 karta.png", "A 28178-2023")</f>
        <v/>
      </c>
      <c r="V182">
        <f>HYPERLINK("https://klasma.github.io/Logging_2303/klagomål/A 28178-2023 FSC-klagomål.docx", "A 28178-2023")</f>
        <v/>
      </c>
      <c r="W182">
        <f>HYPERLINK("https://klasma.github.io/Logging_2303/klagomålsmail/A 28178-2023 FSC-klagomål mail.docx", "A 28178-2023")</f>
        <v/>
      </c>
      <c r="X182">
        <f>HYPERLINK("https://klasma.github.io/Logging_2303/tillsyn/A 28178-2023 tillsynsbegäran.docx", "A 28178-2023")</f>
        <v/>
      </c>
      <c r="Y182">
        <f>HYPERLINK("https://klasma.github.io/Logging_2303/tillsynsmail/A 28178-2023 tillsynsbegäran mail.docx", "A 28178-2023")</f>
        <v/>
      </c>
    </row>
    <row r="183" ht="15" customHeight="1">
      <c r="A183" t="inlineStr">
        <is>
          <t>A 33039-2023</t>
        </is>
      </c>
      <c r="B183" s="1" t="n">
        <v>45126</v>
      </c>
      <c r="C183" s="1" t="n">
        <v>45783</v>
      </c>
      <c r="D183" t="inlineStr">
        <is>
          <t>JÄMTLANDS LÄN</t>
        </is>
      </c>
      <c r="E183" t="inlineStr">
        <is>
          <t>RAGUNDA</t>
        </is>
      </c>
      <c r="F183" t="inlineStr">
        <is>
          <t>SCA</t>
        </is>
      </c>
      <c r="G183" t="n">
        <v>1.2</v>
      </c>
      <c r="H183" t="n">
        <v>3</v>
      </c>
      <c r="I183" t="n">
        <v>1</v>
      </c>
      <c r="J183" t="n">
        <v>0</v>
      </c>
      <c r="K183" t="n">
        <v>0</v>
      </c>
      <c r="L183" t="n">
        <v>0</v>
      </c>
      <c r="M183" t="n">
        <v>0</v>
      </c>
      <c r="N183" t="n">
        <v>0</v>
      </c>
      <c r="O183" t="n">
        <v>0</v>
      </c>
      <c r="P183" t="n">
        <v>0</v>
      </c>
      <c r="Q183" t="n">
        <v>3</v>
      </c>
      <c r="R183" s="2" t="inlineStr">
        <is>
          <t>Tvåblad
Brudsporre
Nattviol</t>
        </is>
      </c>
      <c r="S183">
        <f>HYPERLINK("https://klasma.github.io/Logging_2303/artfynd/A 33039-2023 artfynd.xlsx", "A 33039-2023")</f>
        <v/>
      </c>
      <c r="T183">
        <f>HYPERLINK("https://klasma.github.io/Logging_2303/kartor/A 33039-2023 karta.png", "A 33039-2023")</f>
        <v/>
      </c>
      <c r="V183">
        <f>HYPERLINK("https://klasma.github.io/Logging_2303/klagomål/A 33039-2023 FSC-klagomål.docx", "A 33039-2023")</f>
        <v/>
      </c>
      <c r="W183">
        <f>HYPERLINK("https://klasma.github.io/Logging_2303/klagomålsmail/A 33039-2023 FSC-klagomål mail.docx", "A 33039-2023")</f>
        <v/>
      </c>
      <c r="X183">
        <f>HYPERLINK("https://klasma.github.io/Logging_2303/tillsyn/A 33039-2023 tillsynsbegäran.docx", "A 33039-2023")</f>
        <v/>
      </c>
      <c r="Y183">
        <f>HYPERLINK("https://klasma.github.io/Logging_2303/tillsynsmail/A 33039-2023 tillsynsbegäran mail.docx", "A 33039-2023")</f>
        <v/>
      </c>
    </row>
    <row r="184" ht="15" customHeight="1">
      <c r="A184" t="inlineStr">
        <is>
          <t>A 36504-2023</t>
        </is>
      </c>
      <c r="B184" s="1" t="n">
        <v>45152</v>
      </c>
      <c r="C184" s="1" t="n">
        <v>45783</v>
      </c>
      <c r="D184" t="inlineStr">
        <is>
          <t>JÄMTLANDS LÄN</t>
        </is>
      </c>
      <c r="E184" t="inlineStr">
        <is>
          <t>RAGUNDA</t>
        </is>
      </c>
      <c r="F184" t="inlineStr">
        <is>
          <t>SCA</t>
        </is>
      </c>
      <c r="G184" t="n">
        <v>2</v>
      </c>
      <c r="H184" t="n">
        <v>0</v>
      </c>
      <c r="I184" t="n">
        <v>0</v>
      </c>
      <c r="J184" t="n">
        <v>3</v>
      </c>
      <c r="K184" t="n">
        <v>0</v>
      </c>
      <c r="L184" t="n">
        <v>0</v>
      </c>
      <c r="M184" t="n">
        <v>0</v>
      </c>
      <c r="N184" t="n">
        <v>0</v>
      </c>
      <c r="O184" t="n">
        <v>3</v>
      </c>
      <c r="P184" t="n">
        <v>0</v>
      </c>
      <c r="Q184" t="n">
        <v>3</v>
      </c>
      <c r="R184" s="2" t="inlineStr">
        <is>
          <t>Gammelgransskål
Garnlav
Granticka</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36756-2023</t>
        </is>
      </c>
      <c r="B185" s="1" t="n">
        <v>45153</v>
      </c>
      <c r="C185" s="1" t="n">
        <v>45783</v>
      </c>
      <c r="D185" t="inlineStr">
        <is>
          <t>JÄMTLANDS LÄN</t>
        </is>
      </c>
      <c r="E185" t="inlineStr">
        <is>
          <t>RAGUNDA</t>
        </is>
      </c>
      <c r="G185" t="n">
        <v>8.5</v>
      </c>
      <c r="H185" t="n">
        <v>2</v>
      </c>
      <c r="I185" t="n">
        <v>0</v>
      </c>
      <c r="J185" t="n">
        <v>3</v>
      </c>
      <c r="K185" t="n">
        <v>0</v>
      </c>
      <c r="L185" t="n">
        <v>0</v>
      </c>
      <c r="M185" t="n">
        <v>0</v>
      </c>
      <c r="N185" t="n">
        <v>0</v>
      </c>
      <c r="O185" t="n">
        <v>3</v>
      </c>
      <c r="P185" t="n">
        <v>0</v>
      </c>
      <c r="Q185" t="n">
        <v>3</v>
      </c>
      <c r="R185" s="2" t="inlineStr">
        <is>
          <t>Granticka
Spillkråka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37235-2023</t>
        </is>
      </c>
      <c r="B186" s="1" t="n">
        <v>45155</v>
      </c>
      <c r="C186" s="1" t="n">
        <v>45783</v>
      </c>
      <c r="D186" t="inlineStr">
        <is>
          <t>JÄMTLANDS LÄN</t>
        </is>
      </c>
      <c r="E186" t="inlineStr">
        <is>
          <t>RAGUNDA</t>
        </is>
      </c>
      <c r="F186" t="inlineStr">
        <is>
          <t>SCA</t>
        </is>
      </c>
      <c r="G186" t="n">
        <v>12.4</v>
      </c>
      <c r="H186" t="n">
        <v>3</v>
      </c>
      <c r="I186" t="n">
        <v>1</v>
      </c>
      <c r="J186" t="n">
        <v>0</v>
      </c>
      <c r="K186" t="n">
        <v>1</v>
      </c>
      <c r="L186" t="n">
        <v>0</v>
      </c>
      <c r="M186" t="n">
        <v>0</v>
      </c>
      <c r="N186" t="n">
        <v>0</v>
      </c>
      <c r="O186" t="n">
        <v>1</v>
      </c>
      <c r="P186" t="n">
        <v>1</v>
      </c>
      <c r="Q186" t="n">
        <v>3</v>
      </c>
      <c r="R186" s="2" t="inlineStr">
        <is>
          <t>Knärot
Tvåblad
Nattviol</t>
        </is>
      </c>
      <c r="S186">
        <f>HYPERLINK("https://klasma.github.io/Logging_2303/artfynd/A 37235-2023 artfynd.xlsx", "A 37235-2023")</f>
        <v/>
      </c>
      <c r="T186">
        <f>HYPERLINK("https://klasma.github.io/Logging_2303/kartor/A 37235-2023 karta.png", "A 37235-2023")</f>
        <v/>
      </c>
      <c r="U186">
        <f>HYPERLINK("https://klasma.github.io/Logging_2303/knärot/A 37235-2023 karta knärot.png", "A 37235-2023")</f>
        <v/>
      </c>
      <c r="V186">
        <f>HYPERLINK("https://klasma.github.io/Logging_2303/klagomål/A 37235-2023 FSC-klagomål.docx", "A 37235-2023")</f>
        <v/>
      </c>
      <c r="W186">
        <f>HYPERLINK("https://klasma.github.io/Logging_2303/klagomålsmail/A 37235-2023 FSC-klagomål mail.docx", "A 37235-2023")</f>
        <v/>
      </c>
      <c r="X186">
        <f>HYPERLINK("https://klasma.github.io/Logging_2303/tillsyn/A 37235-2023 tillsynsbegäran.docx", "A 37235-2023")</f>
        <v/>
      </c>
      <c r="Y186">
        <f>HYPERLINK("https://klasma.github.io/Logging_2303/tillsynsmail/A 37235-2023 tillsynsbegäran mail.docx", "A 37235-2023")</f>
        <v/>
      </c>
    </row>
    <row r="187" ht="15" customHeight="1">
      <c r="A187" t="inlineStr">
        <is>
          <t>A 44302-2023</t>
        </is>
      </c>
      <c r="B187" s="1" t="n">
        <v>45188</v>
      </c>
      <c r="C187" s="1" t="n">
        <v>45783</v>
      </c>
      <c r="D187" t="inlineStr">
        <is>
          <t>JÄMTLANDS LÄN</t>
        </is>
      </c>
      <c r="E187" t="inlineStr">
        <is>
          <t>RAGUNDA</t>
        </is>
      </c>
      <c r="G187" t="n">
        <v>9.1</v>
      </c>
      <c r="H187" t="n">
        <v>1</v>
      </c>
      <c r="I187" t="n">
        <v>1</v>
      </c>
      <c r="J187" t="n">
        <v>2</v>
      </c>
      <c r="K187" t="n">
        <v>0</v>
      </c>
      <c r="L187" t="n">
        <v>0</v>
      </c>
      <c r="M187" t="n">
        <v>0</v>
      </c>
      <c r="N187" t="n">
        <v>0</v>
      </c>
      <c r="O187" t="n">
        <v>2</v>
      </c>
      <c r="P187" t="n">
        <v>0</v>
      </c>
      <c r="Q187" t="n">
        <v>3</v>
      </c>
      <c r="R187" s="2" t="inlineStr">
        <is>
          <t>Lunglav
Skrovellav
Korallrot</t>
        </is>
      </c>
      <c r="S187">
        <f>HYPERLINK("https://klasma.github.io/Logging_2303/artfynd/A 44302-2023 artfynd.xlsx", "A 44302-2023")</f>
        <v/>
      </c>
      <c r="T187">
        <f>HYPERLINK("https://klasma.github.io/Logging_2303/kartor/A 44302-2023 karta.png", "A 44302-2023")</f>
        <v/>
      </c>
      <c r="V187">
        <f>HYPERLINK("https://klasma.github.io/Logging_2303/klagomål/A 44302-2023 FSC-klagomål.docx", "A 44302-2023")</f>
        <v/>
      </c>
      <c r="W187">
        <f>HYPERLINK("https://klasma.github.io/Logging_2303/klagomålsmail/A 44302-2023 FSC-klagomål mail.docx", "A 44302-2023")</f>
        <v/>
      </c>
      <c r="X187">
        <f>HYPERLINK("https://klasma.github.io/Logging_2303/tillsyn/A 44302-2023 tillsynsbegäran.docx", "A 44302-2023")</f>
        <v/>
      </c>
      <c r="Y187">
        <f>HYPERLINK("https://klasma.github.io/Logging_2303/tillsynsmail/A 44302-2023 tillsynsbegäran mail.docx", "A 44302-2023")</f>
        <v/>
      </c>
    </row>
    <row r="188" ht="15" customHeight="1">
      <c r="A188" t="inlineStr">
        <is>
          <t>A 49047-2023</t>
        </is>
      </c>
      <c r="B188" s="1" t="n">
        <v>45209</v>
      </c>
      <c r="C188" s="1" t="n">
        <v>45783</v>
      </c>
      <c r="D188" t="inlineStr">
        <is>
          <t>JÄMTLANDS LÄN</t>
        </is>
      </c>
      <c r="E188" t="inlineStr">
        <is>
          <t>RAGUNDA</t>
        </is>
      </c>
      <c r="F188" t="inlineStr">
        <is>
          <t>SCA</t>
        </is>
      </c>
      <c r="G188" t="n">
        <v>6.9</v>
      </c>
      <c r="H188" t="n">
        <v>0</v>
      </c>
      <c r="I188" t="n">
        <v>0</v>
      </c>
      <c r="J188" t="n">
        <v>3</v>
      </c>
      <c r="K188" t="n">
        <v>0</v>
      </c>
      <c r="L188" t="n">
        <v>0</v>
      </c>
      <c r="M188" t="n">
        <v>0</v>
      </c>
      <c r="N188" t="n">
        <v>0</v>
      </c>
      <c r="O188" t="n">
        <v>3</v>
      </c>
      <c r="P188" t="n">
        <v>0</v>
      </c>
      <c r="Q188" t="n">
        <v>3</v>
      </c>
      <c r="R188" s="2" t="inlineStr">
        <is>
          <t>Lunglav
Rosenticka
Skrovellav</t>
        </is>
      </c>
      <c r="S188">
        <f>HYPERLINK("https://klasma.github.io/Logging_2303/artfynd/A 49047-2023 artfynd.xlsx", "A 49047-2023")</f>
        <v/>
      </c>
      <c r="T188">
        <f>HYPERLINK("https://klasma.github.io/Logging_2303/kartor/A 49047-2023 karta.png", "A 49047-2023")</f>
        <v/>
      </c>
      <c r="V188">
        <f>HYPERLINK("https://klasma.github.io/Logging_2303/klagomål/A 49047-2023 FSC-klagomål.docx", "A 49047-2023")</f>
        <v/>
      </c>
      <c r="W188">
        <f>HYPERLINK("https://klasma.github.io/Logging_2303/klagomålsmail/A 49047-2023 FSC-klagomål mail.docx", "A 49047-2023")</f>
        <v/>
      </c>
      <c r="X188">
        <f>HYPERLINK("https://klasma.github.io/Logging_2303/tillsyn/A 49047-2023 tillsynsbegäran.docx", "A 49047-2023")</f>
        <v/>
      </c>
      <c r="Y188">
        <f>HYPERLINK("https://klasma.github.io/Logging_2303/tillsynsmail/A 49047-2023 tillsynsbegäran mail.docx", "A 49047-2023")</f>
        <v/>
      </c>
    </row>
    <row r="189" ht="15" customHeight="1">
      <c r="A189" t="inlineStr">
        <is>
          <t>A 61790-2023</t>
        </is>
      </c>
      <c r="B189" s="1" t="n">
        <v>45265</v>
      </c>
      <c r="C189" s="1" t="n">
        <v>45783</v>
      </c>
      <c r="D189" t="inlineStr">
        <is>
          <t>JÄMTLANDS LÄN</t>
        </is>
      </c>
      <c r="E189" t="inlineStr">
        <is>
          <t>RAGUNDA</t>
        </is>
      </c>
      <c r="F189" t="inlineStr">
        <is>
          <t>SCA</t>
        </is>
      </c>
      <c r="G189" t="n">
        <v>6.1</v>
      </c>
      <c r="H189" t="n">
        <v>0</v>
      </c>
      <c r="I189" t="n">
        <v>0</v>
      </c>
      <c r="J189" t="n">
        <v>3</v>
      </c>
      <c r="K189" t="n">
        <v>0</v>
      </c>
      <c r="L189" t="n">
        <v>0</v>
      </c>
      <c r="M189" t="n">
        <v>0</v>
      </c>
      <c r="N189" t="n">
        <v>0</v>
      </c>
      <c r="O189" t="n">
        <v>3</v>
      </c>
      <c r="P189" t="n">
        <v>0</v>
      </c>
      <c r="Q189" t="n">
        <v>3</v>
      </c>
      <c r="R189" s="2" t="inlineStr">
        <is>
          <t>Gammelgransskål
Lunglav
Skrovellav</t>
        </is>
      </c>
      <c r="S189">
        <f>HYPERLINK("https://klasma.github.io/Logging_2303/artfynd/A 61790-2023 artfynd.xlsx", "A 61790-2023")</f>
        <v/>
      </c>
      <c r="T189">
        <f>HYPERLINK("https://klasma.github.io/Logging_2303/kartor/A 61790-2023 karta.png", "A 61790-2023")</f>
        <v/>
      </c>
      <c r="V189">
        <f>HYPERLINK("https://klasma.github.io/Logging_2303/klagomål/A 61790-2023 FSC-klagomål.docx", "A 61790-2023")</f>
        <v/>
      </c>
      <c r="W189">
        <f>HYPERLINK("https://klasma.github.io/Logging_2303/klagomålsmail/A 61790-2023 FSC-klagomål mail.docx", "A 61790-2023")</f>
        <v/>
      </c>
      <c r="X189">
        <f>HYPERLINK("https://klasma.github.io/Logging_2303/tillsyn/A 61790-2023 tillsynsbegäran.docx", "A 61790-2023")</f>
        <v/>
      </c>
      <c r="Y189">
        <f>HYPERLINK("https://klasma.github.io/Logging_2303/tillsynsmail/A 61790-2023 tillsynsbegäran mail.docx", "A 61790-2023")</f>
        <v/>
      </c>
    </row>
    <row r="190" ht="15" customHeight="1">
      <c r="A190" t="inlineStr">
        <is>
          <t>A 9565-2024</t>
        </is>
      </c>
      <c r="B190" s="1" t="n">
        <v>45360</v>
      </c>
      <c r="C190" s="1" t="n">
        <v>45783</v>
      </c>
      <c r="D190" t="inlineStr">
        <is>
          <t>JÄMTLANDS LÄN</t>
        </is>
      </c>
      <c r="E190" t="inlineStr">
        <is>
          <t>RAGUNDA</t>
        </is>
      </c>
      <c r="F190" t="inlineStr">
        <is>
          <t>SCA</t>
        </is>
      </c>
      <c r="G190" t="n">
        <v>1.5</v>
      </c>
      <c r="H190" t="n">
        <v>1</v>
      </c>
      <c r="I190" t="n">
        <v>0</v>
      </c>
      <c r="J190" t="n">
        <v>2</v>
      </c>
      <c r="K190" t="n">
        <v>0</v>
      </c>
      <c r="L190" t="n">
        <v>0</v>
      </c>
      <c r="M190" t="n">
        <v>0</v>
      </c>
      <c r="N190" t="n">
        <v>0</v>
      </c>
      <c r="O190" t="n">
        <v>2</v>
      </c>
      <c r="P190" t="n">
        <v>0</v>
      </c>
      <c r="Q190" t="n">
        <v>3</v>
      </c>
      <c r="R190" s="2" t="inlineStr">
        <is>
          <t>Lunglav
Vedskivlav
Fläcknycklar</t>
        </is>
      </c>
      <c r="S190">
        <f>HYPERLINK("https://klasma.github.io/Logging_2303/artfynd/A 9565-2024 artfynd.xlsx", "A 9565-2024")</f>
        <v/>
      </c>
      <c r="T190">
        <f>HYPERLINK("https://klasma.github.io/Logging_2303/kartor/A 9565-2024 karta.png", "A 9565-2024")</f>
        <v/>
      </c>
      <c r="V190">
        <f>HYPERLINK("https://klasma.github.io/Logging_2303/klagomål/A 9565-2024 FSC-klagomål.docx", "A 9565-2024")</f>
        <v/>
      </c>
      <c r="W190">
        <f>HYPERLINK("https://klasma.github.io/Logging_2303/klagomålsmail/A 9565-2024 FSC-klagomål mail.docx", "A 9565-2024")</f>
        <v/>
      </c>
      <c r="X190">
        <f>HYPERLINK("https://klasma.github.io/Logging_2303/tillsyn/A 9565-2024 tillsynsbegäran.docx", "A 9565-2024")</f>
        <v/>
      </c>
      <c r="Y190">
        <f>HYPERLINK("https://klasma.github.io/Logging_2303/tillsynsmail/A 9565-2024 tillsynsbegäran mail.docx", "A 9565-2024")</f>
        <v/>
      </c>
    </row>
    <row r="191" ht="15" customHeight="1">
      <c r="A191" t="inlineStr">
        <is>
          <t>A 12637-2024</t>
        </is>
      </c>
      <c r="B191" s="1" t="n">
        <v>45384</v>
      </c>
      <c r="C191" s="1" t="n">
        <v>45783</v>
      </c>
      <c r="D191" t="inlineStr">
        <is>
          <t>JÄMTLANDS LÄN</t>
        </is>
      </c>
      <c r="E191" t="inlineStr">
        <is>
          <t>RAGUNDA</t>
        </is>
      </c>
      <c r="G191" t="n">
        <v>6.5</v>
      </c>
      <c r="H191" t="n">
        <v>0</v>
      </c>
      <c r="I191" t="n">
        <v>2</v>
      </c>
      <c r="J191" t="n">
        <v>1</v>
      </c>
      <c r="K191" t="n">
        <v>0</v>
      </c>
      <c r="L191" t="n">
        <v>0</v>
      </c>
      <c r="M191" t="n">
        <v>0</v>
      </c>
      <c r="N191" t="n">
        <v>0</v>
      </c>
      <c r="O191" t="n">
        <v>1</v>
      </c>
      <c r="P191" t="n">
        <v>0</v>
      </c>
      <c r="Q191" t="n">
        <v>3</v>
      </c>
      <c r="R191" s="2" t="inlineStr">
        <is>
          <t>Blå taggsvamp
Dropptaggsvamp
Skarp dropptaggsvamp</t>
        </is>
      </c>
      <c r="S191">
        <f>HYPERLINK("https://klasma.github.io/Logging_2303/artfynd/A 12637-2024 artfynd.xlsx", "A 12637-2024")</f>
        <v/>
      </c>
      <c r="T191">
        <f>HYPERLINK("https://klasma.github.io/Logging_2303/kartor/A 12637-2024 karta.png", "A 12637-2024")</f>
        <v/>
      </c>
      <c r="V191">
        <f>HYPERLINK("https://klasma.github.io/Logging_2303/klagomål/A 12637-2024 FSC-klagomål.docx", "A 12637-2024")</f>
        <v/>
      </c>
      <c r="W191">
        <f>HYPERLINK("https://klasma.github.io/Logging_2303/klagomålsmail/A 12637-2024 FSC-klagomål mail.docx", "A 12637-2024")</f>
        <v/>
      </c>
      <c r="X191">
        <f>HYPERLINK("https://klasma.github.io/Logging_2303/tillsyn/A 12637-2024 tillsynsbegäran.docx", "A 12637-2024")</f>
        <v/>
      </c>
      <c r="Y191">
        <f>HYPERLINK("https://klasma.github.io/Logging_2303/tillsynsmail/A 12637-2024 tillsynsbegäran mail.docx", "A 12637-2024")</f>
        <v/>
      </c>
    </row>
    <row r="192" ht="15" customHeight="1">
      <c r="A192" t="inlineStr">
        <is>
          <t>A 14011-2024</t>
        </is>
      </c>
      <c r="B192" s="1" t="n">
        <v>45392</v>
      </c>
      <c r="C192" s="1" t="n">
        <v>45783</v>
      </c>
      <c r="D192" t="inlineStr">
        <is>
          <t>JÄMTLANDS LÄN</t>
        </is>
      </c>
      <c r="E192" t="inlineStr">
        <is>
          <t>RAGUNDA</t>
        </is>
      </c>
      <c r="F192" t="inlineStr">
        <is>
          <t>Kyrkan</t>
        </is>
      </c>
      <c r="G192" t="n">
        <v>5.8</v>
      </c>
      <c r="H192" t="n">
        <v>1</v>
      </c>
      <c r="I192" t="n">
        <v>0</v>
      </c>
      <c r="J192" t="n">
        <v>2</v>
      </c>
      <c r="K192" t="n">
        <v>0</v>
      </c>
      <c r="L192" t="n">
        <v>0</v>
      </c>
      <c r="M192" t="n">
        <v>0</v>
      </c>
      <c r="N192" t="n">
        <v>0</v>
      </c>
      <c r="O192" t="n">
        <v>2</v>
      </c>
      <c r="P192" t="n">
        <v>0</v>
      </c>
      <c r="Q192" t="n">
        <v>3</v>
      </c>
      <c r="R192" s="2" t="inlineStr">
        <is>
          <t>Garnlav
Granticka
Revlummer</t>
        </is>
      </c>
      <c r="S192">
        <f>HYPERLINK("https://klasma.github.io/Logging_2303/artfynd/A 14011-2024 artfynd.xlsx", "A 14011-2024")</f>
        <v/>
      </c>
      <c r="T192">
        <f>HYPERLINK("https://klasma.github.io/Logging_2303/kartor/A 14011-2024 karta.png", "A 14011-2024")</f>
        <v/>
      </c>
      <c r="V192">
        <f>HYPERLINK("https://klasma.github.io/Logging_2303/klagomål/A 14011-2024 FSC-klagomål.docx", "A 14011-2024")</f>
        <v/>
      </c>
      <c r="W192">
        <f>HYPERLINK("https://klasma.github.io/Logging_2303/klagomålsmail/A 14011-2024 FSC-klagomål mail.docx", "A 14011-2024")</f>
        <v/>
      </c>
      <c r="X192">
        <f>HYPERLINK("https://klasma.github.io/Logging_2303/tillsyn/A 14011-2024 tillsynsbegäran.docx", "A 14011-2024")</f>
        <v/>
      </c>
      <c r="Y192">
        <f>HYPERLINK("https://klasma.github.io/Logging_2303/tillsynsmail/A 14011-2024 tillsynsbegäran mail.docx", "A 14011-2024")</f>
        <v/>
      </c>
    </row>
    <row r="193" ht="15" customHeight="1">
      <c r="A193" t="inlineStr">
        <is>
          <t>A 14814-2024</t>
        </is>
      </c>
      <c r="B193" s="1" t="n">
        <v>45398</v>
      </c>
      <c r="C193" s="1" t="n">
        <v>45783</v>
      </c>
      <c r="D193" t="inlineStr">
        <is>
          <t>JÄMTLANDS LÄN</t>
        </is>
      </c>
      <c r="E193" t="inlineStr">
        <is>
          <t>RAGUNDA</t>
        </is>
      </c>
      <c r="F193" t="inlineStr">
        <is>
          <t>SCA</t>
        </is>
      </c>
      <c r="G193" t="n">
        <v>10.5</v>
      </c>
      <c r="H193" t="n">
        <v>0</v>
      </c>
      <c r="I193" t="n">
        <v>2</v>
      </c>
      <c r="J193" t="n">
        <v>1</v>
      </c>
      <c r="K193" t="n">
        <v>0</v>
      </c>
      <c r="L193" t="n">
        <v>0</v>
      </c>
      <c r="M193" t="n">
        <v>0</v>
      </c>
      <c r="N193" t="n">
        <v>0</v>
      </c>
      <c r="O193" t="n">
        <v>1</v>
      </c>
      <c r="P193" t="n">
        <v>0</v>
      </c>
      <c r="Q193" t="n">
        <v>3</v>
      </c>
      <c r="R193" s="2" t="inlineStr">
        <is>
          <t>Rosenticka
Svart trolldruva
Tibast</t>
        </is>
      </c>
      <c r="S193">
        <f>HYPERLINK("https://klasma.github.io/Logging_2303/artfynd/A 14814-2024 artfynd.xlsx", "A 14814-2024")</f>
        <v/>
      </c>
      <c r="T193">
        <f>HYPERLINK("https://klasma.github.io/Logging_2303/kartor/A 14814-2024 karta.png", "A 14814-2024")</f>
        <v/>
      </c>
      <c r="V193">
        <f>HYPERLINK("https://klasma.github.io/Logging_2303/klagomål/A 14814-2024 FSC-klagomål.docx", "A 14814-2024")</f>
        <v/>
      </c>
      <c r="W193">
        <f>HYPERLINK("https://klasma.github.io/Logging_2303/klagomålsmail/A 14814-2024 FSC-klagomål mail.docx", "A 14814-2024")</f>
        <v/>
      </c>
      <c r="X193">
        <f>HYPERLINK("https://klasma.github.io/Logging_2303/tillsyn/A 14814-2024 tillsynsbegäran.docx", "A 14814-2024")</f>
        <v/>
      </c>
      <c r="Y193">
        <f>HYPERLINK("https://klasma.github.io/Logging_2303/tillsynsmail/A 14814-2024 tillsynsbegäran mail.docx", "A 14814-2024")</f>
        <v/>
      </c>
    </row>
    <row r="194" ht="15" customHeight="1">
      <c r="A194" t="inlineStr">
        <is>
          <t>A 16050-2024</t>
        </is>
      </c>
      <c r="B194" s="1" t="n">
        <v>45406</v>
      </c>
      <c r="C194" s="1" t="n">
        <v>45783</v>
      </c>
      <c r="D194" t="inlineStr">
        <is>
          <t>JÄMTLANDS LÄN</t>
        </is>
      </c>
      <c r="E194" t="inlineStr">
        <is>
          <t>RAGUNDA</t>
        </is>
      </c>
      <c r="F194" t="inlineStr">
        <is>
          <t>SCA</t>
        </is>
      </c>
      <c r="G194" t="n">
        <v>9.699999999999999</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16050-2024 artfynd.xlsx", "A 16050-2024")</f>
        <v/>
      </c>
      <c r="T194">
        <f>HYPERLINK("https://klasma.github.io/Logging_2303/kartor/A 16050-2024 karta.png", "A 16050-2024")</f>
        <v/>
      </c>
      <c r="V194">
        <f>HYPERLINK("https://klasma.github.io/Logging_2303/klagomål/A 16050-2024 FSC-klagomål.docx", "A 16050-2024")</f>
        <v/>
      </c>
      <c r="W194">
        <f>HYPERLINK("https://klasma.github.io/Logging_2303/klagomålsmail/A 16050-2024 FSC-klagomål mail.docx", "A 16050-2024")</f>
        <v/>
      </c>
      <c r="X194">
        <f>HYPERLINK("https://klasma.github.io/Logging_2303/tillsyn/A 16050-2024 tillsynsbegäran.docx", "A 16050-2024")</f>
        <v/>
      </c>
      <c r="Y194">
        <f>HYPERLINK("https://klasma.github.io/Logging_2303/tillsynsmail/A 16050-2024 tillsynsbegäran mail.docx", "A 16050-2024")</f>
        <v/>
      </c>
    </row>
    <row r="195" ht="15" customHeight="1">
      <c r="A195" t="inlineStr">
        <is>
          <t>A 18616-2024</t>
        </is>
      </c>
      <c r="B195" s="1" t="n">
        <v>45426</v>
      </c>
      <c r="C195" s="1" t="n">
        <v>45783</v>
      </c>
      <c r="D195" t="inlineStr">
        <is>
          <t>JÄMTLANDS LÄN</t>
        </is>
      </c>
      <c r="E195" t="inlineStr">
        <is>
          <t>RAGUNDA</t>
        </is>
      </c>
      <c r="F195" t="inlineStr">
        <is>
          <t>SCA</t>
        </is>
      </c>
      <c r="G195" t="n">
        <v>3.4</v>
      </c>
      <c r="H195" t="n">
        <v>0</v>
      </c>
      <c r="I195" t="n">
        <v>0</v>
      </c>
      <c r="J195" t="n">
        <v>3</v>
      </c>
      <c r="K195" t="n">
        <v>0</v>
      </c>
      <c r="L195" t="n">
        <v>0</v>
      </c>
      <c r="M195" t="n">
        <v>0</v>
      </c>
      <c r="N195" t="n">
        <v>0</v>
      </c>
      <c r="O195" t="n">
        <v>3</v>
      </c>
      <c r="P195" t="n">
        <v>0</v>
      </c>
      <c r="Q195" t="n">
        <v>3</v>
      </c>
      <c r="R195" s="2" t="inlineStr">
        <is>
          <t>Granticka
Orange taggsvamp
Ullticka</t>
        </is>
      </c>
      <c r="S195">
        <f>HYPERLINK("https://klasma.github.io/Logging_2303/artfynd/A 18616-2024 artfynd.xlsx", "A 18616-2024")</f>
        <v/>
      </c>
      <c r="T195">
        <f>HYPERLINK("https://klasma.github.io/Logging_2303/kartor/A 18616-2024 karta.png", "A 18616-2024")</f>
        <v/>
      </c>
      <c r="V195">
        <f>HYPERLINK("https://klasma.github.io/Logging_2303/klagomål/A 18616-2024 FSC-klagomål.docx", "A 18616-2024")</f>
        <v/>
      </c>
      <c r="W195">
        <f>HYPERLINK("https://klasma.github.io/Logging_2303/klagomålsmail/A 18616-2024 FSC-klagomål mail.docx", "A 18616-2024")</f>
        <v/>
      </c>
      <c r="X195">
        <f>HYPERLINK("https://klasma.github.io/Logging_2303/tillsyn/A 18616-2024 tillsynsbegäran.docx", "A 18616-2024")</f>
        <v/>
      </c>
      <c r="Y195">
        <f>HYPERLINK("https://klasma.github.io/Logging_2303/tillsynsmail/A 18616-2024 tillsynsbegäran mail.docx", "A 18616-2024")</f>
        <v/>
      </c>
    </row>
    <row r="196" ht="15" customHeight="1">
      <c r="A196" t="inlineStr">
        <is>
          <t>A 19395-2024</t>
        </is>
      </c>
      <c r="B196" s="1" t="n">
        <v>45429</v>
      </c>
      <c r="C196" s="1" t="n">
        <v>45783</v>
      </c>
      <c r="D196" t="inlineStr">
        <is>
          <t>JÄMTLANDS LÄN</t>
        </is>
      </c>
      <c r="E196" t="inlineStr">
        <is>
          <t>RAGUNDA</t>
        </is>
      </c>
      <c r="G196" t="n">
        <v>25.4</v>
      </c>
      <c r="H196" t="n">
        <v>1</v>
      </c>
      <c r="I196" t="n">
        <v>1</v>
      </c>
      <c r="J196" t="n">
        <v>1</v>
      </c>
      <c r="K196" t="n">
        <v>1</v>
      </c>
      <c r="L196" t="n">
        <v>0</v>
      </c>
      <c r="M196" t="n">
        <v>0</v>
      </c>
      <c r="N196" t="n">
        <v>0</v>
      </c>
      <c r="O196" t="n">
        <v>2</v>
      </c>
      <c r="P196" t="n">
        <v>1</v>
      </c>
      <c r="Q196" t="n">
        <v>3</v>
      </c>
      <c r="R196" s="2" t="inlineStr">
        <is>
          <t>Knärot
Svartvit taggsvamp
Dropptaggsvamp</t>
        </is>
      </c>
      <c r="S196">
        <f>HYPERLINK("https://klasma.github.io/Logging_2303/artfynd/A 19395-2024 artfynd.xlsx", "A 19395-2024")</f>
        <v/>
      </c>
      <c r="T196">
        <f>HYPERLINK("https://klasma.github.io/Logging_2303/kartor/A 19395-2024 karta.png", "A 19395-2024")</f>
        <v/>
      </c>
      <c r="U196">
        <f>HYPERLINK("https://klasma.github.io/Logging_2303/knärot/A 19395-2024 karta knärot.png", "A 19395-2024")</f>
        <v/>
      </c>
      <c r="V196">
        <f>HYPERLINK("https://klasma.github.io/Logging_2303/klagomål/A 19395-2024 FSC-klagomål.docx", "A 19395-2024")</f>
        <v/>
      </c>
      <c r="W196">
        <f>HYPERLINK("https://klasma.github.io/Logging_2303/klagomålsmail/A 19395-2024 FSC-klagomål mail.docx", "A 19395-2024")</f>
        <v/>
      </c>
      <c r="X196">
        <f>HYPERLINK("https://klasma.github.io/Logging_2303/tillsyn/A 19395-2024 tillsynsbegäran.docx", "A 19395-2024")</f>
        <v/>
      </c>
      <c r="Y196">
        <f>HYPERLINK("https://klasma.github.io/Logging_2303/tillsynsmail/A 19395-2024 tillsynsbegäran mail.docx", "A 19395-2024")</f>
        <v/>
      </c>
    </row>
    <row r="197" ht="15" customHeight="1">
      <c r="A197" t="inlineStr">
        <is>
          <t>A 20776-2024</t>
        </is>
      </c>
      <c r="B197" s="1" t="n">
        <v>45437</v>
      </c>
      <c r="C197" s="1" t="n">
        <v>45783</v>
      </c>
      <c r="D197" t="inlineStr">
        <is>
          <t>JÄMTLANDS LÄN</t>
        </is>
      </c>
      <c r="E197" t="inlineStr">
        <is>
          <t>RAGUNDA</t>
        </is>
      </c>
      <c r="F197" t="inlineStr">
        <is>
          <t>SCA</t>
        </is>
      </c>
      <c r="G197" t="n">
        <v>5.2</v>
      </c>
      <c r="H197" t="n">
        <v>0</v>
      </c>
      <c r="I197" t="n">
        <v>0</v>
      </c>
      <c r="J197" t="n">
        <v>2</v>
      </c>
      <c r="K197" t="n">
        <v>1</v>
      </c>
      <c r="L197" t="n">
        <v>0</v>
      </c>
      <c r="M197" t="n">
        <v>0</v>
      </c>
      <c r="N197" t="n">
        <v>0</v>
      </c>
      <c r="O197" t="n">
        <v>3</v>
      </c>
      <c r="P197" t="n">
        <v>1</v>
      </c>
      <c r="Q197" t="n">
        <v>3</v>
      </c>
      <c r="R197" s="2" t="inlineStr">
        <is>
          <t>Liten hornflikmossa
Garnlav
Vedtrappmossa</t>
        </is>
      </c>
      <c r="S197">
        <f>HYPERLINK("https://klasma.github.io/Logging_2303/artfynd/A 20776-2024 artfynd.xlsx", "A 20776-2024")</f>
        <v/>
      </c>
      <c r="T197">
        <f>HYPERLINK("https://klasma.github.io/Logging_2303/kartor/A 20776-2024 karta.png", "A 20776-2024")</f>
        <v/>
      </c>
      <c r="V197">
        <f>HYPERLINK("https://klasma.github.io/Logging_2303/klagomål/A 20776-2024 FSC-klagomål.docx", "A 20776-2024")</f>
        <v/>
      </c>
      <c r="W197">
        <f>HYPERLINK("https://klasma.github.io/Logging_2303/klagomålsmail/A 20776-2024 FSC-klagomål mail.docx", "A 20776-2024")</f>
        <v/>
      </c>
      <c r="X197">
        <f>HYPERLINK("https://klasma.github.io/Logging_2303/tillsyn/A 20776-2024 tillsynsbegäran.docx", "A 20776-2024")</f>
        <v/>
      </c>
      <c r="Y197">
        <f>HYPERLINK("https://klasma.github.io/Logging_2303/tillsynsmail/A 20776-2024 tillsynsbegäran mail.docx", "A 20776-2024")</f>
        <v/>
      </c>
    </row>
    <row r="198" ht="15" customHeight="1">
      <c r="A198" t="inlineStr">
        <is>
          <t>A 26249-2024</t>
        </is>
      </c>
      <c r="B198" s="1" t="n">
        <v>45468</v>
      </c>
      <c r="C198" s="1" t="n">
        <v>45783</v>
      </c>
      <c r="D198" t="inlineStr">
        <is>
          <t>JÄMTLANDS LÄN</t>
        </is>
      </c>
      <c r="E198" t="inlineStr">
        <is>
          <t>RAGUNDA</t>
        </is>
      </c>
      <c r="G198" t="n">
        <v>11</v>
      </c>
      <c r="H198" t="n">
        <v>1</v>
      </c>
      <c r="I198" t="n">
        <v>1</v>
      </c>
      <c r="J198" t="n">
        <v>2</v>
      </c>
      <c r="K198" t="n">
        <v>0</v>
      </c>
      <c r="L198" t="n">
        <v>0</v>
      </c>
      <c r="M198" t="n">
        <v>0</v>
      </c>
      <c r="N198" t="n">
        <v>0</v>
      </c>
      <c r="O198" t="n">
        <v>2</v>
      </c>
      <c r="P198" t="n">
        <v>0</v>
      </c>
      <c r="Q198" t="n">
        <v>3</v>
      </c>
      <c r="R198" s="2" t="inlineStr">
        <is>
          <t>Garnlav
Ullticka
Spindelblomster</t>
        </is>
      </c>
      <c r="S198">
        <f>HYPERLINK("https://klasma.github.io/Logging_2303/artfynd/A 26249-2024 artfynd.xlsx", "A 26249-2024")</f>
        <v/>
      </c>
      <c r="T198">
        <f>HYPERLINK("https://klasma.github.io/Logging_2303/kartor/A 26249-2024 karta.png", "A 26249-2024")</f>
        <v/>
      </c>
      <c r="U198">
        <f>HYPERLINK("https://klasma.github.io/Logging_2303/knärot/A 26249-2024 karta knärot.png", "A 26249-2024")</f>
        <v/>
      </c>
      <c r="V198">
        <f>HYPERLINK("https://klasma.github.io/Logging_2303/klagomål/A 26249-2024 FSC-klagomål.docx", "A 26249-2024")</f>
        <v/>
      </c>
      <c r="W198">
        <f>HYPERLINK("https://klasma.github.io/Logging_2303/klagomålsmail/A 26249-2024 FSC-klagomål mail.docx", "A 26249-2024")</f>
        <v/>
      </c>
      <c r="X198">
        <f>HYPERLINK("https://klasma.github.io/Logging_2303/tillsyn/A 26249-2024 tillsynsbegäran.docx", "A 26249-2024")</f>
        <v/>
      </c>
      <c r="Y198">
        <f>HYPERLINK("https://klasma.github.io/Logging_2303/tillsynsmail/A 26249-2024 tillsynsbegäran mail.docx", "A 26249-2024")</f>
        <v/>
      </c>
    </row>
    <row r="199" ht="15" customHeight="1">
      <c r="A199" t="inlineStr">
        <is>
          <t>A 30470-2024</t>
        </is>
      </c>
      <c r="B199" s="1" t="n">
        <v>45492</v>
      </c>
      <c r="C199" s="1" t="n">
        <v>45783</v>
      </c>
      <c r="D199" t="inlineStr">
        <is>
          <t>JÄMTLANDS LÄN</t>
        </is>
      </c>
      <c r="E199" t="inlineStr">
        <is>
          <t>RAGUNDA</t>
        </is>
      </c>
      <c r="F199" t="inlineStr">
        <is>
          <t>SCA</t>
        </is>
      </c>
      <c r="G199" t="n">
        <v>1.4</v>
      </c>
      <c r="H199" t="n">
        <v>2</v>
      </c>
      <c r="I199" t="n">
        <v>0</v>
      </c>
      <c r="J199" t="n">
        <v>2</v>
      </c>
      <c r="K199" t="n">
        <v>1</v>
      </c>
      <c r="L199" t="n">
        <v>0</v>
      </c>
      <c r="M199" t="n">
        <v>0</v>
      </c>
      <c r="N199" t="n">
        <v>0</v>
      </c>
      <c r="O199" t="n">
        <v>3</v>
      </c>
      <c r="P199" t="n">
        <v>1</v>
      </c>
      <c r="Q199" t="n">
        <v>3</v>
      </c>
      <c r="R199" s="2" t="inlineStr">
        <is>
          <t>Knärot
Lunglav
Tretåig hackspett</t>
        </is>
      </c>
      <c r="S199">
        <f>HYPERLINK("https://klasma.github.io/Logging_2303/artfynd/A 30470-2024 artfynd.xlsx", "A 30470-2024")</f>
        <v/>
      </c>
      <c r="T199">
        <f>HYPERLINK("https://klasma.github.io/Logging_2303/kartor/A 30470-2024 karta.png", "A 30470-2024")</f>
        <v/>
      </c>
      <c r="U199">
        <f>HYPERLINK("https://klasma.github.io/Logging_2303/knärot/A 30470-2024 karta knärot.png", "A 30470-2024")</f>
        <v/>
      </c>
      <c r="V199">
        <f>HYPERLINK("https://klasma.github.io/Logging_2303/klagomål/A 30470-2024 FSC-klagomål.docx", "A 30470-2024")</f>
        <v/>
      </c>
      <c r="W199">
        <f>HYPERLINK("https://klasma.github.io/Logging_2303/klagomålsmail/A 30470-2024 FSC-klagomål mail.docx", "A 30470-2024")</f>
        <v/>
      </c>
      <c r="X199">
        <f>HYPERLINK("https://klasma.github.io/Logging_2303/tillsyn/A 30470-2024 tillsynsbegäran.docx", "A 30470-2024")</f>
        <v/>
      </c>
      <c r="Y199">
        <f>HYPERLINK("https://klasma.github.io/Logging_2303/tillsynsmail/A 30470-2024 tillsynsbegäran mail.docx", "A 30470-2024")</f>
        <v/>
      </c>
      <c r="Z199">
        <f>HYPERLINK("https://klasma.github.io/Logging_2303/fåglar/A 30470-2024 prioriterade fågelarter.docx", "A 30470-2024")</f>
        <v/>
      </c>
    </row>
    <row r="200" ht="15" customHeight="1">
      <c r="A200" t="inlineStr">
        <is>
          <t>A 32903-2024</t>
        </is>
      </c>
      <c r="B200" s="1" t="n">
        <v>45517</v>
      </c>
      <c r="C200" s="1" t="n">
        <v>45783</v>
      </c>
      <c r="D200" t="inlineStr">
        <is>
          <t>JÄMTLANDS LÄN</t>
        </is>
      </c>
      <c r="E200" t="inlineStr">
        <is>
          <t>RAGUNDA</t>
        </is>
      </c>
      <c r="F200" t="inlineStr">
        <is>
          <t>SCA</t>
        </is>
      </c>
      <c r="G200" t="n">
        <v>4.7</v>
      </c>
      <c r="H200" t="n">
        <v>0</v>
      </c>
      <c r="I200" t="n">
        <v>2</v>
      </c>
      <c r="J200" t="n">
        <v>1</v>
      </c>
      <c r="K200" t="n">
        <v>0</v>
      </c>
      <c r="L200" t="n">
        <v>0</v>
      </c>
      <c r="M200" t="n">
        <v>0</v>
      </c>
      <c r="N200" t="n">
        <v>0</v>
      </c>
      <c r="O200" t="n">
        <v>1</v>
      </c>
      <c r="P200" t="n">
        <v>0</v>
      </c>
      <c r="Q200" t="n">
        <v>3</v>
      </c>
      <c r="R200" s="2" t="inlineStr">
        <is>
          <t>Lunglav
Bollvitmossa
Luddlav</t>
        </is>
      </c>
      <c r="S200">
        <f>HYPERLINK("https://klasma.github.io/Logging_2303/artfynd/A 32903-2024 artfynd.xlsx", "A 32903-2024")</f>
        <v/>
      </c>
      <c r="T200">
        <f>HYPERLINK("https://klasma.github.io/Logging_2303/kartor/A 32903-2024 karta.png", "A 32903-2024")</f>
        <v/>
      </c>
      <c r="V200">
        <f>HYPERLINK("https://klasma.github.io/Logging_2303/klagomål/A 32903-2024 FSC-klagomål.docx", "A 32903-2024")</f>
        <v/>
      </c>
      <c r="W200">
        <f>HYPERLINK("https://klasma.github.io/Logging_2303/klagomålsmail/A 32903-2024 FSC-klagomål mail.docx", "A 32903-2024")</f>
        <v/>
      </c>
      <c r="X200">
        <f>HYPERLINK("https://klasma.github.io/Logging_2303/tillsyn/A 32903-2024 tillsynsbegäran.docx", "A 32903-2024")</f>
        <v/>
      </c>
      <c r="Y200">
        <f>HYPERLINK("https://klasma.github.io/Logging_2303/tillsynsmail/A 32903-2024 tillsynsbegäran mail.docx", "A 32903-2024")</f>
        <v/>
      </c>
    </row>
    <row r="201" ht="15" customHeight="1">
      <c r="A201" t="inlineStr">
        <is>
          <t>A 38179-2024</t>
        </is>
      </c>
      <c r="B201" s="1" t="n">
        <v>45545</v>
      </c>
      <c r="C201" s="1" t="n">
        <v>45783</v>
      </c>
      <c r="D201" t="inlineStr">
        <is>
          <t>JÄMTLANDS LÄN</t>
        </is>
      </c>
      <c r="E201" t="inlineStr">
        <is>
          <t>RAGUNDA</t>
        </is>
      </c>
      <c r="G201" t="n">
        <v>3.9</v>
      </c>
      <c r="H201" t="n">
        <v>0</v>
      </c>
      <c r="I201" t="n">
        <v>2</v>
      </c>
      <c r="J201" t="n">
        <v>1</v>
      </c>
      <c r="K201" t="n">
        <v>0</v>
      </c>
      <c r="L201" t="n">
        <v>0</v>
      </c>
      <c r="M201" t="n">
        <v>0</v>
      </c>
      <c r="N201" t="n">
        <v>0</v>
      </c>
      <c r="O201" t="n">
        <v>1</v>
      </c>
      <c r="P201" t="n">
        <v>0</v>
      </c>
      <c r="Q201" t="n">
        <v>3</v>
      </c>
      <c r="R201" s="2" t="inlineStr">
        <is>
          <t>Lunglav
Dvärgtufs
Stuplav</t>
        </is>
      </c>
      <c r="S201">
        <f>HYPERLINK("https://klasma.github.io/Logging_2303/artfynd/A 38179-2024 artfynd.xlsx", "A 38179-2024")</f>
        <v/>
      </c>
      <c r="T201">
        <f>HYPERLINK("https://klasma.github.io/Logging_2303/kartor/A 38179-2024 karta.png", "A 38179-2024")</f>
        <v/>
      </c>
      <c r="V201">
        <f>HYPERLINK("https://klasma.github.io/Logging_2303/klagomål/A 38179-2024 FSC-klagomål.docx", "A 38179-2024")</f>
        <v/>
      </c>
      <c r="W201">
        <f>HYPERLINK("https://klasma.github.io/Logging_2303/klagomålsmail/A 38179-2024 FSC-klagomål mail.docx", "A 38179-2024")</f>
        <v/>
      </c>
      <c r="X201">
        <f>HYPERLINK("https://klasma.github.io/Logging_2303/tillsyn/A 38179-2024 tillsynsbegäran.docx", "A 38179-2024")</f>
        <v/>
      </c>
      <c r="Y201">
        <f>HYPERLINK("https://klasma.github.io/Logging_2303/tillsynsmail/A 38179-2024 tillsynsbegäran mail.docx", "A 38179-2024")</f>
        <v/>
      </c>
    </row>
    <row r="202" ht="15" customHeight="1">
      <c r="A202" t="inlineStr">
        <is>
          <t>A 46638-2024</t>
        </is>
      </c>
      <c r="B202" s="1" t="n">
        <v>45583</v>
      </c>
      <c r="C202" s="1" t="n">
        <v>45783</v>
      </c>
      <c r="D202" t="inlineStr">
        <is>
          <t>JÄMTLANDS LÄN</t>
        </is>
      </c>
      <c r="E202" t="inlineStr">
        <is>
          <t>RAGUNDA</t>
        </is>
      </c>
      <c r="G202" t="n">
        <v>1.5</v>
      </c>
      <c r="H202" t="n">
        <v>0</v>
      </c>
      <c r="I202" t="n">
        <v>2</v>
      </c>
      <c r="J202" t="n">
        <v>0</v>
      </c>
      <c r="K202" t="n">
        <v>1</v>
      </c>
      <c r="L202" t="n">
        <v>0</v>
      </c>
      <c r="M202" t="n">
        <v>0</v>
      </c>
      <c r="N202" t="n">
        <v>0</v>
      </c>
      <c r="O202" t="n">
        <v>1</v>
      </c>
      <c r="P202" t="n">
        <v>1</v>
      </c>
      <c r="Q202" t="n">
        <v>3</v>
      </c>
      <c r="R202" s="2" t="inlineStr">
        <is>
          <t>Rynkskinn
Luddlav
Skinnlav</t>
        </is>
      </c>
      <c r="S202">
        <f>HYPERLINK("https://klasma.github.io/Logging_2303/artfynd/A 46638-2024 artfynd.xlsx", "A 46638-2024")</f>
        <v/>
      </c>
      <c r="T202">
        <f>HYPERLINK("https://klasma.github.io/Logging_2303/kartor/A 46638-2024 karta.png", "A 46638-2024")</f>
        <v/>
      </c>
      <c r="V202">
        <f>HYPERLINK("https://klasma.github.io/Logging_2303/klagomål/A 46638-2024 FSC-klagomål.docx", "A 46638-2024")</f>
        <v/>
      </c>
      <c r="W202">
        <f>HYPERLINK("https://klasma.github.io/Logging_2303/klagomålsmail/A 46638-2024 FSC-klagomål mail.docx", "A 46638-2024")</f>
        <v/>
      </c>
      <c r="X202">
        <f>HYPERLINK("https://klasma.github.io/Logging_2303/tillsyn/A 46638-2024 tillsynsbegäran.docx", "A 46638-2024")</f>
        <v/>
      </c>
      <c r="Y202">
        <f>HYPERLINK("https://klasma.github.io/Logging_2303/tillsynsmail/A 46638-2024 tillsynsbegäran mail.docx", "A 46638-2024")</f>
        <v/>
      </c>
    </row>
    <row r="203" ht="15" customHeight="1">
      <c r="A203" t="inlineStr">
        <is>
          <t>A 57941-2024</t>
        </is>
      </c>
      <c r="B203" s="1" t="n">
        <v>45631</v>
      </c>
      <c r="C203" s="1" t="n">
        <v>45783</v>
      </c>
      <c r="D203" t="inlineStr">
        <is>
          <t>JÄMTLANDS LÄN</t>
        </is>
      </c>
      <c r="E203" t="inlineStr">
        <is>
          <t>RAGUNDA</t>
        </is>
      </c>
      <c r="F203" t="inlineStr">
        <is>
          <t>SCA</t>
        </is>
      </c>
      <c r="G203" t="n">
        <v>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HYPERLINK("https://klasma.github.io/Logging_2303/artfynd/A 57941-2024 artfynd.xlsx", "A 57941-2024")</f>
        <v/>
      </c>
      <c r="T203">
        <f>HYPERLINK("https://klasma.github.io/Logging_2303/kartor/A 57941-2024 karta.png", "A 57941-2024")</f>
        <v/>
      </c>
      <c r="V203">
        <f>HYPERLINK("https://klasma.github.io/Logging_2303/klagomål/A 57941-2024 FSC-klagomål.docx", "A 57941-2024")</f>
        <v/>
      </c>
      <c r="W203">
        <f>HYPERLINK("https://klasma.github.io/Logging_2303/klagomålsmail/A 57941-2024 FSC-klagomål mail.docx", "A 57941-2024")</f>
        <v/>
      </c>
      <c r="X203">
        <f>HYPERLINK("https://klasma.github.io/Logging_2303/tillsyn/A 57941-2024 tillsynsbegäran.docx", "A 57941-2024")</f>
        <v/>
      </c>
      <c r="Y203">
        <f>HYPERLINK("https://klasma.github.io/Logging_2303/tillsynsmail/A 57941-2024 tillsynsbegäran mail.docx", "A 57941-2024")</f>
        <v/>
      </c>
      <c r="Z203">
        <f>HYPERLINK("https://klasma.github.io/Logging_2303/fåglar/A 57941-2024 prioriterade fågelarter.docx", "A 57941-2024")</f>
        <v/>
      </c>
    </row>
    <row r="204" ht="15" customHeight="1">
      <c r="A204" t="inlineStr">
        <is>
          <t>A 58368-2024</t>
        </is>
      </c>
      <c r="B204" s="1" t="n">
        <v>45632</v>
      </c>
      <c r="C204" s="1" t="n">
        <v>45783</v>
      </c>
      <c r="D204" t="inlineStr">
        <is>
          <t>JÄMTLANDS LÄN</t>
        </is>
      </c>
      <c r="E204" t="inlineStr">
        <is>
          <t>RAGUNDA</t>
        </is>
      </c>
      <c r="F204" t="inlineStr">
        <is>
          <t>SCA</t>
        </is>
      </c>
      <c r="G204" t="n">
        <v>4.1</v>
      </c>
      <c r="H204" t="n">
        <v>2</v>
      </c>
      <c r="I204" t="n">
        <v>0</v>
      </c>
      <c r="J204" t="n">
        <v>3</v>
      </c>
      <c r="K204" t="n">
        <v>0</v>
      </c>
      <c r="L204" t="n">
        <v>0</v>
      </c>
      <c r="M204" t="n">
        <v>0</v>
      </c>
      <c r="N204" t="n">
        <v>0</v>
      </c>
      <c r="O204" t="n">
        <v>3</v>
      </c>
      <c r="P204" t="n">
        <v>0</v>
      </c>
      <c r="Q204" t="n">
        <v>3</v>
      </c>
      <c r="R204" s="2" t="inlineStr">
        <is>
          <t>Järpe
Lunglav
Tretåig hackspett</t>
        </is>
      </c>
      <c r="S204">
        <f>HYPERLINK("https://klasma.github.io/Logging_2303/artfynd/A 58368-2024 artfynd.xlsx", "A 58368-2024")</f>
        <v/>
      </c>
      <c r="T204">
        <f>HYPERLINK("https://klasma.github.io/Logging_2303/kartor/A 58368-2024 karta.png", "A 58368-2024")</f>
        <v/>
      </c>
      <c r="V204">
        <f>HYPERLINK("https://klasma.github.io/Logging_2303/klagomål/A 58368-2024 FSC-klagomål.docx", "A 58368-2024")</f>
        <v/>
      </c>
      <c r="W204">
        <f>HYPERLINK("https://klasma.github.io/Logging_2303/klagomålsmail/A 58368-2024 FSC-klagomål mail.docx", "A 58368-2024")</f>
        <v/>
      </c>
      <c r="X204">
        <f>HYPERLINK("https://klasma.github.io/Logging_2303/tillsyn/A 58368-2024 tillsynsbegäran.docx", "A 58368-2024")</f>
        <v/>
      </c>
      <c r="Y204">
        <f>HYPERLINK("https://klasma.github.io/Logging_2303/tillsynsmail/A 58368-2024 tillsynsbegäran mail.docx", "A 58368-2024")</f>
        <v/>
      </c>
      <c r="Z204">
        <f>HYPERLINK("https://klasma.github.io/Logging_2303/fåglar/A 58368-2024 prioriterade fågelarter.docx", "A 58368-2024")</f>
        <v/>
      </c>
    </row>
    <row r="205" ht="15" customHeight="1">
      <c r="A205" t="inlineStr">
        <is>
          <t>A 7821-2025</t>
        </is>
      </c>
      <c r="B205" s="1" t="n">
        <v>45706</v>
      </c>
      <c r="C205" s="1" t="n">
        <v>45783</v>
      </c>
      <c r="D205" t="inlineStr">
        <is>
          <t>JÄMTLANDS LÄN</t>
        </is>
      </c>
      <c r="E205" t="inlineStr">
        <is>
          <t>RAGUNDA</t>
        </is>
      </c>
      <c r="G205" t="n">
        <v>10.3</v>
      </c>
      <c r="H205" t="n">
        <v>0</v>
      </c>
      <c r="I205" t="n">
        <v>1</v>
      </c>
      <c r="J205" t="n">
        <v>2</v>
      </c>
      <c r="K205" t="n">
        <v>0</v>
      </c>
      <c r="L205" t="n">
        <v>0</v>
      </c>
      <c r="M205" t="n">
        <v>0</v>
      </c>
      <c r="N205" t="n">
        <v>0</v>
      </c>
      <c r="O205" t="n">
        <v>2</v>
      </c>
      <c r="P205" t="n">
        <v>0</v>
      </c>
      <c r="Q205" t="n">
        <v>3</v>
      </c>
      <c r="R205" s="2" t="inlineStr">
        <is>
          <t>Garnlav
Ullticka
Vedticka</t>
        </is>
      </c>
      <c r="S205">
        <f>HYPERLINK("https://klasma.github.io/Logging_2303/artfynd/A 7821-2025 artfynd.xlsx", "A 7821-2025")</f>
        <v/>
      </c>
      <c r="T205">
        <f>HYPERLINK("https://klasma.github.io/Logging_2303/kartor/A 7821-2025 karta.png", "A 7821-2025")</f>
        <v/>
      </c>
      <c r="V205">
        <f>HYPERLINK("https://klasma.github.io/Logging_2303/klagomål/A 7821-2025 FSC-klagomål.docx", "A 7821-2025")</f>
        <v/>
      </c>
      <c r="W205">
        <f>HYPERLINK("https://klasma.github.io/Logging_2303/klagomålsmail/A 7821-2025 FSC-klagomål mail.docx", "A 7821-2025")</f>
        <v/>
      </c>
      <c r="X205">
        <f>HYPERLINK("https://klasma.github.io/Logging_2303/tillsyn/A 7821-2025 tillsynsbegäran.docx", "A 7821-2025")</f>
        <v/>
      </c>
      <c r="Y205">
        <f>HYPERLINK("https://klasma.github.io/Logging_2303/tillsynsmail/A 7821-2025 tillsynsbegäran mail.docx", "A 7821-2025")</f>
        <v/>
      </c>
    </row>
    <row r="206" ht="15" customHeight="1">
      <c r="A206" t="inlineStr">
        <is>
          <t>A 16305-2025</t>
        </is>
      </c>
      <c r="B206" s="1" t="n">
        <v>45751</v>
      </c>
      <c r="C206" s="1" t="n">
        <v>45783</v>
      </c>
      <c r="D206" t="inlineStr">
        <is>
          <t>JÄMTLANDS LÄN</t>
        </is>
      </c>
      <c r="E206" t="inlineStr">
        <is>
          <t>RAGUNDA</t>
        </is>
      </c>
      <c r="F206" t="inlineStr">
        <is>
          <t>SCA</t>
        </is>
      </c>
      <c r="G206" t="n">
        <v>2.5</v>
      </c>
      <c r="H206" t="n">
        <v>0</v>
      </c>
      <c r="I206" t="n">
        <v>2</v>
      </c>
      <c r="J206" t="n">
        <v>1</v>
      </c>
      <c r="K206" t="n">
        <v>0</v>
      </c>
      <c r="L206" t="n">
        <v>0</v>
      </c>
      <c r="M206" t="n">
        <v>0</v>
      </c>
      <c r="N206" t="n">
        <v>0</v>
      </c>
      <c r="O206" t="n">
        <v>1</v>
      </c>
      <c r="P206" t="n">
        <v>0</v>
      </c>
      <c r="Q206" t="n">
        <v>3</v>
      </c>
      <c r="R206" s="2" t="inlineStr">
        <is>
          <t>Lunglav
Bollvitmossa
Källmossa</t>
        </is>
      </c>
      <c r="S206">
        <f>HYPERLINK("https://klasma.github.io/Logging_232303/artfynd/A 16305-2025 artfynd.xlsx", "A 16305-2025")</f>
        <v/>
      </c>
      <c r="T206">
        <f>HYPERLINK("https://klasma.github.io/Logging_232303/kartor/A 16305-2025 karta.png", "A 16305-2025")</f>
        <v/>
      </c>
      <c r="V206">
        <f>HYPERLINK("https://klasma.github.io/Logging_232303/klagomål/A 16305-2025 FSC-klagomål.docx", "A 16305-2025")</f>
        <v/>
      </c>
      <c r="W206">
        <f>HYPERLINK("https://klasma.github.io/Logging_232303/klagomålsmail/A 16305-2025 FSC-klagomål mail.docx", "A 16305-2025")</f>
        <v/>
      </c>
      <c r="X206">
        <f>HYPERLINK("https://klasma.github.io/Logging_232303/tillsyn/A 16305-2025 tillsynsbegäran.docx", "A 16305-2025")</f>
        <v/>
      </c>
      <c r="Y206">
        <f>HYPERLINK("https://klasma.github.io/Logging_232303/tillsynsmail/A 16305-2025 tillsynsbegäran mail.docx", "A 16305-2025")</f>
        <v/>
      </c>
    </row>
    <row r="207" ht="15" customHeight="1">
      <c r="A207" t="inlineStr">
        <is>
          <t>A 19402-2025</t>
        </is>
      </c>
      <c r="B207" s="1" t="n">
        <v>45769</v>
      </c>
      <c r="C207" s="1" t="n">
        <v>45783</v>
      </c>
      <c r="D207" t="inlineStr">
        <is>
          <t>JÄMTLANDS LÄN</t>
        </is>
      </c>
      <c r="E207" t="inlineStr">
        <is>
          <t>RAGUNDA</t>
        </is>
      </c>
      <c r="F207" t="inlineStr">
        <is>
          <t>SCA</t>
        </is>
      </c>
      <c r="G207" t="n">
        <v>3.1</v>
      </c>
      <c r="H207" t="n">
        <v>1</v>
      </c>
      <c r="I207" t="n">
        <v>2</v>
      </c>
      <c r="J207" t="n">
        <v>1</v>
      </c>
      <c r="K207" t="n">
        <v>0</v>
      </c>
      <c r="L207" t="n">
        <v>0</v>
      </c>
      <c r="M207" t="n">
        <v>0</v>
      </c>
      <c r="N207" t="n">
        <v>0</v>
      </c>
      <c r="O207" t="n">
        <v>1</v>
      </c>
      <c r="P207" t="n">
        <v>0</v>
      </c>
      <c r="Q207" t="n">
        <v>3</v>
      </c>
      <c r="R207" s="2" t="inlineStr">
        <is>
          <t>Garnlav
Bårdlav
Spindelblomster</t>
        </is>
      </c>
      <c r="S207">
        <f>HYPERLINK("https://klasma.github.io/Logging_232303/artfynd/A 19402-2025 artfynd.xlsx", "A 19402-2025")</f>
        <v/>
      </c>
      <c r="T207">
        <f>HYPERLINK("https://klasma.github.io/Logging_232303/kartor/A 19402-2025 karta.png", "A 19402-2025")</f>
        <v/>
      </c>
      <c r="V207">
        <f>HYPERLINK("https://klasma.github.io/Logging_232303/klagomål/A 19402-2025 FSC-klagomål.docx", "A 19402-2025")</f>
        <v/>
      </c>
      <c r="W207">
        <f>HYPERLINK("https://klasma.github.io/Logging_232303/klagomålsmail/A 19402-2025 FSC-klagomål mail.docx", "A 19402-2025")</f>
        <v/>
      </c>
      <c r="X207">
        <f>HYPERLINK("https://klasma.github.io/Logging_232303/tillsyn/A 19402-2025 tillsynsbegäran.docx", "A 19402-2025")</f>
        <v/>
      </c>
      <c r="Y207">
        <f>HYPERLINK("https://klasma.github.io/Logging_232303/tillsynsmail/A 19402-2025 tillsynsbegäran mail.docx", "A 19402-2025")</f>
        <v/>
      </c>
    </row>
    <row r="208" ht="15" customHeight="1">
      <c r="A208" t="inlineStr">
        <is>
          <t>A 43760-2019</t>
        </is>
      </c>
      <c r="B208" s="1" t="n">
        <v>43707</v>
      </c>
      <c r="C208" s="1" t="n">
        <v>45783</v>
      </c>
      <c r="D208" t="inlineStr">
        <is>
          <t>JÄMTLANDS LÄN</t>
        </is>
      </c>
      <c r="E208" t="inlineStr">
        <is>
          <t>RAGUNDA</t>
        </is>
      </c>
      <c r="G208" t="n">
        <v>3.5</v>
      </c>
      <c r="H208" t="n">
        <v>1</v>
      </c>
      <c r="I208" t="n">
        <v>0</v>
      </c>
      <c r="J208" t="n">
        <v>1</v>
      </c>
      <c r="K208" t="n">
        <v>1</v>
      </c>
      <c r="L208" t="n">
        <v>0</v>
      </c>
      <c r="M208" t="n">
        <v>0</v>
      </c>
      <c r="N208" t="n">
        <v>0</v>
      </c>
      <c r="O208" t="n">
        <v>2</v>
      </c>
      <c r="P208" t="n">
        <v>1</v>
      </c>
      <c r="Q208" t="n">
        <v>2</v>
      </c>
      <c r="R208" s="2" t="inlineStr">
        <is>
          <t>Knärot
Lunglav</t>
        </is>
      </c>
      <c r="S208">
        <f>HYPERLINK("https://klasma.github.io/Logging_2303/artfynd/A 43760-2019 artfynd.xlsx", "A 43760-2019")</f>
        <v/>
      </c>
      <c r="T208">
        <f>HYPERLINK("https://klasma.github.io/Logging_2303/kartor/A 43760-2019 karta.png", "A 43760-2019")</f>
        <v/>
      </c>
      <c r="U208">
        <f>HYPERLINK("https://klasma.github.io/Logging_2303/knärot/A 43760-2019 karta knärot.png", "A 43760-2019")</f>
        <v/>
      </c>
      <c r="V208">
        <f>HYPERLINK("https://klasma.github.io/Logging_2303/klagomål/A 43760-2019 FSC-klagomål.docx", "A 43760-2019")</f>
        <v/>
      </c>
      <c r="W208">
        <f>HYPERLINK("https://klasma.github.io/Logging_2303/klagomålsmail/A 43760-2019 FSC-klagomål mail.docx", "A 43760-2019")</f>
        <v/>
      </c>
      <c r="X208">
        <f>HYPERLINK("https://klasma.github.io/Logging_2303/tillsyn/A 43760-2019 tillsynsbegäran.docx", "A 43760-2019")</f>
        <v/>
      </c>
      <c r="Y208">
        <f>HYPERLINK("https://klasma.github.io/Logging_2303/tillsynsmail/A 43760-2019 tillsynsbegäran mail.docx", "A 43760-2019")</f>
        <v/>
      </c>
    </row>
    <row r="209" ht="15" customHeight="1">
      <c r="A209" t="inlineStr">
        <is>
          <t>A 16044-2020</t>
        </is>
      </c>
      <c r="B209" s="1" t="n">
        <v>43916</v>
      </c>
      <c r="C209" s="1" t="n">
        <v>45783</v>
      </c>
      <c r="D209" t="inlineStr">
        <is>
          <t>JÄMTLANDS LÄN</t>
        </is>
      </c>
      <c r="E209" t="inlineStr">
        <is>
          <t>RAGUNDA</t>
        </is>
      </c>
      <c r="G209" t="n">
        <v>7.6</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16044-2020 artfynd.xlsx", "A 16044-2020")</f>
        <v/>
      </c>
      <c r="T209">
        <f>HYPERLINK("https://klasma.github.io/Logging_2303/kartor/A 16044-2020 karta.png", "A 16044-2020")</f>
        <v/>
      </c>
      <c r="U209">
        <f>HYPERLINK("https://klasma.github.io/Logging_2303/knärot/A 16044-2020 karta knärot.png", "A 16044-2020")</f>
        <v/>
      </c>
      <c r="V209">
        <f>HYPERLINK("https://klasma.github.io/Logging_2303/klagomål/A 16044-2020 FSC-klagomål.docx", "A 16044-2020")</f>
        <v/>
      </c>
      <c r="W209">
        <f>HYPERLINK("https://klasma.github.io/Logging_2303/klagomålsmail/A 16044-2020 FSC-klagomål mail.docx", "A 16044-2020")</f>
        <v/>
      </c>
      <c r="X209">
        <f>HYPERLINK("https://klasma.github.io/Logging_2303/tillsyn/A 16044-2020 tillsynsbegäran.docx", "A 16044-2020")</f>
        <v/>
      </c>
      <c r="Y209">
        <f>HYPERLINK("https://klasma.github.io/Logging_2303/tillsynsmail/A 16044-2020 tillsynsbegäran mail.docx", "A 16044-2020")</f>
        <v/>
      </c>
    </row>
    <row r="210" ht="15" customHeight="1">
      <c r="A210" t="inlineStr">
        <is>
          <t>A 20477-2020</t>
        </is>
      </c>
      <c r="B210" s="1" t="n">
        <v>43948</v>
      </c>
      <c r="C210" s="1" t="n">
        <v>45783</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45783</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45783</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45783</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45783</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45783</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45783</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45783</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45783</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45783</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45783</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45783</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45783</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45783</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45783</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45783</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45783</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45783</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45783</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45783</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45783</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45783</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45783</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45783</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45783</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45783</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45783</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45783</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45783</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45783</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45783</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45783</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45783</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45783</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45783</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45783</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45783</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45783</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45783</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45783</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45783</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45783</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45783</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45783</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45783</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45783</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45783</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45783</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45783</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45783</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45783</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45783</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45783</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45783</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45783</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45783</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45783</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45783</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45783</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45783</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45783</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45783</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45783</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45783</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45783</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45783</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45783</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45783</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45783</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45783</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45783</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45783</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45783</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45783</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45783</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45783</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45783</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45783</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45783</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45783</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45783</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45783</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45783</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45783</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45783</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45783</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45783</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45783</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45783</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45783</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45783</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45783</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45783</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45783</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45783</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45783</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45783</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45783</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45783</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45783</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45783</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45783</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45783</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45783</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45783</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45783</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45783</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45783</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45783</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45783</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45783</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45783</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45783</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45783</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45783</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45783</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45783</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45783</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45783</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45783</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45783</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45783</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45783</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45783</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45783</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45783</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45783</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45783</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45783</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45783</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45783</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45783</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45783</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45783</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45783</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45783</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45783</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45783</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45783</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45783</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45783</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45783</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45783</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45783</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45783</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45783</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45783</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45783</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45783</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45783</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45783</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45783</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45783</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45783</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45783</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45783</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45783</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45783</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45783</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45783</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45783</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45783</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45783</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45783</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45783</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45783</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45783</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45783</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45783</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45783</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45783</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45783</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45783</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45783</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45783</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45783</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45783</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45783</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45783</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45783</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45783</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45783</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45783</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45783</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45783</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45783</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45783</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45783</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45783</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45783</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45783</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45783</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45783</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45783</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45783</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45783</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45783</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45783</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45783</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45783</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45783</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45783</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45783</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45783</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45783</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45783</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45783</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45783</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45783</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45783</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45783</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45783</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45783</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45783</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45783</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45783</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45783</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45783</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45783</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45783</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45783</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45783</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45783</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45783</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45783</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45783</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45783</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45783</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45783</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45783</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45783</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45783</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45783</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45783</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45783</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45783</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45783</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45783</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45783</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45783</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45783</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45783</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45783</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45783</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45783</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45783</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45783</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45783</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45783</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45783</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45783</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45783</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45783</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45783</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45783</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45783</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45783</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45783</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45783</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45783</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45783</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45783</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45783</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45783</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45783</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45783</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45783</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45783</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45783</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45783</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45783</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45783</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45783</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45783</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45783</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45783</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45783</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45783</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45783</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45783</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45783</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45783</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45783</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45783</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45783</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45783</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45783</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45783</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45783</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45783</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45783</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45783</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45783</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45783</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45783</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45783</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45783</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45783</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45783</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45783</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45783</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45783</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45783</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45783</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45783</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45783</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45783</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45783</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45783</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45783</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45783</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45783</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45783</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45783</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45783</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45783</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45783</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45783</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45783</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45783</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45783</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45783</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45783</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45783</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45783</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45783</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45783</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45783</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45783</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45783</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45783</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45783</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45783</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45783</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45783</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45783</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45783</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45783</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45783</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45783</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45783</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45783</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45783</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45783</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45783</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45783</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45783</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45783</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45783</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45783</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45783</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45783</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45783</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45783</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45783</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45783</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45783</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45783</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45783</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45783</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45783</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45783</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45783</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45783</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45783</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45783</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45783</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45783</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45783</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45783</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45783</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45783</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45783</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45783</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45783</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45783</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45783</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45783</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45783</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45783</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45783</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45783</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45783</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45783</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45783</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45783</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45783</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45783</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45783</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45783</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45783</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45783</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45783</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45783</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45783</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45783</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45783</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45783</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45783</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45783</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45783</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45783</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45783</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45783</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45783</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45783</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45783</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45783</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45783</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45783</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45783</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45783</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45783</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45783</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45783</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45783</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45783</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45783</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45783</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45783</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45783</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45783</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45783</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45783</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45783</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45783</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45783</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45783</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45783</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45783</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45783</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45783</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45783</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45783</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45783</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45783</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45783</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45783</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45783</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45783</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45783</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45783</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45783</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45783</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45783</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45783</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45783</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45783</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45783</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45783</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45783</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45783</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45783</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45783</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45783</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45783</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45783</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45783</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45783</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45783</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45783</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45783</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45783</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45783</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45783</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45783</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45783</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45783</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45783</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45783</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45783</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45783</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45783</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45783</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45783</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45783</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45783</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45783</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45783</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45783</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45783</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45783</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45783</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45783</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45783</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45783</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45783</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45783</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45783</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45783</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45783</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45783</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45783</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45783</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45783</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45783</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45783</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45783</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45783</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45783</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45783</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45783</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45783</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45783</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45783</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45783</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45783</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45783</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45783</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45783</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45783</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45783</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45783</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45783</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45783</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45783</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45783</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45783</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45783</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45783</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45783</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45783</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45783</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45783</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45783</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45783</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45783</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45783</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45783</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45783</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45783</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45783</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45783</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45783</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45783</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45783</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45783</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45783</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45783</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45783</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45783</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45783</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45783</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45783</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45783</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45783</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45783</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45783</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45783</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45783</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45783</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45783</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45783</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45783</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45783</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45783</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45783</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45783</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45783</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45783</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45783</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45783</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45783</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45783</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45783</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45783</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45783</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45783</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45783</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45783</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45783</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45783</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45783</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45783</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45783</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45783</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45783</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45783</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45783</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45783</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45783</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45783</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45783</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45783</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45783</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45783</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45783</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45783</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45783</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45783</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45783</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45783</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45783</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45783</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45783</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45783</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45783</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45783</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45783</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45783</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45783</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45783</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45783</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45783</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45783</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45783</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45783</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45783</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45783</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45783</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45783</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45783</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45783</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45783</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45783</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45783</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45783</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45783</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45783</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45783</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45783</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45783</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45783</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45783</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45783</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45783</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45783</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45783</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45783</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45783</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45783</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45783</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45783</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45783</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45783</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45783</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45783</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45783</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45783</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45783</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45783</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45783</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45783</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45783</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45783</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45783</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45783</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45783</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45783</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45783</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45783</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45783</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45783</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45783</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45783</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45783</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45783</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45783</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45783</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45783</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45783</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45783</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45783</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45783</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45783</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45783</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45783</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45783</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45783</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45783</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45783</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45783</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45783</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45783</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45783</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45783</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45783</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45783</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45783</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45783</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45783</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45783</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45783</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45783</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45783</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45783</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45783</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45783</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45783</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45783</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45783</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45783</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45783</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45783</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45783</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45783</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45783</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45783</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45783</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45783</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45783</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45783</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45783</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45783</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45783</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45783</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45783</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45783</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45783</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45783</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45783</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45783</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45783</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45783</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45783</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45783</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45783</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45783</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45783</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45783</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45783</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45783</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45783</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45783</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45783</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45783</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45783</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45783</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45783</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45783</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45783</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45783</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45783</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45783</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45783</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45783</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45783</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45783</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45783</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45783</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45783</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45783</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45783</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45783</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45783</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45783</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45783</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45783</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45783</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45783</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45783</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45783</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45783</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45783</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45783</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45783</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45783</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45783</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45783</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45783</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45783</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45783</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45783</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45783</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45783</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45783</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45783</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45783</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45783</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45783</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45783</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45783</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45783</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45783</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45783</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45783</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45783</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45783</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45783</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45783</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45783</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45783</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45783</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45783</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45783</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45783</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45783</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45783</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45783</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45783</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45783</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45783</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45783</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45783</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45783</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45783</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45783</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45783</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45783</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45783</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45783</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45783</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45783</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45783</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45783</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45783</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45783</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45783</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45783</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45783</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45783</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45783</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45783</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45783</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45783</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45783</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45783</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45783</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45783</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45783</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45783</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45783</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45783</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45783</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45783</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45783</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45783</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45783</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45783</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45783</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45783</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45783</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45783</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45783</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45783</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45783</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45783</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45783</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45783</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45783</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45783</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45783</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45783</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45783</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45783</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45783</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45783</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45783</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45783</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45783</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45783</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45783</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45783</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45783</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45783</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45783</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45783</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45783</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45783</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45783</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45783</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45783</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45783</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45783</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45783</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45783</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45783</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45783</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45783</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45783</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45783</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45783</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45783</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45783</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45783</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45783</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45783</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45783</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45783</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45783</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45783</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45783</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45783</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45783</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45783</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45783</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45783</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45783</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45783</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45783</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45783</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45783</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45783</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45783</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45783</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45783</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45783</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45783</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45783</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45783</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45783</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45783</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45783</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45783</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45783</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45783</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45783</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45783</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45783</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45783</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45783</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45783</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45783</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45783</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45783</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45783</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45783</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45783</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45783</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45783</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45783</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45783</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45783</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45783</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45783</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45783</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45783</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45783</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45783</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45783</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45783</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45783</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45783</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45783</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45783</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45783</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45783</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45783</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45783</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45783</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45783</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45783</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45783</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45783</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45783</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45783</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45783</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45783</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45783</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45783</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45783</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45783</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45783</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45783</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45783</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45783</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45783</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45783</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45783</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45783</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45783</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45783</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45783</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45783</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45783</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45783</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45783</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45783</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45783</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45783</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45783</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45783</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45783</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45783</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45783</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45783</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45783</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45783</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45783</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45783</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45783</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45783</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45783</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45783</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45783</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45783</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45783</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45783</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45783</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45783</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45783</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45783</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45783</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45783</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45783</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45783</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45783</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45783</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45783</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45783</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45783</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45783</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45783</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45783</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45783</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45783</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45783</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45783</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45783</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45783</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45783</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45783</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45783</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45783</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45783</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45783</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45783</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45783</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45783</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45783</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45783</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45783</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45783</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45783</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45783</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45783</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45783</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45783</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45783</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45783</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45783</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45783</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45783</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45783</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45783</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45783</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45783</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45783</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45783</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45783</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45783</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45783</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45783</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45783</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45783</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45783</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45783</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45783</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45783</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45783</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45783</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45783</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45783</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45783</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45783</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45783</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45783</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45783</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45783</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45783</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45783</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45783</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45783</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45783</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45783</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45783</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45783</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45783</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45783</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45783</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45783</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45783</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45783</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45783</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45783</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45783</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45783</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45783</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45783</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45783</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45783</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45783</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45783</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45783</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45783</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45783</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45783</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45783</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45783</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45783</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45783</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45783</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45783</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45783</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45783</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45783</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45783</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45783</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45783</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45783</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45783</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45783</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45783</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45783</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45783</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45783</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45783</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45783</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45783</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45783</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45783</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45783</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45783</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45783</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45783</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45783</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45783</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45783</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45783</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45783</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45783</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45783</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45783</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45783</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45783</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45783</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45783</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45783</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45783</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45783</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45783</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45783</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45783</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45783</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45783</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45783</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45783</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45783</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45783</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45783</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45783</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45783</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45783</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45783</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45783</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45783</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45783</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45783</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45783</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45783</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45783</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45783</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45783</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45783</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45783</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45783</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45783</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45783</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45783</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45783</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45783</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45783</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45783</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45783</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45783</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45783</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45783</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45783</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45783</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45783</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45783</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45783</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45783</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45783</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45783</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45783</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45783</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45783</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45783</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45783</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45783</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45783</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45783</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45783</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45783</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45783</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45783</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45783</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45783</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45783</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45783</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45783</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45783</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45783</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45783</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45783</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45783</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45783</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45783</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45783</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45783</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45783</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45783</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45783</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45783</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45783</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45783</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45783</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45783</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45783</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45783</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45783</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45783</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45783</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45783</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45783</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45783</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45783</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45783</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45783</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45783</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45783</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45783</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45783</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45783</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45783</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45783</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45783</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45783</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45783</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45783</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45783</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45783</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45783</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45783</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45783</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45783</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45783</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45783</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45783</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45783</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45783</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45783</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45783</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45783</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45783</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45783</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45783</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45783</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45783</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45783</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45783</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45783</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45783</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45783</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45783</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45783</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45783</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45783</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45783</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45783</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45783</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45783</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45783</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45783</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45783</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45783</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45783</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45783</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45783</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45783</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45783</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45783</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45783</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45783</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45783</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45783</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45783</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45783</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45783</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45783</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45783</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45783</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45783</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45783</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45783</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45783</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45783</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45783</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45783</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45783</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45783</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45783</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45783</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45783</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45783</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45783</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45783</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45783</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45783</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45783</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45783</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45783</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45783</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45783</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45783</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45783</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45783</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45783</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45783</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45783</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45783</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45783</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45783</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45783</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45783</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45783</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45783</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45783</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45783</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45783</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45783</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45783</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45783</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45783</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45783</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45783</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45783</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45783</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45783</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45783</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45783</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45783</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45783</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45783</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45783</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45783</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45783</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45783</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45783</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45783</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45783</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45783</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45783</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45783</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45783</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45783</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45783</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45783</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45783</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45783</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45783</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45783</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45783</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45783</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45783</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45783</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45783</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45783</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45783</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45783</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45783</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45783</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45783</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45783</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45783</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45783</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45783</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45783</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45783</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45783</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45783</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45783</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45783</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45783</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45783</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45783</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45783</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45783</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45783</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45783</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45783</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45783</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45783</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45783</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45783</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45783</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45783</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45783</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45783</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45783</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45783</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45783</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45783</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45783</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45783</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45783</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45783</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45783</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45783</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45783</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45783</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45783</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45783</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45783</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45783</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45783</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45783</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45783</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45783</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45783</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45783</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45783</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45783</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45783</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45783</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45783</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45783</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45783</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45783</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45783</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45783</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45783</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45783</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45783</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45783</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45783</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45783</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45783</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45783</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45783</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45783</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45783</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45783</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45783</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45783</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45783</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45783</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45783</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45783</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45783</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45783</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45783</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45783</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45783</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45783</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45783</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45783</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45783</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45783</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45783</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45783</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45783</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45783</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45783</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45783</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45783</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45783</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45783</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45783</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45783</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45783</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45783</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45783</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45783</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45783</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45783</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45783</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45783</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45783</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45783</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45783</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45783</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45783</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45783</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45783</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45783</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45783</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45783</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45783</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45783</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45783</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45783</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45783</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45783</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45783</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45783</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45783</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45783</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45783</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45783</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45783</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45783</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45783</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45783</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45783</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45783</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45783</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45783</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45783</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45783</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45783</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45783</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45783</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45783</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45783</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45783</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45783</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45783</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45783</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45783</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45783</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45783</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45783</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45783</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45783</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45783</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45783</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45783</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45783</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45783</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45783</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45783</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45783</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45783</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45783</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45783</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45783</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45783</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45783</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45783</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45783</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45783</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45783</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45783</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45783</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45783</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45783</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45783</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45783</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45783</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45783</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45783</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45783</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45783</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45783</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45783</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45783</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45783</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45783</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45783</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45783</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45783</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45783</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45783</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45783</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45783</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45783</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45783</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45783</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45783</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45783</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45783</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45783</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45783</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45783</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45783</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45783</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45783</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45783</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45783</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45783</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45783</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45783</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45783</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45783</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45783</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45783</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45783</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45783</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45783</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45783</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45783</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45783</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45783</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45783</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45783</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45783</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45783</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45783</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45783</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45783</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45783</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45783</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45783</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45783</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45783</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45783</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45783</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45783</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45783</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45783</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45783</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45783</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45783</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45783</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45783</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45783</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45783</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45783</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45783</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45783</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45783</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45783</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45783</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45783</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45783</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45783</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45783</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45783</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45783</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45783</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45783</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45783</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45783</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45783</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45783</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45783</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45783</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45783</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45783</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45783</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45783</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45783</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45783</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45783</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45783</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45783</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45783</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45783</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45783</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45783</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45783</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45783</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45783</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45783</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45783</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45783</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45783</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45783</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45783</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45783</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45783</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45783</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45783</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45783</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45783</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45783</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45783</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45783</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45783</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45783</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45783</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45783</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45783</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45783</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45783</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45783</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45783</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45783</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45783</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45783</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45783</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45783</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45783</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45783</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45783</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45783</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45783</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45783</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45783</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45783</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45783</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45783</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45783</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45783</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45783</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45783</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45783</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45783</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45783</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45783</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45783</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45783</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45783</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45783</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45783</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45783</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45783</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45783</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45783</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45783</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45783</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45783</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45783</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45783</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45783</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45783</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45783</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45783</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45783</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45783</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19401-2025</t>
        </is>
      </c>
      <c r="B1922" s="1" t="n">
        <v>45769</v>
      </c>
      <c r="C1922" s="1" t="n">
        <v>45783</v>
      </c>
      <c r="D1922" t="inlineStr">
        <is>
          <t>JÄMTLANDS LÄN</t>
        </is>
      </c>
      <c r="E1922" t="inlineStr">
        <is>
          <t>RAGUNDA</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19264-2025</t>
        </is>
      </c>
      <c r="B1923" s="1" t="n">
        <v>45769</v>
      </c>
      <c r="C1923" s="1" t="n">
        <v>45783</v>
      </c>
      <c r="D1923" t="inlineStr">
        <is>
          <t>JÄMTLANDS LÄN</t>
        </is>
      </c>
      <c r="E1923" t="inlineStr">
        <is>
          <t>RAGUNDA</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19382-2025</t>
        </is>
      </c>
      <c r="B1924" s="1" t="n">
        <v>45769</v>
      </c>
      <c r="C1924" s="1" t="n">
        <v>45783</v>
      </c>
      <c r="D1924" t="inlineStr">
        <is>
          <t>JÄMTLANDS LÄN</t>
        </is>
      </c>
      <c r="E1924" t="inlineStr">
        <is>
          <t>RAGUNDA</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19403-2025</t>
        </is>
      </c>
      <c r="B1925" s="1" t="n">
        <v>45769</v>
      </c>
      <c r="C1925" s="1" t="n">
        <v>45783</v>
      </c>
      <c r="D1925" t="inlineStr">
        <is>
          <t>JÄMTLANDS LÄN</t>
        </is>
      </c>
      <c r="E1925" t="inlineStr">
        <is>
          <t>RAGUNDA</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19405-2025</t>
        </is>
      </c>
      <c r="B1926" s="1" t="n">
        <v>45769</v>
      </c>
      <c r="C1926" s="1" t="n">
        <v>45783</v>
      </c>
      <c r="D1926" t="inlineStr">
        <is>
          <t>JÄMTLANDS LÄN</t>
        </is>
      </c>
      <c r="E1926" t="inlineStr">
        <is>
          <t>RAGUNDA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19265-2025</t>
        </is>
      </c>
      <c r="B1927" s="1" t="n">
        <v>45769</v>
      </c>
      <c r="C1927" s="1" t="n">
        <v>45783</v>
      </c>
      <c r="D1927" t="inlineStr">
        <is>
          <t>JÄMTLANDS LÄN</t>
        </is>
      </c>
      <c r="E1927" t="inlineStr">
        <is>
          <t>RAGUNDA</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19408-2025</t>
        </is>
      </c>
      <c r="B1928" s="1" t="n">
        <v>45769</v>
      </c>
      <c r="C1928" s="1" t="n">
        <v>45783</v>
      </c>
      <c r="D1928" t="inlineStr">
        <is>
          <t>JÄMTLANDS LÄN</t>
        </is>
      </c>
      <c r="E1928" t="inlineStr">
        <is>
          <t>RAGUNDA</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19404-2025</t>
        </is>
      </c>
      <c r="B1929" s="1" t="n">
        <v>45769</v>
      </c>
      <c r="C1929" s="1" t="n">
        <v>45783</v>
      </c>
      <c r="D1929" t="inlineStr">
        <is>
          <t>JÄMTLANDS LÄN</t>
        </is>
      </c>
      <c r="E1929" t="inlineStr">
        <is>
          <t>RAGUNDA</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19313-2025</t>
        </is>
      </c>
      <c r="B1930" s="1" t="n">
        <v>45769</v>
      </c>
      <c r="C1930" s="1" t="n">
        <v>45783</v>
      </c>
      <c r="D1930" t="inlineStr">
        <is>
          <t>JÄMTLANDS LÄN</t>
        </is>
      </c>
      <c r="E1930" t="inlineStr">
        <is>
          <t>RAGUNDA</t>
        </is>
      </c>
      <c r="F1930" t="inlineStr">
        <is>
          <t>SCA</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45783</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45783</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45783</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45783</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19751-2025</t>
        </is>
      </c>
      <c r="B1935" s="1" t="n">
        <v>45771</v>
      </c>
      <c r="C1935" s="1" t="n">
        <v>45783</v>
      </c>
      <c r="D1935" t="inlineStr">
        <is>
          <t>JÄMTLANDS LÄN</t>
        </is>
      </c>
      <c r="E1935" t="inlineStr">
        <is>
          <t>RAGUNDA</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45783</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45783</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45783</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20206-2025</t>
        </is>
      </c>
      <c r="B1939" s="1" t="n">
        <v>45772</v>
      </c>
      <c r="C1939" s="1" t="n">
        <v>45783</v>
      </c>
      <c r="D1939" t="inlineStr">
        <is>
          <t>JÄMTLANDS LÄN</t>
        </is>
      </c>
      <c r="E1939" t="inlineStr">
        <is>
          <t>RAGUNDA</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45783</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45783</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45783</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45783</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45783</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20722-2025</t>
        </is>
      </c>
      <c r="B1945" s="1" t="n">
        <v>45776</v>
      </c>
      <c r="C1945" s="1" t="n">
        <v>45783</v>
      </c>
      <c r="D1945" t="inlineStr">
        <is>
          <t>JÄMTLANDS LÄN</t>
        </is>
      </c>
      <c r="E1945" t="inlineStr">
        <is>
          <t>RAGUNDA</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45783</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45783</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20728-2025</t>
        </is>
      </c>
      <c r="B1948" s="1" t="n">
        <v>45776</v>
      </c>
      <c r="C1948" s="1" t="n">
        <v>45783</v>
      </c>
      <c r="D1948" t="inlineStr">
        <is>
          <t>JÄMTLANDS LÄN</t>
        </is>
      </c>
      <c r="E1948" t="inlineStr">
        <is>
          <t>RAGUNDA</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45783</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21248-2025</t>
        </is>
      </c>
      <c r="B1950" s="1" t="n">
        <v>45779</v>
      </c>
      <c r="C1950" s="1" t="n">
        <v>45783</v>
      </c>
      <c r="D1950" t="inlineStr">
        <is>
          <t>JÄMTLANDS LÄN</t>
        </is>
      </c>
      <c r="E1950" t="inlineStr">
        <is>
          <t>RAGUNDA</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45783</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45783</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45783</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45783</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45783</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21331-2025</t>
        </is>
      </c>
      <c r="B1956" s="1" t="n">
        <v>45782</v>
      </c>
      <c r="C1956" s="1" t="n">
        <v>45783</v>
      </c>
      <c r="D1956" t="inlineStr">
        <is>
          <t>JÄMTLANDS LÄN</t>
        </is>
      </c>
      <c r="E1956" t="inlineStr">
        <is>
          <t>RAGUNDA</t>
        </is>
      </c>
      <c r="F1956" t="inlineStr">
        <is>
          <t>SCA</t>
        </is>
      </c>
      <c r="G1956" t="n">
        <v>23.1</v>
      </c>
      <c r="H1956" t="n">
        <v>0</v>
      </c>
      <c r="I1956" t="n">
        <v>0</v>
      </c>
      <c r="J1956" t="n">
        <v>0</v>
      </c>
      <c r="K1956" t="n">
        <v>0</v>
      </c>
      <c r="L1956" t="n">
        <v>0</v>
      </c>
      <c r="M1956" t="n">
        <v>0</v>
      </c>
      <c r="N1956" t="n">
        <v>0</v>
      </c>
      <c r="O1956" t="n">
        <v>0</v>
      </c>
      <c r="P1956" t="n">
        <v>0</v>
      </c>
      <c r="Q1956" t="n">
        <v>0</v>
      </c>
      <c r="R1956" s="2" t="inlineStr"/>
    </row>
    <row r="1957" ht="15" customHeight="1">
      <c r="A1957" t="inlineStr">
        <is>
          <t>A 21332-2025</t>
        </is>
      </c>
      <c r="B1957" s="1" t="n">
        <v>45782</v>
      </c>
      <c r="C1957" s="1" t="n">
        <v>45783</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21372-2025</t>
        </is>
      </c>
      <c r="B1958" s="1" t="n">
        <v>45782</v>
      </c>
      <c r="C1958" s="1" t="n">
        <v>45783</v>
      </c>
      <c r="D1958" t="inlineStr">
        <is>
          <t>JÄMTLANDS LÄN</t>
        </is>
      </c>
      <c r="E1958" t="inlineStr">
        <is>
          <t>RAGUNDA</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21405-2025</t>
        </is>
      </c>
      <c r="B1959" s="1" t="n">
        <v>45782</v>
      </c>
      <c r="C1959" s="1" t="n">
        <v>45783</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21406-2025</t>
        </is>
      </c>
      <c r="B1960" s="1" t="n">
        <v>45782</v>
      </c>
      <c r="C1960" s="1" t="n">
        <v>45783</v>
      </c>
      <c r="D1960" t="inlineStr">
        <is>
          <t>JÄMTLANDS LÄN</t>
        </is>
      </c>
      <c r="E1960" t="inlineStr">
        <is>
          <t>RAGUNDA</t>
        </is>
      </c>
      <c r="F1960" t="inlineStr">
        <is>
          <t>SCA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21430-2025</t>
        </is>
      </c>
      <c r="B1961" s="1" t="n">
        <v>45782</v>
      </c>
      <c r="C1961" s="1" t="n">
        <v>45783</v>
      </c>
      <c r="D1961" t="inlineStr">
        <is>
          <t>JÄMTLANDS LÄN</t>
        </is>
      </c>
      <c r="E1961" t="inlineStr">
        <is>
          <t>RAGUNDA</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21432-2025</t>
        </is>
      </c>
      <c r="B1962" s="1" t="n">
        <v>45782</v>
      </c>
      <c r="C1962" s="1" t="n">
        <v>45783</v>
      </c>
      <c r="D1962" t="inlineStr">
        <is>
          <t>JÄMTLANDS LÄN</t>
        </is>
      </c>
      <c r="E1962" t="inlineStr">
        <is>
          <t>RAGUNDA</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21451-2025</t>
        </is>
      </c>
      <c r="B1963" s="1" t="n">
        <v>45782</v>
      </c>
      <c r="C1963" s="1" t="n">
        <v>45783</v>
      </c>
      <c r="D1963" t="inlineStr">
        <is>
          <t>JÄMTLANDS LÄN</t>
        </is>
      </c>
      <c r="E1963" t="inlineStr">
        <is>
          <t>RAGUNDA</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45783</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c r="A1965" t="inlineStr">
        <is>
          <t>A 21550-2025</t>
        </is>
      </c>
      <c r="B1965" s="1" t="n">
        <v>45782</v>
      </c>
      <c r="C1965" s="1" t="n">
        <v>45783</v>
      </c>
      <c r="D1965" t="inlineStr">
        <is>
          <t>JÄMTLANDS LÄN</t>
        </is>
      </c>
      <c r="E1965" t="inlineStr">
        <is>
          <t>RAGUNDA</t>
        </is>
      </c>
      <c r="F1965" t="inlineStr">
        <is>
          <t>SCA</t>
        </is>
      </c>
      <c r="G1965" t="n">
        <v>1.3</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2025-05-06T17:21:04Z</dcterms:created>
  <dcterms:modified xmlns:dcterms="http://purl.org/dc/terms/" xmlns:xsi="http://www.w3.org/2001/XMLSchema-instance" xsi:type="dcterms:W3CDTF">2025-05-06T17:21:14Z</dcterms:modified>
</cp:coreProperties>
</file>