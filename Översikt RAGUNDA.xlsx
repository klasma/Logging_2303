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45360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45360</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45360</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45360</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45360</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45360</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45360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45360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45360</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45360</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45360</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45360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45360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45360</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45360</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45360</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45360</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45360</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45360</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45360</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45360</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45360</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45360</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45360</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45360</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45360</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45360</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45360</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45360</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45360</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45360</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45360</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45360</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45360</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45360</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45360</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45360</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45360</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45360</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45360</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45360</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45360</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45360</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45360</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45360</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45360</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45360</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45360</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45360</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45360</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45360</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45360</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45360</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45360</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45360</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45360</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45360</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45360</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45360</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45360</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45360</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45360</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45360</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45360</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45360</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9330-2024</t>
        </is>
      </c>
      <c r="B67" s="1" t="n">
        <v>45359</v>
      </c>
      <c r="C67" s="1" t="n">
        <v>45360</v>
      </c>
      <c r="D67" t="inlineStr">
        <is>
          <t>JÄMTLANDS LÄN</t>
        </is>
      </c>
      <c r="E67" t="inlineStr">
        <is>
          <t>RAGUNDA</t>
        </is>
      </c>
      <c r="F67" t="inlineStr">
        <is>
          <t>SCA</t>
        </is>
      </c>
      <c r="G67" t="n">
        <v>13</v>
      </c>
      <c r="H67" t="n">
        <v>0</v>
      </c>
      <c r="I67" t="n">
        <v>0</v>
      </c>
      <c r="J67" t="n">
        <v>3</v>
      </c>
      <c r="K67" t="n">
        <v>3</v>
      </c>
      <c r="L67" t="n">
        <v>0</v>
      </c>
      <c r="M67" t="n">
        <v>0</v>
      </c>
      <c r="N67" t="n">
        <v>0</v>
      </c>
      <c r="O67" t="n">
        <v>6</v>
      </c>
      <c r="P67" t="n">
        <v>3</v>
      </c>
      <c r="Q67" t="n">
        <v>6</v>
      </c>
      <c r="R67" s="2" t="inlineStr">
        <is>
          <t>Goliatmusseron
Smalfotad taggsvamp
Tajgataggsvamp
Kolflarnlav
Reliktbock
Vedskivlav</t>
        </is>
      </c>
      <c r="S67">
        <f>HYPERLINK("https://klasma.github.io/Logging_2303/artfynd/A 9330-2024 artfynd.xlsx", "A 9330-2024")</f>
        <v/>
      </c>
      <c r="T67">
        <f>HYPERLINK("https://klasma.github.io/Logging_2303/kartor/A 9330-2024 karta.png", "A 9330-2024")</f>
        <v/>
      </c>
      <c r="V67">
        <f>HYPERLINK("https://klasma.github.io/Logging_2303/klagomål/A 9330-2024 FSC-klagomål.docx", "A 9330-2024")</f>
        <v/>
      </c>
      <c r="W67">
        <f>HYPERLINK("https://klasma.github.io/Logging_2303/klagomålsmail/A 9330-2024 FSC-klagomål mail.docx", "A 9330-2024")</f>
        <v/>
      </c>
      <c r="X67">
        <f>HYPERLINK("https://klasma.github.io/Logging_2303/tillsyn/A 9330-2024 tillsynsbegäran.docx", "A 9330-2024")</f>
        <v/>
      </c>
      <c r="Y67">
        <f>HYPERLINK("https://klasma.github.io/Logging_2303/tillsynsmail/A 9330-2024 tillsynsbegäran mail.docx", "A 9330-2024")</f>
        <v/>
      </c>
    </row>
    <row r="68" ht="15" customHeight="1">
      <c r="A68" t="inlineStr">
        <is>
          <t>A 50987-2020</t>
        </is>
      </c>
      <c r="B68" s="1" t="n">
        <v>44111</v>
      </c>
      <c r="C68" s="1" t="n">
        <v>45360</v>
      </c>
      <c r="D68" t="inlineStr">
        <is>
          <t>JÄMTLANDS LÄN</t>
        </is>
      </c>
      <c r="E68" t="inlineStr">
        <is>
          <t>RAGUNDA</t>
        </is>
      </c>
      <c r="G68" t="n">
        <v>6.7</v>
      </c>
      <c r="H68" t="n">
        <v>1</v>
      </c>
      <c r="I68" t="n">
        <v>0</v>
      </c>
      <c r="J68" t="n">
        <v>3</v>
      </c>
      <c r="K68" t="n">
        <v>2</v>
      </c>
      <c r="L68" t="n">
        <v>0</v>
      </c>
      <c r="M68" t="n">
        <v>0</v>
      </c>
      <c r="N68" t="n">
        <v>0</v>
      </c>
      <c r="O68" t="n">
        <v>5</v>
      </c>
      <c r="P68" t="n">
        <v>2</v>
      </c>
      <c r="Q68" t="n">
        <v>5</v>
      </c>
      <c r="R68" s="2" t="inlineStr">
        <is>
          <t>Knärot
Norsk näverlav
Garnlav
Skrovellav
Vedtrappmossa</t>
        </is>
      </c>
      <c r="S68">
        <f>HYPERLINK("https://klasma.github.io/Logging_2303/artfynd/A 50987-2020 artfynd.xlsx", "A 50987-2020")</f>
        <v/>
      </c>
      <c r="T68">
        <f>HYPERLINK("https://klasma.github.io/Logging_2303/kartor/A 50987-2020 karta.png", "A 50987-2020")</f>
        <v/>
      </c>
      <c r="U68">
        <f>HYPERLINK("https://klasma.github.io/Logging_2303/knärot/A 50987-2020 karta knärot.png", "A 50987-2020")</f>
        <v/>
      </c>
      <c r="V68">
        <f>HYPERLINK("https://klasma.github.io/Logging_2303/klagomål/A 50987-2020 FSC-klagomål.docx", "A 50987-2020")</f>
        <v/>
      </c>
      <c r="W68">
        <f>HYPERLINK("https://klasma.github.io/Logging_2303/klagomålsmail/A 50987-2020 FSC-klagomål mail.docx", "A 50987-2020")</f>
        <v/>
      </c>
      <c r="X68">
        <f>HYPERLINK("https://klasma.github.io/Logging_2303/tillsyn/A 50987-2020 tillsynsbegäran.docx", "A 50987-2020")</f>
        <v/>
      </c>
      <c r="Y68">
        <f>HYPERLINK("https://klasma.github.io/Logging_2303/tillsynsmail/A 50987-2020 tillsynsbegäran mail.docx", "A 50987-2020")</f>
        <v/>
      </c>
    </row>
    <row r="69" ht="15" customHeight="1">
      <c r="A69" t="inlineStr">
        <is>
          <t>A 57197-2020</t>
        </is>
      </c>
      <c r="B69" s="1" t="n">
        <v>44139</v>
      </c>
      <c r="C69" s="1" t="n">
        <v>45360</v>
      </c>
      <c r="D69" t="inlineStr">
        <is>
          <t>JÄMTLANDS LÄN</t>
        </is>
      </c>
      <c r="E69" t="inlineStr">
        <is>
          <t>RAGUNDA</t>
        </is>
      </c>
      <c r="G69" t="n">
        <v>9.1</v>
      </c>
      <c r="H69" t="n">
        <v>2</v>
      </c>
      <c r="I69" t="n">
        <v>2</v>
      </c>
      <c r="J69" t="n">
        <v>3</v>
      </c>
      <c r="K69" t="n">
        <v>0</v>
      </c>
      <c r="L69" t="n">
        <v>0</v>
      </c>
      <c r="M69" t="n">
        <v>0</v>
      </c>
      <c r="N69" t="n">
        <v>0</v>
      </c>
      <c r="O69" t="n">
        <v>3</v>
      </c>
      <c r="P69" t="n">
        <v>0</v>
      </c>
      <c r="Q69" t="n">
        <v>5</v>
      </c>
      <c r="R69" s="2" t="inlineStr">
        <is>
          <t>Dvärgbägarlav
Kolflarnlav
Spillkråka
Dropptaggsvamp
Tvåblad</t>
        </is>
      </c>
      <c r="S69">
        <f>HYPERLINK("https://klasma.github.io/Logging_2303/artfynd/A 57197-2020 artfynd.xlsx", "A 57197-2020")</f>
        <v/>
      </c>
      <c r="T69">
        <f>HYPERLINK("https://klasma.github.io/Logging_2303/kartor/A 57197-2020 karta.png", "A 57197-2020")</f>
        <v/>
      </c>
      <c r="V69">
        <f>HYPERLINK("https://klasma.github.io/Logging_2303/klagomål/A 57197-2020 FSC-klagomål.docx", "A 57197-2020")</f>
        <v/>
      </c>
      <c r="W69">
        <f>HYPERLINK("https://klasma.github.io/Logging_2303/klagomålsmail/A 57197-2020 FSC-klagomål mail.docx", "A 57197-2020")</f>
        <v/>
      </c>
      <c r="X69">
        <f>HYPERLINK("https://klasma.github.io/Logging_2303/tillsyn/A 57197-2020 tillsynsbegäran.docx", "A 57197-2020")</f>
        <v/>
      </c>
      <c r="Y69">
        <f>HYPERLINK("https://klasma.github.io/Logging_2303/tillsynsmail/A 57197-2020 tillsynsbegäran mail.docx", "A 57197-2020")</f>
        <v/>
      </c>
      <c r="Z69">
        <f>HYPERLINK("https://klasma.github.io/Logging_2303/fåglar/A 57197-2020 prioriterade fågelarter.docx", "A 57197-2020")</f>
        <v/>
      </c>
    </row>
    <row r="70" ht="15" customHeight="1">
      <c r="A70" t="inlineStr">
        <is>
          <t>A 57718-2020</t>
        </is>
      </c>
      <c r="B70" s="1" t="n">
        <v>44140</v>
      </c>
      <c r="C70" s="1" t="n">
        <v>45360</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Lunglav
Ullticka
Korallblylav
Luddlav
Stuplav</t>
        </is>
      </c>
      <c r="S70">
        <f>HYPERLINK("https://klasma.github.io/Logging_2303/artfynd/A 57718-2020 artfynd.xlsx", "A 57718-2020")</f>
        <v/>
      </c>
      <c r="T70">
        <f>HYPERLINK("https://klasma.github.io/Logging_2303/kartor/A 57718-2020 karta.png", "A 57718-2020")</f>
        <v/>
      </c>
      <c r="V70">
        <f>HYPERLINK("https://klasma.github.io/Logging_2303/klagomål/A 57718-2020 FSC-klagomål.docx", "A 57718-2020")</f>
        <v/>
      </c>
      <c r="W70">
        <f>HYPERLINK("https://klasma.github.io/Logging_2303/klagomålsmail/A 57718-2020 FSC-klagomål mail.docx", "A 57718-2020")</f>
        <v/>
      </c>
      <c r="X70">
        <f>HYPERLINK("https://klasma.github.io/Logging_2303/tillsyn/A 57718-2020 tillsynsbegäran.docx", "A 57718-2020")</f>
        <v/>
      </c>
      <c r="Y70">
        <f>HYPERLINK("https://klasma.github.io/Logging_2303/tillsynsmail/A 57718-2020 tillsynsbegäran mail.docx", "A 57718-2020")</f>
        <v/>
      </c>
    </row>
    <row r="71" ht="15" customHeight="1">
      <c r="A71" t="inlineStr">
        <is>
          <t>A 13482-2022</t>
        </is>
      </c>
      <c r="B71" s="1" t="n">
        <v>44645</v>
      </c>
      <c r="C71" s="1" t="n">
        <v>45360</v>
      </c>
      <c r="D71" t="inlineStr">
        <is>
          <t>JÄMTLANDS LÄN</t>
        </is>
      </c>
      <c r="E71" t="inlineStr">
        <is>
          <t>RAGUNDA</t>
        </is>
      </c>
      <c r="F71" t="inlineStr">
        <is>
          <t>SCA</t>
        </is>
      </c>
      <c r="G71" t="n">
        <v>6.6</v>
      </c>
      <c r="H71" t="n">
        <v>0</v>
      </c>
      <c r="I71" t="n">
        <v>0</v>
      </c>
      <c r="J71" t="n">
        <v>5</v>
      </c>
      <c r="K71" t="n">
        <v>0</v>
      </c>
      <c r="L71" t="n">
        <v>0</v>
      </c>
      <c r="M71" t="n">
        <v>0</v>
      </c>
      <c r="N71" t="n">
        <v>0</v>
      </c>
      <c r="O71" t="n">
        <v>5</v>
      </c>
      <c r="P71" t="n">
        <v>0</v>
      </c>
      <c r="Q71" t="n">
        <v>5</v>
      </c>
      <c r="R71" s="2" t="inlineStr">
        <is>
          <t>Dvärgbägarlav
Garnlav
Lunglav
Mörk kolflarnlav
Vedskivlav</t>
        </is>
      </c>
      <c r="S71">
        <f>HYPERLINK("https://klasma.github.io/Logging_2303/artfynd/A 13482-2022 artfynd.xlsx", "A 13482-2022")</f>
        <v/>
      </c>
      <c r="T71">
        <f>HYPERLINK("https://klasma.github.io/Logging_2303/kartor/A 13482-2022 karta.png", "A 13482-2022")</f>
        <v/>
      </c>
      <c r="U71">
        <f>HYPERLINK("https://klasma.github.io/Logging_2303/knärot/A 13482-2022 karta knärot.png", "A 13482-2022")</f>
        <v/>
      </c>
      <c r="V71">
        <f>HYPERLINK("https://klasma.github.io/Logging_2303/klagomål/A 13482-2022 FSC-klagomål.docx", "A 13482-2022")</f>
        <v/>
      </c>
      <c r="W71">
        <f>HYPERLINK("https://klasma.github.io/Logging_2303/klagomålsmail/A 13482-2022 FSC-klagomål mail.docx", "A 13482-2022")</f>
        <v/>
      </c>
      <c r="X71">
        <f>HYPERLINK("https://klasma.github.io/Logging_2303/tillsyn/A 13482-2022 tillsynsbegäran.docx", "A 13482-2022")</f>
        <v/>
      </c>
      <c r="Y71">
        <f>HYPERLINK("https://klasma.github.io/Logging_2303/tillsynsmail/A 13482-2022 tillsynsbegäran mail.docx", "A 13482-2022")</f>
        <v/>
      </c>
    </row>
    <row r="72" ht="15" customHeight="1">
      <c r="A72" t="inlineStr">
        <is>
          <t>A 14908-2022</t>
        </is>
      </c>
      <c r="B72" s="1" t="n">
        <v>44656</v>
      </c>
      <c r="C72" s="1" t="n">
        <v>45360</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26143-2022</t>
        </is>
      </c>
      <c r="B73" s="1" t="n">
        <v>44734</v>
      </c>
      <c r="C73" s="1" t="n">
        <v>45360</v>
      </c>
      <c r="D73" t="inlineStr">
        <is>
          <t>JÄMTLANDS LÄN</t>
        </is>
      </c>
      <c r="E73" t="inlineStr">
        <is>
          <t>RAGUNDA</t>
        </is>
      </c>
      <c r="F73" t="inlineStr">
        <is>
          <t>SCA</t>
        </is>
      </c>
      <c r="G73" t="n">
        <v>4.4</v>
      </c>
      <c r="H73" t="n">
        <v>0</v>
      </c>
      <c r="I73" t="n">
        <v>2</v>
      </c>
      <c r="J73" t="n">
        <v>2</v>
      </c>
      <c r="K73" t="n">
        <v>1</v>
      </c>
      <c r="L73" t="n">
        <v>0</v>
      </c>
      <c r="M73" t="n">
        <v>0</v>
      </c>
      <c r="N73" t="n">
        <v>0</v>
      </c>
      <c r="O73" t="n">
        <v>3</v>
      </c>
      <c r="P73" t="n">
        <v>1</v>
      </c>
      <c r="Q73" t="n">
        <v>5</v>
      </c>
      <c r="R73" s="2" t="inlineStr">
        <is>
          <t>Gräddporing
Kolflarnlav
Lunglav
Dropptaggsvamp
Skinnlav</t>
        </is>
      </c>
      <c r="S73">
        <f>HYPERLINK("https://klasma.github.io/Logging_2303/artfynd/A 26143-2022 artfynd.xlsx", "A 26143-2022")</f>
        <v/>
      </c>
      <c r="T73">
        <f>HYPERLINK("https://klasma.github.io/Logging_2303/kartor/A 26143-2022 karta.png", "A 26143-2022")</f>
        <v/>
      </c>
      <c r="V73">
        <f>HYPERLINK("https://klasma.github.io/Logging_2303/klagomål/A 26143-2022 FSC-klagomål.docx", "A 26143-2022")</f>
        <v/>
      </c>
      <c r="W73">
        <f>HYPERLINK("https://klasma.github.io/Logging_2303/klagomålsmail/A 26143-2022 FSC-klagomål mail.docx", "A 26143-2022")</f>
        <v/>
      </c>
      <c r="X73">
        <f>HYPERLINK("https://klasma.github.io/Logging_2303/tillsyn/A 26143-2022 tillsynsbegäran.docx", "A 26143-2022")</f>
        <v/>
      </c>
      <c r="Y73">
        <f>HYPERLINK("https://klasma.github.io/Logging_2303/tillsynsmail/A 26143-2022 tillsynsbegäran mail.docx", "A 26143-2022")</f>
        <v/>
      </c>
    </row>
    <row r="74" ht="15" customHeight="1">
      <c r="A74" t="inlineStr">
        <is>
          <t>A 50340-2022</t>
        </is>
      </c>
      <c r="B74" s="1" t="n">
        <v>44865</v>
      </c>
      <c r="C74" s="1" t="n">
        <v>45360</v>
      </c>
      <c r="D74" t="inlineStr">
        <is>
          <t>JÄMTLANDS LÄN</t>
        </is>
      </c>
      <c r="E74" t="inlineStr">
        <is>
          <t>RAGUNDA</t>
        </is>
      </c>
      <c r="F74" t="inlineStr">
        <is>
          <t>SCA</t>
        </is>
      </c>
      <c r="G74" t="n">
        <v>12.8</v>
      </c>
      <c r="H74" t="n">
        <v>0</v>
      </c>
      <c r="I74" t="n">
        <v>1</v>
      </c>
      <c r="J74" t="n">
        <v>4</v>
      </c>
      <c r="K74" t="n">
        <v>0</v>
      </c>
      <c r="L74" t="n">
        <v>0</v>
      </c>
      <c r="M74" t="n">
        <v>0</v>
      </c>
      <c r="N74" t="n">
        <v>0</v>
      </c>
      <c r="O74" t="n">
        <v>4</v>
      </c>
      <c r="P74" t="n">
        <v>0</v>
      </c>
      <c r="Q74" t="n">
        <v>5</v>
      </c>
      <c r="R74" s="2" t="inlineStr">
        <is>
          <t>Gammelgransskål
Garnlav
Kolflarnlav
Lunglav
Stor aspticka</t>
        </is>
      </c>
      <c r="S74">
        <f>HYPERLINK("https://klasma.github.io/Logging_2303/artfynd/A 50340-2022 artfynd.xlsx", "A 50340-2022")</f>
        <v/>
      </c>
      <c r="T74">
        <f>HYPERLINK("https://klasma.github.io/Logging_2303/kartor/A 50340-2022 karta.png", "A 50340-2022")</f>
        <v/>
      </c>
      <c r="V74">
        <f>HYPERLINK("https://klasma.github.io/Logging_2303/klagomål/A 50340-2022 FSC-klagomål.docx", "A 50340-2022")</f>
        <v/>
      </c>
      <c r="W74">
        <f>HYPERLINK("https://klasma.github.io/Logging_2303/klagomålsmail/A 50340-2022 FSC-klagomål mail.docx", "A 50340-2022")</f>
        <v/>
      </c>
      <c r="X74">
        <f>HYPERLINK("https://klasma.github.io/Logging_2303/tillsyn/A 50340-2022 tillsynsbegäran.docx", "A 50340-2022")</f>
        <v/>
      </c>
      <c r="Y74">
        <f>HYPERLINK("https://klasma.github.io/Logging_2303/tillsynsmail/A 50340-2022 tillsynsbegäran mail.docx", "A 50340-2022")</f>
        <v/>
      </c>
    </row>
    <row r="75" ht="15" customHeight="1">
      <c r="A75" t="inlineStr">
        <is>
          <t>A 60683-2022</t>
        </is>
      </c>
      <c r="B75" s="1" t="n">
        <v>44911</v>
      </c>
      <c r="C75" s="1" t="n">
        <v>45360</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13266-2023</t>
        </is>
      </c>
      <c r="B76" s="1" t="n">
        <v>45002</v>
      </c>
      <c r="C76" s="1" t="n">
        <v>45360</v>
      </c>
      <c r="D76" t="inlineStr">
        <is>
          <t>JÄMTLANDS LÄN</t>
        </is>
      </c>
      <c r="E76" t="inlineStr">
        <is>
          <t>RAGUNDA</t>
        </is>
      </c>
      <c r="F76" t="inlineStr">
        <is>
          <t>SCA</t>
        </is>
      </c>
      <c r="G76" t="n">
        <v>4.1</v>
      </c>
      <c r="H76" t="n">
        <v>1</v>
      </c>
      <c r="I76" t="n">
        <v>0</v>
      </c>
      <c r="J76" t="n">
        <v>4</v>
      </c>
      <c r="K76" t="n">
        <v>0</v>
      </c>
      <c r="L76" t="n">
        <v>0</v>
      </c>
      <c r="M76" t="n">
        <v>0</v>
      </c>
      <c r="N76" t="n">
        <v>0</v>
      </c>
      <c r="O76" t="n">
        <v>4</v>
      </c>
      <c r="P76" t="n">
        <v>0</v>
      </c>
      <c r="Q76" t="n">
        <v>5</v>
      </c>
      <c r="R76" s="2" t="inlineStr">
        <is>
          <t>Gammelgransskål
Garnlav
Granticka
Lunglav
Revlummer</t>
        </is>
      </c>
      <c r="S76">
        <f>HYPERLINK("https://klasma.github.io/Logging_2303/artfynd/A 13266-2023 artfynd.xlsx", "A 13266-2023")</f>
        <v/>
      </c>
      <c r="T76">
        <f>HYPERLINK("https://klasma.github.io/Logging_2303/kartor/A 13266-2023 karta.png", "A 13266-2023")</f>
        <v/>
      </c>
      <c r="V76">
        <f>HYPERLINK("https://klasma.github.io/Logging_2303/klagomål/A 13266-2023 FSC-klagomål.docx", "A 13266-2023")</f>
        <v/>
      </c>
      <c r="W76">
        <f>HYPERLINK("https://klasma.github.io/Logging_2303/klagomålsmail/A 13266-2023 FSC-klagomål mail.docx", "A 13266-2023")</f>
        <v/>
      </c>
      <c r="X76">
        <f>HYPERLINK("https://klasma.github.io/Logging_2303/tillsyn/A 13266-2023 tillsynsbegäran.docx", "A 13266-2023")</f>
        <v/>
      </c>
      <c r="Y76">
        <f>HYPERLINK("https://klasma.github.io/Logging_2303/tillsynsmail/A 13266-2023 tillsynsbegäran mail.docx", "A 13266-2023")</f>
        <v/>
      </c>
    </row>
    <row r="77" ht="15" customHeight="1">
      <c r="A77" t="inlineStr">
        <is>
          <t>A 43106-2023</t>
        </is>
      </c>
      <c r="B77" s="1" t="n">
        <v>45182</v>
      </c>
      <c r="C77" s="1" t="n">
        <v>45360</v>
      </c>
      <c r="D77" t="inlineStr">
        <is>
          <t>JÄMTLANDS LÄN</t>
        </is>
      </c>
      <c r="E77" t="inlineStr">
        <is>
          <t>RAGUNDA</t>
        </is>
      </c>
      <c r="F77" t="inlineStr">
        <is>
          <t>SCA</t>
        </is>
      </c>
      <c r="G77" t="n">
        <v>7.6</v>
      </c>
      <c r="H77" t="n">
        <v>0</v>
      </c>
      <c r="I77" t="n">
        <v>0</v>
      </c>
      <c r="J77" t="n">
        <v>5</v>
      </c>
      <c r="K77" t="n">
        <v>0</v>
      </c>
      <c r="L77" t="n">
        <v>0</v>
      </c>
      <c r="M77" t="n">
        <v>0</v>
      </c>
      <c r="N77" t="n">
        <v>0</v>
      </c>
      <c r="O77" t="n">
        <v>5</v>
      </c>
      <c r="P77" t="n">
        <v>0</v>
      </c>
      <c r="Q77" t="n">
        <v>5</v>
      </c>
      <c r="R77" s="2" t="inlineStr">
        <is>
          <t>Blanksvart spiklav
Blågrå svartspik
Harticka
Rosenticka
Ullticka</t>
        </is>
      </c>
      <c r="S77">
        <f>HYPERLINK("https://klasma.github.io/Logging_2303/artfynd/A 43106-2023 artfynd.xlsx", "A 43106-2023")</f>
        <v/>
      </c>
      <c r="T77">
        <f>HYPERLINK("https://klasma.github.io/Logging_2303/kartor/A 43106-2023 karta.png", "A 43106-2023")</f>
        <v/>
      </c>
      <c r="V77">
        <f>HYPERLINK("https://klasma.github.io/Logging_2303/klagomål/A 43106-2023 FSC-klagomål.docx", "A 43106-2023")</f>
        <v/>
      </c>
      <c r="W77">
        <f>HYPERLINK("https://klasma.github.io/Logging_2303/klagomålsmail/A 43106-2023 FSC-klagomål mail.docx", "A 43106-2023")</f>
        <v/>
      </c>
      <c r="X77">
        <f>HYPERLINK("https://klasma.github.io/Logging_2303/tillsyn/A 43106-2023 tillsynsbegäran.docx", "A 43106-2023")</f>
        <v/>
      </c>
      <c r="Y77">
        <f>HYPERLINK("https://klasma.github.io/Logging_2303/tillsynsmail/A 43106-2023 tillsynsbegäran mail.docx", "A 43106-2023")</f>
        <v/>
      </c>
    </row>
    <row r="78" ht="15" customHeight="1">
      <c r="A78" t="inlineStr">
        <is>
          <t>A 45969-2023</t>
        </is>
      </c>
      <c r="B78" s="1" t="n">
        <v>45195</v>
      </c>
      <c r="C78" s="1" t="n">
        <v>45360</v>
      </c>
      <c r="D78" t="inlineStr">
        <is>
          <t>JÄMTLANDS LÄN</t>
        </is>
      </c>
      <c r="E78" t="inlineStr">
        <is>
          <t>RAGUNDA</t>
        </is>
      </c>
      <c r="F78" t="inlineStr">
        <is>
          <t>SCA</t>
        </is>
      </c>
      <c r="G78" t="n">
        <v>9.300000000000001</v>
      </c>
      <c r="H78" t="n">
        <v>1</v>
      </c>
      <c r="I78" t="n">
        <v>4</v>
      </c>
      <c r="J78" t="n">
        <v>1</v>
      </c>
      <c r="K78" t="n">
        <v>0</v>
      </c>
      <c r="L78" t="n">
        <v>0</v>
      </c>
      <c r="M78" t="n">
        <v>0</v>
      </c>
      <c r="N78" t="n">
        <v>0</v>
      </c>
      <c r="O78" t="n">
        <v>1</v>
      </c>
      <c r="P78" t="n">
        <v>0</v>
      </c>
      <c r="Q78" t="n">
        <v>5</v>
      </c>
      <c r="R78" s="2" t="inlineStr">
        <is>
          <t>Lunglav
Dropptaggsvamp
Grönpyrola
Plattlummer
Skarp dropptaggsvamp</t>
        </is>
      </c>
      <c r="S78">
        <f>HYPERLINK("https://klasma.github.io/Logging_2303/artfynd/A 45969-2023 artfynd.xlsx", "A 45969-2023")</f>
        <v/>
      </c>
      <c r="T78">
        <f>HYPERLINK("https://klasma.github.io/Logging_2303/kartor/A 45969-2023 karta.png", "A 45969-2023")</f>
        <v/>
      </c>
      <c r="V78">
        <f>HYPERLINK("https://klasma.github.io/Logging_2303/klagomål/A 45969-2023 FSC-klagomål.docx", "A 45969-2023")</f>
        <v/>
      </c>
      <c r="W78">
        <f>HYPERLINK("https://klasma.github.io/Logging_2303/klagomålsmail/A 45969-2023 FSC-klagomål mail.docx", "A 45969-2023")</f>
        <v/>
      </c>
      <c r="X78">
        <f>HYPERLINK("https://klasma.github.io/Logging_2303/tillsyn/A 45969-2023 tillsynsbegäran.docx", "A 45969-2023")</f>
        <v/>
      </c>
      <c r="Y78">
        <f>HYPERLINK("https://klasma.github.io/Logging_2303/tillsynsmail/A 45969-2023 tillsynsbegäran mail.docx", "A 45969-2023")</f>
        <v/>
      </c>
    </row>
    <row r="79" ht="15" customHeight="1">
      <c r="A79" t="inlineStr">
        <is>
          <t>A 51032-2023</t>
        </is>
      </c>
      <c r="B79" s="1" t="n">
        <v>45218</v>
      </c>
      <c r="C79" s="1" t="n">
        <v>45360</v>
      </c>
      <c r="D79" t="inlineStr">
        <is>
          <t>JÄMTLANDS LÄN</t>
        </is>
      </c>
      <c r="E79" t="inlineStr">
        <is>
          <t>RAGUNDA</t>
        </is>
      </c>
      <c r="G79" t="n">
        <v>3.5</v>
      </c>
      <c r="H79" t="n">
        <v>3</v>
      </c>
      <c r="I79" t="n">
        <v>3</v>
      </c>
      <c r="J79" t="n">
        <v>1</v>
      </c>
      <c r="K79" t="n">
        <v>0</v>
      </c>
      <c r="L79" t="n">
        <v>0</v>
      </c>
      <c r="M79" t="n">
        <v>0</v>
      </c>
      <c r="N79" t="n">
        <v>0</v>
      </c>
      <c r="O79" t="n">
        <v>1</v>
      </c>
      <c r="P79" t="n">
        <v>0</v>
      </c>
      <c r="Q79" t="n">
        <v>5</v>
      </c>
      <c r="R79" s="2" t="inlineStr">
        <is>
          <t>Gultoppig fingersvamp
Grönkulla
Svart trolldruva
Tvåblad
Blåsippa</t>
        </is>
      </c>
      <c r="S79">
        <f>HYPERLINK("https://klasma.github.io/Logging_2303/artfynd/A 51032-2023 artfynd.xlsx", "A 51032-2023")</f>
        <v/>
      </c>
      <c r="T79">
        <f>HYPERLINK("https://klasma.github.io/Logging_2303/kartor/A 51032-2023 karta.png", "A 51032-2023")</f>
        <v/>
      </c>
      <c r="V79">
        <f>HYPERLINK("https://klasma.github.io/Logging_2303/klagomål/A 51032-2023 FSC-klagomål.docx", "A 51032-2023")</f>
        <v/>
      </c>
      <c r="W79">
        <f>HYPERLINK("https://klasma.github.io/Logging_2303/klagomålsmail/A 51032-2023 FSC-klagomål mail.docx", "A 51032-2023")</f>
        <v/>
      </c>
      <c r="X79">
        <f>HYPERLINK("https://klasma.github.io/Logging_2303/tillsyn/A 51032-2023 tillsynsbegäran.docx", "A 51032-2023")</f>
        <v/>
      </c>
      <c r="Y79">
        <f>HYPERLINK("https://klasma.github.io/Logging_2303/tillsynsmail/A 51032-2023 tillsynsbegäran mail.docx", "A 51032-2023")</f>
        <v/>
      </c>
    </row>
    <row r="80" ht="15" customHeight="1">
      <c r="A80" t="inlineStr">
        <is>
          <t>A 2249-2024</t>
        </is>
      </c>
      <c r="B80" s="1" t="n">
        <v>45309</v>
      </c>
      <c r="C80" s="1" t="n">
        <v>45360</v>
      </c>
      <c r="D80" t="inlineStr">
        <is>
          <t>JÄMTLANDS LÄN</t>
        </is>
      </c>
      <c r="E80" t="inlineStr">
        <is>
          <t>RAGUNDA</t>
        </is>
      </c>
      <c r="G80" t="n">
        <v>4.9</v>
      </c>
      <c r="H80" t="n">
        <v>0</v>
      </c>
      <c r="I80" t="n">
        <v>3</v>
      </c>
      <c r="J80" t="n">
        <v>2</v>
      </c>
      <c r="K80" t="n">
        <v>0</v>
      </c>
      <c r="L80" t="n">
        <v>0</v>
      </c>
      <c r="M80" t="n">
        <v>0</v>
      </c>
      <c r="N80" t="n">
        <v>0</v>
      </c>
      <c r="O80" t="n">
        <v>2</v>
      </c>
      <c r="P80" t="n">
        <v>0</v>
      </c>
      <c r="Q80" t="n">
        <v>5</v>
      </c>
      <c r="R80" s="2" t="inlineStr">
        <is>
          <t>Lunglav
Äggvaxskivling
Bollvitmossa
Bårdlav
Stuplav</t>
        </is>
      </c>
      <c r="S80">
        <f>HYPERLINK("https://klasma.github.io/Logging_2303/artfynd/A 2249-2024 artfynd.xlsx", "A 2249-2024")</f>
        <v/>
      </c>
      <c r="T80">
        <f>HYPERLINK("https://klasma.github.io/Logging_2303/kartor/A 2249-2024 karta.png", "A 2249-2024")</f>
        <v/>
      </c>
      <c r="V80">
        <f>HYPERLINK("https://klasma.github.io/Logging_2303/klagomål/A 2249-2024 FSC-klagomål.docx", "A 2249-2024")</f>
        <v/>
      </c>
      <c r="W80">
        <f>HYPERLINK("https://klasma.github.io/Logging_2303/klagomålsmail/A 2249-2024 FSC-klagomål mail.docx", "A 2249-2024")</f>
        <v/>
      </c>
      <c r="X80">
        <f>HYPERLINK("https://klasma.github.io/Logging_2303/tillsyn/A 2249-2024 tillsynsbegäran.docx", "A 2249-2024")</f>
        <v/>
      </c>
      <c r="Y80">
        <f>HYPERLINK("https://klasma.github.io/Logging_2303/tillsynsmail/A 2249-2024 tillsynsbegäran mail.docx", "A 2249-2024")</f>
        <v/>
      </c>
    </row>
    <row r="81" ht="15" customHeight="1">
      <c r="A81" t="inlineStr">
        <is>
          <t>A 51686-2020</t>
        </is>
      </c>
      <c r="B81" s="1" t="n">
        <v>44113</v>
      </c>
      <c r="C81" s="1" t="n">
        <v>45360</v>
      </c>
      <c r="D81" t="inlineStr">
        <is>
          <t>JÄMTLANDS LÄN</t>
        </is>
      </c>
      <c r="E81" t="inlineStr">
        <is>
          <t>RAGUNDA</t>
        </is>
      </c>
      <c r="F81" t="inlineStr">
        <is>
          <t>SCA</t>
        </is>
      </c>
      <c r="G81" t="n">
        <v>1.8</v>
      </c>
      <c r="H81" t="n">
        <v>0</v>
      </c>
      <c r="I81" t="n">
        <v>1</v>
      </c>
      <c r="J81" t="n">
        <v>3</v>
      </c>
      <c r="K81" t="n">
        <v>0</v>
      </c>
      <c r="L81" t="n">
        <v>0</v>
      </c>
      <c r="M81" t="n">
        <v>0</v>
      </c>
      <c r="N81" t="n">
        <v>0</v>
      </c>
      <c r="O81" t="n">
        <v>3</v>
      </c>
      <c r="P81" t="n">
        <v>0</v>
      </c>
      <c r="Q81" t="n">
        <v>4</v>
      </c>
      <c r="R81" s="2" t="inlineStr">
        <is>
          <t>Kolflarnlav
Lunglav
Skrovellav
Stuplav</t>
        </is>
      </c>
      <c r="S81">
        <f>HYPERLINK("https://klasma.github.io/Logging_2303/artfynd/A 51686-2020 artfynd.xlsx", "A 51686-2020")</f>
        <v/>
      </c>
      <c r="T81">
        <f>HYPERLINK("https://klasma.github.io/Logging_2303/kartor/A 51686-2020 karta.png", "A 51686-2020")</f>
        <v/>
      </c>
      <c r="V81">
        <f>HYPERLINK("https://klasma.github.io/Logging_2303/klagomål/A 51686-2020 FSC-klagomål.docx", "A 51686-2020")</f>
        <v/>
      </c>
      <c r="W81">
        <f>HYPERLINK("https://klasma.github.io/Logging_2303/klagomålsmail/A 51686-2020 FSC-klagomål mail.docx", "A 51686-2020")</f>
        <v/>
      </c>
      <c r="X81">
        <f>HYPERLINK("https://klasma.github.io/Logging_2303/tillsyn/A 51686-2020 tillsynsbegäran.docx", "A 51686-2020")</f>
        <v/>
      </c>
      <c r="Y81">
        <f>HYPERLINK("https://klasma.github.io/Logging_2303/tillsynsmail/A 51686-2020 tillsynsbegäran mail.docx", "A 51686-2020")</f>
        <v/>
      </c>
    </row>
    <row r="82" ht="15" customHeight="1">
      <c r="A82" t="inlineStr">
        <is>
          <t>A 8636-2021</t>
        </is>
      </c>
      <c r="B82" s="1" t="n">
        <v>44245</v>
      </c>
      <c r="C82" s="1" t="n">
        <v>45360</v>
      </c>
      <c r="D82" t="inlineStr">
        <is>
          <t>JÄMTLANDS LÄN</t>
        </is>
      </c>
      <c r="E82" t="inlineStr">
        <is>
          <t>RAGUNDA</t>
        </is>
      </c>
      <c r="F82" t="inlineStr">
        <is>
          <t>SCA</t>
        </is>
      </c>
      <c r="G82" t="n">
        <v>6.9</v>
      </c>
      <c r="H82" t="n">
        <v>0</v>
      </c>
      <c r="I82" t="n">
        <v>3</v>
      </c>
      <c r="J82" t="n">
        <v>1</v>
      </c>
      <c r="K82" t="n">
        <v>0</v>
      </c>
      <c r="L82" t="n">
        <v>0</v>
      </c>
      <c r="M82" t="n">
        <v>0</v>
      </c>
      <c r="N82" t="n">
        <v>0</v>
      </c>
      <c r="O82" t="n">
        <v>1</v>
      </c>
      <c r="P82" t="n">
        <v>0</v>
      </c>
      <c r="Q82" t="n">
        <v>4</v>
      </c>
      <c r="R82" s="2" t="inlineStr">
        <is>
          <t>Lunglav
Luddlav
Skinnlav
Stuplav</t>
        </is>
      </c>
      <c r="S82">
        <f>HYPERLINK("https://klasma.github.io/Logging_2303/artfynd/A 8636-2021 artfynd.xlsx", "A 8636-2021")</f>
        <v/>
      </c>
      <c r="T82">
        <f>HYPERLINK("https://klasma.github.io/Logging_2303/kartor/A 8636-2021 karta.png", "A 8636-2021")</f>
        <v/>
      </c>
      <c r="V82">
        <f>HYPERLINK("https://klasma.github.io/Logging_2303/klagomål/A 8636-2021 FSC-klagomål.docx", "A 8636-2021")</f>
        <v/>
      </c>
      <c r="W82">
        <f>HYPERLINK("https://klasma.github.io/Logging_2303/klagomålsmail/A 8636-2021 FSC-klagomål mail.docx", "A 8636-2021")</f>
        <v/>
      </c>
      <c r="X82">
        <f>HYPERLINK("https://klasma.github.io/Logging_2303/tillsyn/A 8636-2021 tillsynsbegäran.docx", "A 8636-2021")</f>
        <v/>
      </c>
      <c r="Y82">
        <f>HYPERLINK("https://klasma.github.io/Logging_2303/tillsynsmail/A 8636-2021 tillsynsbegäran mail.docx", "A 8636-2021")</f>
        <v/>
      </c>
    </row>
    <row r="83" ht="15" customHeight="1">
      <c r="A83" t="inlineStr">
        <is>
          <t>A 23682-2021</t>
        </is>
      </c>
      <c r="B83" s="1" t="n">
        <v>44334</v>
      </c>
      <c r="C83" s="1" t="n">
        <v>45360</v>
      </c>
      <c r="D83" t="inlineStr">
        <is>
          <t>JÄMTLANDS LÄN</t>
        </is>
      </c>
      <c r="E83" t="inlineStr">
        <is>
          <t>RAGUNDA</t>
        </is>
      </c>
      <c r="G83" t="n">
        <v>9.199999999999999</v>
      </c>
      <c r="H83" t="n">
        <v>1</v>
      </c>
      <c r="I83" t="n">
        <v>0</v>
      </c>
      <c r="J83" t="n">
        <v>3</v>
      </c>
      <c r="K83" t="n">
        <v>1</v>
      </c>
      <c r="L83" t="n">
        <v>0</v>
      </c>
      <c r="M83" t="n">
        <v>0</v>
      </c>
      <c r="N83" t="n">
        <v>0</v>
      </c>
      <c r="O83" t="n">
        <v>4</v>
      </c>
      <c r="P83" t="n">
        <v>1</v>
      </c>
      <c r="Q83" t="n">
        <v>4</v>
      </c>
      <c r="R83" s="2" t="inlineStr">
        <is>
          <t>Knärot
Garnlav
Lunglav
Rosenticka</t>
        </is>
      </c>
      <c r="S83">
        <f>HYPERLINK("https://klasma.github.io/Logging_2303/artfynd/A 23682-2021 artfynd.xlsx", "A 23682-2021")</f>
        <v/>
      </c>
      <c r="T83">
        <f>HYPERLINK("https://klasma.github.io/Logging_2303/kartor/A 23682-2021 karta.png", "A 23682-2021")</f>
        <v/>
      </c>
      <c r="U83">
        <f>HYPERLINK("https://klasma.github.io/Logging_2303/knärot/A 23682-2021 karta knärot.png", "A 23682-2021")</f>
        <v/>
      </c>
      <c r="V83">
        <f>HYPERLINK("https://klasma.github.io/Logging_2303/klagomål/A 23682-2021 FSC-klagomål.docx", "A 23682-2021")</f>
        <v/>
      </c>
      <c r="W83">
        <f>HYPERLINK("https://klasma.github.io/Logging_2303/klagomålsmail/A 23682-2021 FSC-klagomål mail.docx", "A 23682-2021")</f>
        <v/>
      </c>
      <c r="X83">
        <f>HYPERLINK("https://klasma.github.io/Logging_2303/tillsyn/A 23682-2021 tillsynsbegäran.docx", "A 23682-2021")</f>
        <v/>
      </c>
      <c r="Y83">
        <f>HYPERLINK("https://klasma.github.io/Logging_2303/tillsynsmail/A 23682-2021 tillsynsbegäran mail.docx", "A 23682-2021")</f>
        <v/>
      </c>
    </row>
    <row r="84" ht="15" customHeight="1">
      <c r="A84" t="inlineStr">
        <is>
          <t>A 23676-2021</t>
        </is>
      </c>
      <c r="B84" s="1" t="n">
        <v>44334</v>
      </c>
      <c r="C84" s="1" t="n">
        <v>45360</v>
      </c>
      <c r="D84" t="inlineStr">
        <is>
          <t>JÄMTLANDS LÄN</t>
        </is>
      </c>
      <c r="E84" t="inlineStr">
        <is>
          <t>RAGUNDA</t>
        </is>
      </c>
      <c r="G84" t="n">
        <v>8.5</v>
      </c>
      <c r="H84" t="n">
        <v>1</v>
      </c>
      <c r="I84" t="n">
        <v>1</v>
      </c>
      <c r="J84" t="n">
        <v>3</v>
      </c>
      <c r="K84" t="n">
        <v>0</v>
      </c>
      <c r="L84" t="n">
        <v>0</v>
      </c>
      <c r="M84" t="n">
        <v>0</v>
      </c>
      <c r="N84" t="n">
        <v>0</v>
      </c>
      <c r="O84" t="n">
        <v>3</v>
      </c>
      <c r="P84" t="n">
        <v>0</v>
      </c>
      <c r="Q84" t="n">
        <v>4</v>
      </c>
      <c r="R84" s="2" t="inlineStr">
        <is>
          <t>Lunglav
Rosenticka
Tretåig hackspett
Strutbräken</t>
        </is>
      </c>
      <c r="S84">
        <f>HYPERLINK("https://klasma.github.io/Logging_2303/artfynd/A 23676-2021 artfynd.xlsx", "A 23676-2021")</f>
        <v/>
      </c>
      <c r="T84">
        <f>HYPERLINK("https://klasma.github.io/Logging_2303/kartor/A 23676-2021 karta.png", "A 23676-2021")</f>
        <v/>
      </c>
      <c r="V84">
        <f>HYPERLINK("https://klasma.github.io/Logging_2303/klagomål/A 23676-2021 FSC-klagomål.docx", "A 23676-2021")</f>
        <v/>
      </c>
      <c r="W84">
        <f>HYPERLINK("https://klasma.github.io/Logging_2303/klagomålsmail/A 23676-2021 FSC-klagomål mail.docx", "A 23676-2021")</f>
        <v/>
      </c>
      <c r="X84">
        <f>HYPERLINK("https://klasma.github.io/Logging_2303/tillsyn/A 23676-2021 tillsynsbegäran.docx", "A 23676-2021")</f>
        <v/>
      </c>
      <c r="Y84">
        <f>HYPERLINK("https://klasma.github.io/Logging_2303/tillsynsmail/A 23676-2021 tillsynsbegäran mail.docx", "A 23676-2021")</f>
        <v/>
      </c>
      <c r="Z84">
        <f>HYPERLINK("https://klasma.github.io/Logging_2303/fåglar/A 23676-2021 prioriterade fågelarter.docx", "A 23676-2021")</f>
        <v/>
      </c>
    </row>
    <row r="85" ht="15" customHeight="1">
      <c r="A85" t="inlineStr">
        <is>
          <t>A 23663-2021</t>
        </is>
      </c>
      <c r="B85" s="1" t="n">
        <v>44334</v>
      </c>
      <c r="C85" s="1" t="n">
        <v>45360</v>
      </c>
      <c r="D85" t="inlineStr">
        <is>
          <t>JÄMTLANDS LÄN</t>
        </is>
      </c>
      <c r="E85" t="inlineStr">
        <is>
          <t>RAGUNDA</t>
        </is>
      </c>
      <c r="G85" t="n">
        <v>9.199999999999999</v>
      </c>
      <c r="H85" t="n">
        <v>1</v>
      </c>
      <c r="I85" t="n">
        <v>0</v>
      </c>
      <c r="J85" t="n">
        <v>3</v>
      </c>
      <c r="K85" t="n">
        <v>1</v>
      </c>
      <c r="L85" t="n">
        <v>0</v>
      </c>
      <c r="M85" t="n">
        <v>0</v>
      </c>
      <c r="N85" t="n">
        <v>0</v>
      </c>
      <c r="O85" t="n">
        <v>4</v>
      </c>
      <c r="P85" t="n">
        <v>1</v>
      </c>
      <c r="Q85" t="n">
        <v>4</v>
      </c>
      <c r="R85" s="2" t="inlineStr">
        <is>
          <t>Knärot
Garnlav
Lunglav
Rosenticka</t>
        </is>
      </c>
      <c r="S85">
        <f>HYPERLINK("https://klasma.github.io/Logging_2303/artfynd/A 23663-2021 artfynd.xlsx", "A 23663-2021")</f>
        <v/>
      </c>
      <c r="T85">
        <f>HYPERLINK("https://klasma.github.io/Logging_2303/kartor/A 23663-2021 karta.png", "A 23663-2021")</f>
        <v/>
      </c>
      <c r="U85">
        <f>HYPERLINK("https://klasma.github.io/Logging_2303/knärot/A 23663-2021 karta knärot.png", "A 23663-2021")</f>
        <v/>
      </c>
      <c r="V85">
        <f>HYPERLINK("https://klasma.github.io/Logging_2303/klagomål/A 23663-2021 FSC-klagomål.docx", "A 23663-2021")</f>
        <v/>
      </c>
      <c r="W85">
        <f>HYPERLINK("https://klasma.github.io/Logging_2303/klagomålsmail/A 23663-2021 FSC-klagomål mail.docx", "A 23663-2021")</f>
        <v/>
      </c>
      <c r="X85">
        <f>HYPERLINK("https://klasma.github.io/Logging_2303/tillsyn/A 23663-2021 tillsynsbegäran.docx", "A 23663-2021")</f>
        <v/>
      </c>
      <c r="Y85">
        <f>HYPERLINK("https://klasma.github.io/Logging_2303/tillsynsmail/A 23663-2021 tillsynsbegäran mail.docx", "A 23663-2021")</f>
        <v/>
      </c>
    </row>
    <row r="86" ht="15" customHeight="1">
      <c r="A86" t="inlineStr">
        <is>
          <t>A 47165-2021</t>
        </is>
      </c>
      <c r="B86" s="1" t="n">
        <v>44446</v>
      </c>
      <c r="C86" s="1" t="n">
        <v>45360</v>
      </c>
      <c r="D86" t="inlineStr">
        <is>
          <t>JÄMTLANDS LÄN</t>
        </is>
      </c>
      <c r="E86" t="inlineStr">
        <is>
          <t>RAGUNDA</t>
        </is>
      </c>
      <c r="F86" t="inlineStr">
        <is>
          <t>SCA</t>
        </is>
      </c>
      <c r="G86" t="n">
        <v>1.8</v>
      </c>
      <c r="H86" t="n">
        <v>0</v>
      </c>
      <c r="I86" t="n">
        <v>0</v>
      </c>
      <c r="J86" t="n">
        <v>4</v>
      </c>
      <c r="K86" t="n">
        <v>0</v>
      </c>
      <c r="L86" t="n">
        <v>0</v>
      </c>
      <c r="M86" t="n">
        <v>0</v>
      </c>
      <c r="N86" t="n">
        <v>0</v>
      </c>
      <c r="O86" t="n">
        <v>4</v>
      </c>
      <c r="P86" t="n">
        <v>0</v>
      </c>
      <c r="Q86" t="n">
        <v>4</v>
      </c>
      <c r="R86" s="2" t="inlineStr">
        <is>
          <t>Garnlav
Lunglav
Mörk kolflarnlav
Ullticka</t>
        </is>
      </c>
      <c r="S86">
        <f>HYPERLINK("https://klasma.github.io/Logging_2303/artfynd/A 47165-2021 artfynd.xlsx", "A 47165-2021")</f>
        <v/>
      </c>
      <c r="T86">
        <f>HYPERLINK("https://klasma.github.io/Logging_2303/kartor/A 47165-2021 karta.png", "A 47165-2021")</f>
        <v/>
      </c>
      <c r="V86">
        <f>HYPERLINK("https://klasma.github.io/Logging_2303/klagomål/A 47165-2021 FSC-klagomål.docx", "A 47165-2021")</f>
        <v/>
      </c>
      <c r="W86">
        <f>HYPERLINK("https://klasma.github.io/Logging_2303/klagomålsmail/A 47165-2021 FSC-klagomål mail.docx", "A 47165-2021")</f>
        <v/>
      </c>
      <c r="X86">
        <f>HYPERLINK("https://klasma.github.io/Logging_2303/tillsyn/A 47165-2021 tillsynsbegäran.docx", "A 47165-2021")</f>
        <v/>
      </c>
      <c r="Y86">
        <f>HYPERLINK("https://klasma.github.io/Logging_2303/tillsynsmail/A 47165-2021 tillsynsbegäran mail.docx", "A 47165-2021")</f>
        <v/>
      </c>
    </row>
    <row r="87" ht="15" customHeight="1">
      <c r="A87" t="inlineStr">
        <is>
          <t>A 8413-2022</t>
        </is>
      </c>
      <c r="B87" s="1" t="n">
        <v>44610</v>
      </c>
      <c r="C87" s="1" t="n">
        <v>45360</v>
      </c>
      <c r="D87" t="inlineStr">
        <is>
          <t>JÄMTLANDS LÄN</t>
        </is>
      </c>
      <c r="E87" t="inlineStr">
        <is>
          <t>RAGUNDA</t>
        </is>
      </c>
      <c r="F87" t="inlineStr">
        <is>
          <t>SCA</t>
        </is>
      </c>
      <c r="G87" t="n">
        <v>2.2</v>
      </c>
      <c r="H87" t="n">
        <v>0</v>
      </c>
      <c r="I87" t="n">
        <v>1</v>
      </c>
      <c r="J87" t="n">
        <v>3</v>
      </c>
      <c r="K87" t="n">
        <v>0</v>
      </c>
      <c r="L87" t="n">
        <v>0</v>
      </c>
      <c r="M87" t="n">
        <v>0</v>
      </c>
      <c r="N87" t="n">
        <v>0</v>
      </c>
      <c r="O87" t="n">
        <v>3</v>
      </c>
      <c r="P87" t="n">
        <v>0</v>
      </c>
      <c r="Q87" t="n">
        <v>4</v>
      </c>
      <c r="R87" s="2" t="inlineStr">
        <is>
          <t>Garnlav
Kolflarnlav
Lunglav
Källmossor</t>
        </is>
      </c>
      <c r="S87">
        <f>HYPERLINK("https://klasma.github.io/Logging_2303/artfynd/A 8413-2022 artfynd.xlsx", "A 8413-2022")</f>
        <v/>
      </c>
      <c r="T87">
        <f>HYPERLINK("https://klasma.github.io/Logging_2303/kartor/A 8413-2022 karta.png", "A 8413-2022")</f>
        <v/>
      </c>
      <c r="V87">
        <f>HYPERLINK("https://klasma.github.io/Logging_2303/klagomål/A 8413-2022 FSC-klagomål.docx", "A 8413-2022")</f>
        <v/>
      </c>
      <c r="W87">
        <f>HYPERLINK("https://klasma.github.io/Logging_2303/klagomålsmail/A 8413-2022 FSC-klagomål mail.docx", "A 8413-2022")</f>
        <v/>
      </c>
      <c r="X87">
        <f>HYPERLINK("https://klasma.github.io/Logging_2303/tillsyn/A 8413-2022 tillsynsbegäran.docx", "A 8413-2022")</f>
        <v/>
      </c>
      <c r="Y87">
        <f>HYPERLINK("https://klasma.github.io/Logging_2303/tillsynsmail/A 8413-2022 tillsynsbegäran mail.docx", "A 8413-2022")</f>
        <v/>
      </c>
    </row>
    <row r="88" ht="15" customHeight="1">
      <c r="A88" t="inlineStr">
        <is>
          <t>A 10697-2022</t>
        </is>
      </c>
      <c r="B88" s="1" t="n">
        <v>44624</v>
      </c>
      <c r="C88" s="1" t="n">
        <v>45360</v>
      </c>
      <c r="D88" t="inlineStr">
        <is>
          <t>JÄMTLANDS LÄN</t>
        </is>
      </c>
      <c r="E88" t="inlineStr">
        <is>
          <t>RAGUNDA</t>
        </is>
      </c>
      <c r="F88" t="inlineStr">
        <is>
          <t>SCA</t>
        </is>
      </c>
      <c r="G88" t="n">
        <v>3.9</v>
      </c>
      <c r="H88" t="n">
        <v>0</v>
      </c>
      <c r="I88" t="n">
        <v>2</v>
      </c>
      <c r="J88" t="n">
        <v>2</v>
      </c>
      <c r="K88" t="n">
        <v>0</v>
      </c>
      <c r="L88" t="n">
        <v>0</v>
      </c>
      <c r="M88" t="n">
        <v>0</v>
      </c>
      <c r="N88" t="n">
        <v>0</v>
      </c>
      <c r="O88" t="n">
        <v>2</v>
      </c>
      <c r="P88" t="n">
        <v>0</v>
      </c>
      <c r="Q88" t="n">
        <v>4</v>
      </c>
      <c r="R88" s="2" t="inlineStr">
        <is>
          <t>Garnlav
Lunglav
Källmossa
Stuplav</t>
        </is>
      </c>
      <c r="S88">
        <f>HYPERLINK("https://klasma.github.io/Logging_2303/artfynd/A 10697-2022 artfynd.xlsx", "A 10697-2022")</f>
        <v/>
      </c>
      <c r="T88">
        <f>HYPERLINK("https://klasma.github.io/Logging_2303/kartor/A 10697-2022 karta.png", "A 10697-2022")</f>
        <v/>
      </c>
      <c r="V88">
        <f>HYPERLINK("https://klasma.github.io/Logging_2303/klagomål/A 10697-2022 FSC-klagomål.docx", "A 10697-2022")</f>
        <v/>
      </c>
      <c r="W88">
        <f>HYPERLINK("https://klasma.github.io/Logging_2303/klagomålsmail/A 10697-2022 FSC-klagomål mail.docx", "A 10697-2022")</f>
        <v/>
      </c>
      <c r="X88">
        <f>HYPERLINK("https://klasma.github.io/Logging_2303/tillsyn/A 10697-2022 tillsynsbegäran.docx", "A 10697-2022")</f>
        <v/>
      </c>
      <c r="Y88">
        <f>HYPERLINK("https://klasma.github.io/Logging_2303/tillsynsmail/A 10697-2022 tillsynsbegäran mail.docx", "A 10697-2022")</f>
        <v/>
      </c>
    </row>
    <row r="89" ht="15" customHeight="1">
      <c r="A89" t="inlineStr">
        <is>
          <t>A 15667-2022</t>
        </is>
      </c>
      <c r="B89" s="1" t="n">
        <v>44662</v>
      </c>
      <c r="C89" s="1" t="n">
        <v>45360</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17092-2022</t>
        </is>
      </c>
      <c r="B90" s="1" t="n">
        <v>44677</v>
      </c>
      <c r="C90" s="1" t="n">
        <v>45360</v>
      </c>
      <c r="D90" t="inlineStr">
        <is>
          <t>JÄMTLANDS LÄN</t>
        </is>
      </c>
      <c r="E90" t="inlineStr">
        <is>
          <t>RAGUNDA</t>
        </is>
      </c>
      <c r="G90" t="n">
        <v>21.2</v>
      </c>
      <c r="H90" t="n">
        <v>1</v>
      </c>
      <c r="I90" t="n">
        <v>0</v>
      </c>
      <c r="J90" t="n">
        <v>3</v>
      </c>
      <c r="K90" t="n">
        <v>1</v>
      </c>
      <c r="L90" t="n">
        <v>0</v>
      </c>
      <c r="M90" t="n">
        <v>0</v>
      </c>
      <c r="N90" t="n">
        <v>0</v>
      </c>
      <c r="O90" t="n">
        <v>4</v>
      </c>
      <c r="P90" t="n">
        <v>1</v>
      </c>
      <c r="Q90" t="n">
        <v>4</v>
      </c>
      <c r="R90" s="2" t="inlineStr">
        <is>
          <t>Knärot
Garnlav
Lunglav
Ullticka</t>
        </is>
      </c>
      <c r="S90">
        <f>HYPERLINK("https://klasma.github.io/Logging_2303/artfynd/A 17092-2022 artfynd.xlsx", "A 17092-2022")</f>
        <v/>
      </c>
      <c r="T90">
        <f>HYPERLINK("https://klasma.github.io/Logging_2303/kartor/A 17092-2022 karta.png", "A 17092-2022")</f>
        <v/>
      </c>
      <c r="U90">
        <f>HYPERLINK("https://klasma.github.io/Logging_2303/knärot/A 17092-2022 karta knärot.png", "A 17092-2022")</f>
        <v/>
      </c>
      <c r="V90">
        <f>HYPERLINK("https://klasma.github.io/Logging_2303/klagomål/A 17092-2022 FSC-klagomål.docx", "A 17092-2022")</f>
        <v/>
      </c>
      <c r="W90">
        <f>HYPERLINK("https://klasma.github.io/Logging_2303/klagomålsmail/A 17092-2022 FSC-klagomål mail.docx", "A 17092-2022")</f>
        <v/>
      </c>
      <c r="X90">
        <f>HYPERLINK("https://klasma.github.io/Logging_2303/tillsyn/A 17092-2022 tillsynsbegäran.docx", "A 17092-2022")</f>
        <v/>
      </c>
      <c r="Y90">
        <f>HYPERLINK("https://klasma.github.io/Logging_2303/tillsynsmail/A 17092-2022 tillsynsbegäran mail.docx", "A 17092-2022")</f>
        <v/>
      </c>
    </row>
    <row r="91" ht="15" customHeight="1">
      <c r="A91" t="inlineStr">
        <is>
          <t>A 19851-2022</t>
        </is>
      </c>
      <c r="B91" s="1" t="n">
        <v>44696</v>
      </c>
      <c r="C91" s="1" t="n">
        <v>45360</v>
      </c>
      <c r="D91" t="inlineStr">
        <is>
          <t>JÄMTLANDS LÄN</t>
        </is>
      </c>
      <c r="E91" t="inlineStr">
        <is>
          <t>RAGUNDA</t>
        </is>
      </c>
      <c r="F91" t="inlineStr">
        <is>
          <t>SCA</t>
        </is>
      </c>
      <c r="G91" t="n">
        <v>3</v>
      </c>
      <c r="H91" t="n">
        <v>2</v>
      </c>
      <c r="I91" t="n">
        <v>0</v>
      </c>
      <c r="J91" t="n">
        <v>3</v>
      </c>
      <c r="K91" t="n">
        <v>0</v>
      </c>
      <c r="L91" t="n">
        <v>0</v>
      </c>
      <c r="M91" t="n">
        <v>0</v>
      </c>
      <c r="N91" t="n">
        <v>0</v>
      </c>
      <c r="O91" t="n">
        <v>3</v>
      </c>
      <c r="P91" t="n">
        <v>0</v>
      </c>
      <c r="Q91" t="n">
        <v>4</v>
      </c>
      <c r="R91" s="2" t="inlineStr">
        <is>
          <t>Garnlav
Talltita
Ullticka
Revlummer</t>
        </is>
      </c>
      <c r="S91">
        <f>HYPERLINK("https://klasma.github.io/Logging_2303/artfynd/A 19851-2022 artfynd.xlsx", "A 19851-2022")</f>
        <v/>
      </c>
      <c r="T91">
        <f>HYPERLINK("https://klasma.github.io/Logging_2303/kartor/A 19851-2022 karta.png", "A 19851-2022")</f>
        <v/>
      </c>
      <c r="V91">
        <f>HYPERLINK("https://klasma.github.io/Logging_2303/klagomål/A 19851-2022 FSC-klagomål.docx", "A 19851-2022")</f>
        <v/>
      </c>
      <c r="W91">
        <f>HYPERLINK("https://klasma.github.io/Logging_2303/klagomålsmail/A 19851-2022 FSC-klagomål mail.docx", "A 19851-2022")</f>
        <v/>
      </c>
      <c r="X91">
        <f>HYPERLINK("https://klasma.github.io/Logging_2303/tillsyn/A 19851-2022 tillsynsbegäran.docx", "A 19851-2022")</f>
        <v/>
      </c>
      <c r="Y91">
        <f>HYPERLINK("https://klasma.github.io/Logging_2303/tillsynsmail/A 19851-2022 tillsynsbegäran mail.docx", "A 19851-2022")</f>
        <v/>
      </c>
      <c r="Z91">
        <f>HYPERLINK("https://klasma.github.io/Logging_2303/fåglar/A 19851-2022 prioriterade fågelarter.docx", "A 19851-2022")</f>
        <v/>
      </c>
    </row>
    <row r="92" ht="15" customHeight="1">
      <c r="A92" t="inlineStr">
        <is>
          <t>A 25649-2022</t>
        </is>
      </c>
      <c r="B92" s="1" t="n">
        <v>44732</v>
      </c>
      <c r="C92" s="1" t="n">
        <v>45360</v>
      </c>
      <c r="D92" t="inlineStr">
        <is>
          <t>JÄMTLANDS LÄN</t>
        </is>
      </c>
      <c r="E92" t="inlineStr">
        <is>
          <t>RAGUNDA</t>
        </is>
      </c>
      <c r="F92" t="inlineStr">
        <is>
          <t>SCA</t>
        </is>
      </c>
      <c r="G92" t="n">
        <v>2.9</v>
      </c>
      <c r="H92" t="n">
        <v>2</v>
      </c>
      <c r="I92" t="n">
        <v>1</v>
      </c>
      <c r="J92" t="n">
        <v>2</v>
      </c>
      <c r="K92" t="n">
        <v>1</v>
      </c>
      <c r="L92" t="n">
        <v>0</v>
      </c>
      <c r="M92" t="n">
        <v>0</v>
      </c>
      <c r="N92" t="n">
        <v>0</v>
      </c>
      <c r="O92" t="n">
        <v>3</v>
      </c>
      <c r="P92" t="n">
        <v>1</v>
      </c>
      <c r="Q92" t="n">
        <v>4</v>
      </c>
      <c r="R92" s="2" t="inlineStr">
        <is>
          <t>Knärot
Garnlav
Talltita
Dropptaggsvamp</t>
        </is>
      </c>
      <c r="S92">
        <f>HYPERLINK("https://klasma.github.io/Logging_2303/artfynd/A 25649-2022 artfynd.xlsx", "A 25649-2022")</f>
        <v/>
      </c>
      <c r="T92">
        <f>HYPERLINK("https://klasma.github.io/Logging_2303/kartor/A 25649-2022 karta.png", "A 25649-2022")</f>
        <v/>
      </c>
      <c r="U92">
        <f>HYPERLINK("https://klasma.github.io/Logging_2303/knärot/A 25649-2022 karta knärot.png", "A 25649-2022")</f>
        <v/>
      </c>
      <c r="V92">
        <f>HYPERLINK("https://klasma.github.io/Logging_2303/klagomål/A 25649-2022 FSC-klagomål.docx", "A 25649-2022")</f>
        <v/>
      </c>
      <c r="W92">
        <f>HYPERLINK("https://klasma.github.io/Logging_2303/klagomålsmail/A 25649-2022 FSC-klagomål mail.docx", "A 25649-2022")</f>
        <v/>
      </c>
      <c r="X92">
        <f>HYPERLINK("https://klasma.github.io/Logging_2303/tillsyn/A 25649-2022 tillsynsbegäran.docx", "A 25649-2022")</f>
        <v/>
      </c>
      <c r="Y92">
        <f>HYPERLINK("https://klasma.github.io/Logging_2303/tillsynsmail/A 25649-2022 tillsynsbegäran mail.docx", "A 25649-2022")</f>
        <v/>
      </c>
      <c r="Z92">
        <f>HYPERLINK("https://klasma.github.io/Logging_2303/fåglar/A 25649-2022 prioriterade fågelarter.docx", "A 25649-2022")</f>
        <v/>
      </c>
    </row>
    <row r="93" ht="15" customHeight="1">
      <c r="A93" t="inlineStr">
        <is>
          <t>A 60670-2022</t>
        </is>
      </c>
      <c r="B93" s="1" t="n">
        <v>44911</v>
      </c>
      <c r="C93" s="1" t="n">
        <v>45360</v>
      </c>
      <c r="D93" t="inlineStr">
        <is>
          <t>JÄMTLANDS LÄN</t>
        </is>
      </c>
      <c r="E93" t="inlineStr">
        <is>
          <t>RAGUNDA</t>
        </is>
      </c>
      <c r="F93" t="inlineStr">
        <is>
          <t>SCA</t>
        </is>
      </c>
      <c r="G93" t="n">
        <v>5.1</v>
      </c>
      <c r="H93" t="n">
        <v>0</v>
      </c>
      <c r="I93" t="n">
        <v>0</v>
      </c>
      <c r="J93" t="n">
        <v>4</v>
      </c>
      <c r="K93" t="n">
        <v>0</v>
      </c>
      <c r="L93" t="n">
        <v>0</v>
      </c>
      <c r="M93" t="n">
        <v>0</v>
      </c>
      <c r="N93" t="n">
        <v>0</v>
      </c>
      <c r="O93" t="n">
        <v>4</v>
      </c>
      <c r="P93" t="n">
        <v>0</v>
      </c>
      <c r="Q93" t="n">
        <v>4</v>
      </c>
      <c r="R93" s="2" t="inlineStr">
        <is>
          <t>Doftskinn
Gammelgransskål
Lunglav
Ullticka</t>
        </is>
      </c>
      <c r="S93">
        <f>HYPERLINK("https://klasma.github.io/Logging_2303/artfynd/A 60670-2022 artfynd.xlsx", "A 60670-2022")</f>
        <v/>
      </c>
      <c r="T93">
        <f>HYPERLINK("https://klasma.github.io/Logging_2303/kartor/A 60670-2022 karta.png", "A 60670-2022")</f>
        <v/>
      </c>
      <c r="V93">
        <f>HYPERLINK("https://klasma.github.io/Logging_2303/klagomål/A 60670-2022 FSC-klagomål.docx", "A 60670-2022")</f>
        <v/>
      </c>
      <c r="W93">
        <f>HYPERLINK("https://klasma.github.io/Logging_2303/klagomålsmail/A 60670-2022 FSC-klagomål mail.docx", "A 60670-2022")</f>
        <v/>
      </c>
      <c r="X93">
        <f>HYPERLINK("https://klasma.github.io/Logging_2303/tillsyn/A 60670-2022 tillsynsbegäran.docx", "A 60670-2022")</f>
        <v/>
      </c>
      <c r="Y93">
        <f>HYPERLINK("https://klasma.github.io/Logging_2303/tillsynsmail/A 60670-2022 tillsynsbegäran mail.docx", "A 60670-2022")</f>
        <v/>
      </c>
    </row>
    <row r="94" ht="15" customHeight="1">
      <c r="A94" t="inlineStr">
        <is>
          <t>A 17221-2023</t>
        </is>
      </c>
      <c r="B94" s="1" t="n">
        <v>45034</v>
      </c>
      <c r="C94" s="1" t="n">
        <v>45360</v>
      </c>
      <c r="D94" t="inlineStr">
        <is>
          <t>JÄMTLANDS LÄN</t>
        </is>
      </c>
      <c r="E94" t="inlineStr">
        <is>
          <t>RAGUNDA</t>
        </is>
      </c>
      <c r="F94" t="inlineStr">
        <is>
          <t>SCA</t>
        </is>
      </c>
      <c r="G94" t="n">
        <v>7.8</v>
      </c>
      <c r="H94" t="n">
        <v>0</v>
      </c>
      <c r="I94" t="n">
        <v>1</v>
      </c>
      <c r="J94" t="n">
        <v>3</v>
      </c>
      <c r="K94" t="n">
        <v>0</v>
      </c>
      <c r="L94" t="n">
        <v>0</v>
      </c>
      <c r="M94" t="n">
        <v>0</v>
      </c>
      <c r="N94" t="n">
        <v>0</v>
      </c>
      <c r="O94" t="n">
        <v>3</v>
      </c>
      <c r="P94" t="n">
        <v>0</v>
      </c>
      <c r="Q94" t="n">
        <v>4</v>
      </c>
      <c r="R94" s="2" t="inlineStr">
        <is>
          <t>Garnlav
Lunglav
Ullticka
Stuplav</t>
        </is>
      </c>
      <c r="S94">
        <f>HYPERLINK("https://klasma.github.io/Logging_2303/artfynd/A 17221-2023 artfynd.xlsx", "A 17221-2023")</f>
        <v/>
      </c>
      <c r="T94">
        <f>HYPERLINK("https://klasma.github.io/Logging_2303/kartor/A 17221-2023 karta.png", "A 17221-2023")</f>
        <v/>
      </c>
      <c r="V94">
        <f>HYPERLINK("https://klasma.github.io/Logging_2303/klagomål/A 17221-2023 FSC-klagomål.docx", "A 17221-2023")</f>
        <v/>
      </c>
      <c r="W94">
        <f>HYPERLINK("https://klasma.github.io/Logging_2303/klagomålsmail/A 17221-2023 FSC-klagomål mail.docx", "A 17221-2023")</f>
        <v/>
      </c>
      <c r="X94">
        <f>HYPERLINK("https://klasma.github.io/Logging_2303/tillsyn/A 17221-2023 tillsynsbegäran.docx", "A 17221-2023")</f>
        <v/>
      </c>
      <c r="Y94">
        <f>HYPERLINK("https://klasma.github.io/Logging_2303/tillsynsmail/A 17221-2023 tillsynsbegäran mail.docx", "A 17221-2023")</f>
        <v/>
      </c>
    </row>
    <row r="95" ht="15" customHeight="1">
      <c r="A95" t="inlineStr">
        <is>
          <t>A 43960-2023</t>
        </is>
      </c>
      <c r="B95" s="1" t="n">
        <v>45187</v>
      </c>
      <c r="C95" s="1" t="n">
        <v>45360</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53763-2023</t>
        </is>
      </c>
      <c r="B96" s="1" t="n">
        <v>45230</v>
      </c>
      <c r="C96" s="1" t="n">
        <v>45360</v>
      </c>
      <c r="D96" t="inlineStr">
        <is>
          <t>JÄMTLANDS LÄN</t>
        </is>
      </c>
      <c r="E96" t="inlineStr">
        <is>
          <t>RAGUNDA</t>
        </is>
      </c>
      <c r="F96" t="inlineStr">
        <is>
          <t>SCA</t>
        </is>
      </c>
      <c r="G96" t="n">
        <v>1.8</v>
      </c>
      <c r="H96" t="n">
        <v>0</v>
      </c>
      <c r="I96" t="n">
        <v>1</v>
      </c>
      <c r="J96" t="n">
        <v>3</v>
      </c>
      <c r="K96" t="n">
        <v>0</v>
      </c>
      <c r="L96" t="n">
        <v>0</v>
      </c>
      <c r="M96" t="n">
        <v>0</v>
      </c>
      <c r="N96" t="n">
        <v>0</v>
      </c>
      <c r="O96" t="n">
        <v>3</v>
      </c>
      <c r="P96" t="n">
        <v>0</v>
      </c>
      <c r="Q96" t="n">
        <v>4</v>
      </c>
      <c r="R96" s="2" t="inlineStr">
        <is>
          <t>Kolflarnlav
Lunglav
Skrovellav
Stuplav</t>
        </is>
      </c>
      <c r="S96">
        <f>HYPERLINK("https://klasma.github.io/Logging_2303/artfynd/A 53763-2023 artfynd.xlsx", "A 53763-2023")</f>
        <v/>
      </c>
      <c r="T96">
        <f>HYPERLINK("https://klasma.github.io/Logging_2303/kartor/A 53763-2023 karta.png", "A 53763-2023")</f>
        <v/>
      </c>
      <c r="V96">
        <f>HYPERLINK("https://klasma.github.io/Logging_2303/klagomål/A 53763-2023 FSC-klagomål.docx", "A 53763-2023")</f>
        <v/>
      </c>
      <c r="W96">
        <f>HYPERLINK("https://klasma.github.io/Logging_2303/klagomålsmail/A 53763-2023 FSC-klagomål mail.docx", "A 53763-2023")</f>
        <v/>
      </c>
      <c r="X96">
        <f>HYPERLINK("https://klasma.github.io/Logging_2303/tillsyn/A 53763-2023 tillsynsbegäran.docx", "A 53763-2023")</f>
        <v/>
      </c>
      <c r="Y96">
        <f>HYPERLINK("https://klasma.github.io/Logging_2303/tillsynsmail/A 53763-2023 tillsynsbegäran mail.docx", "A 53763-2023")</f>
        <v/>
      </c>
    </row>
    <row r="97" ht="15" customHeight="1">
      <c r="A97" t="inlineStr">
        <is>
          <t>A 57073-2023</t>
        </is>
      </c>
      <c r="B97" s="1" t="n">
        <v>45245</v>
      </c>
      <c r="C97" s="1" t="n">
        <v>45360</v>
      </c>
      <c r="D97" t="inlineStr">
        <is>
          <t>JÄMTLANDS LÄN</t>
        </is>
      </c>
      <c r="E97" t="inlineStr">
        <is>
          <t>RAGUNDA</t>
        </is>
      </c>
      <c r="F97" t="inlineStr">
        <is>
          <t>SCA</t>
        </is>
      </c>
      <c r="G97" t="n">
        <v>4.1</v>
      </c>
      <c r="H97" t="n">
        <v>0</v>
      </c>
      <c r="I97" t="n">
        <v>0</v>
      </c>
      <c r="J97" t="n">
        <v>3</v>
      </c>
      <c r="K97" t="n">
        <v>1</v>
      </c>
      <c r="L97" t="n">
        <v>0</v>
      </c>
      <c r="M97" t="n">
        <v>0</v>
      </c>
      <c r="N97" t="n">
        <v>0</v>
      </c>
      <c r="O97" t="n">
        <v>4</v>
      </c>
      <c r="P97" t="n">
        <v>1</v>
      </c>
      <c r="Q97" t="n">
        <v>4</v>
      </c>
      <c r="R97" s="2" t="inlineStr">
        <is>
          <t>Aspgelélav
Granticka
Lunglav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row>
    <row r="98" ht="15" customHeight="1">
      <c r="A98" t="inlineStr">
        <is>
          <t>A 62840-2023</t>
        </is>
      </c>
      <c r="B98" s="1" t="n">
        <v>45271</v>
      </c>
      <c r="C98" s="1" t="n">
        <v>45360</v>
      </c>
      <c r="D98" t="inlineStr">
        <is>
          <t>JÄMTLANDS LÄN</t>
        </is>
      </c>
      <c r="E98" t="inlineStr">
        <is>
          <t>RAGUNDA</t>
        </is>
      </c>
      <c r="F98" t="inlineStr">
        <is>
          <t>SCA</t>
        </is>
      </c>
      <c r="G98" t="n">
        <v>4</v>
      </c>
      <c r="H98" t="n">
        <v>0</v>
      </c>
      <c r="I98" t="n">
        <v>1</v>
      </c>
      <c r="J98" t="n">
        <v>3</v>
      </c>
      <c r="K98" t="n">
        <v>0</v>
      </c>
      <c r="L98" t="n">
        <v>0</v>
      </c>
      <c r="M98" t="n">
        <v>0</v>
      </c>
      <c r="N98" t="n">
        <v>0</v>
      </c>
      <c r="O98" t="n">
        <v>3</v>
      </c>
      <c r="P98" t="n">
        <v>0</v>
      </c>
      <c r="Q98" t="n">
        <v>4</v>
      </c>
      <c r="R98" s="2" t="inlineStr">
        <is>
          <t>Dvärgbägarlav
Mörk kolflarnlav
Vaddporing
Dropptaggsvamp</t>
        </is>
      </c>
      <c r="S98">
        <f>HYPERLINK("https://klasma.github.io/Logging_2303/artfynd/A 62840-2023 artfynd.xlsx", "A 62840-2023")</f>
        <v/>
      </c>
      <c r="T98">
        <f>HYPERLINK("https://klasma.github.io/Logging_2303/kartor/A 62840-2023 karta.png", "A 62840-2023")</f>
        <v/>
      </c>
      <c r="V98">
        <f>HYPERLINK("https://klasma.github.io/Logging_2303/klagomål/A 62840-2023 FSC-klagomål.docx", "A 62840-2023")</f>
        <v/>
      </c>
      <c r="W98">
        <f>HYPERLINK("https://klasma.github.io/Logging_2303/klagomålsmail/A 62840-2023 FSC-klagomål mail.docx", "A 62840-2023")</f>
        <v/>
      </c>
      <c r="X98">
        <f>HYPERLINK("https://klasma.github.io/Logging_2303/tillsyn/A 62840-2023 tillsynsbegäran.docx", "A 62840-2023")</f>
        <v/>
      </c>
      <c r="Y98">
        <f>HYPERLINK("https://klasma.github.io/Logging_2303/tillsynsmail/A 62840-2023 tillsynsbegäran mail.docx", "A 62840-2023")</f>
        <v/>
      </c>
    </row>
    <row r="99" ht="15" customHeight="1">
      <c r="A99" t="inlineStr">
        <is>
          <t>A 9347-2024</t>
        </is>
      </c>
      <c r="B99" s="1" t="n">
        <v>45359</v>
      </c>
      <c r="C99" s="1" t="n">
        <v>45360</v>
      </c>
      <c r="D99" t="inlineStr">
        <is>
          <t>JÄMTLANDS LÄN</t>
        </is>
      </c>
      <c r="E99" t="inlineStr">
        <is>
          <t>RAGUNDA</t>
        </is>
      </c>
      <c r="F99" t="inlineStr">
        <is>
          <t>SCA</t>
        </is>
      </c>
      <c r="G99" t="n">
        <v>1.6</v>
      </c>
      <c r="H99" t="n">
        <v>1</v>
      </c>
      <c r="I99" t="n">
        <v>2</v>
      </c>
      <c r="J99" t="n">
        <v>1</v>
      </c>
      <c r="K99" t="n">
        <v>1</v>
      </c>
      <c r="L99" t="n">
        <v>0</v>
      </c>
      <c r="M99" t="n">
        <v>0</v>
      </c>
      <c r="N99" t="n">
        <v>0</v>
      </c>
      <c r="O99" t="n">
        <v>2</v>
      </c>
      <c r="P99" t="n">
        <v>1</v>
      </c>
      <c r="Q99" t="n">
        <v>4</v>
      </c>
      <c r="R99" s="2" t="inlineStr">
        <is>
          <t>Knärot
Gultoppig fingersvamp
Rödfläckig zontaggsvamp
Svavelriska</t>
        </is>
      </c>
      <c r="S99">
        <f>HYPERLINK("https://klasma.github.io/Logging_2303/artfynd/A 9347-2024 artfynd.xlsx", "A 9347-2024")</f>
        <v/>
      </c>
      <c r="T99">
        <f>HYPERLINK("https://klasma.github.io/Logging_2303/kartor/A 9347-2024 karta.png", "A 9347-2024")</f>
        <v/>
      </c>
      <c r="U99">
        <f>HYPERLINK("https://klasma.github.io/Logging_2303/knärot/A 9347-2024 karta knärot.png", "A 9347-2024")</f>
        <v/>
      </c>
      <c r="V99">
        <f>HYPERLINK("https://klasma.github.io/Logging_2303/klagomål/A 9347-2024 FSC-klagomål.docx", "A 9347-2024")</f>
        <v/>
      </c>
      <c r="W99">
        <f>HYPERLINK("https://klasma.github.io/Logging_2303/klagomålsmail/A 9347-2024 FSC-klagomål mail.docx", "A 9347-2024")</f>
        <v/>
      </c>
      <c r="X99">
        <f>HYPERLINK("https://klasma.github.io/Logging_2303/tillsyn/A 9347-2024 tillsynsbegäran.docx", "A 9347-2024")</f>
        <v/>
      </c>
      <c r="Y99">
        <f>HYPERLINK("https://klasma.github.io/Logging_2303/tillsynsmail/A 9347-2024 tillsynsbegäran mail.docx", "A 9347-2024")</f>
        <v/>
      </c>
    </row>
    <row r="100" ht="15" customHeight="1">
      <c r="A100" t="inlineStr">
        <is>
          <t>A 27770-2019</t>
        </is>
      </c>
      <c r="B100" s="1" t="n">
        <v>43619</v>
      </c>
      <c r="C100" s="1" t="n">
        <v>45360</v>
      </c>
      <c r="D100" t="inlineStr">
        <is>
          <t>JÄMTLANDS LÄN</t>
        </is>
      </c>
      <c r="E100" t="inlineStr">
        <is>
          <t>RAGUNDA</t>
        </is>
      </c>
      <c r="F100" t="inlineStr">
        <is>
          <t>SCA</t>
        </is>
      </c>
      <c r="G100" t="n">
        <v>2.3</v>
      </c>
      <c r="H100" t="n">
        <v>0</v>
      </c>
      <c r="I100" t="n">
        <v>0</v>
      </c>
      <c r="J100" t="n">
        <v>2</v>
      </c>
      <c r="K100" t="n">
        <v>1</v>
      </c>
      <c r="L100" t="n">
        <v>0</v>
      </c>
      <c r="M100" t="n">
        <v>0</v>
      </c>
      <c r="N100" t="n">
        <v>0</v>
      </c>
      <c r="O100" t="n">
        <v>3</v>
      </c>
      <c r="P100" t="n">
        <v>1</v>
      </c>
      <c r="Q100" t="n">
        <v>3</v>
      </c>
      <c r="R100" s="2" t="inlineStr">
        <is>
          <t>Gräddporing
Lunglav
Skrovellav</t>
        </is>
      </c>
      <c r="S100">
        <f>HYPERLINK("https://klasma.github.io/Logging_2303/artfynd/A 27770-2019 artfynd.xlsx", "A 27770-2019")</f>
        <v/>
      </c>
      <c r="T100">
        <f>HYPERLINK("https://klasma.github.io/Logging_2303/kartor/A 27770-2019 karta.png", "A 27770-2019")</f>
        <v/>
      </c>
      <c r="V100">
        <f>HYPERLINK("https://klasma.github.io/Logging_2303/klagomål/A 27770-2019 FSC-klagomål.docx", "A 27770-2019")</f>
        <v/>
      </c>
      <c r="W100">
        <f>HYPERLINK("https://klasma.github.io/Logging_2303/klagomålsmail/A 27770-2019 FSC-klagomål mail.docx", "A 27770-2019")</f>
        <v/>
      </c>
      <c r="X100">
        <f>HYPERLINK("https://klasma.github.io/Logging_2303/tillsyn/A 27770-2019 tillsynsbegäran.docx", "A 27770-2019")</f>
        <v/>
      </c>
      <c r="Y100">
        <f>HYPERLINK("https://klasma.github.io/Logging_2303/tillsynsmail/A 27770-2019 tillsynsbegäran mail.docx", "A 27770-2019")</f>
        <v/>
      </c>
    </row>
    <row r="101" ht="15" customHeight="1">
      <c r="A101" t="inlineStr">
        <is>
          <t>A 68248-2019</t>
        </is>
      </c>
      <c r="B101" s="1" t="n">
        <v>43817</v>
      </c>
      <c r="C101" s="1" t="n">
        <v>45360</v>
      </c>
      <c r="D101" t="inlineStr">
        <is>
          <t>JÄMTLANDS LÄN</t>
        </is>
      </c>
      <c r="E101" t="inlineStr">
        <is>
          <t>RAGUNDA</t>
        </is>
      </c>
      <c r="G101" t="n">
        <v>9</v>
      </c>
      <c r="H101" t="n">
        <v>0</v>
      </c>
      <c r="I101" t="n">
        <v>0</v>
      </c>
      <c r="J101" t="n">
        <v>3</v>
      </c>
      <c r="K101" t="n">
        <v>0</v>
      </c>
      <c r="L101" t="n">
        <v>0</v>
      </c>
      <c r="M101" t="n">
        <v>0</v>
      </c>
      <c r="N101" t="n">
        <v>0</v>
      </c>
      <c r="O101" t="n">
        <v>3</v>
      </c>
      <c r="P101" t="n">
        <v>0</v>
      </c>
      <c r="Q101" t="n">
        <v>3</v>
      </c>
      <c r="R101" s="2" t="inlineStr">
        <is>
          <t>Garnlav
Mörk kolflarnlav
Vedskivlav</t>
        </is>
      </c>
      <c r="S101">
        <f>HYPERLINK("https://klasma.github.io/Logging_2303/artfynd/A 68248-2019 artfynd.xlsx", "A 68248-2019")</f>
        <v/>
      </c>
      <c r="T101">
        <f>HYPERLINK("https://klasma.github.io/Logging_2303/kartor/A 68248-2019 karta.png", "A 68248-2019")</f>
        <v/>
      </c>
      <c r="U101">
        <f>HYPERLINK("https://klasma.github.io/Logging_2303/knärot/A 68248-2019 karta knärot.png", "A 68248-2019")</f>
        <v/>
      </c>
      <c r="V101">
        <f>HYPERLINK("https://klasma.github.io/Logging_2303/klagomål/A 68248-2019 FSC-klagomål.docx", "A 68248-2019")</f>
        <v/>
      </c>
      <c r="W101">
        <f>HYPERLINK("https://klasma.github.io/Logging_2303/klagomålsmail/A 68248-2019 FSC-klagomål mail.docx", "A 68248-2019")</f>
        <v/>
      </c>
      <c r="X101">
        <f>HYPERLINK("https://klasma.github.io/Logging_2303/tillsyn/A 68248-2019 tillsynsbegäran.docx", "A 68248-2019")</f>
        <v/>
      </c>
      <c r="Y101">
        <f>HYPERLINK("https://klasma.github.io/Logging_2303/tillsynsmail/A 68248-2019 tillsynsbegäran mail.docx", "A 68248-2019")</f>
        <v/>
      </c>
    </row>
    <row r="102" ht="15" customHeight="1">
      <c r="A102" t="inlineStr">
        <is>
          <t>A 51010-2020</t>
        </is>
      </c>
      <c r="B102" s="1" t="n">
        <v>44111</v>
      </c>
      <c r="C102" s="1" t="n">
        <v>45360</v>
      </c>
      <c r="D102" t="inlineStr">
        <is>
          <t>JÄMTLANDS LÄN</t>
        </is>
      </c>
      <c r="E102" t="inlineStr">
        <is>
          <t>RAGUNDA</t>
        </is>
      </c>
      <c r="F102" t="inlineStr">
        <is>
          <t>SCA</t>
        </is>
      </c>
      <c r="G102" t="n">
        <v>4.1</v>
      </c>
      <c r="H102" t="n">
        <v>0</v>
      </c>
      <c r="I102" t="n">
        <v>0</v>
      </c>
      <c r="J102" t="n">
        <v>3</v>
      </c>
      <c r="K102" t="n">
        <v>0</v>
      </c>
      <c r="L102" t="n">
        <v>0</v>
      </c>
      <c r="M102" t="n">
        <v>0</v>
      </c>
      <c r="N102" t="n">
        <v>0</v>
      </c>
      <c r="O102" t="n">
        <v>3</v>
      </c>
      <c r="P102" t="n">
        <v>0</v>
      </c>
      <c r="Q102" t="n">
        <v>3</v>
      </c>
      <c r="R102" s="2" t="inlineStr">
        <is>
          <t>Garnlav
Lunglav
Ullticka</t>
        </is>
      </c>
      <c r="S102">
        <f>HYPERLINK("https://klasma.github.io/Logging_2303/artfynd/A 51010-2020 artfynd.xlsx", "A 51010-2020")</f>
        <v/>
      </c>
      <c r="T102">
        <f>HYPERLINK("https://klasma.github.io/Logging_2303/kartor/A 51010-2020 karta.png", "A 51010-2020")</f>
        <v/>
      </c>
      <c r="V102">
        <f>HYPERLINK("https://klasma.github.io/Logging_2303/klagomål/A 51010-2020 FSC-klagomål.docx", "A 51010-2020")</f>
        <v/>
      </c>
      <c r="W102">
        <f>HYPERLINK("https://klasma.github.io/Logging_2303/klagomålsmail/A 51010-2020 FSC-klagomål mail.docx", "A 51010-2020")</f>
        <v/>
      </c>
      <c r="X102">
        <f>HYPERLINK("https://klasma.github.io/Logging_2303/tillsyn/A 51010-2020 tillsynsbegäran.docx", "A 51010-2020")</f>
        <v/>
      </c>
      <c r="Y102">
        <f>HYPERLINK("https://klasma.github.io/Logging_2303/tillsynsmail/A 51010-2020 tillsynsbegäran mail.docx", "A 51010-2020")</f>
        <v/>
      </c>
    </row>
    <row r="103" ht="15" customHeight="1">
      <c r="A103" t="inlineStr">
        <is>
          <t>A 41065-2021</t>
        </is>
      </c>
      <c r="B103" s="1" t="n">
        <v>44421</v>
      </c>
      <c r="C103" s="1" t="n">
        <v>45360</v>
      </c>
      <c r="D103" t="inlineStr">
        <is>
          <t>JÄMTLANDS LÄN</t>
        </is>
      </c>
      <c r="E103" t="inlineStr">
        <is>
          <t>RAGUNDA</t>
        </is>
      </c>
      <c r="F103" t="inlineStr">
        <is>
          <t>SCA</t>
        </is>
      </c>
      <c r="G103" t="n">
        <v>1.6</v>
      </c>
      <c r="H103" t="n">
        <v>0</v>
      </c>
      <c r="I103" t="n">
        <v>1</v>
      </c>
      <c r="J103" t="n">
        <v>2</v>
      </c>
      <c r="K103" t="n">
        <v>0</v>
      </c>
      <c r="L103" t="n">
        <v>0</v>
      </c>
      <c r="M103" t="n">
        <v>0</v>
      </c>
      <c r="N103" t="n">
        <v>0</v>
      </c>
      <c r="O103" t="n">
        <v>2</v>
      </c>
      <c r="P103" t="n">
        <v>0</v>
      </c>
      <c r="Q103" t="n">
        <v>3</v>
      </c>
      <c r="R103" s="2" t="inlineStr">
        <is>
          <t>Kolflarnlav
Lunglav
Stuplav</t>
        </is>
      </c>
      <c r="S103">
        <f>HYPERLINK("https://klasma.github.io/Logging_2303/artfynd/A 41065-2021 artfynd.xlsx", "A 41065-2021")</f>
        <v/>
      </c>
      <c r="T103">
        <f>HYPERLINK("https://klasma.github.io/Logging_2303/kartor/A 41065-2021 karta.png", "A 41065-2021")</f>
        <v/>
      </c>
      <c r="V103">
        <f>HYPERLINK("https://klasma.github.io/Logging_2303/klagomål/A 41065-2021 FSC-klagomål.docx", "A 41065-2021")</f>
        <v/>
      </c>
      <c r="W103">
        <f>HYPERLINK("https://klasma.github.io/Logging_2303/klagomålsmail/A 41065-2021 FSC-klagomål mail.docx", "A 41065-2021")</f>
        <v/>
      </c>
      <c r="X103">
        <f>HYPERLINK("https://klasma.github.io/Logging_2303/tillsyn/A 41065-2021 tillsynsbegäran.docx", "A 41065-2021")</f>
        <v/>
      </c>
      <c r="Y103">
        <f>HYPERLINK("https://klasma.github.io/Logging_2303/tillsynsmail/A 41065-2021 tillsynsbegäran mail.docx", "A 41065-2021")</f>
        <v/>
      </c>
    </row>
    <row r="104" ht="15" customHeight="1">
      <c r="A104" t="inlineStr">
        <is>
          <t>A 27025-2022</t>
        </is>
      </c>
      <c r="B104" s="1" t="n">
        <v>44740</v>
      </c>
      <c r="C104" s="1" t="n">
        <v>45360</v>
      </c>
      <c r="D104" t="inlineStr">
        <is>
          <t>JÄMTLANDS LÄN</t>
        </is>
      </c>
      <c r="E104" t="inlineStr">
        <is>
          <t>RAGUNDA</t>
        </is>
      </c>
      <c r="G104" t="n">
        <v>5.8</v>
      </c>
      <c r="H104" t="n">
        <v>0</v>
      </c>
      <c r="I104" t="n">
        <v>1</v>
      </c>
      <c r="J104" t="n">
        <v>2</v>
      </c>
      <c r="K104" t="n">
        <v>0</v>
      </c>
      <c r="L104" t="n">
        <v>0</v>
      </c>
      <c r="M104" t="n">
        <v>0</v>
      </c>
      <c r="N104" t="n">
        <v>0</v>
      </c>
      <c r="O104" t="n">
        <v>2</v>
      </c>
      <c r="P104" t="n">
        <v>0</v>
      </c>
      <c r="Q104" t="n">
        <v>3</v>
      </c>
      <c r="R104" s="2" t="inlineStr">
        <is>
          <t>Blanksvart spiklav
Kortskaftad ärgspik
Dropptaggsvamp</t>
        </is>
      </c>
      <c r="S104">
        <f>HYPERLINK("https://klasma.github.io/Logging_2303/artfynd/A 27025-2022 artfynd.xlsx", "A 27025-2022")</f>
        <v/>
      </c>
      <c r="T104">
        <f>HYPERLINK("https://klasma.github.io/Logging_2303/kartor/A 27025-2022 karta.png", "A 27025-2022")</f>
        <v/>
      </c>
      <c r="V104">
        <f>HYPERLINK("https://klasma.github.io/Logging_2303/klagomål/A 27025-2022 FSC-klagomål.docx", "A 27025-2022")</f>
        <v/>
      </c>
      <c r="W104">
        <f>HYPERLINK("https://klasma.github.io/Logging_2303/klagomålsmail/A 27025-2022 FSC-klagomål mail.docx", "A 27025-2022")</f>
        <v/>
      </c>
      <c r="X104">
        <f>HYPERLINK("https://klasma.github.io/Logging_2303/tillsyn/A 27025-2022 tillsynsbegäran.docx", "A 27025-2022")</f>
        <v/>
      </c>
      <c r="Y104">
        <f>HYPERLINK("https://klasma.github.io/Logging_2303/tillsynsmail/A 27025-2022 tillsynsbegäran mail.docx", "A 27025-2022")</f>
        <v/>
      </c>
    </row>
    <row r="105" ht="15" customHeight="1">
      <c r="A105" t="inlineStr">
        <is>
          <t>A 48052-2022</t>
        </is>
      </c>
      <c r="B105" s="1" t="n">
        <v>44855</v>
      </c>
      <c r="C105" s="1" t="n">
        <v>45360</v>
      </c>
      <c r="D105" t="inlineStr">
        <is>
          <t>JÄMTLANDS LÄN</t>
        </is>
      </c>
      <c r="E105" t="inlineStr">
        <is>
          <t>RAGUNDA</t>
        </is>
      </c>
      <c r="F105" t="inlineStr">
        <is>
          <t>SCA</t>
        </is>
      </c>
      <c r="G105" t="n">
        <v>8.6</v>
      </c>
      <c r="H105" t="n">
        <v>0</v>
      </c>
      <c r="I105" t="n">
        <v>1</v>
      </c>
      <c r="J105" t="n">
        <v>2</v>
      </c>
      <c r="K105" t="n">
        <v>0</v>
      </c>
      <c r="L105" t="n">
        <v>0</v>
      </c>
      <c r="M105" t="n">
        <v>0</v>
      </c>
      <c r="N105" t="n">
        <v>0</v>
      </c>
      <c r="O105" t="n">
        <v>2</v>
      </c>
      <c r="P105" t="n">
        <v>0</v>
      </c>
      <c r="Q105" t="n">
        <v>3</v>
      </c>
      <c r="R105" s="2" t="inlineStr">
        <is>
          <t>Lunglav
Ullticka
Stuplav</t>
        </is>
      </c>
      <c r="S105">
        <f>HYPERLINK("https://klasma.github.io/Logging_2303/artfynd/A 48052-2022 artfynd.xlsx", "A 48052-2022")</f>
        <v/>
      </c>
      <c r="T105">
        <f>HYPERLINK("https://klasma.github.io/Logging_2303/kartor/A 48052-2022 karta.png", "A 48052-2022")</f>
        <v/>
      </c>
      <c r="V105">
        <f>HYPERLINK("https://klasma.github.io/Logging_2303/klagomål/A 48052-2022 FSC-klagomål.docx", "A 48052-2022")</f>
        <v/>
      </c>
      <c r="W105">
        <f>HYPERLINK("https://klasma.github.io/Logging_2303/klagomålsmail/A 48052-2022 FSC-klagomål mail.docx", "A 48052-2022")</f>
        <v/>
      </c>
      <c r="X105">
        <f>HYPERLINK("https://klasma.github.io/Logging_2303/tillsyn/A 48052-2022 tillsynsbegäran.docx", "A 48052-2022")</f>
        <v/>
      </c>
      <c r="Y105">
        <f>HYPERLINK("https://klasma.github.io/Logging_2303/tillsynsmail/A 48052-2022 tillsynsbegäran mail.docx", "A 48052-2022")</f>
        <v/>
      </c>
    </row>
    <row r="106" ht="15" customHeight="1">
      <c r="A106" t="inlineStr">
        <is>
          <t>A 48054-2022</t>
        </is>
      </c>
      <c r="B106" s="1" t="n">
        <v>44855</v>
      </c>
      <c r="C106" s="1" t="n">
        <v>45360</v>
      </c>
      <c r="D106" t="inlineStr">
        <is>
          <t>JÄMTLANDS LÄN</t>
        </is>
      </c>
      <c r="E106" t="inlineStr">
        <is>
          <t>RAGUNDA</t>
        </is>
      </c>
      <c r="F106" t="inlineStr">
        <is>
          <t>SCA</t>
        </is>
      </c>
      <c r="G106" t="n">
        <v>1.5</v>
      </c>
      <c r="H106" t="n">
        <v>2</v>
      </c>
      <c r="I106" t="n">
        <v>0</v>
      </c>
      <c r="J106" t="n">
        <v>1</v>
      </c>
      <c r="K106" t="n">
        <v>1</v>
      </c>
      <c r="L106" t="n">
        <v>0</v>
      </c>
      <c r="M106" t="n">
        <v>0</v>
      </c>
      <c r="N106" t="n">
        <v>0</v>
      </c>
      <c r="O106" t="n">
        <v>2</v>
      </c>
      <c r="P106" t="n">
        <v>1</v>
      </c>
      <c r="Q106" t="n">
        <v>3</v>
      </c>
      <c r="R106" s="2" t="inlineStr">
        <is>
          <t>Knärot
Lunglav
Blåsippa</t>
        </is>
      </c>
      <c r="S106">
        <f>HYPERLINK("https://klasma.github.io/Logging_2303/artfynd/A 48054-2022 artfynd.xlsx", "A 48054-2022")</f>
        <v/>
      </c>
      <c r="T106">
        <f>HYPERLINK("https://klasma.github.io/Logging_2303/kartor/A 48054-2022 karta.png", "A 48054-2022")</f>
        <v/>
      </c>
      <c r="U106">
        <f>HYPERLINK("https://klasma.github.io/Logging_2303/knärot/A 48054-2022 karta knärot.png", "A 48054-2022")</f>
        <v/>
      </c>
      <c r="V106">
        <f>HYPERLINK("https://klasma.github.io/Logging_2303/klagomål/A 48054-2022 FSC-klagomål.docx", "A 48054-2022")</f>
        <v/>
      </c>
      <c r="W106">
        <f>HYPERLINK("https://klasma.github.io/Logging_2303/klagomålsmail/A 48054-2022 FSC-klagomål mail.docx", "A 48054-2022")</f>
        <v/>
      </c>
      <c r="X106">
        <f>HYPERLINK("https://klasma.github.io/Logging_2303/tillsyn/A 48054-2022 tillsynsbegäran.docx", "A 48054-2022")</f>
        <v/>
      </c>
      <c r="Y106">
        <f>HYPERLINK("https://klasma.github.io/Logging_2303/tillsynsmail/A 48054-2022 tillsynsbegäran mail.docx", "A 48054-2022")</f>
        <v/>
      </c>
    </row>
    <row r="107" ht="15" customHeight="1">
      <c r="A107" t="inlineStr">
        <is>
          <t>A 53022-2022</t>
        </is>
      </c>
      <c r="B107" s="1" t="n">
        <v>44875</v>
      </c>
      <c r="C107" s="1" t="n">
        <v>45360</v>
      </c>
      <c r="D107" t="inlineStr">
        <is>
          <t>JÄMTLANDS LÄN</t>
        </is>
      </c>
      <c r="E107" t="inlineStr">
        <is>
          <t>RAGUNDA</t>
        </is>
      </c>
      <c r="F107" t="inlineStr">
        <is>
          <t>SCA</t>
        </is>
      </c>
      <c r="G107" t="n">
        <v>2.7</v>
      </c>
      <c r="H107" t="n">
        <v>0</v>
      </c>
      <c r="I107" t="n">
        <v>1</v>
      </c>
      <c r="J107" t="n">
        <v>2</v>
      </c>
      <c r="K107" t="n">
        <v>0</v>
      </c>
      <c r="L107" t="n">
        <v>0</v>
      </c>
      <c r="M107" t="n">
        <v>0</v>
      </c>
      <c r="N107" t="n">
        <v>0</v>
      </c>
      <c r="O107" t="n">
        <v>2</v>
      </c>
      <c r="P107" t="n">
        <v>0</v>
      </c>
      <c r="Q107" t="n">
        <v>3</v>
      </c>
      <c r="R107" s="2" t="inlineStr">
        <is>
          <t>Garnlav
Lunglav
Dropptaggsvamp</t>
        </is>
      </c>
      <c r="S107">
        <f>HYPERLINK("https://klasma.github.io/Logging_2303/artfynd/A 53022-2022 artfynd.xlsx", "A 53022-2022")</f>
        <v/>
      </c>
      <c r="T107">
        <f>HYPERLINK("https://klasma.github.io/Logging_2303/kartor/A 53022-2022 karta.png", "A 53022-2022")</f>
        <v/>
      </c>
      <c r="V107">
        <f>HYPERLINK("https://klasma.github.io/Logging_2303/klagomål/A 53022-2022 FSC-klagomål.docx", "A 53022-2022")</f>
        <v/>
      </c>
      <c r="W107">
        <f>HYPERLINK("https://klasma.github.io/Logging_2303/klagomålsmail/A 53022-2022 FSC-klagomål mail.docx", "A 53022-2022")</f>
        <v/>
      </c>
      <c r="X107">
        <f>HYPERLINK("https://klasma.github.io/Logging_2303/tillsyn/A 53022-2022 tillsynsbegäran.docx", "A 53022-2022")</f>
        <v/>
      </c>
      <c r="Y107">
        <f>HYPERLINK("https://klasma.github.io/Logging_2303/tillsynsmail/A 53022-2022 tillsynsbegäran mail.docx", "A 53022-2022")</f>
        <v/>
      </c>
    </row>
    <row r="108" ht="15" customHeight="1">
      <c r="A108" t="inlineStr">
        <is>
          <t>A 58737-2022</t>
        </is>
      </c>
      <c r="B108" s="1" t="n">
        <v>44902</v>
      </c>
      <c r="C108" s="1" t="n">
        <v>45360</v>
      </c>
      <c r="D108" t="inlineStr">
        <is>
          <t>JÄMTLANDS LÄN</t>
        </is>
      </c>
      <c r="E108" t="inlineStr">
        <is>
          <t>RAGUNDA</t>
        </is>
      </c>
      <c r="F108" t="inlineStr">
        <is>
          <t>SCA</t>
        </is>
      </c>
      <c r="G108" t="n">
        <v>2.7</v>
      </c>
      <c r="H108" t="n">
        <v>0</v>
      </c>
      <c r="I108" t="n">
        <v>2</v>
      </c>
      <c r="J108" t="n">
        <v>1</v>
      </c>
      <c r="K108" t="n">
        <v>0</v>
      </c>
      <c r="L108" t="n">
        <v>0</v>
      </c>
      <c r="M108" t="n">
        <v>0</v>
      </c>
      <c r="N108" t="n">
        <v>0</v>
      </c>
      <c r="O108" t="n">
        <v>1</v>
      </c>
      <c r="P108" t="n">
        <v>0</v>
      </c>
      <c r="Q108" t="n">
        <v>3</v>
      </c>
      <c r="R108" s="2" t="inlineStr">
        <is>
          <t>Garnlav
Källmossor
Stuplav</t>
        </is>
      </c>
      <c r="S108">
        <f>HYPERLINK("https://klasma.github.io/Logging_2303/artfynd/A 58737-2022 artfynd.xlsx", "A 58737-2022")</f>
        <v/>
      </c>
      <c r="T108">
        <f>HYPERLINK("https://klasma.github.io/Logging_2303/kartor/A 58737-2022 karta.png", "A 58737-2022")</f>
        <v/>
      </c>
      <c r="V108">
        <f>HYPERLINK("https://klasma.github.io/Logging_2303/klagomål/A 58737-2022 FSC-klagomål.docx", "A 58737-2022")</f>
        <v/>
      </c>
      <c r="W108">
        <f>HYPERLINK("https://klasma.github.io/Logging_2303/klagomålsmail/A 58737-2022 FSC-klagomål mail.docx", "A 58737-2022")</f>
        <v/>
      </c>
      <c r="X108">
        <f>HYPERLINK("https://klasma.github.io/Logging_2303/tillsyn/A 58737-2022 tillsynsbegäran.docx", "A 58737-2022")</f>
        <v/>
      </c>
      <c r="Y108">
        <f>HYPERLINK("https://klasma.github.io/Logging_2303/tillsynsmail/A 58737-2022 tillsynsbegäran mail.docx", "A 58737-2022")</f>
        <v/>
      </c>
    </row>
    <row r="109" ht="15" customHeight="1">
      <c r="A109" t="inlineStr">
        <is>
          <t>A 7519-2023</t>
        </is>
      </c>
      <c r="B109" s="1" t="n">
        <v>44971</v>
      </c>
      <c r="C109" s="1" t="n">
        <v>45360</v>
      </c>
      <c r="D109" t="inlineStr">
        <is>
          <t>JÄMTLANDS LÄN</t>
        </is>
      </c>
      <c r="E109" t="inlineStr">
        <is>
          <t>RAGUNDA</t>
        </is>
      </c>
      <c r="F109" t="inlineStr">
        <is>
          <t>SCA</t>
        </is>
      </c>
      <c r="G109" t="n">
        <v>3.2</v>
      </c>
      <c r="H109" t="n">
        <v>0</v>
      </c>
      <c r="I109" t="n">
        <v>1</v>
      </c>
      <c r="J109" t="n">
        <v>2</v>
      </c>
      <c r="K109" t="n">
        <v>0</v>
      </c>
      <c r="L109" t="n">
        <v>0</v>
      </c>
      <c r="M109" t="n">
        <v>0</v>
      </c>
      <c r="N109" t="n">
        <v>0</v>
      </c>
      <c r="O109" t="n">
        <v>2</v>
      </c>
      <c r="P109" t="n">
        <v>0</v>
      </c>
      <c r="Q109" t="n">
        <v>3</v>
      </c>
      <c r="R109" s="2" t="inlineStr">
        <is>
          <t>Granticka
Lunglav
Stor aspticka</t>
        </is>
      </c>
      <c r="S109">
        <f>HYPERLINK("https://klasma.github.io/Logging_2303/artfynd/A 7519-2023 artfynd.xlsx", "A 7519-2023")</f>
        <v/>
      </c>
      <c r="T109">
        <f>HYPERLINK("https://klasma.github.io/Logging_2303/kartor/A 7519-2023 karta.png", "A 7519-2023")</f>
        <v/>
      </c>
      <c r="V109">
        <f>HYPERLINK("https://klasma.github.io/Logging_2303/klagomål/A 7519-2023 FSC-klagomål.docx", "A 7519-2023")</f>
        <v/>
      </c>
      <c r="W109">
        <f>HYPERLINK("https://klasma.github.io/Logging_2303/klagomålsmail/A 7519-2023 FSC-klagomål mail.docx", "A 7519-2023")</f>
        <v/>
      </c>
      <c r="X109">
        <f>HYPERLINK("https://klasma.github.io/Logging_2303/tillsyn/A 7519-2023 tillsynsbegäran.docx", "A 7519-2023")</f>
        <v/>
      </c>
      <c r="Y109">
        <f>HYPERLINK("https://klasma.github.io/Logging_2303/tillsynsmail/A 7519-2023 tillsynsbegäran mail.docx", "A 7519-2023")</f>
        <v/>
      </c>
    </row>
    <row r="110" ht="15" customHeight="1">
      <c r="A110" t="inlineStr">
        <is>
          <t>A 10531-2023</t>
        </is>
      </c>
      <c r="B110" s="1" t="n">
        <v>44987</v>
      </c>
      <c r="C110" s="1" t="n">
        <v>45360</v>
      </c>
      <c r="D110" t="inlineStr">
        <is>
          <t>JÄMTLANDS LÄN</t>
        </is>
      </c>
      <c r="E110" t="inlineStr">
        <is>
          <t>RAGUNDA</t>
        </is>
      </c>
      <c r="G110" t="n">
        <v>27.1</v>
      </c>
      <c r="H110" t="n">
        <v>0</v>
      </c>
      <c r="I110" t="n">
        <v>1</v>
      </c>
      <c r="J110" t="n">
        <v>2</v>
      </c>
      <c r="K110" t="n">
        <v>0</v>
      </c>
      <c r="L110" t="n">
        <v>0</v>
      </c>
      <c r="M110" t="n">
        <v>0</v>
      </c>
      <c r="N110" t="n">
        <v>0</v>
      </c>
      <c r="O110" t="n">
        <v>2</v>
      </c>
      <c r="P110" t="n">
        <v>0</v>
      </c>
      <c r="Q110" t="n">
        <v>3</v>
      </c>
      <c r="R110" s="2" t="inlineStr">
        <is>
          <t>Blanksvart spiklav
Stiftgelélav
Dropptaggsvamp</t>
        </is>
      </c>
      <c r="S110">
        <f>HYPERLINK("https://klasma.github.io/Logging_2303/artfynd/A 10531-2023 artfynd.xlsx", "A 10531-2023")</f>
        <v/>
      </c>
      <c r="T110">
        <f>HYPERLINK("https://klasma.github.io/Logging_2303/kartor/A 10531-2023 karta.png", "A 10531-2023")</f>
        <v/>
      </c>
      <c r="U110">
        <f>HYPERLINK("https://klasma.github.io/Logging_2303/knärot/A 10531-2023 karta knärot.png", "A 10531-2023")</f>
        <v/>
      </c>
      <c r="V110">
        <f>HYPERLINK("https://klasma.github.io/Logging_2303/klagomål/A 10531-2023 FSC-klagomål.docx", "A 10531-2023")</f>
        <v/>
      </c>
      <c r="W110">
        <f>HYPERLINK("https://klasma.github.io/Logging_2303/klagomålsmail/A 10531-2023 FSC-klagomål mail.docx", "A 10531-2023")</f>
        <v/>
      </c>
      <c r="X110">
        <f>HYPERLINK("https://klasma.github.io/Logging_2303/tillsyn/A 10531-2023 tillsynsbegäran.docx", "A 10531-2023")</f>
        <v/>
      </c>
      <c r="Y110">
        <f>HYPERLINK("https://klasma.github.io/Logging_2303/tillsynsmail/A 10531-2023 tillsynsbegäran mail.docx", "A 10531-2023")</f>
        <v/>
      </c>
    </row>
    <row r="111" ht="15" customHeight="1">
      <c r="A111" t="inlineStr">
        <is>
          <t>A 15368-2023</t>
        </is>
      </c>
      <c r="B111" s="1" t="n">
        <v>45016</v>
      </c>
      <c r="C111" s="1" t="n">
        <v>45360</v>
      </c>
      <c r="D111" t="inlineStr">
        <is>
          <t>JÄMTLANDS LÄN</t>
        </is>
      </c>
      <c r="E111" t="inlineStr">
        <is>
          <t>RAGUNDA</t>
        </is>
      </c>
      <c r="G111" t="n">
        <v>13</v>
      </c>
      <c r="H111" t="n">
        <v>0</v>
      </c>
      <c r="I111" t="n">
        <v>0</v>
      </c>
      <c r="J111" t="n">
        <v>3</v>
      </c>
      <c r="K111" t="n">
        <v>0</v>
      </c>
      <c r="L111" t="n">
        <v>0</v>
      </c>
      <c r="M111" t="n">
        <v>0</v>
      </c>
      <c r="N111" t="n">
        <v>0</v>
      </c>
      <c r="O111" t="n">
        <v>3</v>
      </c>
      <c r="P111" t="n">
        <v>0</v>
      </c>
      <c r="Q111" t="n">
        <v>3</v>
      </c>
      <c r="R111" s="2" t="inlineStr">
        <is>
          <t>Lunglav
Rosenticka
Ullticka</t>
        </is>
      </c>
      <c r="S111">
        <f>HYPERLINK("https://klasma.github.io/Logging_2303/artfynd/A 15368-2023 artfynd.xlsx", "A 15368-2023")</f>
        <v/>
      </c>
      <c r="T111">
        <f>HYPERLINK("https://klasma.github.io/Logging_2303/kartor/A 15368-2023 karta.png", "A 15368-2023")</f>
        <v/>
      </c>
      <c r="V111">
        <f>HYPERLINK("https://klasma.github.io/Logging_2303/klagomål/A 15368-2023 FSC-klagomål.docx", "A 15368-2023")</f>
        <v/>
      </c>
      <c r="W111">
        <f>HYPERLINK("https://klasma.github.io/Logging_2303/klagomålsmail/A 15368-2023 FSC-klagomål mail.docx", "A 15368-2023")</f>
        <v/>
      </c>
      <c r="X111">
        <f>HYPERLINK("https://klasma.github.io/Logging_2303/tillsyn/A 15368-2023 tillsynsbegäran.docx", "A 15368-2023")</f>
        <v/>
      </c>
      <c r="Y111">
        <f>HYPERLINK("https://klasma.github.io/Logging_2303/tillsynsmail/A 15368-2023 tillsynsbegäran mail.docx", "A 15368-2023")</f>
        <v/>
      </c>
    </row>
    <row r="112" ht="15" customHeight="1">
      <c r="A112" t="inlineStr">
        <is>
          <t>A 19439-2023</t>
        </is>
      </c>
      <c r="B112" s="1" t="n">
        <v>45049</v>
      </c>
      <c r="C112" s="1" t="n">
        <v>45360</v>
      </c>
      <c r="D112" t="inlineStr">
        <is>
          <t>JÄMTLANDS LÄN</t>
        </is>
      </c>
      <c r="E112" t="inlineStr">
        <is>
          <t>RAGUNDA</t>
        </is>
      </c>
      <c r="F112" t="inlineStr">
        <is>
          <t>SCA</t>
        </is>
      </c>
      <c r="G112" t="n">
        <v>1.7</v>
      </c>
      <c r="H112" t="n">
        <v>2</v>
      </c>
      <c r="I112" t="n">
        <v>0</v>
      </c>
      <c r="J112" t="n">
        <v>1</v>
      </c>
      <c r="K112" t="n">
        <v>0</v>
      </c>
      <c r="L112" t="n">
        <v>0</v>
      </c>
      <c r="M112" t="n">
        <v>0</v>
      </c>
      <c r="N112" t="n">
        <v>0</v>
      </c>
      <c r="O112" t="n">
        <v>1</v>
      </c>
      <c r="P112" t="n">
        <v>0</v>
      </c>
      <c r="Q112" t="n">
        <v>3</v>
      </c>
      <c r="R112" s="2" t="inlineStr">
        <is>
          <t>Lunglav
Nattviol
Blåsippa</t>
        </is>
      </c>
      <c r="S112">
        <f>HYPERLINK("https://klasma.github.io/Logging_2303/artfynd/A 19439-2023 artfynd.xlsx", "A 19439-2023")</f>
        <v/>
      </c>
      <c r="T112">
        <f>HYPERLINK("https://klasma.github.io/Logging_2303/kartor/A 19439-2023 karta.png", "A 19439-2023")</f>
        <v/>
      </c>
      <c r="V112">
        <f>HYPERLINK("https://klasma.github.io/Logging_2303/klagomål/A 19439-2023 FSC-klagomål.docx", "A 19439-2023")</f>
        <v/>
      </c>
      <c r="W112">
        <f>HYPERLINK("https://klasma.github.io/Logging_2303/klagomålsmail/A 19439-2023 FSC-klagomål mail.docx", "A 19439-2023")</f>
        <v/>
      </c>
      <c r="X112">
        <f>HYPERLINK("https://klasma.github.io/Logging_2303/tillsyn/A 19439-2023 tillsynsbegäran.docx", "A 19439-2023")</f>
        <v/>
      </c>
      <c r="Y112">
        <f>HYPERLINK("https://klasma.github.io/Logging_2303/tillsynsmail/A 19439-2023 tillsynsbegäran mail.docx", "A 19439-2023")</f>
        <v/>
      </c>
    </row>
    <row r="113" ht="15" customHeight="1">
      <c r="A113" t="inlineStr">
        <is>
          <t>A 22730-2023</t>
        </is>
      </c>
      <c r="B113" s="1" t="n">
        <v>45071</v>
      </c>
      <c r="C113" s="1" t="n">
        <v>45360</v>
      </c>
      <c r="D113" t="inlineStr">
        <is>
          <t>JÄMTLANDS LÄN</t>
        </is>
      </c>
      <c r="E113" t="inlineStr">
        <is>
          <t>RAGUNDA</t>
        </is>
      </c>
      <c r="G113" t="n">
        <v>3.6</v>
      </c>
      <c r="H113" t="n">
        <v>0</v>
      </c>
      <c r="I113" t="n">
        <v>0</v>
      </c>
      <c r="J113" t="n">
        <v>3</v>
      </c>
      <c r="K113" t="n">
        <v>0</v>
      </c>
      <c r="L113" t="n">
        <v>0</v>
      </c>
      <c r="M113" t="n">
        <v>0</v>
      </c>
      <c r="N113" t="n">
        <v>0</v>
      </c>
      <c r="O113" t="n">
        <v>3</v>
      </c>
      <c r="P113" t="n">
        <v>0</v>
      </c>
      <c r="Q113" t="n">
        <v>3</v>
      </c>
      <c r="R113" s="2" t="inlineStr">
        <is>
          <t>Garnlav
Lunglav
Vitgrynig nållav</t>
        </is>
      </c>
      <c r="S113">
        <f>HYPERLINK("https://klasma.github.io/Logging_2303/artfynd/A 22730-2023 artfynd.xlsx", "A 22730-2023")</f>
        <v/>
      </c>
      <c r="T113">
        <f>HYPERLINK("https://klasma.github.io/Logging_2303/kartor/A 22730-2023 karta.png", "A 22730-2023")</f>
        <v/>
      </c>
      <c r="V113">
        <f>HYPERLINK("https://klasma.github.io/Logging_2303/klagomål/A 22730-2023 FSC-klagomål.docx", "A 22730-2023")</f>
        <v/>
      </c>
      <c r="W113">
        <f>HYPERLINK("https://klasma.github.io/Logging_2303/klagomålsmail/A 22730-2023 FSC-klagomål mail.docx", "A 22730-2023")</f>
        <v/>
      </c>
      <c r="X113">
        <f>HYPERLINK("https://klasma.github.io/Logging_2303/tillsyn/A 22730-2023 tillsynsbegäran.docx", "A 22730-2023")</f>
        <v/>
      </c>
      <c r="Y113">
        <f>HYPERLINK("https://klasma.github.io/Logging_2303/tillsynsmail/A 22730-2023 tillsynsbegäran mail.docx", "A 22730-2023")</f>
        <v/>
      </c>
    </row>
    <row r="114" ht="15" customHeight="1">
      <c r="A114" t="inlineStr">
        <is>
          <t>A 28178-2023</t>
        </is>
      </c>
      <c r="B114" s="1" t="n">
        <v>45093</v>
      </c>
      <c r="C114" s="1" t="n">
        <v>45360</v>
      </c>
      <c r="D114" t="inlineStr">
        <is>
          <t>JÄMTLANDS LÄN</t>
        </is>
      </c>
      <c r="E114" t="inlineStr">
        <is>
          <t>RAGUNDA</t>
        </is>
      </c>
      <c r="G114" t="n">
        <v>5.6</v>
      </c>
      <c r="H114" t="n">
        <v>0</v>
      </c>
      <c r="I114" t="n">
        <v>0</v>
      </c>
      <c r="J114" t="n">
        <v>3</v>
      </c>
      <c r="K114" t="n">
        <v>0</v>
      </c>
      <c r="L114" t="n">
        <v>0</v>
      </c>
      <c r="M114" t="n">
        <v>0</v>
      </c>
      <c r="N114" t="n">
        <v>0</v>
      </c>
      <c r="O114" t="n">
        <v>3</v>
      </c>
      <c r="P114" t="n">
        <v>0</v>
      </c>
      <c r="Q114" t="n">
        <v>3</v>
      </c>
      <c r="R114" s="2" t="inlineStr">
        <is>
          <t>Garnlav
Gultoppig fingersvamp
Violettgrå tagellav</t>
        </is>
      </c>
      <c r="S114">
        <f>HYPERLINK("https://klasma.github.io/Logging_2303/artfynd/A 28178-2023 artfynd.xlsx", "A 28178-2023")</f>
        <v/>
      </c>
      <c r="T114">
        <f>HYPERLINK("https://klasma.github.io/Logging_2303/kartor/A 28178-2023 karta.png", "A 28178-2023")</f>
        <v/>
      </c>
      <c r="V114">
        <f>HYPERLINK("https://klasma.github.io/Logging_2303/klagomål/A 28178-2023 FSC-klagomål.docx", "A 28178-2023")</f>
        <v/>
      </c>
      <c r="W114">
        <f>HYPERLINK("https://klasma.github.io/Logging_2303/klagomålsmail/A 28178-2023 FSC-klagomål mail.docx", "A 28178-2023")</f>
        <v/>
      </c>
      <c r="X114">
        <f>HYPERLINK("https://klasma.github.io/Logging_2303/tillsyn/A 28178-2023 tillsynsbegäran.docx", "A 28178-2023")</f>
        <v/>
      </c>
      <c r="Y114">
        <f>HYPERLINK("https://klasma.github.io/Logging_2303/tillsynsmail/A 28178-2023 tillsynsbegäran mail.docx", "A 28178-2023")</f>
        <v/>
      </c>
    </row>
    <row r="115" ht="15" customHeight="1">
      <c r="A115" t="inlineStr">
        <is>
          <t>A 36504-2023</t>
        </is>
      </c>
      <c r="B115" s="1" t="n">
        <v>45152</v>
      </c>
      <c r="C115" s="1" t="n">
        <v>45360</v>
      </c>
      <c r="D115" t="inlineStr">
        <is>
          <t>JÄMTLANDS LÄN</t>
        </is>
      </c>
      <c r="E115" t="inlineStr">
        <is>
          <t>RAGUNDA</t>
        </is>
      </c>
      <c r="F115" t="inlineStr">
        <is>
          <t>SCA</t>
        </is>
      </c>
      <c r="G115" t="n">
        <v>2</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HYPERLINK("https://klasma.github.io/Logging_2303/artfynd/A 36504-2023 artfynd.xlsx", "A 36504-2023")</f>
        <v/>
      </c>
      <c r="T115">
        <f>HYPERLINK("https://klasma.github.io/Logging_2303/kartor/A 36504-2023 karta.png", "A 36504-2023")</f>
        <v/>
      </c>
      <c r="V115">
        <f>HYPERLINK("https://klasma.github.io/Logging_2303/klagomål/A 36504-2023 FSC-klagomål.docx", "A 36504-2023")</f>
        <v/>
      </c>
      <c r="W115">
        <f>HYPERLINK("https://klasma.github.io/Logging_2303/klagomålsmail/A 36504-2023 FSC-klagomål mail.docx", "A 36504-2023")</f>
        <v/>
      </c>
      <c r="X115">
        <f>HYPERLINK("https://klasma.github.io/Logging_2303/tillsyn/A 36504-2023 tillsynsbegäran.docx", "A 36504-2023")</f>
        <v/>
      </c>
      <c r="Y115">
        <f>HYPERLINK("https://klasma.github.io/Logging_2303/tillsynsmail/A 36504-2023 tillsynsbegäran mail.docx", "A 36504-2023")</f>
        <v/>
      </c>
    </row>
    <row r="116" ht="15" customHeight="1">
      <c r="A116" t="inlineStr">
        <is>
          <t>A 36756-2023</t>
        </is>
      </c>
      <c r="B116" s="1" t="n">
        <v>45153</v>
      </c>
      <c r="C116" s="1" t="n">
        <v>45360</v>
      </c>
      <c r="D116" t="inlineStr">
        <is>
          <t>JÄMTLANDS LÄN</t>
        </is>
      </c>
      <c r="E116" t="inlineStr">
        <is>
          <t>RAGUNDA</t>
        </is>
      </c>
      <c r="G116" t="n">
        <v>8.5</v>
      </c>
      <c r="H116" t="n">
        <v>2</v>
      </c>
      <c r="I116" t="n">
        <v>0</v>
      </c>
      <c r="J116" t="n">
        <v>3</v>
      </c>
      <c r="K116" t="n">
        <v>0</v>
      </c>
      <c r="L116" t="n">
        <v>0</v>
      </c>
      <c r="M116" t="n">
        <v>0</v>
      </c>
      <c r="N116" t="n">
        <v>0</v>
      </c>
      <c r="O116" t="n">
        <v>3</v>
      </c>
      <c r="P116" t="n">
        <v>0</v>
      </c>
      <c r="Q116" t="n">
        <v>3</v>
      </c>
      <c r="R116" s="2" t="inlineStr">
        <is>
          <t>Granticka
Spillkråka
Tretåig hackspett</t>
        </is>
      </c>
      <c r="S116">
        <f>HYPERLINK("https://klasma.github.io/Logging_2303/artfynd/A 36756-2023 artfynd.xlsx", "A 36756-2023")</f>
        <v/>
      </c>
      <c r="T116">
        <f>HYPERLINK("https://klasma.github.io/Logging_2303/kartor/A 36756-2023 karta.png", "A 36756-2023")</f>
        <v/>
      </c>
      <c r="V116">
        <f>HYPERLINK("https://klasma.github.io/Logging_2303/klagomål/A 36756-2023 FSC-klagomål.docx", "A 36756-2023")</f>
        <v/>
      </c>
      <c r="W116">
        <f>HYPERLINK("https://klasma.github.io/Logging_2303/klagomålsmail/A 36756-2023 FSC-klagomål mail.docx", "A 36756-2023")</f>
        <v/>
      </c>
      <c r="X116">
        <f>HYPERLINK("https://klasma.github.io/Logging_2303/tillsyn/A 36756-2023 tillsynsbegäran.docx", "A 36756-2023")</f>
        <v/>
      </c>
      <c r="Y116">
        <f>HYPERLINK("https://klasma.github.io/Logging_2303/tillsynsmail/A 36756-2023 tillsynsbegäran mail.docx", "A 36756-2023")</f>
        <v/>
      </c>
      <c r="Z116">
        <f>HYPERLINK("https://klasma.github.io/Logging_2303/fåglar/A 36756-2023 prioriterade fågelarter.docx", "A 36756-2023")</f>
        <v/>
      </c>
    </row>
    <row r="117" ht="15" customHeight="1">
      <c r="A117" t="inlineStr">
        <is>
          <t>A 37235-2023</t>
        </is>
      </c>
      <c r="B117" s="1" t="n">
        <v>45155</v>
      </c>
      <c r="C117" s="1" t="n">
        <v>45360</v>
      </c>
      <c r="D117" t="inlineStr">
        <is>
          <t>JÄMTLANDS LÄN</t>
        </is>
      </c>
      <c r="E117" t="inlineStr">
        <is>
          <t>RAGUNDA</t>
        </is>
      </c>
      <c r="F117" t="inlineStr">
        <is>
          <t>SCA</t>
        </is>
      </c>
      <c r="G117" t="n">
        <v>12.4</v>
      </c>
      <c r="H117" t="n">
        <v>3</v>
      </c>
      <c r="I117" t="n">
        <v>1</v>
      </c>
      <c r="J117" t="n">
        <v>0</v>
      </c>
      <c r="K117" t="n">
        <v>1</v>
      </c>
      <c r="L117" t="n">
        <v>0</v>
      </c>
      <c r="M117" t="n">
        <v>0</v>
      </c>
      <c r="N117" t="n">
        <v>0</v>
      </c>
      <c r="O117" t="n">
        <v>1</v>
      </c>
      <c r="P117" t="n">
        <v>1</v>
      </c>
      <c r="Q117" t="n">
        <v>3</v>
      </c>
      <c r="R117" s="2" t="inlineStr">
        <is>
          <t>Knärot
Tvåblad
Nattviol</t>
        </is>
      </c>
      <c r="S117">
        <f>HYPERLINK("https://klasma.github.io/Logging_2303/artfynd/A 37235-2023 artfynd.xlsx", "A 37235-2023")</f>
        <v/>
      </c>
      <c r="T117">
        <f>HYPERLINK("https://klasma.github.io/Logging_2303/kartor/A 37235-2023 karta.png", "A 37235-2023")</f>
        <v/>
      </c>
      <c r="U117">
        <f>HYPERLINK("https://klasma.github.io/Logging_2303/knärot/A 37235-2023 karta knärot.png", "A 37235-2023")</f>
        <v/>
      </c>
      <c r="V117">
        <f>HYPERLINK("https://klasma.github.io/Logging_2303/klagomål/A 37235-2023 FSC-klagomål.docx", "A 37235-2023")</f>
        <v/>
      </c>
      <c r="W117">
        <f>HYPERLINK("https://klasma.github.io/Logging_2303/klagomålsmail/A 37235-2023 FSC-klagomål mail.docx", "A 37235-2023")</f>
        <v/>
      </c>
      <c r="X117">
        <f>HYPERLINK("https://klasma.github.io/Logging_2303/tillsyn/A 37235-2023 tillsynsbegäran.docx", "A 37235-2023")</f>
        <v/>
      </c>
      <c r="Y117">
        <f>HYPERLINK("https://klasma.github.io/Logging_2303/tillsynsmail/A 37235-2023 tillsynsbegäran mail.docx", "A 37235-2023")</f>
        <v/>
      </c>
    </row>
    <row r="118" ht="15" customHeight="1">
      <c r="A118" t="inlineStr">
        <is>
          <t>A 44302-2023</t>
        </is>
      </c>
      <c r="B118" s="1" t="n">
        <v>45188</v>
      </c>
      <c r="C118" s="1" t="n">
        <v>45360</v>
      </c>
      <c r="D118" t="inlineStr">
        <is>
          <t>JÄMTLANDS LÄN</t>
        </is>
      </c>
      <c r="E118" t="inlineStr">
        <is>
          <t>RAGUNDA</t>
        </is>
      </c>
      <c r="G118" t="n">
        <v>9.1</v>
      </c>
      <c r="H118" t="n">
        <v>1</v>
      </c>
      <c r="I118" t="n">
        <v>1</v>
      </c>
      <c r="J118" t="n">
        <v>2</v>
      </c>
      <c r="K118" t="n">
        <v>0</v>
      </c>
      <c r="L118" t="n">
        <v>0</v>
      </c>
      <c r="M118" t="n">
        <v>0</v>
      </c>
      <c r="N118" t="n">
        <v>0</v>
      </c>
      <c r="O118" t="n">
        <v>2</v>
      </c>
      <c r="P118" t="n">
        <v>0</v>
      </c>
      <c r="Q118" t="n">
        <v>3</v>
      </c>
      <c r="R118" s="2" t="inlineStr">
        <is>
          <t>Lunglav
Skrovellav
Korallrot</t>
        </is>
      </c>
      <c r="S118">
        <f>HYPERLINK("https://klasma.github.io/Logging_2303/artfynd/A 44302-2023 artfynd.xlsx", "A 44302-2023")</f>
        <v/>
      </c>
      <c r="T118">
        <f>HYPERLINK("https://klasma.github.io/Logging_2303/kartor/A 44302-2023 karta.png", "A 44302-2023")</f>
        <v/>
      </c>
      <c r="V118">
        <f>HYPERLINK("https://klasma.github.io/Logging_2303/klagomål/A 44302-2023 FSC-klagomål.docx", "A 44302-2023")</f>
        <v/>
      </c>
      <c r="W118">
        <f>HYPERLINK("https://klasma.github.io/Logging_2303/klagomålsmail/A 44302-2023 FSC-klagomål mail.docx", "A 44302-2023")</f>
        <v/>
      </c>
      <c r="X118">
        <f>HYPERLINK("https://klasma.github.io/Logging_2303/tillsyn/A 44302-2023 tillsynsbegäran.docx", "A 44302-2023")</f>
        <v/>
      </c>
      <c r="Y118">
        <f>HYPERLINK("https://klasma.github.io/Logging_2303/tillsynsmail/A 44302-2023 tillsynsbegäran mail.docx", "A 44302-2023")</f>
        <v/>
      </c>
    </row>
    <row r="119" ht="15" customHeight="1">
      <c r="A119" t="inlineStr">
        <is>
          <t>A 49047-2023</t>
        </is>
      </c>
      <c r="B119" s="1" t="n">
        <v>45209</v>
      </c>
      <c r="C119" s="1" t="n">
        <v>45360</v>
      </c>
      <c r="D119" t="inlineStr">
        <is>
          <t>JÄMTLANDS LÄN</t>
        </is>
      </c>
      <c r="E119" t="inlineStr">
        <is>
          <t>RAGUNDA</t>
        </is>
      </c>
      <c r="F119" t="inlineStr">
        <is>
          <t>SCA</t>
        </is>
      </c>
      <c r="G119" t="n">
        <v>6.9</v>
      </c>
      <c r="H119" t="n">
        <v>0</v>
      </c>
      <c r="I119" t="n">
        <v>0</v>
      </c>
      <c r="J119" t="n">
        <v>3</v>
      </c>
      <c r="K119" t="n">
        <v>0</v>
      </c>
      <c r="L119" t="n">
        <v>0</v>
      </c>
      <c r="M119" t="n">
        <v>0</v>
      </c>
      <c r="N119" t="n">
        <v>0</v>
      </c>
      <c r="O119" t="n">
        <v>3</v>
      </c>
      <c r="P119" t="n">
        <v>0</v>
      </c>
      <c r="Q119" t="n">
        <v>3</v>
      </c>
      <c r="R119" s="2" t="inlineStr">
        <is>
          <t>Lunglav
Rosenticka
Skrovellav</t>
        </is>
      </c>
      <c r="S119">
        <f>HYPERLINK("https://klasma.github.io/Logging_2303/artfynd/A 49047-2023 artfynd.xlsx", "A 49047-2023")</f>
        <v/>
      </c>
      <c r="T119">
        <f>HYPERLINK("https://klasma.github.io/Logging_2303/kartor/A 49047-2023 karta.png", "A 49047-2023")</f>
        <v/>
      </c>
      <c r="V119">
        <f>HYPERLINK("https://klasma.github.io/Logging_2303/klagomål/A 49047-2023 FSC-klagomål.docx", "A 49047-2023")</f>
        <v/>
      </c>
      <c r="W119">
        <f>HYPERLINK("https://klasma.github.io/Logging_2303/klagomålsmail/A 49047-2023 FSC-klagomål mail.docx", "A 49047-2023")</f>
        <v/>
      </c>
      <c r="X119">
        <f>HYPERLINK("https://klasma.github.io/Logging_2303/tillsyn/A 49047-2023 tillsynsbegäran.docx", "A 49047-2023")</f>
        <v/>
      </c>
      <c r="Y119">
        <f>HYPERLINK("https://klasma.github.io/Logging_2303/tillsynsmail/A 49047-2023 tillsynsbegäran mail.docx", "A 49047-2023")</f>
        <v/>
      </c>
    </row>
    <row r="120" ht="15" customHeight="1">
      <c r="A120" t="inlineStr">
        <is>
          <t>A 61790-2023</t>
        </is>
      </c>
      <c r="B120" s="1" t="n">
        <v>45265</v>
      </c>
      <c r="C120" s="1" t="n">
        <v>45360</v>
      </c>
      <c r="D120" t="inlineStr">
        <is>
          <t>JÄMTLANDS LÄN</t>
        </is>
      </c>
      <c r="E120" t="inlineStr">
        <is>
          <t>RAGUNDA</t>
        </is>
      </c>
      <c r="F120" t="inlineStr">
        <is>
          <t>SCA</t>
        </is>
      </c>
      <c r="G120" t="n">
        <v>6.1</v>
      </c>
      <c r="H120" t="n">
        <v>0</v>
      </c>
      <c r="I120" t="n">
        <v>0</v>
      </c>
      <c r="J120" t="n">
        <v>3</v>
      </c>
      <c r="K120" t="n">
        <v>0</v>
      </c>
      <c r="L120" t="n">
        <v>0</v>
      </c>
      <c r="M120" t="n">
        <v>0</v>
      </c>
      <c r="N120" t="n">
        <v>0</v>
      </c>
      <c r="O120" t="n">
        <v>3</v>
      </c>
      <c r="P120" t="n">
        <v>0</v>
      </c>
      <c r="Q120" t="n">
        <v>3</v>
      </c>
      <c r="R120" s="2" t="inlineStr">
        <is>
          <t>Gammelgransskål
Lunglav
Skrovellav</t>
        </is>
      </c>
      <c r="S120">
        <f>HYPERLINK("https://klasma.github.io/Logging_2303/artfynd/A 61790-2023 artfynd.xlsx", "A 61790-2023")</f>
        <v/>
      </c>
      <c r="T120">
        <f>HYPERLINK("https://klasma.github.io/Logging_2303/kartor/A 61790-2023 karta.png", "A 61790-2023")</f>
        <v/>
      </c>
      <c r="V120">
        <f>HYPERLINK("https://klasma.github.io/Logging_2303/klagomål/A 61790-2023 FSC-klagomål.docx", "A 61790-2023")</f>
        <v/>
      </c>
      <c r="W120">
        <f>HYPERLINK("https://klasma.github.io/Logging_2303/klagomålsmail/A 61790-2023 FSC-klagomål mail.docx", "A 61790-2023")</f>
        <v/>
      </c>
      <c r="X120">
        <f>HYPERLINK("https://klasma.github.io/Logging_2303/tillsyn/A 61790-2023 tillsynsbegäran.docx", "A 61790-2023")</f>
        <v/>
      </c>
      <c r="Y120">
        <f>HYPERLINK("https://klasma.github.io/Logging_2303/tillsynsmail/A 61790-2023 tillsynsbegäran mail.docx", "A 61790-2023")</f>
        <v/>
      </c>
    </row>
    <row r="121" ht="15" customHeight="1">
      <c r="A121" t="inlineStr">
        <is>
          <t>A 36701-2018</t>
        </is>
      </c>
      <c r="B121" s="1" t="n">
        <v>43329</v>
      </c>
      <c r="C121" s="1" t="n">
        <v>45360</v>
      </c>
      <c r="D121" t="inlineStr">
        <is>
          <t>JÄMTLANDS LÄN</t>
        </is>
      </c>
      <c r="E121" t="inlineStr">
        <is>
          <t>RAGUNDA</t>
        </is>
      </c>
      <c r="G121" t="n">
        <v>39.9</v>
      </c>
      <c r="H121" t="n">
        <v>0</v>
      </c>
      <c r="I121" t="n">
        <v>0</v>
      </c>
      <c r="J121" t="n">
        <v>2</v>
      </c>
      <c r="K121" t="n">
        <v>0</v>
      </c>
      <c r="L121" t="n">
        <v>0</v>
      </c>
      <c r="M121" t="n">
        <v>0</v>
      </c>
      <c r="N121" t="n">
        <v>0</v>
      </c>
      <c r="O121" t="n">
        <v>2</v>
      </c>
      <c r="P121" t="n">
        <v>0</v>
      </c>
      <c r="Q121" t="n">
        <v>2</v>
      </c>
      <c r="R121" s="2" t="inlineStr">
        <is>
          <t>Lunglav
Ullticka</t>
        </is>
      </c>
      <c r="S121">
        <f>HYPERLINK("https://klasma.github.io/Logging_2303/artfynd/A 36701-2018 artfynd.xlsx", "A 36701-2018")</f>
        <v/>
      </c>
      <c r="T121">
        <f>HYPERLINK("https://klasma.github.io/Logging_2303/kartor/A 36701-2018 karta.png", "A 36701-2018")</f>
        <v/>
      </c>
      <c r="V121">
        <f>HYPERLINK("https://klasma.github.io/Logging_2303/klagomål/A 36701-2018 FSC-klagomål.docx", "A 36701-2018")</f>
        <v/>
      </c>
      <c r="W121">
        <f>HYPERLINK("https://klasma.github.io/Logging_2303/klagomålsmail/A 36701-2018 FSC-klagomål mail.docx", "A 36701-2018")</f>
        <v/>
      </c>
      <c r="X121">
        <f>HYPERLINK("https://klasma.github.io/Logging_2303/tillsyn/A 36701-2018 tillsynsbegäran.docx", "A 36701-2018")</f>
        <v/>
      </c>
      <c r="Y121">
        <f>HYPERLINK("https://klasma.github.io/Logging_2303/tillsynsmail/A 36701-2018 tillsynsbegäran mail.docx", "A 36701-2018")</f>
        <v/>
      </c>
    </row>
    <row r="122" ht="15" customHeight="1">
      <c r="A122" t="inlineStr">
        <is>
          <t>A 59960-2018</t>
        </is>
      </c>
      <c r="B122" s="1" t="n">
        <v>43411</v>
      </c>
      <c r="C122" s="1" t="n">
        <v>45360</v>
      </c>
      <c r="D122" t="inlineStr">
        <is>
          <t>JÄMTLANDS LÄN</t>
        </is>
      </c>
      <c r="E122" t="inlineStr">
        <is>
          <t>RAGUNDA</t>
        </is>
      </c>
      <c r="G122" t="n">
        <v>5</v>
      </c>
      <c r="H122" t="n">
        <v>0</v>
      </c>
      <c r="I122" t="n">
        <v>0</v>
      </c>
      <c r="J122" t="n">
        <v>2</v>
      </c>
      <c r="K122" t="n">
        <v>0</v>
      </c>
      <c r="L122" t="n">
        <v>0</v>
      </c>
      <c r="M122" t="n">
        <v>0</v>
      </c>
      <c r="N122" t="n">
        <v>0</v>
      </c>
      <c r="O122" t="n">
        <v>2</v>
      </c>
      <c r="P122" t="n">
        <v>0</v>
      </c>
      <c r="Q122" t="n">
        <v>2</v>
      </c>
      <c r="R122" s="2" t="inlineStr">
        <is>
          <t>Garnlav
Lunglav</t>
        </is>
      </c>
      <c r="S122">
        <f>HYPERLINK("https://klasma.github.io/Logging_2303/artfynd/A 59960-2018 artfynd.xlsx", "A 59960-2018")</f>
        <v/>
      </c>
      <c r="T122">
        <f>HYPERLINK("https://klasma.github.io/Logging_2303/kartor/A 59960-2018 karta.png", "A 59960-2018")</f>
        <v/>
      </c>
      <c r="V122">
        <f>HYPERLINK("https://klasma.github.io/Logging_2303/klagomål/A 59960-2018 FSC-klagomål.docx", "A 59960-2018")</f>
        <v/>
      </c>
      <c r="W122">
        <f>HYPERLINK("https://klasma.github.io/Logging_2303/klagomålsmail/A 59960-2018 FSC-klagomål mail.docx", "A 59960-2018")</f>
        <v/>
      </c>
      <c r="X122">
        <f>HYPERLINK("https://klasma.github.io/Logging_2303/tillsyn/A 59960-2018 tillsynsbegäran.docx", "A 59960-2018")</f>
        <v/>
      </c>
      <c r="Y122">
        <f>HYPERLINK("https://klasma.github.io/Logging_2303/tillsynsmail/A 59960-2018 tillsynsbegäran mail.docx", "A 59960-2018")</f>
        <v/>
      </c>
    </row>
    <row r="123" ht="15" customHeight="1">
      <c r="A123" t="inlineStr">
        <is>
          <t>A 43760-2019</t>
        </is>
      </c>
      <c r="B123" s="1" t="n">
        <v>43707</v>
      </c>
      <c r="C123" s="1" t="n">
        <v>45360</v>
      </c>
      <c r="D123" t="inlineStr">
        <is>
          <t>JÄMTLANDS LÄN</t>
        </is>
      </c>
      <c r="E123" t="inlineStr">
        <is>
          <t>RAGUNDA</t>
        </is>
      </c>
      <c r="G123" t="n">
        <v>3.5</v>
      </c>
      <c r="H123" t="n">
        <v>1</v>
      </c>
      <c r="I123" t="n">
        <v>0</v>
      </c>
      <c r="J123" t="n">
        <v>1</v>
      </c>
      <c r="K123" t="n">
        <v>1</v>
      </c>
      <c r="L123" t="n">
        <v>0</v>
      </c>
      <c r="M123" t="n">
        <v>0</v>
      </c>
      <c r="N123" t="n">
        <v>0</v>
      </c>
      <c r="O123" t="n">
        <v>2</v>
      </c>
      <c r="P123" t="n">
        <v>1</v>
      </c>
      <c r="Q123" t="n">
        <v>2</v>
      </c>
      <c r="R123" s="2" t="inlineStr">
        <is>
          <t>Knärot
Lunglav</t>
        </is>
      </c>
      <c r="S123">
        <f>HYPERLINK("https://klasma.github.io/Logging_2303/artfynd/A 43760-2019 artfynd.xlsx", "A 43760-2019")</f>
        <v/>
      </c>
      <c r="T123">
        <f>HYPERLINK("https://klasma.github.io/Logging_2303/kartor/A 43760-2019 karta.png", "A 43760-2019")</f>
        <v/>
      </c>
      <c r="U123">
        <f>HYPERLINK("https://klasma.github.io/Logging_2303/knärot/A 43760-2019 karta knärot.png", "A 43760-2019")</f>
        <v/>
      </c>
      <c r="V123">
        <f>HYPERLINK("https://klasma.github.io/Logging_2303/klagomål/A 43760-2019 FSC-klagomål.docx", "A 43760-2019")</f>
        <v/>
      </c>
      <c r="W123">
        <f>HYPERLINK("https://klasma.github.io/Logging_2303/klagomålsmail/A 43760-2019 FSC-klagomål mail.docx", "A 43760-2019")</f>
        <v/>
      </c>
      <c r="X123">
        <f>HYPERLINK("https://klasma.github.io/Logging_2303/tillsyn/A 43760-2019 tillsynsbegäran.docx", "A 43760-2019")</f>
        <v/>
      </c>
      <c r="Y123">
        <f>HYPERLINK("https://klasma.github.io/Logging_2303/tillsynsmail/A 43760-2019 tillsynsbegäran mail.docx", "A 43760-2019")</f>
        <v/>
      </c>
    </row>
    <row r="124" ht="15" customHeight="1">
      <c r="A124" t="inlineStr">
        <is>
          <t>A 20477-2020</t>
        </is>
      </c>
      <c r="B124" s="1" t="n">
        <v>43948</v>
      </c>
      <c r="C124" s="1" t="n">
        <v>45360</v>
      </c>
      <c r="D124" t="inlineStr">
        <is>
          <t>JÄMTLANDS LÄN</t>
        </is>
      </c>
      <c r="E124" t="inlineStr">
        <is>
          <t>RAGUNDA</t>
        </is>
      </c>
      <c r="G124" t="n">
        <v>33.6</v>
      </c>
      <c r="H124" t="n">
        <v>0</v>
      </c>
      <c r="I124" t="n">
        <v>1</v>
      </c>
      <c r="J124" t="n">
        <v>1</v>
      </c>
      <c r="K124" t="n">
        <v>0</v>
      </c>
      <c r="L124" t="n">
        <v>0</v>
      </c>
      <c r="M124" t="n">
        <v>0</v>
      </c>
      <c r="N124" t="n">
        <v>0</v>
      </c>
      <c r="O124" t="n">
        <v>1</v>
      </c>
      <c r="P124" t="n">
        <v>0</v>
      </c>
      <c r="Q124" t="n">
        <v>2</v>
      </c>
      <c r="R124" s="2" t="inlineStr">
        <is>
          <t>Lunglav
Luddlav</t>
        </is>
      </c>
      <c r="S124">
        <f>HYPERLINK("https://klasma.github.io/Logging_2303/artfynd/A 20477-2020 artfynd.xlsx", "A 20477-2020")</f>
        <v/>
      </c>
      <c r="T124">
        <f>HYPERLINK("https://klasma.github.io/Logging_2303/kartor/A 20477-2020 karta.png", "A 20477-2020")</f>
        <v/>
      </c>
      <c r="V124">
        <f>HYPERLINK("https://klasma.github.io/Logging_2303/klagomål/A 20477-2020 FSC-klagomål.docx", "A 20477-2020")</f>
        <v/>
      </c>
      <c r="W124">
        <f>HYPERLINK("https://klasma.github.io/Logging_2303/klagomålsmail/A 20477-2020 FSC-klagomål mail.docx", "A 20477-2020")</f>
        <v/>
      </c>
      <c r="X124">
        <f>HYPERLINK("https://klasma.github.io/Logging_2303/tillsyn/A 20477-2020 tillsynsbegäran.docx", "A 20477-2020")</f>
        <v/>
      </c>
      <c r="Y124">
        <f>HYPERLINK("https://klasma.github.io/Logging_2303/tillsynsmail/A 20477-2020 tillsynsbegäran mail.docx", "A 20477-2020")</f>
        <v/>
      </c>
    </row>
    <row r="125" ht="15" customHeight="1">
      <c r="A125" t="inlineStr">
        <is>
          <t>A 47164-2021</t>
        </is>
      </c>
      <c r="B125" s="1" t="n">
        <v>44447</v>
      </c>
      <c r="C125" s="1" t="n">
        <v>45360</v>
      </c>
      <c r="D125" t="inlineStr">
        <is>
          <t>JÄMTLANDS LÄN</t>
        </is>
      </c>
      <c r="E125" t="inlineStr">
        <is>
          <t>RAGUNDA</t>
        </is>
      </c>
      <c r="F125" t="inlineStr">
        <is>
          <t>SCA</t>
        </is>
      </c>
      <c r="G125" t="n">
        <v>8.5</v>
      </c>
      <c r="H125" t="n">
        <v>0</v>
      </c>
      <c r="I125" t="n">
        <v>0</v>
      </c>
      <c r="J125" t="n">
        <v>2</v>
      </c>
      <c r="K125" t="n">
        <v>0</v>
      </c>
      <c r="L125" t="n">
        <v>0</v>
      </c>
      <c r="M125" t="n">
        <v>0</v>
      </c>
      <c r="N125" t="n">
        <v>0</v>
      </c>
      <c r="O125" t="n">
        <v>2</v>
      </c>
      <c r="P125" t="n">
        <v>0</v>
      </c>
      <c r="Q125" t="n">
        <v>2</v>
      </c>
      <c r="R125" s="2" t="inlineStr">
        <is>
          <t>Lunglav
Mörk kolflarnlav</t>
        </is>
      </c>
      <c r="S125">
        <f>HYPERLINK("https://klasma.github.io/Logging_2303/artfynd/A 47164-2021 artfynd.xlsx", "A 47164-2021")</f>
        <v/>
      </c>
      <c r="T125">
        <f>HYPERLINK("https://klasma.github.io/Logging_2303/kartor/A 47164-2021 karta.png", "A 47164-2021")</f>
        <v/>
      </c>
      <c r="V125">
        <f>HYPERLINK("https://klasma.github.io/Logging_2303/klagomål/A 47164-2021 FSC-klagomål.docx", "A 47164-2021")</f>
        <v/>
      </c>
      <c r="W125">
        <f>HYPERLINK("https://klasma.github.io/Logging_2303/klagomålsmail/A 47164-2021 FSC-klagomål mail.docx", "A 47164-2021")</f>
        <v/>
      </c>
      <c r="X125">
        <f>HYPERLINK("https://klasma.github.io/Logging_2303/tillsyn/A 47164-2021 tillsynsbegäran.docx", "A 47164-2021")</f>
        <v/>
      </c>
      <c r="Y125">
        <f>HYPERLINK("https://klasma.github.io/Logging_2303/tillsynsmail/A 47164-2021 tillsynsbegäran mail.docx", "A 47164-2021")</f>
        <v/>
      </c>
    </row>
    <row r="126" ht="15" customHeight="1">
      <c r="A126" t="inlineStr">
        <is>
          <t>A 17043-2022</t>
        </is>
      </c>
      <c r="B126" s="1" t="n">
        <v>44676</v>
      </c>
      <c r="C126" s="1" t="n">
        <v>45360</v>
      </c>
      <c r="D126" t="inlineStr">
        <is>
          <t>JÄMTLANDS LÄN</t>
        </is>
      </c>
      <c r="E126" t="inlineStr">
        <is>
          <t>RAGUNDA</t>
        </is>
      </c>
      <c r="F126" t="inlineStr">
        <is>
          <t>SCA</t>
        </is>
      </c>
      <c r="G126" t="n">
        <v>3</v>
      </c>
      <c r="H126" t="n">
        <v>0</v>
      </c>
      <c r="I126" t="n">
        <v>2</v>
      </c>
      <c r="J126" t="n">
        <v>0</v>
      </c>
      <c r="K126" t="n">
        <v>0</v>
      </c>
      <c r="L126" t="n">
        <v>0</v>
      </c>
      <c r="M126" t="n">
        <v>0</v>
      </c>
      <c r="N126" t="n">
        <v>0</v>
      </c>
      <c r="O126" t="n">
        <v>0</v>
      </c>
      <c r="P126" t="n">
        <v>0</v>
      </c>
      <c r="Q126" t="n">
        <v>2</v>
      </c>
      <c r="R126" s="2" t="inlineStr">
        <is>
          <t>Skinnlav
Vedticka</t>
        </is>
      </c>
      <c r="S126">
        <f>HYPERLINK("https://klasma.github.io/Logging_2303/artfynd/A 17043-2022 artfynd.xlsx", "A 17043-2022")</f>
        <v/>
      </c>
      <c r="T126">
        <f>HYPERLINK("https://klasma.github.io/Logging_2303/kartor/A 17043-2022 karta.png", "A 17043-2022")</f>
        <v/>
      </c>
      <c r="V126">
        <f>HYPERLINK("https://klasma.github.io/Logging_2303/klagomål/A 17043-2022 FSC-klagomål.docx", "A 17043-2022")</f>
        <v/>
      </c>
      <c r="W126">
        <f>HYPERLINK("https://klasma.github.io/Logging_2303/klagomålsmail/A 17043-2022 FSC-klagomål mail.docx", "A 17043-2022")</f>
        <v/>
      </c>
      <c r="X126">
        <f>HYPERLINK("https://klasma.github.io/Logging_2303/tillsyn/A 17043-2022 tillsynsbegäran.docx", "A 17043-2022")</f>
        <v/>
      </c>
      <c r="Y126">
        <f>HYPERLINK("https://klasma.github.io/Logging_2303/tillsynsmail/A 17043-2022 tillsynsbegäran mail.docx", "A 17043-2022")</f>
        <v/>
      </c>
    </row>
    <row r="127" ht="15" customHeight="1">
      <c r="A127" t="inlineStr">
        <is>
          <t>A 17733-2022</t>
        </is>
      </c>
      <c r="B127" s="1" t="n">
        <v>44680</v>
      </c>
      <c r="C127" s="1" t="n">
        <v>45360</v>
      </c>
      <c r="D127" t="inlineStr">
        <is>
          <t>JÄMTLANDS LÄN</t>
        </is>
      </c>
      <c r="E127" t="inlineStr">
        <is>
          <t>RAGUNDA</t>
        </is>
      </c>
      <c r="G127" t="n">
        <v>2.2</v>
      </c>
      <c r="H127" t="n">
        <v>0</v>
      </c>
      <c r="I127" t="n">
        <v>0</v>
      </c>
      <c r="J127" t="n">
        <v>2</v>
      </c>
      <c r="K127" t="n">
        <v>0</v>
      </c>
      <c r="L127" t="n">
        <v>0</v>
      </c>
      <c r="M127" t="n">
        <v>0</v>
      </c>
      <c r="N127" t="n">
        <v>0</v>
      </c>
      <c r="O127" t="n">
        <v>2</v>
      </c>
      <c r="P127" t="n">
        <v>0</v>
      </c>
      <c r="Q127" t="n">
        <v>2</v>
      </c>
      <c r="R127" s="2" t="inlineStr">
        <is>
          <t>Lunglav
Skrovellav</t>
        </is>
      </c>
      <c r="S127">
        <f>HYPERLINK("https://klasma.github.io/Logging_2303/artfynd/A 17733-2022 artfynd.xlsx", "A 17733-2022")</f>
        <v/>
      </c>
      <c r="T127">
        <f>HYPERLINK("https://klasma.github.io/Logging_2303/kartor/A 17733-2022 karta.png", "A 17733-2022")</f>
        <v/>
      </c>
      <c r="V127">
        <f>HYPERLINK("https://klasma.github.io/Logging_2303/klagomål/A 17733-2022 FSC-klagomål.docx", "A 17733-2022")</f>
        <v/>
      </c>
      <c r="W127">
        <f>HYPERLINK("https://klasma.github.io/Logging_2303/klagomålsmail/A 17733-2022 FSC-klagomål mail.docx", "A 17733-2022")</f>
        <v/>
      </c>
      <c r="X127">
        <f>HYPERLINK("https://klasma.github.io/Logging_2303/tillsyn/A 17733-2022 tillsynsbegäran.docx", "A 17733-2022")</f>
        <v/>
      </c>
      <c r="Y127">
        <f>HYPERLINK("https://klasma.github.io/Logging_2303/tillsynsmail/A 17733-2022 tillsynsbegäran mail.docx", "A 17733-2022")</f>
        <v/>
      </c>
    </row>
    <row r="128" ht="15" customHeight="1">
      <c r="A128" t="inlineStr">
        <is>
          <t>A 18552-2022</t>
        </is>
      </c>
      <c r="B128" s="1" t="n">
        <v>44687</v>
      </c>
      <c r="C128" s="1" t="n">
        <v>45360</v>
      </c>
      <c r="D128" t="inlineStr">
        <is>
          <t>JÄMTLANDS LÄN</t>
        </is>
      </c>
      <c r="E128" t="inlineStr">
        <is>
          <t>RAGUNDA</t>
        </is>
      </c>
      <c r="F128" t="inlineStr">
        <is>
          <t>SCA</t>
        </is>
      </c>
      <c r="G128" t="n">
        <v>2.6</v>
      </c>
      <c r="H128" t="n">
        <v>0</v>
      </c>
      <c r="I128" t="n">
        <v>0</v>
      </c>
      <c r="J128" t="n">
        <v>2</v>
      </c>
      <c r="K128" t="n">
        <v>0</v>
      </c>
      <c r="L128" t="n">
        <v>0</v>
      </c>
      <c r="M128" t="n">
        <v>0</v>
      </c>
      <c r="N128" t="n">
        <v>0</v>
      </c>
      <c r="O128" t="n">
        <v>2</v>
      </c>
      <c r="P128" t="n">
        <v>0</v>
      </c>
      <c r="Q128" t="n">
        <v>2</v>
      </c>
      <c r="R128" s="2" t="inlineStr">
        <is>
          <t>Granticka
Vedtrappmossa</t>
        </is>
      </c>
      <c r="S128">
        <f>HYPERLINK("https://klasma.github.io/Logging_2303/artfynd/A 18552-2022 artfynd.xlsx", "A 18552-2022")</f>
        <v/>
      </c>
      <c r="T128">
        <f>HYPERLINK("https://klasma.github.io/Logging_2303/kartor/A 18552-2022 karta.png", "A 18552-2022")</f>
        <v/>
      </c>
      <c r="V128">
        <f>HYPERLINK("https://klasma.github.io/Logging_2303/klagomål/A 18552-2022 FSC-klagomål.docx", "A 18552-2022")</f>
        <v/>
      </c>
      <c r="W128">
        <f>HYPERLINK("https://klasma.github.io/Logging_2303/klagomålsmail/A 18552-2022 FSC-klagomål mail.docx", "A 18552-2022")</f>
        <v/>
      </c>
      <c r="X128">
        <f>HYPERLINK("https://klasma.github.io/Logging_2303/tillsyn/A 18552-2022 tillsynsbegäran.docx", "A 18552-2022")</f>
        <v/>
      </c>
      <c r="Y128">
        <f>HYPERLINK("https://klasma.github.io/Logging_2303/tillsynsmail/A 18552-2022 tillsynsbegäran mail.docx", "A 18552-2022")</f>
        <v/>
      </c>
    </row>
    <row r="129" ht="15" customHeight="1">
      <c r="A129" t="inlineStr">
        <is>
          <t>A 47583-2022</t>
        </is>
      </c>
      <c r="B129" s="1" t="n">
        <v>44854</v>
      </c>
      <c r="C129" s="1" t="n">
        <v>45360</v>
      </c>
      <c r="D129" t="inlineStr">
        <is>
          <t>JÄMTLANDS LÄN</t>
        </is>
      </c>
      <c r="E129" t="inlineStr">
        <is>
          <t>RAGUNDA</t>
        </is>
      </c>
      <c r="F129" t="inlineStr">
        <is>
          <t>SCA</t>
        </is>
      </c>
      <c r="G129" t="n">
        <v>2.6</v>
      </c>
      <c r="H129" t="n">
        <v>0</v>
      </c>
      <c r="I129" t="n">
        <v>0</v>
      </c>
      <c r="J129" t="n">
        <v>2</v>
      </c>
      <c r="K129" t="n">
        <v>0</v>
      </c>
      <c r="L129" t="n">
        <v>0</v>
      </c>
      <c r="M129" t="n">
        <v>0</v>
      </c>
      <c r="N129" t="n">
        <v>0</v>
      </c>
      <c r="O129" t="n">
        <v>2</v>
      </c>
      <c r="P129" t="n">
        <v>0</v>
      </c>
      <c r="Q129" t="n">
        <v>2</v>
      </c>
      <c r="R129" s="2" t="inlineStr">
        <is>
          <t>Garnlav
Lunglav</t>
        </is>
      </c>
      <c r="S129">
        <f>HYPERLINK("https://klasma.github.io/Logging_2303/artfynd/A 47583-2022 artfynd.xlsx", "A 47583-2022")</f>
        <v/>
      </c>
      <c r="T129">
        <f>HYPERLINK("https://klasma.github.io/Logging_2303/kartor/A 47583-2022 karta.png", "A 47583-2022")</f>
        <v/>
      </c>
      <c r="V129">
        <f>HYPERLINK("https://klasma.github.io/Logging_2303/klagomål/A 47583-2022 FSC-klagomål.docx", "A 47583-2022")</f>
        <v/>
      </c>
      <c r="W129">
        <f>HYPERLINK("https://klasma.github.io/Logging_2303/klagomålsmail/A 47583-2022 FSC-klagomål mail.docx", "A 47583-2022")</f>
        <v/>
      </c>
      <c r="X129">
        <f>HYPERLINK("https://klasma.github.io/Logging_2303/tillsyn/A 47583-2022 tillsynsbegäran.docx", "A 47583-2022")</f>
        <v/>
      </c>
      <c r="Y129">
        <f>HYPERLINK("https://klasma.github.io/Logging_2303/tillsynsmail/A 47583-2022 tillsynsbegäran mail.docx", "A 47583-2022")</f>
        <v/>
      </c>
    </row>
    <row r="130" ht="15" customHeight="1">
      <c r="A130" t="inlineStr">
        <is>
          <t>A 48059-2022</t>
        </is>
      </c>
      <c r="B130" s="1" t="n">
        <v>44855</v>
      </c>
      <c r="C130" s="1" t="n">
        <v>45360</v>
      </c>
      <c r="D130" t="inlineStr">
        <is>
          <t>JÄMTLANDS LÄN</t>
        </is>
      </c>
      <c r="E130" t="inlineStr">
        <is>
          <t>RAGUNDA</t>
        </is>
      </c>
      <c r="F130" t="inlineStr">
        <is>
          <t>SCA</t>
        </is>
      </c>
      <c r="G130" t="n">
        <v>3.2</v>
      </c>
      <c r="H130" t="n">
        <v>0</v>
      </c>
      <c r="I130" t="n">
        <v>0</v>
      </c>
      <c r="J130" t="n">
        <v>2</v>
      </c>
      <c r="K130" t="n">
        <v>0</v>
      </c>
      <c r="L130" t="n">
        <v>0</v>
      </c>
      <c r="M130" t="n">
        <v>0</v>
      </c>
      <c r="N130" t="n">
        <v>0</v>
      </c>
      <c r="O130" t="n">
        <v>2</v>
      </c>
      <c r="P130" t="n">
        <v>0</v>
      </c>
      <c r="Q130" t="n">
        <v>2</v>
      </c>
      <c r="R130" s="2" t="inlineStr">
        <is>
          <t>Garnlav
Lunglav</t>
        </is>
      </c>
      <c r="S130">
        <f>HYPERLINK("https://klasma.github.io/Logging_2303/artfynd/A 48059-2022 artfynd.xlsx", "A 48059-2022")</f>
        <v/>
      </c>
      <c r="T130">
        <f>HYPERLINK("https://klasma.github.io/Logging_2303/kartor/A 48059-2022 karta.png", "A 48059-2022")</f>
        <v/>
      </c>
      <c r="V130">
        <f>HYPERLINK("https://klasma.github.io/Logging_2303/klagomål/A 48059-2022 FSC-klagomål.docx", "A 48059-2022")</f>
        <v/>
      </c>
      <c r="W130">
        <f>HYPERLINK("https://klasma.github.io/Logging_2303/klagomålsmail/A 48059-2022 FSC-klagomål mail.docx", "A 48059-2022")</f>
        <v/>
      </c>
      <c r="X130">
        <f>HYPERLINK("https://klasma.github.io/Logging_2303/tillsyn/A 48059-2022 tillsynsbegäran.docx", "A 48059-2022")</f>
        <v/>
      </c>
      <c r="Y130">
        <f>HYPERLINK("https://klasma.github.io/Logging_2303/tillsynsmail/A 48059-2022 tillsynsbegäran mail.docx", "A 48059-2022")</f>
        <v/>
      </c>
    </row>
    <row r="131" ht="15" customHeight="1">
      <c r="A131" t="inlineStr">
        <is>
          <t>A 48084-2022</t>
        </is>
      </c>
      <c r="B131" s="1" t="n">
        <v>44855</v>
      </c>
      <c r="C131" s="1" t="n">
        <v>45360</v>
      </c>
      <c r="D131" t="inlineStr">
        <is>
          <t>JÄMTLANDS LÄN</t>
        </is>
      </c>
      <c r="E131" t="inlineStr">
        <is>
          <t>RAGUNDA</t>
        </is>
      </c>
      <c r="F131" t="inlineStr">
        <is>
          <t>SCA</t>
        </is>
      </c>
      <c r="G131" t="n">
        <v>4.7</v>
      </c>
      <c r="H131" t="n">
        <v>1</v>
      </c>
      <c r="I131" t="n">
        <v>0</v>
      </c>
      <c r="J131" t="n">
        <v>2</v>
      </c>
      <c r="K131" t="n">
        <v>0</v>
      </c>
      <c r="L131" t="n">
        <v>0</v>
      </c>
      <c r="M131" t="n">
        <v>0</v>
      </c>
      <c r="N131" t="n">
        <v>0</v>
      </c>
      <c r="O131" t="n">
        <v>2</v>
      </c>
      <c r="P131" t="n">
        <v>0</v>
      </c>
      <c r="Q131" t="n">
        <v>2</v>
      </c>
      <c r="R131" s="2" t="inlineStr">
        <is>
          <t>Rosenticka
Tretåig hackspett</t>
        </is>
      </c>
      <c r="S131">
        <f>HYPERLINK("https://klasma.github.io/Logging_2303/artfynd/A 48084-2022 artfynd.xlsx", "A 48084-2022")</f>
        <v/>
      </c>
      <c r="T131">
        <f>HYPERLINK("https://klasma.github.io/Logging_2303/kartor/A 48084-2022 karta.png", "A 48084-2022")</f>
        <v/>
      </c>
      <c r="V131">
        <f>HYPERLINK("https://klasma.github.io/Logging_2303/klagomål/A 48084-2022 FSC-klagomål.docx", "A 48084-2022")</f>
        <v/>
      </c>
      <c r="W131">
        <f>HYPERLINK("https://klasma.github.io/Logging_2303/klagomålsmail/A 48084-2022 FSC-klagomål mail.docx", "A 48084-2022")</f>
        <v/>
      </c>
      <c r="X131">
        <f>HYPERLINK("https://klasma.github.io/Logging_2303/tillsyn/A 48084-2022 tillsynsbegäran.docx", "A 48084-2022")</f>
        <v/>
      </c>
      <c r="Y131">
        <f>HYPERLINK("https://klasma.github.io/Logging_2303/tillsynsmail/A 48084-2022 tillsynsbegäran mail.docx", "A 48084-2022")</f>
        <v/>
      </c>
      <c r="Z131">
        <f>HYPERLINK("https://klasma.github.io/Logging_2303/fåglar/A 48084-2022 prioriterade fågelarter.docx", "A 48084-2022")</f>
        <v/>
      </c>
    </row>
    <row r="132" ht="15" customHeight="1">
      <c r="A132" t="inlineStr">
        <is>
          <t>A 49194-2022</t>
        </is>
      </c>
      <c r="B132" s="1" t="n">
        <v>44860</v>
      </c>
      <c r="C132" s="1" t="n">
        <v>45360</v>
      </c>
      <c r="D132" t="inlineStr">
        <is>
          <t>JÄMTLANDS LÄN</t>
        </is>
      </c>
      <c r="E132" t="inlineStr">
        <is>
          <t>RAGUNDA</t>
        </is>
      </c>
      <c r="F132" t="inlineStr">
        <is>
          <t>SCA</t>
        </is>
      </c>
      <c r="G132" t="n">
        <v>2</v>
      </c>
      <c r="H132" t="n">
        <v>1</v>
      </c>
      <c r="I132" t="n">
        <v>0</v>
      </c>
      <c r="J132" t="n">
        <v>1</v>
      </c>
      <c r="K132" t="n">
        <v>1</v>
      </c>
      <c r="L132" t="n">
        <v>0</v>
      </c>
      <c r="M132" t="n">
        <v>0</v>
      </c>
      <c r="N132" t="n">
        <v>0</v>
      </c>
      <c r="O132" t="n">
        <v>2</v>
      </c>
      <c r="P132" t="n">
        <v>1</v>
      </c>
      <c r="Q132" t="n">
        <v>2</v>
      </c>
      <c r="R132" s="2" t="inlineStr">
        <is>
          <t>Doftticka
Lunglav</t>
        </is>
      </c>
      <c r="S132">
        <f>HYPERLINK("https://klasma.github.io/Logging_2303/artfynd/A 49194-2022 artfynd.xlsx", "A 49194-2022")</f>
        <v/>
      </c>
      <c r="T132">
        <f>HYPERLINK("https://klasma.github.io/Logging_2303/kartor/A 49194-2022 karta.png", "A 49194-2022")</f>
        <v/>
      </c>
      <c r="V132">
        <f>HYPERLINK("https://klasma.github.io/Logging_2303/klagomål/A 49194-2022 FSC-klagomål.docx", "A 49194-2022")</f>
        <v/>
      </c>
      <c r="W132">
        <f>HYPERLINK("https://klasma.github.io/Logging_2303/klagomålsmail/A 49194-2022 FSC-klagomål mail.docx", "A 49194-2022")</f>
        <v/>
      </c>
      <c r="X132">
        <f>HYPERLINK("https://klasma.github.io/Logging_2303/tillsyn/A 49194-2022 tillsynsbegäran.docx", "A 49194-2022")</f>
        <v/>
      </c>
      <c r="Y132">
        <f>HYPERLINK("https://klasma.github.io/Logging_2303/tillsynsmail/A 49194-2022 tillsynsbegäran mail.docx", "A 49194-2022")</f>
        <v/>
      </c>
    </row>
    <row r="133" ht="15" customHeight="1">
      <c r="A133" t="inlineStr">
        <is>
          <t>A 8033-2023</t>
        </is>
      </c>
      <c r="B133" s="1" t="n">
        <v>44973</v>
      </c>
      <c r="C133" s="1" t="n">
        <v>45360</v>
      </c>
      <c r="D133" t="inlineStr">
        <is>
          <t>JÄMTLANDS LÄN</t>
        </is>
      </c>
      <c r="E133" t="inlineStr">
        <is>
          <t>RAGUNDA</t>
        </is>
      </c>
      <c r="F133" t="inlineStr">
        <is>
          <t>SCA</t>
        </is>
      </c>
      <c r="G133" t="n">
        <v>9.199999999999999</v>
      </c>
      <c r="H133" t="n">
        <v>0</v>
      </c>
      <c r="I133" t="n">
        <v>1</v>
      </c>
      <c r="J133" t="n">
        <v>1</v>
      </c>
      <c r="K133" t="n">
        <v>0</v>
      </c>
      <c r="L133" t="n">
        <v>0</v>
      </c>
      <c r="M133" t="n">
        <v>0</v>
      </c>
      <c r="N133" t="n">
        <v>0</v>
      </c>
      <c r="O133" t="n">
        <v>1</v>
      </c>
      <c r="P133" t="n">
        <v>0</v>
      </c>
      <c r="Q133" t="n">
        <v>2</v>
      </c>
      <c r="R133" s="2" t="inlineStr">
        <is>
          <t>Kolflarnlav
Grönpyrola</t>
        </is>
      </c>
      <c r="S133">
        <f>HYPERLINK("https://klasma.github.io/Logging_2303/artfynd/A 8033-2023 artfynd.xlsx", "A 8033-2023")</f>
        <v/>
      </c>
      <c r="T133">
        <f>HYPERLINK("https://klasma.github.io/Logging_2303/kartor/A 8033-2023 karta.png", "A 8033-2023")</f>
        <v/>
      </c>
      <c r="V133">
        <f>HYPERLINK("https://klasma.github.io/Logging_2303/klagomål/A 8033-2023 FSC-klagomål.docx", "A 8033-2023")</f>
        <v/>
      </c>
      <c r="W133">
        <f>HYPERLINK("https://klasma.github.io/Logging_2303/klagomålsmail/A 8033-2023 FSC-klagomål mail.docx", "A 8033-2023")</f>
        <v/>
      </c>
      <c r="X133">
        <f>HYPERLINK("https://klasma.github.io/Logging_2303/tillsyn/A 8033-2023 tillsynsbegäran.docx", "A 8033-2023")</f>
        <v/>
      </c>
      <c r="Y133">
        <f>HYPERLINK("https://klasma.github.io/Logging_2303/tillsynsmail/A 8033-2023 tillsynsbegäran mail.docx", "A 8033-2023")</f>
        <v/>
      </c>
    </row>
    <row r="134" ht="15" customHeight="1">
      <c r="A134" t="inlineStr">
        <is>
          <t>A 9340-2023</t>
        </is>
      </c>
      <c r="B134" s="1" t="n">
        <v>44980</v>
      </c>
      <c r="C134" s="1" t="n">
        <v>45360</v>
      </c>
      <c r="D134" t="inlineStr">
        <is>
          <t>JÄMTLANDS LÄN</t>
        </is>
      </c>
      <c r="E134" t="inlineStr">
        <is>
          <t>RAGUNDA</t>
        </is>
      </c>
      <c r="G134" t="n">
        <v>2.9</v>
      </c>
      <c r="H134" t="n">
        <v>0</v>
      </c>
      <c r="I134" t="n">
        <v>0</v>
      </c>
      <c r="J134" t="n">
        <v>2</v>
      </c>
      <c r="K134" t="n">
        <v>0</v>
      </c>
      <c r="L134" t="n">
        <v>0</v>
      </c>
      <c r="M134" t="n">
        <v>0</v>
      </c>
      <c r="N134" t="n">
        <v>0</v>
      </c>
      <c r="O134" t="n">
        <v>2</v>
      </c>
      <c r="P134" t="n">
        <v>0</v>
      </c>
      <c r="Q134" t="n">
        <v>2</v>
      </c>
      <c r="R134" s="2" t="inlineStr">
        <is>
          <t>Garnlav
Lunglav</t>
        </is>
      </c>
      <c r="S134">
        <f>HYPERLINK("https://klasma.github.io/Logging_2303/artfynd/A 9340-2023 artfynd.xlsx", "A 9340-2023")</f>
        <v/>
      </c>
      <c r="T134">
        <f>HYPERLINK("https://klasma.github.io/Logging_2303/kartor/A 9340-2023 karta.png", "A 9340-2023")</f>
        <v/>
      </c>
      <c r="V134">
        <f>HYPERLINK("https://klasma.github.io/Logging_2303/klagomål/A 9340-2023 FSC-klagomål.docx", "A 9340-2023")</f>
        <v/>
      </c>
      <c r="W134">
        <f>HYPERLINK("https://klasma.github.io/Logging_2303/klagomålsmail/A 9340-2023 FSC-klagomål mail.docx", "A 9340-2023")</f>
        <v/>
      </c>
      <c r="X134">
        <f>HYPERLINK("https://klasma.github.io/Logging_2303/tillsyn/A 9340-2023 tillsynsbegäran.docx", "A 9340-2023")</f>
        <v/>
      </c>
      <c r="Y134">
        <f>HYPERLINK("https://klasma.github.io/Logging_2303/tillsynsmail/A 9340-2023 tillsynsbegäran mail.docx", "A 9340-2023")</f>
        <v/>
      </c>
    </row>
    <row r="135" ht="15" customHeight="1">
      <c r="A135" t="inlineStr">
        <is>
          <t>A 13486-2023</t>
        </is>
      </c>
      <c r="B135" s="1" t="n">
        <v>45005</v>
      </c>
      <c r="C135" s="1" t="n">
        <v>45360</v>
      </c>
      <c r="D135" t="inlineStr">
        <is>
          <t>JÄMTLANDS LÄN</t>
        </is>
      </c>
      <c r="E135" t="inlineStr">
        <is>
          <t>RAGUNDA</t>
        </is>
      </c>
      <c r="F135" t="inlineStr">
        <is>
          <t>SCA</t>
        </is>
      </c>
      <c r="G135" t="n">
        <v>4</v>
      </c>
      <c r="H135" t="n">
        <v>0</v>
      </c>
      <c r="I135" t="n">
        <v>0</v>
      </c>
      <c r="J135" t="n">
        <v>2</v>
      </c>
      <c r="K135" t="n">
        <v>0</v>
      </c>
      <c r="L135" t="n">
        <v>0</v>
      </c>
      <c r="M135" t="n">
        <v>0</v>
      </c>
      <c r="N135" t="n">
        <v>0</v>
      </c>
      <c r="O135" t="n">
        <v>2</v>
      </c>
      <c r="P135" t="n">
        <v>0</v>
      </c>
      <c r="Q135" t="n">
        <v>2</v>
      </c>
      <c r="R135" s="2" t="inlineStr">
        <is>
          <t>Dvärgbägarlav
Lunglav</t>
        </is>
      </c>
      <c r="S135">
        <f>HYPERLINK("https://klasma.github.io/Logging_2303/artfynd/A 13486-2023 artfynd.xlsx", "A 13486-2023")</f>
        <v/>
      </c>
      <c r="T135">
        <f>HYPERLINK("https://klasma.github.io/Logging_2303/kartor/A 13486-2023 karta.png", "A 13486-2023")</f>
        <v/>
      </c>
      <c r="V135">
        <f>HYPERLINK("https://klasma.github.io/Logging_2303/klagomål/A 13486-2023 FSC-klagomål.docx", "A 13486-2023")</f>
        <v/>
      </c>
      <c r="W135">
        <f>HYPERLINK("https://klasma.github.io/Logging_2303/klagomålsmail/A 13486-2023 FSC-klagomål mail.docx", "A 13486-2023")</f>
        <v/>
      </c>
      <c r="X135">
        <f>HYPERLINK("https://klasma.github.io/Logging_2303/tillsyn/A 13486-2023 tillsynsbegäran.docx", "A 13486-2023")</f>
        <v/>
      </c>
      <c r="Y135">
        <f>HYPERLINK("https://klasma.github.io/Logging_2303/tillsynsmail/A 13486-2023 tillsynsbegäran mail.docx", "A 13486-2023")</f>
        <v/>
      </c>
    </row>
    <row r="136" ht="15" customHeight="1">
      <c r="A136" t="inlineStr">
        <is>
          <t>A 13899-2023</t>
        </is>
      </c>
      <c r="B136" s="1" t="n">
        <v>45008</v>
      </c>
      <c r="C136" s="1" t="n">
        <v>45360</v>
      </c>
      <c r="D136" t="inlineStr">
        <is>
          <t>JÄMTLANDS LÄN</t>
        </is>
      </c>
      <c r="E136" t="inlineStr">
        <is>
          <t>RAGUNDA</t>
        </is>
      </c>
      <c r="F136" t="inlineStr">
        <is>
          <t>SCA</t>
        </is>
      </c>
      <c r="G136" t="n">
        <v>3.6</v>
      </c>
      <c r="H136" t="n">
        <v>0</v>
      </c>
      <c r="I136" t="n">
        <v>1</v>
      </c>
      <c r="J136" t="n">
        <v>1</v>
      </c>
      <c r="K136" t="n">
        <v>0</v>
      </c>
      <c r="L136" t="n">
        <v>0</v>
      </c>
      <c r="M136" t="n">
        <v>0</v>
      </c>
      <c r="N136" t="n">
        <v>0</v>
      </c>
      <c r="O136" t="n">
        <v>1</v>
      </c>
      <c r="P136" t="n">
        <v>0</v>
      </c>
      <c r="Q136" t="n">
        <v>2</v>
      </c>
      <c r="R136" s="2" t="inlineStr">
        <is>
          <t>Garnlav
Källmossa</t>
        </is>
      </c>
      <c r="S136">
        <f>HYPERLINK("https://klasma.github.io/Logging_2303/artfynd/A 13899-2023 artfynd.xlsx", "A 13899-2023")</f>
        <v/>
      </c>
      <c r="T136">
        <f>HYPERLINK("https://klasma.github.io/Logging_2303/kartor/A 13899-2023 karta.png", "A 13899-2023")</f>
        <v/>
      </c>
      <c r="V136">
        <f>HYPERLINK("https://klasma.github.io/Logging_2303/klagomål/A 13899-2023 FSC-klagomål.docx", "A 13899-2023")</f>
        <v/>
      </c>
      <c r="W136">
        <f>HYPERLINK("https://klasma.github.io/Logging_2303/klagomålsmail/A 13899-2023 FSC-klagomål mail.docx", "A 13899-2023")</f>
        <v/>
      </c>
      <c r="X136">
        <f>HYPERLINK("https://klasma.github.io/Logging_2303/tillsyn/A 13899-2023 tillsynsbegäran.docx", "A 13899-2023")</f>
        <v/>
      </c>
      <c r="Y136">
        <f>HYPERLINK("https://klasma.github.io/Logging_2303/tillsynsmail/A 13899-2023 tillsynsbegäran mail.docx", "A 13899-2023")</f>
        <v/>
      </c>
    </row>
    <row r="137" ht="15" customHeight="1">
      <c r="A137" t="inlineStr">
        <is>
          <t>A 14075-2023</t>
        </is>
      </c>
      <c r="B137" s="1" t="n">
        <v>45009</v>
      </c>
      <c r="C137" s="1" t="n">
        <v>45360</v>
      </c>
      <c r="D137" t="inlineStr">
        <is>
          <t>JÄMTLANDS LÄN</t>
        </is>
      </c>
      <c r="E137" t="inlineStr">
        <is>
          <t>RAGUNDA</t>
        </is>
      </c>
      <c r="F137" t="inlineStr">
        <is>
          <t>SCA</t>
        </is>
      </c>
      <c r="G137" t="n">
        <v>9.5</v>
      </c>
      <c r="H137" t="n">
        <v>0</v>
      </c>
      <c r="I137" t="n">
        <v>0</v>
      </c>
      <c r="J137" t="n">
        <v>1</v>
      </c>
      <c r="K137" t="n">
        <v>1</v>
      </c>
      <c r="L137" t="n">
        <v>0</v>
      </c>
      <c r="M137" t="n">
        <v>0</v>
      </c>
      <c r="N137" t="n">
        <v>0</v>
      </c>
      <c r="O137" t="n">
        <v>2</v>
      </c>
      <c r="P137" t="n">
        <v>1</v>
      </c>
      <c r="Q137" t="n">
        <v>2</v>
      </c>
      <c r="R137" s="2" t="inlineStr">
        <is>
          <t>Gräddporing
Lunglav</t>
        </is>
      </c>
      <c r="S137">
        <f>HYPERLINK("https://klasma.github.io/Logging_2303/artfynd/A 14075-2023 artfynd.xlsx", "A 14075-2023")</f>
        <v/>
      </c>
      <c r="T137">
        <f>HYPERLINK("https://klasma.github.io/Logging_2303/kartor/A 14075-2023 karta.png", "A 14075-2023")</f>
        <v/>
      </c>
      <c r="V137">
        <f>HYPERLINK("https://klasma.github.io/Logging_2303/klagomål/A 14075-2023 FSC-klagomål.docx", "A 14075-2023")</f>
        <v/>
      </c>
      <c r="W137">
        <f>HYPERLINK("https://klasma.github.io/Logging_2303/klagomålsmail/A 14075-2023 FSC-klagomål mail.docx", "A 14075-2023")</f>
        <v/>
      </c>
      <c r="X137">
        <f>HYPERLINK("https://klasma.github.io/Logging_2303/tillsyn/A 14075-2023 tillsynsbegäran.docx", "A 14075-2023")</f>
        <v/>
      </c>
      <c r="Y137">
        <f>HYPERLINK("https://klasma.github.io/Logging_2303/tillsynsmail/A 14075-2023 tillsynsbegäran mail.docx", "A 14075-2023")</f>
        <v/>
      </c>
    </row>
    <row r="138" ht="15" customHeight="1">
      <c r="A138" t="inlineStr">
        <is>
          <t>A 22732-2023</t>
        </is>
      </c>
      <c r="B138" s="1" t="n">
        <v>45071</v>
      </c>
      <c r="C138" s="1" t="n">
        <v>45360</v>
      </c>
      <c r="D138" t="inlineStr">
        <is>
          <t>JÄMTLANDS LÄN</t>
        </is>
      </c>
      <c r="E138" t="inlineStr">
        <is>
          <t>RAGUNDA</t>
        </is>
      </c>
      <c r="G138" t="n">
        <v>3.8</v>
      </c>
      <c r="H138" t="n">
        <v>0</v>
      </c>
      <c r="I138" t="n">
        <v>1</v>
      </c>
      <c r="J138" t="n">
        <v>1</v>
      </c>
      <c r="K138" t="n">
        <v>0</v>
      </c>
      <c r="L138" t="n">
        <v>0</v>
      </c>
      <c r="M138" t="n">
        <v>0</v>
      </c>
      <c r="N138" t="n">
        <v>0</v>
      </c>
      <c r="O138" t="n">
        <v>1</v>
      </c>
      <c r="P138" t="n">
        <v>0</v>
      </c>
      <c r="Q138" t="n">
        <v>2</v>
      </c>
      <c r="R138" s="2" t="inlineStr">
        <is>
          <t>Lunglav
Stuplav</t>
        </is>
      </c>
      <c r="S138">
        <f>HYPERLINK("https://klasma.github.io/Logging_2303/artfynd/A 22732-2023 artfynd.xlsx", "A 22732-2023")</f>
        <v/>
      </c>
      <c r="T138">
        <f>HYPERLINK("https://klasma.github.io/Logging_2303/kartor/A 22732-2023 karta.png", "A 22732-2023")</f>
        <v/>
      </c>
      <c r="V138">
        <f>HYPERLINK("https://klasma.github.io/Logging_2303/klagomål/A 22732-2023 FSC-klagomål.docx", "A 22732-2023")</f>
        <v/>
      </c>
      <c r="W138">
        <f>HYPERLINK("https://klasma.github.io/Logging_2303/klagomålsmail/A 22732-2023 FSC-klagomål mail.docx", "A 22732-2023")</f>
        <v/>
      </c>
      <c r="X138">
        <f>HYPERLINK("https://klasma.github.io/Logging_2303/tillsyn/A 22732-2023 tillsynsbegäran.docx", "A 22732-2023")</f>
        <v/>
      </c>
      <c r="Y138">
        <f>HYPERLINK("https://klasma.github.io/Logging_2303/tillsynsmail/A 22732-2023 tillsynsbegäran mail.docx", "A 22732-2023")</f>
        <v/>
      </c>
    </row>
    <row r="139" ht="15" customHeight="1">
      <c r="A139" t="inlineStr">
        <is>
          <t>A 32736-2023</t>
        </is>
      </c>
      <c r="B139" s="1" t="n">
        <v>45121</v>
      </c>
      <c r="C139" s="1" t="n">
        <v>45360</v>
      </c>
      <c r="D139" t="inlineStr">
        <is>
          <t>JÄMTLANDS LÄN</t>
        </is>
      </c>
      <c r="E139" t="inlineStr">
        <is>
          <t>RAGUNDA</t>
        </is>
      </c>
      <c r="F139" t="inlineStr">
        <is>
          <t>SCA</t>
        </is>
      </c>
      <c r="G139" t="n">
        <v>2.5</v>
      </c>
      <c r="H139" t="n">
        <v>0</v>
      </c>
      <c r="I139" t="n">
        <v>1</v>
      </c>
      <c r="J139" t="n">
        <v>1</v>
      </c>
      <c r="K139" t="n">
        <v>0</v>
      </c>
      <c r="L139" t="n">
        <v>0</v>
      </c>
      <c r="M139" t="n">
        <v>0</v>
      </c>
      <c r="N139" t="n">
        <v>0</v>
      </c>
      <c r="O139" t="n">
        <v>1</v>
      </c>
      <c r="P139" t="n">
        <v>0</v>
      </c>
      <c r="Q139" t="n">
        <v>2</v>
      </c>
      <c r="R139" s="2" t="inlineStr">
        <is>
          <t>Vedtrappmossa
Stor aspticka</t>
        </is>
      </c>
      <c r="S139">
        <f>HYPERLINK("https://klasma.github.io/Logging_2303/artfynd/A 32736-2023 artfynd.xlsx", "A 32736-2023")</f>
        <v/>
      </c>
      <c r="T139">
        <f>HYPERLINK("https://klasma.github.io/Logging_2303/kartor/A 32736-2023 karta.png", "A 32736-2023")</f>
        <v/>
      </c>
      <c r="V139">
        <f>HYPERLINK("https://klasma.github.io/Logging_2303/klagomål/A 32736-2023 FSC-klagomål.docx", "A 32736-2023")</f>
        <v/>
      </c>
      <c r="W139">
        <f>HYPERLINK("https://klasma.github.io/Logging_2303/klagomålsmail/A 32736-2023 FSC-klagomål mail.docx", "A 32736-2023")</f>
        <v/>
      </c>
      <c r="X139">
        <f>HYPERLINK("https://klasma.github.io/Logging_2303/tillsyn/A 32736-2023 tillsynsbegäran.docx", "A 32736-2023")</f>
        <v/>
      </c>
      <c r="Y139">
        <f>HYPERLINK("https://klasma.github.io/Logging_2303/tillsynsmail/A 32736-2023 tillsynsbegäran mail.docx", "A 32736-2023")</f>
        <v/>
      </c>
    </row>
    <row r="140" ht="15" customHeight="1">
      <c r="A140" t="inlineStr">
        <is>
          <t>A 37236-2023</t>
        </is>
      </c>
      <c r="B140" s="1" t="n">
        <v>45155</v>
      </c>
      <c r="C140" s="1" t="n">
        <v>45360</v>
      </c>
      <c r="D140" t="inlineStr">
        <is>
          <t>JÄMTLANDS LÄN</t>
        </is>
      </c>
      <c r="E140" t="inlineStr">
        <is>
          <t>RAGUNDA</t>
        </is>
      </c>
      <c r="F140" t="inlineStr">
        <is>
          <t>SCA</t>
        </is>
      </c>
      <c r="G140" t="n">
        <v>4.7</v>
      </c>
      <c r="H140" t="n">
        <v>0</v>
      </c>
      <c r="I140" t="n">
        <v>0</v>
      </c>
      <c r="J140" t="n">
        <v>2</v>
      </c>
      <c r="K140" t="n">
        <v>0</v>
      </c>
      <c r="L140" t="n">
        <v>0</v>
      </c>
      <c r="M140" t="n">
        <v>0</v>
      </c>
      <c r="N140" t="n">
        <v>0</v>
      </c>
      <c r="O140" t="n">
        <v>2</v>
      </c>
      <c r="P140" t="n">
        <v>0</v>
      </c>
      <c r="Q140" t="n">
        <v>2</v>
      </c>
      <c r="R140" s="2" t="inlineStr">
        <is>
          <t>Kolflarnlav
Lunglav</t>
        </is>
      </c>
      <c r="S140">
        <f>HYPERLINK("https://klasma.github.io/Logging_2303/artfynd/A 37236-2023 artfynd.xlsx", "A 37236-2023")</f>
        <v/>
      </c>
      <c r="T140">
        <f>HYPERLINK("https://klasma.github.io/Logging_2303/kartor/A 37236-2023 karta.png", "A 37236-2023")</f>
        <v/>
      </c>
      <c r="U140">
        <f>HYPERLINK("https://klasma.github.io/Logging_2303/knärot/A 37236-2023 karta knärot.png", "A 37236-2023")</f>
        <v/>
      </c>
      <c r="V140">
        <f>HYPERLINK("https://klasma.github.io/Logging_2303/klagomål/A 37236-2023 FSC-klagomål.docx", "A 37236-2023")</f>
        <v/>
      </c>
      <c r="W140">
        <f>HYPERLINK("https://klasma.github.io/Logging_2303/klagomålsmail/A 37236-2023 FSC-klagomål mail.docx", "A 37236-2023")</f>
        <v/>
      </c>
      <c r="X140">
        <f>HYPERLINK("https://klasma.github.io/Logging_2303/tillsyn/A 37236-2023 tillsynsbegäran.docx", "A 37236-2023")</f>
        <v/>
      </c>
      <c r="Y140">
        <f>HYPERLINK("https://klasma.github.io/Logging_2303/tillsynsmail/A 37236-2023 tillsynsbegäran mail.docx", "A 37236-2023")</f>
        <v/>
      </c>
    </row>
    <row r="141" ht="15" customHeight="1">
      <c r="A141" t="inlineStr">
        <is>
          <t>A 39818-2023</t>
        </is>
      </c>
      <c r="B141" s="1" t="n">
        <v>45167</v>
      </c>
      <c r="C141" s="1" t="n">
        <v>45360</v>
      </c>
      <c r="D141" t="inlineStr">
        <is>
          <t>JÄMTLANDS LÄN</t>
        </is>
      </c>
      <c r="E141" t="inlineStr">
        <is>
          <t>RAGUNDA</t>
        </is>
      </c>
      <c r="F141" t="inlineStr">
        <is>
          <t>SCA</t>
        </is>
      </c>
      <c r="G141" t="n">
        <v>13.6</v>
      </c>
      <c r="H141" t="n">
        <v>0</v>
      </c>
      <c r="I141" t="n">
        <v>0</v>
      </c>
      <c r="J141" t="n">
        <v>2</v>
      </c>
      <c r="K141" t="n">
        <v>0</v>
      </c>
      <c r="L141" t="n">
        <v>0</v>
      </c>
      <c r="M141" t="n">
        <v>0</v>
      </c>
      <c r="N141" t="n">
        <v>0</v>
      </c>
      <c r="O141" t="n">
        <v>2</v>
      </c>
      <c r="P141" t="n">
        <v>0</v>
      </c>
      <c r="Q141" t="n">
        <v>2</v>
      </c>
      <c r="R141" s="2" t="inlineStr">
        <is>
          <t>Lunglav
Ullticka</t>
        </is>
      </c>
      <c r="S141">
        <f>HYPERLINK("https://klasma.github.io/Logging_2303/artfynd/A 39818-2023 artfynd.xlsx", "A 39818-2023")</f>
        <v/>
      </c>
      <c r="T141">
        <f>HYPERLINK("https://klasma.github.io/Logging_2303/kartor/A 39818-2023 karta.png", "A 39818-2023")</f>
        <v/>
      </c>
      <c r="V141">
        <f>HYPERLINK("https://klasma.github.io/Logging_2303/klagomål/A 39818-2023 FSC-klagomål.docx", "A 39818-2023")</f>
        <v/>
      </c>
      <c r="W141">
        <f>HYPERLINK("https://klasma.github.io/Logging_2303/klagomålsmail/A 39818-2023 FSC-klagomål mail.docx", "A 39818-2023")</f>
        <v/>
      </c>
      <c r="X141">
        <f>HYPERLINK("https://klasma.github.io/Logging_2303/tillsyn/A 39818-2023 tillsynsbegäran.docx", "A 39818-2023")</f>
        <v/>
      </c>
      <c r="Y141">
        <f>HYPERLINK("https://klasma.github.io/Logging_2303/tillsynsmail/A 39818-2023 tillsynsbegäran mail.docx", "A 39818-2023")</f>
        <v/>
      </c>
    </row>
    <row r="142" ht="15" customHeight="1">
      <c r="A142" t="inlineStr">
        <is>
          <t>A 40826-2023</t>
        </is>
      </c>
      <c r="B142" s="1" t="n">
        <v>45171</v>
      </c>
      <c r="C142" s="1" t="n">
        <v>45360</v>
      </c>
      <c r="D142" t="inlineStr">
        <is>
          <t>JÄMTLANDS LÄN</t>
        </is>
      </c>
      <c r="E142" t="inlineStr">
        <is>
          <t>RAGUNDA</t>
        </is>
      </c>
      <c r="F142" t="inlineStr">
        <is>
          <t>SCA</t>
        </is>
      </c>
      <c r="G142" t="n">
        <v>4.5</v>
      </c>
      <c r="H142" t="n">
        <v>0</v>
      </c>
      <c r="I142" t="n">
        <v>1</v>
      </c>
      <c r="J142" t="n">
        <v>1</v>
      </c>
      <c r="K142" t="n">
        <v>0</v>
      </c>
      <c r="L142" t="n">
        <v>0</v>
      </c>
      <c r="M142" t="n">
        <v>0</v>
      </c>
      <c r="N142" t="n">
        <v>0</v>
      </c>
      <c r="O142" t="n">
        <v>1</v>
      </c>
      <c r="P142" t="n">
        <v>0</v>
      </c>
      <c r="Q142" t="n">
        <v>2</v>
      </c>
      <c r="R142" s="2" t="inlineStr">
        <is>
          <t>Lunglav
Stuplav</t>
        </is>
      </c>
      <c r="S142">
        <f>HYPERLINK("https://klasma.github.io/Logging_2303/artfynd/A 40826-2023 artfynd.xlsx", "A 40826-2023")</f>
        <v/>
      </c>
      <c r="T142">
        <f>HYPERLINK("https://klasma.github.io/Logging_2303/kartor/A 40826-2023 karta.png", "A 40826-2023")</f>
        <v/>
      </c>
      <c r="V142">
        <f>HYPERLINK("https://klasma.github.io/Logging_2303/klagomål/A 40826-2023 FSC-klagomål.docx", "A 40826-2023")</f>
        <v/>
      </c>
      <c r="W142">
        <f>HYPERLINK("https://klasma.github.io/Logging_2303/klagomålsmail/A 40826-2023 FSC-klagomål mail.docx", "A 40826-2023")</f>
        <v/>
      </c>
      <c r="X142">
        <f>HYPERLINK("https://klasma.github.io/Logging_2303/tillsyn/A 40826-2023 tillsynsbegäran.docx", "A 40826-2023")</f>
        <v/>
      </c>
      <c r="Y142">
        <f>HYPERLINK("https://klasma.github.io/Logging_2303/tillsynsmail/A 40826-2023 tillsynsbegäran mail.docx", "A 40826-2023")</f>
        <v/>
      </c>
    </row>
    <row r="143" ht="15" customHeight="1">
      <c r="A143" t="inlineStr">
        <is>
          <t>A 41407-2023</t>
        </is>
      </c>
      <c r="B143" s="1" t="n">
        <v>45174</v>
      </c>
      <c r="C143" s="1" t="n">
        <v>45360</v>
      </c>
      <c r="D143" t="inlineStr">
        <is>
          <t>JÄMTLANDS LÄN</t>
        </is>
      </c>
      <c r="E143" t="inlineStr">
        <is>
          <t>RAGUNDA</t>
        </is>
      </c>
      <c r="F143" t="inlineStr">
        <is>
          <t>SCA</t>
        </is>
      </c>
      <c r="G143" t="n">
        <v>1.4</v>
      </c>
      <c r="H143" t="n">
        <v>0</v>
      </c>
      <c r="I143" t="n">
        <v>0</v>
      </c>
      <c r="J143" t="n">
        <v>1</v>
      </c>
      <c r="K143" t="n">
        <v>1</v>
      </c>
      <c r="L143" t="n">
        <v>0</v>
      </c>
      <c r="M143" t="n">
        <v>0</v>
      </c>
      <c r="N143" t="n">
        <v>0</v>
      </c>
      <c r="O143" t="n">
        <v>2</v>
      </c>
      <c r="P143" t="n">
        <v>1</v>
      </c>
      <c r="Q143" t="n">
        <v>2</v>
      </c>
      <c r="R143" s="2" t="inlineStr">
        <is>
          <t>Gräddporing
Dvärgbägarlav</t>
        </is>
      </c>
      <c r="S143">
        <f>HYPERLINK("https://klasma.github.io/Logging_2303/artfynd/A 41407-2023 artfynd.xlsx", "A 41407-2023")</f>
        <v/>
      </c>
      <c r="T143">
        <f>HYPERLINK("https://klasma.github.io/Logging_2303/kartor/A 41407-2023 karta.png", "A 41407-2023")</f>
        <v/>
      </c>
      <c r="V143">
        <f>HYPERLINK("https://klasma.github.io/Logging_2303/klagomål/A 41407-2023 FSC-klagomål.docx", "A 41407-2023")</f>
        <v/>
      </c>
      <c r="W143">
        <f>HYPERLINK("https://klasma.github.io/Logging_2303/klagomålsmail/A 41407-2023 FSC-klagomål mail.docx", "A 41407-2023")</f>
        <v/>
      </c>
      <c r="X143">
        <f>HYPERLINK("https://klasma.github.io/Logging_2303/tillsyn/A 41407-2023 tillsynsbegäran.docx", "A 41407-2023")</f>
        <v/>
      </c>
      <c r="Y143">
        <f>HYPERLINK("https://klasma.github.io/Logging_2303/tillsynsmail/A 41407-2023 tillsynsbegäran mail.docx", "A 41407-2023")</f>
        <v/>
      </c>
    </row>
    <row r="144" ht="15" customHeight="1">
      <c r="A144" t="inlineStr">
        <is>
          <t>A 43232-2023</t>
        </is>
      </c>
      <c r="B144" s="1" t="n">
        <v>45180</v>
      </c>
      <c r="C144" s="1" t="n">
        <v>45360</v>
      </c>
      <c r="D144" t="inlineStr">
        <is>
          <t>JÄMTLANDS LÄN</t>
        </is>
      </c>
      <c r="E144" t="inlineStr">
        <is>
          <t>RAGUNDA</t>
        </is>
      </c>
      <c r="G144" t="n">
        <v>7.9</v>
      </c>
      <c r="H144" t="n">
        <v>0</v>
      </c>
      <c r="I144" t="n">
        <v>0</v>
      </c>
      <c r="J144" t="n">
        <v>2</v>
      </c>
      <c r="K144" t="n">
        <v>0</v>
      </c>
      <c r="L144" t="n">
        <v>0</v>
      </c>
      <c r="M144" t="n">
        <v>0</v>
      </c>
      <c r="N144" t="n">
        <v>0</v>
      </c>
      <c r="O144" t="n">
        <v>2</v>
      </c>
      <c r="P144" t="n">
        <v>0</v>
      </c>
      <c r="Q144" t="n">
        <v>2</v>
      </c>
      <c r="R144" s="2" t="inlineStr">
        <is>
          <t>Garnlav
Ullticka</t>
        </is>
      </c>
      <c r="S144">
        <f>HYPERLINK("https://klasma.github.io/Logging_2303/artfynd/A 43232-2023 artfynd.xlsx", "A 43232-2023")</f>
        <v/>
      </c>
      <c r="T144">
        <f>HYPERLINK("https://klasma.github.io/Logging_2303/kartor/A 43232-2023 karta.png", "A 43232-2023")</f>
        <v/>
      </c>
      <c r="V144">
        <f>HYPERLINK("https://klasma.github.io/Logging_2303/klagomål/A 43232-2023 FSC-klagomål.docx", "A 43232-2023")</f>
        <v/>
      </c>
      <c r="W144">
        <f>HYPERLINK("https://klasma.github.io/Logging_2303/klagomålsmail/A 43232-2023 FSC-klagomål mail.docx", "A 43232-2023")</f>
        <v/>
      </c>
      <c r="X144">
        <f>HYPERLINK("https://klasma.github.io/Logging_2303/tillsyn/A 43232-2023 tillsynsbegäran.docx", "A 43232-2023")</f>
        <v/>
      </c>
      <c r="Y144">
        <f>HYPERLINK("https://klasma.github.io/Logging_2303/tillsynsmail/A 43232-2023 tillsynsbegäran mail.docx", "A 43232-2023")</f>
        <v/>
      </c>
    </row>
    <row r="145" ht="15" customHeight="1">
      <c r="A145" t="inlineStr">
        <is>
          <t>A 44409-2023</t>
        </is>
      </c>
      <c r="B145" s="1" t="n">
        <v>45188</v>
      </c>
      <c r="C145" s="1" t="n">
        <v>45360</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Garnlav
Norrlandslav</t>
        </is>
      </c>
      <c r="S145">
        <f>HYPERLINK("https://klasma.github.io/Logging_2303/artfynd/A 44409-2023 artfynd.xlsx", "A 44409-2023")</f>
        <v/>
      </c>
      <c r="T145">
        <f>HYPERLINK("https://klasma.github.io/Logging_2303/kartor/A 44409-2023 karta.png", "A 44409-2023")</f>
        <v/>
      </c>
      <c r="V145">
        <f>HYPERLINK("https://klasma.github.io/Logging_2303/klagomål/A 44409-2023 FSC-klagomål.docx", "A 44409-2023")</f>
        <v/>
      </c>
      <c r="W145">
        <f>HYPERLINK("https://klasma.github.io/Logging_2303/klagomålsmail/A 44409-2023 FSC-klagomål mail.docx", "A 44409-2023")</f>
        <v/>
      </c>
      <c r="X145">
        <f>HYPERLINK("https://klasma.github.io/Logging_2303/tillsyn/A 44409-2023 tillsynsbegäran.docx", "A 44409-2023")</f>
        <v/>
      </c>
      <c r="Y145">
        <f>HYPERLINK("https://klasma.github.io/Logging_2303/tillsynsmail/A 44409-2023 tillsynsbegäran mail.docx", "A 44409-2023")</f>
        <v/>
      </c>
    </row>
    <row r="146" ht="15" customHeight="1">
      <c r="A146" t="inlineStr">
        <is>
          <t>A 45021-2023</t>
        </is>
      </c>
      <c r="B146" s="1" t="n">
        <v>45190</v>
      </c>
      <c r="C146" s="1" t="n">
        <v>45360</v>
      </c>
      <c r="D146" t="inlineStr">
        <is>
          <t>JÄMTLANDS LÄN</t>
        </is>
      </c>
      <c r="E146" t="inlineStr">
        <is>
          <t>RAGUNDA</t>
        </is>
      </c>
      <c r="F146" t="inlineStr">
        <is>
          <t>SCA</t>
        </is>
      </c>
      <c r="G146" t="n">
        <v>1.6</v>
      </c>
      <c r="H146" t="n">
        <v>1</v>
      </c>
      <c r="I146" t="n">
        <v>0</v>
      </c>
      <c r="J146" t="n">
        <v>1</v>
      </c>
      <c r="K146" t="n">
        <v>0</v>
      </c>
      <c r="L146" t="n">
        <v>0</v>
      </c>
      <c r="M146" t="n">
        <v>0</v>
      </c>
      <c r="N146" t="n">
        <v>0</v>
      </c>
      <c r="O146" t="n">
        <v>1</v>
      </c>
      <c r="P146" t="n">
        <v>0</v>
      </c>
      <c r="Q146" t="n">
        <v>2</v>
      </c>
      <c r="R146" s="2" t="inlineStr">
        <is>
          <t>Lunglav
Fläcknycklar</t>
        </is>
      </c>
      <c r="S146">
        <f>HYPERLINK("https://klasma.github.io/Logging_2303/artfynd/A 45021-2023 artfynd.xlsx", "A 45021-2023")</f>
        <v/>
      </c>
      <c r="T146">
        <f>HYPERLINK("https://klasma.github.io/Logging_2303/kartor/A 45021-2023 karta.png", "A 45021-2023")</f>
        <v/>
      </c>
      <c r="V146">
        <f>HYPERLINK("https://klasma.github.io/Logging_2303/klagomål/A 45021-2023 FSC-klagomål.docx", "A 45021-2023")</f>
        <v/>
      </c>
      <c r="W146">
        <f>HYPERLINK("https://klasma.github.io/Logging_2303/klagomålsmail/A 45021-2023 FSC-klagomål mail.docx", "A 45021-2023")</f>
        <v/>
      </c>
      <c r="X146">
        <f>HYPERLINK("https://klasma.github.io/Logging_2303/tillsyn/A 45021-2023 tillsynsbegäran.docx", "A 45021-2023")</f>
        <v/>
      </c>
      <c r="Y146">
        <f>HYPERLINK("https://klasma.github.io/Logging_2303/tillsynsmail/A 45021-2023 tillsynsbegäran mail.docx", "A 45021-2023")</f>
        <v/>
      </c>
    </row>
    <row r="147" ht="15" customHeight="1">
      <c r="A147" t="inlineStr">
        <is>
          <t>A 45035-2023</t>
        </is>
      </c>
      <c r="B147" s="1" t="n">
        <v>45191</v>
      </c>
      <c r="C147" s="1" t="n">
        <v>45360</v>
      </c>
      <c r="D147" t="inlineStr">
        <is>
          <t>JÄMTLANDS LÄN</t>
        </is>
      </c>
      <c r="E147" t="inlineStr">
        <is>
          <t>RAGUNDA</t>
        </is>
      </c>
      <c r="G147" t="n">
        <v>2.9</v>
      </c>
      <c r="H147" t="n">
        <v>0</v>
      </c>
      <c r="I147" t="n">
        <v>1</v>
      </c>
      <c r="J147" t="n">
        <v>1</v>
      </c>
      <c r="K147" t="n">
        <v>0</v>
      </c>
      <c r="L147" t="n">
        <v>0</v>
      </c>
      <c r="M147" t="n">
        <v>0</v>
      </c>
      <c r="N147" t="n">
        <v>0</v>
      </c>
      <c r="O147" t="n">
        <v>1</v>
      </c>
      <c r="P147" t="n">
        <v>0</v>
      </c>
      <c r="Q147" t="n">
        <v>2</v>
      </c>
      <c r="R147" s="2" t="inlineStr">
        <is>
          <t>Lunglav
Korallblylav</t>
        </is>
      </c>
      <c r="S147">
        <f>HYPERLINK("https://klasma.github.io/Logging_2303/artfynd/A 45035-2023 artfynd.xlsx", "A 45035-2023")</f>
        <v/>
      </c>
      <c r="T147">
        <f>HYPERLINK("https://klasma.github.io/Logging_2303/kartor/A 45035-2023 karta.png", "A 45035-2023")</f>
        <v/>
      </c>
      <c r="V147">
        <f>HYPERLINK("https://klasma.github.io/Logging_2303/klagomål/A 45035-2023 FSC-klagomål.docx", "A 45035-2023")</f>
        <v/>
      </c>
      <c r="W147">
        <f>HYPERLINK("https://klasma.github.io/Logging_2303/klagomålsmail/A 45035-2023 FSC-klagomål mail.docx", "A 45035-2023")</f>
        <v/>
      </c>
      <c r="X147">
        <f>HYPERLINK("https://klasma.github.io/Logging_2303/tillsyn/A 45035-2023 tillsynsbegäran.docx", "A 45035-2023")</f>
        <v/>
      </c>
      <c r="Y147">
        <f>HYPERLINK("https://klasma.github.io/Logging_2303/tillsynsmail/A 45035-2023 tillsynsbegäran mail.docx", "A 45035-2023")</f>
        <v/>
      </c>
    </row>
    <row r="148" ht="15" customHeight="1">
      <c r="A148" t="inlineStr">
        <is>
          <t>A 48427-2023</t>
        </is>
      </c>
      <c r="B148" s="1" t="n">
        <v>45205</v>
      </c>
      <c r="C148" s="1" t="n">
        <v>45360</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48427-2023 artfynd.xlsx", "A 48427-2023")</f>
        <v/>
      </c>
      <c r="T148">
        <f>HYPERLINK("https://klasma.github.io/Logging_2303/kartor/A 48427-2023 karta.png", "A 48427-2023")</f>
        <v/>
      </c>
      <c r="V148">
        <f>HYPERLINK("https://klasma.github.io/Logging_2303/klagomål/A 48427-2023 FSC-klagomål.docx", "A 48427-2023")</f>
        <v/>
      </c>
      <c r="W148">
        <f>HYPERLINK("https://klasma.github.io/Logging_2303/klagomålsmail/A 48427-2023 FSC-klagomål mail.docx", "A 48427-2023")</f>
        <v/>
      </c>
      <c r="X148">
        <f>HYPERLINK("https://klasma.github.io/Logging_2303/tillsyn/A 48427-2023 tillsynsbegäran.docx", "A 48427-2023")</f>
        <v/>
      </c>
      <c r="Y148">
        <f>HYPERLINK("https://klasma.github.io/Logging_2303/tillsynsmail/A 48427-2023 tillsynsbegäran mail.docx", "A 48427-2023")</f>
        <v/>
      </c>
    </row>
    <row r="149" ht="15" customHeight="1">
      <c r="A149" t="inlineStr">
        <is>
          <t>A 48474-2023</t>
        </is>
      </c>
      <c r="B149" s="1" t="n">
        <v>45206</v>
      </c>
      <c r="C149" s="1" t="n">
        <v>45360</v>
      </c>
      <c r="D149" t="inlineStr">
        <is>
          <t>JÄMTLANDS LÄN</t>
        </is>
      </c>
      <c r="E149" t="inlineStr">
        <is>
          <t>RAGUNDA</t>
        </is>
      </c>
      <c r="F149" t="inlineStr">
        <is>
          <t>SCA</t>
        </is>
      </c>
      <c r="G149" t="n">
        <v>10.1</v>
      </c>
      <c r="H149" t="n">
        <v>0</v>
      </c>
      <c r="I149" t="n">
        <v>1</v>
      </c>
      <c r="J149" t="n">
        <v>1</v>
      </c>
      <c r="K149" t="n">
        <v>0</v>
      </c>
      <c r="L149" t="n">
        <v>0</v>
      </c>
      <c r="M149" t="n">
        <v>0</v>
      </c>
      <c r="N149" t="n">
        <v>0</v>
      </c>
      <c r="O149" t="n">
        <v>1</v>
      </c>
      <c r="P149" t="n">
        <v>0</v>
      </c>
      <c r="Q149" t="n">
        <v>2</v>
      </c>
      <c r="R149" s="2" t="inlineStr">
        <is>
          <t>Lunglav
Luddlav</t>
        </is>
      </c>
      <c r="S149">
        <f>HYPERLINK("https://klasma.github.io/Logging_2303/artfynd/A 48474-2023 artfynd.xlsx", "A 48474-2023")</f>
        <v/>
      </c>
      <c r="T149">
        <f>HYPERLINK("https://klasma.github.io/Logging_2303/kartor/A 48474-2023 karta.png", "A 48474-2023")</f>
        <v/>
      </c>
      <c r="V149">
        <f>HYPERLINK("https://klasma.github.io/Logging_2303/klagomål/A 48474-2023 FSC-klagomål.docx", "A 48474-2023")</f>
        <v/>
      </c>
      <c r="W149">
        <f>HYPERLINK("https://klasma.github.io/Logging_2303/klagomålsmail/A 48474-2023 FSC-klagomål mail.docx", "A 48474-2023")</f>
        <v/>
      </c>
      <c r="X149">
        <f>HYPERLINK("https://klasma.github.io/Logging_2303/tillsyn/A 48474-2023 tillsynsbegäran.docx", "A 48474-2023")</f>
        <v/>
      </c>
      <c r="Y149">
        <f>HYPERLINK("https://klasma.github.io/Logging_2303/tillsynsmail/A 48474-2023 tillsynsbegäran mail.docx", "A 48474-2023")</f>
        <v/>
      </c>
    </row>
    <row r="150" ht="15" customHeight="1">
      <c r="A150" t="inlineStr">
        <is>
          <t>A 55647-2023</t>
        </is>
      </c>
      <c r="B150" s="1" t="n">
        <v>45238</v>
      </c>
      <c r="C150" s="1" t="n">
        <v>45360</v>
      </c>
      <c r="D150" t="inlineStr">
        <is>
          <t>JÄMTLANDS LÄN</t>
        </is>
      </c>
      <c r="E150" t="inlineStr">
        <is>
          <t>RAGUNDA</t>
        </is>
      </c>
      <c r="F150" t="inlineStr">
        <is>
          <t>SCA</t>
        </is>
      </c>
      <c r="G150" t="n">
        <v>3.7</v>
      </c>
      <c r="H150" t="n">
        <v>0</v>
      </c>
      <c r="I150" t="n">
        <v>1</v>
      </c>
      <c r="J150" t="n">
        <v>1</v>
      </c>
      <c r="K150" t="n">
        <v>0</v>
      </c>
      <c r="L150" t="n">
        <v>0</v>
      </c>
      <c r="M150" t="n">
        <v>0</v>
      </c>
      <c r="N150" t="n">
        <v>0</v>
      </c>
      <c r="O150" t="n">
        <v>1</v>
      </c>
      <c r="P150" t="n">
        <v>0</v>
      </c>
      <c r="Q150" t="n">
        <v>2</v>
      </c>
      <c r="R150" s="2" t="inlineStr">
        <is>
          <t>Granticka
Trådticka</t>
        </is>
      </c>
      <c r="S150">
        <f>HYPERLINK("https://klasma.github.io/Logging_2303/artfynd/A 55647-2023 artfynd.xlsx", "A 55647-2023")</f>
        <v/>
      </c>
      <c r="T150">
        <f>HYPERLINK("https://klasma.github.io/Logging_2303/kartor/A 55647-2023 karta.png", "A 55647-2023")</f>
        <v/>
      </c>
      <c r="V150">
        <f>HYPERLINK("https://klasma.github.io/Logging_2303/klagomål/A 55647-2023 FSC-klagomål.docx", "A 55647-2023")</f>
        <v/>
      </c>
      <c r="W150">
        <f>HYPERLINK("https://klasma.github.io/Logging_2303/klagomålsmail/A 55647-2023 FSC-klagomål mail.docx", "A 55647-2023")</f>
        <v/>
      </c>
      <c r="X150">
        <f>HYPERLINK("https://klasma.github.io/Logging_2303/tillsyn/A 55647-2023 tillsynsbegäran.docx", "A 55647-2023")</f>
        <v/>
      </c>
      <c r="Y150">
        <f>HYPERLINK("https://klasma.github.io/Logging_2303/tillsynsmail/A 55647-2023 tillsynsbegäran mail.docx", "A 55647-2023")</f>
        <v/>
      </c>
    </row>
    <row r="151" ht="15" customHeight="1">
      <c r="A151" t="inlineStr">
        <is>
          <t>A 56285-2023</t>
        </is>
      </c>
      <c r="B151" s="1" t="n">
        <v>45241</v>
      </c>
      <c r="C151" s="1" t="n">
        <v>45360</v>
      </c>
      <c r="D151" t="inlineStr">
        <is>
          <t>JÄMTLANDS LÄN</t>
        </is>
      </c>
      <c r="E151" t="inlineStr">
        <is>
          <t>RAGUNDA</t>
        </is>
      </c>
      <c r="F151" t="inlineStr">
        <is>
          <t>SCA</t>
        </is>
      </c>
      <c r="G151" t="n">
        <v>5.5</v>
      </c>
      <c r="H151" t="n">
        <v>0</v>
      </c>
      <c r="I151" t="n">
        <v>0</v>
      </c>
      <c r="J151" t="n">
        <v>2</v>
      </c>
      <c r="K151" t="n">
        <v>0</v>
      </c>
      <c r="L151" t="n">
        <v>0</v>
      </c>
      <c r="M151" t="n">
        <v>0</v>
      </c>
      <c r="N151" t="n">
        <v>0</v>
      </c>
      <c r="O151" t="n">
        <v>2</v>
      </c>
      <c r="P151" t="n">
        <v>0</v>
      </c>
      <c r="Q151" t="n">
        <v>2</v>
      </c>
      <c r="R151" s="2" t="inlineStr">
        <is>
          <t>Lunglav
Skrovellav</t>
        </is>
      </c>
      <c r="S151">
        <f>HYPERLINK("https://klasma.github.io/Logging_2303/artfynd/A 56285-2023 artfynd.xlsx", "A 56285-2023")</f>
        <v/>
      </c>
      <c r="T151">
        <f>HYPERLINK("https://klasma.github.io/Logging_2303/kartor/A 56285-2023 karta.png", "A 56285-2023")</f>
        <v/>
      </c>
      <c r="V151">
        <f>HYPERLINK("https://klasma.github.io/Logging_2303/klagomål/A 56285-2023 FSC-klagomål.docx", "A 56285-2023")</f>
        <v/>
      </c>
      <c r="W151">
        <f>HYPERLINK("https://klasma.github.io/Logging_2303/klagomålsmail/A 56285-2023 FSC-klagomål mail.docx", "A 56285-2023")</f>
        <v/>
      </c>
      <c r="X151">
        <f>HYPERLINK("https://klasma.github.io/Logging_2303/tillsyn/A 56285-2023 tillsynsbegäran.docx", "A 56285-2023")</f>
        <v/>
      </c>
      <c r="Y151">
        <f>HYPERLINK("https://klasma.github.io/Logging_2303/tillsynsmail/A 56285-2023 tillsynsbegäran mail.docx", "A 56285-2023")</f>
        <v/>
      </c>
    </row>
    <row r="152" ht="15" customHeight="1">
      <c r="A152" t="inlineStr">
        <is>
          <t>A 3838-2024</t>
        </is>
      </c>
      <c r="B152" s="1" t="n">
        <v>45321</v>
      </c>
      <c r="C152" s="1" t="n">
        <v>45360</v>
      </c>
      <c r="D152" t="inlineStr">
        <is>
          <t>JÄMTLANDS LÄN</t>
        </is>
      </c>
      <c r="E152" t="inlineStr">
        <is>
          <t>RAGUNDA</t>
        </is>
      </c>
      <c r="F152" t="inlineStr">
        <is>
          <t>SCA</t>
        </is>
      </c>
      <c r="G152" t="n">
        <v>2</v>
      </c>
      <c r="H152" t="n">
        <v>1</v>
      </c>
      <c r="I152" t="n">
        <v>1</v>
      </c>
      <c r="J152" t="n">
        <v>1</v>
      </c>
      <c r="K152" t="n">
        <v>0</v>
      </c>
      <c r="L152" t="n">
        <v>0</v>
      </c>
      <c r="M152" t="n">
        <v>0</v>
      </c>
      <c r="N152" t="n">
        <v>0</v>
      </c>
      <c r="O152" t="n">
        <v>1</v>
      </c>
      <c r="P152" t="n">
        <v>0</v>
      </c>
      <c r="Q152" t="n">
        <v>2</v>
      </c>
      <c r="R152" s="2" t="inlineStr">
        <is>
          <t>Garnlav
Guckusko</t>
        </is>
      </c>
      <c r="S152">
        <f>HYPERLINK("https://klasma.github.io/Logging_2303/artfynd/A 3838-2024 artfynd.xlsx", "A 3838-2024")</f>
        <v/>
      </c>
      <c r="T152">
        <f>HYPERLINK("https://klasma.github.io/Logging_2303/kartor/A 3838-2024 karta.png", "A 3838-2024")</f>
        <v/>
      </c>
      <c r="V152">
        <f>HYPERLINK("https://klasma.github.io/Logging_2303/klagomål/A 3838-2024 FSC-klagomål.docx", "A 3838-2024")</f>
        <v/>
      </c>
      <c r="W152">
        <f>HYPERLINK("https://klasma.github.io/Logging_2303/klagomålsmail/A 3838-2024 FSC-klagomål mail.docx", "A 3838-2024")</f>
        <v/>
      </c>
      <c r="X152">
        <f>HYPERLINK("https://klasma.github.io/Logging_2303/tillsyn/A 3838-2024 tillsynsbegäran.docx", "A 3838-2024")</f>
        <v/>
      </c>
      <c r="Y152">
        <f>HYPERLINK("https://klasma.github.io/Logging_2303/tillsynsmail/A 3838-2024 tillsynsbegäran mail.docx", "A 3838-2024")</f>
        <v/>
      </c>
    </row>
    <row r="153" ht="15" customHeight="1">
      <c r="A153" t="inlineStr">
        <is>
          <t>A 11079-2019</t>
        </is>
      </c>
      <c r="B153" s="1" t="n">
        <v>43515</v>
      </c>
      <c r="C153" s="1" t="n">
        <v>45360</v>
      </c>
      <c r="D153" t="inlineStr">
        <is>
          <t>JÄMTLANDS LÄN</t>
        </is>
      </c>
      <c r="E153" t="inlineStr">
        <is>
          <t>RAGUNDA</t>
        </is>
      </c>
      <c r="G153" t="n">
        <v>0.9</v>
      </c>
      <c r="H153" t="n">
        <v>1</v>
      </c>
      <c r="I153" t="n">
        <v>0</v>
      </c>
      <c r="J153" t="n">
        <v>0</v>
      </c>
      <c r="K153" t="n">
        <v>1</v>
      </c>
      <c r="L153" t="n">
        <v>0</v>
      </c>
      <c r="M153" t="n">
        <v>0</v>
      </c>
      <c r="N153" t="n">
        <v>0</v>
      </c>
      <c r="O153" t="n">
        <v>1</v>
      </c>
      <c r="P153" t="n">
        <v>1</v>
      </c>
      <c r="Q153" t="n">
        <v>1</v>
      </c>
      <c r="R153" s="2" t="inlineStr">
        <is>
          <t>Bombmurkla</t>
        </is>
      </c>
      <c r="S153">
        <f>HYPERLINK("https://klasma.github.io/Logging_2303/artfynd/A 11079-2019 artfynd.xlsx", "A 11079-2019")</f>
        <v/>
      </c>
      <c r="T153">
        <f>HYPERLINK("https://klasma.github.io/Logging_2303/kartor/A 11079-2019 karta.png", "A 11079-2019")</f>
        <v/>
      </c>
      <c r="V153">
        <f>HYPERLINK("https://klasma.github.io/Logging_2303/klagomål/A 11079-2019 FSC-klagomål.docx", "A 11079-2019")</f>
        <v/>
      </c>
      <c r="W153">
        <f>HYPERLINK("https://klasma.github.io/Logging_2303/klagomålsmail/A 11079-2019 FSC-klagomål mail.docx", "A 11079-2019")</f>
        <v/>
      </c>
      <c r="X153">
        <f>HYPERLINK("https://klasma.github.io/Logging_2303/tillsyn/A 11079-2019 tillsynsbegäran.docx", "A 11079-2019")</f>
        <v/>
      </c>
      <c r="Y153">
        <f>HYPERLINK("https://klasma.github.io/Logging_2303/tillsynsmail/A 11079-2019 tillsynsbegäran mail.docx", "A 11079-2019")</f>
        <v/>
      </c>
    </row>
    <row r="154" ht="15" customHeight="1">
      <c r="A154" t="inlineStr">
        <is>
          <t>A 33241-2019</t>
        </is>
      </c>
      <c r="B154" s="1" t="n">
        <v>43650</v>
      </c>
      <c r="C154" s="1" t="n">
        <v>45360</v>
      </c>
      <c r="D154" t="inlineStr">
        <is>
          <t>JÄMTLANDS LÄN</t>
        </is>
      </c>
      <c r="E154" t="inlineStr">
        <is>
          <t>RAGUNDA</t>
        </is>
      </c>
      <c r="G154" t="n">
        <v>6.3</v>
      </c>
      <c r="H154" t="n">
        <v>0</v>
      </c>
      <c r="I154" t="n">
        <v>0</v>
      </c>
      <c r="J154" t="n">
        <v>1</v>
      </c>
      <c r="K154" t="n">
        <v>0</v>
      </c>
      <c r="L154" t="n">
        <v>0</v>
      </c>
      <c r="M154" t="n">
        <v>0</v>
      </c>
      <c r="N154" t="n">
        <v>0</v>
      </c>
      <c r="O154" t="n">
        <v>1</v>
      </c>
      <c r="P154" t="n">
        <v>0</v>
      </c>
      <c r="Q154" t="n">
        <v>1</v>
      </c>
      <c r="R154" s="2" t="inlineStr">
        <is>
          <t>Garnlav</t>
        </is>
      </c>
      <c r="S154">
        <f>HYPERLINK("https://klasma.github.io/Logging_2303/artfynd/A 33241-2019 artfynd.xlsx", "A 33241-2019")</f>
        <v/>
      </c>
      <c r="T154">
        <f>HYPERLINK("https://klasma.github.io/Logging_2303/kartor/A 33241-2019 karta.png", "A 33241-2019")</f>
        <v/>
      </c>
      <c r="V154">
        <f>HYPERLINK("https://klasma.github.io/Logging_2303/klagomål/A 33241-2019 FSC-klagomål.docx", "A 33241-2019")</f>
        <v/>
      </c>
      <c r="W154">
        <f>HYPERLINK("https://klasma.github.io/Logging_2303/klagomålsmail/A 33241-2019 FSC-klagomål mail.docx", "A 33241-2019")</f>
        <v/>
      </c>
      <c r="X154">
        <f>HYPERLINK("https://klasma.github.io/Logging_2303/tillsyn/A 33241-2019 tillsynsbegäran.docx", "A 33241-2019")</f>
        <v/>
      </c>
      <c r="Y154">
        <f>HYPERLINK("https://klasma.github.io/Logging_2303/tillsynsmail/A 33241-2019 tillsynsbegäran mail.docx", "A 33241-2019")</f>
        <v/>
      </c>
    </row>
    <row r="155" ht="15" customHeight="1">
      <c r="A155" t="inlineStr">
        <is>
          <t>A 61777-2019</t>
        </is>
      </c>
      <c r="B155" s="1" t="n">
        <v>43784</v>
      </c>
      <c r="C155" s="1" t="n">
        <v>45360</v>
      </c>
      <c r="D155" t="inlineStr">
        <is>
          <t>JÄMTLANDS LÄN</t>
        </is>
      </c>
      <c r="E155" t="inlineStr">
        <is>
          <t>RAGUNDA</t>
        </is>
      </c>
      <c r="F155" t="inlineStr">
        <is>
          <t>SCA</t>
        </is>
      </c>
      <c r="G155" t="n">
        <v>6.1</v>
      </c>
      <c r="H155" t="n">
        <v>1</v>
      </c>
      <c r="I155" t="n">
        <v>1</v>
      </c>
      <c r="J155" t="n">
        <v>0</v>
      </c>
      <c r="K155" t="n">
        <v>0</v>
      </c>
      <c r="L155" t="n">
        <v>0</v>
      </c>
      <c r="M155" t="n">
        <v>0</v>
      </c>
      <c r="N155" t="n">
        <v>0</v>
      </c>
      <c r="O155" t="n">
        <v>0</v>
      </c>
      <c r="P155" t="n">
        <v>0</v>
      </c>
      <c r="Q155" t="n">
        <v>1</v>
      </c>
      <c r="R155" s="2" t="inlineStr">
        <is>
          <t>Guckusko</t>
        </is>
      </c>
      <c r="S155">
        <f>HYPERLINK("https://klasma.github.io/Logging_2303/artfynd/A 61777-2019 artfynd.xlsx", "A 61777-2019")</f>
        <v/>
      </c>
      <c r="T155">
        <f>HYPERLINK("https://klasma.github.io/Logging_2303/kartor/A 61777-2019 karta.png", "A 61777-2019")</f>
        <v/>
      </c>
      <c r="V155">
        <f>HYPERLINK("https://klasma.github.io/Logging_2303/klagomål/A 61777-2019 FSC-klagomål.docx", "A 61777-2019")</f>
        <v/>
      </c>
      <c r="W155">
        <f>HYPERLINK("https://klasma.github.io/Logging_2303/klagomålsmail/A 61777-2019 FSC-klagomål mail.docx", "A 61777-2019")</f>
        <v/>
      </c>
      <c r="X155">
        <f>HYPERLINK("https://klasma.github.io/Logging_2303/tillsyn/A 61777-2019 tillsynsbegäran.docx", "A 61777-2019")</f>
        <v/>
      </c>
      <c r="Y155">
        <f>HYPERLINK("https://klasma.github.io/Logging_2303/tillsynsmail/A 61777-2019 tillsynsbegäran mail.docx", "A 61777-2019")</f>
        <v/>
      </c>
    </row>
    <row r="156" ht="15" customHeight="1">
      <c r="A156" t="inlineStr">
        <is>
          <t>A 63221-2019</t>
        </is>
      </c>
      <c r="B156" s="1" t="n">
        <v>43791</v>
      </c>
      <c r="C156" s="1" t="n">
        <v>45360</v>
      </c>
      <c r="D156" t="inlineStr">
        <is>
          <t>JÄMTLANDS LÄN</t>
        </is>
      </c>
      <c r="E156" t="inlineStr">
        <is>
          <t>RAGUNDA</t>
        </is>
      </c>
      <c r="G156" t="n">
        <v>2.2</v>
      </c>
      <c r="H156" t="n">
        <v>0</v>
      </c>
      <c r="I156" t="n">
        <v>1</v>
      </c>
      <c r="J156" t="n">
        <v>0</v>
      </c>
      <c r="K156" t="n">
        <v>0</v>
      </c>
      <c r="L156" t="n">
        <v>0</v>
      </c>
      <c r="M156" t="n">
        <v>0</v>
      </c>
      <c r="N156" t="n">
        <v>0</v>
      </c>
      <c r="O156" t="n">
        <v>0</v>
      </c>
      <c r="P156" t="n">
        <v>0</v>
      </c>
      <c r="Q156" t="n">
        <v>1</v>
      </c>
      <c r="R156" s="2" t="inlineStr">
        <is>
          <t>Dvärghäxört</t>
        </is>
      </c>
      <c r="S156">
        <f>HYPERLINK("https://klasma.github.io/Logging_2303/artfynd/A 63221-2019 artfynd.xlsx", "A 63221-2019")</f>
        <v/>
      </c>
      <c r="T156">
        <f>HYPERLINK("https://klasma.github.io/Logging_2303/kartor/A 63221-2019 karta.png", "A 63221-2019")</f>
        <v/>
      </c>
      <c r="V156">
        <f>HYPERLINK("https://klasma.github.io/Logging_2303/klagomål/A 63221-2019 FSC-klagomål.docx", "A 63221-2019")</f>
        <v/>
      </c>
      <c r="W156">
        <f>HYPERLINK("https://klasma.github.io/Logging_2303/klagomålsmail/A 63221-2019 FSC-klagomål mail.docx", "A 63221-2019")</f>
        <v/>
      </c>
      <c r="X156">
        <f>HYPERLINK("https://klasma.github.io/Logging_2303/tillsyn/A 63221-2019 tillsynsbegäran.docx", "A 63221-2019")</f>
        <v/>
      </c>
      <c r="Y156">
        <f>HYPERLINK("https://klasma.github.io/Logging_2303/tillsynsmail/A 63221-2019 tillsynsbegäran mail.docx", "A 63221-2019")</f>
        <v/>
      </c>
    </row>
    <row r="157" ht="15" customHeight="1">
      <c r="A157" t="inlineStr">
        <is>
          <t>A 24657-2020</t>
        </is>
      </c>
      <c r="B157" s="1" t="n">
        <v>43977</v>
      </c>
      <c r="C157" s="1" t="n">
        <v>45360</v>
      </c>
      <c r="D157" t="inlineStr">
        <is>
          <t>JÄMTLANDS LÄN</t>
        </is>
      </c>
      <c r="E157" t="inlineStr">
        <is>
          <t>RAGUNDA</t>
        </is>
      </c>
      <c r="F157" t="inlineStr">
        <is>
          <t>SCA</t>
        </is>
      </c>
      <c r="G157" t="n">
        <v>20.5</v>
      </c>
      <c r="H157" t="n">
        <v>0</v>
      </c>
      <c r="I157" t="n">
        <v>0</v>
      </c>
      <c r="J157" t="n">
        <v>0</v>
      </c>
      <c r="K157" t="n">
        <v>1</v>
      </c>
      <c r="L157" t="n">
        <v>0</v>
      </c>
      <c r="M157" t="n">
        <v>0</v>
      </c>
      <c r="N157" t="n">
        <v>0</v>
      </c>
      <c r="O157" t="n">
        <v>1</v>
      </c>
      <c r="P157" t="n">
        <v>1</v>
      </c>
      <c r="Q157" t="n">
        <v>1</v>
      </c>
      <c r="R157" s="2" t="inlineStr">
        <is>
          <t>Gräddporing</t>
        </is>
      </c>
      <c r="S157">
        <f>HYPERLINK("https://klasma.github.io/Logging_2303/artfynd/A 24657-2020 artfynd.xlsx", "A 24657-2020")</f>
        <v/>
      </c>
      <c r="T157">
        <f>HYPERLINK("https://klasma.github.io/Logging_2303/kartor/A 24657-2020 karta.png", "A 24657-2020")</f>
        <v/>
      </c>
      <c r="V157">
        <f>HYPERLINK("https://klasma.github.io/Logging_2303/klagomål/A 24657-2020 FSC-klagomål.docx", "A 24657-2020")</f>
        <v/>
      </c>
      <c r="W157">
        <f>HYPERLINK("https://klasma.github.io/Logging_2303/klagomålsmail/A 24657-2020 FSC-klagomål mail.docx", "A 24657-2020")</f>
        <v/>
      </c>
      <c r="X157">
        <f>HYPERLINK("https://klasma.github.io/Logging_2303/tillsyn/A 24657-2020 tillsynsbegäran.docx", "A 24657-2020")</f>
        <v/>
      </c>
      <c r="Y157">
        <f>HYPERLINK("https://klasma.github.io/Logging_2303/tillsynsmail/A 24657-2020 tillsynsbegäran mail.docx", "A 24657-2020")</f>
        <v/>
      </c>
    </row>
    <row r="158" ht="15" customHeight="1">
      <c r="A158" t="inlineStr">
        <is>
          <t>A 31357-2020</t>
        </is>
      </c>
      <c r="B158" s="1" t="n">
        <v>44012</v>
      </c>
      <c r="C158" s="1" t="n">
        <v>45360</v>
      </c>
      <c r="D158" t="inlineStr">
        <is>
          <t>JÄMTLANDS LÄN</t>
        </is>
      </c>
      <c r="E158" t="inlineStr">
        <is>
          <t>RAGUNDA</t>
        </is>
      </c>
      <c r="F158" t="inlineStr">
        <is>
          <t>SCA</t>
        </is>
      </c>
      <c r="G158" t="n">
        <v>21.4</v>
      </c>
      <c r="H158" t="n">
        <v>1</v>
      </c>
      <c r="I158" t="n">
        <v>0</v>
      </c>
      <c r="J158" t="n">
        <v>1</v>
      </c>
      <c r="K158" t="n">
        <v>0</v>
      </c>
      <c r="L158" t="n">
        <v>0</v>
      </c>
      <c r="M158" t="n">
        <v>0</v>
      </c>
      <c r="N158" t="n">
        <v>0</v>
      </c>
      <c r="O158" t="n">
        <v>1</v>
      </c>
      <c r="P158" t="n">
        <v>0</v>
      </c>
      <c r="Q158" t="n">
        <v>1</v>
      </c>
      <c r="R158" s="2" t="inlineStr">
        <is>
          <t>Tretåig hackspett</t>
        </is>
      </c>
      <c r="S158">
        <f>HYPERLINK("https://klasma.github.io/Logging_2303/artfynd/A 31357-2020 artfynd.xlsx", "A 31357-2020")</f>
        <v/>
      </c>
      <c r="T158">
        <f>HYPERLINK("https://klasma.github.io/Logging_2303/kartor/A 31357-2020 karta.png", "A 31357-2020")</f>
        <v/>
      </c>
      <c r="V158">
        <f>HYPERLINK("https://klasma.github.io/Logging_2303/klagomål/A 31357-2020 FSC-klagomål.docx", "A 31357-2020")</f>
        <v/>
      </c>
      <c r="W158">
        <f>HYPERLINK("https://klasma.github.io/Logging_2303/klagomålsmail/A 31357-2020 FSC-klagomål mail.docx", "A 31357-2020")</f>
        <v/>
      </c>
      <c r="X158">
        <f>HYPERLINK("https://klasma.github.io/Logging_2303/tillsyn/A 31357-2020 tillsynsbegäran.docx", "A 31357-2020")</f>
        <v/>
      </c>
      <c r="Y158">
        <f>HYPERLINK("https://klasma.github.io/Logging_2303/tillsynsmail/A 31357-2020 tillsynsbegäran mail.docx", "A 31357-2020")</f>
        <v/>
      </c>
      <c r="Z158">
        <f>HYPERLINK("https://klasma.github.io/Logging_2303/fåglar/A 31357-2020 prioriterade fågelarter.docx", "A 31357-2020")</f>
        <v/>
      </c>
    </row>
    <row r="159" ht="15" customHeight="1">
      <c r="A159" t="inlineStr">
        <is>
          <t>A 36457-2020</t>
        </is>
      </c>
      <c r="B159" s="1" t="n">
        <v>44049</v>
      </c>
      <c r="C159" s="1" t="n">
        <v>45360</v>
      </c>
      <c r="D159" t="inlineStr">
        <is>
          <t>JÄMTLANDS LÄN</t>
        </is>
      </c>
      <c r="E159" t="inlineStr">
        <is>
          <t>RAGUNDA</t>
        </is>
      </c>
      <c r="F159" t="inlineStr">
        <is>
          <t>SCA</t>
        </is>
      </c>
      <c r="G159" t="n">
        <v>2.5</v>
      </c>
      <c r="H159" t="n">
        <v>1</v>
      </c>
      <c r="I159" t="n">
        <v>1</v>
      </c>
      <c r="J159" t="n">
        <v>0</v>
      </c>
      <c r="K159" t="n">
        <v>0</v>
      </c>
      <c r="L159" t="n">
        <v>0</v>
      </c>
      <c r="M159" t="n">
        <v>0</v>
      </c>
      <c r="N159" t="n">
        <v>0</v>
      </c>
      <c r="O159" t="n">
        <v>0</v>
      </c>
      <c r="P159" t="n">
        <v>0</v>
      </c>
      <c r="Q159" t="n">
        <v>1</v>
      </c>
      <c r="R159" s="2" t="inlineStr">
        <is>
          <t>Guckusko</t>
        </is>
      </c>
      <c r="S159">
        <f>HYPERLINK("https://klasma.github.io/Logging_2303/artfynd/A 36457-2020 artfynd.xlsx", "A 36457-2020")</f>
        <v/>
      </c>
      <c r="T159">
        <f>HYPERLINK("https://klasma.github.io/Logging_2303/kartor/A 36457-2020 karta.png", "A 36457-2020")</f>
        <v/>
      </c>
      <c r="V159">
        <f>HYPERLINK("https://klasma.github.io/Logging_2303/klagomål/A 36457-2020 FSC-klagomål.docx", "A 36457-2020")</f>
        <v/>
      </c>
      <c r="W159">
        <f>HYPERLINK("https://klasma.github.io/Logging_2303/klagomålsmail/A 36457-2020 FSC-klagomål mail.docx", "A 36457-2020")</f>
        <v/>
      </c>
      <c r="X159">
        <f>HYPERLINK("https://klasma.github.io/Logging_2303/tillsyn/A 36457-2020 tillsynsbegäran.docx", "A 36457-2020")</f>
        <v/>
      </c>
      <c r="Y159">
        <f>HYPERLINK("https://klasma.github.io/Logging_2303/tillsynsmail/A 36457-2020 tillsynsbegäran mail.docx", "A 36457-2020")</f>
        <v/>
      </c>
    </row>
    <row r="160" ht="15" customHeight="1">
      <c r="A160" t="inlineStr">
        <is>
          <t>A 39060-2020</t>
        </is>
      </c>
      <c r="B160" s="1" t="n">
        <v>44062</v>
      </c>
      <c r="C160" s="1" t="n">
        <v>45360</v>
      </c>
      <c r="D160" t="inlineStr">
        <is>
          <t>JÄMTLANDS LÄN</t>
        </is>
      </c>
      <c r="E160" t="inlineStr">
        <is>
          <t>RAGUNDA</t>
        </is>
      </c>
      <c r="F160" t="inlineStr">
        <is>
          <t>SCA</t>
        </is>
      </c>
      <c r="G160" t="n">
        <v>6.5</v>
      </c>
      <c r="H160" t="n">
        <v>0</v>
      </c>
      <c r="I160" t="n">
        <v>1</v>
      </c>
      <c r="J160" t="n">
        <v>0</v>
      </c>
      <c r="K160" t="n">
        <v>0</v>
      </c>
      <c r="L160" t="n">
        <v>0</v>
      </c>
      <c r="M160" t="n">
        <v>0</v>
      </c>
      <c r="N160" t="n">
        <v>0</v>
      </c>
      <c r="O160" t="n">
        <v>0</v>
      </c>
      <c r="P160" t="n">
        <v>0</v>
      </c>
      <c r="Q160" t="n">
        <v>1</v>
      </c>
      <c r="R160" s="2" t="inlineStr">
        <is>
          <t>Stuplav</t>
        </is>
      </c>
      <c r="S160">
        <f>HYPERLINK("https://klasma.github.io/Logging_2303/artfynd/A 39060-2020 artfynd.xlsx", "A 39060-2020")</f>
        <v/>
      </c>
      <c r="T160">
        <f>HYPERLINK("https://klasma.github.io/Logging_2303/kartor/A 39060-2020 karta.png", "A 39060-2020")</f>
        <v/>
      </c>
      <c r="V160">
        <f>HYPERLINK("https://klasma.github.io/Logging_2303/klagomål/A 39060-2020 FSC-klagomål.docx", "A 39060-2020")</f>
        <v/>
      </c>
      <c r="W160">
        <f>HYPERLINK("https://klasma.github.io/Logging_2303/klagomålsmail/A 39060-2020 FSC-klagomål mail.docx", "A 39060-2020")</f>
        <v/>
      </c>
      <c r="X160">
        <f>HYPERLINK("https://klasma.github.io/Logging_2303/tillsyn/A 39060-2020 tillsynsbegäran.docx", "A 39060-2020")</f>
        <v/>
      </c>
      <c r="Y160">
        <f>HYPERLINK("https://klasma.github.io/Logging_2303/tillsynsmail/A 39060-2020 tillsynsbegäran mail.docx", "A 39060-2020")</f>
        <v/>
      </c>
    </row>
    <row r="161" ht="15" customHeight="1">
      <c r="A161" t="inlineStr">
        <is>
          <t>A 47853-2020</t>
        </is>
      </c>
      <c r="B161" s="1" t="n">
        <v>44098</v>
      </c>
      <c r="C161" s="1" t="n">
        <v>45360</v>
      </c>
      <c r="D161" t="inlineStr">
        <is>
          <t>JÄMTLANDS LÄN</t>
        </is>
      </c>
      <c r="E161" t="inlineStr">
        <is>
          <t>RAGUNDA</t>
        </is>
      </c>
      <c r="F161" t="inlineStr">
        <is>
          <t>SCA</t>
        </is>
      </c>
      <c r="G161" t="n">
        <v>5.3</v>
      </c>
      <c r="H161" t="n">
        <v>0</v>
      </c>
      <c r="I161" t="n">
        <v>0</v>
      </c>
      <c r="J161" t="n">
        <v>1</v>
      </c>
      <c r="K161" t="n">
        <v>0</v>
      </c>
      <c r="L161" t="n">
        <v>0</v>
      </c>
      <c r="M161" t="n">
        <v>0</v>
      </c>
      <c r="N161" t="n">
        <v>0</v>
      </c>
      <c r="O161" t="n">
        <v>1</v>
      </c>
      <c r="P161" t="n">
        <v>0</v>
      </c>
      <c r="Q161" t="n">
        <v>1</v>
      </c>
      <c r="R161" s="2" t="inlineStr">
        <is>
          <t>Lunglav</t>
        </is>
      </c>
      <c r="S161">
        <f>HYPERLINK("https://klasma.github.io/Logging_2303/artfynd/A 47853-2020 artfynd.xlsx", "A 47853-2020")</f>
        <v/>
      </c>
      <c r="T161">
        <f>HYPERLINK("https://klasma.github.io/Logging_2303/kartor/A 47853-2020 karta.png", "A 47853-2020")</f>
        <v/>
      </c>
      <c r="V161">
        <f>HYPERLINK("https://klasma.github.io/Logging_2303/klagomål/A 47853-2020 FSC-klagomål.docx", "A 47853-2020")</f>
        <v/>
      </c>
      <c r="W161">
        <f>HYPERLINK("https://klasma.github.io/Logging_2303/klagomålsmail/A 47853-2020 FSC-klagomål mail.docx", "A 47853-2020")</f>
        <v/>
      </c>
      <c r="X161">
        <f>HYPERLINK("https://klasma.github.io/Logging_2303/tillsyn/A 47853-2020 tillsynsbegäran.docx", "A 47853-2020")</f>
        <v/>
      </c>
      <c r="Y161">
        <f>HYPERLINK("https://klasma.github.io/Logging_2303/tillsynsmail/A 47853-2020 tillsynsbegäran mail.docx", "A 47853-2020")</f>
        <v/>
      </c>
    </row>
    <row r="162" ht="15" customHeight="1">
      <c r="A162" t="inlineStr">
        <is>
          <t>A 52898-2020</t>
        </is>
      </c>
      <c r="B162" s="1" t="n">
        <v>44119</v>
      </c>
      <c r="C162" s="1" t="n">
        <v>45360</v>
      </c>
      <c r="D162" t="inlineStr">
        <is>
          <t>JÄMTLANDS LÄN</t>
        </is>
      </c>
      <c r="E162" t="inlineStr">
        <is>
          <t>RAGUNDA</t>
        </is>
      </c>
      <c r="G162" t="n">
        <v>1.4</v>
      </c>
      <c r="H162" t="n">
        <v>1</v>
      </c>
      <c r="I162" t="n">
        <v>0</v>
      </c>
      <c r="J162" t="n">
        <v>0</v>
      </c>
      <c r="K162" t="n">
        <v>0</v>
      </c>
      <c r="L162" t="n">
        <v>0</v>
      </c>
      <c r="M162" t="n">
        <v>0</v>
      </c>
      <c r="N162" t="n">
        <v>0</v>
      </c>
      <c r="O162" t="n">
        <v>0</v>
      </c>
      <c r="P162" t="n">
        <v>0</v>
      </c>
      <c r="Q162" t="n">
        <v>1</v>
      </c>
      <c r="R162" s="2" t="inlineStr">
        <is>
          <t>Revlummer</t>
        </is>
      </c>
      <c r="S162">
        <f>HYPERLINK("https://klasma.github.io/Logging_2303/artfynd/A 52898-2020 artfynd.xlsx", "A 52898-2020")</f>
        <v/>
      </c>
      <c r="T162">
        <f>HYPERLINK("https://klasma.github.io/Logging_2303/kartor/A 52898-2020 karta.png", "A 52898-2020")</f>
        <v/>
      </c>
      <c r="V162">
        <f>HYPERLINK("https://klasma.github.io/Logging_2303/klagomål/A 52898-2020 FSC-klagomål.docx", "A 52898-2020")</f>
        <v/>
      </c>
      <c r="W162">
        <f>HYPERLINK("https://klasma.github.io/Logging_2303/klagomålsmail/A 52898-2020 FSC-klagomål mail.docx", "A 52898-2020")</f>
        <v/>
      </c>
      <c r="X162">
        <f>HYPERLINK("https://klasma.github.io/Logging_2303/tillsyn/A 52898-2020 tillsynsbegäran.docx", "A 52898-2020")</f>
        <v/>
      </c>
      <c r="Y162">
        <f>HYPERLINK("https://klasma.github.io/Logging_2303/tillsynsmail/A 52898-2020 tillsynsbegäran mail.docx", "A 52898-2020")</f>
        <v/>
      </c>
    </row>
    <row r="163" ht="15" customHeight="1">
      <c r="A163" t="inlineStr">
        <is>
          <t>A 64363-2020</t>
        </is>
      </c>
      <c r="B163" s="1" t="n">
        <v>44166</v>
      </c>
      <c r="C163" s="1" t="n">
        <v>45360</v>
      </c>
      <c r="D163" t="inlineStr">
        <is>
          <t>JÄMTLANDS LÄN</t>
        </is>
      </c>
      <c r="E163" t="inlineStr">
        <is>
          <t>RAGUNDA</t>
        </is>
      </c>
      <c r="G163" t="n">
        <v>4.5</v>
      </c>
      <c r="H163" t="n">
        <v>1</v>
      </c>
      <c r="I163" t="n">
        <v>0</v>
      </c>
      <c r="J163" t="n">
        <v>0</v>
      </c>
      <c r="K163" t="n">
        <v>1</v>
      </c>
      <c r="L163" t="n">
        <v>0</v>
      </c>
      <c r="M163" t="n">
        <v>0</v>
      </c>
      <c r="N163" t="n">
        <v>0</v>
      </c>
      <c r="O163" t="n">
        <v>1</v>
      </c>
      <c r="P163" t="n">
        <v>1</v>
      </c>
      <c r="Q163" t="n">
        <v>1</v>
      </c>
      <c r="R163" s="2" t="inlineStr">
        <is>
          <t>Bombmurkla</t>
        </is>
      </c>
      <c r="S163">
        <f>HYPERLINK("https://klasma.github.io/Logging_2303/artfynd/A 64363-2020 artfynd.xlsx", "A 64363-2020")</f>
        <v/>
      </c>
      <c r="T163">
        <f>HYPERLINK("https://klasma.github.io/Logging_2303/kartor/A 64363-2020 karta.png", "A 64363-2020")</f>
        <v/>
      </c>
      <c r="V163">
        <f>HYPERLINK("https://klasma.github.io/Logging_2303/klagomål/A 64363-2020 FSC-klagomål.docx", "A 64363-2020")</f>
        <v/>
      </c>
      <c r="W163">
        <f>HYPERLINK("https://klasma.github.io/Logging_2303/klagomålsmail/A 64363-2020 FSC-klagomål mail.docx", "A 64363-2020")</f>
        <v/>
      </c>
      <c r="X163">
        <f>HYPERLINK("https://klasma.github.io/Logging_2303/tillsyn/A 64363-2020 tillsynsbegäran.docx", "A 64363-2020")</f>
        <v/>
      </c>
      <c r="Y163">
        <f>HYPERLINK("https://klasma.github.io/Logging_2303/tillsynsmail/A 64363-2020 tillsynsbegäran mail.docx", "A 64363-2020")</f>
        <v/>
      </c>
    </row>
    <row r="164" ht="15" customHeight="1">
      <c r="A164" t="inlineStr">
        <is>
          <t>A 21037-2021</t>
        </is>
      </c>
      <c r="B164" s="1" t="n">
        <v>44319</v>
      </c>
      <c r="C164" s="1" t="n">
        <v>45360</v>
      </c>
      <c r="D164" t="inlineStr">
        <is>
          <t>JÄMTLANDS LÄN</t>
        </is>
      </c>
      <c r="E164" t="inlineStr">
        <is>
          <t>RAGUNDA</t>
        </is>
      </c>
      <c r="F164" t="inlineStr">
        <is>
          <t>Kyrkan</t>
        </is>
      </c>
      <c r="G164" t="n">
        <v>0.8</v>
      </c>
      <c r="H164" t="n">
        <v>0</v>
      </c>
      <c r="I164" t="n">
        <v>0</v>
      </c>
      <c r="J164" t="n">
        <v>1</v>
      </c>
      <c r="K164" t="n">
        <v>0</v>
      </c>
      <c r="L164" t="n">
        <v>0</v>
      </c>
      <c r="M164" t="n">
        <v>0</v>
      </c>
      <c r="N164" t="n">
        <v>0</v>
      </c>
      <c r="O164" t="n">
        <v>1</v>
      </c>
      <c r="P164" t="n">
        <v>0</v>
      </c>
      <c r="Q164" t="n">
        <v>1</v>
      </c>
      <c r="R164" s="2" t="inlineStr">
        <is>
          <t>Olivbrun gytterlav</t>
        </is>
      </c>
      <c r="S164">
        <f>HYPERLINK("https://klasma.github.io/Logging_2303/artfynd/A 21037-2021 artfynd.xlsx", "A 21037-2021")</f>
        <v/>
      </c>
      <c r="T164">
        <f>HYPERLINK("https://klasma.github.io/Logging_2303/kartor/A 21037-2021 karta.png", "A 21037-2021")</f>
        <v/>
      </c>
      <c r="V164">
        <f>HYPERLINK("https://klasma.github.io/Logging_2303/klagomål/A 21037-2021 FSC-klagomål.docx", "A 21037-2021")</f>
        <v/>
      </c>
      <c r="W164">
        <f>HYPERLINK("https://klasma.github.io/Logging_2303/klagomålsmail/A 21037-2021 FSC-klagomål mail.docx", "A 21037-2021")</f>
        <v/>
      </c>
      <c r="X164">
        <f>HYPERLINK("https://klasma.github.io/Logging_2303/tillsyn/A 21037-2021 tillsynsbegäran.docx", "A 21037-2021")</f>
        <v/>
      </c>
      <c r="Y164">
        <f>HYPERLINK("https://klasma.github.io/Logging_2303/tillsynsmail/A 21037-2021 tillsynsbegäran mail.docx", "A 21037-2021")</f>
        <v/>
      </c>
    </row>
    <row r="165" ht="15" customHeight="1">
      <c r="A165" t="inlineStr">
        <is>
          <t>A 31773-2021</t>
        </is>
      </c>
      <c r="B165" s="1" t="n">
        <v>44369</v>
      </c>
      <c r="C165" s="1" t="n">
        <v>45360</v>
      </c>
      <c r="D165" t="inlineStr">
        <is>
          <t>JÄMTLANDS LÄN</t>
        </is>
      </c>
      <c r="E165" t="inlineStr">
        <is>
          <t>RAGUNDA</t>
        </is>
      </c>
      <c r="G165" t="n">
        <v>0.8</v>
      </c>
      <c r="H165" t="n">
        <v>0</v>
      </c>
      <c r="I165" t="n">
        <v>0</v>
      </c>
      <c r="J165" t="n">
        <v>0</v>
      </c>
      <c r="K165" t="n">
        <v>1</v>
      </c>
      <c r="L165" t="n">
        <v>0</v>
      </c>
      <c r="M165" t="n">
        <v>0</v>
      </c>
      <c r="N165" t="n">
        <v>0</v>
      </c>
      <c r="O165" t="n">
        <v>1</v>
      </c>
      <c r="P165" t="n">
        <v>1</v>
      </c>
      <c r="Q165" t="n">
        <v>1</v>
      </c>
      <c r="R165" s="2" t="inlineStr">
        <is>
          <t>Strandsandjägare</t>
        </is>
      </c>
      <c r="S165">
        <f>HYPERLINK("https://klasma.github.io/Logging_2303/artfynd/A 31773-2021 artfynd.xlsx", "A 31773-2021")</f>
        <v/>
      </c>
      <c r="T165">
        <f>HYPERLINK("https://klasma.github.io/Logging_2303/kartor/A 31773-2021 karta.png", "A 31773-2021")</f>
        <v/>
      </c>
      <c r="V165">
        <f>HYPERLINK("https://klasma.github.io/Logging_2303/klagomål/A 31773-2021 FSC-klagomål.docx", "A 31773-2021")</f>
        <v/>
      </c>
      <c r="W165">
        <f>HYPERLINK("https://klasma.github.io/Logging_2303/klagomålsmail/A 31773-2021 FSC-klagomål mail.docx", "A 31773-2021")</f>
        <v/>
      </c>
      <c r="X165">
        <f>HYPERLINK("https://klasma.github.io/Logging_2303/tillsyn/A 31773-2021 tillsynsbegäran.docx", "A 31773-2021")</f>
        <v/>
      </c>
      <c r="Y165">
        <f>HYPERLINK("https://klasma.github.io/Logging_2303/tillsynsmail/A 31773-2021 tillsynsbegäran mail.docx", "A 31773-2021")</f>
        <v/>
      </c>
    </row>
    <row r="166" ht="15" customHeight="1">
      <c r="A166" t="inlineStr">
        <is>
          <t>A 42546-2021</t>
        </is>
      </c>
      <c r="B166" s="1" t="n">
        <v>44428</v>
      </c>
      <c r="C166" s="1" t="n">
        <v>45360</v>
      </c>
      <c r="D166" t="inlineStr">
        <is>
          <t>JÄMTLANDS LÄN</t>
        </is>
      </c>
      <c r="E166" t="inlineStr">
        <is>
          <t>RAGUNDA</t>
        </is>
      </c>
      <c r="F166" t="inlineStr">
        <is>
          <t>SCA</t>
        </is>
      </c>
      <c r="G166" t="n">
        <v>5.6</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42546-2021 artfynd.xlsx", "A 42546-2021")</f>
        <v/>
      </c>
      <c r="T166">
        <f>HYPERLINK("https://klasma.github.io/Logging_2303/kartor/A 42546-2021 karta.png", "A 42546-2021")</f>
        <v/>
      </c>
      <c r="V166">
        <f>HYPERLINK("https://klasma.github.io/Logging_2303/klagomål/A 42546-2021 FSC-klagomål.docx", "A 42546-2021")</f>
        <v/>
      </c>
      <c r="W166">
        <f>HYPERLINK("https://klasma.github.io/Logging_2303/klagomålsmail/A 42546-2021 FSC-klagomål mail.docx", "A 42546-2021")</f>
        <v/>
      </c>
      <c r="X166">
        <f>HYPERLINK("https://klasma.github.io/Logging_2303/tillsyn/A 42546-2021 tillsynsbegäran.docx", "A 42546-2021")</f>
        <v/>
      </c>
      <c r="Y166">
        <f>HYPERLINK("https://klasma.github.io/Logging_2303/tillsynsmail/A 42546-2021 tillsynsbegäran mail.docx", "A 42546-2021")</f>
        <v/>
      </c>
    </row>
    <row r="167" ht="15" customHeight="1">
      <c r="A167" t="inlineStr">
        <is>
          <t>A 51916-2021</t>
        </is>
      </c>
      <c r="B167" s="1" t="n">
        <v>44462</v>
      </c>
      <c r="C167" s="1" t="n">
        <v>45360</v>
      </c>
      <c r="D167" t="inlineStr">
        <is>
          <t>JÄMTLANDS LÄN</t>
        </is>
      </c>
      <c r="E167" t="inlineStr">
        <is>
          <t>RAGUNDA</t>
        </is>
      </c>
      <c r="F167" t="inlineStr">
        <is>
          <t>SCA</t>
        </is>
      </c>
      <c r="G167" t="n">
        <v>3</v>
      </c>
      <c r="H167" t="n">
        <v>1</v>
      </c>
      <c r="I167" t="n">
        <v>0</v>
      </c>
      <c r="J167" t="n">
        <v>1</v>
      </c>
      <c r="K167" t="n">
        <v>0</v>
      </c>
      <c r="L167" t="n">
        <v>0</v>
      </c>
      <c r="M167" t="n">
        <v>0</v>
      </c>
      <c r="N167" t="n">
        <v>0</v>
      </c>
      <c r="O167" t="n">
        <v>1</v>
      </c>
      <c r="P167" t="n">
        <v>0</v>
      </c>
      <c r="Q167" t="n">
        <v>1</v>
      </c>
      <c r="R167" s="2" t="inlineStr">
        <is>
          <t>Varglav</t>
        </is>
      </c>
      <c r="S167">
        <f>HYPERLINK("https://klasma.github.io/Logging_2303/artfynd/A 51916-2021 artfynd.xlsx", "A 51916-2021")</f>
        <v/>
      </c>
      <c r="T167">
        <f>HYPERLINK("https://klasma.github.io/Logging_2303/kartor/A 51916-2021 karta.png", "A 51916-2021")</f>
        <v/>
      </c>
      <c r="V167">
        <f>HYPERLINK("https://klasma.github.io/Logging_2303/klagomål/A 51916-2021 FSC-klagomål.docx", "A 51916-2021")</f>
        <v/>
      </c>
      <c r="W167">
        <f>HYPERLINK("https://klasma.github.io/Logging_2303/klagomålsmail/A 51916-2021 FSC-klagomål mail.docx", "A 51916-2021")</f>
        <v/>
      </c>
      <c r="X167">
        <f>HYPERLINK("https://klasma.github.io/Logging_2303/tillsyn/A 51916-2021 tillsynsbegäran.docx", "A 51916-2021")</f>
        <v/>
      </c>
      <c r="Y167">
        <f>HYPERLINK("https://klasma.github.io/Logging_2303/tillsynsmail/A 51916-2021 tillsynsbegäran mail.docx", "A 51916-2021")</f>
        <v/>
      </c>
    </row>
    <row r="168" ht="15" customHeight="1">
      <c r="A168" t="inlineStr">
        <is>
          <t>A 6550-2022</t>
        </is>
      </c>
      <c r="B168" s="1" t="n">
        <v>44601</v>
      </c>
      <c r="C168" s="1" t="n">
        <v>45360</v>
      </c>
      <c r="D168" t="inlineStr">
        <is>
          <t>JÄMTLANDS LÄN</t>
        </is>
      </c>
      <c r="E168" t="inlineStr">
        <is>
          <t>RAGUNDA</t>
        </is>
      </c>
      <c r="G168" t="n">
        <v>2.3</v>
      </c>
      <c r="H168" t="n">
        <v>0</v>
      </c>
      <c r="I168" t="n">
        <v>0</v>
      </c>
      <c r="J168" t="n">
        <v>1</v>
      </c>
      <c r="K168" t="n">
        <v>0</v>
      </c>
      <c r="L168" t="n">
        <v>0</v>
      </c>
      <c r="M168" t="n">
        <v>0</v>
      </c>
      <c r="N168" t="n">
        <v>0</v>
      </c>
      <c r="O168" t="n">
        <v>1</v>
      </c>
      <c r="P168" t="n">
        <v>0</v>
      </c>
      <c r="Q168" t="n">
        <v>1</v>
      </c>
      <c r="R168" s="2" t="inlineStr">
        <is>
          <t>Dvärgbägarlav</t>
        </is>
      </c>
      <c r="S168">
        <f>HYPERLINK("https://klasma.github.io/Logging_2303/artfynd/A 6550-2022 artfynd.xlsx", "A 6550-2022")</f>
        <v/>
      </c>
      <c r="T168">
        <f>HYPERLINK("https://klasma.github.io/Logging_2303/kartor/A 6550-2022 karta.png", "A 6550-2022")</f>
        <v/>
      </c>
      <c r="V168">
        <f>HYPERLINK("https://klasma.github.io/Logging_2303/klagomål/A 6550-2022 FSC-klagomål.docx", "A 6550-2022")</f>
        <v/>
      </c>
      <c r="W168">
        <f>HYPERLINK("https://klasma.github.io/Logging_2303/klagomålsmail/A 6550-2022 FSC-klagomål mail.docx", "A 6550-2022")</f>
        <v/>
      </c>
      <c r="X168">
        <f>HYPERLINK("https://klasma.github.io/Logging_2303/tillsyn/A 6550-2022 tillsynsbegäran.docx", "A 6550-2022")</f>
        <v/>
      </c>
      <c r="Y168">
        <f>HYPERLINK("https://klasma.github.io/Logging_2303/tillsynsmail/A 6550-2022 tillsynsbegäran mail.docx", "A 6550-2022")</f>
        <v/>
      </c>
    </row>
    <row r="169" ht="15" customHeight="1">
      <c r="A169" t="inlineStr">
        <is>
          <t>A 7666-2022</t>
        </is>
      </c>
      <c r="B169" s="1" t="n">
        <v>44607</v>
      </c>
      <c r="C169" s="1" t="n">
        <v>45360</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Garnlav</t>
        </is>
      </c>
      <c r="S169">
        <f>HYPERLINK("https://klasma.github.io/Logging_2303/artfynd/A 7666-2022 artfynd.xlsx", "A 7666-2022")</f>
        <v/>
      </c>
      <c r="T169">
        <f>HYPERLINK("https://klasma.github.io/Logging_2303/kartor/A 7666-2022 karta.png", "A 7666-2022")</f>
        <v/>
      </c>
      <c r="V169">
        <f>HYPERLINK("https://klasma.github.io/Logging_2303/klagomål/A 7666-2022 FSC-klagomål.docx", "A 7666-2022")</f>
        <v/>
      </c>
      <c r="W169">
        <f>HYPERLINK("https://klasma.github.io/Logging_2303/klagomålsmail/A 7666-2022 FSC-klagomål mail.docx", "A 7666-2022")</f>
        <v/>
      </c>
      <c r="X169">
        <f>HYPERLINK("https://klasma.github.io/Logging_2303/tillsyn/A 7666-2022 tillsynsbegäran.docx", "A 7666-2022")</f>
        <v/>
      </c>
      <c r="Y169">
        <f>HYPERLINK("https://klasma.github.io/Logging_2303/tillsynsmail/A 7666-2022 tillsynsbegäran mail.docx", "A 7666-2022")</f>
        <v/>
      </c>
    </row>
    <row r="170" ht="15" customHeight="1">
      <c r="A170" t="inlineStr">
        <is>
          <t>A 15663-2022</t>
        </is>
      </c>
      <c r="B170" s="1" t="n">
        <v>44663</v>
      </c>
      <c r="C170" s="1" t="n">
        <v>45360</v>
      </c>
      <c r="D170" t="inlineStr">
        <is>
          <t>JÄMTLANDS LÄN</t>
        </is>
      </c>
      <c r="E170" t="inlineStr">
        <is>
          <t>RAGUNDA</t>
        </is>
      </c>
      <c r="F170" t="inlineStr">
        <is>
          <t>SCA</t>
        </is>
      </c>
      <c r="G170" t="n">
        <v>1.7</v>
      </c>
      <c r="H170" t="n">
        <v>1</v>
      </c>
      <c r="I170" t="n">
        <v>0</v>
      </c>
      <c r="J170" t="n">
        <v>0</v>
      </c>
      <c r="K170" t="n">
        <v>1</v>
      </c>
      <c r="L170" t="n">
        <v>0</v>
      </c>
      <c r="M170" t="n">
        <v>0</v>
      </c>
      <c r="N170" t="n">
        <v>0</v>
      </c>
      <c r="O170" t="n">
        <v>1</v>
      </c>
      <c r="P170" t="n">
        <v>1</v>
      </c>
      <c r="Q170" t="n">
        <v>1</v>
      </c>
      <c r="R170" s="2" t="inlineStr">
        <is>
          <t>Norna</t>
        </is>
      </c>
      <c r="S170">
        <f>HYPERLINK("https://klasma.github.io/Logging_2303/artfynd/A 15663-2022 artfynd.xlsx", "A 15663-2022")</f>
        <v/>
      </c>
      <c r="T170">
        <f>HYPERLINK("https://klasma.github.io/Logging_2303/kartor/A 15663-2022 karta.png", "A 15663-2022")</f>
        <v/>
      </c>
      <c r="V170">
        <f>HYPERLINK("https://klasma.github.io/Logging_2303/klagomål/A 15663-2022 FSC-klagomål.docx", "A 15663-2022")</f>
        <v/>
      </c>
      <c r="W170">
        <f>HYPERLINK("https://klasma.github.io/Logging_2303/klagomålsmail/A 15663-2022 FSC-klagomål mail.docx", "A 15663-2022")</f>
        <v/>
      </c>
      <c r="X170">
        <f>HYPERLINK("https://klasma.github.io/Logging_2303/tillsyn/A 15663-2022 tillsynsbegäran.docx", "A 15663-2022")</f>
        <v/>
      </c>
      <c r="Y170">
        <f>HYPERLINK("https://klasma.github.io/Logging_2303/tillsynsmail/A 15663-2022 tillsynsbegäran mail.docx", "A 15663-2022")</f>
        <v/>
      </c>
    </row>
    <row r="171" ht="15" customHeight="1">
      <c r="A171" t="inlineStr">
        <is>
          <t>A 17751-2022</t>
        </is>
      </c>
      <c r="B171" s="1" t="n">
        <v>44681</v>
      </c>
      <c r="C171" s="1" t="n">
        <v>45360</v>
      </c>
      <c r="D171" t="inlineStr">
        <is>
          <t>JÄMTLANDS LÄN</t>
        </is>
      </c>
      <c r="E171" t="inlineStr">
        <is>
          <t>RAGUNDA</t>
        </is>
      </c>
      <c r="F171" t="inlineStr">
        <is>
          <t>SCA</t>
        </is>
      </c>
      <c r="G171" t="n">
        <v>1.4</v>
      </c>
      <c r="H171" t="n">
        <v>0</v>
      </c>
      <c r="I171" t="n">
        <v>0</v>
      </c>
      <c r="J171" t="n">
        <v>1</v>
      </c>
      <c r="K171" t="n">
        <v>0</v>
      </c>
      <c r="L171" t="n">
        <v>0</v>
      </c>
      <c r="M171" t="n">
        <v>0</v>
      </c>
      <c r="N171" t="n">
        <v>0</v>
      </c>
      <c r="O171" t="n">
        <v>1</v>
      </c>
      <c r="P171" t="n">
        <v>0</v>
      </c>
      <c r="Q171" t="n">
        <v>1</v>
      </c>
      <c r="R171" s="2" t="inlineStr">
        <is>
          <t>Granticka</t>
        </is>
      </c>
      <c r="S171">
        <f>HYPERLINK("https://klasma.github.io/Logging_2303/artfynd/A 17751-2022 artfynd.xlsx", "A 17751-2022")</f>
        <v/>
      </c>
      <c r="T171">
        <f>HYPERLINK("https://klasma.github.io/Logging_2303/kartor/A 17751-2022 karta.png", "A 17751-2022")</f>
        <v/>
      </c>
      <c r="V171">
        <f>HYPERLINK("https://klasma.github.io/Logging_2303/klagomål/A 17751-2022 FSC-klagomål.docx", "A 17751-2022")</f>
        <v/>
      </c>
      <c r="W171">
        <f>HYPERLINK("https://klasma.github.io/Logging_2303/klagomålsmail/A 17751-2022 FSC-klagomål mail.docx", "A 17751-2022")</f>
        <v/>
      </c>
      <c r="X171">
        <f>HYPERLINK("https://klasma.github.io/Logging_2303/tillsyn/A 17751-2022 tillsynsbegäran.docx", "A 17751-2022")</f>
        <v/>
      </c>
      <c r="Y171">
        <f>HYPERLINK("https://klasma.github.io/Logging_2303/tillsynsmail/A 17751-2022 tillsynsbegäran mail.docx", "A 17751-2022")</f>
        <v/>
      </c>
    </row>
    <row r="172" ht="15" customHeight="1">
      <c r="A172" t="inlineStr">
        <is>
          <t>A 21275-2022</t>
        </is>
      </c>
      <c r="B172" s="1" t="n">
        <v>44705</v>
      </c>
      <c r="C172" s="1" t="n">
        <v>45360</v>
      </c>
      <c r="D172" t="inlineStr">
        <is>
          <t>JÄMTLANDS LÄN</t>
        </is>
      </c>
      <c r="E172" t="inlineStr">
        <is>
          <t>RAGUNDA</t>
        </is>
      </c>
      <c r="G172" t="n">
        <v>2.2</v>
      </c>
      <c r="H172" t="n">
        <v>0</v>
      </c>
      <c r="I172" t="n">
        <v>1</v>
      </c>
      <c r="J172" t="n">
        <v>0</v>
      </c>
      <c r="K172" t="n">
        <v>0</v>
      </c>
      <c r="L172" t="n">
        <v>0</v>
      </c>
      <c r="M172" t="n">
        <v>0</v>
      </c>
      <c r="N172" t="n">
        <v>0</v>
      </c>
      <c r="O172" t="n">
        <v>0</v>
      </c>
      <c r="P172" t="n">
        <v>0</v>
      </c>
      <c r="Q172" t="n">
        <v>1</v>
      </c>
      <c r="R172" s="2" t="inlineStr">
        <is>
          <t>Kransrams</t>
        </is>
      </c>
      <c r="S172">
        <f>HYPERLINK("https://klasma.github.io/Logging_2303/artfynd/A 21275-2022 artfynd.xlsx", "A 21275-2022")</f>
        <v/>
      </c>
      <c r="T172">
        <f>HYPERLINK("https://klasma.github.io/Logging_2303/kartor/A 21275-2022 karta.png", "A 21275-2022")</f>
        <v/>
      </c>
      <c r="V172">
        <f>HYPERLINK("https://klasma.github.io/Logging_2303/klagomål/A 21275-2022 FSC-klagomål.docx", "A 21275-2022")</f>
        <v/>
      </c>
      <c r="W172">
        <f>HYPERLINK("https://klasma.github.io/Logging_2303/klagomålsmail/A 21275-2022 FSC-klagomål mail.docx", "A 21275-2022")</f>
        <v/>
      </c>
      <c r="X172">
        <f>HYPERLINK("https://klasma.github.io/Logging_2303/tillsyn/A 21275-2022 tillsynsbegäran.docx", "A 21275-2022")</f>
        <v/>
      </c>
      <c r="Y172">
        <f>HYPERLINK("https://klasma.github.io/Logging_2303/tillsynsmail/A 21275-2022 tillsynsbegäran mail.docx", "A 21275-2022")</f>
        <v/>
      </c>
    </row>
    <row r="173" ht="15" customHeight="1">
      <c r="A173" t="inlineStr">
        <is>
          <t>A 27273-2022</t>
        </is>
      </c>
      <c r="B173" s="1" t="n">
        <v>44741</v>
      </c>
      <c r="C173" s="1" t="n">
        <v>45360</v>
      </c>
      <c r="D173" t="inlineStr">
        <is>
          <t>JÄMTLANDS LÄN</t>
        </is>
      </c>
      <c r="E173" t="inlineStr">
        <is>
          <t>RAGUNDA</t>
        </is>
      </c>
      <c r="G173" t="n">
        <v>1.2</v>
      </c>
      <c r="H173" t="n">
        <v>0</v>
      </c>
      <c r="I173" t="n">
        <v>1</v>
      </c>
      <c r="J173" t="n">
        <v>0</v>
      </c>
      <c r="K173" t="n">
        <v>0</v>
      </c>
      <c r="L173" t="n">
        <v>0</v>
      </c>
      <c r="M173" t="n">
        <v>0</v>
      </c>
      <c r="N173" t="n">
        <v>0</v>
      </c>
      <c r="O173" t="n">
        <v>0</v>
      </c>
      <c r="P173" t="n">
        <v>0</v>
      </c>
      <c r="Q173" t="n">
        <v>1</v>
      </c>
      <c r="R173" s="2" t="inlineStr">
        <is>
          <t>Svart trolldruva</t>
        </is>
      </c>
      <c r="S173">
        <f>HYPERLINK("https://klasma.github.io/Logging_2303/artfynd/A 27273-2022 artfynd.xlsx", "A 27273-2022")</f>
        <v/>
      </c>
      <c r="T173">
        <f>HYPERLINK("https://klasma.github.io/Logging_2303/kartor/A 27273-2022 karta.png", "A 27273-2022")</f>
        <v/>
      </c>
      <c r="V173">
        <f>HYPERLINK("https://klasma.github.io/Logging_2303/klagomål/A 27273-2022 FSC-klagomål.docx", "A 27273-2022")</f>
        <v/>
      </c>
      <c r="W173">
        <f>HYPERLINK("https://klasma.github.io/Logging_2303/klagomålsmail/A 27273-2022 FSC-klagomål mail.docx", "A 27273-2022")</f>
        <v/>
      </c>
      <c r="X173">
        <f>HYPERLINK("https://klasma.github.io/Logging_2303/tillsyn/A 27273-2022 tillsynsbegäran.docx", "A 27273-2022")</f>
        <v/>
      </c>
      <c r="Y173">
        <f>HYPERLINK("https://klasma.github.io/Logging_2303/tillsynsmail/A 27273-2022 tillsynsbegäran mail.docx", "A 27273-2022")</f>
        <v/>
      </c>
    </row>
    <row r="174" ht="15" customHeight="1">
      <c r="A174" t="inlineStr">
        <is>
          <t>A 27286-2022</t>
        </is>
      </c>
      <c r="B174" s="1" t="n">
        <v>44741</v>
      </c>
      <c r="C174" s="1" t="n">
        <v>45360</v>
      </c>
      <c r="D174" t="inlineStr">
        <is>
          <t>JÄMTLANDS LÄN</t>
        </is>
      </c>
      <c r="E174" t="inlineStr">
        <is>
          <t>RAGUNDA</t>
        </is>
      </c>
      <c r="F174" t="inlineStr">
        <is>
          <t>SCA</t>
        </is>
      </c>
      <c r="G174" t="n">
        <v>3.1</v>
      </c>
      <c r="H174" t="n">
        <v>0</v>
      </c>
      <c r="I174" t="n">
        <v>0</v>
      </c>
      <c r="J174" t="n">
        <v>1</v>
      </c>
      <c r="K174" t="n">
        <v>0</v>
      </c>
      <c r="L174" t="n">
        <v>0</v>
      </c>
      <c r="M174" t="n">
        <v>0</v>
      </c>
      <c r="N174" t="n">
        <v>0</v>
      </c>
      <c r="O174" t="n">
        <v>1</v>
      </c>
      <c r="P174" t="n">
        <v>0</v>
      </c>
      <c r="Q174" t="n">
        <v>1</v>
      </c>
      <c r="R174" s="2" t="inlineStr">
        <is>
          <t>Harticka</t>
        </is>
      </c>
      <c r="S174">
        <f>HYPERLINK("https://klasma.github.io/Logging_2303/artfynd/A 27286-2022 artfynd.xlsx", "A 27286-2022")</f>
        <v/>
      </c>
      <c r="T174">
        <f>HYPERLINK("https://klasma.github.io/Logging_2303/kartor/A 27286-2022 karta.png", "A 27286-2022")</f>
        <v/>
      </c>
      <c r="V174">
        <f>HYPERLINK("https://klasma.github.io/Logging_2303/klagomål/A 27286-2022 FSC-klagomål.docx", "A 27286-2022")</f>
        <v/>
      </c>
      <c r="W174">
        <f>HYPERLINK("https://klasma.github.io/Logging_2303/klagomålsmail/A 27286-2022 FSC-klagomål mail.docx", "A 27286-2022")</f>
        <v/>
      </c>
      <c r="X174">
        <f>HYPERLINK("https://klasma.github.io/Logging_2303/tillsyn/A 27286-2022 tillsynsbegäran.docx", "A 27286-2022")</f>
        <v/>
      </c>
      <c r="Y174">
        <f>HYPERLINK("https://klasma.github.io/Logging_2303/tillsynsmail/A 27286-2022 tillsynsbegäran mail.docx", "A 27286-2022")</f>
        <v/>
      </c>
    </row>
    <row r="175" ht="15" customHeight="1">
      <c r="A175" t="inlineStr">
        <is>
          <t>A 31477-2022</t>
        </is>
      </c>
      <c r="B175" s="1" t="n">
        <v>44775</v>
      </c>
      <c r="C175" s="1" t="n">
        <v>45360</v>
      </c>
      <c r="D175" t="inlineStr">
        <is>
          <t>JÄMTLANDS LÄN</t>
        </is>
      </c>
      <c r="E175" t="inlineStr">
        <is>
          <t>RAGUNDA</t>
        </is>
      </c>
      <c r="F175" t="inlineStr">
        <is>
          <t>SCA</t>
        </is>
      </c>
      <c r="G175" t="n">
        <v>1.8</v>
      </c>
      <c r="H175" t="n">
        <v>0</v>
      </c>
      <c r="I175" t="n">
        <v>0</v>
      </c>
      <c r="J175" t="n">
        <v>1</v>
      </c>
      <c r="K175" t="n">
        <v>0</v>
      </c>
      <c r="L175" t="n">
        <v>0</v>
      </c>
      <c r="M175" t="n">
        <v>0</v>
      </c>
      <c r="N175" t="n">
        <v>0</v>
      </c>
      <c r="O175" t="n">
        <v>1</v>
      </c>
      <c r="P175" t="n">
        <v>0</v>
      </c>
      <c r="Q175" t="n">
        <v>1</v>
      </c>
      <c r="R175" s="2" t="inlineStr">
        <is>
          <t>Garnlav</t>
        </is>
      </c>
      <c r="S175">
        <f>HYPERLINK("https://klasma.github.io/Logging_2303/artfynd/A 31477-2022 artfynd.xlsx", "A 31477-2022")</f>
        <v/>
      </c>
      <c r="T175">
        <f>HYPERLINK("https://klasma.github.io/Logging_2303/kartor/A 31477-2022 karta.png", "A 31477-2022")</f>
        <v/>
      </c>
      <c r="V175">
        <f>HYPERLINK("https://klasma.github.io/Logging_2303/klagomål/A 31477-2022 FSC-klagomål.docx", "A 31477-2022")</f>
        <v/>
      </c>
      <c r="W175">
        <f>HYPERLINK("https://klasma.github.io/Logging_2303/klagomålsmail/A 31477-2022 FSC-klagomål mail.docx", "A 31477-2022")</f>
        <v/>
      </c>
      <c r="X175">
        <f>HYPERLINK("https://klasma.github.io/Logging_2303/tillsyn/A 31477-2022 tillsynsbegäran.docx", "A 31477-2022")</f>
        <v/>
      </c>
      <c r="Y175">
        <f>HYPERLINK("https://klasma.github.io/Logging_2303/tillsynsmail/A 31477-2022 tillsynsbegäran mail.docx", "A 31477-2022")</f>
        <v/>
      </c>
    </row>
    <row r="176" ht="15" customHeight="1">
      <c r="A176" t="inlineStr">
        <is>
          <t>A 42307-2022</t>
        </is>
      </c>
      <c r="B176" s="1" t="n">
        <v>44830</v>
      </c>
      <c r="C176" s="1" t="n">
        <v>45360</v>
      </c>
      <c r="D176" t="inlineStr">
        <is>
          <t>JÄMTLANDS LÄN</t>
        </is>
      </c>
      <c r="E176" t="inlineStr">
        <is>
          <t>RAGUNDA</t>
        </is>
      </c>
      <c r="F176" t="inlineStr">
        <is>
          <t>SCA</t>
        </is>
      </c>
      <c r="G176" t="n">
        <v>2.6</v>
      </c>
      <c r="H176" t="n">
        <v>0</v>
      </c>
      <c r="I176" t="n">
        <v>0</v>
      </c>
      <c r="J176" t="n">
        <v>0</v>
      </c>
      <c r="K176" t="n">
        <v>1</v>
      </c>
      <c r="L176" t="n">
        <v>0</v>
      </c>
      <c r="M176" t="n">
        <v>0</v>
      </c>
      <c r="N176" t="n">
        <v>0</v>
      </c>
      <c r="O176" t="n">
        <v>1</v>
      </c>
      <c r="P176" t="n">
        <v>1</v>
      </c>
      <c r="Q176" t="n">
        <v>1</v>
      </c>
      <c r="R176" s="2" t="inlineStr">
        <is>
          <t>Smalskaftslav</t>
        </is>
      </c>
      <c r="S176">
        <f>HYPERLINK("https://klasma.github.io/Logging_2303/artfynd/A 42307-2022 artfynd.xlsx", "A 42307-2022")</f>
        <v/>
      </c>
      <c r="T176">
        <f>HYPERLINK("https://klasma.github.io/Logging_2303/kartor/A 42307-2022 karta.png", "A 42307-2022")</f>
        <v/>
      </c>
      <c r="V176">
        <f>HYPERLINK("https://klasma.github.io/Logging_2303/klagomål/A 42307-2022 FSC-klagomål.docx", "A 42307-2022")</f>
        <v/>
      </c>
      <c r="W176">
        <f>HYPERLINK("https://klasma.github.io/Logging_2303/klagomålsmail/A 42307-2022 FSC-klagomål mail.docx", "A 42307-2022")</f>
        <v/>
      </c>
      <c r="X176">
        <f>HYPERLINK("https://klasma.github.io/Logging_2303/tillsyn/A 42307-2022 tillsynsbegäran.docx", "A 42307-2022")</f>
        <v/>
      </c>
      <c r="Y176">
        <f>HYPERLINK("https://klasma.github.io/Logging_2303/tillsynsmail/A 42307-2022 tillsynsbegäran mail.docx", "A 42307-2022")</f>
        <v/>
      </c>
    </row>
    <row r="177" ht="15" customHeight="1">
      <c r="A177" t="inlineStr">
        <is>
          <t>A 42899-2022</t>
        </is>
      </c>
      <c r="B177" s="1" t="n">
        <v>44832</v>
      </c>
      <c r="C177" s="1" t="n">
        <v>45360</v>
      </c>
      <c r="D177" t="inlineStr">
        <is>
          <t>JÄMTLANDS LÄN</t>
        </is>
      </c>
      <c r="E177" t="inlineStr">
        <is>
          <t>RAGUNDA</t>
        </is>
      </c>
      <c r="F177" t="inlineStr">
        <is>
          <t>SCA</t>
        </is>
      </c>
      <c r="G177" t="n">
        <v>2.3</v>
      </c>
      <c r="H177" t="n">
        <v>0</v>
      </c>
      <c r="I177" t="n">
        <v>0</v>
      </c>
      <c r="J177" t="n">
        <v>1</v>
      </c>
      <c r="K177" t="n">
        <v>0</v>
      </c>
      <c r="L177" t="n">
        <v>0</v>
      </c>
      <c r="M177" t="n">
        <v>0</v>
      </c>
      <c r="N177" t="n">
        <v>0</v>
      </c>
      <c r="O177" t="n">
        <v>1</v>
      </c>
      <c r="P177" t="n">
        <v>0</v>
      </c>
      <c r="Q177" t="n">
        <v>1</v>
      </c>
      <c r="R177" s="2" t="inlineStr">
        <is>
          <t>Ullticka</t>
        </is>
      </c>
      <c r="S177">
        <f>HYPERLINK("https://klasma.github.io/Logging_2303/artfynd/A 42899-2022 artfynd.xlsx", "A 42899-2022")</f>
        <v/>
      </c>
      <c r="T177">
        <f>HYPERLINK("https://klasma.github.io/Logging_2303/kartor/A 42899-2022 karta.png", "A 42899-2022")</f>
        <v/>
      </c>
      <c r="V177">
        <f>HYPERLINK("https://klasma.github.io/Logging_2303/klagomål/A 42899-2022 FSC-klagomål.docx", "A 42899-2022")</f>
        <v/>
      </c>
      <c r="W177">
        <f>HYPERLINK("https://klasma.github.io/Logging_2303/klagomålsmail/A 42899-2022 FSC-klagomål mail.docx", "A 42899-2022")</f>
        <v/>
      </c>
      <c r="X177">
        <f>HYPERLINK("https://klasma.github.io/Logging_2303/tillsyn/A 42899-2022 tillsynsbegäran.docx", "A 42899-2022")</f>
        <v/>
      </c>
      <c r="Y177">
        <f>HYPERLINK("https://klasma.github.io/Logging_2303/tillsynsmail/A 42899-2022 tillsynsbegäran mail.docx", "A 42899-2022")</f>
        <v/>
      </c>
    </row>
    <row r="178" ht="15" customHeight="1">
      <c r="A178" t="inlineStr">
        <is>
          <t>A 48063-2022</t>
        </is>
      </c>
      <c r="B178" s="1" t="n">
        <v>44855</v>
      </c>
      <c r="C178" s="1" t="n">
        <v>45360</v>
      </c>
      <c r="D178" t="inlineStr">
        <is>
          <t>JÄMTLANDS LÄN</t>
        </is>
      </c>
      <c r="E178" t="inlineStr">
        <is>
          <t>RAGUNDA</t>
        </is>
      </c>
      <c r="F178" t="inlineStr">
        <is>
          <t>SCA</t>
        </is>
      </c>
      <c r="G178" t="n">
        <v>3.3</v>
      </c>
      <c r="H178" t="n">
        <v>0</v>
      </c>
      <c r="I178" t="n">
        <v>1</v>
      </c>
      <c r="J178" t="n">
        <v>0</v>
      </c>
      <c r="K178" t="n">
        <v>0</v>
      </c>
      <c r="L178" t="n">
        <v>0</v>
      </c>
      <c r="M178" t="n">
        <v>0</v>
      </c>
      <c r="N178" t="n">
        <v>0</v>
      </c>
      <c r="O178" t="n">
        <v>0</v>
      </c>
      <c r="P178" t="n">
        <v>0</v>
      </c>
      <c r="Q178" t="n">
        <v>1</v>
      </c>
      <c r="R178" s="2" t="inlineStr">
        <is>
          <t>Källmossa</t>
        </is>
      </c>
      <c r="S178">
        <f>HYPERLINK("https://klasma.github.io/Logging_2303/artfynd/A 48063-2022 artfynd.xlsx", "A 48063-2022")</f>
        <v/>
      </c>
      <c r="T178">
        <f>HYPERLINK("https://klasma.github.io/Logging_2303/kartor/A 48063-2022 karta.png", "A 48063-2022")</f>
        <v/>
      </c>
      <c r="V178">
        <f>HYPERLINK("https://klasma.github.io/Logging_2303/klagomål/A 48063-2022 FSC-klagomål.docx", "A 48063-2022")</f>
        <v/>
      </c>
      <c r="W178">
        <f>HYPERLINK("https://klasma.github.io/Logging_2303/klagomålsmail/A 48063-2022 FSC-klagomål mail.docx", "A 48063-2022")</f>
        <v/>
      </c>
      <c r="X178">
        <f>HYPERLINK("https://klasma.github.io/Logging_2303/tillsyn/A 48063-2022 tillsynsbegäran.docx", "A 48063-2022")</f>
        <v/>
      </c>
      <c r="Y178">
        <f>HYPERLINK("https://klasma.github.io/Logging_2303/tillsynsmail/A 48063-2022 tillsynsbegäran mail.docx", "A 48063-2022")</f>
        <v/>
      </c>
    </row>
    <row r="179" ht="15" customHeight="1">
      <c r="A179" t="inlineStr">
        <is>
          <t>A 49091-2022</t>
        </is>
      </c>
      <c r="B179" s="1" t="n">
        <v>44860</v>
      </c>
      <c r="C179" s="1" t="n">
        <v>45360</v>
      </c>
      <c r="D179" t="inlineStr">
        <is>
          <t>JÄMTLANDS LÄN</t>
        </is>
      </c>
      <c r="E179" t="inlineStr">
        <is>
          <t>RAGUNDA</t>
        </is>
      </c>
      <c r="G179" t="n">
        <v>3.5</v>
      </c>
      <c r="H179" t="n">
        <v>1</v>
      </c>
      <c r="I179" t="n">
        <v>0</v>
      </c>
      <c r="J179" t="n">
        <v>0</v>
      </c>
      <c r="K179" t="n">
        <v>1</v>
      </c>
      <c r="L179" t="n">
        <v>0</v>
      </c>
      <c r="M179" t="n">
        <v>0</v>
      </c>
      <c r="N179" t="n">
        <v>0</v>
      </c>
      <c r="O179" t="n">
        <v>1</v>
      </c>
      <c r="P179" t="n">
        <v>1</v>
      </c>
      <c r="Q179" t="n">
        <v>1</v>
      </c>
      <c r="R179" s="2" t="inlineStr">
        <is>
          <t>Doftticka</t>
        </is>
      </c>
      <c r="S179">
        <f>HYPERLINK("https://klasma.github.io/Logging_2303/artfynd/A 49091-2022 artfynd.xlsx", "A 49091-2022")</f>
        <v/>
      </c>
      <c r="T179">
        <f>HYPERLINK("https://klasma.github.io/Logging_2303/kartor/A 49091-2022 karta.png", "A 49091-2022")</f>
        <v/>
      </c>
      <c r="V179">
        <f>HYPERLINK("https://klasma.github.io/Logging_2303/klagomål/A 49091-2022 FSC-klagomål.docx", "A 49091-2022")</f>
        <v/>
      </c>
      <c r="W179">
        <f>HYPERLINK("https://klasma.github.io/Logging_2303/klagomålsmail/A 49091-2022 FSC-klagomål mail.docx", "A 49091-2022")</f>
        <v/>
      </c>
      <c r="X179">
        <f>HYPERLINK("https://klasma.github.io/Logging_2303/tillsyn/A 49091-2022 tillsynsbegäran.docx", "A 49091-2022")</f>
        <v/>
      </c>
      <c r="Y179">
        <f>HYPERLINK("https://klasma.github.io/Logging_2303/tillsynsmail/A 49091-2022 tillsynsbegäran mail.docx", "A 49091-2022")</f>
        <v/>
      </c>
    </row>
    <row r="180" ht="15" customHeight="1">
      <c r="A180" t="inlineStr">
        <is>
          <t>A 17340-2023</t>
        </is>
      </c>
      <c r="B180" s="1" t="n">
        <v>45033</v>
      </c>
      <c r="C180" s="1" t="n">
        <v>45360</v>
      </c>
      <c r="D180" t="inlineStr">
        <is>
          <t>JÄMTLANDS LÄN</t>
        </is>
      </c>
      <c r="E180" t="inlineStr">
        <is>
          <t>RAGUNDA</t>
        </is>
      </c>
      <c r="G180" t="n">
        <v>1.6</v>
      </c>
      <c r="H180" t="n">
        <v>0</v>
      </c>
      <c r="I180" t="n">
        <v>0</v>
      </c>
      <c r="J180" t="n">
        <v>1</v>
      </c>
      <c r="K180" t="n">
        <v>0</v>
      </c>
      <c r="L180" t="n">
        <v>0</v>
      </c>
      <c r="M180" t="n">
        <v>0</v>
      </c>
      <c r="N180" t="n">
        <v>0</v>
      </c>
      <c r="O180" t="n">
        <v>1</v>
      </c>
      <c r="P180" t="n">
        <v>0</v>
      </c>
      <c r="Q180" t="n">
        <v>1</v>
      </c>
      <c r="R180" s="2" t="inlineStr">
        <is>
          <t>Vedtrappmossa</t>
        </is>
      </c>
      <c r="S180">
        <f>HYPERLINK("https://klasma.github.io/Logging_2303/artfynd/A 17340-2023 artfynd.xlsx", "A 17340-2023")</f>
        <v/>
      </c>
      <c r="T180">
        <f>HYPERLINK("https://klasma.github.io/Logging_2303/kartor/A 17340-2023 karta.png", "A 17340-2023")</f>
        <v/>
      </c>
      <c r="U180">
        <f>HYPERLINK("https://klasma.github.io/Logging_2303/knärot/A 17340-2023 karta knärot.png", "A 17340-2023")</f>
        <v/>
      </c>
      <c r="V180">
        <f>HYPERLINK("https://klasma.github.io/Logging_2303/klagomål/A 17340-2023 FSC-klagomål.docx", "A 17340-2023")</f>
        <v/>
      </c>
      <c r="W180">
        <f>HYPERLINK("https://klasma.github.io/Logging_2303/klagomålsmail/A 17340-2023 FSC-klagomål mail.docx", "A 17340-2023")</f>
        <v/>
      </c>
      <c r="X180">
        <f>HYPERLINK("https://klasma.github.io/Logging_2303/tillsyn/A 17340-2023 tillsynsbegäran.docx", "A 17340-2023")</f>
        <v/>
      </c>
      <c r="Y180">
        <f>HYPERLINK("https://klasma.github.io/Logging_2303/tillsynsmail/A 17340-2023 tillsynsbegäran mail.docx", "A 17340-2023")</f>
        <v/>
      </c>
    </row>
    <row r="181" ht="15" customHeight="1">
      <c r="A181" t="inlineStr">
        <is>
          <t>A 18985-2023</t>
        </is>
      </c>
      <c r="B181" s="1" t="n">
        <v>45044</v>
      </c>
      <c r="C181" s="1" t="n">
        <v>45360</v>
      </c>
      <c r="D181" t="inlineStr">
        <is>
          <t>JÄMTLANDS LÄN</t>
        </is>
      </c>
      <c r="E181" t="inlineStr">
        <is>
          <t>RAGUNDA</t>
        </is>
      </c>
      <c r="F181" t="inlineStr">
        <is>
          <t>SCA</t>
        </is>
      </c>
      <c r="G181" t="n">
        <v>2.6</v>
      </c>
      <c r="H181" t="n">
        <v>0</v>
      </c>
      <c r="I181" t="n">
        <v>0</v>
      </c>
      <c r="J181" t="n">
        <v>1</v>
      </c>
      <c r="K181" t="n">
        <v>0</v>
      </c>
      <c r="L181" t="n">
        <v>0</v>
      </c>
      <c r="M181" t="n">
        <v>0</v>
      </c>
      <c r="N181" t="n">
        <v>0</v>
      </c>
      <c r="O181" t="n">
        <v>1</v>
      </c>
      <c r="P181" t="n">
        <v>0</v>
      </c>
      <c r="Q181" t="n">
        <v>1</v>
      </c>
      <c r="R181" s="2" t="inlineStr">
        <is>
          <t>Doftskinn</t>
        </is>
      </c>
      <c r="S181">
        <f>HYPERLINK("https://klasma.github.io/Logging_2303/artfynd/A 18985-2023 artfynd.xlsx", "A 18985-2023")</f>
        <v/>
      </c>
      <c r="T181">
        <f>HYPERLINK("https://klasma.github.io/Logging_2303/kartor/A 18985-2023 karta.png", "A 18985-2023")</f>
        <v/>
      </c>
      <c r="V181">
        <f>HYPERLINK("https://klasma.github.io/Logging_2303/klagomål/A 18985-2023 FSC-klagomål.docx", "A 18985-2023")</f>
        <v/>
      </c>
      <c r="W181">
        <f>HYPERLINK("https://klasma.github.io/Logging_2303/klagomålsmail/A 18985-2023 FSC-klagomål mail.docx", "A 18985-2023")</f>
        <v/>
      </c>
      <c r="X181">
        <f>HYPERLINK("https://klasma.github.io/Logging_2303/tillsyn/A 18985-2023 tillsynsbegäran.docx", "A 18985-2023")</f>
        <v/>
      </c>
      <c r="Y181">
        <f>HYPERLINK("https://klasma.github.io/Logging_2303/tillsynsmail/A 18985-2023 tillsynsbegäran mail.docx", "A 18985-2023")</f>
        <v/>
      </c>
    </row>
    <row r="182" ht="15" customHeight="1">
      <c r="A182" t="inlineStr">
        <is>
          <t>A 26482-2023</t>
        </is>
      </c>
      <c r="B182" s="1" t="n">
        <v>45089</v>
      </c>
      <c r="C182" s="1" t="n">
        <v>45360</v>
      </c>
      <c r="D182" t="inlineStr">
        <is>
          <t>JÄMTLANDS LÄN</t>
        </is>
      </c>
      <c r="E182" t="inlineStr">
        <is>
          <t>RAGUNDA</t>
        </is>
      </c>
      <c r="G182" t="n">
        <v>2</v>
      </c>
      <c r="H182" t="n">
        <v>0</v>
      </c>
      <c r="I182" t="n">
        <v>0</v>
      </c>
      <c r="J182" t="n">
        <v>1</v>
      </c>
      <c r="K182" t="n">
        <v>0</v>
      </c>
      <c r="L182" t="n">
        <v>0</v>
      </c>
      <c r="M182" t="n">
        <v>0</v>
      </c>
      <c r="N182" t="n">
        <v>0</v>
      </c>
      <c r="O182" t="n">
        <v>1</v>
      </c>
      <c r="P182" t="n">
        <v>0</v>
      </c>
      <c r="Q182" t="n">
        <v>1</v>
      </c>
      <c r="R182" s="2" t="inlineStr">
        <is>
          <t>Ullticka</t>
        </is>
      </c>
      <c r="S182">
        <f>HYPERLINK("https://klasma.github.io/Logging_2303/artfynd/A 26482-2023 artfynd.xlsx", "A 26482-2023")</f>
        <v/>
      </c>
      <c r="T182">
        <f>HYPERLINK("https://klasma.github.io/Logging_2303/kartor/A 26482-2023 karta.png", "A 26482-2023")</f>
        <v/>
      </c>
      <c r="V182">
        <f>HYPERLINK("https://klasma.github.io/Logging_2303/klagomål/A 26482-2023 FSC-klagomål.docx", "A 26482-2023")</f>
        <v/>
      </c>
      <c r="W182">
        <f>HYPERLINK("https://klasma.github.io/Logging_2303/klagomålsmail/A 26482-2023 FSC-klagomål mail.docx", "A 26482-2023")</f>
        <v/>
      </c>
      <c r="X182">
        <f>HYPERLINK("https://klasma.github.io/Logging_2303/tillsyn/A 26482-2023 tillsynsbegäran.docx", "A 26482-2023")</f>
        <v/>
      </c>
      <c r="Y182">
        <f>HYPERLINK("https://klasma.github.io/Logging_2303/tillsynsmail/A 26482-2023 tillsynsbegäran mail.docx", "A 26482-2023")</f>
        <v/>
      </c>
    </row>
    <row r="183" ht="15" customHeight="1">
      <c r="A183" t="inlineStr">
        <is>
          <t>A 27683-2023</t>
        </is>
      </c>
      <c r="B183" s="1" t="n">
        <v>45097</v>
      </c>
      <c r="C183" s="1" t="n">
        <v>45360</v>
      </c>
      <c r="D183" t="inlineStr">
        <is>
          <t>JÄMTLANDS LÄN</t>
        </is>
      </c>
      <c r="E183" t="inlineStr">
        <is>
          <t>RAGUNDA</t>
        </is>
      </c>
      <c r="F183" t="inlineStr">
        <is>
          <t>SCA</t>
        </is>
      </c>
      <c r="G183" t="n">
        <v>7.3</v>
      </c>
      <c r="H183" t="n">
        <v>0</v>
      </c>
      <c r="I183" t="n">
        <v>0</v>
      </c>
      <c r="J183" t="n">
        <v>1</v>
      </c>
      <c r="K183" t="n">
        <v>0</v>
      </c>
      <c r="L183" t="n">
        <v>0</v>
      </c>
      <c r="M183" t="n">
        <v>0</v>
      </c>
      <c r="N183" t="n">
        <v>0</v>
      </c>
      <c r="O183" t="n">
        <v>1</v>
      </c>
      <c r="P183" t="n">
        <v>0</v>
      </c>
      <c r="Q183" t="n">
        <v>1</v>
      </c>
      <c r="R183" s="2" t="inlineStr">
        <is>
          <t>Dvärgbägarlav</t>
        </is>
      </c>
      <c r="S183">
        <f>HYPERLINK("https://klasma.github.io/Logging_2303/artfynd/A 27683-2023 artfynd.xlsx", "A 27683-2023")</f>
        <v/>
      </c>
      <c r="T183">
        <f>HYPERLINK("https://klasma.github.io/Logging_2303/kartor/A 27683-2023 karta.png", "A 27683-2023")</f>
        <v/>
      </c>
      <c r="V183">
        <f>HYPERLINK("https://klasma.github.io/Logging_2303/klagomål/A 27683-2023 FSC-klagomål.docx", "A 27683-2023")</f>
        <v/>
      </c>
      <c r="W183">
        <f>HYPERLINK("https://klasma.github.io/Logging_2303/klagomålsmail/A 27683-2023 FSC-klagomål mail.docx", "A 27683-2023")</f>
        <v/>
      </c>
      <c r="X183">
        <f>HYPERLINK("https://klasma.github.io/Logging_2303/tillsyn/A 27683-2023 tillsynsbegäran.docx", "A 27683-2023")</f>
        <v/>
      </c>
      <c r="Y183">
        <f>HYPERLINK("https://klasma.github.io/Logging_2303/tillsynsmail/A 27683-2023 tillsynsbegäran mail.docx", "A 27683-2023")</f>
        <v/>
      </c>
    </row>
    <row r="184" ht="15" customHeight="1">
      <c r="A184" t="inlineStr">
        <is>
          <t>A 35750-2023</t>
        </is>
      </c>
      <c r="B184" s="1" t="n">
        <v>45147</v>
      </c>
      <c r="C184" s="1" t="n">
        <v>45360</v>
      </c>
      <c r="D184" t="inlineStr">
        <is>
          <t>JÄMTLANDS LÄN</t>
        </is>
      </c>
      <c r="E184" t="inlineStr">
        <is>
          <t>RAGUNDA</t>
        </is>
      </c>
      <c r="F184" t="inlineStr">
        <is>
          <t>SCA</t>
        </is>
      </c>
      <c r="G184" t="n">
        <v>4.8</v>
      </c>
      <c r="H184" t="n">
        <v>0</v>
      </c>
      <c r="I184" t="n">
        <v>0</v>
      </c>
      <c r="J184" t="n">
        <v>1</v>
      </c>
      <c r="K184" t="n">
        <v>0</v>
      </c>
      <c r="L184" t="n">
        <v>0</v>
      </c>
      <c r="M184" t="n">
        <v>0</v>
      </c>
      <c r="N184" t="n">
        <v>0</v>
      </c>
      <c r="O184" t="n">
        <v>1</v>
      </c>
      <c r="P184" t="n">
        <v>0</v>
      </c>
      <c r="Q184" t="n">
        <v>1</v>
      </c>
      <c r="R184" s="2" t="inlineStr">
        <is>
          <t>Grantaggsvamp</t>
        </is>
      </c>
      <c r="S184">
        <f>HYPERLINK("https://klasma.github.io/Logging_2303/artfynd/A 35750-2023 artfynd.xlsx", "A 35750-2023")</f>
        <v/>
      </c>
      <c r="T184">
        <f>HYPERLINK("https://klasma.github.io/Logging_2303/kartor/A 35750-2023 karta.png", "A 35750-2023")</f>
        <v/>
      </c>
      <c r="V184">
        <f>HYPERLINK("https://klasma.github.io/Logging_2303/klagomål/A 35750-2023 FSC-klagomål.docx", "A 35750-2023")</f>
        <v/>
      </c>
      <c r="W184">
        <f>HYPERLINK("https://klasma.github.io/Logging_2303/klagomålsmail/A 35750-2023 FSC-klagomål mail.docx", "A 35750-2023")</f>
        <v/>
      </c>
      <c r="X184">
        <f>HYPERLINK("https://klasma.github.io/Logging_2303/tillsyn/A 35750-2023 tillsynsbegäran.docx", "A 35750-2023")</f>
        <v/>
      </c>
      <c r="Y184">
        <f>HYPERLINK("https://klasma.github.io/Logging_2303/tillsynsmail/A 35750-2023 tillsynsbegäran mail.docx", "A 35750-2023")</f>
        <v/>
      </c>
    </row>
    <row r="185" ht="15" customHeight="1">
      <c r="A185" t="inlineStr">
        <is>
          <t>A 36224-2023</t>
        </is>
      </c>
      <c r="B185" s="1" t="n">
        <v>45149</v>
      </c>
      <c r="C185" s="1" t="n">
        <v>45360</v>
      </c>
      <c r="D185" t="inlineStr">
        <is>
          <t>JÄMTLANDS LÄN</t>
        </is>
      </c>
      <c r="E185" t="inlineStr">
        <is>
          <t>RAGUNDA</t>
        </is>
      </c>
      <c r="F185" t="inlineStr">
        <is>
          <t>SCA</t>
        </is>
      </c>
      <c r="G185" t="n">
        <v>8.1</v>
      </c>
      <c r="H185" t="n">
        <v>0</v>
      </c>
      <c r="I185" t="n">
        <v>0</v>
      </c>
      <c r="J185" t="n">
        <v>1</v>
      </c>
      <c r="K185" t="n">
        <v>0</v>
      </c>
      <c r="L185" t="n">
        <v>0</v>
      </c>
      <c r="M185" t="n">
        <v>0</v>
      </c>
      <c r="N185" t="n">
        <v>0</v>
      </c>
      <c r="O185" t="n">
        <v>1</v>
      </c>
      <c r="P185" t="n">
        <v>0</v>
      </c>
      <c r="Q185" t="n">
        <v>1</v>
      </c>
      <c r="R185" s="2" t="inlineStr">
        <is>
          <t>Garnlav</t>
        </is>
      </c>
      <c r="S185">
        <f>HYPERLINK("https://klasma.github.io/Logging_2303/artfynd/A 36224-2023 artfynd.xlsx", "A 36224-2023")</f>
        <v/>
      </c>
      <c r="T185">
        <f>HYPERLINK("https://klasma.github.io/Logging_2303/kartor/A 36224-2023 karta.png", "A 36224-2023")</f>
        <v/>
      </c>
      <c r="V185">
        <f>HYPERLINK("https://klasma.github.io/Logging_2303/klagomål/A 36224-2023 FSC-klagomål.docx", "A 36224-2023")</f>
        <v/>
      </c>
      <c r="W185">
        <f>HYPERLINK("https://klasma.github.io/Logging_2303/klagomålsmail/A 36224-2023 FSC-klagomål mail.docx", "A 36224-2023")</f>
        <v/>
      </c>
      <c r="X185">
        <f>HYPERLINK("https://klasma.github.io/Logging_2303/tillsyn/A 36224-2023 tillsynsbegäran.docx", "A 36224-2023")</f>
        <v/>
      </c>
      <c r="Y185">
        <f>HYPERLINK("https://klasma.github.io/Logging_2303/tillsynsmail/A 36224-2023 tillsynsbegäran mail.docx", "A 36224-2023")</f>
        <v/>
      </c>
    </row>
    <row r="186" ht="15" customHeight="1">
      <c r="A186" t="inlineStr">
        <is>
          <t>A 36204-2023</t>
        </is>
      </c>
      <c r="B186" s="1" t="n">
        <v>45149</v>
      </c>
      <c r="C186" s="1" t="n">
        <v>45360</v>
      </c>
      <c r="D186" t="inlineStr">
        <is>
          <t>JÄMTLANDS LÄN</t>
        </is>
      </c>
      <c r="E186" t="inlineStr">
        <is>
          <t>RAGUNDA</t>
        </is>
      </c>
      <c r="F186" t="inlineStr">
        <is>
          <t>SCA</t>
        </is>
      </c>
      <c r="G186" t="n">
        <v>5.1</v>
      </c>
      <c r="H186" t="n">
        <v>0</v>
      </c>
      <c r="I186" t="n">
        <v>0</v>
      </c>
      <c r="J186" t="n">
        <v>1</v>
      </c>
      <c r="K186" t="n">
        <v>0</v>
      </c>
      <c r="L186" t="n">
        <v>0</v>
      </c>
      <c r="M186" t="n">
        <v>0</v>
      </c>
      <c r="N186" t="n">
        <v>0</v>
      </c>
      <c r="O186" t="n">
        <v>1</v>
      </c>
      <c r="P186" t="n">
        <v>0</v>
      </c>
      <c r="Q186" t="n">
        <v>1</v>
      </c>
      <c r="R186" s="2" t="inlineStr">
        <is>
          <t>Rosenticka</t>
        </is>
      </c>
      <c r="S186">
        <f>HYPERLINK("https://klasma.github.io/Logging_2303/artfynd/A 36204-2023 artfynd.xlsx", "A 36204-2023")</f>
        <v/>
      </c>
      <c r="T186">
        <f>HYPERLINK("https://klasma.github.io/Logging_2303/kartor/A 36204-2023 karta.png", "A 36204-2023")</f>
        <v/>
      </c>
      <c r="V186">
        <f>HYPERLINK("https://klasma.github.io/Logging_2303/klagomål/A 36204-2023 FSC-klagomål.docx", "A 36204-2023")</f>
        <v/>
      </c>
      <c r="W186">
        <f>HYPERLINK("https://klasma.github.io/Logging_2303/klagomålsmail/A 36204-2023 FSC-klagomål mail.docx", "A 36204-2023")</f>
        <v/>
      </c>
      <c r="X186">
        <f>HYPERLINK("https://klasma.github.io/Logging_2303/tillsyn/A 36204-2023 tillsynsbegäran.docx", "A 36204-2023")</f>
        <v/>
      </c>
      <c r="Y186">
        <f>HYPERLINK("https://klasma.github.io/Logging_2303/tillsynsmail/A 36204-2023 tillsynsbegäran mail.docx", "A 36204-2023")</f>
        <v/>
      </c>
    </row>
    <row r="187" ht="15" customHeight="1">
      <c r="A187" t="inlineStr">
        <is>
          <t>A 36225-2023</t>
        </is>
      </c>
      <c r="B187" s="1" t="n">
        <v>45149</v>
      </c>
      <c r="C187" s="1" t="n">
        <v>45360</v>
      </c>
      <c r="D187" t="inlineStr">
        <is>
          <t>JÄMTLANDS LÄN</t>
        </is>
      </c>
      <c r="E187" t="inlineStr">
        <is>
          <t>RAGUNDA</t>
        </is>
      </c>
      <c r="F187" t="inlineStr">
        <is>
          <t>SCA</t>
        </is>
      </c>
      <c r="G187" t="n">
        <v>3.9</v>
      </c>
      <c r="H187" t="n">
        <v>0</v>
      </c>
      <c r="I187" t="n">
        <v>0</v>
      </c>
      <c r="J187" t="n">
        <v>1</v>
      </c>
      <c r="K187" t="n">
        <v>0</v>
      </c>
      <c r="L187" t="n">
        <v>0</v>
      </c>
      <c r="M187" t="n">
        <v>0</v>
      </c>
      <c r="N187" t="n">
        <v>0</v>
      </c>
      <c r="O187" t="n">
        <v>1</v>
      </c>
      <c r="P187" t="n">
        <v>0</v>
      </c>
      <c r="Q187" t="n">
        <v>1</v>
      </c>
      <c r="R187" s="2" t="inlineStr">
        <is>
          <t>Lunglav</t>
        </is>
      </c>
      <c r="S187">
        <f>HYPERLINK("https://klasma.github.io/Logging_2303/artfynd/A 36225-2023 artfynd.xlsx", "A 36225-2023")</f>
        <v/>
      </c>
      <c r="T187">
        <f>HYPERLINK("https://klasma.github.io/Logging_2303/kartor/A 36225-2023 karta.png", "A 36225-2023")</f>
        <v/>
      </c>
      <c r="V187">
        <f>HYPERLINK("https://klasma.github.io/Logging_2303/klagomål/A 36225-2023 FSC-klagomål.docx", "A 36225-2023")</f>
        <v/>
      </c>
      <c r="W187">
        <f>HYPERLINK("https://klasma.github.io/Logging_2303/klagomålsmail/A 36225-2023 FSC-klagomål mail.docx", "A 36225-2023")</f>
        <v/>
      </c>
      <c r="X187">
        <f>HYPERLINK("https://klasma.github.io/Logging_2303/tillsyn/A 36225-2023 tillsynsbegäran.docx", "A 36225-2023")</f>
        <v/>
      </c>
      <c r="Y187">
        <f>HYPERLINK("https://klasma.github.io/Logging_2303/tillsynsmail/A 36225-2023 tillsynsbegäran mail.docx", "A 36225-2023")</f>
        <v/>
      </c>
    </row>
    <row r="188" ht="15" customHeight="1">
      <c r="A188" t="inlineStr">
        <is>
          <t>A 36758-2023</t>
        </is>
      </c>
      <c r="B188" s="1" t="n">
        <v>45153</v>
      </c>
      <c r="C188" s="1" t="n">
        <v>45360</v>
      </c>
      <c r="D188" t="inlineStr">
        <is>
          <t>JÄMTLANDS LÄN</t>
        </is>
      </c>
      <c r="E188" t="inlineStr">
        <is>
          <t>RAGUNDA</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HYPERLINK("https://klasma.github.io/Logging_2303/artfynd/A 36758-2023 artfynd.xlsx", "A 36758-2023")</f>
        <v/>
      </c>
      <c r="T188">
        <f>HYPERLINK("https://klasma.github.io/Logging_2303/kartor/A 36758-2023 karta.png", "A 36758-2023")</f>
        <v/>
      </c>
      <c r="V188">
        <f>HYPERLINK("https://klasma.github.io/Logging_2303/klagomål/A 36758-2023 FSC-klagomål.docx", "A 36758-2023")</f>
        <v/>
      </c>
      <c r="W188">
        <f>HYPERLINK("https://klasma.github.io/Logging_2303/klagomålsmail/A 36758-2023 FSC-klagomål mail.docx", "A 36758-2023")</f>
        <v/>
      </c>
      <c r="X188">
        <f>HYPERLINK("https://klasma.github.io/Logging_2303/tillsyn/A 36758-2023 tillsynsbegäran.docx", "A 36758-2023")</f>
        <v/>
      </c>
      <c r="Y188">
        <f>HYPERLINK("https://klasma.github.io/Logging_2303/tillsynsmail/A 36758-2023 tillsynsbegäran mail.docx", "A 36758-2023")</f>
        <v/>
      </c>
    </row>
    <row r="189" ht="15" customHeight="1">
      <c r="A189" t="inlineStr">
        <is>
          <t>A 36757-2023</t>
        </is>
      </c>
      <c r="B189" s="1" t="n">
        <v>45153</v>
      </c>
      <c r="C189" s="1" t="n">
        <v>45360</v>
      </c>
      <c r="D189" t="inlineStr">
        <is>
          <t>JÄMTLANDS LÄN</t>
        </is>
      </c>
      <c r="E189" t="inlineStr">
        <is>
          <t>RAGUNDA</t>
        </is>
      </c>
      <c r="G189" t="n">
        <v>0.7</v>
      </c>
      <c r="H189" t="n">
        <v>1</v>
      </c>
      <c r="I189" t="n">
        <v>0</v>
      </c>
      <c r="J189" t="n">
        <v>1</v>
      </c>
      <c r="K189" t="n">
        <v>0</v>
      </c>
      <c r="L189" t="n">
        <v>0</v>
      </c>
      <c r="M189" t="n">
        <v>0</v>
      </c>
      <c r="N189" t="n">
        <v>0</v>
      </c>
      <c r="O189" t="n">
        <v>1</v>
      </c>
      <c r="P189" t="n">
        <v>0</v>
      </c>
      <c r="Q189" t="n">
        <v>1</v>
      </c>
      <c r="R189" s="2" t="inlineStr">
        <is>
          <t>Tretåig hackspett</t>
        </is>
      </c>
      <c r="S189">
        <f>HYPERLINK("https://klasma.github.io/Logging_2303/artfynd/A 36757-2023 artfynd.xlsx", "A 36757-2023")</f>
        <v/>
      </c>
      <c r="T189">
        <f>HYPERLINK("https://klasma.github.io/Logging_2303/kartor/A 36757-2023 karta.png", "A 36757-2023")</f>
        <v/>
      </c>
      <c r="V189">
        <f>HYPERLINK("https://klasma.github.io/Logging_2303/klagomål/A 36757-2023 FSC-klagomål.docx", "A 36757-2023")</f>
        <v/>
      </c>
      <c r="W189">
        <f>HYPERLINK("https://klasma.github.io/Logging_2303/klagomålsmail/A 36757-2023 FSC-klagomål mail.docx", "A 36757-2023")</f>
        <v/>
      </c>
      <c r="X189">
        <f>HYPERLINK("https://klasma.github.io/Logging_2303/tillsyn/A 36757-2023 tillsynsbegäran.docx", "A 36757-2023")</f>
        <v/>
      </c>
      <c r="Y189">
        <f>HYPERLINK("https://klasma.github.io/Logging_2303/tillsynsmail/A 36757-2023 tillsynsbegäran mail.docx", "A 36757-2023")</f>
        <v/>
      </c>
      <c r="Z189">
        <f>HYPERLINK("https://klasma.github.io/Logging_2303/fåglar/A 36757-2023 prioriterade fågelarter.docx", "A 36757-2023")</f>
        <v/>
      </c>
    </row>
    <row r="190" ht="15" customHeight="1">
      <c r="A190" t="inlineStr">
        <is>
          <t>A 36854-2023</t>
        </is>
      </c>
      <c r="B190" s="1" t="n">
        <v>45153</v>
      </c>
      <c r="C190" s="1" t="n">
        <v>45360</v>
      </c>
      <c r="D190" t="inlineStr">
        <is>
          <t>JÄMTLANDS LÄN</t>
        </is>
      </c>
      <c r="E190" t="inlineStr">
        <is>
          <t>RAGUNDA</t>
        </is>
      </c>
      <c r="G190" t="n">
        <v>4</v>
      </c>
      <c r="H190" t="n">
        <v>1</v>
      </c>
      <c r="I190" t="n">
        <v>0</v>
      </c>
      <c r="J190" t="n">
        <v>1</v>
      </c>
      <c r="K190" t="n">
        <v>0</v>
      </c>
      <c r="L190" t="n">
        <v>0</v>
      </c>
      <c r="M190" t="n">
        <v>0</v>
      </c>
      <c r="N190" t="n">
        <v>0</v>
      </c>
      <c r="O190" t="n">
        <v>1</v>
      </c>
      <c r="P190" t="n">
        <v>0</v>
      </c>
      <c r="Q190" t="n">
        <v>1</v>
      </c>
      <c r="R190" s="2" t="inlineStr">
        <is>
          <t>Talltita</t>
        </is>
      </c>
      <c r="S190">
        <f>HYPERLINK("https://klasma.github.io/Logging_2303/artfynd/A 36854-2023 artfynd.xlsx", "A 36854-2023")</f>
        <v/>
      </c>
      <c r="T190">
        <f>HYPERLINK("https://klasma.github.io/Logging_2303/kartor/A 36854-2023 karta.png", "A 36854-2023")</f>
        <v/>
      </c>
      <c r="V190">
        <f>HYPERLINK("https://klasma.github.io/Logging_2303/klagomål/A 36854-2023 FSC-klagomål.docx", "A 36854-2023")</f>
        <v/>
      </c>
      <c r="W190">
        <f>HYPERLINK("https://klasma.github.io/Logging_2303/klagomålsmail/A 36854-2023 FSC-klagomål mail.docx", "A 36854-2023")</f>
        <v/>
      </c>
      <c r="X190">
        <f>HYPERLINK("https://klasma.github.io/Logging_2303/tillsyn/A 36854-2023 tillsynsbegäran.docx", "A 36854-2023")</f>
        <v/>
      </c>
      <c r="Y190">
        <f>HYPERLINK("https://klasma.github.io/Logging_2303/tillsynsmail/A 36854-2023 tillsynsbegäran mail.docx", "A 36854-2023")</f>
        <v/>
      </c>
      <c r="Z190">
        <f>HYPERLINK("https://klasma.github.io/Logging_2303/fåglar/A 36854-2023 prioriterade fågelarter.docx", "A 36854-2023")</f>
        <v/>
      </c>
    </row>
    <row r="191" ht="15" customHeight="1">
      <c r="A191" t="inlineStr">
        <is>
          <t>A 36975-2023</t>
        </is>
      </c>
      <c r="B191" s="1" t="n">
        <v>45154</v>
      </c>
      <c r="C191" s="1" t="n">
        <v>45360</v>
      </c>
      <c r="D191" t="inlineStr">
        <is>
          <t>JÄMTLANDS LÄN</t>
        </is>
      </c>
      <c r="E191" t="inlineStr">
        <is>
          <t>RAGUNDA</t>
        </is>
      </c>
      <c r="F191" t="inlineStr">
        <is>
          <t>SCA</t>
        </is>
      </c>
      <c r="G191" t="n">
        <v>3.8</v>
      </c>
      <c r="H191" t="n">
        <v>0</v>
      </c>
      <c r="I191" t="n">
        <v>0</v>
      </c>
      <c r="J191" t="n">
        <v>0</v>
      </c>
      <c r="K191" t="n">
        <v>1</v>
      </c>
      <c r="L191" t="n">
        <v>0</v>
      </c>
      <c r="M191" t="n">
        <v>0</v>
      </c>
      <c r="N191" t="n">
        <v>0</v>
      </c>
      <c r="O191" t="n">
        <v>1</v>
      </c>
      <c r="P191" t="n">
        <v>1</v>
      </c>
      <c r="Q191" t="n">
        <v>1</v>
      </c>
      <c r="R191" s="2" t="inlineStr">
        <is>
          <t>Gräddporing</t>
        </is>
      </c>
      <c r="S191">
        <f>HYPERLINK("https://klasma.github.io/Logging_2303/artfynd/A 36975-2023 artfynd.xlsx", "A 36975-2023")</f>
        <v/>
      </c>
      <c r="T191">
        <f>HYPERLINK("https://klasma.github.io/Logging_2303/kartor/A 36975-2023 karta.png", "A 36975-2023")</f>
        <v/>
      </c>
      <c r="V191">
        <f>HYPERLINK("https://klasma.github.io/Logging_2303/klagomål/A 36975-2023 FSC-klagomål.docx", "A 36975-2023")</f>
        <v/>
      </c>
      <c r="W191">
        <f>HYPERLINK("https://klasma.github.io/Logging_2303/klagomålsmail/A 36975-2023 FSC-klagomål mail.docx", "A 36975-2023")</f>
        <v/>
      </c>
      <c r="X191">
        <f>HYPERLINK("https://klasma.github.io/Logging_2303/tillsyn/A 36975-2023 tillsynsbegäran.docx", "A 36975-2023")</f>
        <v/>
      </c>
      <c r="Y191">
        <f>HYPERLINK("https://klasma.github.io/Logging_2303/tillsynsmail/A 36975-2023 tillsynsbegäran mail.docx", "A 36975-2023")</f>
        <v/>
      </c>
    </row>
    <row r="192" ht="15" customHeight="1">
      <c r="A192" t="inlineStr">
        <is>
          <t>A 37234-2023</t>
        </is>
      </c>
      <c r="B192" s="1" t="n">
        <v>45155</v>
      </c>
      <c r="C192" s="1" t="n">
        <v>45360</v>
      </c>
      <c r="D192" t="inlineStr">
        <is>
          <t>JÄMTLANDS LÄN</t>
        </is>
      </c>
      <c r="E192" t="inlineStr">
        <is>
          <t>RAGUNDA</t>
        </is>
      </c>
      <c r="F192" t="inlineStr">
        <is>
          <t>SCA</t>
        </is>
      </c>
      <c r="G192" t="n">
        <v>7.5</v>
      </c>
      <c r="H192" t="n">
        <v>1</v>
      </c>
      <c r="I192" t="n">
        <v>0</v>
      </c>
      <c r="J192" t="n">
        <v>0</v>
      </c>
      <c r="K192" t="n">
        <v>1</v>
      </c>
      <c r="L192" t="n">
        <v>0</v>
      </c>
      <c r="M192" t="n">
        <v>0</v>
      </c>
      <c r="N192" t="n">
        <v>0</v>
      </c>
      <c r="O192" t="n">
        <v>1</v>
      </c>
      <c r="P192" t="n">
        <v>1</v>
      </c>
      <c r="Q192" t="n">
        <v>1</v>
      </c>
      <c r="R192" s="2" t="inlineStr">
        <is>
          <t>Knärot</t>
        </is>
      </c>
      <c r="S192">
        <f>HYPERLINK("https://klasma.github.io/Logging_2303/artfynd/A 37234-2023 artfynd.xlsx", "A 37234-2023")</f>
        <v/>
      </c>
      <c r="T192">
        <f>HYPERLINK("https://klasma.github.io/Logging_2303/kartor/A 37234-2023 karta.png", "A 37234-2023")</f>
        <v/>
      </c>
      <c r="U192">
        <f>HYPERLINK("https://klasma.github.io/Logging_2303/knärot/A 37234-2023 karta knärot.png", "A 37234-2023")</f>
        <v/>
      </c>
      <c r="V192">
        <f>HYPERLINK("https://klasma.github.io/Logging_2303/klagomål/A 37234-2023 FSC-klagomål.docx", "A 37234-2023")</f>
        <v/>
      </c>
      <c r="W192">
        <f>HYPERLINK("https://klasma.github.io/Logging_2303/klagomålsmail/A 37234-2023 FSC-klagomål mail.docx", "A 37234-2023")</f>
        <v/>
      </c>
      <c r="X192">
        <f>HYPERLINK("https://klasma.github.io/Logging_2303/tillsyn/A 37234-2023 tillsynsbegäran.docx", "A 37234-2023")</f>
        <v/>
      </c>
      <c r="Y192">
        <f>HYPERLINK("https://klasma.github.io/Logging_2303/tillsynsmail/A 37234-2023 tillsynsbegäran mail.docx", "A 37234-2023")</f>
        <v/>
      </c>
    </row>
    <row r="193" ht="15" customHeight="1">
      <c r="A193" t="inlineStr">
        <is>
          <t>A 43404-2023</t>
        </is>
      </c>
      <c r="B193" s="1" t="n">
        <v>45183</v>
      </c>
      <c r="C193" s="1" t="n">
        <v>45360</v>
      </c>
      <c r="D193" t="inlineStr">
        <is>
          <t>JÄMTLANDS LÄN</t>
        </is>
      </c>
      <c r="E193" t="inlineStr">
        <is>
          <t>RAGUNDA</t>
        </is>
      </c>
      <c r="F193" t="inlineStr">
        <is>
          <t>SCA</t>
        </is>
      </c>
      <c r="G193" t="n">
        <v>0.9</v>
      </c>
      <c r="H193" t="n">
        <v>0</v>
      </c>
      <c r="I193" t="n">
        <v>1</v>
      </c>
      <c r="J193" t="n">
        <v>0</v>
      </c>
      <c r="K193" t="n">
        <v>0</v>
      </c>
      <c r="L193" t="n">
        <v>0</v>
      </c>
      <c r="M193" t="n">
        <v>0</v>
      </c>
      <c r="N193" t="n">
        <v>0</v>
      </c>
      <c r="O193" t="n">
        <v>0</v>
      </c>
      <c r="P193" t="n">
        <v>0</v>
      </c>
      <c r="Q193" t="n">
        <v>1</v>
      </c>
      <c r="R193" s="2" t="inlineStr">
        <is>
          <t>Kryddspindling</t>
        </is>
      </c>
      <c r="S193">
        <f>HYPERLINK("https://klasma.github.io/Logging_2303/artfynd/A 43404-2023 artfynd.xlsx", "A 43404-2023")</f>
        <v/>
      </c>
      <c r="T193">
        <f>HYPERLINK("https://klasma.github.io/Logging_2303/kartor/A 43404-2023 karta.png", "A 43404-2023")</f>
        <v/>
      </c>
      <c r="V193">
        <f>HYPERLINK("https://klasma.github.io/Logging_2303/klagomål/A 43404-2023 FSC-klagomål.docx", "A 43404-2023")</f>
        <v/>
      </c>
      <c r="W193">
        <f>HYPERLINK("https://klasma.github.io/Logging_2303/klagomålsmail/A 43404-2023 FSC-klagomål mail.docx", "A 43404-2023")</f>
        <v/>
      </c>
      <c r="X193">
        <f>HYPERLINK("https://klasma.github.io/Logging_2303/tillsyn/A 43404-2023 tillsynsbegäran.docx", "A 43404-2023")</f>
        <v/>
      </c>
      <c r="Y193">
        <f>HYPERLINK("https://klasma.github.io/Logging_2303/tillsynsmail/A 43404-2023 tillsynsbegäran mail.docx", "A 43404-2023")</f>
        <v/>
      </c>
    </row>
    <row r="194" ht="15" customHeight="1">
      <c r="A194" t="inlineStr">
        <is>
          <t>A 48429-2023</t>
        </is>
      </c>
      <c r="B194" s="1" t="n">
        <v>45205</v>
      </c>
      <c r="C194" s="1" t="n">
        <v>45360</v>
      </c>
      <c r="D194" t="inlineStr">
        <is>
          <t>JÄMTLANDS LÄN</t>
        </is>
      </c>
      <c r="E194" t="inlineStr">
        <is>
          <t>RAGUNDA</t>
        </is>
      </c>
      <c r="F194" t="inlineStr">
        <is>
          <t>SCA</t>
        </is>
      </c>
      <c r="G194" t="n">
        <v>1.8</v>
      </c>
      <c r="H194" t="n">
        <v>0</v>
      </c>
      <c r="I194" t="n">
        <v>1</v>
      </c>
      <c r="J194" t="n">
        <v>0</v>
      </c>
      <c r="K194" t="n">
        <v>0</v>
      </c>
      <c r="L194" t="n">
        <v>0</v>
      </c>
      <c r="M194" t="n">
        <v>0</v>
      </c>
      <c r="N194" t="n">
        <v>0</v>
      </c>
      <c r="O194" t="n">
        <v>0</v>
      </c>
      <c r="P194" t="n">
        <v>0</v>
      </c>
      <c r="Q194" t="n">
        <v>1</v>
      </c>
      <c r="R194" s="2" t="inlineStr">
        <is>
          <t>Dropptaggsvamp</t>
        </is>
      </c>
      <c r="S194">
        <f>HYPERLINK("https://klasma.github.io/Logging_2303/artfynd/A 48429-2023 artfynd.xlsx", "A 48429-2023")</f>
        <v/>
      </c>
      <c r="T194">
        <f>HYPERLINK("https://klasma.github.io/Logging_2303/kartor/A 48429-2023 karta.png", "A 48429-2023")</f>
        <v/>
      </c>
      <c r="V194">
        <f>HYPERLINK("https://klasma.github.io/Logging_2303/klagomål/A 48429-2023 FSC-klagomål.docx", "A 48429-2023")</f>
        <v/>
      </c>
      <c r="W194">
        <f>HYPERLINK("https://klasma.github.io/Logging_2303/klagomålsmail/A 48429-2023 FSC-klagomål mail.docx", "A 48429-2023")</f>
        <v/>
      </c>
      <c r="X194">
        <f>HYPERLINK("https://klasma.github.io/Logging_2303/tillsyn/A 48429-2023 tillsynsbegäran.docx", "A 48429-2023")</f>
        <v/>
      </c>
      <c r="Y194">
        <f>HYPERLINK("https://klasma.github.io/Logging_2303/tillsynsmail/A 48429-2023 tillsynsbegäran mail.docx", "A 48429-2023")</f>
        <v/>
      </c>
    </row>
    <row r="195" ht="15" customHeight="1">
      <c r="A195" t="inlineStr">
        <is>
          <t>A 48477-2023</t>
        </is>
      </c>
      <c r="B195" s="1" t="n">
        <v>45206</v>
      </c>
      <c r="C195" s="1" t="n">
        <v>45360</v>
      </c>
      <c r="D195" t="inlineStr">
        <is>
          <t>JÄMTLANDS LÄN</t>
        </is>
      </c>
      <c r="E195" t="inlineStr">
        <is>
          <t>RAGUNDA</t>
        </is>
      </c>
      <c r="F195" t="inlineStr">
        <is>
          <t>SCA</t>
        </is>
      </c>
      <c r="G195" t="n">
        <v>1.8</v>
      </c>
      <c r="H195" t="n">
        <v>0</v>
      </c>
      <c r="I195" t="n">
        <v>1</v>
      </c>
      <c r="J195" t="n">
        <v>0</v>
      </c>
      <c r="K195" t="n">
        <v>0</v>
      </c>
      <c r="L195" t="n">
        <v>0</v>
      </c>
      <c r="M195" t="n">
        <v>0</v>
      </c>
      <c r="N195" t="n">
        <v>0</v>
      </c>
      <c r="O195" t="n">
        <v>0</v>
      </c>
      <c r="P195" t="n">
        <v>0</v>
      </c>
      <c r="Q195" t="n">
        <v>1</v>
      </c>
      <c r="R195" s="2" t="inlineStr">
        <is>
          <t>Dropptaggsvamp</t>
        </is>
      </c>
      <c r="S195">
        <f>HYPERLINK("https://klasma.github.io/Logging_2303/artfynd/A 48477-2023 artfynd.xlsx", "A 48477-2023")</f>
        <v/>
      </c>
      <c r="T195">
        <f>HYPERLINK("https://klasma.github.io/Logging_2303/kartor/A 48477-2023 karta.png", "A 48477-2023")</f>
        <v/>
      </c>
      <c r="V195">
        <f>HYPERLINK("https://klasma.github.io/Logging_2303/klagomål/A 48477-2023 FSC-klagomål.docx", "A 48477-2023")</f>
        <v/>
      </c>
      <c r="W195">
        <f>HYPERLINK("https://klasma.github.io/Logging_2303/klagomålsmail/A 48477-2023 FSC-klagomål mail.docx", "A 48477-2023")</f>
        <v/>
      </c>
      <c r="X195">
        <f>HYPERLINK("https://klasma.github.io/Logging_2303/tillsyn/A 48477-2023 tillsynsbegäran.docx", "A 48477-2023")</f>
        <v/>
      </c>
      <c r="Y195">
        <f>HYPERLINK("https://klasma.github.io/Logging_2303/tillsynsmail/A 48477-2023 tillsynsbegäran mail.docx", "A 48477-2023")</f>
        <v/>
      </c>
    </row>
    <row r="196" ht="15" customHeight="1">
      <c r="A196" t="inlineStr">
        <is>
          <t>A 50164-2023</t>
        </is>
      </c>
      <c r="B196" s="1" t="n">
        <v>45208</v>
      </c>
      <c r="C196" s="1" t="n">
        <v>45360</v>
      </c>
      <c r="D196" t="inlineStr">
        <is>
          <t>JÄMTLANDS LÄN</t>
        </is>
      </c>
      <c r="E196" t="inlineStr">
        <is>
          <t>RAGUNDA</t>
        </is>
      </c>
      <c r="G196" t="n">
        <v>2.9</v>
      </c>
      <c r="H196" t="n">
        <v>0</v>
      </c>
      <c r="I196" t="n">
        <v>0</v>
      </c>
      <c r="J196" t="n">
        <v>0</v>
      </c>
      <c r="K196" t="n">
        <v>1</v>
      </c>
      <c r="L196" t="n">
        <v>0</v>
      </c>
      <c r="M196" t="n">
        <v>0</v>
      </c>
      <c r="N196" t="n">
        <v>0</v>
      </c>
      <c r="O196" t="n">
        <v>1</v>
      </c>
      <c r="P196" t="n">
        <v>1</v>
      </c>
      <c r="Q196" t="n">
        <v>1</v>
      </c>
      <c r="R196" s="2" t="inlineStr">
        <is>
          <t>Mindre barkplattbagge</t>
        </is>
      </c>
      <c r="S196">
        <f>HYPERLINK("https://klasma.github.io/Logging_2303/artfynd/A 50164-2023 artfynd.xlsx", "A 50164-2023")</f>
        <v/>
      </c>
      <c r="T196">
        <f>HYPERLINK("https://klasma.github.io/Logging_2303/kartor/A 50164-2023 karta.png", "A 50164-2023")</f>
        <v/>
      </c>
      <c r="V196">
        <f>HYPERLINK("https://klasma.github.io/Logging_2303/klagomål/A 50164-2023 FSC-klagomål.docx", "A 50164-2023")</f>
        <v/>
      </c>
      <c r="W196">
        <f>HYPERLINK("https://klasma.github.io/Logging_2303/klagomålsmail/A 50164-2023 FSC-klagomål mail.docx", "A 50164-2023")</f>
        <v/>
      </c>
      <c r="X196">
        <f>HYPERLINK("https://klasma.github.io/Logging_2303/tillsyn/A 50164-2023 tillsynsbegäran.docx", "A 50164-2023")</f>
        <v/>
      </c>
      <c r="Y196">
        <f>HYPERLINK("https://klasma.github.io/Logging_2303/tillsynsmail/A 50164-2023 tillsynsbegäran mail.docx", "A 50164-2023")</f>
        <v/>
      </c>
    </row>
    <row r="197" ht="15" customHeight="1">
      <c r="A197" t="inlineStr">
        <is>
          <t>A 56283-2023</t>
        </is>
      </c>
      <c r="B197" s="1" t="n">
        <v>45241</v>
      </c>
      <c r="C197" s="1" t="n">
        <v>45360</v>
      </c>
      <c r="D197" t="inlineStr">
        <is>
          <t>JÄMTLANDS LÄN</t>
        </is>
      </c>
      <c r="E197" t="inlineStr">
        <is>
          <t>RAGUNDA</t>
        </is>
      </c>
      <c r="F197" t="inlineStr">
        <is>
          <t>SCA</t>
        </is>
      </c>
      <c r="G197" t="n">
        <v>7.4</v>
      </c>
      <c r="H197" t="n">
        <v>1</v>
      </c>
      <c r="I197" t="n">
        <v>0</v>
      </c>
      <c r="J197" t="n">
        <v>0</v>
      </c>
      <c r="K197" t="n">
        <v>1</v>
      </c>
      <c r="L197" t="n">
        <v>0</v>
      </c>
      <c r="M197" t="n">
        <v>0</v>
      </c>
      <c r="N197" t="n">
        <v>0</v>
      </c>
      <c r="O197" t="n">
        <v>1</v>
      </c>
      <c r="P197" t="n">
        <v>1</v>
      </c>
      <c r="Q197" t="n">
        <v>1</v>
      </c>
      <c r="R197" s="2" t="inlineStr">
        <is>
          <t>Doftticka</t>
        </is>
      </c>
      <c r="S197">
        <f>HYPERLINK("https://klasma.github.io/Logging_2303/artfynd/A 56283-2023 artfynd.xlsx", "A 56283-2023")</f>
        <v/>
      </c>
      <c r="T197">
        <f>HYPERLINK("https://klasma.github.io/Logging_2303/kartor/A 56283-2023 karta.png", "A 56283-2023")</f>
        <v/>
      </c>
      <c r="V197">
        <f>HYPERLINK("https://klasma.github.io/Logging_2303/klagomål/A 56283-2023 FSC-klagomål.docx", "A 56283-2023")</f>
        <v/>
      </c>
      <c r="W197">
        <f>HYPERLINK("https://klasma.github.io/Logging_2303/klagomålsmail/A 56283-2023 FSC-klagomål mail.docx", "A 56283-2023")</f>
        <v/>
      </c>
      <c r="X197">
        <f>HYPERLINK("https://klasma.github.io/Logging_2303/tillsyn/A 56283-2023 tillsynsbegäran.docx", "A 56283-2023")</f>
        <v/>
      </c>
      <c r="Y197">
        <f>HYPERLINK("https://klasma.github.io/Logging_2303/tillsynsmail/A 56283-2023 tillsynsbegäran mail.docx", "A 56283-2023")</f>
        <v/>
      </c>
    </row>
    <row r="198" ht="15" customHeight="1">
      <c r="A198" t="inlineStr">
        <is>
          <t>A 59104-2023</t>
        </is>
      </c>
      <c r="B198" s="1" t="n">
        <v>45253</v>
      </c>
      <c r="C198" s="1" t="n">
        <v>45360</v>
      </c>
      <c r="D198" t="inlineStr">
        <is>
          <t>JÄMTLANDS LÄN</t>
        </is>
      </c>
      <c r="E198" t="inlineStr">
        <is>
          <t>RAGUNDA</t>
        </is>
      </c>
      <c r="F198" t="inlineStr">
        <is>
          <t>SCA</t>
        </is>
      </c>
      <c r="G198" t="n">
        <v>4.2</v>
      </c>
      <c r="H198" t="n">
        <v>0</v>
      </c>
      <c r="I198" t="n">
        <v>0</v>
      </c>
      <c r="J198" t="n">
        <v>1</v>
      </c>
      <c r="K198" t="n">
        <v>0</v>
      </c>
      <c r="L198" t="n">
        <v>0</v>
      </c>
      <c r="M198" t="n">
        <v>0</v>
      </c>
      <c r="N198" t="n">
        <v>0</v>
      </c>
      <c r="O198" t="n">
        <v>1</v>
      </c>
      <c r="P198" t="n">
        <v>0</v>
      </c>
      <c r="Q198" t="n">
        <v>1</v>
      </c>
      <c r="R198" s="2" t="inlineStr">
        <is>
          <t>Ullticka</t>
        </is>
      </c>
      <c r="S198">
        <f>HYPERLINK("https://klasma.github.io/Logging_2303/artfynd/A 59104-2023 artfynd.xlsx", "A 59104-2023")</f>
        <v/>
      </c>
      <c r="T198">
        <f>HYPERLINK("https://klasma.github.io/Logging_2303/kartor/A 59104-2023 karta.png", "A 59104-2023")</f>
        <v/>
      </c>
      <c r="V198">
        <f>HYPERLINK("https://klasma.github.io/Logging_2303/klagomål/A 59104-2023 FSC-klagomål.docx", "A 59104-2023")</f>
        <v/>
      </c>
      <c r="W198">
        <f>HYPERLINK("https://klasma.github.io/Logging_2303/klagomålsmail/A 59104-2023 FSC-klagomål mail.docx", "A 59104-2023")</f>
        <v/>
      </c>
      <c r="X198">
        <f>HYPERLINK("https://klasma.github.io/Logging_2303/tillsyn/A 59104-2023 tillsynsbegäran.docx", "A 59104-2023")</f>
        <v/>
      </c>
      <c r="Y198">
        <f>HYPERLINK("https://klasma.github.io/Logging_2303/tillsynsmail/A 59104-2023 tillsynsbegäran mail.docx", "A 59104-2023")</f>
        <v/>
      </c>
    </row>
    <row r="199" ht="15" customHeight="1">
      <c r="A199" t="inlineStr">
        <is>
          <t>A 61505-2023</t>
        </is>
      </c>
      <c r="B199" s="1" t="n">
        <v>45264</v>
      </c>
      <c r="C199" s="1" t="n">
        <v>45360</v>
      </c>
      <c r="D199" t="inlineStr">
        <is>
          <t>JÄMTLANDS LÄN</t>
        </is>
      </c>
      <c r="E199" t="inlineStr">
        <is>
          <t>RAGUNDA</t>
        </is>
      </c>
      <c r="F199" t="inlineStr">
        <is>
          <t>SCA</t>
        </is>
      </c>
      <c r="G199" t="n">
        <v>38.3</v>
      </c>
      <c r="H199" t="n">
        <v>1</v>
      </c>
      <c r="I199" t="n">
        <v>0</v>
      </c>
      <c r="J199" t="n">
        <v>1</v>
      </c>
      <c r="K199" t="n">
        <v>0</v>
      </c>
      <c r="L199" t="n">
        <v>0</v>
      </c>
      <c r="M199" t="n">
        <v>0</v>
      </c>
      <c r="N199" t="n">
        <v>0</v>
      </c>
      <c r="O199" t="n">
        <v>1</v>
      </c>
      <c r="P199" t="n">
        <v>0</v>
      </c>
      <c r="Q199" t="n">
        <v>1</v>
      </c>
      <c r="R199" s="2" t="inlineStr">
        <is>
          <t>Järpe</t>
        </is>
      </c>
      <c r="S199">
        <f>HYPERLINK("https://klasma.github.io/Logging_2303/artfynd/A 61505-2023 artfynd.xlsx", "A 61505-2023")</f>
        <v/>
      </c>
      <c r="T199">
        <f>HYPERLINK("https://klasma.github.io/Logging_2303/kartor/A 61505-2023 karta.png", "A 61505-2023")</f>
        <v/>
      </c>
      <c r="V199">
        <f>HYPERLINK("https://klasma.github.io/Logging_2303/klagomål/A 61505-2023 FSC-klagomål.docx", "A 61505-2023")</f>
        <v/>
      </c>
      <c r="W199">
        <f>HYPERLINK("https://klasma.github.io/Logging_2303/klagomålsmail/A 61505-2023 FSC-klagomål mail.docx", "A 61505-2023")</f>
        <v/>
      </c>
      <c r="X199">
        <f>HYPERLINK("https://klasma.github.io/Logging_2303/tillsyn/A 61505-2023 tillsynsbegäran.docx", "A 61505-2023")</f>
        <v/>
      </c>
      <c r="Y199">
        <f>HYPERLINK("https://klasma.github.io/Logging_2303/tillsynsmail/A 61505-2023 tillsynsbegäran mail.docx", "A 61505-2023")</f>
        <v/>
      </c>
      <c r="Z199">
        <f>HYPERLINK("https://klasma.github.io/Logging_2303/fåglar/A 61505-2023 prioriterade fågelarter.docx", "A 61505-2023")</f>
        <v/>
      </c>
    </row>
    <row r="200" ht="15" customHeight="1">
      <c r="A200" t="inlineStr">
        <is>
          <t>A 62072-2023</t>
        </is>
      </c>
      <c r="B200" s="1" t="n">
        <v>45266</v>
      </c>
      <c r="C200" s="1" t="n">
        <v>45360</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Lappuggla</t>
        </is>
      </c>
      <c r="S200">
        <f>HYPERLINK("https://klasma.github.io/Logging_2303/artfynd/A 62072-2023 artfynd.xlsx", "A 62072-2023")</f>
        <v/>
      </c>
      <c r="T200">
        <f>HYPERLINK("https://klasma.github.io/Logging_2303/kartor/A 62072-2023 karta.png", "A 62072-2023")</f>
        <v/>
      </c>
      <c r="V200">
        <f>HYPERLINK("https://klasma.github.io/Logging_2303/klagomål/A 62072-2023 FSC-klagomål.docx", "A 62072-2023")</f>
        <v/>
      </c>
      <c r="W200">
        <f>HYPERLINK("https://klasma.github.io/Logging_2303/klagomålsmail/A 62072-2023 FSC-klagomål mail.docx", "A 62072-2023")</f>
        <v/>
      </c>
      <c r="X200">
        <f>HYPERLINK("https://klasma.github.io/Logging_2303/tillsyn/A 62072-2023 tillsynsbegäran.docx", "A 62072-2023")</f>
        <v/>
      </c>
      <c r="Y200">
        <f>HYPERLINK("https://klasma.github.io/Logging_2303/tillsynsmail/A 62072-2023 tillsynsbegäran mail.docx", "A 62072-2023")</f>
        <v/>
      </c>
      <c r="Z200">
        <f>HYPERLINK("https://klasma.github.io/Logging_2303/fåglar/A 62072-2023 prioriterade fågelarter.docx", "A 62072-2023")</f>
        <v/>
      </c>
    </row>
    <row r="201" ht="15" customHeight="1">
      <c r="A201" t="inlineStr">
        <is>
          <t>A 978-2024</t>
        </is>
      </c>
      <c r="B201" s="1" t="n">
        <v>45301</v>
      </c>
      <c r="C201" s="1" t="n">
        <v>45360</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1057-2024</t>
        </is>
      </c>
      <c r="B202" s="1" t="n">
        <v>45301</v>
      </c>
      <c r="C202" s="1" t="n">
        <v>45360</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2246-2024</t>
        </is>
      </c>
      <c r="B203" s="1" t="n">
        <v>45309</v>
      </c>
      <c r="C203" s="1" t="n">
        <v>45360</v>
      </c>
      <c r="D203" t="inlineStr">
        <is>
          <t>JÄMTLANDS LÄN</t>
        </is>
      </c>
      <c r="E203" t="inlineStr">
        <is>
          <t>RAGUNDA</t>
        </is>
      </c>
      <c r="G203" t="n">
        <v>3.8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2246-2024 artfynd.xlsx", "A 2246-2024")</f>
        <v/>
      </c>
      <c r="T203">
        <f>HYPERLINK("https://klasma.github.io/Logging_2303/kartor/A 2246-2024 karta.png", "A 2246-2024")</f>
        <v/>
      </c>
      <c r="V203">
        <f>HYPERLINK("https://klasma.github.io/Logging_2303/klagomål/A 2246-2024 FSC-klagomål.docx", "A 2246-2024")</f>
        <v/>
      </c>
      <c r="W203">
        <f>HYPERLINK("https://klasma.github.io/Logging_2303/klagomålsmail/A 2246-2024 FSC-klagomål mail.docx", "A 2246-2024")</f>
        <v/>
      </c>
      <c r="X203">
        <f>HYPERLINK("https://klasma.github.io/Logging_2303/tillsyn/A 2246-2024 tillsynsbegäran.docx", "A 2246-2024")</f>
        <v/>
      </c>
      <c r="Y203">
        <f>HYPERLINK("https://klasma.github.io/Logging_2303/tillsynsmail/A 2246-2024 tillsynsbegäran mail.docx", "A 2246-2024")</f>
        <v/>
      </c>
    </row>
    <row r="204" ht="15" customHeight="1">
      <c r="A204" t="inlineStr">
        <is>
          <t>A 2929-2024</t>
        </is>
      </c>
      <c r="B204" s="1" t="n">
        <v>45315</v>
      </c>
      <c r="C204" s="1" t="n">
        <v>45360</v>
      </c>
      <c r="D204" t="inlineStr">
        <is>
          <t>JÄMTLANDS LÄN</t>
        </is>
      </c>
      <c r="E204" t="inlineStr">
        <is>
          <t>RAGUNDA</t>
        </is>
      </c>
      <c r="G204" t="n">
        <v>1</v>
      </c>
      <c r="H204" t="n">
        <v>0</v>
      </c>
      <c r="I204" t="n">
        <v>0</v>
      </c>
      <c r="J204" t="n">
        <v>1</v>
      </c>
      <c r="K204" t="n">
        <v>0</v>
      </c>
      <c r="L204" t="n">
        <v>0</v>
      </c>
      <c r="M204" t="n">
        <v>0</v>
      </c>
      <c r="N204" t="n">
        <v>0</v>
      </c>
      <c r="O204" t="n">
        <v>1</v>
      </c>
      <c r="P204" t="n">
        <v>0</v>
      </c>
      <c r="Q204" t="n">
        <v>1</v>
      </c>
      <c r="R204" s="2" t="inlineStr">
        <is>
          <t>Klådris</t>
        </is>
      </c>
      <c r="S204">
        <f>HYPERLINK("https://klasma.github.io/Logging_2303/artfynd/A 2929-2024 artfynd.xlsx", "A 2929-2024")</f>
        <v/>
      </c>
      <c r="T204">
        <f>HYPERLINK("https://klasma.github.io/Logging_2303/kartor/A 2929-2024 karta.png", "A 2929-2024")</f>
        <v/>
      </c>
      <c r="V204">
        <f>HYPERLINK("https://klasma.github.io/Logging_2303/klagomål/A 2929-2024 FSC-klagomål.docx", "A 2929-2024")</f>
        <v/>
      </c>
      <c r="W204">
        <f>HYPERLINK("https://klasma.github.io/Logging_2303/klagomålsmail/A 2929-2024 FSC-klagomål mail.docx", "A 2929-2024")</f>
        <v/>
      </c>
      <c r="X204">
        <f>HYPERLINK("https://klasma.github.io/Logging_2303/tillsyn/A 2929-2024 tillsynsbegäran.docx", "A 2929-2024")</f>
        <v/>
      </c>
      <c r="Y204">
        <f>HYPERLINK("https://klasma.github.io/Logging_2303/tillsynsmail/A 2929-2024 tillsynsbegäran mail.docx", "A 2929-2024")</f>
        <v/>
      </c>
    </row>
    <row r="205" ht="15" customHeight="1">
      <c r="A205" t="inlineStr">
        <is>
          <t>A 6703-2024</t>
        </is>
      </c>
      <c r="B205" s="1" t="n">
        <v>45341</v>
      </c>
      <c r="C205" s="1" t="n">
        <v>45360</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35331-2018</t>
        </is>
      </c>
      <c r="B206" s="1" t="n">
        <v>43321</v>
      </c>
      <c r="C206" s="1" t="n">
        <v>45360</v>
      </c>
      <c r="D206" t="inlineStr">
        <is>
          <t>JÄMTLANDS LÄN</t>
        </is>
      </c>
      <c r="E206" t="inlineStr">
        <is>
          <t>RAGUNDA</t>
        </is>
      </c>
      <c r="G206" t="n">
        <v>38</v>
      </c>
      <c r="H206" t="n">
        <v>0</v>
      </c>
      <c r="I206" t="n">
        <v>0</v>
      </c>
      <c r="J206" t="n">
        <v>0</v>
      </c>
      <c r="K206" t="n">
        <v>0</v>
      </c>
      <c r="L206" t="n">
        <v>0</v>
      </c>
      <c r="M206" t="n">
        <v>0</v>
      </c>
      <c r="N206" t="n">
        <v>0</v>
      </c>
      <c r="O206" t="n">
        <v>0</v>
      </c>
      <c r="P206" t="n">
        <v>0</v>
      </c>
      <c r="Q206" t="n">
        <v>0</v>
      </c>
      <c r="R206" s="2" t="inlineStr"/>
    </row>
    <row r="207" ht="15" customHeight="1">
      <c r="A207" t="inlineStr">
        <is>
          <t>A 35216-2018</t>
        </is>
      </c>
      <c r="B207" s="1" t="n">
        <v>43322</v>
      </c>
      <c r="C207" s="1" t="n">
        <v>45360</v>
      </c>
      <c r="D207" t="inlineStr">
        <is>
          <t>JÄMTLANDS LÄN</t>
        </is>
      </c>
      <c r="E207" t="inlineStr">
        <is>
          <t>RAGUNDA</t>
        </is>
      </c>
      <c r="F207" t="inlineStr">
        <is>
          <t>SCA</t>
        </is>
      </c>
      <c r="G207" t="n">
        <v>6</v>
      </c>
      <c r="H207" t="n">
        <v>0</v>
      </c>
      <c r="I207" t="n">
        <v>0</v>
      </c>
      <c r="J207" t="n">
        <v>0</v>
      </c>
      <c r="K207" t="n">
        <v>0</v>
      </c>
      <c r="L207" t="n">
        <v>0</v>
      </c>
      <c r="M207" t="n">
        <v>0</v>
      </c>
      <c r="N207" t="n">
        <v>0</v>
      </c>
      <c r="O207" t="n">
        <v>0</v>
      </c>
      <c r="P207" t="n">
        <v>0</v>
      </c>
      <c r="Q207" t="n">
        <v>0</v>
      </c>
      <c r="R207" s="2" t="inlineStr"/>
    </row>
    <row r="208" ht="15" customHeight="1">
      <c r="A208" t="inlineStr">
        <is>
          <t>A 35741-2018</t>
        </is>
      </c>
      <c r="B208" s="1" t="n">
        <v>43326</v>
      </c>
      <c r="C208" s="1" t="n">
        <v>45360</v>
      </c>
      <c r="D208" t="inlineStr">
        <is>
          <t>JÄMTLANDS LÄN</t>
        </is>
      </c>
      <c r="E208" t="inlineStr">
        <is>
          <t>RAGUNDA</t>
        </is>
      </c>
      <c r="G208" t="n">
        <v>2.4</v>
      </c>
      <c r="H208" t="n">
        <v>0</v>
      </c>
      <c r="I208" t="n">
        <v>0</v>
      </c>
      <c r="J208" t="n">
        <v>0</v>
      </c>
      <c r="K208" t="n">
        <v>0</v>
      </c>
      <c r="L208" t="n">
        <v>0</v>
      </c>
      <c r="M208" t="n">
        <v>0</v>
      </c>
      <c r="N208" t="n">
        <v>0</v>
      </c>
      <c r="O208" t="n">
        <v>0</v>
      </c>
      <c r="P208" t="n">
        <v>0</v>
      </c>
      <c r="Q208" t="n">
        <v>0</v>
      </c>
      <c r="R208" s="2" t="inlineStr"/>
    </row>
    <row r="209" ht="15" customHeight="1">
      <c r="A209" t="inlineStr">
        <is>
          <t>A 39341-2018</t>
        </is>
      </c>
      <c r="B209" s="1" t="n">
        <v>43341</v>
      </c>
      <c r="C209" s="1" t="n">
        <v>45360</v>
      </c>
      <c r="D209" t="inlineStr">
        <is>
          <t>JÄMTLANDS LÄN</t>
        </is>
      </c>
      <c r="E209" t="inlineStr">
        <is>
          <t>RAGUNDA</t>
        </is>
      </c>
      <c r="G209" t="n">
        <v>0.2</v>
      </c>
      <c r="H209" t="n">
        <v>0</v>
      </c>
      <c r="I209" t="n">
        <v>0</v>
      </c>
      <c r="J209" t="n">
        <v>0</v>
      </c>
      <c r="K209" t="n">
        <v>0</v>
      </c>
      <c r="L209" t="n">
        <v>0</v>
      </c>
      <c r="M209" t="n">
        <v>0</v>
      </c>
      <c r="N209" t="n">
        <v>0</v>
      </c>
      <c r="O209" t="n">
        <v>0</v>
      </c>
      <c r="P209" t="n">
        <v>0</v>
      </c>
      <c r="Q209" t="n">
        <v>0</v>
      </c>
      <c r="R209" s="2" t="inlineStr"/>
    </row>
    <row r="210" ht="15" customHeight="1">
      <c r="A210" t="inlineStr">
        <is>
          <t>A 45365-2018</t>
        </is>
      </c>
      <c r="B210" s="1" t="n">
        <v>43360</v>
      </c>
      <c r="C210" s="1" t="n">
        <v>45360</v>
      </c>
      <c r="D210" t="inlineStr">
        <is>
          <t>JÄMTLANDS LÄN</t>
        </is>
      </c>
      <c r="E210" t="inlineStr">
        <is>
          <t>RAGUNDA</t>
        </is>
      </c>
      <c r="G210" t="n">
        <v>7</v>
      </c>
      <c r="H210" t="n">
        <v>0</v>
      </c>
      <c r="I210" t="n">
        <v>0</v>
      </c>
      <c r="J210" t="n">
        <v>0</v>
      </c>
      <c r="K210" t="n">
        <v>0</v>
      </c>
      <c r="L210" t="n">
        <v>0</v>
      </c>
      <c r="M210" t="n">
        <v>0</v>
      </c>
      <c r="N210" t="n">
        <v>0</v>
      </c>
      <c r="O210" t="n">
        <v>0</v>
      </c>
      <c r="P210" t="n">
        <v>0</v>
      </c>
      <c r="Q210" t="n">
        <v>0</v>
      </c>
      <c r="R210" s="2" t="inlineStr"/>
    </row>
    <row r="211" ht="15" customHeight="1">
      <c r="A211" t="inlineStr">
        <is>
          <t>A 54413-2018</t>
        </is>
      </c>
      <c r="B211" s="1" t="n">
        <v>43395</v>
      </c>
      <c r="C211" s="1" t="n">
        <v>45360</v>
      </c>
      <c r="D211" t="inlineStr">
        <is>
          <t>JÄMTLANDS LÄN</t>
        </is>
      </c>
      <c r="E211" t="inlineStr">
        <is>
          <t>RAGUNDA</t>
        </is>
      </c>
      <c r="G211" t="n">
        <v>31.2</v>
      </c>
      <c r="H211" t="n">
        <v>0</v>
      </c>
      <c r="I211" t="n">
        <v>0</v>
      </c>
      <c r="J211" t="n">
        <v>0</v>
      </c>
      <c r="K211" t="n">
        <v>0</v>
      </c>
      <c r="L211" t="n">
        <v>0</v>
      </c>
      <c r="M211" t="n">
        <v>0</v>
      </c>
      <c r="N211" t="n">
        <v>0</v>
      </c>
      <c r="O211" t="n">
        <v>0</v>
      </c>
      <c r="P211" t="n">
        <v>0</v>
      </c>
      <c r="Q211" t="n">
        <v>0</v>
      </c>
      <c r="R211" s="2" t="inlineStr"/>
    </row>
    <row r="212" ht="15" customHeight="1">
      <c r="A212" t="inlineStr">
        <is>
          <t>A 55010-2018</t>
        </is>
      </c>
      <c r="B212" s="1" t="n">
        <v>43396</v>
      </c>
      <c r="C212" s="1" t="n">
        <v>45360</v>
      </c>
      <c r="D212" t="inlineStr">
        <is>
          <t>JÄMTLANDS LÄN</t>
        </is>
      </c>
      <c r="E212" t="inlineStr">
        <is>
          <t>RAGUNDA</t>
        </is>
      </c>
      <c r="G212" t="n">
        <v>0.8</v>
      </c>
      <c r="H212" t="n">
        <v>0</v>
      </c>
      <c r="I212" t="n">
        <v>0</v>
      </c>
      <c r="J212" t="n">
        <v>0</v>
      </c>
      <c r="K212" t="n">
        <v>0</v>
      </c>
      <c r="L212" t="n">
        <v>0</v>
      </c>
      <c r="M212" t="n">
        <v>0</v>
      </c>
      <c r="N212" t="n">
        <v>0</v>
      </c>
      <c r="O212" t="n">
        <v>0</v>
      </c>
      <c r="P212" t="n">
        <v>0</v>
      </c>
      <c r="Q212" t="n">
        <v>0</v>
      </c>
      <c r="R212" s="2" t="inlineStr"/>
    </row>
    <row r="213" ht="15" customHeight="1">
      <c r="A213" t="inlineStr">
        <is>
          <t>A 55763-2018</t>
        </is>
      </c>
      <c r="B213" s="1" t="n">
        <v>43398</v>
      </c>
      <c r="C213" s="1" t="n">
        <v>45360</v>
      </c>
      <c r="D213" t="inlineStr">
        <is>
          <t>JÄMTLANDS LÄN</t>
        </is>
      </c>
      <c r="E213" t="inlineStr">
        <is>
          <t>RAGUNDA</t>
        </is>
      </c>
      <c r="G213" t="n">
        <v>6.4</v>
      </c>
      <c r="H213" t="n">
        <v>0</v>
      </c>
      <c r="I213" t="n">
        <v>0</v>
      </c>
      <c r="J213" t="n">
        <v>0</v>
      </c>
      <c r="K213" t="n">
        <v>0</v>
      </c>
      <c r="L213" t="n">
        <v>0</v>
      </c>
      <c r="M213" t="n">
        <v>0</v>
      </c>
      <c r="N213" t="n">
        <v>0</v>
      </c>
      <c r="O213" t="n">
        <v>0</v>
      </c>
      <c r="P213" t="n">
        <v>0</v>
      </c>
      <c r="Q213" t="n">
        <v>0</v>
      </c>
      <c r="R213" s="2" t="inlineStr"/>
    </row>
    <row r="214" ht="15" customHeight="1">
      <c r="A214" t="inlineStr">
        <is>
          <t>A 55761-2018</t>
        </is>
      </c>
      <c r="B214" s="1" t="n">
        <v>43398</v>
      </c>
      <c r="C214" s="1" t="n">
        <v>45360</v>
      </c>
      <c r="D214" t="inlineStr">
        <is>
          <t>JÄMTLANDS LÄN</t>
        </is>
      </c>
      <c r="E214" t="inlineStr">
        <is>
          <t>RAGUNDA</t>
        </is>
      </c>
      <c r="G214" t="n">
        <v>11.4</v>
      </c>
      <c r="H214" t="n">
        <v>0</v>
      </c>
      <c r="I214" t="n">
        <v>0</v>
      </c>
      <c r="J214" t="n">
        <v>0</v>
      </c>
      <c r="K214" t="n">
        <v>0</v>
      </c>
      <c r="L214" t="n">
        <v>0</v>
      </c>
      <c r="M214" t="n">
        <v>0</v>
      </c>
      <c r="N214" t="n">
        <v>0</v>
      </c>
      <c r="O214" t="n">
        <v>0</v>
      </c>
      <c r="P214" t="n">
        <v>0</v>
      </c>
      <c r="Q214" t="n">
        <v>0</v>
      </c>
      <c r="R214" s="2" t="inlineStr"/>
    </row>
    <row r="215" ht="15" customHeight="1">
      <c r="A215" t="inlineStr">
        <is>
          <t>A 55786-2018</t>
        </is>
      </c>
      <c r="B215" s="1" t="n">
        <v>43398</v>
      </c>
      <c r="C215" s="1" t="n">
        <v>45360</v>
      </c>
      <c r="D215" t="inlineStr">
        <is>
          <t>JÄMTLANDS LÄN</t>
        </is>
      </c>
      <c r="E215" t="inlineStr">
        <is>
          <t>RAGUNDA</t>
        </is>
      </c>
      <c r="G215" t="n">
        <v>4.4</v>
      </c>
      <c r="H215" t="n">
        <v>0</v>
      </c>
      <c r="I215" t="n">
        <v>0</v>
      </c>
      <c r="J215" t="n">
        <v>0</v>
      </c>
      <c r="K215" t="n">
        <v>0</v>
      </c>
      <c r="L215" t="n">
        <v>0</v>
      </c>
      <c r="M215" t="n">
        <v>0</v>
      </c>
      <c r="N215" t="n">
        <v>0</v>
      </c>
      <c r="O215" t="n">
        <v>0</v>
      </c>
      <c r="P215" t="n">
        <v>0</v>
      </c>
      <c r="Q215" t="n">
        <v>0</v>
      </c>
      <c r="R215" s="2" t="inlineStr"/>
    </row>
    <row r="216" ht="15" customHeight="1">
      <c r="A216" t="inlineStr">
        <is>
          <t>A 57238-2018</t>
        </is>
      </c>
      <c r="B216" s="1" t="n">
        <v>43403</v>
      </c>
      <c r="C216" s="1" t="n">
        <v>45360</v>
      </c>
      <c r="D216" t="inlineStr">
        <is>
          <t>JÄMTLANDS LÄN</t>
        </is>
      </c>
      <c r="E216" t="inlineStr">
        <is>
          <t>RAGUNDA</t>
        </is>
      </c>
      <c r="F216" t="inlineStr">
        <is>
          <t>SCA</t>
        </is>
      </c>
      <c r="G216" t="n">
        <v>10.2</v>
      </c>
      <c r="H216" t="n">
        <v>0</v>
      </c>
      <c r="I216" t="n">
        <v>0</v>
      </c>
      <c r="J216" t="n">
        <v>0</v>
      </c>
      <c r="K216" t="n">
        <v>0</v>
      </c>
      <c r="L216" t="n">
        <v>0</v>
      </c>
      <c r="M216" t="n">
        <v>0</v>
      </c>
      <c r="N216" t="n">
        <v>0</v>
      </c>
      <c r="O216" t="n">
        <v>0</v>
      </c>
      <c r="P216" t="n">
        <v>0</v>
      </c>
      <c r="Q216" t="n">
        <v>0</v>
      </c>
      <c r="R216" s="2" t="inlineStr"/>
    </row>
    <row r="217" ht="15" customHeight="1">
      <c r="A217" t="inlineStr">
        <is>
          <t>A 64983-2018</t>
        </is>
      </c>
      <c r="B217" s="1" t="n">
        <v>43403</v>
      </c>
      <c r="C217" s="1" t="n">
        <v>45360</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57237-2018</t>
        </is>
      </c>
      <c r="B218" s="1" t="n">
        <v>43403</v>
      </c>
      <c r="C218" s="1" t="n">
        <v>45360</v>
      </c>
      <c r="D218" t="inlineStr">
        <is>
          <t>JÄMTLANDS LÄN</t>
        </is>
      </c>
      <c r="E218" t="inlineStr">
        <is>
          <t>RAGUNDA</t>
        </is>
      </c>
      <c r="F218" t="inlineStr">
        <is>
          <t>SCA</t>
        </is>
      </c>
      <c r="G218" t="n">
        <v>20.7</v>
      </c>
      <c r="H218" t="n">
        <v>0</v>
      </c>
      <c r="I218" t="n">
        <v>0</v>
      </c>
      <c r="J218" t="n">
        <v>0</v>
      </c>
      <c r="K218" t="n">
        <v>0</v>
      </c>
      <c r="L218" t="n">
        <v>0</v>
      </c>
      <c r="M218" t="n">
        <v>0</v>
      </c>
      <c r="N218" t="n">
        <v>0</v>
      </c>
      <c r="O218" t="n">
        <v>0</v>
      </c>
      <c r="P218" t="n">
        <v>0</v>
      </c>
      <c r="Q218" t="n">
        <v>0</v>
      </c>
      <c r="R218" s="2" t="inlineStr"/>
    </row>
    <row r="219" ht="15" customHeight="1">
      <c r="A219" t="inlineStr">
        <is>
          <t>A 57992-2018</t>
        </is>
      </c>
      <c r="B219" s="1" t="n">
        <v>43405</v>
      </c>
      <c r="C219" s="1" t="n">
        <v>45360</v>
      </c>
      <c r="D219" t="inlineStr">
        <is>
          <t>JÄMTLANDS LÄN</t>
        </is>
      </c>
      <c r="E219" t="inlineStr">
        <is>
          <t>RAGUNDA</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58172-2018</t>
        </is>
      </c>
      <c r="B220" s="1" t="n">
        <v>43406</v>
      </c>
      <c r="C220" s="1" t="n">
        <v>45360</v>
      </c>
      <c r="D220" t="inlineStr">
        <is>
          <t>JÄMTLANDS LÄN</t>
        </is>
      </c>
      <c r="E220" t="inlineStr">
        <is>
          <t>RAGUNDA</t>
        </is>
      </c>
      <c r="F220" t="inlineStr">
        <is>
          <t>SCA</t>
        </is>
      </c>
      <c r="G220" t="n">
        <v>12.8</v>
      </c>
      <c r="H220" t="n">
        <v>0</v>
      </c>
      <c r="I220" t="n">
        <v>0</v>
      </c>
      <c r="J220" t="n">
        <v>0</v>
      </c>
      <c r="K220" t="n">
        <v>0</v>
      </c>
      <c r="L220" t="n">
        <v>0</v>
      </c>
      <c r="M220" t="n">
        <v>0</v>
      </c>
      <c r="N220" t="n">
        <v>0</v>
      </c>
      <c r="O220" t="n">
        <v>0</v>
      </c>
      <c r="P220" t="n">
        <v>0</v>
      </c>
      <c r="Q220" t="n">
        <v>0</v>
      </c>
      <c r="R220" s="2" t="inlineStr"/>
    </row>
    <row r="221" ht="15" customHeight="1">
      <c r="A221" t="inlineStr">
        <is>
          <t>A 58929-2018</t>
        </is>
      </c>
      <c r="B221" s="1" t="n">
        <v>43410</v>
      </c>
      <c r="C221" s="1" t="n">
        <v>45360</v>
      </c>
      <c r="D221" t="inlineStr">
        <is>
          <t>JÄMTLANDS LÄN</t>
        </is>
      </c>
      <c r="E221" t="inlineStr">
        <is>
          <t>RAGUNDA</t>
        </is>
      </c>
      <c r="F221" t="inlineStr">
        <is>
          <t>SCA</t>
        </is>
      </c>
      <c r="G221" t="n">
        <v>12.8</v>
      </c>
      <c r="H221" t="n">
        <v>0</v>
      </c>
      <c r="I221" t="n">
        <v>0</v>
      </c>
      <c r="J221" t="n">
        <v>0</v>
      </c>
      <c r="K221" t="n">
        <v>0</v>
      </c>
      <c r="L221" t="n">
        <v>0</v>
      </c>
      <c r="M221" t="n">
        <v>0</v>
      </c>
      <c r="N221" t="n">
        <v>0</v>
      </c>
      <c r="O221" t="n">
        <v>0</v>
      </c>
      <c r="P221" t="n">
        <v>0</v>
      </c>
      <c r="Q221" t="n">
        <v>0</v>
      </c>
      <c r="R221" s="2" t="inlineStr"/>
    </row>
    <row r="222" ht="15" customHeight="1">
      <c r="A222" t="inlineStr">
        <is>
          <t>A 59114-2018</t>
        </is>
      </c>
      <c r="B222" s="1" t="n">
        <v>43411</v>
      </c>
      <c r="C222" s="1" t="n">
        <v>45360</v>
      </c>
      <c r="D222" t="inlineStr">
        <is>
          <t>JÄMTLANDS LÄN</t>
        </is>
      </c>
      <c r="E222" t="inlineStr">
        <is>
          <t>RAGUNDA</t>
        </is>
      </c>
      <c r="G222" t="n">
        <v>0.7</v>
      </c>
      <c r="H222" t="n">
        <v>0</v>
      </c>
      <c r="I222" t="n">
        <v>0</v>
      </c>
      <c r="J222" t="n">
        <v>0</v>
      </c>
      <c r="K222" t="n">
        <v>0</v>
      </c>
      <c r="L222" t="n">
        <v>0</v>
      </c>
      <c r="M222" t="n">
        <v>0</v>
      </c>
      <c r="N222" t="n">
        <v>0</v>
      </c>
      <c r="O222" t="n">
        <v>0</v>
      </c>
      <c r="P222" t="n">
        <v>0</v>
      </c>
      <c r="Q222" t="n">
        <v>0</v>
      </c>
      <c r="R222" s="2" t="inlineStr"/>
    </row>
    <row r="223" ht="15" customHeight="1">
      <c r="A223" t="inlineStr">
        <is>
          <t>A 59979-2018</t>
        </is>
      </c>
      <c r="B223" s="1" t="n">
        <v>43411</v>
      </c>
      <c r="C223" s="1" t="n">
        <v>45360</v>
      </c>
      <c r="D223" t="inlineStr">
        <is>
          <t>JÄMTLANDS LÄN</t>
        </is>
      </c>
      <c r="E223" t="inlineStr">
        <is>
          <t>RAGUNDA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59978-2018</t>
        </is>
      </c>
      <c r="B224" s="1" t="n">
        <v>43411</v>
      </c>
      <c r="C224" s="1" t="n">
        <v>45360</v>
      </c>
      <c r="D224" t="inlineStr">
        <is>
          <t>JÄMTLANDS LÄN</t>
        </is>
      </c>
      <c r="E224" t="inlineStr">
        <is>
          <t>RAGUNDA</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59977-2018</t>
        </is>
      </c>
      <c r="B225" s="1" t="n">
        <v>43411</v>
      </c>
      <c r="C225" s="1" t="n">
        <v>45360</v>
      </c>
      <c r="D225" t="inlineStr">
        <is>
          <t>JÄMTLANDS LÄN</t>
        </is>
      </c>
      <c r="E225" t="inlineStr">
        <is>
          <t>RAGUNDA</t>
        </is>
      </c>
      <c r="F225" t="inlineStr">
        <is>
          <t>SCA</t>
        </is>
      </c>
      <c r="G225" t="n">
        <v>15.5</v>
      </c>
      <c r="H225" t="n">
        <v>0</v>
      </c>
      <c r="I225" t="n">
        <v>0</v>
      </c>
      <c r="J225" t="n">
        <v>0</v>
      </c>
      <c r="K225" t="n">
        <v>0</v>
      </c>
      <c r="L225" t="n">
        <v>0</v>
      </c>
      <c r="M225" t="n">
        <v>0</v>
      </c>
      <c r="N225" t="n">
        <v>0</v>
      </c>
      <c r="O225" t="n">
        <v>0</v>
      </c>
      <c r="P225" t="n">
        <v>0</v>
      </c>
      <c r="Q225" t="n">
        <v>0</v>
      </c>
      <c r="R225" s="2" t="inlineStr"/>
    </row>
    <row r="226" ht="15" customHeight="1">
      <c r="A226" t="inlineStr">
        <is>
          <t>A 59981-2018</t>
        </is>
      </c>
      <c r="B226" s="1" t="n">
        <v>43411</v>
      </c>
      <c r="C226" s="1" t="n">
        <v>45360</v>
      </c>
      <c r="D226" t="inlineStr">
        <is>
          <t>JÄMTLANDS LÄN</t>
        </is>
      </c>
      <c r="E226" t="inlineStr">
        <is>
          <t>RAGUNDA</t>
        </is>
      </c>
      <c r="F226" t="inlineStr">
        <is>
          <t>SCA</t>
        </is>
      </c>
      <c r="G226" t="n">
        <v>18.9</v>
      </c>
      <c r="H226" t="n">
        <v>0</v>
      </c>
      <c r="I226" t="n">
        <v>0</v>
      </c>
      <c r="J226" t="n">
        <v>0</v>
      </c>
      <c r="K226" t="n">
        <v>0</v>
      </c>
      <c r="L226" t="n">
        <v>0</v>
      </c>
      <c r="M226" t="n">
        <v>0</v>
      </c>
      <c r="N226" t="n">
        <v>0</v>
      </c>
      <c r="O226" t="n">
        <v>0</v>
      </c>
      <c r="P226" t="n">
        <v>0</v>
      </c>
      <c r="Q226" t="n">
        <v>0</v>
      </c>
      <c r="R226" s="2" t="inlineStr"/>
    </row>
    <row r="227" ht="15" customHeight="1">
      <c r="A227" t="inlineStr">
        <is>
          <t>A 59980-2018</t>
        </is>
      </c>
      <c r="B227" s="1" t="n">
        <v>43411</v>
      </c>
      <c r="C227" s="1" t="n">
        <v>45360</v>
      </c>
      <c r="D227" t="inlineStr">
        <is>
          <t>JÄMTLANDS LÄN</t>
        </is>
      </c>
      <c r="E227" t="inlineStr">
        <is>
          <t>RAGUNDA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59991-2018</t>
        </is>
      </c>
      <c r="B228" s="1" t="n">
        <v>43411</v>
      </c>
      <c r="C228" s="1" t="n">
        <v>45360</v>
      </c>
      <c r="D228" t="inlineStr">
        <is>
          <t>JÄMTLANDS LÄN</t>
        </is>
      </c>
      <c r="E228" t="inlineStr">
        <is>
          <t>RAGUNDA</t>
        </is>
      </c>
      <c r="G228" t="n">
        <v>0.6</v>
      </c>
      <c r="H228" t="n">
        <v>0</v>
      </c>
      <c r="I228" t="n">
        <v>0</v>
      </c>
      <c r="J228" t="n">
        <v>0</v>
      </c>
      <c r="K228" t="n">
        <v>0</v>
      </c>
      <c r="L228" t="n">
        <v>0</v>
      </c>
      <c r="M228" t="n">
        <v>0</v>
      </c>
      <c r="N228" t="n">
        <v>0</v>
      </c>
      <c r="O228" t="n">
        <v>0</v>
      </c>
      <c r="P228" t="n">
        <v>0</v>
      </c>
      <c r="Q228" t="n">
        <v>0</v>
      </c>
      <c r="R228" s="2" t="inlineStr"/>
    </row>
    <row r="229" ht="15" customHeight="1">
      <c r="A229" t="inlineStr">
        <is>
          <t>A 61683-2018</t>
        </is>
      </c>
      <c r="B229" s="1" t="n">
        <v>43413</v>
      </c>
      <c r="C229" s="1" t="n">
        <v>45360</v>
      </c>
      <c r="D229" t="inlineStr">
        <is>
          <t>JÄMTLANDS LÄN</t>
        </is>
      </c>
      <c r="E229" t="inlineStr">
        <is>
          <t>RAGUNDA</t>
        </is>
      </c>
      <c r="G229" t="n">
        <v>3.2</v>
      </c>
      <c r="H229" t="n">
        <v>0</v>
      </c>
      <c r="I229" t="n">
        <v>0</v>
      </c>
      <c r="J229" t="n">
        <v>0</v>
      </c>
      <c r="K229" t="n">
        <v>0</v>
      </c>
      <c r="L229" t="n">
        <v>0</v>
      </c>
      <c r="M229" t="n">
        <v>0</v>
      </c>
      <c r="N229" t="n">
        <v>0</v>
      </c>
      <c r="O229" t="n">
        <v>0</v>
      </c>
      <c r="P229" t="n">
        <v>0</v>
      </c>
      <c r="Q229" t="n">
        <v>0</v>
      </c>
      <c r="R229" s="2" t="inlineStr"/>
    </row>
    <row r="230" ht="15" customHeight="1">
      <c r="A230" t="inlineStr">
        <is>
          <t>A 63072-2018</t>
        </is>
      </c>
      <c r="B230" s="1" t="n">
        <v>43418</v>
      </c>
      <c r="C230" s="1" t="n">
        <v>45360</v>
      </c>
      <c r="D230" t="inlineStr">
        <is>
          <t>JÄMTLANDS LÄN</t>
        </is>
      </c>
      <c r="E230" t="inlineStr">
        <is>
          <t>RAGUNDA</t>
        </is>
      </c>
      <c r="G230" t="n">
        <v>6.6</v>
      </c>
      <c r="H230" t="n">
        <v>0</v>
      </c>
      <c r="I230" t="n">
        <v>0</v>
      </c>
      <c r="J230" t="n">
        <v>0</v>
      </c>
      <c r="K230" t="n">
        <v>0</v>
      </c>
      <c r="L230" t="n">
        <v>0</v>
      </c>
      <c r="M230" t="n">
        <v>0</v>
      </c>
      <c r="N230" t="n">
        <v>0</v>
      </c>
      <c r="O230" t="n">
        <v>0</v>
      </c>
      <c r="P230" t="n">
        <v>0</v>
      </c>
      <c r="Q230" t="n">
        <v>0</v>
      </c>
      <c r="R230" s="2" t="inlineStr"/>
    </row>
    <row r="231" ht="15" customHeight="1">
      <c r="A231" t="inlineStr">
        <is>
          <t>A 64205-2018</t>
        </is>
      </c>
      <c r="B231" s="1" t="n">
        <v>43419</v>
      </c>
      <c r="C231" s="1" t="n">
        <v>45360</v>
      </c>
      <c r="D231" t="inlineStr">
        <is>
          <t>JÄMTLANDS LÄN</t>
        </is>
      </c>
      <c r="E231" t="inlineStr">
        <is>
          <t>RAGUNDA</t>
        </is>
      </c>
      <c r="G231" t="n">
        <v>3.5</v>
      </c>
      <c r="H231" t="n">
        <v>0</v>
      </c>
      <c r="I231" t="n">
        <v>0</v>
      </c>
      <c r="J231" t="n">
        <v>0</v>
      </c>
      <c r="K231" t="n">
        <v>0</v>
      </c>
      <c r="L231" t="n">
        <v>0</v>
      </c>
      <c r="M231" t="n">
        <v>0</v>
      </c>
      <c r="N231" t="n">
        <v>0</v>
      </c>
      <c r="O231" t="n">
        <v>0</v>
      </c>
      <c r="P231" t="n">
        <v>0</v>
      </c>
      <c r="Q231" t="n">
        <v>0</v>
      </c>
      <c r="R231" s="2" t="inlineStr"/>
    </row>
    <row r="232" ht="15" customHeight="1">
      <c r="A232" t="inlineStr">
        <is>
          <t>A 61036-2018</t>
        </is>
      </c>
      <c r="B232" s="1" t="n">
        <v>43423</v>
      </c>
      <c r="C232" s="1" t="n">
        <v>45360</v>
      </c>
      <c r="D232" t="inlineStr">
        <is>
          <t>JÄMTLANDS LÄN</t>
        </is>
      </c>
      <c r="E232" t="inlineStr">
        <is>
          <t>RAGUNDA</t>
        </is>
      </c>
      <c r="G232" t="n">
        <v>4</v>
      </c>
      <c r="H232" t="n">
        <v>0</v>
      </c>
      <c r="I232" t="n">
        <v>0</v>
      </c>
      <c r="J232" t="n">
        <v>0</v>
      </c>
      <c r="K232" t="n">
        <v>0</v>
      </c>
      <c r="L232" t="n">
        <v>0</v>
      </c>
      <c r="M232" t="n">
        <v>0</v>
      </c>
      <c r="N232" t="n">
        <v>0</v>
      </c>
      <c r="O232" t="n">
        <v>0</v>
      </c>
      <c r="P232" t="n">
        <v>0</v>
      </c>
      <c r="Q232" t="n">
        <v>0</v>
      </c>
      <c r="R232" s="2" t="inlineStr"/>
    </row>
    <row r="233" ht="15" customHeight="1">
      <c r="A233" t="inlineStr">
        <is>
          <t>A 64738-2018</t>
        </is>
      </c>
      <c r="B233" s="1" t="n">
        <v>43423</v>
      </c>
      <c r="C233" s="1" t="n">
        <v>45360</v>
      </c>
      <c r="D233" t="inlineStr">
        <is>
          <t>JÄMTLANDS LÄN</t>
        </is>
      </c>
      <c r="E233" t="inlineStr">
        <is>
          <t>RAGUNDA</t>
        </is>
      </c>
      <c r="G233" t="n">
        <v>3</v>
      </c>
      <c r="H233" t="n">
        <v>0</v>
      </c>
      <c r="I233" t="n">
        <v>0</v>
      </c>
      <c r="J233" t="n">
        <v>0</v>
      </c>
      <c r="K233" t="n">
        <v>0</v>
      </c>
      <c r="L233" t="n">
        <v>0</v>
      </c>
      <c r="M233" t="n">
        <v>0</v>
      </c>
      <c r="N233" t="n">
        <v>0</v>
      </c>
      <c r="O233" t="n">
        <v>0</v>
      </c>
      <c r="P233" t="n">
        <v>0</v>
      </c>
      <c r="Q233" t="n">
        <v>0</v>
      </c>
      <c r="R233" s="2" t="inlineStr"/>
    </row>
    <row r="234" ht="15" customHeight="1">
      <c r="A234" t="inlineStr">
        <is>
          <t>A 63573-2018</t>
        </is>
      </c>
      <c r="B234" s="1" t="n">
        <v>43427</v>
      </c>
      <c r="C234" s="1" t="n">
        <v>45360</v>
      </c>
      <c r="D234" t="inlineStr">
        <is>
          <t>JÄMTLANDS LÄN</t>
        </is>
      </c>
      <c r="E234" t="inlineStr">
        <is>
          <t>RAGUNDA</t>
        </is>
      </c>
      <c r="G234" t="n">
        <v>2.2</v>
      </c>
      <c r="H234" t="n">
        <v>0</v>
      </c>
      <c r="I234" t="n">
        <v>0</v>
      </c>
      <c r="J234" t="n">
        <v>0</v>
      </c>
      <c r="K234" t="n">
        <v>0</v>
      </c>
      <c r="L234" t="n">
        <v>0</v>
      </c>
      <c r="M234" t="n">
        <v>0</v>
      </c>
      <c r="N234" t="n">
        <v>0</v>
      </c>
      <c r="O234" t="n">
        <v>0</v>
      </c>
      <c r="P234" t="n">
        <v>0</v>
      </c>
      <c r="Q234" t="n">
        <v>0</v>
      </c>
      <c r="R234" s="2" t="inlineStr"/>
    </row>
    <row r="235" ht="15" customHeight="1">
      <c r="A235" t="inlineStr">
        <is>
          <t>A 63570-2018</t>
        </is>
      </c>
      <c r="B235" s="1" t="n">
        <v>43427</v>
      </c>
      <c r="C235" s="1" t="n">
        <v>45360</v>
      </c>
      <c r="D235" t="inlineStr">
        <is>
          <t>JÄMTLANDS LÄN</t>
        </is>
      </c>
      <c r="E235" t="inlineStr">
        <is>
          <t>RAGUNDA</t>
        </is>
      </c>
      <c r="G235" t="n">
        <v>3.2</v>
      </c>
      <c r="H235" t="n">
        <v>0</v>
      </c>
      <c r="I235" t="n">
        <v>0</v>
      </c>
      <c r="J235" t="n">
        <v>0</v>
      </c>
      <c r="K235" t="n">
        <v>0</v>
      </c>
      <c r="L235" t="n">
        <v>0</v>
      </c>
      <c r="M235" t="n">
        <v>0</v>
      </c>
      <c r="N235" t="n">
        <v>0</v>
      </c>
      <c r="O235" t="n">
        <v>0</v>
      </c>
      <c r="P235" t="n">
        <v>0</v>
      </c>
      <c r="Q235" t="n">
        <v>0</v>
      </c>
      <c r="R235" s="2" t="inlineStr"/>
    </row>
    <row r="236" ht="15" customHeight="1">
      <c r="A236" t="inlineStr">
        <is>
          <t>A 64922-2018</t>
        </is>
      </c>
      <c r="B236" s="1" t="n">
        <v>43431</v>
      </c>
      <c r="C236" s="1" t="n">
        <v>45360</v>
      </c>
      <c r="D236" t="inlineStr">
        <is>
          <t>JÄMTLANDS LÄN</t>
        </is>
      </c>
      <c r="E236" t="inlineStr">
        <is>
          <t>RAGUNDA</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67286-2018</t>
        </is>
      </c>
      <c r="B237" s="1" t="n">
        <v>43431</v>
      </c>
      <c r="C237" s="1" t="n">
        <v>45360</v>
      </c>
      <c r="D237" t="inlineStr">
        <is>
          <t>JÄMTLANDS LÄN</t>
        </is>
      </c>
      <c r="E237" t="inlineStr">
        <is>
          <t>RAGUNDA</t>
        </is>
      </c>
      <c r="G237" t="n">
        <v>3.3</v>
      </c>
      <c r="H237" t="n">
        <v>0</v>
      </c>
      <c r="I237" t="n">
        <v>0</v>
      </c>
      <c r="J237" t="n">
        <v>0</v>
      </c>
      <c r="K237" t="n">
        <v>0</v>
      </c>
      <c r="L237" t="n">
        <v>0</v>
      </c>
      <c r="M237" t="n">
        <v>0</v>
      </c>
      <c r="N237" t="n">
        <v>0</v>
      </c>
      <c r="O237" t="n">
        <v>0</v>
      </c>
      <c r="P237" t="n">
        <v>0</v>
      </c>
      <c r="Q237" t="n">
        <v>0</v>
      </c>
      <c r="R237" s="2" t="inlineStr"/>
    </row>
    <row r="238" ht="15" customHeight="1">
      <c r="A238" t="inlineStr">
        <is>
          <t>A 66828-2018</t>
        </is>
      </c>
      <c r="B238" s="1" t="n">
        <v>43437</v>
      </c>
      <c r="C238" s="1" t="n">
        <v>45360</v>
      </c>
      <c r="D238" t="inlineStr">
        <is>
          <t>JÄMTLANDS LÄN</t>
        </is>
      </c>
      <c r="E238" t="inlineStr">
        <is>
          <t>RAGUNDA</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66894-2018</t>
        </is>
      </c>
      <c r="B239" s="1" t="n">
        <v>43438</v>
      </c>
      <c r="C239" s="1" t="n">
        <v>45360</v>
      </c>
      <c r="D239" t="inlineStr">
        <is>
          <t>JÄMTLANDS LÄN</t>
        </is>
      </c>
      <c r="E239" t="inlineStr">
        <is>
          <t>RAGUNDA</t>
        </is>
      </c>
      <c r="G239" t="n">
        <v>3.9</v>
      </c>
      <c r="H239" t="n">
        <v>0</v>
      </c>
      <c r="I239" t="n">
        <v>0</v>
      </c>
      <c r="J239" t="n">
        <v>0</v>
      </c>
      <c r="K239" t="n">
        <v>0</v>
      </c>
      <c r="L239" t="n">
        <v>0</v>
      </c>
      <c r="M239" t="n">
        <v>0</v>
      </c>
      <c r="N239" t="n">
        <v>0</v>
      </c>
      <c r="O239" t="n">
        <v>0</v>
      </c>
      <c r="P239" t="n">
        <v>0</v>
      </c>
      <c r="Q239" t="n">
        <v>0</v>
      </c>
      <c r="R239" s="2" t="inlineStr"/>
    </row>
    <row r="240" ht="15" customHeight="1">
      <c r="A240" t="inlineStr">
        <is>
          <t>A 68013-2018</t>
        </is>
      </c>
      <c r="B240" s="1" t="n">
        <v>43440</v>
      </c>
      <c r="C240" s="1" t="n">
        <v>45360</v>
      </c>
      <c r="D240" t="inlineStr">
        <is>
          <t>JÄMTLANDS LÄN</t>
        </is>
      </c>
      <c r="E240" t="inlineStr">
        <is>
          <t>RAGUNDA</t>
        </is>
      </c>
      <c r="G240" t="n">
        <v>16.6</v>
      </c>
      <c r="H240" t="n">
        <v>0</v>
      </c>
      <c r="I240" t="n">
        <v>0</v>
      </c>
      <c r="J240" t="n">
        <v>0</v>
      </c>
      <c r="K240" t="n">
        <v>0</v>
      </c>
      <c r="L240" t="n">
        <v>0</v>
      </c>
      <c r="M240" t="n">
        <v>0</v>
      </c>
      <c r="N240" t="n">
        <v>0</v>
      </c>
      <c r="O240" t="n">
        <v>0</v>
      </c>
      <c r="P240" t="n">
        <v>0</v>
      </c>
      <c r="Q240" t="n">
        <v>0</v>
      </c>
      <c r="R240" s="2" t="inlineStr"/>
    </row>
    <row r="241" ht="15" customHeight="1">
      <c r="A241" t="inlineStr">
        <is>
          <t>A 68778-2018</t>
        </is>
      </c>
      <c r="B241" s="1" t="n">
        <v>43444</v>
      </c>
      <c r="C241" s="1" t="n">
        <v>45360</v>
      </c>
      <c r="D241" t="inlineStr">
        <is>
          <t>JÄMTLANDS LÄN</t>
        </is>
      </c>
      <c r="E241" t="inlineStr">
        <is>
          <t>RAGUNDA</t>
        </is>
      </c>
      <c r="G241" t="n">
        <v>3.5</v>
      </c>
      <c r="H241" t="n">
        <v>0</v>
      </c>
      <c r="I241" t="n">
        <v>0</v>
      </c>
      <c r="J241" t="n">
        <v>0</v>
      </c>
      <c r="K241" t="n">
        <v>0</v>
      </c>
      <c r="L241" t="n">
        <v>0</v>
      </c>
      <c r="M241" t="n">
        <v>0</v>
      </c>
      <c r="N241" t="n">
        <v>0</v>
      </c>
      <c r="O241" t="n">
        <v>0</v>
      </c>
      <c r="P241" t="n">
        <v>0</v>
      </c>
      <c r="Q241" t="n">
        <v>0</v>
      </c>
      <c r="R241" s="2" t="inlineStr"/>
    </row>
    <row r="242" ht="15" customHeight="1">
      <c r="A242" t="inlineStr">
        <is>
          <t>A 70206-2018</t>
        </is>
      </c>
      <c r="B242" s="1" t="n">
        <v>43448</v>
      </c>
      <c r="C242" s="1" t="n">
        <v>45360</v>
      </c>
      <c r="D242" t="inlineStr">
        <is>
          <t>JÄMTLANDS LÄN</t>
        </is>
      </c>
      <c r="E242" t="inlineStr">
        <is>
          <t>RAGUNDA</t>
        </is>
      </c>
      <c r="G242" t="n">
        <v>3.7</v>
      </c>
      <c r="H242" t="n">
        <v>0</v>
      </c>
      <c r="I242" t="n">
        <v>0</v>
      </c>
      <c r="J242" t="n">
        <v>0</v>
      </c>
      <c r="K242" t="n">
        <v>0</v>
      </c>
      <c r="L242" t="n">
        <v>0</v>
      </c>
      <c r="M242" t="n">
        <v>0</v>
      </c>
      <c r="N242" t="n">
        <v>0</v>
      </c>
      <c r="O242" t="n">
        <v>0</v>
      </c>
      <c r="P242" t="n">
        <v>0</v>
      </c>
      <c r="Q242" t="n">
        <v>0</v>
      </c>
      <c r="R242" s="2" t="inlineStr"/>
    </row>
    <row r="243" ht="15" customHeight="1">
      <c r="A243" t="inlineStr">
        <is>
          <t>A 72474-2018</t>
        </is>
      </c>
      <c r="B243" s="1" t="n">
        <v>43461</v>
      </c>
      <c r="C243" s="1" t="n">
        <v>45360</v>
      </c>
      <c r="D243" t="inlineStr">
        <is>
          <t>JÄMTLANDS LÄN</t>
        </is>
      </c>
      <c r="E243" t="inlineStr">
        <is>
          <t>RAGUNDA</t>
        </is>
      </c>
      <c r="G243" t="n">
        <v>2.5</v>
      </c>
      <c r="H243" t="n">
        <v>0</v>
      </c>
      <c r="I243" t="n">
        <v>0</v>
      </c>
      <c r="J243" t="n">
        <v>0</v>
      </c>
      <c r="K243" t="n">
        <v>0</v>
      </c>
      <c r="L243" t="n">
        <v>0</v>
      </c>
      <c r="M243" t="n">
        <v>0</v>
      </c>
      <c r="N243" t="n">
        <v>0</v>
      </c>
      <c r="O243" t="n">
        <v>0</v>
      </c>
      <c r="P243" t="n">
        <v>0</v>
      </c>
      <c r="Q243" t="n">
        <v>0</v>
      </c>
      <c r="R243" s="2" t="inlineStr"/>
    </row>
    <row r="244" ht="15" customHeight="1">
      <c r="A244" t="inlineStr">
        <is>
          <t>A 1685-2019</t>
        </is>
      </c>
      <c r="B244" s="1" t="n">
        <v>43461</v>
      </c>
      <c r="C244" s="1" t="n">
        <v>45360</v>
      </c>
      <c r="D244" t="inlineStr">
        <is>
          <t>JÄMTLANDS LÄN</t>
        </is>
      </c>
      <c r="E244" t="inlineStr">
        <is>
          <t>RAGUNDA</t>
        </is>
      </c>
      <c r="G244" t="n">
        <v>0.6</v>
      </c>
      <c r="H244" t="n">
        <v>0</v>
      </c>
      <c r="I244" t="n">
        <v>0</v>
      </c>
      <c r="J244" t="n">
        <v>0</v>
      </c>
      <c r="K244" t="n">
        <v>0</v>
      </c>
      <c r="L244" t="n">
        <v>0</v>
      </c>
      <c r="M244" t="n">
        <v>0</v>
      </c>
      <c r="N244" t="n">
        <v>0</v>
      </c>
      <c r="O244" t="n">
        <v>0</v>
      </c>
      <c r="P244" t="n">
        <v>0</v>
      </c>
      <c r="Q244" t="n">
        <v>0</v>
      </c>
      <c r="R244" s="2" t="inlineStr"/>
    </row>
    <row r="245" ht="15" customHeight="1">
      <c r="A245" t="inlineStr">
        <is>
          <t>A 171-2019</t>
        </is>
      </c>
      <c r="B245" s="1" t="n">
        <v>43467</v>
      </c>
      <c r="C245" s="1" t="n">
        <v>45360</v>
      </c>
      <c r="D245" t="inlineStr">
        <is>
          <t>JÄMTLANDS LÄN</t>
        </is>
      </c>
      <c r="E245" t="inlineStr">
        <is>
          <t>RAGUNDA</t>
        </is>
      </c>
      <c r="G245" t="n">
        <v>3.2</v>
      </c>
      <c r="H245" t="n">
        <v>0</v>
      </c>
      <c r="I245" t="n">
        <v>0</v>
      </c>
      <c r="J245" t="n">
        <v>0</v>
      </c>
      <c r="K245" t="n">
        <v>0</v>
      </c>
      <c r="L245" t="n">
        <v>0</v>
      </c>
      <c r="M245" t="n">
        <v>0</v>
      </c>
      <c r="N245" t="n">
        <v>0</v>
      </c>
      <c r="O245" t="n">
        <v>0</v>
      </c>
      <c r="P245" t="n">
        <v>0</v>
      </c>
      <c r="Q245" t="n">
        <v>0</v>
      </c>
      <c r="R245" s="2" t="inlineStr"/>
    </row>
    <row r="246" ht="15" customHeight="1">
      <c r="A246" t="inlineStr">
        <is>
          <t>A 169-2019</t>
        </is>
      </c>
      <c r="B246" s="1" t="n">
        <v>43467</v>
      </c>
      <c r="C246" s="1" t="n">
        <v>45360</v>
      </c>
      <c r="D246" t="inlineStr">
        <is>
          <t>JÄMTLANDS LÄN</t>
        </is>
      </c>
      <c r="E246" t="inlineStr">
        <is>
          <t>RAGUNDA</t>
        </is>
      </c>
      <c r="G246" t="n">
        <v>1.2</v>
      </c>
      <c r="H246" t="n">
        <v>0</v>
      </c>
      <c r="I246" t="n">
        <v>0</v>
      </c>
      <c r="J246" t="n">
        <v>0</v>
      </c>
      <c r="K246" t="n">
        <v>0</v>
      </c>
      <c r="L246" t="n">
        <v>0</v>
      </c>
      <c r="M246" t="n">
        <v>0</v>
      </c>
      <c r="N246" t="n">
        <v>0</v>
      </c>
      <c r="O246" t="n">
        <v>0</v>
      </c>
      <c r="P246" t="n">
        <v>0</v>
      </c>
      <c r="Q246" t="n">
        <v>0</v>
      </c>
      <c r="R246" s="2" t="inlineStr"/>
    </row>
    <row r="247" ht="15" customHeight="1">
      <c r="A247" t="inlineStr">
        <is>
          <t>A 3315-2019</t>
        </is>
      </c>
      <c r="B247" s="1" t="n">
        <v>43473</v>
      </c>
      <c r="C247" s="1" t="n">
        <v>45360</v>
      </c>
      <c r="D247" t="inlineStr">
        <is>
          <t>JÄMTLANDS LÄN</t>
        </is>
      </c>
      <c r="E247" t="inlineStr">
        <is>
          <t>RAGUNDA</t>
        </is>
      </c>
      <c r="G247" t="n">
        <v>0.8</v>
      </c>
      <c r="H247" t="n">
        <v>0</v>
      </c>
      <c r="I247" t="n">
        <v>0</v>
      </c>
      <c r="J247" t="n">
        <v>0</v>
      </c>
      <c r="K247" t="n">
        <v>0</v>
      </c>
      <c r="L247" t="n">
        <v>0</v>
      </c>
      <c r="M247" t="n">
        <v>0</v>
      </c>
      <c r="N247" t="n">
        <v>0</v>
      </c>
      <c r="O247" t="n">
        <v>0</v>
      </c>
      <c r="P247" t="n">
        <v>0</v>
      </c>
      <c r="Q247" t="n">
        <v>0</v>
      </c>
      <c r="R247" s="2" t="inlineStr"/>
    </row>
    <row r="248" ht="15" customHeight="1">
      <c r="A248" t="inlineStr">
        <is>
          <t>A 3152-2019</t>
        </is>
      </c>
      <c r="B248" s="1" t="n">
        <v>43473</v>
      </c>
      <c r="C248" s="1" t="n">
        <v>45360</v>
      </c>
      <c r="D248" t="inlineStr">
        <is>
          <t>JÄMTLANDS LÄN</t>
        </is>
      </c>
      <c r="E248" t="inlineStr">
        <is>
          <t>RAGUNDA</t>
        </is>
      </c>
      <c r="G248" t="n">
        <v>4.8</v>
      </c>
      <c r="H248" t="n">
        <v>0</v>
      </c>
      <c r="I248" t="n">
        <v>0</v>
      </c>
      <c r="J248" t="n">
        <v>0</v>
      </c>
      <c r="K248" t="n">
        <v>0</v>
      </c>
      <c r="L248" t="n">
        <v>0</v>
      </c>
      <c r="M248" t="n">
        <v>0</v>
      </c>
      <c r="N248" t="n">
        <v>0</v>
      </c>
      <c r="O248" t="n">
        <v>0</v>
      </c>
      <c r="P248" t="n">
        <v>0</v>
      </c>
      <c r="Q248" t="n">
        <v>0</v>
      </c>
      <c r="R248" s="2" t="inlineStr"/>
    </row>
    <row r="249" ht="15" customHeight="1">
      <c r="A249" t="inlineStr">
        <is>
          <t>A 1707-2019</t>
        </is>
      </c>
      <c r="B249" s="1" t="n">
        <v>43474</v>
      </c>
      <c r="C249" s="1" t="n">
        <v>45360</v>
      </c>
      <c r="D249" t="inlineStr">
        <is>
          <t>JÄMTLANDS LÄN</t>
        </is>
      </c>
      <c r="E249" t="inlineStr">
        <is>
          <t>RAGUNDA</t>
        </is>
      </c>
      <c r="G249" t="n">
        <v>1.8</v>
      </c>
      <c r="H249" t="n">
        <v>0</v>
      </c>
      <c r="I249" t="n">
        <v>0</v>
      </c>
      <c r="J249" t="n">
        <v>0</v>
      </c>
      <c r="K249" t="n">
        <v>0</v>
      </c>
      <c r="L249" t="n">
        <v>0</v>
      </c>
      <c r="M249" t="n">
        <v>0</v>
      </c>
      <c r="N249" t="n">
        <v>0</v>
      </c>
      <c r="O249" t="n">
        <v>0</v>
      </c>
      <c r="P249" t="n">
        <v>0</v>
      </c>
      <c r="Q249" t="n">
        <v>0</v>
      </c>
      <c r="R249" s="2" t="inlineStr"/>
    </row>
    <row r="250" ht="15" customHeight="1">
      <c r="A250" t="inlineStr">
        <is>
          <t>A 3579-2019</t>
        </is>
      </c>
      <c r="B250" s="1" t="n">
        <v>43481</v>
      </c>
      <c r="C250" s="1" t="n">
        <v>45360</v>
      </c>
      <c r="D250" t="inlineStr">
        <is>
          <t>JÄMTLANDS LÄN</t>
        </is>
      </c>
      <c r="E250" t="inlineStr">
        <is>
          <t>RAGUNDA</t>
        </is>
      </c>
      <c r="G250" t="n">
        <v>2.7</v>
      </c>
      <c r="H250" t="n">
        <v>0</v>
      </c>
      <c r="I250" t="n">
        <v>0</v>
      </c>
      <c r="J250" t="n">
        <v>0</v>
      </c>
      <c r="K250" t="n">
        <v>0</v>
      </c>
      <c r="L250" t="n">
        <v>0</v>
      </c>
      <c r="M250" t="n">
        <v>0</v>
      </c>
      <c r="N250" t="n">
        <v>0</v>
      </c>
      <c r="O250" t="n">
        <v>0</v>
      </c>
      <c r="P250" t="n">
        <v>0</v>
      </c>
      <c r="Q250" t="n">
        <v>0</v>
      </c>
      <c r="R250" s="2" t="inlineStr"/>
    </row>
    <row r="251" ht="15" customHeight="1">
      <c r="A251" t="inlineStr">
        <is>
          <t>A 5445-2019</t>
        </is>
      </c>
      <c r="B251" s="1" t="n">
        <v>43481</v>
      </c>
      <c r="C251" s="1" t="n">
        <v>45360</v>
      </c>
      <c r="D251" t="inlineStr">
        <is>
          <t>JÄMTLANDS LÄN</t>
        </is>
      </c>
      <c r="E251" t="inlineStr">
        <is>
          <t>RAGUNDA</t>
        </is>
      </c>
      <c r="G251" t="n">
        <v>21.7</v>
      </c>
      <c r="H251" t="n">
        <v>0</v>
      </c>
      <c r="I251" t="n">
        <v>0</v>
      </c>
      <c r="J251" t="n">
        <v>0</v>
      </c>
      <c r="K251" t="n">
        <v>0</v>
      </c>
      <c r="L251" t="n">
        <v>0</v>
      </c>
      <c r="M251" t="n">
        <v>0</v>
      </c>
      <c r="N251" t="n">
        <v>0</v>
      </c>
      <c r="O251" t="n">
        <v>0</v>
      </c>
      <c r="P251" t="n">
        <v>0</v>
      </c>
      <c r="Q251" t="n">
        <v>0</v>
      </c>
      <c r="R251" s="2" t="inlineStr"/>
    </row>
    <row r="252" ht="15" customHeight="1">
      <c r="A252" t="inlineStr">
        <is>
          <t>A 4345-2019</t>
        </is>
      </c>
      <c r="B252" s="1" t="n">
        <v>43483</v>
      </c>
      <c r="C252" s="1" t="n">
        <v>45360</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7065-2019</t>
        </is>
      </c>
      <c r="B253" s="1" t="n">
        <v>43495</v>
      </c>
      <c r="C253" s="1" t="n">
        <v>45360</v>
      </c>
      <c r="D253" t="inlineStr">
        <is>
          <t>JÄMTLANDS LÄN</t>
        </is>
      </c>
      <c r="E253" t="inlineStr">
        <is>
          <t>RAGUNDA</t>
        </is>
      </c>
      <c r="G253" t="n">
        <v>13.2</v>
      </c>
      <c r="H253" t="n">
        <v>0</v>
      </c>
      <c r="I253" t="n">
        <v>0</v>
      </c>
      <c r="J253" t="n">
        <v>0</v>
      </c>
      <c r="K253" t="n">
        <v>0</v>
      </c>
      <c r="L253" t="n">
        <v>0</v>
      </c>
      <c r="M253" t="n">
        <v>0</v>
      </c>
      <c r="N253" t="n">
        <v>0</v>
      </c>
      <c r="O253" t="n">
        <v>0</v>
      </c>
      <c r="P253" t="n">
        <v>0</v>
      </c>
      <c r="Q253" t="n">
        <v>0</v>
      </c>
      <c r="R253" s="2" t="inlineStr"/>
    </row>
    <row r="254" ht="15" customHeight="1">
      <c r="A254" t="inlineStr">
        <is>
          <t>A 7305-2019</t>
        </is>
      </c>
      <c r="B254" s="1" t="n">
        <v>43496</v>
      </c>
      <c r="C254" s="1" t="n">
        <v>45360</v>
      </c>
      <c r="D254" t="inlineStr">
        <is>
          <t>JÄMTLANDS LÄN</t>
        </is>
      </c>
      <c r="E254" t="inlineStr">
        <is>
          <t>RAGUNDA</t>
        </is>
      </c>
      <c r="F254" t="inlineStr">
        <is>
          <t>Kommuner</t>
        </is>
      </c>
      <c r="G254" t="n">
        <v>32.6</v>
      </c>
      <c r="H254" t="n">
        <v>0</v>
      </c>
      <c r="I254" t="n">
        <v>0</v>
      </c>
      <c r="J254" t="n">
        <v>0</v>
      </c>
      <c r="K254" t="n">
        <v>0</v>
      </c>
      <c r="L254" t="n">
        <v>0</v>
      </c>
      <c r="M254" t="n">
        <v>0</v>
      </c>
      <c r="N254" t="n">
        <v>0</v>
      </c>
      <c r="O254" t="n">
        <v>0</v>
      </c>
      <c r="P254" t="n">
        <v>0</v>
      </c>
      <c r="Q254" t="n">
        <v>0</v>
      </c>
      <c r="R254" s="2" t="inlineStr"/>
    </row>
    <row r="255" ht="15" customHeight="1">
      <c r="A255" t="inlineStr">
        <is>
          <t>A 9994-2019</t>
        </is>
      </c>
      <c r="B255" s="1" t="n">
        <v>43509</v>
      </c>
      <c r="C255" s="1" t="n">
        <v>45360</v>
      </c>
      <c r="D255" t="inlineStr">
        <is>
          <t>JÄMTLANDS LÄN</t>
        </is>
      </c>
      <c r="E255" t="inlineStr">
        <is>
          <t>RAGUNDA</t>
        </is>
      </c>
      <c r="G255" t="n">
        <v>1</v>
      </c>
      <c r="H255" t="n">
        <v>0</v>
      </c>
      <c r="I255" t="n">
        <v>0</v>
      </c>
      <c r="J255" t="n">
        <v>0</v>
      </c>
      <c r="K255" t="n">
        <v>0</v>
      </c>
      <c r="L255" t="n">
        <v>0</v>
      </c>
      <c r="M255" t="n">
        <v>0</v>
      </c>
      <c r="N255" t="n">
        <v>0</v>
      </c>
      <c r="O255" t="n">
        <v>0</v>
      </c>
      <c r="P255" t="n">
        <v>0</v>
      </c>
      <c r="Q255" t="n">
        <v>0</v>
      </c>
      <c r="R255" s="2" t="inlineStr"/>
    </row>
    <row r="256" ht="15" customHeight="1">
      <c r="A256" t="inlineStr">
        <is>
          <t>A 9995-2019</t>
        </is>
      </c>
      <c r="B256" s="1" t="n">
        <v>43509</v>
      </c>
      <c r="C256" s="1" t="n">
        <v>45360</v>
      </c>
      <c r="D256" t="inlineStr">
        <is>
          <t>JÄMTLANDS LÄN</t>
        </is>
      </c>
      <c r="E256" t="inlineStr">
        <is>
          <t>RAGUNDA</t>
        </is>
      </c>
      <c r="G256" t="n">
        <v>16.4</v>
      </c>
      <c r="H256" t="n">
        <v>0</v>
      </c>
      <c r="I256" t="n">
        <v>0</v>
      </c>
      <c r="J256" t="n">
        <v>0</v>
      </c>
      <c r="K256" t="n">
        <v>0</v>
      </c>
      <c r="L256" t="n">
        <v>0</v>
      </c>
      <c r="M256" t="n">
        <v>0</v>
      </c>
      <c r="N256" t="n">
        <v>0</v>
      </c>
      <c r="O256" t="n">
        <v>0</v>
      </c>
      <c r="P256" t="n">
        <v>0</v>
      </c>
      <c r="Q256" t="n">
        <v>0</v>
      </c>
      <c r="R256" s="2" t="inlineStr"/>
    </row>
    <row r="257" ht="15" customHeight="1">
      <c r="A257" t="inlineStr">
        <is>
          <t>A 10013-2019</t>
        </is>
      </c>
      <c r="B257" s="1" t="n">
        <v>43510</v>
      </c>
      <c r="C257" s="1" t="n">
        <v>45360</v>
      </c>
      <c r="D257" t="inlineStr">
        <is>
          <t>JÄMTLANDS LÄN</t>
        </is>
      </c>
      <c r="E257" t="inlineStr">
        <is>
          <t>RAGUNDA</t>
        </is>
      </c>
      <c r="G257" t="n">
        <v>2.3</v>
      </c>
      <c r="H257" t="n">
        <v>0</v>
      </c>
      <c r="I257" t="n">
        <v>0</v>
      </c>
      <c r="J257" t="n">
        <v>0</v>
      </c>
      <c r="K257" t="n">
        <v>0</v>
      </c>
      <c r="L257" t="n">
        <v>0</v>
      </c>
      <c r="M257" t="n">
        <v>0</v>
      </c>
      <c r="N257" t="n">
        <v>0</v>
      </c>
      <c r="O257" t="n">
        <v>0</v>
      </c>
      <c r="P257" t="n">
        <v>0</v>
      </c>
      <c r="Q257" t="n">
        <v>0</v>
      </c>
      <c r="R257" s="2" t="inlineStr"/>
    </row>
    <row r="258" ht="15" customHeight="1">
      <c r="A258" t="inlineStr">
        <is>
          <t>A 11080-2019</t>
        </is>
      </c>
      <c r="B258" s="1" t="n">
        <v>43515</v>
      </c>
      <c r="C258" s="1" t="n">
        <v>45360</v>
      </c>
      <c r="D258" t="inlineStr">
        <is>
          <t>JÄMTLANDS LÄN</t>
        </is>
      </c>
      <c r="E258" t="inlineStr">
        <is>
          <t>RAGUNDA</t>
        </is>
      </c>
      <c r="G258" t="n">
        <v>1.5</v>
      </c>
      <c r="H258" t="n">
        <v>0</v>
      </c>
      <c r="I258" t="n">
        <v>0</v>
      </c>
      <c r="J258" t="n">
        <v>0</v>
      </c>
      <c r="K258" t="n">
        <v>0</v>
      </c>
      <c r="L258" t="n">
        <v>0</v>
      </c>
      <c r="M258" t="n">
        <v>0</v>
      </c>
      <c r="N258" t="n">
        <v>0</v>
      </c>
      <c r="O258" t="n">
        <v>0</v>
      </c>
      <c r="P258" t="n">
        <v>0</v>
      </c>
      <c r="Q258" t="n">
        <v>0</v>
      </c>
      <c r="R258" s="2" t="inlineStr"/>
    </row>
    <row r="259" ht="15" customHeight="1">
      <c r="A259" t="inlineStr">
        <is>
          <t>A 13659-2019</t>
        </is>
      </c>
      <c r="B259" s="1" t="n">
        <v>43530</v>
      </c>
      <c r="C259" s="1" t="n">
        <v>45360</v>
      </c>
      <c r="D259" t="inlineStr">
        <is>
          <t>JÄMTLANDS LÄN</t>
        </is>
      </c>
      <c r="E259" t="inlineStr">
        <is>
          <t>RAGUNDA</t>
        </is>
      </c>
      <c r="G259" t="n">
        <v>4.7</v>
      </c>
      <c r="H259" t="n">
        <v>0</v>
      </c>
      <c r="I259" t="n">
        <v>0</v>
      </c>
      <c r="J259" t="n">
        <v>0</v>
      </c>
      <c r="K259" t="n">
        <v>0</v>
      </c>
      <c r="L259" t="n">
        <v>0</v>
      </c>
      <c r="M259" t="n">
        <v>0</v>
      </c>
      <c r="N259" t="n">
        <v>0</v>
      </c>
      <c r="O259" t="n">
        <v>0</v>
      </c>
      <c r="P259" t="n">
        <v>0</v>
      </c>
      <c r="Q259" t="n">
        <v>0</v>
      </c>
      <c r="R259" s="2" t="inlineStr"/>
    </row>
    <row r="260" ht="15" customHeight="1">
      <c r="A260" t="inlineStr">
        <is>
          <t>A 15048-2019</t>
        </is>
      </c>
      <c r="B260" s="1" t="n">
        <v>43537</v>
      </c>
      <c r="C260" s="1" t="n">
        <v>45360</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15165-2019</t>
        </is>
      </c>
      <c r="B261" s="1" t="n">
        <v>43538</v>
      </c>
      <c r="C261" s="1" t="n">
        <v>45360</v>
      </c>
      <c r="D261" t="inlineStr">
        <is>
          <t>JÄMTLANDS LÄN</t>
        </is>
      </c>
      <c r="E261" t="inlineStr">
        <is>
          <t>RAGUNDA</t>
        </is>
      </c>
      <c r="G261" t="n">
        <v>7.4</v>
      </c>
      <c r="H261" t="n">
        <v>0</v>
      </c>
      <c r="I261" t="n">
        <v>0</v>
      </c>
      <c r="J261" t="n">
        <v>0</v>
      </c>
      <c r="K261" t="n">
        <v>0</v>
      </c>
      <c r="L261" t="n">
        <v>0</v>
      </c>
      <c r="M261" t="n">
        <v>0</v>
      </c>
      <c r="N261" t="n">
        <v>0</v>
      </c>
      <c r="O261" t="n">
        <v>0</v>
      </c>
      <c r="P261" t="n">
        <v>0</v>
      </c>
      <c r="Q261" t="n">
        <v>0</v>
      </c>
      <c r="R261" s="2" t="inlineStr"/>
    </row>
    <row r="262" ht="15" customHeight="1">
      <c r="A262" t="inlineStr">
        <is>
          <t>A 15677-2019</t>
        </is>
      </c>
      <c r="B262" s="1" t="n">
        <v>43542</v>
      </c>
      <c r="C262" s="1" t="n">
        <v>45360</v>
      </c>
      <c r="D262" t="inlineStr">
        <is>
          <t>JÄMTLANDS LÄN</t>
        </is>
      </c>
      <c r="E262" t="inlineStr">
        <is>
          <t>RAGUNDA</t>
        </is>
      </c>
      <c r="G262" t="n">
        <v>0.3</v>
      </c>
      <c r="H262" t="n">
        <v>0</v>
      </c>
      <c r="I262" t="n">
        <v>0</v>
      </c>
      <c r="J262" t="n">
        <v>0</v>
      </c>
      <c r="K262" t="n">
        <v>0</v>
      </c>
      <c r="L262" t="n">
        <v>0</v>
      </c>
      <c r="M262" t="n">
        <v>0</v>
      </c>
      <c r="N262" t="n">
        <v>0</v>
      </c>
      <c r="O262" t="n">
        <v>0</v>
      </c>
      <c r="P262" t="n">
        <v>0</v>
      </c>
      <c r="Q262" t="n">
        <v>0</v>
      </c>
      <c r="R262" s="2" t="inlineStr"/>
    </row>
    <row r="263" ht="15" customHeight="1">
      <c r="A263" t="inlineStr">
        <is>
          <t>A 15797-2019</t>
        </is>
      </c>
      <c r="B263" s="1" t="n">
        <v>43543</v>
      </c>
      <c r="C263" s="1" t="n">
        <v>45360</v>
      </c>
      <c r="D263" t="inlineStr">
        <is>
          <t>JÄMTLANDS LÄN</t>
        </is>
      </c>
      <c r="E263" t="inlineStr">
        <is>
          <t>RAGUNDA</t>
        </is>
      </c>
      <c r="G263" t="n">
        <v>2.1</v>
      </c>
      <c r="H263" t="n">
        <v>0</v>
      </c>
      <c r="I263" t="n">
        <v>0</v>
      </c>
      <c r="J263" t="n">
        <v>0</v>
      </c>
      <c r="K263" t="n">
        <v>0</v>
      </c>
      <c r="L263" t="n">
        <v>0</v>
      </c>
      <c r="M263" t="n">
        <v>0</v>
      </c>
      <c r="N263" t="n">
        <v>0</v>
      </c>
      <c r="O263" t="n">
        <v>0</v>
      </c>
      <c r="P263" t="n">
        <v>0</v>
      </c>
      <c r="Q263" t="n">
        <v>0</v>
      </c>
      <c r="R263" s="2" t="inlineStr"/>
    </row>
    <row r="264" ht="15" customHeight="1">
      <c r="A264" t="inlineStr">
        <is>
          <t>A 17049-2019</t>
        </is>
      </c>
      <c r="B264" s="1" t="n">
        <v>43551</v>
      </c>
      <c r="C264" s="1" t="n">
        <v>45360</v>
      </c>
      <c r="D264" t="inlineStr">
        <is>
          <t>JÄMTLANDS LÄN</t>
        </is>
      </c>
      <c r="E264" t="inlineStr">
        <is>
          <t>RAGUNDA</t>
        </is>
      </c>
      <c r="G264" t="n">
        <v>1.9</v>
      </c>
      <c r="H264" t="n">
        <v>0</v>
      </c>
      <c r="I264" t="n">
        <v>0</v>
      </c>
      <c r="J264" t="n">
        <v>0</v>
      </c>
      <c r="K264" t="n">
        <v>0</v>
      </c>
      <c r="L264" t="n">
        <v>0</v>
      </c>
      <c r="M264" t="n">
        <v>0</v>
      </c>
      <c r="N264" t="n">
        <v>0</v>
      </c>
      <c r="O264" t="n">
        <v>0</v>
      </c>
      <c r="P264" t="n">
        <v>0</v>
      </c>
      <c r="Q264" t="n">
        <v>0</v>
      </c>
      <c r="R264" s="2" t="inlineStr"/>
    </row>
    <row r="265" ht="15" customHeight="1">
      <c r="A265" t="inlineStr">
        <is>
          <t>A 17057-2019</t>
        </is>
      </c>
      <c r="B265" s="1" t="n">
        <v>43551</v>
      </c>
      <c r="C265" s="1" t="n">
        <v>45360</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17252-2019</t>
        </is>
      </c>
      <c r="B266" s="1" t="n">
        <v>43552</v>
      </c>
      <c r="C266" s="1" t="n">
        <v>45360</v>
      </c>
      <c r="D266" t="inlineStr">
        <is>
          <t>JÄMTLANDS LÄN</t>
        </is>
      </c>
      <c r="E266" t="inlineStr">
        <is>
          <t>RAGUNDA</t>
        </is>
      </c>
      <c r="G266" t="n">
        <v>3.6</v>
      </c>
      <c r="H266" t="n">
        <v>0</v>
      </c>
      <c r="I266" t="n">
        <v>0</v>
      </c>
      <c r="J266" t="n">
        <v>0</v>
      </c>
      <c r="K266" t="n">
        <v>0</v>
      </c>
      <c r="L266" t="n">
        <v>0</v>
      </c>
      <c r="M266" t="n">
        <v>0</v>
      </c>
      <c r="N266" t="n">
        <v>0</v>
      </c>
      <c r="O266" t="n">
        <v>0</v>
      </c>
      <c r="P266" t="n">
        <v>0</v>
      </c>
      <c r="Q266" t="n">
        <v>0</v>
      </c>
      <c r="R266" s="2" t="inlineStr"/>
    </row>
    <row r="267" ht="15" customHeight="1">
      <c r="A267" t="inlineStr">
        <is>
          <t>A 19077-2019</t>
        </is>
      </c>
      <c r="B267" s="1" t="n">
        <v>43563</v>
      </c>
      <c r="C267" s="1" t="n">
        <v>45360</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45360</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45360</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45360</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45360</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45360</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45360</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45360</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45360</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45360</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45360</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45360</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45360</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45360</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45360</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45360</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45360</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45360</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45360</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45360</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45360</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45360</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45360</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45360</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45360</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45360</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45360</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45360</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45360</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45360</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45360</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45360</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45360</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45360</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45360</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45360</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45360</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45360</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45360</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45360</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45360</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45360</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45360</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45360</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45360</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45360</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45360</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45360</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45360</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45360</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45360</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45360</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45360</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45360</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45360</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45360</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45360</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45360</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45360</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45360</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45360</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45360</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45360</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45360</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45360</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45360</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45360</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45360</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45360</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45360</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45360</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45360</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45360</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45360</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45360</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45360</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45360</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45360</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45360</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45360</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45360</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45360</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45360</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45360</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45360</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45360</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45360</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45360</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45360</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45360</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45360</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45360</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45360</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45360</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45360</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45360</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45360</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45360</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45360</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45360</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45360</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45360</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45360</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45360</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45360</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45360</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45360</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45360</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45360</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45360</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45360</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45360</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45360</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45360</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45360</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45360</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45360</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45360</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45360</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45360</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45360</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45360</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45360</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45360</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45360</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45360</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45360</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45360</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45360</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45360</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45360</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45360</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45360</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45360</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45360</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45360</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45360</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45360</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45360</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45360</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45360</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45360</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45360</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45360</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45360</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45360</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45360</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45360</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45360</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45360</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45360</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45360</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45360</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45360</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45360</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45360</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45360</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45360</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45360</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45360</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45360</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45360</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45360</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45360</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45360</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45360</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45360</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45360</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45360</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45360</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45360</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45360</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45360</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45360</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45360</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45360</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45360</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45360</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45360</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45360</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45360</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45360</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45360</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45360</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45360</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45360</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45360</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45360</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45360</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45360</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45360</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45360</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45360</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45360</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45360</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45360</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45360</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45360</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45360</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45360</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45360</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45360</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45360</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45360</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45360</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45360</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45360</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45360</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45360</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45360</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45360</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45360</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45360</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45360</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45360</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45360</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45360</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45360</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45360</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45360</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45360</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45360</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45360</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45360</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45360</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45360</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45360</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45360</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45360</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45360</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45360</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45360</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45360</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45360</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45360</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45360</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45360</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45360</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45360</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45360</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45360</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45360</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45360</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45360</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45360</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45360</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45360</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45360</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45360</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45360</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45360</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45360</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45360</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45360</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45360</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45360</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45360</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45360</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45360</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45360</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45360</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45360</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45360</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45360</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45360</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45360</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45360</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45360</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45360</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45360</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45360</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45360</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45360</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45360</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45360</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45360</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45360</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45360</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45360</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45360</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45360</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45360</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45360</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45360</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45360</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45360</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45360</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45360</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45360</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45360</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45360</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45360</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45360</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45360</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45360</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45360</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45360</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45360</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45360</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45360</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45360</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45360</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45360</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45360</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45360</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45360</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45360</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45360</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45360</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45360</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45360</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45360</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45360</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45360</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45360</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45360</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45360</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45360</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45360</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45360</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45360</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45360</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45360</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45360</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45360</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45360</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45360</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45360</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45360</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45360</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45360</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45360</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45360</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45360</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45360</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45360</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45360</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45360</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45360</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45360</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45360</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45360</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45360</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45360</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45360</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45360</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45360</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45360</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45360</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45360</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45360</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45360</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45360</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45360</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45360</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45360</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45360</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45360</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45360</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45360</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45360</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45360</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45360</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45360</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45360</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45360</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45360</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45360</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45360</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45360</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45360</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45360</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45360</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45360</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45360</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45360</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45360</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45360</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45360</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45360</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45360</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45360</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45360</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45360</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45360</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45360</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45360</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45360</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45360</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45360</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45360</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45360</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45360</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45360</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45360</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45360</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45360</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45360</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45360</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45360</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45360</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45360</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45360</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45360</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45360</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45360</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45360</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45360</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45360</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45360</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45360</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45360</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45360</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45360</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45360</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45360</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45360</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45360</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45360</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45360</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45360</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45360</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45360</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45360</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45360</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45360</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45360</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45360</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45360</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45360</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45360</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45360</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45360</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45360</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45360</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45360</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45360</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45360</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45360</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45360</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45360</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45360</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45360</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45360</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45360</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45360</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45360</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45360</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45360</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45360</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45360</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45360</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45360</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45360</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45360</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45360</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45360</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45360</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45360</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45360</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45360</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45360</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45360</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45360</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45360</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45360</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45360</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45360</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45360</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45360</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45360</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36943-2022</t>
        </is>
      </c>
      <c r="B738" s="1" t="n">
        <v>44805</v>
      </c>
      <c r="C738" s="1" t="n">
        <v>45360</v>
      </c>
      <c r="D738" t="inlineStr">
        <is>
          <t>JÄMTLANDS LÄN</t>
        </is>
      </c>
      <c r="E738" t="inlineStr">
        <is>
          <t>RAGUNDA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37324-2022</t>
        </is>
      </c>
      <c r="B739" s="1" t="n">
        <v>44806</v>
      </c>
      <c r="C739" s="1" t="n">
        <v>45360</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38426-2022</t>
        </is>
      </c>
      <c r="B740" s="1" t="n">
        <v>44812</v>
      </c>
      <c r="C740" s="1" t="n">
        <v>45360</v>
      </c>
      <c r="D740" t="inlineStr">
        <is>
          <t>JÄMTLANDS LÄN</t>
        </is>
      </c>
      <c r="E740" t="inlineStr">
        <is>
          <t>RAGUNDA</t>
        </is>
      </c>
      <c r="F740" t="inlineStr">
        <is>
          <t>SCA</t>
        </is>
      </c>
      <c r="G740" t="n">
        <v>11.3</v>
      </c>
      <c r="H740" t="n">
        <v>0</v>
      </c>
      <c r="I740" t="n">
        <v>0</v>
      </c>
      <c r="J740" t="n">
        <v>0</v>
      </c>
      <c r="K740" t="n">
        <v>0</v>
      </c>
      <c r="L740" t="n">
        <v>0</v>
      </c>
      <c r="M740" t="n">
        <v>0</v>
      </c>
      <c r="N740" t="n">
        <v>0</v>
      </c>
      <c r="O740" t="n">
        <v>0</v>
      </c>
      <c r="P740" t="n">
        <v>0</v>
      </c>
      <c r="Q740" t="n">
        <v>0</v>
      </c>
      <c r="R740" s="2" t="inlineStr"/>
    </row>
    <row r="741" ht="15" customHeight="1">
      <c r="A741" t="inlineStr">
        <is>
          <t>A 38425-2022</t>
        </is>
      </c>
      <c r="B741" s="1" t="n">
        <v>44813</v>
      </c>
      <c r="C741" s="1" t="n">
        <v>45360</v>
      </c>
      <c r="D741" t="inlineStr">
        <is>
          <t>JÄMTLANDS LÄN</t>
        </is>
      </c>
      <c r="E741" t="inlineStr">
        <is>
          <t>RAGUNDA</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38683-2022</t>
        </is>
      </c>
      <c r="B742" s="1" t="n">
        <v>44813</v>
      </c>
      <c r="C742" s="1" t="n">
        <v>45360</v>
      </c>
      <c r="D742" t="inlineStr">
        <is>
          <t>JÄMTLANDS LÄN</t>
        </is>
      </c>
      <c r="E742" t="inlineStr">
        <is>
          <t>RAGUNDA</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38664-2022</t>
        </is>
      </c>
      <c r="B743" s="1" t="n">
        <v>44813</v>
      </c>
      <c r="C743" s="1" t="n">
        <v>45360</v>
      </c>
      <c r="D743" t="inlineStr">
        <is>
          <t>JÄMTLANDS LÄN</t>
        </is>
      </c>
      <c r="E743" t="inlineStr">
        <is>
          <t>RAGUNDA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38733-2022</t>
        </is>
      </c>
      <c r="B744" s="1" t="n">
        <v>44815</v>
      </c>
      <c r="C744" s="1" t="n">
        <v>45360</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39003-2022</t>
        </is>
      </c>
      <c r="B745" s="1" t="n">
        <v>44817</v>
      </c>
      <c r="C745" s="1" t="n">
        <v>45360</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39011-2022</t>
        </is>
      </c>
      <c r="B746" s="1" t="n">
        <v>44816</v>
      </c>
      <c r="C746" s="1" t="n">
        <v>45360</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39004-2022</t>
        </is>
      </c>
      <c r="B747" s="1" t="n">
        <v>44816</v>
      </c>
      <c r="C747" s="1" t="n">
        <v>45360</v>
      </c>
      <c r="D747" t="inlineStr">
        <is>
          <t>JÄMTLANDS LÄN</t>
        </is>
      </c>
      <c r="E747" t="inlineStr">
        <is>
          <t>RAGUNDA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39402-2022</t>
        </is>
      </c>
      <c r="B748" s="1" t="n">
        <v>44818</v>
      </c>
      <c r="C748" s="1" t="n">
        <v>45360</v>
      </c>
      <c r="D748" t="inlineStr">
        <is>
          <t>JÄMTLANDS LÄN</t>
        </is>
      </c>
      <c r="E748" t="inlineStr">
        <is>
          <t>RAGUNDA</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39408-2022</t>
        </is>
      </c>
      <c r="B749" s="1" t="n">
        <v>44817</v>
      </c>
      <c r="C749" s="1" t="n">
        <v>45360</v>
      </c>
      <c r="D749" t="inlineStr">
        <is>
          <t>JÄMTLANDS LÄN</t>
        </is>
      </c>
      <c r="E749" t="inlineStr">
        <is>
          <t>RAGUNDA</t>
        </is>
      </c>
      <c r="F749" t="inlineStr">
        <is>
          <t>SCA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39693-2022</t>
        </is>
      </c>
      <c r="B750" s="1" t="n">
        <v>44819</v>
      </c>
      <c r="C750" s="1" t="n">
        <v>45360</v>
      </c>
      <c r="D750" t="inlineStr">
        <is>
          <t>JÄMTLANDS LÄN</t>
        </is>
      </c>
      <c r="E750" t="inlineStr">
        <is>
          <t>RAGUNDA</t>
        </is>
      </c>
      <c r="F750" t="inlineStr">
        <is>
          <t>SCA</t>
        </is>
      </c>
      <c r="G750" t="n">
        <v>0.3</v>
      </c>
      <c r="H750" t="n">
        <v>0</v>
      </c>
      <c r="I750" t="n">
        <v>0</v>
      </c>
      <c r="J750" t="n">
        <v>0</v>
      </c>
      <c r="K750" t="n">
        <v>0</v>
      </c>
      <c r="L750" t="n">
        <v>0</v>
      </c>
      <c r="M750" t="n">
        <v>0</v>
      </c>
      <c r="N750" t="n">
        <v>0</v>
      </c>
      <c r="O750" t="n">
        <v>0</v>
      </c>
      <c r="P750" t="n">
        <v>0</v>
      </c>
      <c r="Q750" t="n">
        <v>0</v>
      </c>
      <c r="R750" s="2" t="inlineStr"/>
    </row>
    <row r="751" ht="15" customHeight="1">
      <c r="A751" t="inlineStr">
        <is>
          <t>A 40200-2022</t>
        </is>
      </c>
      <c r="B751" s="1" t="n">
        <v>44818</v>
      </c>
      <c r="C751" s="1" t="n">
        <v>45360</v>
      </c>
      <c r="D751" t="inlineStr">
        <is>
          <t>JÄMTLANDS LÄN</t>
        </is>
      </c>
      <c r="E751" t="inlineStr">
        <is>
          <t>RAGUNDA</t>
        </is>
      </c>
      <c r="G751" t="n">
        <v>1.8</v>
      </c>
      <c r="H751" t="n">
        <v>0</v>
      </c>
      <c r="I751" t="n">
        <v>0</v>
      </c>
      <c r="J751" t="n">
        <v>0</v>
      </c>
      <c r="K751" t="n">
        <v>0</v>
      </c>
      <c r="L751" t="n">
        <v>0</v>
      </c>
      <c r="M751" t="n">
        <v>0</v>
      </c>
      <c r="N751" t="n">
        <v>0</v>
      </c>
      <c r="O751" t="n">
        <v>0</v>
      </c>
      <c r="P751" t="n">
        <v>0</v>
      </c>
      <c r="Q751" t="n">
        <v>0</v>
      </c>
      <c r="R751" s="2" t="inlineStr"/>
    </row>
    <row r="752" ht="15" customHeight="1">
      <c r="A752" t="inlineStr">
        <is>
          <t>A 39698-2022</t>
        </is>
      </c>
      <c r="B752" s="1" t="n">
        <v>44818</v>
      </c>
      <c r="C752" s="1" t="n">
        <v>45360</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40265-2022</t>
        </is>
      </c>
      <c r="B753" s="1" t="n">
        <v>44821</v>
      </c>
      <c r="C753" s="1" t="n">
        <v>45360</v>
      </c>
      <c r="D753" t="inlineStr">
        <is>
          <t>JÄMTLANDS LÄN</t>
        </is>
      </c>
      <c r="E753" t="inlineStr">
        <is>
          <t>RAGUNDA</t>
        </is>
      </c>
      <c r="G753" t="n">
        <v>3.7</v>
      </c>
      <c r="H753" t="n">
        <v>0</v>
      </c>
      <c r="I753" t="n">
        <v>0</v>
      </c>
      <c r="J753" t="n">
        <v>0</v>
      </c>
      <c r="K753" t="n">
        <v>0</v>
      </c>
      <c r="L753" t="n">
        <v>0</v>
      </c>
      <c r="M753" t="n">
        <v>0</v>
      </c>
      <c r="N753" t="n">
        <v>0</v>
      </c>
      <c r="O753" t="n">
        <v>0</v>
      </c>
      <c r="P753" t="n">
        <v>0</v>
      </c>
      <c r="Q753" t="n">
        <v>0</v>
      </c>
      <c r="R753" s="2" t="inlineStr"/>
    </row>
    <row r="754" ht="15" customHeight="1">
      <c r="A754" t="inlineStr">
        <is>
          <t>A 40269-2022</t>
        </is>
      </c>
      <c r="B754" s="1" t="n">
        <v>44820</v>
      </c>
      <c r="C754" s="1" t="n">
        <v>45360</v>
      </c>
      <c r="D754" t="inlineStr">
        <is>
          <t>JÄMTLANDS LÄN</t>
        </is>
      </c>
      <c r="E754" t="inlineStr">
        <is>
          <t>RAGUNDA</t>
        </is>
      </c>
      <c r="F754" t="inlineStr">
        <is>
          <t>SCA</t>
        </is>
      </c>
      <c r="G754" t="n">
        <v>77.8</v>
      </c>
      <c r="H754" t="n">
        <v>0</v>
      </c>
      <c r="I754" t="n">
        <v>0</v>
      </c>
      <c r="J754" t="n">
        <v>0</v>
      </c>
      <c r="K754" t="n">
        <v>0</v>
      </c>
      <c r="L754" t="n">
        <v>0</v>
      </c>
      <c r="M754" t="n">
        <v>0</v>
      </c>
      <c r="N754" t="n">
        <v>0</v>
      </c>
      <c r="O754" t="n">
        <v>0</v>
      </c>
      <c r="P754" t="n">
        <v>0</v>
      </c>
      <c r="Q754" t="n">
        <v>0</v>
      </c>
      <c r="R754" s="2" t="inlineStr"/>
    </row>
    <row r="755" ht="15" customHeight="1">
      <c r="A755" t="inlineStr">
        <is>
          <t>A 40267-2022</t>
        </is>
      </c>
      <c r="B755" s="1" t="n">
        <v>44820</v>
      </c>
      <c r="C755" s="1" t="n">
        <v>45360</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40266-2022</t>
        </is>
      </c>
      <c r="B756" s="1" t="n">
        <v>44820</v>
      </c>
      <c r="C756" s="1" t="n">
        <v>45360</v>
      </c>
      <c r="D756" t="inlineStr">
        <is>
          <t>JÄMTLANDS LÄN</t>
        </is>
      </c>
      <c r="E756" t="inlineStr">
        <is>
          <t>RAGUNDA</t>
        </is>
      </c>
      <c r="F756" t="inlineStr">
        <is>
          <t>SCA</t>
        </is>
      </c>
      <c r="G756" t="n">
        <v>9</v>
      </c>
      <c r="H756" t="n">
        <v>0</v>
      </c>
      <c r="I756" t="n">
        <v>0</v>
      </c>
      <c r="J756" t="n">
        <v>0</v>
      </c>
      <c r="K756" t="n">
        <v>0</v>
      </c>
      <c r="L756" t="n">
        <v>0</v>
      </c>
      <c r="M756" t="n">
        <v>0</v>
      </c>
      <c r="N756" t="n">
        <v>0</v>
      </c>
      <c r="O756" t="n">
        <v>0</v>
      </c>
      <c r="P756" t="n">
        <v>0</v>
      </c>
      <c r="Q756" t="n">
        <v>0</v>
      </c>
      <c r="R756" s="2" t="inlineStr"/>
    </row>
    <row r="757" ht="15" customHeight="1">
      <c r="A757" t="inlineStr">
        <is>
          <t>A 40951-2022</t>
        </is>
      </c>
      <c r="B757" s="1" t="n">
        <v>44820</v>
      </c>
      <c r="C757" s="1" t="n">
        <v>45360</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40436-2022</t>
        </is>
      </c>
      <c r="B758" s="1" t="n">
        <v>44823</v>
      </c>
      <c r="C758" s="1" t="n">
        <v>45360</v>
      </c>
      <c r="D758" t="inlineStr">
        <is>
          <t>JÄMTLANDS LÄN</t>
        </is>
      </c>
      <c r="E758" t="inlineStr">
        <is>
          <t>RAGUNDA</t>
        </is>
      </c>
      <c r="G758" t="n">
        <v>3</v>
      </c>
      <c r="H758" t="n">
        <v>0</v>
      </c>
      <c r="I758" t="n">
        <v>0</v>
      </c>
      <c r="J758" t="n">
        <v>0</v>
      </c>
      <c r="K758" t="n">
        <v>0</v>
      </c>
      <c r="L758" t="n">
        <v>0</v>
      </c>
      <c r="M758" t="n">
        <v>0</v>
      </c>
      <c r="N758" t="n">
        <v>0</v>
      </c>
      <c r="O758" t="n">
        <v>0</v>
      </c>
      <c r="P758" t="n">
        <v>0</v>
      </c>
      <c r="Q758" t="n">
        <v>0</v>
      </c>
      <c r="R758" s="2" t="inlineStr"/>
    </row>
    <row r="759" ht="15" customHeight="1">
      <c r="A759" t="inlineStr">
        <is>
          <t>A 40612-2022</t>
        </is>
      </c>
      <c r="B759" s="1" t="n">
        <v>44824</v>
      </c>
      <c r="C759" s="1" t="n">
        <v>45360</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40978-2022</t>
        </is>
      </c>
      <c r="B760" s="1" t="n">
        <v>44823</v>
      </c>
      <c r="C760" s="1" t="n">
        <v>45360</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40829-2022</t>
        </is>
      </c>
      <c r="B761" s="1" t="n">
        <v>44825</v>
      </c>
      <c r="C761" s="1" t="n">
        <v>45360</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41180-2022</t>
        </is>
      </c>
      <c r="B762" s="1" t="n">
        <v>44825</v>
      </c>
      <c r="C762" s="1" t="n">
        <v>45360</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41179-2022</t>
        </is>
      </c>
      <c r="B763" s="1" t="n">
        <v>44825</v>
      </c>
      <c r="C763" s="1" t="n">
        <v>45360</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41490-2022</t>
        </is>
      </c>
      <c r="B764" s="1" t="n">
        <v>44827</v>
      </c>
      <c r="C764" s="1" t="n">
        <v>45360</v>
      </c>
      <c r="D764" t="inlineStr">
        <is>
          <t>JÄMTLANDS LÄN</t>
        </is>
      </c>
      <c r="E764" t="inlineStr">
        <is>
          <t>RAGUNDA</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42267-2022</t>
        </is>
      </c>
      <c r="B765" s="1" t="n">
        <v>44830</v>
      </c>
      <c r="C765" s="1" t="n">
        <v>45360</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42266-2022</t>
        </is>
      </c>
      <c r="B766" s="1" t="n">
        <v>44831</v>
      </c>
      <c r="C766" s="1" t="n">
        <v>45360</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42652-2022</t>
        </is>
      </c>
      <c r="B767" s="1" t="n">
        <v>44832</v>
      </c>
      <c r="C767" s="1" t="n">
        <v>45360</v>
      </c>
      <c r="D767" t="inlineStr">
        <is>
          <t>JÄMTLANDS LÄN</t>
        </is>
      </c>
      <c r="E767" t="inlineStr">
        <is>
          <t>RAGUNDA</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42644-2022</t>
        </is>
      </c>
      <c r="B768" s="1" t="n">
        <v>44831</v>
      </c>
      <c r="C768" s="1" t="n">
        <v>45360</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42655-2022</t>
        </is>
      </c>
      <c r="B769" s="1" t="n">
        <v>44831</v>
      </c>
      <c r="C769" s="1" t="n">
        <v>45360</v>
      </c>
      <c r="D769" t="inlineStr">
        <is>
          <t>JÄMTLANDS LÄN</t>
        </is>
      </c>
      <c r="E769" t="inlineStr">
        <is>
          <t>RAGUNDA</t>
        </is>
      </c>
      <c r="F769" t="inlineStr">
        <is>
          <t>Naturvårdsverket</t>
        </is>
      </c>
      <c r="G769" t="n">
        <v>2</v>
      </c>
      <c r="H769" t="n">
        <v>0</v>
      </c>
      <c r="I769" t="n">
        <v>0</v>
      </c>
      <c r="J769" t="n">
        <v>0</v>
      </c>
      <c r="K769" t="n">
        <v>0</v>
      </c>
      <c r="L769" t="n">
        <v>0</v>
      </c>
      <c r="M769" t="n">
        <v>0</v>
      </c>
      <c r="N769" t="n">
        <v>0</v>
      </c>
      <c r="O769" t="n">
        <v>0</v>
      </c>
      <c r="P769" t="n">
        <v>0</v>
      </c>
      <c r="Q769" t="n">
        <v>0</v>
      </c>
      <c r="R769" s="2" t="inlineStr"/>
    </row>
    <row r="770" ht="15" customHeight="1">
      <c r="A770" t="inlineStr">
        <is>
          <t>A 42653-2022</t>
        </is>
      </c>
      <c r="B770" s="1" t="n">
        <v>44832</v>
      </c>
      <c r="C770" s="1" t="n">
        <v>45360</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42882-2022</t>
        </is>
      </c>
      <c r="B771" s="1" t="n">
        <v>44833</v>
      </c>
      <c r="C771" s="1" t="n">
        <v>45360</v>
      </c>
      <c r="D771" t="inlineStr">
        <is>
          <t>JÄMTLANDS LÄN</t>
        </is>
      </c>
      <c r="E771" t="inlineStr">
        <is>
          <t>RAGUNDA</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42892-2022</t>
        </is>
      </c>
      <c r="B772" s="1" t="n">
        <v>44832</v>
      </c>
      <c r="C772" s="1" t="n">
        <v>45360</v>
      </c>
      <c r="D772" t="inlineStr">
        <is>
          <t>JÄMTLANDS LÄN</t>
        </is>
      </c>
      <c r="E772" t="inlineStr">
        <is>
          <t>RAGUNDA</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42893-2022</t>
        </is>
      </c>
      <c r="B773" s="1" t="n">
        <v>44832</v>
      </c>
      <c r="C773" s="1" t="n">
        <v>45360</v>
      </c>
      <c r="D773" t="inlineStr">
        <is>
          <t>JÄMTLANDS LÄN</t>
        </is>
      </c>
      <c r="E773" t="inlineStr">
        <is>
          <t>RAGUNDA</t>
        </is>
      </c>
      <c r="F773" t="inlineStr">
        <is>
          <t>SCA</t>
        </is>
      </c>
      <c r="G773" t="n">
        <v>28.4</v>
      </c>
      <c r="H773" t="n">
        <v>0</v>
      </c>
      <c r="I773" t="n">
        <v>0</v>
      </c>
      <c r="J773" t="n">
        <v>0</v>
      </c>
      <c r="K773" t="n">
        <v>0</v>
      </c>
      <c r="L773" t="n">
        <v>0</v>
      </c>
      <c r="M773" t="n">
        <v>0</v>
      </c>
      <c r="N773" t="n">
        <v>0</v>
      </c>
      <c r="O773" t="n">
        <v>0</v>
      </c>
      <c r="P773" t="n">
        <v>0</v>
      </c>
      <c r="Q773" t="n">
        <v>0</v>
      </c>
      <c r="R773" s="2" t="inlineStr"/>
    </row>
    <row r="774" ht="15" customHeight="1">
      <c r="A774" t="inlineStr">
        <is>
          <t>A 42900-2022</t>
        </is>
      </c>
      <c r="B774" s="1" t="n">
        <v>44833</v>
      </c>
      <c r="C774" s="1" t="n">
        <v>45360</v>
      </c>
      <c r="D774" t="inlineStr">
        <is>
          <t>JÄMTLANDS LÄN</t>
        </is>
      </c>
      <c r="E774" t="inlineStr">
        <is>
          <t>RAGUNDA</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42901-2022</t>
        </is>
      </c>
      <c r="B775" s="1" t="n">
        <v>44832</v>
      </c>
      <c r="C775" s="1" t="n">
        <v>45360</v>
      </c>
      <c r="D775" t="inlineStr">
        <is>
          <t>JÄMTLANDS LÄN</t>
        </is>
      </c>
      <c r="E775" t="inlineStr">
        <is>
          <t>RAGUNDA</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43147-2022</t>
        </is>
      </c>
      <c r="B776" s="1" t="n">
        <v>44834</v>
      </c>
      <c r="C776" s="1" t="n">
        <v>45360</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43163-2022</t>
        </is>
      </c>
      <c r="B777" s="1" t="n">
        <v>44834</v>
      </c>
      <c r="C777" s="1" t="n">
        <v>45360</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43478-2022</t>
        </is>
      </c>
      <c r="B778" s="1" t="n">
        <v>44837</v>
      </c>
      <c r="C778" s="1" t="n">
        <v>45360</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43793-2022</t>
        </is>
      </c>
      <c r="B779" s="1" t="n">
        <v>44837</v>
      </c>
      <c r="C779" s="1" t="n">
        <v>45360</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43794-2022</t>
        </is>
      </c>
      <c r="B780" s="1" t="n">
        <v>44837</v>
      </c>
      <c r="C780" s="1" t="n">
        <v>45360</v>
      </c>
      <c r="D780" t="inlineStr">
        <is>
          <t>JÄMTLANDS LÄN</t>
        </is>
      </c>
      <c r="E780" t="inlineStr">
        <is>
          <t>RAGUNDA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44050-2022</t>
        </is>
      </c>
      <c r="B781" s="1" t="n">
        <v>44838</v>
      </c>
      <c r="C781" s="1" t="n">
        <v>45360</v>
      </c>
      <c r="D781" t="inlineStr">
        <is>
          <t>JÄMTLANDS LÄN</t>
        </is>
      </c>
      <c r="E781" t="inlineStr">
        <is>
          <t>RAGUNDA</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44536-2022</t>
        </is>
      </c>
      <c r="B782" s="1" t="n">
        <v>44839</v>
      </c>
      <c r="C782" s="1" t="n">
        <v>45360</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44600-2022</t>
        </is>
      </c>
      <c r="B783" s="1" t="n">
        <v>44839</v>
      </c>
      <c r="C783" s="1" t="n">
        <v>45360</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44767-2022</t>
        </is>
      </c>
      <c r="B784" s="1" t="n">
        <v>44840</v>
      </c>
      <c r="C784" s="1" t="n">
        <v>45360</v>
      </c>
      <c r="D784" t="inlineStr">
        <is>
          <t>JÄMTLANDS LÄN</t>
        </is>
      </c>
      <c r="E784" t="inlineStr">
        <is>
          <t>RAGUNDA</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44766-2022</t>
        </is>
      </c>
      <c r="B785" s="1" t="n">
        <v>44841</v>
      </c>
      <c r="C785" s="1" t="n">
        <v>45360</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45437-2022</t>
        </is>
      </c>
      <c r="B786" s="1" t="n">
        <v>44844</v>
      </c>
      <c r="C786" s="1" t="n">
        <v>45360</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45438-2022</t>
        </is>
      </c>
      <c r="B787" s="1" t="n">
        <v>44845</v>
      </c>
      <c r="C787" s="1" t="n">
        <v>45360</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45708-2022</t>
        </is>
      </c>
      <c r="B788" s="1" t="n">
        <v>44846</v>
      </c>
      <c r="C788" s="1" t="n">
        <v>45360</v>
      </c>
      <c r="D788" t="inlineStr">
        <is>
          <t>JÄMTLANDS LÄN</t>
        </is>
      </c>
      <c r="E788" t="inlineStr">
        <is>
          <t>RAGUNDA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45712-2022</t>
        </is>
      </c>
      <c r="B789" s="1" t="n">
        <v>44845</v>
      </c>
      <c r="C789" s="1" t="n">
        <v>45360</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45710-2022</t>
        </is>
      </c>
      <c r="B790" s="1" t="n">
        <v>44845</v>
      </c>
      <c r="C790" s="1" t="n">
        <v>45360</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45718-2022</t>
        </is>
      </c>
      <c r="B791" s="1" t="n">
        <v>44845</v>
      </c>
      <c r="C791" s="1" t="n">
        <v>45360</v>
      </c>
      <c r="D791" t="inlineStr">
        <is>
          <t>JÄMTLANDS LÄN</t>
        </is>
      </c>
      <c r="E791" t="inlineStr">
        <is>
          <t>RAGUNDA</t>
        </is>
      </c>
      <c r="F791" t="inlineStr">
        <is>
          <t>SCA</t>
        </is>
      </c>
      <c r="G791" t="n">
        <v>19.3</v>
      </c>
      <c r="H791" t="n">
        <v>0</v>
      </c>
      <c r="I791" t="n">
        <v>0</v>
      </c>
      <c r="J791" t="n">
        <v>0</v>
      </c>
      <c r="K791" t="n">
        <v>0</v>
      </c>
      <c r="L791" t="n">
        <v>0</v>
      </c>
      <c r="M791" t="n">
        <v>0</v>
      </c>
      <c r="N791" t="n">
        <v>0</v>
      </c>
      <c r="O791" t="n">
        <v>0</v>
      </c>
      <c r="P791" t="n">
        <v>0</v>
      </c>
      <c r="Q791" t="n">
        <v>0</v>
      </c>
      <c r="R791" s="2" t="inlineStr"/>
    </row>
    <row r="792" ht="15" customHeight="1">
      <c r="A792" t="inlineStr">
        <is>
          <t>A 45715-2022</t>
        </is>
      </c>
      <c r="B792" s="1" t="n">
        <v>44845</v>
      </c>
      <c r="C792" s="1" t="n">
        <v>45360</v>
      </c>
      <c r="D792" t="inlineStr">
        <is>
          <t>JÄMTLANDS LÄN</t>
        </is>
      </c>
      <c r="E792" t="inlineStr">
        <is>
          <t>RAGUNDA</t>
        </is>
      </c>
      <c r="F792" t="inlineStr">
        <is>
          <t>SCA</t>
        </is>
      </c>
      <c r="G792" t="n">
        <v>8.6</v>
      </c>
      <c r="H792" t="n">
        <v>0</v>
      </c>
      <c r="I792" t="n">
        <v>0</v>
      </c>
      <c r="J792" t="n">
        <v>0</v>
      </c>
      <c r="K792" t="n">
        <v>0</v>
      </c>
      <c r="L792" t="n">
        <v>0</v>
      </c>
      <c r="M792" t="n">
        <v>0</v>
      </c>
      <c r="N792" t="n">
        <v>0</v>
      </c>
      <c r="O792" t="n">
        <v>0</v>
      </c>
      <c r="P792" t="n">
        <v>0</v>
      </c>
      <c r="Q792" t="n">
        <v>0</v>
      </c>
      <c r="R792" s="2" t="inlineStr"/>
    </row>
    <row r="793" ht="15" customHeight="1">
      <c r="A793" t="inlineStr">
        <is>
          <t>A 46047-2022</t>
        </is>
      </c>
      <c r="B793" s="1" t="n">
        <v>44847</v>
      </c>
      <c r="C793" s="1" t="n">
        <v>45360</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46040-2022</t>
        </is>
      </c>
      <c r="B794" s="1" t="n">
        <v>44847</v>
      </c>
      <c r="C794" s="1" t="n">
        <v>45360</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46050-2022</t>
        </is>
      </c>
      <c r="B795" s="1" t="n">
        <v>44846</v>
      </c>
      <c r="C795" s="1" t="n">
        <v>45360</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46049-2022</t>
        </is>
      </c>
      <c r="B796" s="1" t="n">
        <v>44847</v>
      </c>
      <c r="C796" s="1" t="n">
        <v>45360</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46048-2022</t>
        </is>
      </c>
      <c r="B797" s="1" t="n">
        <v>44846</v>
      </c>
      <c r="C797" s="1" t="n">
        <v>45360</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46991-2022</t>
        </is>
      </c>
      <c r="B798" s="1" t="n">
        <v>44852</v>
      </c>
      <c r="C798" s="1" t="n">
        <v>45360</v>
      </c>
      <c r="D798" t="inlineStr">
        <is>
          <t>JÄMTLANDS LÄN</t>
        </is>
      </c>
      <c r="E798" t="inlineStr">
        <is>
          <t>RAGUNDA</t>
        </is>
      </c>
      <c r="F798" t="inlineStr">
        <is>
          <t>SCA</t>
        </is>
      </c>
      <c r="G798" t="n">
        <v>17.3</v>
      </c>
      <c r="H798" t="n">
        <v>0</v>
      </c>
      <c r="I798" t="n">
        <v>0</v>
      </c>
      <c r="J798" t="n">
        <v>0</v>
      </c>
      <c r="K798" t="n">
        <v>0</v>
      </c>
      <c r="L798" t="n">
        <v>0</v>
      </c>
      <c r="M798" t="n">
        <v>0</v>
      </c>
      <c r="N798" t="n">
        <v>0</v>
      </c>
      <c r="O798" t="n">
        <v>0</v>
      </c>
      <c r="P798" t="n">
        <v>0</v>
      </c>
      <c r="Q798" t="n">
        <v>0</v>
      </c>
      <c r="R798" s="2" t="inlineStr"/>
    </row>
    <row r="799" ht="15" customHeight="1">
      <c r="A799" t="inlineStr">
        <is>
          <t>A 46992-2022</t>
        </is>
      </c>
      <c r="B799" s="1" t="n">
        <v>44852</v>
      </c>
      <c r="C799" s="1" t="n">
        <v>45360</v>
      </c>
      <c r="D799" t="inlineStr">
        <is>
          <t>JÄMTLANDS LÄN</t>
        </is>
      </c>
      <c r="E799" t="inlineStr">
        <is>
          <t>RAGUNDA</t>
        </is>
      </c>
      <c r="F799" t="inlineStr">
        <is>
          <t>SCA</t>
        </is>
      </c>
      <c r="G799" t="n">
        <v>26.4</v>
      </c>
      <c r="H799" t="n">
        <v>0</v>
      </c>
      <c r="I799" t="n">
        <v>0</v>
      </c>
      <c r="J799" t="n">
        <v>0</v>
      </c>
      <c r="K799" t="n">
        <v>0</v>
      </c>
      <c r="L799" t="n">
        <v>0</v>
      </c>
      <c r="M799" t="n">
        <v>0</v>
      </c>
      <c r="N799" t="n">
        <v>0</v>
      </c>
      <c r="O799" t="n">
        <v>0</v>
      </c>
      <c r="P799" t="n">
        <v>0</v>
      </c>
      <c r="Q799" t="n">
        <v>0</v>
      </c>
      <c r="R799" s="2" t="inlineStr"/>
    </row>
    <row r="800" ht="15" customHeight="1">
      <c r="A800" t="inlineStr">
        <is>
          <t>A 47262-2022</t>
        </is>
      </c>
      <c r="B800" s="1" t="n">
        <v>44852</v>
      </c>
      <c r="C800" s="1" t="n">
        <v>45360</v>
      </c>
      <c r="D800" t="inlineStr">
        <is>
          <t>JÄMTLANDS LÄN</t>
        </is>
      </c>
      <c r="E800" t="inlineStr">
        <is>
          <t>RAGUNDA</t>
        </is>
      </c>
      <c r="F800" t="inlineStr">
        <is>
          <t>SCA</t>
        </is>
      </c>
      <c r="G800" t="n">
        <v>8.1</v>
      </c>
      <c r="H800" t="n">
        <v>0</v>
      </c>
      <c r="I800" t="n">
        <v>0</v>
      </c>
      <c r="J800" t="n">
        <v>0</v>
      </c>
      <c r="K800" t="n">
        <v>0</v>
      </c>
      <c r="L800" t="n">
        <v>0</v>
      </c>
      <c r="M800" t="n">
        <v>0</v>
      </c>
      <c r="N800" t="n">
        <v>0</v>
      </c>
      <c r="O800" t="n">
        <v>0</v>
      </c>
      <c r="P800" t="n">
        <v>0</v>
      </c>
      <c r="Q800" t="n">
        <v>0</v>
      </c>
      <c r="R800" s="2" t="inlineStr"/>
    </row>
    <row r="801" ht="15" customHeight="1">
      <c r="A801" t="inlineStr">
        <is>
          <t>A 47267-2022</t>
        </is>
      </c>
      <c r="B801" s="1" t="n">
        <v>44852</v>
      </c>
      <c r="C801" s="1" t="n">
        <v>45360</v>
      </c>
      <c r="D801" t="inlineStr">
        <is>
          <t>JÄMTLANDS LÄN</t>
        </is>
      </c>
      <c r="E801" t="inlineStr">
        <is>
          <t>RAGUNDA</t>
        </is>
      </c>
      <c r="F801" t="inlineStr">
        <is>
          <t>SCA</t>
        </is>
      </c>
      <c r="G801" t="n">
        <v>82.8</v>
      </c>
      <c r="H801" t="n">
        <v>0</v>
      </c>
      <c r="I801" t="n">
        <v>0</v>
      </c>
      <c r="J801" t="n">
        <v>0</v>
      </c>
      <c r="K801" t="n">
        <v>0</v>
      </c>
      <c r="L801" t="n">
        <v>0</v>
      </c>
      <c r="M801" t="n">
        <v>0</v>
      </c>
      <c r="N801" t="n">
        <v>0</v>
      </c>
      <c r="O801" t="n">
        <v>0</v>
      </c>
      <c r="P801" t="n">
        <v>0</v>
      </c>
      <c r="Q801" t="n">
        <v>0</v>
      </c>
      <c r="R801" s="2" t="inlineStr"/>
    </row>
    <row r="802" ht="15" customHeight="1">
      <c r="A802" t="inlineStr">
        <is>
          <t>A 47280-2022</t>
        </is>
      </c>
      <c r="B802" s="1" t="n">
        <v>44852</v>
      </c>
      <c r="C802" s="1" t="n">
        <v>45360</v>
      </c>
      <c r="D802" t="inlineStr">
        <is>
          <t>JÄMTLANDS LÄN</t>
        </is>
      </c>
      <c r="E802" t="inlineStr">
        <is>
          <t>RAGUNDA</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47278-2022</t>
        </is>
      </c>
      <c r="B803" s="1" t="n">
        <v>44852</v>
      </c>
      <c r="C803" s="1" t="n">
        <v>45360</v>
      </c>
      <c r="D803" t="inlineStr">
        <is>
          <t>JÄMTLANDS LÄN</t>
        </is>
      </c>
      <c r="E803" t="inlineStr">
        <is>
          <t>RAGUNDA</t>
        </is>
      </c>
      <c r="F803" t="inlineStr">
        <is>
          <t>SCA</t>
        </is>
      </c>
      <c r="G803" t="n">
        <v>10.1</v>
      </c>
      <c r="H803" t="n">
        <v>0</v>
      </c>
      <c r="I803" t="n">
        <v>0</v>
      </c>
      <c r="J803" t="n">
        <v>0</v>
      </c>
      <c r="K803" t="n">
        <v>0</v>
      </c>
      <c r="L803" t="n">
        <v>0</v>
      </c>
      <c r="M803" t="n">
        <v>0</v>
      </c>
      <c r="N803" t="n">
        <v>0</v>
      </c>
      <c r="O803" t="n">
        <v>0</v>
      </c>
      <c r="P803" t="n">
        <v>0</v>
      </c>
      <c r="Q803" t="n">
        <v>0</v>
      </c>
      <c r="R803" s="2" t="inlineStr"/>
    </row>
    <row r="804" ht="15" customHeight="1">
      <c r="A804" t="inlineStr">
        <is>
          <t>A 47567-2022</t>
        </is>
      </c>
      <c r="B804" s="1" t="n">
        <v>44853</v>
      </c>
      <c r="C804" s="1" t="n">
        <v>45360</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47568-2022</t>
        </is>
      </c>
      <c r="B805" s="1" t="n">
        <v>44854</v>
      </c>
      <c r="C805" s="1" t="n">
        <v>45360</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47801-2022</t>
        </is>
      </c>
      <c r="B806" s="1" t="n">
        <v>44854</v>
      </c>
      <c r="C806" s="1" t="n">
        <v>45360</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47803-2022</t>
        </is>
      </c>
      <c r="B807" s="1" t="n">
        <v>44855</v>
      </c>
      <c r="C807" s="1" t="n">
        <v>45360</v>
      </c>
      <c r="D807" t="inlineStr">
        <is>
          <t>JÄMTLANDS LÄN</t>
        </is>
      </c>
      <c r="E807" t="inlineStr">
        <is>
          <t>RAGUNDA</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48060-2022</t>
        </is>
      </c>
      <c r="B808" s="1" t="n">
        <v>44856</v>
      </c>
      <c r="C808" s="1" t="n">
        <v>45360</v>
      </c>
      <c r="D808" t="inlineStr">
        <is>
          <t>JÄMTLANDS LÄN</t>
        </is>
      </c>
      <c r="E808" t="inlineStr">
        <is>
          <t>RAGUNDA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48055-2022</t>
        </is>
      </c>
      <c r="B809" s="1" t="n">
        <v>44856</v>
      </c>
      <c r="C809" s="1" t="n">
        <v>45360</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48058-2022</t>
        </is>
      </c>
      <c r="B810" s="1" t="n">
        <v>44856</v>
      </c>
      <c r="C810" s="1" t="n">
        <v>45360</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48066-2022</t>
        </is>
      </c>
      <c r="B811" s="1" t="n">
        <v>44855</v>
      </c>
      <c r="C811" s="1" t="n">
        <v>45360</v>
      </c>
      <c r="D811" t="inlineStr">
        <is>
          <t>JÄMTLANDS LÄN</t>
        </is>
      </c>
      <c r="E811" t="inlineStr">
        <is>
          <t>RAGUNDA</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48076-2022</t>
        </is>
      </c>
      <c r="B812" s="1" t="n">
        <v>44856</v>
      </c>
      <c r="C812" s="1" t="n">
        <v>45360</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48053-2022</t>
        </is>
      </c>
      <c r="B813" s="1" t="n">
        <v>44856</v>
      </c>
      <c r="C813" s="1" t="n">
        <v>45360</v>
      </c>
      <c r="D813" t="inlineStr">
        <is>
          <t>JÄMTLANDS LÄN</t>
        </is>
      </c>
      <c r="E813" t="inlineStr">
        <is>
          <t>RAGUNDA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48075-2022</t>
        </is>
      </c>
      <c r="B814" s="1" t="n">
        <v>44855</v>
      </c>
      <c r="C814" s="1" t="n">
        <v>45360</v>
      </c>
      <c r="D814" t="inlineStr">
        <is>
          <t>JÄMTLANDS LÄN</t>
        </is>
      </c>
      <c r="E814" t="inlineStr">
        <is>
          <t>RAGUNDA</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48086-2022</t>
        </is>
      </c>
      <c r="B815" s="1" t="n">
        <v>44856</v>
      </c>
      <c r="C815" s="1" t="n">
        <v>45360</v>
      </c>
      <c r="D815" t="inlineStr">
        <is>
          <t>JÄMTLANDS LÄN</t>
        </is>
      </c>
      <c r="E815" t="inlineStr">
        <is>
          <t>RAGUNDA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48085-2022</t>
        </is>
      </c>
      <c r="B816" s="1" t="n">
        <v>44855</v>
      </c>
      <c r="C816" s="1" t="n">
        <v>45360</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48536-2022</t>
        </is>
      </c>
      <c r="B817" s="1" t="n">
        <v>44858</v>
      </c>
      <c r="C817" s="1" t="n">
        <v>45360</v>
      </c>
      <c r="D817" t="inlineStr">
        <is>
          <t>JÄMTLANDS LÄN</t>
        </is>
      </c>
      <c r="E817" t="inlineStr">
        <is>
          <t>RAGUNDA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48538-2022</t>
        </is>
      </c>
      <c r="B818" s="1" t="n">
        <v>44858</v>
      </c>
      <c r="C818" s="1" t="n">
        <v>45360</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48522-2022</t>
        </is>
      </c>
      <c r="B819" s="1" t="n">
        <v>44859</v>
      </c>
      <c r="C819" s="1" t="n">
        <v>45360</v>
      </c>
      <c r="D819" t="inlineStr">
        <is>
          <t>JÄMTLANDS LÄN</t>
        </is>
      </c>
      <c r="E819" t="inlineStr">
        <is>
          <t>RAGUNDA</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48534-2022</t>
        </is>
      </c>
      <c r="B820" s="1" t="n">
        <v>44859</v>
      </c>
      <c r="C820" s="1" t="n">
        <v>45360</v>
      </c>
      <c r="D820" t="inlineStr">
        <is>
          <t>JÄMTLANDS LÄN</t>
        </is>
      </c>
      <c r="E820" t="inlineStr">
        <is>
          <t>RAGUNDA</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48938-2022</t>
        </is>
      </c>
      <c r="B821" s="1" t="n">
        <v>44860</v>
      </c>
      <c r="C821" s="1" t="n">
        <v>45360</v>
      </c>
      <c r="D821" t="inlineStr">
        <is>
          <t>JÄMTLANDS LÄN</t>
        </is>
      </c>
      <c r="E821" t="inlineStr">
        <is>
          <t>RAGUNDA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49183-2022</t>
        </is>
      </c>
      <c r="B822" s="1" t="n">
        <v>44860</v>
      </c>
      <c r="C822" s="1" t="n">
        <v>45360</v>
      </c>
      <c r="D822" t="inlineStr">
        <is>
          <t>JÄMTLANDS LÄN</t>
        </is>
      </c>
      <c r="E822" t="inlineStr">
        <is>
          <t>RAGUNDA</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49182-2022</t>
        </is>
      </c>
      <c r="B823" s="1" t="n">
        <v>44861</v>
      </c>
      <c r="C823" s="1" t="n">
        <v>45360</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49197-2022</t>
        </is>
      </c>
      <c r="B824" s="1" t="n">
        <v>44860</v>
      </c>
      <c r="C824" s="1" t="n">
        <v>45360</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49531-2022</t>
        </is>
      </c>
      <c r="B825" s="1" t="n">
        <v>44861</v>
      </c>
      <c r="C825" s="1" t="n">
        <v>45360</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49530-2022</t>
        </is>
      </c>
      <c r="B826" s="1" t="n">
        <v>44861</v>
      </c>
      <c r="C826" s="1" t="n">
        <v>45360</v>
      </c>
      <c r="D826" t="inlineStr">
        <is>
          <t>JÄMTLANDS LÄN</t>
        </is>
      </c>
      <c r="E826" t="inlineStr">
        <is>
          <t>RAGUNDA</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49544-2022</t>
        </is>
      </c>
      <c r="B827" s="1" t="n">
        <v>44862</v>
      </c>
      <c r="C827" s="1" t="n">
        <v>45360</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49543-2022</t>
        </is>
      </c>
      <c r="B828" s="1" t="n">
        <v>44862</v>
      </c>
      <c r="C828" s="1" t="n">
        <v>45360</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49844-2022</t>
        </is>
      </c>
      <c r="B829" s="1" t="n">
        <v>44863</v>
      </c>
      <c r="C829" s="1" t="n">
        <v>45360</v>
      </c>
      <c r="D829" t="inlineStr">
        <is>
          <t>JÄMTLANDS LÄN</t>
        </is>
      </c>
      <c r="E829" t="inlineStr">
        <is>
          <t>RAGUNDA</t>
        </is>
      </c>
      <c r="G829" t="n">
        <v>3.9</v>
      </c>
      <c r="H829" t="n">
        <v>0</v>
      </c>
      <c r="I829" t="n">
        <v>0</v>
      </c>
      <c r="J829" t="n">
        <v>0</v>
      </c>
      <c r="K829" t="n">
        <v>0</v>
      </c>
      <c r="L829" t="n">
        <v>0</v>
      </c>
      <c r="M829" t="n">
        <v>0</v>
      </c>
      <c r="N829" t="n">
        <v>0</v>
      </c>
      <c r="O829" t="n">
        <v>0</v>
      </c>
      <c r="P829" t="n">
        <v>0</v>
      </c>
      <c r="Q829" t="n">
        <v>0</v>
      </c>
      <c r="R829" s="2" t="inlineStr"/>
    </row>
    <row r="830" ht="15" customHeight="1">
      <c r="A830" t="inlineStr">
        <is>
          <t>A 49904-2022</t>
        </is>
      </c>
      <c r="B830" s="1" t="n">
        <v>44864</v>
      </c>
      <c r="C830" s="1" t="n">
        <v>45360</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50089-2022</t>
        </is>
      </c>
      <c r="B831" s="1" t="n">
        <v>44865</v>
      </c>
      <c r="C831" s="1" t="n">
        <v>45360</v>
      </c>
      <c r="D831" t="inlineStr">
        <is>
          <t>JÄMTLANDS LÄN</t>
        </is>
      </c>
      <c r="E831" t="inlineStr">
        <is>
          <t>RAGUNDA</t>
        </is>
      </c>
      <c r="G831" t="n">
        <v>5.7</v>
      </c>
      <c r="H831" t="n">
        <v>0</v>
      </c>
      <c r="I831" t="n">
        <v>0</v>
      </c>
      <c r="J831" t="n">
        <v>0</v>
      </c>
      <c r="K831" t="n">
        <v>0</v>
      </c>
      <c r="L831" t="n">
        <v>0</v>
      </c>
      <c r="M831" t="n">
        <v>0</v>
      </c>
      <c r="N831" t="n">
        <v>0</v>
      </c>
      <c r="O831" t="n">
        <v>0</v>
      </c>
      <c r="P831" t="n">
        <v>0</v>
      </c>
      <c r="Q831" t="n">
        <v>0</v>
      </c>
      <c r="R831" s="2" t="inlineStr"/>
    </row>
    <row r="832" ht="15" customHeight="1">
      <c r="A832" t="inlineStr">
        <is>
          <t>A 50087-2022</t>
        </is>
      </c>
      <c r="B832" s="1" t="n">
        <v>44865</v>
      </c>
      <c r="C832" s="1" t="n">
        <v>45360</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50649-2022</t>
        </is>
      </c>
      <c r="B833" s="1" t="n">
        <v>44866</v>
      </c>
      <c r="C833" s="1" t="n">
        <v>45360</v>
      </c>
      <c r="D833" t="inlineStr">
        <is>
          <t>JÄMTLANDS LÄN</t>
        </is>
      </c>
      <c r="E833" t="inlineStr">
        <is>
          <t>RAGUNDA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50682-2022</t>
        </is>
      </c>
      <c r="B834" s="1" t="n">
        <v>44866</v>
      </c>
      <c r="C834" s="1" t="n">
        <v>45360</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51012-2022</t>
        </is>
      </c>
      <c r="B835" s="1" t="n">
        <v>44867</v>
      </c>
      <c r="C835" s="1" t="n">
        <v>45360</v>
      </c>
      <c r="D835" t="inlineStr">
        <is>
          <t>JÄMTLANDS LÄN</t>
        </is>
      </c>
      <c r="E835" t="inlineStr">
        <is>
          <t>RAGUNDA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51540-2022</t>
        </is>
      </c>
      <c r="B836" s="1" t="n">
        <v>44869</v>
      </c>
      <c r="C836" s="1" t="n">
        <v>45360</v>
      </c>
      <c r="D836" t="inlineStr">
        <is>
          <t>JÄMTLANDS LÄN</t>
        </is>
      </c>
      <c r="E836" t="inlineStr">
        <is>
          <t>RAGUNDA</t>
        </is>
      </c>
      <c r="G836" t="n">
        <v>1.3</v>
      </c>
      <c r="H836" t="n">
        <v>0</v>
      </c>
      <c r="I836" t="n">
        <v>0</v>
      </c>
      <c r="J836" t="n">
        <v>0</v>
      </c>
      <c r="K836" t="n">
        <v>0</v>
      </c>
      <c r="L836" t="n">
        <v>0</v>
      </c>
      <c r="M836" t="n">
        <v>0</v>
      </c>
      <c r="N836" t="n">
        <v>0</v>
      </c>
      <c r="O836" t="n">
        <v>0</v>
      </c>
      <c r="P836" t="n">
        <v>0</v>
      </c>
      <c r="Q836" t="n">
        <v>0</v>
      </c>
      <c r="R836" s="2" t="inlineStr"/>
    </row>
    <row r="837" ht="15" customHeight="1">
      <c r="A837" t="inlineStr">
        <is>
          <t>A 51538-2022</t>
        </is>
      </c>
      <c r="B837" s="1" t="n">
        <v>44869</v>
      </c>
      <c r="C837" s="1" t="n">
        <v>45360</v>
      </c>
      <c r="D837" t="inlineStr">
        <is>
          <t>JÄMTLANDS LÄN</t>
        </is>
      </c>
      <c r="E837" t="inlineStr">
        <is>
          <t>RAGUNDA</t>
        </is>
      </c>
      <c r="G837" t="n">
        <v>6.8</v>
      </c>
      <c r="H837" t="n">
        <v>0</v>
      </c>
      <c r="I837" t="n">
        <v>0</v>
      </c>
      <c r="J837" t="n">
        <v>0</v>
      </c>
      <c r="K837" t="n">
        <v>0</v>
      </c>
      <c r="L837" t="n">
        <v>0</v>
      </c>
      <c r="M837" t="n">
        <v>0</v>
      </c>
      <c r="N837" t="n">
        <v>0</v>
      </c>
      <c r="O837" t="n">
        <v>0</v>
      </c>
      <c r="P837" t="n">
        <v>0</v>
      </c>
      <c r="Q837" t="n">
        <v>0</v>
      </c>
      <c r="R837" s="2" t="inlineStr"/>
    </row>
    <row r="838" ht="15" customHeight="1">
      <c r="A838" t="inlineStr">
        <is>
          <t>A 51537-2022</t>
        </is>
      </c>
      <c r="B838" s="1" t="n">
        <v>44869</v>
      </c>
      <c r="C838" s="1" t="n">
        <v>45360</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52697-2022</t>
        </is>
      </c>
      <c r="B839" s="1" t="n">
        <v>44874</v>
      </c>
      <c r="C839" s="1" t="n">
        <v>45360</v>
      </c>
      <c r="D839" t="inlineStr">
        <is>
          <t>JÄMTLANDS LÄN</t>
        </is>
      </c>
      <c r="E839" t="inlineStr">
        <is>
          <t>RAGUNDA</t>
        </is>
      </c>
      <c r="G839" t="n">
        <v>3.9</v>
      </c>
      <c r="H839" t="n">
        <v>0</v>
      </c>
      <c r="I839" t="n">
        <v>0</v>
      </c>
      <c r="J839" t="n">
        <v>0</v>
      </c>
      <c r="K839" t="n">
        <v>0</v>
      </c>
      <c r="L839" t="n">
        <v>0</v>
      </c>
      <c r="M839" t="n">
        <v>0</v>
      </c>
      <c r="N839" t="n">
        <v>0</v>
      </c>
      <c r="O839" t="n">
        <v>0</v>
      </c>
      <c r="P839" t="n">
        <v>0</v>
      </c>
      <c r="Q839" t="n">
        <v>0</v>
      </c>
      <c r="R839" s="2" t="inlineStr"/>
    </row>
    <row r="840" ht="15" customHeight="1">
      <c r="A840" t="inlineStr">
        <is>
          <t>A 52720-2022</t>
        </is>
      </c>
      <c r="B840" s="1" t="n">
        <v>44874</v>
      </c>
      <c r="C840" s="1" t="n">
        <v>45360</v>
      </c>
      <c r="D840" t="inlineStr">
        <is>
          <t>JÄMTLANDS LÄN</t>
        </is>
      </c>
      <c r="E840" t="inlineStr">
        <is>
          <t>RAGUNDA</t>
        </is>
      </c>
      <c r="F840" t="inlineStr">
        <is>
          <t>SCA</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53287-2022</t>
        </is>
      </c>
      <c r="B841" s="1" t="n">
        <v>44876</v>
      </c>
      <c r="C841" s="1" t="n">
        <v>45360</v>
      </c>
      <c r="D841" t="inlineStr">
        <is>
          <t>JÄMTLANDS LÄN</t>
        </is>
      </c>
      <c r="E841" t="inlineStr">
        <is>
          <t>RAGUNDA</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53288-2022</t>
        </is>
      </c>
      <c r="B842" s="1" t="n">
        <v>44876</v>
      </c>
      <c r="C842" s="1" t="n">
        <v>45360</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53676-2022</t>
        </is>
      </c>
      <c r="B843" s="1" t="n">
        <v>44879</v>
      </c>
      <c r="C843" s="1" t="n">
        <v>45360</v>
      </c>
      <c r="D843" t="inlineStr">
        <is>
          <t>JÄMTLANDS LÄN</t>
        </is>
      </c>
      <c r="E843" t="inlineStr">
        <is>
          <t>RAGUNDA</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53678-2022</t>
        </is>
      </c>
      <c r="B844" s="1" t="n">
        <v>44879</v>
      </c>
      <c r="C844" s="1" t="n">
        <v>45360</v>
      </c>
      <c r="D844" t="inlineStr">
        <is>
          <t>JÄMTLANDS LÄN</t>
        </is>
      </c>
      <c r="E844" t="inlineStr">
        <is>
          <t>RAGUNDA</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53677-2022</t>
        </is>
      </c>
      <c r="B845" s="1" t="n">
        <v>44879</v>
      </c>
      <c r="C845" s="1" t="n">
        <v>45360</v>
      </c>
      <c r="D845" t="inlineStr">
        <is>
          <t>JÄMTLANDS LÄN</t>
        </is>
      </c>
      <c r="E845" t="inlineStr">
        <is>
          <t>RAGUNDA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53674-2022</t>
        </is>
      </c>
      <c r="B846" s="1" t="n">
        <v>44879</v>
      </c>
      <c r="C846" s="1" t="n">
        <v>45360</v>
      </c>
      <c r="D846" t="inlineStr">
        <is>
          <t>JÄMTLANDS LÄN</t>
        </is>
      </c>
      <c r="E846" t="inlineStr">
        <is>
          <t>RAGUNDA</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53935-2022</t>
        </is>
      </c>
      <c r="B847" s="1" t="n">
        <v>44880</v>
      </c>
      <c r="C847" s="1" t="n">
        <v>45360</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53954-2022</t>
        </is>
      </c>
      <c r="B848" s="1" t="n">
        <v>44880</v>
      </c>
      <c r="C848" s="1" t="n">
        <v>45360</v>
      </c>
      <c r="D848" t="inlineStr">
        <is>
          <t>JÄMTLANDS LÄN</t>
        </is>
      </c>
      <c r="E848" t="inlineStr">
        <is>
          <t>RAGUNDA</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53951-2022</t>
        </is>
      </c>
      <c r="B849" s="1" t="n">
        <v>44880</v>
      </c>
      <c r="C849" s="1" t="n">
        <v>45360</v>
      </c>
      <c r="D849" t="inlineStr">
        <is>
          <t>JÄMTLANDS LÄN</t>
        </is>
      </c>
      <c r="E849" t="inlineStr">
        <is>
          <t>RAGUNDA</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53952-2022</t>
        </is>
      </c>
      <c r="B850" s="1" t="n">
        <v>44880</v>
      </c>
      <c r="C850" s="1" t="n">
        <v>45360</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53958-2022</t>
        </is>
      </c>
      <c r="B851" s="1" t="n">
        <v>44880</v>
      </c>
      <c r="C851" s="1" t="n">
        <v>45360</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53937-2022</t>
        </is>
      </c>
      <c r="B852" s="1" t="n">
        <v>44880</v>
      </c>
      <c r="C852" s="1" t="n">
        <v>45360</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v>
      </c>
      <c r="C853" s="1" t="n">
        <v>45360</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54244-2022</t>
        </is>
      </c>
      <c r="B854" s="1" t="n">
        <v>44881</v>
      </c>
      <c r="C854" s="1" t="n">
        <v>45360</v>
      </c>
      <c r="D854" t="inlineStr">
        <is>
          <t>JÄMTLANDS LÄN</t>
        </is>
      </c>
      <c r="E854" t="inlineStr">
        <is>
          <t>RAGUNDA</t>
        </is>
      </c>
      <c r="G854" t="n">
        <v>2.8</v>
      </c>
      <c r="H854" t="n">
        <v>0</v>
      </c>
      <c r="I854" t="n">
        <v>0</v>
      </c>
      <c r="J854" t="n">
        <v>0</v>
      </c>
      <c r="K854" t="n">
        <v>0</v>
      </c>
      <c r="L854" t="n">
        <v>0</v>
      </c>
      <c r="M854" t="n">
        <v>0</v>
      </c>
      <c r="N854" t="n">
        <v>0</v>
      </c>
      <c r="O854" t="n">
        <v>0</v>
      </c>
      <c r="P854" t="n">
        <v>0</v>
      </c>
      <c r="Q854" t="n">
        <v>0</v>
      </c>
      <c r="R854" s="2" t="inlineStr"/>
    </row>
    <row r="855" ht="15" customHeight="1">
      <c r="A855" t="inlineStr">
        <is>
          <t>A 54570-2022</t>
        </is>
      </c>
      <c r="B855" s="1" t="n">
        <v>44882</v>
      </c>
      <c r="C855" s="1" t="n">
        <v>45360</v>
      </c>
      <c r="D855" t="inlineStr">
        <is>
          <t>JÄMTLANDS LÄN</t>
        </is>
      </c>
      <c r="E855" t="inlineStr">
        <is>
          <t>RAGUNDA</t>
        </is>
      </c>
      <c r="G855" t="n">
        <v>2.3</v>
      </c>
      <c r="H855" t="n">
        <v>0</v>
      </c>
      <c r="I855" t="n">
        <v>0</v>
      </c>
      <c r="J855" t="n">
        <v>0</v>
      </c>
      <c r="K855" t="n">
        <v>0</v>
      </c>
      <c r="L855" t="n">
        <v>0</v>
      </c>
      <c r="M855" t="n">
        <v>0</v>
      </c>
      <c r="N855" t="n">
        <v>0</v>
      </c>
      <c r="O855" t="n">
        <v>0</v>
      </c>
      <c r="P855" t="n">
        <v>0</v>
      </c>
      <c r="Q855" t="n">
        <v>0</v>
      </c>
      <c r="R855" s="2" t="inlineStr"/>
    </row>
    <row r="856" ht="15" customHeight="1">
      <c r="A856" t="inlineStr">
        <is>
          <t>A 54572-2022</t>
        </is>
      </c>
      <c r="B856" s="1" t="n">
        <v>44882</v>
      </c>
      <c r="C856" s="1" t="n">
        <v>45360</v>
      </c>
      <c r="D856" t="inlineStr">
        <is>
          <t>JÄMTLANDS LÄN</t>
        </is>
      </c>
      <c r="E856" t="inlineStr">
        <is>
          <t>RAGUNDA</t>
        </is>
      </c>
      <c r="G856" t="n">
        <v>10.1</v>
      </c>
      <c r="H856" t="n">
        <v>0</v>
      </c>
      <c r="I856" t="n">
        <v>0</v>
      </c>
      <c r="J856" t="n">
        <v>0</v>
      </c>
      <c r="K856" t="n">
        <v>0</v>
      </c>
      <c r="L856" t="n">
        <v>0</v>
      </c>
      <c r="M856" t="n">
        <v>0</v>
      </c>
      <c r="N856" t="n">
        <v>0</v>
      </c>
      <c r="O856" t="n">
        <v>0</v>
      </c>
      <c r="P856" t="n">
        <v>0</v>
      </c>
      <c r="Q856" t="n">
        <v>0</v>
      </c>
      <c r="R856" s="2" t="inlineStr"/>
    </row>
    <row r="857" ht="15" customHeight="1">
      <c r="A857" t="inlineStr">
        <is>
          <t>A 54836-2022</t>
        </is>
      </c>
      <c r="B857" s="1" t="n">
        <v>44883</v>
      </c>
      <c r="C857" s="1" t="n">
        <v>45360</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54835-2022</t>
        </is>
      </c>
      <c r="B858" s="1" t="n">
        <v>44883</v>
      </c>
      <c r="C858" s="1" t="n">
        <v>45360</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54830-2022</t>
        </is>
      </c>
      <c r="B859" s="1" t="n">
        <v>44883</v>
      </c>
      <c r="C859" s="1" t="n">
        <v>45360</v>
      </c>
      <c r="D859" t="inlineStr">
        <is>
          <t>JÄMTLANDS LÄN</t>
        </is>
      </c>
      <c r="E859" t="inlineStr">
        <is>
          <t>RAGUNDA</t>
        </is>
      </c>
      <c r="F859" t="inlineStr">
        <is>
          <t>Sveaskog</t>
        </is>
      </c>
      <c r="G859" t="n">
        <v>7</v>
      </c>
      <c r="H859" t="n">
        <v>0</v>
      </c>
      <c r="I859" t="n">
        <v>0</v>
      </c>
      <c r="J859" t="n">
        <v>0</v>
      </c>
      <c r="K859" t="n">
        <v>0</v>
      </c>
      <c r="L859" t="n">
        <v>0</v>
      </c>
      <c r="M859" t="n">
        <v>0</v>
      </c>
      <c r="N859" t="n">
        <v>0</v>
      </c>
      <c r="O859" t="n">
        <v>0</v>
      </c>
      <c r="P859" t="n">
        <v>0</v>
      </c>
      <c r="Q859" t="n">
        <v>0</v>
      </c>
      <c r="R859" s="2" t="inlineStr"/>
    </row>
    <row r="860" ht="15" customHeight="1">
      <c r="A860" t="inlineStr">
        <is>
          <t>A 54837-2022</t>
        </is>
      </c>
      <c r="B860" s="1" t="n">
        <v>44883</v>
      </c>
      <c r="C860" s="1" t="n">
        <v>45360</v>
      </c>
      <c r="D860" t="inlineStr">
        <is>
          <t>JÄMTLANDS LÄN</t>
        </is>
      </c>
      <c r="E860" t="inlineStr">
        <is>
          <t>RAGUNDA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54827-2022</t>
        </is>
      </c>
      <c r="B861" s="1" t="n">
        <v>44883</v>
      </c>
      <c r="C861" s="1" t="n">
        <v>45360</v>
      </c>
      <c r="D861" t="inlineStr">
        <is>
          <t>JÄMTLANDS LÄN</t>
        </is>
      </c>
      <c r="E861" t="inlineStr">
        <is>
          <t>RAGUNDA</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55214-2022</t>
        </is>
      </c>
      <c r="B862" s="1" t="n">
        <v>44886</v>
      </c>
      <c r="C862" s="1" t="n">
        <v>45360</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55904-2022</t>
        </is>
      </c>
      <c r="B863" s="1" t="n">
        <v>44888</v>
      </c>
      <c r="C863" s="1" t="n">
        <v>45360</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56191-2022</t>
        </is>
      </c>
      <c r="B864" s="1" t="n">
        <v>44889</v>
      </c>
      <c r="C864" s="1" t="n">
        <v>45360</v>
      </c>
      <c r="D864" t="inlineStr">
        <is>
          <t>JÄMTLANDS LÄN</t>
        </is>
      </c>
      <c r="E864" t="inlineStr">
        <is>
          <t>RAGUNDA</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56186-2022</t>
        </is>
      </c>
      <c r="B865" s="1" t="n">
        <v>44889</v>
      </c>
      <c r="C865" s="1" t="n">
        <v>45360</v>
      </c>
      <c r="D865" t="inlineStr">
        <is>
          <t>JÄMTLANDS LÄN</t>
        </is>
      </c>
      <c r="E865" t="inlineStr">
        <is>
          <t>RAGUNDA</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56192-2022</t>
        </is>
      </c>
      <c r="B866" s="1" t="n">
        <v>44889</v>
      </c>
      <c r="C866" s="1" t="n">
        <v>45360</v>
      </c>
      <c r="D866" t="inlineStr">
        <is>
          <t>JÄMTLANDS LÄN</t>
        </is>
      </c>
      <c r="E866" t="inlineStr">
        <is>
          <t>RAGUNDA</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56193-2022</t>
        </is>
      </c>
      <c r="B867" s="1" t="n">
        <v>44889</v>
      </c>
      <c r="C867" s="1" t="n">
        <v>45360</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57237-2022</t>
        </is>
      </c>
      <c r="B868" s="1" t="n">
        <v>44889</v>
      </c>
      <c r="C868" s="1" t="n">
        <v>45360</v>
      </c>
      <c r="D868" t="inlineStr">
        <is>
          <t>JÄMTLANDS LÄN</t>
        </is>
      </c>
      <c r="E868" t="inlineStr">
        <is>
          <t>RAGUNDA</t>
        </is>
      </c>
      <c r="G868" t="n">
        <v>2.2</v>
      </c>
      <c r="H868" t="n">
        <v>0</v>
      </c>
      <c r="I868" t="n">
        <v>0</v>
      </c>
      <c r="J868" t="n">
        <v>0</v>
      </c>
      <c r="K868" t="n">
        <v>0</v>
      </c>
      <c r="L868" t="n">
        <v>0</v>
      </c>
      <c r="M868" t="n">
        <v>0</v>
      </c>
      <c r="N868" t="n">
        <v>0</v>
      </c>
      <c r="O868" t="n">
        <v>0</v>
      </c>
      <c r="P868" t="n">
        <v>0</v>
      </c>
      <c r="Q868" t="n">
        <v>0</v>
      </c>
      <c r="R868" s="2" t="inlineStr"/>
    </row>
    <row r="869" ht="15" customHeight="1">
      <c r="A869" t="inlineStr">
        <is>
          <t>A 56630-2022</t>
        </is>
      </c>
      <c r="B869" s="1" t="n">
        <v>44893</v>
      </c>
      <c r="C869" s="1" t="n">
        <v>45360</v>
      </c>
      <c r="D869" t="inlineStr">
        <is>
          <t>JÄMTLANDS LÄN</t>
        </is>
      </c>
      <c r="E869" t="inlineStr">
        <is>
          <t>RAGUNDA</t>
        </is>
      </c>
      <c r="G869" t="n">
        <v>1.9</v>
      </c>
      <c r="H869" t="n">
        <v>0</v>
      </c>
      <c r="I869" t="n">
        <v>0</v>
      </c>
      <c r="J869" t="n">
        <v>0</v>
      </c>
      <c r="K869" t="n">
        <v>0</v>
      </c>
      <c r="L869" t="n">
        <v>0</v>
      </c>
      <c r="M869" t="n">
        <v>0</v>
      </c>
      <c r="N869" t="n">
        <v>0</v>
      </c>
      <c r="O869" t="n">
        <v>0</v>
      </c>
      <c r="P869" t="n">
        <v>0</v>
      </c>
      <c r="Q869" t="n">
        <v>0</v>
      </c>
      <c r="R869" s="2" t="inlineStr"/>
    </row>
    <row r="870" ht="15" customHeight="1">
      <c r="A870" t="inlineStr">
        <is>
          <t>A 56984-2022</t>
        </is>
      </c>
      <c r="B870" s="1" t="n">
        <v>44894</v>
      </c>
      <c r="C870" s="1" t="n">
        <v>45360</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58537-2022</t>
        </is>
      </c>
      <c r="B871" s="1" t="n">
        <v>44894</v>
      </c>
      <c r="C871" s="1" t="n">
        <v>45360</v>
      </c>
      <c r="D871" t="inlineStr">
        <is>
          <t>JÄMTLANDS LÄN</t>
        </is>
      </c>
      <c r="E871" t="inlineStr">
        <is>
          <t>RAGUNDA</t>
        </is>
      </c>
      <c r="G871" t="n">
        <v>1.2</v>
      </c>
      <c r="H871" t="n">
        <v>0</v>
      </c>
      <c r="I871" t="n">
        <v>0</v>
      </c>
      <c r="J871" t="n">
        <v>0</v>
      </c>
      <c r="K871" t="n">
        <v>0</v>
      </c>
      <c r="L871" t="n">
        <v>0</v>
      </c>
      <c r="M871" t="n">
        <v>0</v>
      </c>
      <c r="N871" t="n">
        <v>0</v>
      </c>
      <c r="O871" t="n">
        <v>0</v>
      </c>
      <c r="P871" t="n">
        <v>0</v>
      </c>
      <c r="Q871" t="n">
        <v>0</v>
      </c>
      <c r="R871" s="2" t="inlineStr"/>
    </row>
    <row r="872" ht="15" customHeight="1">
      <c r="A872" t="inlineStr">
        <is>
          <t>A 57298-2022</t>
        </is>
      </c>
      <c r="B872" s="1" t="n">
        <v>44895</v>
      </c>
      <c r="C872" s="1" t="n">
        <v>45360</v>
      </c>
      <c r="D872" t="inlineStr">
        <is>
          <t>JÄMTLANDS LÄN</t>
        </is>
      </c>
      <c r="E872" t="inlineStr">
        <is>
          <t>RAGUNDA</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59242-2022</t>
        </is>
      </c>
      <c r="B873" s="1" t="n">
        <v>44896</v>
      </c>
      <c r="C873" s="1" t="n">
        <v>45360</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57599-2022</t>
        </is>
      </c>
      <c r="B874" s="1" t="n">
        <v>44897</v>
      </c>
      <c r="C874" s="1" t="n">
        <v>45360</v>
      </c>
      <c r="D874" t="inlineStr">
        <is>
          <t>JÄMTLANDS LÄN</t>
        </is>
      </c>
      <c r="E874" t="inlineStr">
        <is>
          <t>RAGUNDA</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57839-2022</t>
        </is>
      </c>
      <c r="B875" s="1" t="n">
        <v>44897</v>
      </c>
      <c r="C875" s="1" t="n">
        <v>45360</v>
      </c>
      <c r="D875" t="inlineStr">
        <is>
          <t>JÄMTLANDS LÄN</t>
        </is>
      </c>
      <c r="E875" t="inlineStr">
        <is>
          <t>RAGUNDA</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58194-2022</t>
        </is>
      </c>
      <c r="B876" s="1" t="n">
        <v>44900</v>
      </c>
      <c r="C876" s="1" t="n">
        <v>45360</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58193-2022</t>
        </is>
      </c>
      <c r="B877" s="1" t="n">
        <v>44900</v>
      </c>
      <c r="C877" s="1" t="n">
        <v>45360</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58442-2022</t>
        </is>
      </c>
      <c r="B878" s="1" t="n">
        <v>44901</v>
      </c>
      <c r="C878" s="1" t="n">
        <v>45360</v>
      </c>
      <c r="D878" t="inlineStr">
        <is>
          <t>JÄMTLANDS LÄN</t>
        </is>
      </c>
      <c r="E878" t="inlineStr">
        <is>
          <t>RAGUNDA</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58438-2022</t>
        </is>
      </c>
      <c r="B879" s="1" t="n">
        <v>44901</v>
      </c>
      <c r="C879" s="1" t="n">
        <v>45360</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58443-2022</t>
        </is>
      </c>
      <c r="B880" s="1" t="n">
        <v>44901</v>
      </c>
      <c r="C880" s="1" t="n">
        <v>45360</v>
      </c>
      <c r="D880" t="inlineStr">
        <is>
          <t>JÄMTLANDS LÄN</t>
        </is>
      </c>
      <c r="E880" t="inlineStr">
        <is>
          <t>RAGUNDA</t>
        </is>
      </c>
      <c r="F880" t="inlineStr">
        <is>
          <t>SCA</t>
        </is>
      </c>
      <c r="G880" t="n">
        <v>4.4</v>
      </c>
      <c r="H880" t="n">
        <v>0</v>
      </c>
      <c r="I880" t="n">
        <v>0</v>
      </c>
      <c r="J880" t="n">
        <v>0</v>
      </c>
      <c r="K880" t="n">
        <v>0</v>
      </c>
      <c r="L880" t="n">
        <v>0</v>
      </c>
      <c r="M880" t="n">
        <v>0</v>
      </c>
      <c r="N880" t="n">
        <v>0</v>
      </c>
      <c r="O880" t="n">
        <v>0</v>
      </c>
      <c r="P880" t="n">
        <v>0</v>
      </c>
      <c r="Q880" t="n">
        <v>0</v>
      </c>
      <c r="R880" s="2" t="inlineStr"/>
    </row>
    <row r="881" ht="15" customHeight="1">
      <c r="A881" t="inlineStr">
        <is>
          <t>A 60225-2022</t>
        </is>
      </c>
      <c r="B881" s="1" t="n">
        <v>44903</v>
      </c>
      <c r="C881" s="1" t="n">
        <v>45360</v>
      </c>
      <c r="D881" t="inlineStr">
        <is>
          <t>JÄMTLANDS LÄN</t>
        </is>
      </c>
      <c r="E881" t="inlineStr">
        <is>
          <t>RAGUNDA</t>
        </is>
      </c>
      <c r="G881" t="n">
        <v>1</v>
      </c>
      <c r="H881" t="n">
        <v>0</v>
      </c>
      <c r="I881" t="n">
        <v>0</v>
      </c>
      <c r="J881" t="n">
        <v>0</v>
      </c>
      <c r="K881" t="n">
        <v>0</v>
      </c>
      <c r="L881" t="n">
        <v>0</v>
      </c>
      <c r="M881" t="n">
        <v>0</v>
      </c>
      <c r="N881" t="n">
        <v>0</v>
      </c>
      <c r="O881" t="n">
        <v>0</v>
      </c>
      <c r="P881" t="n">
        <v>0</v>
      </c>
      <c r="Q881" t="n">
        <v>0</v>
      </c>
      <c r="R881" s="2" t="inlineStr"/>
    </row>
    <row r="882" ht="15" customHeight="1">
      <c r="A882" t="inlineStr">
        <is>
          <t>A 59044-2022</t>
        </is>
      </c>
      <c r="B882" s="1" t="n">
        <v>44903</v>
      </c>
      <c r="C882" s="1" t="n">
        <v>45360</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59368-2022</t>
        </is>
      </c>
      <c r="B883" s="1" t="n">
        <v>44904</v>
      </c>
      <c r="C883" s="1" t="n">
        <v>45360</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59911-2022</t>
        </is>
      </c>
      <c r="B884" s="1" t="n">
        <v>44909</v>
      </c>
      <c r="C884" s="1" t="n">
        <v>45360</v>
      </c>
      <c r="D884" t="inlineStr">
        <is>
          <t>JÄMTLANDS LÄN</t>
        </is>
      </c>
      <c r="E884" t="inlineStr">
        <is>
          <t>RAGUNDA</t>
        </is>
      </c>
      <c r="F884" t="inlineStr">
        <is>
          <t>SCA</t>
        </is>
      </c>
      <c r="G884" t="n">
        <v>17.1</v>
      </c>
      <c r="H884" t="n">
        <v>0</v>
      </c>
      <c r="I884" t="n">
        <v>0</v>
      </c>
      <c r="J884" t="n">
        <v>0</v>
      </c>
      <c r="K884" t="n">
        <v>0</v>
      </c>
      <c r="L884" t="n">
        <v>0</v>
      </c>
      <c r="M884" t="n">
        <v>0</v>
      </c>
      <c r="N884" t="n">
        <v>0</v>
      </c>
      <c r="O884" t="n">
        <v>0</v>
      </c>
      <c r="P884" t="n">
        <v>0</v>
      </c>
      <c r="Q884" t="n">
        <v>0</v>
      </c>
      <c r="R884" s="2" t="inlineStr"/>
    </row>
    <row r="885" ht="15" customHeight="1">
      <c r="A885" t="inlineStr">
        <is>
          <t>A 60177-2022</t>
        </is>
      </c>
      <c r="B885" s="1" t="n">
        <v>44909</v>
      </c>
      <c r="C885" s="1" t="n">
        <v>45360</v>
      </c>
      <c r="D885" t="inlineStr">
        <is>
          <t>JÄMTLANDS LÄN</t>
        </is>
      </c>
      <c r="E885" t="inlineStr">
        <is>
          <t>RAGUNDA</t>
        </is>
      </c>
      <c r="F885" t="inlineStr">
        <is>
          <t>SCA</t>
        </is>
      </c>
      <c r="G885" t="n">
        <v>17.9</v>
      </c>
      <c r="H885" t="n">
        <v>0</v>
      </c>
      <c r="I885" t="n">
        <v>0</v>
      </c>
      <c r="J885" t="n">
        <v>0</v>
      </c>
      <c r="K885" t="n">
        <v>0</v>
      </c>
      <c r="L885" t="n">
        <v>0</v>
      </c>
      <c r="M885" t="n">
        <v>0</v>
      </c>
      <c r="N885" t="n">
        <v>0</v>
      </c>
      <c r="O885" t="n">
        <v>0</v>
      </c>
      <c r="P885" t="n">
        <v>0</v>
      </c>
      <c r="Q885" t="n">
        <v>0</v>
      </c>
      <c r="R885" s="2" t="inlineStr"/>
    </row>
    <row r="886" ht="15" customHeight="1">
      <c r="A886" t="inlineStr">
        <is>
          <t>A 60660-2022</t>
        </is>
      </c>
      <c r="B886" s="1" t="n">
        <v>44911</v>
      </c>
      <c r="C886" s="1" t="n">
        <v>45360</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60659-2022</t>
        </is>
      </c>
      <c r="B887" s="1" t="n">
        <v>44911</v>
      </c>
      <c r="C887" s="1" t="n">
        <v>45360</v>
      </c>
      <c r="D887" t="inlineStr">
        <is>
          <t>JÄMTLANDS LÄN</t>
        </is>
      </c>
      <c r="E887" t="inlineStr">
        <is>
          <t>RAGUNDA</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60673-2022</t>
        </is>
      </c>
      <c r="B888" s="1" t="n">
        <v>44911</v>
      </c>
      <c r="C888" s="1" t="n">
        <v>45360</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60663-2022</t>
        </is>
      </c>
      <c r="B889" s="1" t="n">
        <v>44911</v>
      </c>
      <c r="C889" s="1" t="n">
        <v>45360</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60699-2022</t>
        </is>
      </c>
      <c r="B890" s="1" t="n">
        <v>44911</v>
      </c>
      <c r="C890" s="1" t="n">
        <v>45360</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60739-2022</t>
        </is>
      </c>
      <c r="B891" s="1" t="n">
        <v>44913</v>
      </c>
      <c r="C891" s="1" t="n">
        <v>45360</v>
      </c>
      <c r="D891" t="inlineStr">
        <is>
          <t>JÄMTLANDS LÄN</t>
        </is>
      </c>
      <c r="E891" t="inlineStr">
        <is>
          <t>RAGUNDA</t>
        </is>
      </c>
      <c r="F891" t="inlineStr">
        <is>
          <t>Naturvårdsverket</t>
        </is>
      </c>
      <c r="G891" t="n">
        <v>6.6</v>
      </c>
      <c r="H891" t="n">
        <v>0</v>
      </c>
      <c r="I891" t="n">
        <v>0</v>
      </c>
      <c r="J891" t="n">
        <v>0</v>
      </c>
      <c r="K891" t="n">
        <v>0</v>
      </c>
      <c r="L891" t="n">
        <v>0</v>
      </c>
      <c r="M891" t="n">
        <v>0</v>
      </c>
      <c r="N891" t="n">
        <v>0</v>
      </c>
      <c r="O891" t="n">
        <v>0</v>
      </c>
      <c r="P891" t="n">
        <v>0</v>
      </c>
      <c r="Q891" t="n">
        <v>0</v>
      </c>
      <c r="R891" s="2" t="inlineStr"/>
    </row>
    <row r="892" ht="15" customHeight="1">
      <c r="A892" t="inlineStr">
        <is>
          <t>A 62011-2022</t>
        </is>
      </c>
      <c r="B892" s="1" t="n">
        <v>44914</v>
      </c>
      <c r="C892" s="1" t="n">
        <v>45360</v>
      </c>
      <c r="D892" t="inlineStr">
        <is>
          <t>JÄMTLANDS LÄN</t>
        </is>
      </c>
      <c r="E892" t="inlineStr">
        <is>
          <t>RAGUNDA</t>
        </is>
      </c>
      <c r="G892" t="n">
        <v>0.3</v>
      </c>
      <c r="H892" t="n">
        <v>0</v>
      </c>
      <c r="I892" t="n">
        <v>0</v>
      </c>
      <c r="J892" t="n">
        <v>0</v>
      </c>
      <c r="K892" t="n">
        <v>0</v>
      </c>
      <c r="L892" t="n">
        <v>0</v>
      </c>
      <c r="M892" t="n">
        <v>0</v>
      </c>
      <c r="N892" t="n">
        <v>0</v>
      </c>
      <c r="O892" t="n">
        <v>0</v>
      </c>
      <c r="P892" t="n">
        <v>0</v>
      </c>
      <c r="Q892" t="n">
        <v>0</v>
      </c>
      <c r="R892" s="2" t="inlineStr"/>
    </row>
    <row r="893" ht="15" customHeight="1">
      <c r="A893" t="inlineStr">
        <is>
          <t>A 61045-2022</t>
        </is>
      </c>
      <c r="B893" s="1" t="n">
        <v>44914</v>
      </c>
      <c r="C893" s="1" t="n">
        <v>45360</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61080-2022</t>
        </is>
      </c>
      <c r="B894" s="1" t="n">
        <v>44915</v>
      </c>
      <c r="C894" s="1" t="n">
        <v>45360</v>
      </c>
      <c r="D894" t="inlineStr">
        <is>
          <t>JÄMTLANDS LÄN</t>
        </is>
      </c>
      <c r="E894" t="inlineStr">
        <is>
          <t>RAGUNDA</t>
        </is>
      </c>
      <c r="G894" t="n">
        <v>3.4</v>
      </c>
      <c r="H894" t="n">
        <v>0</v>
      </c>
      <c r="I894" t="n">
        <v>0</v>
      </c>
      <c r="J894" t="n">
        <v>0</v>
      </c>
      <c r="K894" t="n">
        <v>0</v>
      </c>
      <c r="L894" t="n">
        <v>0</v>
      </c>
      <c r="M894" t="n">
        <v>0</v>
      </c>
      <c r="N894" t="n">
        <v>0</v>
      </c>
      <c r="O894" t="n">
        <v>0</v>
      </c>
      <c r="P894" t="n">
        <v>0</v>
      </c>
      <c r="Q894" t="n">
        <v>0</v>
      </c>
      <c r="R894" s="2" t="inlineStr"/>
    </row>
    <row r="895" ht="15" customHeight="1">
      <c r="A895" t="inlineStr">
        <is>
          <t>A 61400-2022</t>
        </is>
      </c>
      <c r="B895" s="1" t="n">
        <v>44915</v>
      </c>
      <c r="C895" s="1" t="n">
        <v>45360</v>
      </c>
      <c r="D895" t="inlineStr">
        <is>
          <t>JÄMTLANDS LÄN</t>
        </is>
      </c>
      <c r="E895" t="inlineStr">
        <is>
          <t>RAGUNDA</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61401-2022</t>
        </is>
      </c>
      <c r="B896" s="1" t="n">
        <v>44915</v>
      </c>
      <c r="C896" s="1" t="n">
        <v>45360</v>
      </c>
      <c r="D896" t="inlineStr">
        <is>
          <t>JÄMTLANDS LÄN</t>
        </is>
      </c>
      <c r="E896" t="inlineStr">
        <is>
          <t>RAGUNDA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45360</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61934-2022</t>
        </is>
      </c>
      <c r="B898" s="1" t="n">
        <v>44917</v>
      </c>
      <c r="C898" s="1" t="n">
        <v>45360</v>
      </c>
      <c r="D898" t="inlineStr">
        <is>
          <t>JÄMTLANDS LÄN</t>
        </is>
      </c>
      <c r="E898" t="inlineStr">
        <is>
          <t>RAGUNDA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62081-2022</t>
        </is>
      </c>
      <c r="B899" s="1" t="n">
        <v>44918</v>
      </c>
      <c r="C899" s="1" t="n">
        <v>45360</v>
      </c>
      <c r="D899" t="inlineStr">
        <is>
          <t>JÄMTLANDS LÄN</t>
        </is>
      </c>
      <c r="E899" t="inlineStr">
        <is>
          <t>RAGUNDA</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182-2023</t>
        </is>
      </c>
      <c r="B900" s="1" t="n">
        <v>44922</v>
      </c>
      <c r="C900" s="1" t="n">
        <v>45360</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62407-2022</t>
        </is>
      </c>
      <c r="B901" s="1" t="n">
        <v>44923</v>
      </c>
      <c r="C901" s="1" t="n">
        <v>45360</v>
      </c>
      <c r="D901" t="inlineStr">
        <is>
          <t>JÄMTLANDS LÄN</t>
        </is>
      </c>
      <c r="E901" t="inlineStr">
        <is>
          <t>RAGUNDA</t>
        </is>
      </c>
      <c r="F901" t="inlineStr">
        <is>
          <t>SCA</t>
        </is>
      </c>
      <c r="G901" t="n">
        <v>53.6</v>
      </c>
      <c r="H901" t="n">
        <v>0</v>
      </c>
      <c r="I901" t="n">
        <v>0</v>
      </c>
      <c r="J901" t="n">
        <v>0</v>
      </c>
      <c r="K901" t="n">
        <v>0</v>
      </c>
      <c r="L901" t="n">
        <v>0</v>
      </c>
      <c r="M901" t="n">
        <v>0</v>
      </c>
      <c r="N901" t="n">
        <v>0</v>
      </c>
      <c r="O901" t="n">
        <v>0</v>
      </c>
      <c r="P901" t="n">
        <v>0</v>
      </c>
      <c r="Q901" t="n">
        <v>0</v>
      </c>
      <c r="R901" s="2" t="inlineStr"/>
    </row>
    <row r="902" ht="15" customHeight="1">
      <c r="A902" t="inlineStr">
        <is>
          <t>A 17-2023</t>
        </is>
      </c>
      <c r="B902" s="1" t="n">
        <v>44927</v>
      </c>
      <c r="C902" s="1" t="n">
        <v>45360</v>
      </c>
      <c r="D902" t="inlineStr">
        <is>
          <t>JÄMTLANDS LÄN</t>
        </is>
      </c>
      <c r="E902" t="inlineStr">
        <is>
          <t>RAGUNDA</t>
        </is>
      </c>
      <c r="F902" t="inlineStr">
        <is>
          <t>SCA</t>
        </is>
      </c>
      <c r="G902" t="n">
        <v>49.6</v>
      </c>
      <c r="H902" t="n">
        <v>0</v>
      </c>
      <c r="I902" t="n">
        <v>0</v>
      </c>
      <c r="J902" t="n">
        <v>0</v>
      </c>
      <c r="K902" t="n">
        <v>0</v>
      </c>
      <c r="L902" t="n">
        <v>0</v>
      </c>
      <c r="M902" t="n">
        <v>0</v>
      </c>
      <c r="N902" t="n">
        <v>0</v>
      </c>
      <c r="O902" t="n">
        <v>0</v>
      </c>
      <c r="P902" t="n">
        <v>0</v>
      </c>
      <c r="Q902" t="n">
        <v>0</v>
      </c>
      <c r="R902" s="2" t="inlineStr"/>
    </row>
    <row r="903" ht="15" customHeight="1">
      <c r="A903" t="inlineStr">
        <is>
          <t>A 462-2023</t>
        </is>
      </c>
      <c r="B903" s="1" t="n">
        <v>44929</v>
      </c>
      <c r="C903" s="1" t="n">
        <v>45360</v>
      </c>
      <c r="D903" t="inlineStr">
        <is>
          <t>JÄMTLANDS LÄN</t>
        </is>
      </c>
      <c r="E903" t="inlineStr">
        <is>
          <t>RAGUNDA</t>
        </is>
      </c>
      <c r="G903" t="n">
        <v>4.5</v>
      </c>
      <c r="H903" t="n">
        <v>0</v>
      </c>
      <c r="I903" t="n">
        <v>0</v>
      </c>
      <c r="J903" t="n">
        <v>0</v>
      </c>
      <c r="K903" t="n">
        <v>0</v>
      </c>
      <c r="L903" t="n">
        <v>0</v>
      </c>
      <c r="M903" t="n">
        <v>0</v>
      </c>
      <c r="N903" t="n">
        <v>0</v>
      </c>
      <c r="O903" t="n">
        <v>0</v>
      </c>
      <c r="P903" t="n">
        <v>0</v>
      </c>
      <c r="Q903" t="n">
        <v>0</v>
      </c>
      <c r="R903" s="2" t="inlineStr"/>
    </row>
    <row r="904" ht="15" customHeight="1">
      <c r="A904" t="inlineStr">
        <is>
          <t>A 467-2023</t>
        </is>
      </c>
      <c r="B904" s="1" t="n">
        <v>44929</v>
      </c>
      <c r="C904" s="1" t="n">
        <v>45360</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465-2023</t>
        </is>
      </c>
      <c r="B905" s="1" t="n">
        <v>44929</v>
      </c>
      <c r="C905" s="1" t="n">
        <v>45360</v>
      </c>
      <c r="D905" t="inlineStr">
        <is>
          <t>JÄMTLANDS LÄN</t>
        </is>
      </c>
      <c r="E905" t="inlineStr">
        <is>
          <t>RAGUNDA</t>
        </is>
      </c>
      <c r="G905" t="n">
        <v>0.8</v>
      </c>
      <c r="H905" t="n">
        <v>0</v>
      </c>
      <c r="I905" t="n">
        <v>0</v>
      </c>
      <c r="J905" t="n">
        <v>0</v>
      </c>
      <c r="K905" t="n">
        <v>0</v>
      </c>
      <c r="L905" t="n">
        <v>0</v>
      </c>
      <c r="M905" t="n">
        <v>0</v>
      </c>
      <c r="N905" t="n">
        <v>0</v>
      </c>
      <c r="O905" t="n">
        <v>0</v>
      </c>
      <c r="P905" t="n">
        <v>0</v>
      </c>
      <c r="Q905" t="n">
        <v>0</v>
      </c>
      <c r="R905" s="2" t="inlineStr"/>
    </row>
    <row r="906" ht="15" customHeight="1">
      <c r="A906" t="inlineStr">
        <is>
          <t>A 464-2023</t>
        </is>
      </c>
      <c r="B906" s="1" t="n">
        <v>44929</v>
      </c>
      <c r="C906" s="1" t="n">
        <v>45360</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719-2023</t>
        </is>
      </c>
      <c r="B907" s="1" t="n">
        <v>44930</v>
      </c>
      <c r="C907" s="1" t="n">
        <v>45360</v>
      </c>
      <c r="D907" t="inlineStr">
        <is>
          <t>JÄMTLANDS LÄN</t>
        </is>
      </c>
      <c r="E907" t="inlineStr">
        <is>
          <t>RAGUNDA</t>
        </is>
      </c>
      <c r="F907" t="inlineStr">
        <is>
          <t>SCA</t>
        </is>
      </c>
      <c r="G907" t="n">
        <v>10.7</v>
      </c>
      <c r="H907" t="n">
        <v>0</v>
      </c>
      <c r="I907" t="n">
        <v>0</v>
      </c>
      <c r="J907" t="n">
        <v>0</v>
      </c>
      <c r="K907" t="n">
        <v>0</v>
      </c>
      <c r="L907" t="n">
        <v>0</v>
      </c>
      <c r="M907" t="n">
        <v>0</v>
      </c>
      <c r="N907" t="n">
        <v>0</v>
      </c>
      <c r="O907" t="n">
        <v>0</v>
      </c>
      <c r="P907" t="n">
        <v>0</v>
      </c>
      <c r="Q907" t="n">
        <v>0</v>
      </c>
      <c r="R907" s="2" t="inlineStr"/>
    </row>
    <row r="908" ht="15" customHeight="1">
      <c r="A908" t="inlineStr">
        <is>
          <t>A 718-2023</t>
        </is>
      </c>
      <c r="B908" s="1" t="n">
        <v>44930</v>
      </c>
      <c r="C908" s="1" t="n">
        <v>45360</v>
      </c>
      <c r="D908" t="inlineStr">
        <is>
          <t>JÄMTLANDS LÄN</t>
        </is>
      </c>
      <c r="E908" t="inlineStr">
        <is>
          <t>RAGUNDA</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934-2023</t>
        </is>
      </c>
      <c r="B909" s="1" t="n">
        <v>44932</v>
      </c>
      <c r="C909" s="1" t="n">
        <v>45360</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1876-2023</t>
        </is>
      </c>
      <c r="B910" s="1" t="n">
        <v>44938</v>
      </c>
      <c r="C910" s="1" t="n">
        <v>45360</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1870-2023</t>
        </is>
      </c>
      <c r="B911" s="1" t="n">
        <v>44938</v>
      </c>
      <c r="C911" s="1" t="n">
        <v>45360</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1871-2023</t>
        </is>
      </c>
      <c r="B912" s="1" t="n">
        <v>44938</v>
      </c>
      <c r="C912" s="1" t="n">
        <v>45360</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1875-2023</t>
        </is>
      </c>
      <c r="B913" s="1" t="n">
        <v>44938</v>
      </c>
      <c r="C913" s="1" t="n">
        <v>45360</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2117-2023</t>
        </is>
      </c>
      <c r="B914" s="1" t="n">
        <v>44939</v>
      </c>
      <c r="C914" s="1" t="n">
        <v>45360</v>
      </c>
      <c r="D914" t="inlineStr">
        <is>
          <t>JÄMTLANDS LÄN</t>
        </is>
      </c>
      <c r="E914" t="inlineStr">
        <is>
          <t>RAGUNDA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2130-2023</t>
        </is>
      </c>
      <c r="B915" s="1" t="n">
        <v>44939</v>
      </c>
      <c r="C915" s="1" t="n">
        <v>45360</v>
      </c>
      <c r="D915" t="inlineStr">
        <is>
          <t>JÄMTLANDS LÄN</t>
        </is>
      </c>
      <c r="E915" t="inlineStr">
        <is>
          <t>RAGUNDA</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2127-2023</t>
        </is>
      </c>
      <c r="B916" s="1" t="n">
        <v>44939</v>
      </c>
      <c r="C916" s="1" t="n">
        <v>45360</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2133-2023</t>
        </is>
      </c>
      <c r="B917" s="1" t="n">
        <v>44939</v>
      </c>
      <c r="C917" s="1" t="n">
        <v>45360</v>
      </c>
      <c r="D917" t="inlineStr">
        <is>
          <t>JÄMTLANDS LÄN</t>
        </is>
      </c>
      <c r="E917" t="inlineStr">
        <is>
          <t>RAGUNDA</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2401-2023</t>
        </is>
      </c>
      <c r="B918" s="1" t="n">
        <v>44942</v>
      </c>
      <c r="C918" s="1" t="n">
        <v>45360</v>
      </c>
      <c r="D918" t="inlineStr">
        <is>
          <t>JÄMTLANDS LÄN</t>
        </is>
      </c>
      <c r="E918" t="inlineStr">
        <is>
          <t>RAGUNDA</t>
        </is>
      </c>
      <c r="G918" t="n">
        <v>6.3</v>
      </c>
      <c r="H918" t="n">
        <v>0</v>
      </c>
      <c r="I918" t="n">
        <v>0</v>
      </c>
      <c r="J918" t="n">
        <v>0</v>
      </c>
      <c r="K918" t="n">
        <v>0</v>
      </c>
      <c r="L918" t="n">
        <v>0</v>
      </c>
      <c r="M918" t="n">
        <v>0</v>
      </c>
      <c r="N918" t="n">
        <v>0</v>
      </c>
      <c r="O918" t="n">
        <v>0</v>
      </c>
      <c r="P918" t="n">
        <v>0</v>
      </c>
      <c r="Q918" t="n">
        <v>0</v>
      </c>
      <c r="R918" s="2" t="inlineStr"/>
    </row>
    <row r="919" ht="15" customHeight="1">
      <c r="A919" t="inlineStr">
        <is>
          <t>A 2411-2023</t>
        </is>
      </c>
      <c r="B919" s="1" t="n">
        <v>44942</v>
      </c>
      <c r="C919" s="1" t="n">
        <v>45360</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2402-2023</t>
        </is>
      </c>
      <c r="B920" s="1" t="n">
        <v>44942</v>
      </c>
      <c r="C920" s="1" t="n">
        <v>45360</v>
      </c>
      <c r="D920" t="inlineStr">
        <is>
          <t>JÄMTLANDS LÄN</t>
        </is>
      </c>
      <c r="E920" t="inlineStr">
        <is>
          <t>RAGUNDA</t>
        </is>
      </c>
      <c r="G920" t="n">
        <v>7.8</v>
      </c>
      <c r="H920" t="n">
        <v>0</v>
      </c>
      <c r="I920" t="n">
        <v>0</v>
      </c>
      <c r="J920" t="n">
        <v>0</v>
      </c>
      <c r="K920" t="n">
        <v>0</v>
      </c>
      <c r="L920" t="n">
        <v>0</v>
      </c>
      <c r="M920" t="n">
        <v>0</v>
      </c>
      <c r="N920" t="n">
        <v>0</v>
      </c>
      <c r="O920" t="n">
        <v>0</v>
      </c>
      <c r="P920" t="n">
        <v>0</v>
      </c>
      <c r="Q920" t="n">
        <v>0</v>
      </c>
      <c r="R920" s="2" t="inlineStr"/>
    </row>
    <row r="921" ht="15" customHeight="1">
      <c r="A921" t="inlineStr">
        <is>
          <t>A 2414-2023</t>
        </is>
      </c>
      <c r="B921" s="1" t="n">
        <v>44942</v>
      </c>
      <c r="C921" s="1" t="n">
        <v>45360</v>
      </c>
      <c r="D921" t="inlineStr">
        <is>
          <t>JÄMTLANDS LÄN</t>
        </is>
      </c>
      <c r="E921" t="inlineStr">
        <is>
          <t>RAGUNDA</t>
        </is>
      </c>
      <c r="F921" t="inlineStr">
        <is>
          <t>SCA</t>
        </is>
      </c>
      <c r="G921" t="n">
        <v>28.4</v>
      </c>
      <c r="H921" t="n">
        <v>0</v>
      </c>
      <c r="I921" t="n">
        <v>0</v>
      </c>
      <c r="J921" t="n">
        <v>0</v>
      </c>
      <c r="K921" t="n">
        <v>0</v>
      </c>
      <c r="L921" t="n">
        <v>0</v>
      </c>
      <c r="M921" t="n">
        <v>0</v>
      </c>
      <c r="N921" t="n">
        <v>0</v>
      </c>
      <c r="O921" t="n">
        <v>0</v>
      </c>
      <c r="P921" t="n">
        <v>0</v>
      </c>
      <c r="Q921" t="n">
        <v>0</v>
      </c>
      <c r="R921" s="2" t="inlineStr"/>
    </row>
    <row r="922" ht="15" customHeight="1">
      <c r="A922" t="inlineStr">
        <is>
          <t>A 2599-2023</t>
        </is>
      </c>
      <c r="B922" s="1" t="n">
        <v>44943</v>
      </c>
      <c r="C922" s="1" t="n">
        <v>45360</v>
      </c>
      <c r="D922" t="inlineStr">
        <is>
          <t>JÄMTLANDS LÄN</t>
        </is>
      </c>
      <c r="E922" t="inlineStr">
        <is>
          <t>RAGUNDA</t>
        </is>
      </c>
      <c r="F922" t="inlineStr">
        <is>
          <t>SCA</t>
        </is>
      </c>
      <c r="G922" t="n">
        <v>5.9</v>
      </c>
      <c r="H922" t="n">
        <v>0</v>
      </c>
      <c r="I922" t="n">
        <v>0</v>
      </c>
      <c r="J922" t="n">
        <v>0</v>
      </c>
      <c r="K922" t="n">
        <v>0</v>
      </c>
      <c r="L922" t="n">
        <v>0</v>
      </c>
      <c r="M922" t="n">
        <v>0</v>
      </c>
      <c r="N922" t="n">
        <v>0</v>
      </c>
      <c r="O922" t="n">
        <v>0</v>
      </c>
      <c r="P922" t="n">
        <v>0</v>
      </c>
      <c r="Q922" t="n">
        <v>0</v>
      </c>
      <c r="R922" s="2" t="inlineStr"/>
    </row>
    <row r="923" ht="15" customHeight="1">
      <c r="A923" t="inlineStr">
        <is>
          <t>A 2600-2023</t>
        </is>
      </c>
      <c r="B923" s="1" t="n">
        <v>44943</v>
      </c>
      <c r="C923" s="1" t="n">
        <v>45360</v>
      </c>
      <c r="D923" t="inlineStr">
        <is>
          <t>JÄMTLANDS LÄN</t>
        </is>
      </c>
      <c r="E923" t="inlineStr">
        <is>
          <t>RAGUNDA</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2819-2023</t>
        </is>
      </c>
      <c r="B924" s="1" t="n">
        <v>44944</v>
      </c>
      <c r="C924" s="1" t="n">
        <v>45360</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3034-2023</t>
        </is>
      </c>
      <c r="B925" s="1" t="n">
        <v>44945</v>
      </c>
      <c r="C925" s="1" t="n">
        <v>45360</v>
      </c>
      <c r="D925" t="inlineStr">
        <is>
          <t>JÄMTLANDS LÄN</t>
        </is>
      </c>
      <c r="E925" t="inlineStr">
        <is>
          <t>RAGUNDA</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3242-2023</t>
        </is>
      </c>
      <c r="B926" s="1" t="n">
        <v>44946</v>
      </c>
      <c r="C926" s="1" t="n">
        <v>45360</v>
      </c>
      <c r="D926" t="inlineStr">
        <is>
          <t>JÄMTLANDS LÄN</t>
        </is>
      </c>
      <c r="E926" t="inlineStr">
        <is>
          <t>RAGUNDA</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3243-2023</t>
        </is>
      </c>
      <c r="B927" s="1" t="n">
        <v>44946</v>
      </c>
      <c r="C927" s="1" t="n">
        <v>45360</v>
      </c>
      <c r="D927" t="inlineStr">
        <is>
          <t>JÄMTLANDS LÄN</t>
        </is>
      </c>
      <c r="E927" t="inlineStr">
        <is>
          <t>RAGUNDA</t>
        </is>
      </c>
      <c r="F927" t="inlineStr">
        <is>
          <t>SCA</t>
        </is>
      </c>
      <c r="G927" t="n">
        <v>11.2</v>
      </c>
      <c r="H927" t="n">
        <v>0</v>
      </c>
      <c r="I927" t="n">
        <v>0</v>
      </c>
      <c r="J927" t="n">
        <v>0</v>
      </c>
      <c r="K927" t="n">
        <v>0</v>
      </c>
      <c r="L927" t="n">
        <v>0</v>
      </c>
      <c r="M927" t="n">
        <v>0</v>
      </c>
      <c r="N927" t="n">
        <v>0</v>
      </c>
      <c r="O927" t="n">
        <v>0</v>
      </c>
      <c r="P927" t="n">
        <v>0</v>
      </c>
      <c r="Q927" t="n">
        <v>0</v>
      </c>
      <c r="R927" s="2" t="inlineStr"/>
    </row>
    <row r="928" ht="15" customHeight="1">
      <c r="A928" t="inlineStr">
        <is>
          <t>A 4348-2023</t>
        </is>
      </c>
      <c r="B928" s="1" t="n">
        <v>44953</v>
      </c>
      <c r="C928" s="1" t="n">
        <v>45360</v>
      </c>
      <c r="D928" t="inlineStr">
        <is>
          <t>JÄMTLANDS LÄN</t>
        </is>
      </c>
      <c r="E928" t="inlineStr">
        <is>
          <t>RAGUNDA</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4346-2023</t>
        </is>
      </c>
      <c r="B929" s="1" t="n">
        <v>44954</v>
      </c>
      <c r="C929" s="1" t="n">
        <v>45360</v>
      </c>
      <c r="D929" t="inlineStr">
        <is>
          <t>JÄMTLANDS LÄN</t>
        </is>
      </c>
      <c r="E929" t="inlineStr">
        <is>
          <t>RAGUNDA</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4350-2023</t>
        </is>
      </c>
      <c r="B930" s="1" t="n">
        <v>44953</v>
      </c>
      <c r="C930" s="1" t="n">
        <v>45360</v>
      </c>
      <c r="D930" t="inlineStr">
        <is>
          <t>JÄMTLANDS LÄN</t>
        </is>
      </c>
      <c r="E930" t="inlineStr">
        <is>
          <t>RAGUNDA</t>
        </is>
      </c>
      <c r="F930" t="inlineStr">
        <is>
          <t>Naturvårdsverket</t>
        </is>
      </c>
      <c r="G930" t="n">
        <v>10.4</v>
      </c>
      <c r="H930" t="n">
        <v>0</v>
      </c>
      <c r="I930" t="n">
        <v>0</v>
      </c>
      <c r="J930" t="n">
        <v>0</v>
      </c>
      <c r="K930" t="n">
        <v>0</v>
      </c>
      <c r="L930" t="n">
        <v>0</v>
      </c>
      <c r="M930" t="n">
        <v>0</v>
      </c>
      <c r="N930" t="n">
        <v>0</v>
      </c>
      <c r="O930" t="n">
        <v>0</v>
      </c>
      <c r="P930" t="n">
        <v>0</v>
      </c>
      <c r="Q930" t="n">
        <v>0</v>
      </c>
      <c r="R930" s="2" t="inlineStr"/>
    </row>
    <row r="931" ht="15" customHeight="1">
      <c r="A931" t="inlineStr">
        <is>
          <t>A 4349-2023</t>
        </is>
      </c>
      <c r="B931" s="1" t="n">
        <v>44954</v>
      </c>
      <c r="C931" s="1" t="n">
        <v>45360</v>
      </c>
      <c r="D931" t="inlineStr">
        <is>
          <t>JÄMTLANDS LÄN</t>
        </is>
      </c>
      <c r="E931" t="inlineStr">
        <is>
          <t>RAGUNDA</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4622-2023</t>
        </is>
      </c>
      <c r="B932" s="1" t="n">
        <v>44956</v>
      </c>
      <c r="C932" s="1" t="n">
        <v>45360</v>
      </c>
      <c r="D932" t="inlineStr">
        <is>
          <t>JÄMTLANDS LÄN</t>
        </is>
      </c>
      <c r="E932" t="inlineStr">
        <is>
          <t>RAGUNDA</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4620-2023</t>
        </is>
      </c>
      <c r="B933" s="1" t="n">
        <v>44956</v>
      </c>
      <c r="C933" s="1" t="n">
        <v>45360</v>
      </c>
      <c r="D933" t="inlineStr">
        <is>
          <t>JÄMTLANDS LÄN</t>
        </is>
      </c>
      <c r="E933" t="inlineStr">
        <is>
          <t>RAGUNDA</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4615-2023</t>
        </is>
      </c>
      <c r="B934" s="1" t="n">
        <v>44956</v>
      </c>
      <c r="C934" s="1" t="n">
        <v>45360</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4882-2023</t>
        </is>
      </c>
      <c r="B935" s="1" t="n">
        <v>44957</v>
      </c>
      <c r="C935" s="1" t="n">
        <v>45360</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4874-2023</t>
        </is>
      </c>
      <c r="B936" s="1" t="n">
        <v>44957</v>
      </c>
      <c r="C936" s="1" t="n">
        <v>45360</v>
      </c>
      <c r="D936" t="inlineStr">
        <is>
          <t>JÄMTLANDS LÄN</t>
        </is>
      </c>
      <c r="E936" t="inlineStr">
        <is>
          <t>RAGUNDA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4879-2023</t>
        </is>
      </c>
      <c r="B937" s="1" t="n">
        <v>44957</v>
      </c>
      <c r="C937" s="1" t="n">
        <v>45360</v>
      </c>
      <c r="D937" t="inlineStr">
        <is>
          <t>JÄMTLANDS LÄN</t>
        </is>
      </c>
      <c r="E937" t="inlineStr">
        <is>
          <t>RAGUNDA</t>
        </is>
      </c>
      <c r="F937" t="inlineStr">
        <is>
          <t>SCA</t>
        </is>
      </c>
      <c r="G937" t="n">
        <v>17.4</v>
      </c>
      <c r="H937" t="n">
        <v>0</v>
      </c>
      <c r="I937" t="n">
        <v>0</v>
      </c>
      <c r="J937" t="n">
        <v>0</v>
      </c>
      <c r="K937" t="n">
        <v>0</v>
      </c>
      <c r="L937" t="n">
        <v>0</v>
      </c>
      <c r="M937" t="n">
        <v>0</v>
      </c>
      <c r="N937" t="n">
        <v>0</v>
      </c>
      <c r="O937" t="n">
        <v>0</v>
      </c>
      <c r="P937" t="n">
        <v>0</v>
      </c>
      <c r="Q937" t="n">
        <v>0</v>
      </c>
      <c r="R937" s="2" t="inlineStr"/>
    </row>
    <row r="938" ht="15" customHeight="1">
      <c r="A938" t="inlineStr">
        <is>
          <t>A 5163-2023</t>
        </is>
      </c>
      <c r="B938" s="1" t="n">
        <v>44958</v>
      </c>
      <c r="C938" s="1" t="n">
        <v>45360</v>
      </c>
      <c r="D938" t="inlineStr">
        <is>
          <t>JÄMTLANDS LÄN</t>
        </is>
      </c>
      <c r="E938" t="inlineStr">
        <is>
          <t>RAGUNDA</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5815-2023</t>
        </is>
      </c>
      <c r="B939" s="1" t="n">
        <v>44958</v>
      </c>
      <c r="C939" s="1" t="n">
        <v>45360</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5148-2023</t>
        </is>
      </c>
      <c r="B940" s="1" t="n">
        <v>44958</v>
      </c>
      <c r="C940" s="1" t="n">
        <v>45360</v>
      </c>
      <c r="D940" t="inlineStr">
        <is>
          <t>JÄMTLANDS LÄN</t>
        </is>
      </c>
      <c r="E940" t="inlineStr">
        <is>
          <t>RAGUNDA</t>
        </is>
      </c>
      <c r="G940" t="n">
        <v>2.9</v>
      </c>
      <c r="H940" t="n">
        <v>0</v>
      </c>
      <c r="I940" t="n">
        <v>0</v>
      </c>
      <c r="J940" t="n">
        <v>0</v>
      </c>
      <c r="K940" t="n">
        <v>0</v>
      </c>
      <c r="L940" t="n">
        <v>0</v>
      </c>
      <c r="M940" t="n">
        <v>0</v>
      </c>
      <c r="N940" t="n">
        <v>0</v>
      </c>
      <c r="O940" t="n">
        <v>0</v>
      </c>
      <c r="P940" t="n">
        <v>0</v>
      </c>
      <c r="Q940" t="n">
        <v>0</v>
      </c>
      <c r="R940" s="2" t="inlineStr"/>
    </row>
    <row r="941" ht="15" customHeight="1">
      <c r="A941" t="inlineStr">
        <is>
          <t>A 5164-2023</t>
        </is>
      </c>
      <c r="B941" s="1" t="n">
        <v>44958</v>
      </c>
      <c r="C941" s="1" t="n">
        <v>45360</v>
      </c>
      <c r="D941" t="inlineStr">
        <is>
          <t>JÄMTLANDS LÄN</t>
        </is>
      </c>
      <c r="E941" t="inlineStr">
        <is>
          <t>RAGUNDA</t>
        </is>
      </c>
      <c r="F941" t="inlineStr">
        <is>
          <t>SCA</t>
        </is>
      </c>
      <c r="G941" t="n">
        <v>9.5</v>
      </c>
      <c r="H941" t="n">
        <v>0</v>
      </c>
      <c r="I941" t="n">
        <v>0</v>
      </c>
      <c r="J941" t="n">
        <v>0</v>
      </c>
      <c r="K941" t="n">
        <v>0</v>
      </c>
      <c r="L941" t="n">
        <v>0</v>
      </c>
      <c r="M941" t="n">
        <v>0</v>
      </c>
      <c r="N941" t="n">
        <v>0</v>
      </c>
      <c r="O941" t="n">
        <v>0</v>
      </c>
      <c r="P941" t="n">
        <v>0</v>
      </c>
      <c r="Q941" t="n">
        <v>0</v>
      </c>
      <c r="R941" s="2" t="inlineStr"/>
    </row>
    <row r="942" ht="15" customHeight="1">
      <c r="A942" t="inlineStr">
        <is>
          <t>A 5175-2023</t>
        </is>
      </c>
      <c r="B942" s="1" t="n">
        <v>44958</v>
      </c>
      <c r="C942" s="1" t="n">
        <v>45360</v>
      </c>
      <c r="D942" t="inlineStr">
        <is>
          <t>JÄMTLANDS LÄN</t>
        </is>
      </c>
      <c r="E942" t="inlineStr">
        <is>
          <t>RAGUNDA</t>
        </is>
      </c>
      <c r="F942" t="inlineStr">
        <is>
          <t>SCA</t>
        </is>
      </c>
      <c r="G942" t="n">
        <v>17.9</v>
      </c>
      <c r="H942" t="n">
        <v>0</v>
      </c>
      <c r="I942" t="n">
        <v>0</v>
      </c>
      <c r="J942" t="n">
        <v>0</v>
      </c>
      <c r="K942" t="n">
        <v>0</v>
      </c>
      <c r="L942" t="n">
        <v>0</v>
      </c>
      <c r="M942" t="n">
        <v>0</v>
      </c>
      <c r="N942" t="n">
        <v>0</v>
      </c>
      <c r="O942" t="n">
        <v>0</v>
      </c>
      <c r="P942" t="n">
        <v>0</v>
      </c>
      <c r="Q942" t="n">
        <v>0</v>
      </c>
      <c r="R942" s="2" t="inlineStr"/>
    </row>
    <row r="943" ht="15" customHeight="1">
      <c r="A943" t="inlineStr">
        <is>
          <t>A 5439-2023</t>
        </is>
      </c>
      <c r="B943" s="1" t="n">
        <v>44959</v>
      </c>
      <c r="C943" s="1" t="n">
        <v>45360</v>
      </c>
      <c r="D943" t="inlineStr">
        <is>
          <t>JÄMTLANDS LÄN</t>
        </is>
      </c>
      <c r="E943" t="inlineStr">
        <is>
          <t>RAGUNDA</t>
        </is>
      </c>
      <c r="G943" t="n">
        <v>4.3</v>
      </c>
      <c r="H943" t="n">
        <v>0</v>
      </c>
      <c r="I943" t="n">
        <v>0</v>
      </c>
      <c r="J943" t="n">
        <v>0</v>
      </c>
      <c r="K943" t="n">
        <v>0</v>
      </c>
      <c r="L943" t="n">
        <v>0</v>
      </c>
      <c r="M943" t="n">
        <v>0</v>
      </c>
      <c r="N943" t="n">
        <v>0</v>
      </c>
      <c r="O943" t="n">
        <v>0</v>
      </c>
      <c r="P943" t="n">
        <v>0</v>
      </c>
      <c r="Q943" t="n">
        <v>0</v>
      </c>
      <c r="R943" s="2" t="inlineStr"/>
    </row>
    <row r="944" ht="15" customHeight="1">
      <c r="A944" t="inlineStr">
        <is>
          <t>A 5711-2023</t>
        </is>
      </c>
      <c r="B944" s="1" t="n">
        <v>44960</v>
      </c>
      <c r="C944" s="1" t="n">
        <v>45360</v>
      </c>
      <c r="D944" t="inlineStr">
        <is>
          <t>JÄMTLANDS LÄN</t>
        </is>
      </c>
      <c r="E944" t="inlineStr">
        <is>
          <t>RAGUNDA</t>
        </is>
      </c>
      <c r="F944" t="inlineStr">
        <is>
          <t>SCA</t>
        </is>
      </c>
      <c r="G944" t="n">
        <v>15.4</v>
      </c>
      <c r="H944" t="n">
        <v>0</v>
      </c>
      <c r="I944" t="n">
        <v>0</v>
      </c>
      <c r="J944" t="n">
        <v>0</v>
      </c>
      <c r="K944" t="n">
        <v>0</v>
      </c>
      <c r="L944" t="n">
        <v>0</v>
      </c>
      <c r="M944" t="n">
        <v>0</v>
      </c>
      <c r="N944" t="n">
        <v>0</v>
      </c>
      <c r="O944" t="n">
        <v>0</v>
      </c>
      <c r="P944" t="n">
        <v>0</v>
      </c>
      <c r="Q944" t="n">
        <v>0</v>
      </c>
      <c r="R944" s="2" t="inlineStr"/>
    </row>
    <row r="945" ht="15" customHeight="1">
      <c r="A945" t="inlineStr">
        <is>
          <t>A 5958-2023</t>
        </is>
      </c>
      <c r="B945" s="1" t="n">
        <v>44963</v>
      </c>
      <c r="C945" s="1" t="n">
        <v>45360</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6586-2023</t>
        </is>
      </c>
      <c r="B946" s="1" t="n">
        <v>44963</v>
      </c>
      <c r="C946" s="1" t="n">
        <v>45360</v>
      </c>
      <c r="D946" t="inlineStr">
        <is>
          <t>JÄMTLANDS LÄN</t>
        </is>
      </c>
      <c r="E946" t="inlineStr">
        <is>
          <t>RAGUNDA</t>
        </is>
      </c>
      <c r="G946" t="n">
        <v>6.9</v>
      </c>
      <c r="H946" t="n">
        <v>0</v>
      </c>
      <c r="I946" t="n">
        <v>0</v>
      </c>
      <c r="J946" t="n">
        <v>0</v>
      </c>
      <c r="K946" t="n">
        <v>0</v>
      </c>
      <c r="L946" t="n">
        <v>0</v>
      </c>
      <c r="M946" t="n">
        <v>0</v>
      </c>
      <c r="N946" t="n">
        <v>0</v>
      </c>
      <c r="O946" t="n">
        <v>0</v>
      </c>
      <c r="P946" t="n">
        <v>0</v>
      </c>
      <c r="Q946" t="n">
        <v>0</v>
      </c>
      <c r="R946" s="2" t="inlineStr"/>
    </row>
    <row r="947" ht="15" customHeight="1">
      <c r="A947" t="inlineStr">
        <is>
          <t>A 6467-2023</t>
        </is>
      </c>
      <c r="B947" s="1" t="n">
        <v>44965</v>
      </c>
      <c r="C947" s="1" t="n">
        <v>45360</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6470-2023</t>
        </is>
      </c>
      <c r="B948" s="1" t="n">
        <v>44965</v>
      </c>
      <c r="C948" s="1" t="n">
        <v>45360</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6801-2023</t>
        </is>
      </c>
      <c r="B949" s="1" t="n">
        <v>44966</v>
      </c>
      <c r="C949" s="1" t="n">
        <v>45360</v>
      </c>
      <c r="D949" t="inlineStr">
        <is>
          <t>JÄMTLANDS LÄN</t>
        </is>
      </c>
      <c r="E949" t="inlineStr">
        <is>
          <t>RAGUNDA</t>
        </is>
      </c>
      <c r="F949" t="inlineStr">
        <is>
          <t>SCA</t>
        </is>
      </c>
      <c r="G949" t="n">
        <v>10.6</v>
      </c>
      <c r="H949" t="n">
        <v>0</v>
      </c>
      <c r="I949" t="n">
        <v>0</v>
      </c>
      <c r="J949" t="n">
        <v>0</v>
      </c>
      <c r="K949" t="n">
        <v>0</v>
      </c>
      <c r="L949" t="n">
        <v>0</v>
      </c>
      <c r="M949" t="n">
        <v>0</v>
      </c>
      <c r="N949" t="n">
        <v>0</v>
      </c>
      <c r="O949" t="n">
        <v>0</v>
      </c>
      <c r="P949" t="n">
        <v>0</v>
      </c>
      <c r="Q949" t="n">
        <v>0</v>
      </c>
      <c r="R949" s="2" t="inlineStr"/>
    </row>
    <row r="950" ht="15" customHeight="1">
      <c r="A950" t="inlineStr">
        <is>
          <t>A 6802-2023</t>
        </is>
      </c>
      <c r="B950" s="1" t="n">
        <v>44966</v>
      </c>
      <c r="C950" s="1" t="n">
        <v>45360</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6800-2023</t>
        </is>
      </c>
      <c r="B951" s="1" t="n">
        <v>44966</v>
      </c>
      <c r="C951" s="1" t="n">
        <v>45360</v>
      </c>
      <c r="D951" t="inlineStr">
        <is>
          <t>JÄMTLANDS LÄN</t>
        </is>
      </c>
      <c r="E951" t="inlineStr">
        <is>
          <t>RAGUNDA</t>
        </is>
      </c>
      <c r="F951" t="inlineStr">
        <is>
          <t>SCA</t>
        </is>
      </c>
      <c r="G951" t="n">
        <v>5.6</v>
      </c>
      <c r="H951" t="n">
        <v>0</v>
      </c>
      <c r="I951" t="n">
        <v>0</v>
      </c>
      <c r="J951" t="n">
        <v>0</v>
      </c>
      <c r="K951" t="n">
        <v>0</v>
      </c>
      <c r="L951" t="n">
        <v>0</v>
      </c>
      <c r="M951" t="n">
        <v>0</v>
      </c>
      <c r="N951" t="n">
        <v>0</v>
      </c>
      <c r="O951" t="n">
        <v>0</v>
      </c>
      <c r="P951" t="n">
        <v>0</v>
      </c>
      <c r="Q951" t="n">
        <v>0</v>
      </c>
      <c r="R951" s="2" t="inlineStr"/>
    </row>
    <row r="952" ht="15" customHeight="1">
      <c r="A952" t="inlineStr">
        <is>
          <t>A 7019-2023</t>
        </is>
      </c>
      <c r="B952" s="1" t="n">
        <v>44968</v>
      </c>
      <c r="C952" s="1" t="n">
        <v>45360</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7021-2023</t>
        </is>
      </c>
      <c r="B953" s="1" t="n">
        <v>44967</v>
      </c>
      <c r="C953" s="1" t="n">
        <v>45360</v>
      </c>
      <c r="D953" t="inlineStr">
        <is>
          <t>JÄMTLANDS LÄN</t>
        </is>
      </c>
      <c r="E953" t="inlineStr">
        <is>
          <t>RAGUNDA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7520-2023</t>
        </is>
      </c>
      <c r="B954" s="1" t="n">
        <v>44971</v>
      </c>
      <c r="C954" s="1" t="n">
        <v>45360</v>
      </c>
      <c r="D954" t="inlineStr">
        <is>
          <t>JÄMTLANDS LÄN</t>
        </is>
      </c>
      <c r="E954" t="inlineStr">
        <is>
          <t>RAGUNDA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7521-2023</t>
        </is>
      </c>
      <c r="B955" s="1" t="n">
        <v>44972</v>
      </c>
      <c r="C955" s="1" t="n">
        <v>45360</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7722-2023</t>
        </is>
      </c>
      <c r="B956" s="1" t="n">
        <v>44972</v>
      </c>
      <c r="C956" s="1" t="n">
        <v>45360</v>
      </c>
      <c r="D956" t="inlineStr">
        <is>
          <t>JÄMTLANDS LÄN</t>
        </is>
      </c>
      <c r="E956" t="inlineStr">
        <is>
          <t>RAGUNDA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8416-2023</t>
        </is>
      </c>
      <c r="B957" s="1" t="n">
        <v>44977</v>
      </c>
      <c r="C957" s="1" t="n">
        <v>45360</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8403-2023</t>
        </is>
      </c>
      <c r="B958" s="1" t="n">
        <v>44977</v>
      </c>
      <c r="C958" s="1" t="n">
        <v>45360</v>
      </c>
      <c r="D958" t="inlineStr">
        <is>
          <t>JÄMTLANDS LÄN</t>
        </is>
      </c>
      <c r="E958" t="inlineStr">
        <is>
          <t>RAGUNDA</t>
        </is>
      </c>
      <c r="G958" t="n">
        <v>0.7</v>
      </c>
      <c r="H958" t="n">
        <v>0</v>
      </c>
      <c r="I958" t="n">
        <v>0</v>
      </c>
      <c r="J958" t="n">
        <v>0</v>
      </c>
      <c r="K958" t="n">
        <v>0</v>
      </c>
      <c r="L958" t="n">
        <v>0</v>
      </c>
      <c r="M958" t="n">
        <v>0</v>
      </c>
      <c r="N958" t="n">
        <v>0</v>
      </c>
      <c r="O958" t="n">
        <v>0</v>
      </c>
      <c r="P958" t="n">
        <v>0</v>
      </c>
      <c r="Q958" t="n">
        <v>0</v>
      </c>
      <c r="R958" s="2" t="inlineStr"/>
    </row>
    <row r="959" ht="15" customHeight="1">
      <c r="A959" t="inlineStr">
        <is>
          <t>A 8678-2023</t>
        </is>
      </c>
      <c r="B959" s="1" t="n">
        <v>44978</v>
      </c>
      <c r="C959" s="1" t="n">
        <v>45360</v>
      </c>
      <c r="D959" t="inlineStr">
        <is>
          <t>JÄMTLANDS LÄN</t>
        </is>
      </c>
      <c r="E959" t="inlineStr">
        <is>
          <t>RAGUNDA</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8679-2023</t>
        </is>
      </c>
      <c r="B960" s="1" t="n">
        <v>44978</v>
      </c>
      <c r="C960" s="1" t="n">
        <v>45360</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8877-2023</t>
        </is>
      </c>
      <c r="B961" s="1" t="n">
        <v>44978</v>
      </c>
      <c r="C961" s="1" t="n">
        <v>45360</v>
      </c>
      <c r="D961" t="inlineStr">
        <is>
          <t>JÄMTLANDS LÄN</t>
        </is>
      </c>
      <c r="E961" t="inlineStr">
        <is>
          <t>RAGUNDA</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8878-2023</t>
        </is>
      </c>
      <c r="B962" s="1" t="n">
        <v>44978</v>
      </c>
      <c r="C962" s="1" t="n">
        <v>45360</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8876-2023</t>
        </is>
      </c>
      <c r="B963" s="1" t="n">
        <v>44978</v>
      </c>
      <c r="C963" s="1" t="n">
        <v>45360</v>
      </c>
      <c r="D963" t="inlineStr">
        <is>
          <t>JÄMTLANDS LÄN</t>
        </is>
      </c>
      <c r="E963" t="inlineStr">
        <is>
          <t>RAGUNDA</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9084-2023</t>
        </is>
      </c>
      <c r="B964" s="1" t="n">
        <v>44979</v>
      </c>
      <c r="C964" s="1" t="n">
        <v>45360</v>
      </c>
      <c r="D964" t="inlineStr">
        <is>
          <t>JÄMTLANDS LÄN</t>
        </is>
      </c>
      <c r="E964" t="inlineStr">
        <is>
          <t>RAGUNDA</t>
        </is>
      </c>
      <c r="G964" t="n">
        <v>1.9</v>
      </c>
      <c r="H964" t="n">
        <v>0</v>
      </c>
      <c r="I964" t="n">
        <v>0</v>
      </c>
      <c r="J964" t="n">
        <v>0</v>
      </c>
      <c r="K964" t="n">
        <v>0</v>
      </c>
      <c r="L964" t="n">
        <v>0</v>
      </c>
      <c r="M964" t="n">
        <v>0</v>
      </c>
      <c r="N964" t="n">
        <v>0</v>
      </c>
      <c r="O964" t="n">
        <v>0</v>
      </c>
      <c r="P964" t="n">
        <v>0</v>
      </c>
      <c r="Q964" t="n">
        <v>0</v>
      </c>
      <c r="R964" s="2" t="inlineStr"/>
    </row>
    <row r="965" ht="15" customHeight="1">
      <c r="A965" t="inlineStr">
        <is>
          <t>A 9082-2023</t>
        </is>
      </c>
      <c r="B965" s="1" t="n">
        <v>44979</v>
      </c>
      <c r="C965" s="1" t="n">
        <v>45360</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9100-2023</t>
        </is>
      </c>
      <c r="B966" s="1" t="n">
        <v>44979</v>
      </c>
      <c r="C966" s="1" t="n">
        <v>45360</v>
      </c>
      <c r="D966" t="inlineStr">
        <is>
          <t>JÄMTLANDS LÄN</t>
        </is>
      </c>
      <c r="E966" t="inlineStr">
        <is>
          <t>RAGUNDA</t>
        </is>
      </c>
      <c r="F966" t="inlineStr">
        <is>
          <t>SCA</t>
        </is>
      </c>
      <c r="G966" t="n">
        <v>6.7</v>
      </c>
      <c r="H966" t="n">
        <v>0</v>
      </c>
      <c r="I966" t="n">
        <v>0</v>
      </c>
      <c r="J966" t="n">
        <v>0</v>
      </c>
      <c r="K966" t="n">
        <v>0</v>
      </c>
      <c r="L966" t="n">
        <v>0</v>
      </c>
      <c r="M966" t="n">
        <v>0</v>
      </c>
      <c r="N966" t="n">
        <v>0</v>
      </c>
      <c r="O966" t="n">
        <v>0</v>
      </c>
      <c r="P966" t="n">
        <v>0</v>
      </c>
      <c r="Q966" t="n">
        <v>0</v>
      </c>
      <c r="R966" s="2" t="inlineStr"/>
    </row>
    <row r="967" ht="15" customHeight="1">
      <c r="A967" t="inlineStr">
        <is>
          <t>A 9094-2023</t>
        </is>
      </c>
      <c r="B967" s="1" t="n">
        <v>44979</v>
      </c>
      <c r="C967" s="1" t="n">
        <v>45360</v>
      </c>
      <c r="D967" t="inlineStr">
        <is>
          <t>JÄMTLANDS LÄN</t>
        </is>
      </c>
      <c r="E967" t="inlineStr">
        <is>
          <t>RAGUNDA</t>
        </is>
      </c>
      <c r="F967" t="inlineStr">
        <is>
          <t>SCA</t>
        </is>
      </c>
      <c r="G967" t="n">
        <v>28.2</v>
      </c>
      <c r="H967" t="n">
        <v>0</v>
      </c>
      <c r="I967" t="n">
        <v>0</v>
      </c>
      <c r="J967" t="n">
        <v>0</v>
      </c>
      <c r="K967" t="n">
        <v>0</v>
      </c>
      <c r="L967" t="n">
        <v>0</v>
      </c>
      <c r="M967" t="n">
        <v>0</v>
      </c>
      <c r="N967" t="n">
        <v>0</v>
      </c>
      <c r="O967" t="n">
        <v>0</v>
      </c>
      <c r="P967" t="n">
        <v>0</v>
      </c>
      <c r="Q967" t="n">
        <v>0</v>
      </c>
      <c r="R967" s="2" t="inlineStr"/>
    </row>
    <row r="968" ht="15" customHeight="1">
      <c r="A968" t="inlineStr">
        <is>
          <t>A 9346-2023</t>
        </is>
      </c>
      <c r="B968" s="1" t="n">
        <v>44980</v>
      </c>
      <c r="C968" s="1" t="n">
        <v>45360</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9360-2023</t>
        </is>
      </c>
      <c r="B969" s="1" t="n">
        <v>44980</v>
      </c>
      <c r="C969" s="1" t="n">
        <v>45360</v>
      </c>
      <c r="D969" t="inlineStr">
        <is>
          <t>JÄMTLANDS LÄN</t>
        </is>
      </c>
      <c r="E969" t="inlineStr">
        <is>
          <t>RAGUNDA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9339-2023</t>
        </is>
      </c>
      <c r="B970" s="1" t="n">
        <v>44980</v>
      </c>
      <c r="C970" s="1" t="n">
        <v>45360</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10706-2023</t>
        </is>
      </c>
      <c r="B971" s="1" t="n">
        <v>44984</v>
      </c>
      <c r="C971" s="1" t="n">
        <v>45360</v>
      </c>
      <c r="D971" t="inlineStr">
        <is>
          <t>JÄMTLANDS LÄN</t>
        </is>
      </c>
      <c r="E971" t="inlineStr">
        <is>
          <t>RAGUNDA</t>
        </is>
      </c>
      <c r="G971" t="n">
        <v>7.7</v>
      </c>
      <c r="H971" t="n">
        <v>0</v>
      </c>
      <c r="I971" t="n">
        <v>0</v>
      </c>
      <c r="J971" t="n">
        <v>0</v>
      </c>
      <c r="K971" t="n">
        <v>0</v>
      </c>
      <c r="L971" t="n">
        <v>0</v>
      </c>
      <c r="M971" t="n">
        <v>0</v>
      </c>
      <c r="N971" t="n">
        <v>0</v>
      </c>
      <c r="O971" t="n">
        <v>0</v>
      </c>
      <c r="P971" t="n">
        <v>0</v>
      </c>
      <c r="Q971" t="n">
        <v>0</v>
      </c>
      <c r="R971" s="2" t="inlineStr"/>
    </row>
    <row r="972" ht="15" customHeight="1">
      <c r="A972" t="inlineStr">
        <is>
          <t>A 10092-2023</t>
        </is>
      </c>
      <c r="B972" s="1" t="n">
        <v>44985</v>
      </c>
      <c r="C972" s="1" t="n">
        <v>45360</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11093-2023</t>
        </is>
      </c>
      <c r="B973" s="1" t="n">
        <v>44986</v>
      </c>
      <c r="C973" s="1" t="n">
        <v>45360</v>
      </c>
      <c r="D973" t="inlineStr">
        <is>
          <t>JÄMTLANDS LÄN</t>
        </is>
      </c>
      <c r="E973" t="inlineStr">
        <is>
          <t>RAGUNDA</t>
        </is>
      </c>
      <c r="G973" t="n">
        <v>3.6</v>
      </c>
      <c r="H973" t="n">
        <v>0</v>
      </c>
      <c r="I973" t="n">
        <v>0</v>
      </c>
      <c r="J973" t="n">
        <v>0</v>
      </c>
      <c r="K973" t="n">
        <v>0</v>
      </c>
      <c r="L973" t="n">
        <v>0</v>
      </c>
      <c r="M973" t="n">
        <v>0</v>
      </c>
      <c r="N973" t="n">
        <v>0</v>
      </c>
      <c r="O973" t="n">
        <v>0</v>
      </c>
      <c r="P973" t="n">
        <v>0</v>
      </c>
      <c r="Q973" t="n">
        <v>0</v>
      </c>
      <c r="R973" s="2" t="inlineStr"/>
    </row>
    <row r="974" ht="15" customHeight="1">
      <c r="A974" t="inlineStr">
        <is>
          <t>A 10550-2023</t>
        </is>
      </c>
      <c r="B974" s="1" t="n">
        <v>44987</v>
      </c>
      <c r="C974" s="1" t="n">
        <v>45360</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10559-2023</t>
        </is>
      </c>
      <c r="B975" s="1" t="n">
        <v>44987</v>
      </c>
      <c r="C975" s="1" t="n">
        <v>45360</v>
      </c>
      <c r="D975" t="inlineStr">
        <is>
          <t>JÄMTLANDS LÄN</t>
        </is>
      </c>
      <c r="E975" t="inlineStr">
        <is>
          <t>RAGUNDA</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11040-2023</t>
        </is>
      </c>
      <c r="B976" s="1" t="n">
        <v>44991</v>
      </c>
      <c r="C976" s="1" t="n">
        <v>45360</v>
      </c>
      <c r="D976" t="inlineStr">
        <is>
          <t>JÄMTLANDS LÄN</t>
        </is>
      </c>
      <c r="E976" t="inlineStr">
        <is>
          <t>RAGUNDA</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11048-2023</t>
        </is>
      </c>
      <c r="B977" s="1" t="n">
        <v>44991</v>
      </c>
      <c r="C977" s="1" t="n">
        <v>45360</v>
      </c>
      <c r="D977" t="inlineStr">
        <is>
          <t>JÄMTLANDS LÄN</t>
        </is>
      </c>
      <c r="E977" t="inlineStr">
        <is>
          <t>RAGUNDA</t>
        </is>
      </c>
      <c r="F977" t="inlineStr">
        <is>
          <t>SCA</t>
        </is>
      </c>
      <c r="G977" t="n">
        <v>13.5</v>
      </c>
      <c r="H977" t="n">
        <v>0</v>
      </c>
      <c r="I977" t="n">
        <v>0</v>
      </c>
      <c r="J977" t="n">
        <v>0</v>
      </c>
      <c r="K977" t="n">
        <v>0</v>
      </c>
      <c r="L977" t="n">
        <v>0</v>
      </c>
      <c r="M977" t="n">
        <v>0</v>
      </c>
      <c r="N977" t="n">
        <v>0</v>
      </c>
      <c r="O977" t="n">
        <v>0</v>
      </c>
      <c r="P977" t="n">
        <v>0</v>
      </c>
      <c r="Q977" t="n">
        <v>0</v>
      </c>
      <c r="R977" s="2" t="inlineStr"/>
    </row>
    <row r="978" ht="15" customHeight="1">
      <c r="A978" t="inlineStr">
        <is>
          <t>A 11063-2023</t>
        </is>
      </c>
      <c r="B978" s="1" t="n">
        <v>44991</v>
      </c>
      <c r="C978" s="1" t="n">
        <v>45360</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11062-2023</t>
        </is>
      </c>
      <c r="B979" s="1" t="n">
        <v>44991</v>
      </c>
      <c r="C979" s="1" t="n">
        <v>45360</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11603-2023</t>
        </is>
      </c>
      <c r="B980" s="1" t="n">
        <v>44992</v>
      </c>
      <c r="C980" s="1" t="n">
        <v>45360</v>
      </c>
      <c r="D980" t="inlineStr">
        <is>
          <t>JÄMTLANDS LÄN</t>
        </is>
      </c>
      <c r="E980" t="inlineStr">
        <is>
          <t>RAGUNDA</t>
        </is>
      </c>
      <c r="G980" t="n">
        <v>7.1</v>
      </c>
      <c r="H980" t="n">
        <v>0</v>
      </c>
      <c r="I980" t="n">
        <v>0</v>
      </c>
      <c r="J980" t="n">
        <v>0</v>
      </c>
      <c r="K980" t="n">
        <v>0</v>
      </c>
      <c r="L980" t="n">
        <v>0</v>
      </c>
      <c r="M980" t="n">
        <v>0</v>
      </c>
      <c r="N980" t="n">
        <v>0</v>
      </c>
      <c r="O980" t="n">
        <v>0</v>
      </c>
      <c r="P980" t="n">
        <v>0</v>
      </c>
      <c r="Q980" t="n">
        <v>0</v>
      </c>
      <c r="R980" s="2" t="inlineStr"/>
    </row>
    <row r="981" ht="15" customHeight="1">
      <c r="A981" t="inlineStr">
        <is>
          <t>A 11556-2023</t>
        </is>
      </c>
      <c r="B981" s="1" t="n">
        <v>44993</v>
      </c>
      <c r="C981" s="1" t="n">
        <v>45360</v>
      </c>
      <c r="D981" t="inlineStr">
        <is>
          <t>JÄMTLANDS LÄN</t>
        </is>
      </c>
      <c r="E981" t="inlineStr">
        <is>
          <t>RAGUNDA</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11322-2023</t>
        </is>
      </c>
      <c r="B982" s="1" t="n">
        <v>44993</v>
      </c>
      <c r="C982" s="1" t="n">
        <v>45360</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11558-2023</t>
        </is>
      </c>
      <c r="B983" s="1" t="n">
        <v>44993</v>
      </c>
      <c r="C983" s="1" t="n">
        <v>45360</v>
      </c>
      <c r="D983" t="inlineStr">
        <is>
          <t>JÄMTLANDS LÄN</t>
        </is>
      </c>
      <c r="E983" t="inlineStr">
        <is>
          <t>RAGUNDA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11553-2023</t>
        </is>
      </c>
      <c r="B984" s="1" t="n">
        <v>44993</v>
      </c>
      <c r="C984" s="1" t="n">
        <v>45360</v>
      </c>
      <c r="D984" t="inlineStr">
        <is>
          <t>JÄMTLANDS LÄN</t>
        </is>
      </c>
      <c r="E984" t="inlineStr">
        <is>
          <t>RAGUNDA</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11557-2023</t>
        </is>
      </c>
      <c r="B985" s="1" t="n">
        <v>44993</v>
      </c>
      <c r="C985" s="1" t="n">
        <v>45360</v>
      </c>
      <c r="D985" t="inlineStr">
        <is>
          <t>JÄMTLANDS LÄN</t>
        </is>
      </c>
      <c r="E985" t="inlineStr">
        <is>
          <t>RAGUNDA</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11562-2023</t>
        </is>
      </c>
      <c r="B986" s="1" t="n">
        <v>44993</v>
      </c>
      <c r="C986" s="1" t="n">
        <v>45360</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11843-2023</t>
        </is>
      </c>
      <c r="B987" s="1" t="n">
        <v>44993</v>
      </c>
      <c r="C987" s="1" t="n">
        <v>45360</v>
      </c>
      <c r="D987" t="inlineStr">
        <is>
          <t>JÄMTLANDS LÄN</t>
        </is>
      </c>
      <c r="E987" t="inlineStr">
        <is>
          <t>RAGUNDA</t>
        </is>
      </c>
      <c r="G987" t="n">
        <v>6.4</v>
      </c>
      <c r="H987" t="n">
        <v>0</v>
      </c>
      <c r="I987" t="n">
        <v>0</v>
      </c>
      <c r="J987" t="n">
        <v>0</v>
      </c>
      <c r="K987" t="n">
        <v>0</v>
      </c>
      <c r="L987" t="n">
        <v>0</v>
      </c>
      <c r="M987" t="n">
        <v>0</v>
      </c>
      <c r="N987" t="n">
        <v>0</v>
      </c>
      <c r="O987" t="n">
        <v>0</v>
      </c>
      <c r="P987" t="n">
        <v>0</v>
      </c>
      <c r="Q987" t="n">
        <v>0</v>
      </c>
      <c r="R987" s="2" t="inlineStr"/>
    </row>
    <row r="988" ht="15" customHeight="1">
      <c r="A988" t="inlineStr">
        <is>
          <t>A 11834-2023</t>
        </is>
      </c>
      <c r="B988" s="1" t="n">
        <v>44994</v>
      </c>
      <c r="C988" s="1" t="n">
        <v>45360</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12055-2023</t>
        </is>
      </c>
      <c r="B989" s="1" t="n">
        <v>44995</v>
      </c>
      <c r="C989" s="1" t="n">
        <v>45360</v>
      </c>
      <c r="D989" t="inlineStr">
        <is>
          <t>JÄMTLANDS LÄN</t>
        </is>
      </c>
      <c r="E989" t="inlineStr">
        <is>
          <t>RAGUNDA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12051-2023</t>
        </is>
      </c>
      <c r="B990" s="1" t="n">
        <v>44995</v>
      </c>
      <c r="C990" s="1" t="n">
        <v>45360</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12040-2023</t>
        </is>
      </c>
      <c r="B991" s="1" t="n">
        <v>44996</v>
      </c>
      <c r="C991" s="1" t="n">
        <v>45360</v>
      </c>
      <c r="D991" t="inlineStr">
        <is>
          <t>JÄMTLANDS LÄN</t>
        </is>
      </c>
      <c r="E991" t="inlineStr">
        <is>
          <t>RAGUNDA</t>
        </is>
      </c>
      <c r="F991" t="inlineStr">
        <is>
          <t>SCA</t>
        </is>
      </c>
      <c r="G991" t="n">
        <v>13.2</v>
      </c>
      <c r="H991" t="n">
        <v>0</v>
      </c>
      <c r="I991" t="n">
        <v>0</v>
      </c>
      <c r="J991" t="n">
        <v>0</v>
      </c>
      <c r="K991" t="n">
        <v>0</v>
      </c>
      <c r="L991" t="n">
        <v>0</v>
      </c>
      <c r="M991" t="n">
        <v>0</v>
      </c>
      <c r="N991" t="n">
        <v>0</v>
      </c>
      <c r="O991" t="n">
        <v>0</v>
      </c>
      <c r="P991" t="n">
        <v>0</v>
      </c>
      <c r="Q991" t="n">
        <v>0</v>
      </c>
      <c r="R991" s="2" t="inlineStr"/>
    </row>
    <row r="992" ht="15" customHeight="1">
      <c r="A992" t="inlineStr">
        <is>
          <t>A 12050-2023</t>
        </is>
      </c>
      <c r="B992" s="1" t="n">
        <v>44996</v>
      </c>
      <c r="C992" s="1" t="n">
        <v>45360</v>
      </c>
      <c r="D992" t="inlineStr">
        <is>
          <t>JÄMTLANDS LÄN</t>
        </is>
      </c>
      <c r="E992" t="inlineStr">
        <is>
          <t>RAGUNDA</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12039-2023</t>
        </is>
      </c>
      <c r="B993" s="1" t="n">
        <v>44996</v>
      </c>
      <c r="C993" s="1" t="n">
        <v>45360</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12523-2023</t>
        </is>
      </c>
      <c r="B994" s="1" t="n">
        <v>45000</v>
      </c>
      <c r="C994" s="1" t="n">
        <v>45360</v>
      </c>
      <c r="D994" t="inlineStr">
        <is>
          <t>JÄMTLANDS LÄN</t>
        </is>
      </c>
      <c r="E994" t="inlineStr">
        <is>
          <t>RAGUNDA</t>
        </is>
      </c>
      <c r="F994" t="inlineStr">
        <is>
          <t>SCA</t>
        </is>
      </c>
      <c r="G994" t="n">
        <v>14.3</v>
      </c>
      <c r="H994" t="n">
        <v>0</v>
      </c>
      <c r="I994" t="n">
        <v>0</v>
      </c>
      <c r="J994" t="n">
        <v>0</v>
      </c>
      <c r="K994" t="n">
        <v>0</v>
      </c>
      <c r="L994" t="n">
        <v>0</v>
      </c>
      <c r="M994" t="n">
        <v>0</v>
      </c>
      <c r="N994" t="n">
        <v>0</v>
      </c>
      <c r="O994" t="n">
        <v>0</v>
      </c>
      <c r="P994" t="n">
        <v>0</v>
      </c>
      <c r="Q994" t="n">
        <v>0</v>
      </c>
      <c r="R994" s="2" t="inlineStr"/>
    </row>
    <row r="995" ht="15" customHeight="1">
      <c r="A995" t="inlineStr">
        <is>
          <t>A 12522-2023</t>
        </is>
      </c>
      <c r="B995" s="1" t="n">
        <v>45000</v>
      </c>
      <c r="C995" s="1" t="n">
        <v>45360</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12521-2023</t>
        </is>
      </c>
      <c r="B996" s="1" t="n">
        <v>45000</v>
      </c>
      <c r="C996" s="1" t="n">
        <v>45360</v>
      </c>
      <c r="D996" t="inlineStr">
        <is>
          <t>JÄMTLANDS LÄN</t>
        </is>
      </c>
      <c r="E996" t="inlineStr">
        <is>
          <t>RAGUNDA</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12783-2023</t>
        </is>
      </c>
      <c r="B997" s="1" t="n">
        <v>45000</v>
      </c>
      <c r="C997" s="1" t="n">
        <v>45360</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12750-2023</t>
        </is>
      </c>
      <c r="B998" s="1" t="n">
        <v>45000</v>
      </c>
      <c r="C998" s="1" t="n">
        <v>45360</v>
      </c>
      <c r="D998" t="inlineStr">
        <is>
          <t>JÄMTLANDS LÄN</t>
        </is>
      </c>
      <c r="E998" t="inlineStr">
        <is>
          <t>RAGUNDA</t>
        </is>
      </c>
      <c r="F998" t="inlineStr">
        <is>
          <t>Naturvårdsverket</t>
        </is>
      </c>
      <c r="G998" t="n">
        <v>5</v>
      </c>
      <c r="H998" t="n">
        <v>0</v>
      </c>
      <c r="I998" t="n">
        <v>0</v>
      </c>
      <c r="J998" t="n">
        <v>0</v>
      </c>
      <c r="K998" t="n">
        <v>0</v>
      </c>
      <c r="L998" t="n">
        <v>0</v>
      </c>
      <c r="M998" t="n">
        <v>0</v>
      </c>
      <c r="N998" t="n">
        <v>0</v>
      </c>
      <c r="O998" t="n">
        <v>0</v>
      </c>
      <c r="P998" t="n">
        <v>0</v>
      </c>
      <c r="Q998" t="n">
        <v>0</v>
      </c>
      <c r="R998" s="2" t="inlineStr"/>
    </row>
    <row r="999" ht="15" customHeight="1">
      <c r="A999" t="inlineStr">
        <is>
          <t>A 12995-2023</t>
        </is>
      </c>
      <c r="B999" s="1" t="n">
        <v>45002</v>
      </c>
      <c r="C999" s="1" t="n">
        <v>45360</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13246-2023</t>
        </is>
      </c>
      <c r="B1000" s="1" t="n">
        <v>45002</v>
      </c>
      <c r="C1000" s="1" t="n">
        <v>45360</v>
      </c>
      <c r="D1000" t="inlineStr">
        <is>
          <t>JÄMTLANDS LÄN</t>
        </is>
      </c>
      <c r="E1000" t="inlineStr">
        <is>
          <t>RAGUNDA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13700-2023</t>
        </is>
      </c>
      <c r="B1001" s="1" t="n">
        <v>45006</v>
      </c>
      <c r="C1001" s="1" t="n">
        <v>45360</v>
      </c>
      <c r="D1001" t="inlineStr">
        <is>
          <t>JÄMTLANDS LÄN</t>
        </is>
      </c>
      <c r="E1001" t="inlineStr">
        <is>
          <t>RAGUNDA</t>
        </is>
      </c>
      <c r="F1001" t="inlineStr">
        <is>
          <t>SCA</t>
        </is>
      </c>
      <c r="G1001" t="n">
        <v>50.3</v>
      </c>
      <c r="H1001" t="n">
        <v>0</v>
      </c>
      <c r="I1001" t="n">
        <v>0</v>
      </c>
      <c r="J1001" t="n">
        <v>0</v>
      </c>
      <c r="K1001" t="n">
        <v>0</v>
      </c>
      <c r="L1001" t="n">
        <v>0</v>
      </c>
      <c r="M1001" t="n">
        <v>0</v>
      </c>
      <c r="N1001" t="n">
        <v>0</v>
      </c>
      <c r="O1001" t="n">
        <v>0</v>
      </c>
      <c r="P1001" t="n">
        <v>0</v>
      </c>
      <c r="Q1001" t="n">
        <v>0</v>
      </c>
      <c r="R1001" s="2" t="inlineStr"/>
    </row>
    <row r="1002" ht="15" customHeight="1">
      <c r="A1002" t="inlineStr">
        <is>
          <t>A 13917-2023</t>
        </is>
      </c>
      <c r="B1002" s="1" t="n">
        <v>45007</v>
      </c>
      <c r="C1002" s="1" t="n">
        <v>45360</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13900-2023</t>
        </is>
      </c>
      <c r="B1003" s="1" t="n">
        <v>45008</v>
      </c>
      <c r="C1003" s="1" t="n">
        <v>45360</v>
      </c>
      <c r="D1003" t="inlineStr">
        <is>
          <t>JÄMTLANDS LÄN</t>
        </is>
      </c>
      <c r="E1003" t="inlineStr">
        <is>
          <t>RAGUNDA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13898-2023</t>
        </is>
      </c>
      <c r="B1004" s="1" t="n">
        <v>45008</v>
      </c>
      <c r="C1004" s="1" t="n">
        <v>45360</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14179-2023</t>
        </is>
      </c>
      <c r="B1005" s="1" t="n">
        <v>45009</v>
      </c>
      <c r="C1005" s="1" t="n">
        <v>45360</v>
      </c>
      <c r="D1005" t="inlineStr">
        <is>
          <t>JÄMTLANDS LÄN</t>
        </is>
      </c>
      <c r="E1005" t="inlineStr">
        <is>
          <t>RAGUNDA</t>
        </is>
      </c>
      <c r="G1005" t="n">
        <v>33.8</v>
      </c>
      <c r="H1005" t="n">
        <v>0</v>
      </c>
      <c r="I1005" t="n">
        <v>0</v>
      </c>
      <c r="J1005" t="n">
        <v>0</v>
      </c>
      <c r="K1005" t="n">
        <v>0</v>
      </c>
      <c r="L1005" t="n">
        <v>0</v>
      </c>
      <c r="M1005" t="n">
        <v>0</v>
      </c>
      <c r="N1005" t="n">
        <v>0</v>
      </c>
      <c r="O1005" t="n">
        <v>0</v>
      </c>
      <c r="P1005" t="n">
        <v>0</v>
      </c>
      <c r="Q1005" t="n">
        <v>0</v>
      </c>
      <c r="R1005" s="2" t="inlineStr"/>
    </row>
    <row r="1006" ht="15" customHeight="1">
      <c r="A1006" t="inlineStr">
        <is>
          <t>A 14074-2023</t>
        </is>
      </c>
      <c r="B1006" s="1" t="n">
        <v>45009</v>
      </c>
      <c r="C1006" s="1" t="n">
        <v>45360</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14212-2023</t>
        </is>
      </c>
      <c r="B1007" s="1" t="n">
        <v>45009</v>
      </c>
      <c r="C1007" s="1" t="n">
        <v>45360</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14076-2023</t>
        </is>
      </c>
      <c r="B1008" s="1" t="n">
        <v>45009</v>
      </c>
      <c r="C1008" s="1" t="n">
        <v>45360</v>
      </c>
      <c r="D1008" t="inlineStr">
        <is>
          <t>JÄMTLANDS LÄN</t>
        </is>
      </c>
      <c r="E1008" t="inlineStr">
        <is>
          <t>RAGUNDA</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14081-2023</t>
        </is>
      </c>
      <c r="B1009" s="1" t="n">
        <v>45009</v>
      </c>
      <c r="C1009" s="1" t="n">
        <v>45360</v>
      </c>
      <c r="D1009" t="inlineStr">
        <is>
          <t>JÄMTLANDS LÄN</t>
        </is>
      </c>
      <c r="E1009" t="inlineStr">
        <is>
          <t>RAGUNDA</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14080-2023</t>
        </is>
      </c>
      <c r="B1010" s="1" t="n">
        <v>45009</v>
      </c>
      <c r="C1010" s="1" t="n">
        <v>45360</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14531-2023</t>
        </is>
      </c>
      <c r="B1011" s="1" t="n">
        <v>45013</v>
      </c>
      <c r="C1011" s="1" t="n">
        <v>45360</v>
      </c>
      <c r="D1011" t="inlineStr">
        <is>
          <t>JÄMTLANDS LÄN</t>
        </is>
      </c>
      <c r="E1011" t="inlineStr">
        <is>
          <t>RAGUNDA</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14869-2023</t>
        </is>
      </c>
      <c r="B1012" s="1" t="n">
        <v>45015</v>
      </c>
      <c r="C1012" s="1" t="n">
        <v>45360</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14868-2023</t>
        </is>
      </c>
      <c r="B1013" s="1" t="n">
        <v>45015</v>
      </c>
      <c r="C1013" s="1" t="n">
        <v>45360</v>
      </c>
      <c r="D1013" t="inlineStr">
        <is>
          <t>JÄMTLANDS LÄN</t>
        </is>
      </c>
      <c r="E1013" t="inlineStr">
        <is>
          <t>RAGUNDA</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15078-2023</t>
        </is>
      </c>
      <c r="B1014" s="1" t="n">
        <v>45015</v>
      </c>
      <c r="C1014" s="1" t="n">
        <v>45360</v>
      </c>
      <c r="D1014" t="inlineStr">
        <is>
          <t>JÄMTLANDS LÄN</t>
        </is>
      </c>
      <c r="E1014" t="inlineStr">
        <is>
          <t>RAGUNDA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15077-2023</t>
        </is>
      </c>
      <c r="B1015" s="1" t="n">
        <v>45015</v>
      </c>
      <c r="C1015" s="1" t="n">
        <v>45360</v>
      </c>
      <c r="D1015" t="inlineStr">
        <is>
          <t>JÄMTLANDS LÄN</t>
        </is>
      </c>
      <c r="E1015" t="inlineStr">
        <is>
          <t>RAGUNDA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16364-2023</t>
        </is>
      </c>
      <c r="B1016" s="1" t="n">
        <v>45028</v>
      </c>
      <c r="C1016" s="1" t="n">
        <v>45360</v>
      </c>
      <c r="D1016" t="inlineStr">
        <is>
          <t>JÄMTLANDS LÄN</t>
        </is>
      </c>
      <c r="E1016" t="inlineStr">
        <is>
          <t>RAGUNDA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17248-2023</t>
        </is>
      </c>
      <c r="B1017" s="1" t="n">
        <v>45033</v>
      </c>
      <c r="C1017" s="1" t="n">
        <v>45360</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17207-2023</t>
        </is>
      </c>
      <c r="B1018" s="1" t="n">
        <v>45035</v>
      </c>
      <c r="C1018" s="1" t="n">
        <v>45360</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17206-2023</t>
        </is>
      </c>
      <c r="B1019" s="1" t="n">
        <v>45035</v>
      </c>
      <c r="C1019" s="1" t="n">
        <v>45360</v>
      </c>
      <c r="D1019" t="inlineStr">
        <is>
          <t>JÄMTLANDS LÄN</t>
        </is>
      </c>
      <c r="E1019" t="inlineStr">
        <is>
          <t>RAGUNDA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17559-2023</t>
        </is>
      </c>
      <c r="B1020" s="1" t="n">
        <v>45034</v>
      </c>
      <c r="C1020" s="1" t="n">
        <v>45360</v>
      </c>
      <c r="D1020" t="inlineStr">
        <is>
          <t>JÄMTLANDS LÄN</t>
        </is>
      </c>
      <c r="E1020" t="inlineStr">
        <is>
          <t>RAGUNDA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17864-2023</t>
        </is>
      </c>
      <c r="B1021" s="1" t="n">
        <v>45038</v>
      </c>
      <c r="C1021" s="1" t="n">
        <v>45360</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17863-2023</t>
        </is>
      </c>
      <c r="B1022" s="1" t="n">
        <v>45038</v>
      </c>
      <c r="C1022" s="1" t="n">
        <v>45360</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18159-2023</t>
        </is>
      </c>
      <c r="B1023" s="1" t="n">
        <v>45041</v>
      </c>
      <c r="C1023" s="1" t="n">
        <v>45360</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18145-2023</t>
        </is>
      </c>
      <c r="B1024" s="1" t="n">
        <v>45041</v>
      </c>
      <c r="C1024" s="1" t="n">
        <v>45360</v>
      </c>
      <c r="D1024" t="inlineStr">
        <is>
          <t>JÄMTLANDS LÄN</t>
        </is>
      </c>
      <c r="E1024" t="inlineStr">
        <is>
          <t>RAGUNDA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18248-2023</t>
        </is>
      </c>
      <c r="B1025" s="1" t="n">
        <v>45040</v>
      </c>
      <c r="C1025" s="1" t="n">
        <v>45360</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18557-2023</t>
        </is>
      </c>
      <c r="B1026" s="1" t="n">
        <v>45043</v>
      </c>
      <c r="C1026" s="1" t="n">
        <v>45360</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18556-2023</t>
        </is>
      </c>
      <c r="B1027" s="1" t="n">
        <v>45043</v>
      </c>
      <c r="C1027" s="1" t="n">
        <v>45360</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18820-2023</t>
        </is>
      </c>
      <c r="B1028" s="1" t="n">
        <v>45042</v>
      </c>
      <c r="C1028" s="1" t="n">
        <v>45360</v>
      </c>
      <c r="D1028" t="inlineStr">
        <is>
          <t>JÄMTLANDS LÄN</t>
        </is>
      </c>
      <c r="E1028" t="inlineStr">
        <is>
          <t>RAGUNDA</t>
        </is>
      </c>
      <c r="G1028" t="n">
        <v>18.8</v>
      </c>
      <c r="H1028" t="n">
        <v>0</v>
      </c>
      <c r="I1028" t="n">
        <v>0</v>
      </c>
      <c r="J1028" t="n">
        <v>0</v>
      </c>
      <c r="K1028" t="n">
        <v>0</v>
      </c>
      <c r="L1028" t="n">
        <v>0</v>
      </c>
      <c r="M1028" t="n">
        <v>0</v>
      </c>
      <c r="N1028" t="n">
        <v>0</v>
      </c>
      <c r="O1028" t="n">
        <v>0</v>
      </c>
      <c r="P1028" t="n">
        <v>0</v>
      </c>
      <c r="Q1028" t="n">
        <v>0</v>
      </c>
      <c r="R1028" s="2" t="inlineStr"/>
    </row>
    <row r="1029" ht="15" customHeight="1">
      <c r="A1029" t="inlineStr">
        <is>
          <t>A 18984-2023</t>
        </is>
      </c>
      <c r="B1029" s="1" t="n">
        <v>45044</v>
      </c>
      <c r="C1029" s="1" t="n">
        <v>45360</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18995-2023</t>
        </is>
      </c>
      <c r="B1030" s="1" t="n">
        <v>45045</v>
      </c>
      <c r="C1030" s="1" t="n">
        <v>45360</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18996-2023</t>
        </is>
      </c>
      <c r="B1031" s="1" t="n">
        <v>45045</v>
      </c>
      <c r="C1031" s="1" t="n">
        <v>45360</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19242-2023</t>
        </is>
      </c>
      <c r="B1032" s="1" t="n">
        <v>45048</v>
      </c>
      <c r="C1032" s="1" t="n">
        <v>45360</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19246-2023</t>
        </is>
      </c>
      <c r="B1033" s="1" t="n">
        <v>45049</v>
      </c>
      <c r="C1033" s="1" t="n">
        <v>45360</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19438-2023</t>
        </is>
      </c>
      <c r="B1034" s="1" t="n">
        <v>45049</v>
      </c>
      <c r="C1034" s="1" t="n">
        <v>45360</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19613-2023</t>
        </is>
      </c>
      <c r="B1035" s="1" t="n">
        <v>45051</v>
      </c>
      <c r="C1035" s="1" t="n">
        <v>45360</v>
      </c>
      <c r="D1035" t="inlineStr">
        <is>
          <t>JÄMTLANDS LÄN</t>
        </is>
      </c>
      <c r="E1035" t="inlineStr">
        <is>
          <t>RAGUNDA</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19612-2023</t>
        </is>
      </c>
      <c r="B1036" s="1" t="n">
        <v>45051</v>
      </c>
      <c r="C1036" s="1" t="n">
        <v>45360</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19620-2023</t>
        </is>
      </c>
      <c r="B1037" s="1" t="n">
        <v>45050</v>
      </c>
      <c r="C1037" s="1" t="n">
        <v>45360</v>
      </c>
      <c r="D1037" t="inlineStr">
        <is>
          <t>JÄMTLANDS LÄN</t>
        </is>
      </c>
      <c r="E1037" t="inlineStr">
        <is>
          <t>RAGUNDA</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19865-2023</t>
        </is>
      </c>
      <c r="B1038" s="1" t="n">
        <v>45054</v>
      </c>
      <c r="C1038" s="1" t="n">
        <v>45360</v>
      </c>
      <c r="D1038" t="inlineStr">
        <is>
          <t>JÄMTLANDS LÄN</t>
        </is>
      </c>
      <c r="E1038" t="inlineStr">
        <is>
          <t>RAGUNDA</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19866-2023</t>
        </is>
      </c>
      <c r="B1039" s="1" t="n">
        <v>45054</v>
      </c>
      <c r="C1039" s="1" t="n">
        <v>45360</v>
      </c>
      <c r="D1039" t="inlineStr">
        <is>
          <t>JÄMTLANDS LÄN</t>
        </is>
      </c>
      <c r="E1039" t="inlineStr">
        <is>
          <t>RAGUNDA</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20079-2023</t>
        </is>
      </c>
      <c r="B1040" s="1" t="n">
        <v>45055</v>
      </c>
      <c r="C1040" s="1" t="n">
        <v>45360</v>
      </c>
      <c r="D1040" t="inlineStr">
        <is>
          <t>JÄMTLANDS LÄN</t>
        </is>
      </c>
      <c r="E1040" t="inlineStr">
        <is>
          <t>RAGUNDA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20088-2023</t>
        </is>
      </c>
      <c r="B1041" s="1" t="n">
        <v>45054</v>
      </c>
      <c r="C1041" s="1" t="n">
        <v>45360</v>
      </c>
      <c r="D1041" t="inlineStr">
        <is>
          <t>JÄMTLANDS LÄN</t>
        </is>
      </c>
      <c r="E1041" t="inlineStr">
        <is>
          <t>RAGUNDA</t>
        </is>
      </c>
      <c r="F1041" t="inlineStr">
        <is>
          <t>SCA</t>
        </is>
      </c>
      <c r="G1041" t="n">
        <v>23.4</v>
      </c>
      <c r="H1041" t="n">
        <v>0</v>
      </c>
      <c r="I1041" t="n">
        <v>0</v>
      </c>
      <c r="J1041" t="n">
        <v>0</v>
      </c>
      <c r="K1041" t="n">
        <v>0</v>
      </c>
      <c r="L1041" t="n">
        <v>0</v>
      </c>
      <c r="M1041" t="n">
        <v>0</v>
      </c>
      <c r="N1041" t="n">
        <v>0</v>
      </c>
      <c r="O1041" t="n">
        <v>0</v>
      </c>
      <c r="P1041" t="n">
        <v>0</v>
      </c>
      <c r="Q1041" t="n">
        <v>0</v>
      </c>
      <c r="R1041" s="2" t="inlineStr"/>
    </row>
    <row r="1042" ht="15" customHeight="1">
      <c r="A1042" t="inlineStr">
        <is>
          <t>A 20987-2023</t>
        </is>
      </c>
      <c r="B1042" s="1" t="n">
        <v>45056</v>
      </c>
      <c r="C1042" s="1" t="n">
        <v>45360</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20994-2023</t>
        </is>
      </c>
      <c r="B1043" s="1" t="n">
        <v>45056</v>
      </c>
      <c r="C1043" s="1" t="n">
        <v>45360</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20901-2023</t>
        </is>
      </c>
      <c r="B1044" s="1" t="n">
        <v>45060</v>
      </c>
      <c r="C1044" s="1" t="n">
        <v>45360</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21102-2023</t>
        </is>
      </c>
      <c r="B1045" s="1" t="n">
        <v>45062</v>
      </c>
      <c r="C1045" s="1" t="n">
        <v>45360</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21661-2023</t>
        </is>
      </c>
      <c r="B1046" s="1" t="n">
        <v>45063</v>
      </c>
      <c r="C1046" s="1" t="n">
        <v>45360</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21662-2023</t>
        </is>
      </c>
      <c r="B1047" s="1" t="n">
        <v>45063</v>
      </c>
      <c r="C1047" s="1" t="n">
        <v>45360</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21726-2023</t>
        </is>
      </c>
      <c r="B1048" s="1" t="n">
        <v>45065</v>
      </c>
      <c r="C1048" s="1" t="n">
        <v>45360</v>
      </c>
      <c r="D1048" t="inlineStr">
        <is>
          <t>JÄMTLANDS LÄN</t>
        </is>
      </c>
      <c r="E1048" t="inlineStr">
        <is>
          <t>RAGUNDA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22011-2023</t>
        </is>
      </c>
      <c r="B1049" s="1" t="n">
        <v>45068</v>
      </c>
      <c r="C1049" s="1" t="n">
        <v>45360</v>
      </c>
      <c r="D1049" t="inlineStr">
        <is>
          <t>JÄMTLANDS LÄN</t>
        </is>
      </c>
      <c r="E1049" t="inlineStr">
        <is>
          <t>RAGUNDA</t>
        </is>
      </c>
      <c r="F1049" t="inlineStr">
        <is>
          <t>SCA</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45360</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22479-2023</t>
        </is>
      </c>
      <c r="B1051" s="1" t="n">
        <v>45070</v>
      </c>
      <c r="C1051" s="1" t="n">
        <v>45360</v>
      </c>
      <c r="D1051" t="inlineStr">
        <is>
          <t>JÄMTLANDS LÄN</t>
        </is>
      </c>
      <c r="E1051" t="inlineStr">
        <is>
          <t>RAGUNDA</t>
        </is>
      </c>
      <c r="F1051" t="inlineStr">
        <is>
          <t>SCA</t>
        </is>
      </c>
      <c r="G1051" t="n">
        <v>31.8</v>
      </c>
      <c r="H1051" t="n">
        <v>0</v>
      </c>
      <c r="I1051" t="n">
        <v>0</v>
      </c>
      <c r="J1051" t="n">
        <v>0</v>
      </c>
      <c r="K1051" t="n">
        <v>0</v>
      </c>
      <c r="L1051" t="n">
        <v>0</v>
      </c>
      <c r="M1051" t="n">
        <v>0</v>
      </c>
      <c r="N1051" t="n">
        <v>0</v>
      </c>
      <c r="O1051" t="n">
        <v>0</v>
      </c>
      <c r="P1051" t="n">
        <v>0</v>
      </c>
      <c r="Q1051" t="n">
        <v>0</v>
      </c>
      <c r="R1051" s="2" t="inlineStr"/>
    </row>
    <row r="1052" ht="15" customHeight="1">
      <c r="A1052" t="inlineStr">
        <is>
          <t>A 23074-2023</t>
        </is>
      </c>
      <c r="B1052" s="1" t="n">
        <v>45070</v>
      </c>
      <c r="C1052" s="1" t="n">
        <v>45360</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23140-2023</t>
        </is>
      </c>
      <c r="B1053" s="1" t="n">
        <v>45070</v>
      </c>
      <c r="C1053" s="1" t="n">
        <v>45360</v>
      </c>
      <c r="D1053" t="inlineStr">
        <is>
          <t>JÄMTLANDS LÄN</t>
        </is>
      </c>
      <c r="E1053" t="inlineStr">
        <is>
          <t>RAGUNDA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22731-2023</t>
        </is>
      </c>
      <c r="B1054" s="1" t="n">
        <v>45071</v>
      </c>
      <c r="C1054" s="1" t="n">
        <v>45360</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22981-2023</t>
        </is>
      </c>
      <c r="B1055" s="1" t="n">
        <v>45073</v>
      </c>
      <c r="C1055" s="1" t="n">
        <v>45360</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23299-2023</t>
        </is>
      </c>
      <c r="B1056" s="1" t="n">
        <v>45076</v>
      </c>
      <c r="C1056" s="1" t="n">
        <v>45360</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23304-2023</t>
        </is>
      </c>
      <c r="B1057" s="1" t="n">
        <v>45076</v>
      </c>
      <c r="C1057" s="1" t="n">
        <v>45360</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23305-2023</t>
        </is>
      </c>
      <c r="B1058" s="1" t="n">
        <v>45076</v>
      </c>
      <c r="C1058" s="1" t="n">
        <v>45360</v>
      </c>
      <c r="D1058" t="inlineStr">
        <is>
          <t>JÄMTLANDS LÄN</t>
        </is>
      </c>
      <c r="E1058" t="inlineStr">
        <is>
          <t>RAGUNDA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23298-2023</t>
        </is>
      </c>
      <c r="B1059" s="1" t="n">
        <v>45076</v>
      </c>
      <c r="C1059" s="1" t="n">
        <v>45360</v>
      </c>
      <c r="D1059" t="inlineStr">
        <is>
          <t>JÄMTLANDS LÄN</t>
        </is>
      </c>
      <c r="E1059" t="inlineStr">
        <is>
          <t>RAGUNDA</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24861-2023</t>
        </is>
      </c>
      <c r="B1060" s="1" t="n">
        <v>45078</v>
      </c>
      <c r="C1060" s="1" t="n">
        <v>45360</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25086-2023</t>
        </is>
      </c>
      <c r="B1061" s="1" t="n">
        <v>45078</v>
      </c>
      <c r="C1061" s="1" t="n">
        <v>45360</v>
      </c>
      <c r="D1061" t="inlineStr">
        <is>
          <t>JÄMTLANDS LÄN</t>
        </is>
      </c>
      <c r="E1061" t="inlineStr">
        <is>
          <t>RAGUNDA</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25416-2023</t>
        </is>
      </c>
      <c r="B1062" s="1" t="n">
        <v>45078</v>
      </c>
      <c r="C1062" s="1" t="n">
        <v>45360</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24300-2023</t>
        </is>
      </c>
      <c r="B1063" s="1" t="n">
        <v>45079</v>
      </c>
      <c r="C1063" s="1" t="n">
        <v>45360</v>
      </c>
      <c r="D1063" t="inlineStr">
        <is>
          <t>JÄMTLANDS LÄN</t>
        </is>
      </c>
      <c r="E1063" t="inlineStr">
        <is>
          <t>RAGUNDA</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24821-2023</t>
        </is>
      </c>
      <c r="B1064" s="1" t="n">
        <v>45085</v>
      </c>
      <c r="C1064" s="1" t="n">
        <v>45360</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24822-2023</t>
        </is>
      </c>
      <c r="B1065" s="1" t="n">
        <v>45085</v>
      </c>
      <c r="C1065" s="1" t="n">
        <v>45360</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24820-2023</t>
        </is>
      </c>
      <c r="B1066" s="1" t="n">
        <v>45084</v>
      </c>
      <c r="C1066" s="1" t="n">
        <v>45360</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25892-2023</t>
        </is>
      </c>
      <c r="B1067" s="1" t="n">
        <v>45085</v>
      </c>
      <c r="C1067" s="1" t="n">
        <v>45360</v>
      </c>
      <c r="D1067" t="inlineStr">
        <is>
          <t>JÄMTLANDS LÄN</t>
        </is>
      </c>
      <c r="E1067" t="inlineStr">
        <is>
          <t>RAGUNDA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25332-2023</t>
        </is>
      </c>
      <c r="B1068" s="1" t="n">
        <v>45087</v>
      </c>
      <c r="C1068" s="1" t="n">
        <v>45360</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25304-2023</t>
        </is>
      </c>
      <c r="B1069" s="1" t="n">
        <v>45086</v>
      </c>
      <c r="C1069" s="1" t="n">
        <v>45360</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25430-2023</t>
        </is>
      </c>
      <c r="B1070" s="1" t="n">
        <v>45089</v>
      </c>
      <c r="C1070" s="1" t="n">
        <v>45360</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25669-2023</t>
        </is>
      </c>
      <c r="B1071" s="1" t="n">
        <v>45089</v>
      </c>
      <c r="C1071" s="1" t="n">
        <v>45360</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25694-2023</t>
        </is>
      </c>
      <c r="B1072" s="1" t="n">
        <v>45089</v>
      </c>
      <c r="C1072" s="1" t="n">
        <v>45360</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25666-2023</t>
        </is>
      </c>
      <c r="B1073" s="1" t="n">
        <v>45089</v>
      </c>
      <c r="C1073" s="1" t="n">
        <v>45360</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25670-2023</t>
        </is>
      </c>
      <c r="B1074" s="1" t="n">
        <v>45090</v>
      </c>
      <c r="C1074" s="1" t="n">
        <v>45360</v>
      </c>
      <c r="D1074" t="inlineStr">
        <is>
          <t>JÄMTLANDS LÄN</t>
        </is>
      </c>
      <c r="E1074" t="inlineStr">
        <is>
          <t>RAGUNDA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25708-2023</t>
        </is>
      </c>
      <c r="B1075" s="1" t="n">
        <v>45090</v>
      </c>
      <c r="C1075" s="1" t="n">
        <v>45360</v>
      </c>
      <c r="D1075" t="inlineStr">
        <is>
          <t>JÄMTLANDS LÄN</t>
        </is>
      </c>
      <c r="E1075" t="inlineStr">
        <is>
          <t>RAGUNDA</t>
        </is>
      </c>
      <c r="G1075" t="n">
        <v>16.1</v>
      </c>
      <c r="H1075" t="n">
        <v>0</v>
      </c>
      <c r="I1075" t="n">
        <v>0</v>
      </c>
      <c r="J1075" t="n">
        <v>0</v>
      </c>
      <c r="K1075" t="n">
        <v>0</v>
      </c>
      <c r="L1075" t="n">
        <v>0</v>
      </c>
      <c r="M1075" t="n">
        <v>0</v>
      </c>
      <c r="N1075" t="n">
        <v>0</v>
      </c>
      <c r="O1075" t="n">
        <v>0</v>
      </c>
      <c r="P1075" t="n">
        <v>0</v>
      </c>
      <c r="Q1075" t="n">
        <v>0</v>
      </c>
      <c r="R1075" s="2" t="inlineStr"/>
    </row>
    <row r="1076" ht="15" customHeight="1">
      <c r="A1076" t="inlineStr">
        <is>
          <t>A 26002-2023</t>
        </is>
      </c>
      <c r="B1076" s="1" t="n">
        <v>45091</v>
      </c>
      <c r="C1076" s="1" t="n">
        <v>45360</v>
      </c>
      <c r="D1076" t="inlineStr">
        <is>
          <t>JÄMTLANDS LÄN</t>
        </is>
      </c>
      <c r="E1076" t="inlineStr">
        <is>
          <t>RAGUNDA</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26347-2023</t>
        </is>
      </c>
      <c r="B1077" s="1" t="n">
        <v>45091</v>
      </c>
      <c r="C1077" s="1" t="n">
        <v>45360</v>
      </c>
      <c r="D1077" t="inlineStr">
        <is>
          <t>JÄMTLANDS LÄN</t>
        </is>
      </c>
      <c r="E1077" t="inlineStr">
        <is>
          <t>RAGUNDA</t>
        </is>
      </c>
      <c r="F1077" t="inlineStr">
        <is>
          <t>SCA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45360</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26644-2023</t>
        </is>
      </c>
      <c r="B1079" s="1" t="n">
        <v>45093</v>
      </c>
      <c r="C1079" s="1" t="n">
        <v>45360</v>
      </c>
      <c r="D1079" t="inlineStr">
        <is>
          <t>JÄMTLANDS LÄN</t>
        </is>
      </c>
      <c r="E1079" t="inlineStr">
        <is>
          <t>RAGUNDA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26646-2023</t>
        </is>
      </c>
      <c r="B1080" s="1" t="n">
        <v>45092</v>
      </c>
      <c r="C1080" s="1" t="n">
        <v>45360</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27091-2023</t>
        </is>
      </c>
      <c r="B1081" s="1" t="n">
        <v>45092</v>
      </c>
      <c r="C1081" s="1" t="n">
        <v>45360</v>
      </c>
      <c r="D1081" t="inlineStr">
        <is>
          <t>JÄMTLANDS LÄN</t>
        </is>
      </c>
      <c r="E1081" t="inlineStr">
        <is>
          <t>RAGUNDA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27085-2023</t>
        </is>
      </c>
      <c r="B1082" s="1" t="n">
        <v>45092</v>
      </c>
      <c r="C1082" s="1" t="n">
        <v>45360</v>
      </c>
      <c r="D1082" t="inlineStr">
        <is>
          <t>JÄMTLANDS LÄN</t>
        </is>
      </c>
      <c r="E1082" t="inlineStr">
        <is>
          <t>RAGUNDA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26991-2023</t>
        </is>
      </c>
      <c r="B1083" s="1" t="n">
        <v>45094</v>
      </c>
      <c r="C1083" s="1" t="n">
        <v>45360</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26995-2023</t>
        </is>
      </c>
      <c r="B1084" s="1" t="n">
        <v>45093</v>
      </c>
      <c r="C1084" s="1" t="n">
        <v>45360</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26993-2023</t>
        </is>
      </c>
      <c r="B1085" s="1" t="n">
        <v>45093</v>
      </c>
      <c r="C1085" s="1" t="n">
        <v>45360</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26994-2023</t>
        </is>
      </c>
      <c r="B1086" s="1" t="n">
        <v>45094</v>
      </c>
      <c r="C1086" s="1" t="n">
        <v>45360</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26992-2023</t>
        </is>
      </c>
      <c r="B1087" s="1" t="n">
        <v>45094</v>
      </c>
      <c r="C1087" s="1" t="n">
        <v>45360</v>
      </c>
      <c r="D1087" t="inlineStr">
        <is>
          <t>JÄMTLANDS LÄN</t>
        </is>
      </c>
      <c r="E1087" t="inlineStr">
        <is>
          <t>RAGUNDA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27373-2023</t>
        </is>
      </c>
      <c r="B1088" s="1" t="n">
        <v>45097</v>
      </c>
      <c r="C1088" s="1" t="n">
        <v>45360</v>
      </c>
      <c r="D1088" t="inlineStr">
        <is>
          <t>JÄMTLANDS LÄN</t>
        </is>
      </c>
      <c r="E1088" t="inlineStr">
        <is>
          <t>RAGUNDA</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27379-2023</t>
        </is>
      </c>
      <c r="B1089" s="1" t="n">
        <v>45097</v>
      </c>
      <c r="C1089" s="1" t="n">
        <v>45360</v>
      </c>
      <c r="D1089" t="inlineStr">
        <is>
          <t>JÄMTLANDS LÄN</t>
        </is>
      </c>
      <c r="E1089" t="inlineStr">
        <is>
          <t>RAGUNDA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28685-2023</t>
        </is>
      </c>
      <c r="B1090" s="1" t="n">
        <v>45096</v>
      </c>
      <c r="C1090" s="1" t="n">
        <v>45360</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28806-2023</t>
        </is>
      </c>
      <c r="B1091" s="1" t="n">
        <v>45096</v>
      </c>
      <c r="C1091" s="1" t="n">
        <v>45360</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29775-2023</t>
        </is>
      </c>
      <c r="B1092" s="1" t="n">
        <v>45098</v>
      </c>
      <c r="C1092" s="1" t="n">
        <v>45360</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29766-2023</t>
        </is>
      </c>
      <c r="B1093" s="1" t="n">
        <v>45098</v>
      </c>
      <c r="C1093" s="1" t="n">
        <v>45360</v>
      </c>
      <c r="D1093" t="inlineStr">
        <is>
          <t>JÄMTLANDS LÄN</t>
        </is>
      </c>
      <c r="E1093" t="inlineStr">
        <is>
          <t>RAGUNDA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28352-2023</t>
        </is>
      </c>
      <c r="B1094" s="1" t="n">
        <v>45100</v>
      </c>
      <c r="C1094" s="1" t="n">
        <v>45360</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28351-2023</t>
        </is>
      </c>
      <c r="B1095" s="1" t="n">
        <v>45100</v>
      </c>
      <c r="C1095" s="1" t="n">
        <v>45360</v>
      </c>
      <c r="D1095" t="inlineStr">
        <is>
          <t>JÄMTLANDS LÄN</t>
        </is>
      </c>
      <c r="E1095" t="inlineStr">
        <is>
          <t>RAGUNDA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28742-2023</t>
        </is>
      </c>
      <c r="B1096" s="1" t="n">
        <v>45103</v>
      </c>
      <c r="C1096" s="1" t="n">
        <v>45360</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31135-2023</t>
        </is>
      </c>
      <c r="B1097" s="1" t="n">
        <v>45103</v>
      </c>
      <c r="C1097" s="1" t="n">
        <v>45360</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29053-2023</t>
        </is>
      </c>
      <c r="B1098" s="1" t="n">
        <v>45104</v>
      </c>
      <c r="C1098" s="1" t="n">
        <v>45360</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29319-2023</t>
        </is>
      </c>
      <c r="B1099" s="1" t="n">
        <v>45105</v>
      </c>
      <c r="C1099" s="1" t="n">
        <v>45360</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29940-2023</t>
        </is>
      </c>
      <c r="B1100" s="1" t="n">
        <v>45107</v>
      </c>
      <c r="C1100" s="1" t="n">
        <v>45360</v>
      </c>
      <c r="D1100" t="inlineStr">
        <is>
          <t>JÄMTLANDS LÄN</t>
        </is>
      </c>
      <c r="E1100" t="inlineStr">
        <is>
          <t>RAGUNDA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29939-2023</t>
        </is>
      </c>
      <c r="B1101" s="1" t="n">
        <v>45107</v>
      </c>
      <c r="C1101" s="1" t="n">
        <v>45360</v>
      </c>
      <c r="D1101" t="inlineStr">
        <is>
          <t>JÄMTLANDS LÄN</t>
        </is>
      </c>
      <c r="E1101" t="inlineStr">
        <is>
          <t>RAGUNDA</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30283-2023</t>
        </is>
      </c>
      <c r="B1102" s="1" t="n">
        <v>45111</v>
      </c>
      <c r="C1102" s="1" t="n">
        <v>45360</v>
      </c>
      <c r="D1102" t="inlineStr">
        <is>
          <t>JÄMTLANDS LÄN</t>
        </is>
      </c>
      <c r="E1102" t="inlineStr">
        <is>
          <t>RAGUNDA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30563-2023</t>
        </is>
      </c>
      <c r="B1103" s="1" t="n">
        <v>45112</v>
      </c>
      <c r="C1103" s="1" t="n">
        <v>45360</v>
      </c>
      <c r="D1103" t="inlineStr">
        <is>
          <t>JÄMTLANDS LÄN</t>
        </is>
      </c>
      <c r="E1103" t="inlineStr">
        <is>
          <t>RAGUNDA</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32592-2023</t>
        </is>
      </c>
      <c r="B1104" s="1" t="n">
        <v>45111</v>
      </c>
      <c r="C1104" s="1" t="n">
        <v>45360</v>
      </c>
      <c r="D1104" t="inlineStr">
        <is>
          <t>JÄMTLANDS LÄN</t>
        </is>
      </c>
      <c r="E1104" t="inlineStr">
        <is>
          <t>RAGUNDA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30826-2023</t>
        </is>
      </c>
      <c r="B1105" s="1" t="n">
        <v>45112</v>
      </c>
      <c r="C1105" s="1" t="n">
        <v>45360</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30825-2023</t>
        </is>
      </c>
      <c r="B1106" s="1" t="n">
        <v>45113</v>
      </c>
      <c r="C1106" s="1" t="n">
        <v>45360</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30823-2023</t>
        </is>
      </c>
      <c r="B1107" s="1" t="n">
        <v>45112</v>
      </c>
      <c r="C1107" s="1" t="n">
        <v>45360</v>
      </c>
      <c r="D1107" t="inlineStr">
        <is>
          <t>JÄMTLANDS LÄN</t>
        </is>
      </c>
      <c r="E1107" t="inlineStr">
        <is>
          <t>RAGUNDA</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30824-2023</t>
        </is>
      </c>
      <c r="B1108" s="1" t="n">
        <v>45113</v>
      </c>
      <c r="C1108" s="1" t="n">
        <v>45360</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31200-2023</t>
        </is>
      </c>
      <c r="B1109" s="1" t="n">
        <v>45114</v>
      </c>
      <c r="C1109" s="1" t="n">
        <v>45360</v>
      </c>
      <c r="D1109" t="inlineStr">
        <is>
          <t>JÄMTLANDS LÄN</t>
        </is>
      </c>
      <c r="E1109" t="inlineStr">
        <is>
          <t>RAGUNDA</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31926-2023</t>
        </is>
      </c>
      <c r="B1110" s="1" t="n">
        <v>45119</v>
      </c>
      <c r="C1110" s="1" t="n">
        <v>45360</v>
      </c>
      <c r="D1110" t="inlineStr">
        <is>
          <t>JÄMTLANDS LÄN</t>
        </is>
      </c>
      <c r="E1110" t="inlineStr">
        <is>
          <t>RAGUNDA</t>
        </is>
      </c>
      <c r="F1110" t="inlineStr">
        <is>
          <t>SCA</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32207-2023</t>
        </is>
      </c>
      <c r="B1111" s="1" t="n">
        <v>45120</v>
      </c>
      <c r="C1111" s="1" t="n">
        <v>45360</v>
      </c>
      <c r="D1111" t="inlineStr">
        <is>
          <t>JÄMTLANDS LÄN</t>
        </is>
      </c>
      <c r="E1111" t="inlineStr">
        <is>
          <t>RAGUNDA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33615-2023</t>
        </is>
      </c>
      <c r="B1112" s="1" t="n">
        <v>45119</v>
      </c>
      <c r="C1112" s="1" t="n">
        <v>45360</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33621-2023</t>
        </is>
      </c>
      <c r="B1113" s="1" t="n">
        <v>45119</v>
      </c>
      <c r="C1113" s="1" t="n">
        <v>45360</v>
      </c>
      <c r="D1113" t="inlineStr">
        <is>
          <t>JÄMTLANDS LÄN</t>
        </is>
      </c>
      <c r="E1113" t="inlineStr">
        <is>
          <t>RAGUNDA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33035-2023</t>
        </is>
      </c>
      <c r="B1114" s="1" t="n">
        <v>45126</v>
      </c>
      <c r="C1114" s="1" t="n">
        <v>45360</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33039-2023</t>
        </is>
      </c>
      <c r="B1115" s="1" t="n">
        <v>45126</v>
      </c>
      <c r="C1115" s="1" t="n">
        <v>45360</v>
      </c>
      <c r="D1115" t="inlineStr">
        <is>
          <t>JÄMTLANDS LÄN</t>
        </is>
      </c>
      <c r="E1115" t="inlineStr">
        <is>
          <t>RAGUNDA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33047-2023</t>
        </is>
      </c>
      <c r="B1116" s="1" t="n">
        <v>45126</v>
      </c>
      <c r="C1116" s="1" t="n">
        <v>45360</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33038-2023</t>
        </is>
      </c>
      <c r="B1117" s="1" t="n">
        <v>45126</v>
      </c>
      <c r="C1117" s="1" t="n">
        <v>45360</v>
      </c>
      <c r="D1117" t="inlineStr">
        <is>
          <t>JÄMTLANDS LÄN</t>
        </is>
      </c>
      <c r="E1117" t="inlineStr">
        <is>
          <t>RAGUNDA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33046-2023</t>
        </is>
      </c>
      <c r="B1118" s="1" t="n">
        <v>45126</v>
      </c>
      <c r="C1118" s="1" t="n">
        <v>45360</v>
      </c>
      <c r="D1118" t="inlineStr">
        <is>
          <t>JÄMTLANDS LÄN</t>
        </is>
      </c>
      <c r="E1118" t="inlineStr">
        <is>
          <t>RAGUNDA</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33432-2023</t>
        </is>
      </c>
      <c r="B1119" s="1" t="n">
        <v>45128</v>
      </c>
      <c r="C1119" s="1" t="n">
        <v>45360</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33589-2023</t>
        </is>
      </c>
      <c r="B1120" s="1" t="n">
        <v>45132</v>
      </c>
      <c r="C1120" s="1" t="n">
        <v>45360</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33588-2023</t>
        </is>
      </c>
      <c r="B1121" s="1" t="n">
        <v>45131</v>
      </c>
      <c r="C1121" s="1" t="n">
        <v>45360</v>
      </c>
      <c r="D1121" t="inlineStr">
        <is>
          <t>JÄMTLANDS LÄN</t>
        </is>
      </c>
      <c r="E1121" t="inlineStr">
        <is>
          <t>RAGUNDA</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33717-2023</t>
        </is>
      </c>
      <c r="B1122" s="1" t="n">
        <v>45132</v>
      </c>
      <c r="C1122" s="1" t="n">
        <v>45360</v>
      </c>
      <c r="D1122" t="inlineStr">
        <is>
          <t>JÄMTLANDS LÄN</t>
        </is>
      </c>
      <c r="E1122" t="inlineStr">
        <is>
          <t>RAGUNDA</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33877-2023</t>
        </is>
      </c>
      <c r="B1123" s="1" t="n">
        <v>45133</v>
      </c>
      <c r="C1123" s="1" t="n">
        <v>45360</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34322-2023</t>
        </is>
      </c>
      <c r="B1124" s="1" t="n">
        <v>45139</v>
      </c>
      <c r="C1124" s="1" t="n">
        <v>45360</v>
      </c>
      <c r="D1124" t="inlineStr">
        <is>
          <t>JÄMTLANDS LÄN</t>
        </is>
      </c>
      <c r="E1124" t="inlineStr">
        <is>
          <t>RAGUNDA</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34321-2023</t>
        </is>
      </c>
      <c r="B1125" s="1" t="n">
        <v>45138</v>
      </c>
      <c r="C1125" s="1" t="n">
        <v>45360</v>
      </c>
      <c r="D1125" t="inlineStr">
        <is>
          <t>JÄMTLANDS LÄN</t>
        </is>
      </c>
      <c r="E1125" t="inlineStr">
        <is>
          <t>RAGUNDA</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34323-2023</t>
        </is>
      </c>
      <c r="B1126" s="1" t="n">
        <v>45139</v>
      </c>
      <c r="C1126" s="1" t="n">
        <v>45360</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34483-2023</t>
        </is>
      </c>
      <c r="B1127" s="1" t="n">
        <v>45140</v>
      </c>
      <c r="C1127" s="1" t="n">
        <v>45360</v>
      </c>
      <c r="D1127" t="inlineStr">
        <is>
          <t>JÄMTLANDS LÄN</t>
        </is>
      </c>
      <c r="E1127" t="inlineStr">
        <is>
          <t>RAGUNDA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34689-2023</t>
        </is>
      </c>
      <c r="B1128" s="1" t="n">
        <v>45141</v>
      </c>
      <c r="C1128" s="1" t="n">
        <v>45360</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34691-2023</t>
        </is>
      </c>
      <c r="B1129" s="1" t="n">
        <v>45141</v>
      </c>
      <c r="C1129" s="1" t="n">
        <v>45360</v>
      </c>
      <c r="D1129" t="inlineStr">
        <is>
          <t>JÄMTLANDS LÄN</t>
        </is>
      </c>
      <c r="E1129" t="inlineStr">
        <is>
          <t>RAGUNDA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35009-2023</t>
        </is>
      </c>
      <c r="B1130" s="1" t="n">
        <v>45142</v>
      </c>
      <c r="C1130" s="1" t="n">
        <v>45360</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35272-2023</t>
        </is>
      </c>
      <c r="B1131" s="1" t="n">
        <v>45146</v>
      </c>
      <c r="C1131" s="1" t="n">
        <v>45360</v>
      </c>
      <c r="D1131" t="inlineStr">
        <is>
          <t>JÄMTLANDS LÄN</t>
        </is>
      </c>
      <c r="E1131" t="inlineStr">
        <is>
          <t>RAGUNDA</t>
        </is>
      </c>
      <c r="F1131" t="inlineStr">
        <is>
          <t>SCA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35265-2023</t>
        </is>
      </c>
      <c r="B1132" s="1" t="n">
        <v>45146</v>
      </c>
      <c r="C1132" s="1" t="n">
        <v>45360</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35273-2023</t>
        </is>
      </c>
      <c r="B1133" s="1" t="n">
        <v>45146</v>
      </c>
      <c r="C1133" s="1" t="n">
        <v>45360</v>
      </c>
      <c r="D1133" t="inlineStr">
        <is>
          <t>JÄMTLANDS LÄN</t>
        </is>
      </c>
      <c r="E1133" t="inlineStr">
        <is>
          <t>RAGUNDA</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35274-2023</t>
        </is>
      </c>
      <c r="B1134" s="1" t="n">
        <v>45145</v>
      </c>
      <c r="C1134" s="1" t="n">
        <v>45360</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35565-2023</t>
        </is>
      </c>
      <c r="B1135" s="1" t="n">
        <v>45146</v>
      </c>
      <c r="C1135" s="1" t="n">
        <v>45360</v>
      </c>
      <c r="D1135" t="inlineStr">
        <is>
          <t>JÄMTLANDS LÄN</t>
        </is>
      </c>
      <c r="E1135" t="inlineStr">
        <is>
          <t>RAGUNDA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35912-2023</t>
        </is>
      </c>
      <c r="B1136" s="1" t="n">
        <v>45148</v>
      </c>
      <c r="C1136" s="1" t="n">
        <v>45360</v>
      </c>
      <c r="D1136" t="inlineStr">
        <is>
          <t>JÄMTLANDS LÄN</t>
        </is>
      </c>
      <c r="E1136" t="inlineStr">
        <is>
          <t>RAGUNDA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36046-2023</t>
        </is>
      </c>
      <c r="B1137" s="1" t="n">
        <v>45148</v>
      </c>
      <c r="C1137" s="1" t="n">
        <v>45360</v>
      </c>
      <c r="D1137" t="inlineStr">
        <is>
          <t>JÄMTLANDS LÄN</t>
        </is>
      </c>
      <c r="E1137" t="inlineStr">
        <is>
          <t>RAGUNDA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36206-2023</t>
        </is>
      </c>
      <c r="B1138" s="1" t="n">
        <v>45150</v>
      </c>
      <c r="C1138" s="1" t="n">
        <v>45360</v>
      </c>
      <c r="D1138" t="inlineStr">
        <is>
          <t>JÄMTLANDS LÄN</t>
        </is>
      </c>
      <c r="E1138" t="inlineStr">
        <is>
          <t>RAGUNDA</t>
        </is>
      </c>
      <c r="F1138" t="inlineStr">
        <is>
          <t>SCA</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36227-2023</t>
        </is>
      </c>
      <c r="B1139" s="1" t="n">
        <v>45150</v>
      </c>
      <c r="C1139" s="1" t="n">
        <v>45360</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36212-2023</t>
        </is>
      </c>
      <c r="B1140" s="1" t="n">
        <v>45150</v>
      </c>
      <c r="C1140" s="1" t="n">
        <v>45360</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36213-2023</t>
        </is>
      </c>
      <c r="B1141" s="1" t="n">
        <v>45150</v>
      </c>
      <c r="C1141" s="1" t="n">
        <v>45360</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36226-2023</t>
        </is>
      </c>
      <c r="B1142" s="1" t="n">
        <v>45150</v>
      </c>
      <c r="C1142" s="1" t="n">
        <v>45360</v>
      </c>
      <c r="D1142" t="inlineStr">
        <is>
          <t>JÄMTLANDS LÄN</t>
        </is>
      </c>
      <c r="E1142" t="inlineStr">
        <is>
          <t>RAGUNDA</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36371-2023</t>
        </is>
      </c>
      <c r="B1143" s="1" t="n">
        <v>45149</v>
      </c>
      <c r="C1143" s="1" t="n">
        <v>45360</v>
      </c>
      <c r="D1143" t="inlineStr">
        <is>
          <t>JÄMTLANDS LÄN</t>
        </is>
      </c>
      <c r="E1143" t="inlineStr">
        <is>
          <t>RAGUNDA</t>
        </is>
      </c>
      <c r="G1143" t="n">
        <v>25.7</v>
      </c>
      <c r="H1143" t="n">
        <v>0</v>
      </c>
      <c r="I1143" t="n">
        <v>0</v>
      </c>
      <c r="J1143" t="n">
        <v>0</v>
      </c>
      <c r="K1143" t="n">
        <v>0</v>
      </c>
      <c r="L1143" t="n">
        <v>0</v>
      </c>
      <c r="M1143" t="n">
        <v>0</v>
      </c>
      <c r="N1143" t="n">
        <v>0</v>
      </c>
      <c r="O1143" t="n">
        <v>0</v>
      </c>
      <c r="P1143" t="n">
        <v>0</v>
      </c>
      <c r="Q1143" t="n">
        <v>0</v>
      </c>
      <c r="R1143" s="2" t="inlineStr"/>
    </row>
    <row r="1144" ht="15" customHeight="1">
      <c r="A1144" t="inlineStr">
        <is>
          <t>A 36506-2023</t>
        </is>
      </c>
      <c r="B1144" s="1" t="n">
        <v>45153</v>
      </c>
      <c r="C1144" s="1" t="n">
        <v>45360</v>
      </c>
      <c r="D1144" t="inlineStr">
        <is>
          <t>JÄMTLANDS LÄN</t>
        </is>
      </c>
      <c r="E1144" t="inlineStr">
        <is>
          <t>RAGUNDA</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36755-2023</t>
        </is>
      </c>
      <c r="B1145" s="1" t="n">
        <v>45153</v>
      </c>
      <c r="C1145" s="1" t="n">
        <v>45360</v>
      </c>
      <c r="D1145" t="inlineStr">
        <is>
          <t>JÄMTLANDS LÄN</t>
        </is>
      </c>
      <c r="E1145" t="inlineStr">
        <is>
          <t>RAGUNDA</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36859-2023</t>
        </is>
      </c>
      <c r="B1146" s="1" t="n">
        <v>45153</v>
      </c>
      <c r="C1146" s="1" t="n">
        <v>45360</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36985-2023</t>
        </is>
      </c>
      <c r="B1147" s="1" t="n">
        <v>45155</v>
      </c>
      <c r="C1147" s="1" t="n">
        <v>45360</v>
      </c>
      <c r="D1147" t="inlineStr">
        <is>
          <t>JÄMTLANDS LÄN</t>
        </is>
      </c>
      <c r="E1147" t="inlineStr">
        <is>
          <t>RAGUNDA</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36986-2023</t>
        </is>
      </c>
      <c r="B1148" s="1" t="n">
        <v>45155</v>
      </c>
      <c r="C1148" s="1" t="n">
        <v>45360</v>
      </c>
      <c r="D1148" t="inlineStr">
        <is>
          <t>JÄMTLANDS LÄN</t>
        </is>
      </c>
      <c r="E1148" t="inlineStr">
        <is>
          <t>RAGUNDA</t>
        </is>
      </c>
      <c r="F1148" t="inlineStr">
        <is>
          <t>SCA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37251-2023</t>
        </is>
      </c>
      <c r="B1149" s="1" t="n">
        <v>45156</v>
      </c>
      <c r="C1149" s="1" t="n">
        <v>45360</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37480-2023</t>
        </is>
      </c>
      <c r="B1150" s="1" t="n">
        <v>45156</v>
      </c>
      <c r="C1150" s="1" t="n">
        <v>45360</v>
      </c>
      <c r="D1150" t="inlineStr">
        <is>
          <t>JÄMTLANDS LÄN</t>
        </is>
      </c>
      <c r="E1150" t="inlineStr">
        <is>
          <t>RAGUNDA</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37479-2023</t>
        </is>
      </c>
      <c r="B1151" s="1" t="n">
        <v>45156</v>
      </c>
      <c r="C1151" s="1" t="n">
        <v>45360</v>
      </c>
      <c r="D1151" t="inlineStr">
        <is>
          <t>JÄMTLANDS LÄN</t>
        </is>
      </c>
      <c r="E1151" t="inlineStr">
        <is>
          <t>RAGUNDA</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37536-2023</t>
        </is>
      </c>
      <c r="B1152" s="1" t="n">
        <v>45159</v>
      </c>
      <c r="C1152" s="1" t="n">
        <v>45360</v>
      </c>
      <c r="D1152" t="inlineStr">
        <is>
          <t>JÄMTLANDS LÄN</t>
        </is>
      </c>
      <c r="E1152" t="inlineStr">
        <is>
          <t>RAGUNDA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37544-2023</t>
        </is>
      </c>
      <c r="B1153" s="1" t="n">
        <v>45159</v>
      </c>
      <c r="C1153" s="1" t="n">
        <v>45360</v>
      </c>
      <c r="D1153" t="inlineStr">
        <is>
          <t>JÄMTLANDS LÄN</t>
        </is>
      </c>
      <c r="E1153" t="inlineStr">
        <is>
          <t>RAGUNDA</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37543-2023</t>
        </is>
      </c>
      <c r="B1154" s="1" t="n">
        <v>45159</v>
      </c>
      <c r="C1154" s="1" t="n">
        <v>45360</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37795-2023</t>
        </is>
      </c>
      <c r="B1155" s="1" t="n">
        <v>45160</v>
      </c>
      <c r="C1155" s="1" t="n">
        <v>45360</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37805-2023</t>
        </is>
      </c>
      <c r="B1156" s="1" t="n">
        <v>45160</v>
      </c>
      <c r="C1156" s="1" t="n">
        <v>45360</v>
      </c>
      <c r="D1156" t="inlineStr">
        <is>
          <t>JÄMTLANDS LÄN</t>
        </is>
      </c>
      <c r="E1156" t="inlineStr">
        <is>
          <t>RAGUNDA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37804-2023</t>
        </is>
      </c>
      <c r="B1157" s="1" t="n">
        <v>45160</v>
      </c>
      <c r="C1157" s="1" t="n">
        <v>45360</v>
      </c>
      <c r="D1157" t="inlineStr">
        <is>
          <t>JÄMTLANDS LÄN</t>
        </is>
      </c>
      <c r="E1157" t="inlineStr">
        <is>
          <t>RAGUNDA</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39070-2023</t>
        </is>
      </c>
      <c r="B1158" s="1" t="n">
        <v>45164</v>
      </c>
      <c r="C1158" s="1" t="n">
        <v>45360</v>
      </c>
      <c r="D1158" t="inlineStr">
        <is>
          <t>JÄMTLANDS LÄN</t>
        </is>
      </c>
      <c r="E1158" t="inlineStr">
        <is>
          <t>RAGUNDA</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39076-2023</t>
        </is>
      </c>
      <c r="B1159" s="1" t="n">
        <v>45163</v>
      </c>
      <c r="C1159" s="1" t="n">
        <v>45360</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39478-2023</t>
        </is>
      </c>
      <c r="B1160" s="1" t="n">
        <v>45166</v>
      </c>
      <c r="C1160" s="1" t="n">
        <v>45360</v>
      </c>
      <c r="D1160" t="inlineStr">
        <is>
          <t>JÄMTLANDS LÄN</t>
        </is>
      </c>
      <c r="E1160" t="inlineStr">
        <is>
          <t>RAGUNDA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39482-2023</t>
        </is>
      </c>
      <c r="B1161" s="1" t="n">
        <v>45167</v>
      </c>
      <c r="C1161" s="1" t="n">
        <v>45360</v>
      </c>
      <c r="D1161" t="inlineStr">
        <is>
          <t>JÄMTLANDS LÄN</t>
        </is>
      </c>
      <c r="E1161" t="inlineStr">
        <is>
          <t>RAGUNDA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39487-2023</t>
        </is>
      </c>
      <c r="B1162" s="1" t="n">
        <v>45167</v>
      </c>
      <c r="C1162" s="1" t="n">
        <v>45360</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39489-2023</t>
        </is>
      </c>
      <c r="B1163" s="1" t="n">
        <v>45166</v>
      </c>
      <c r="C1163" s="1" t="n">
        <v>45360</v>
      </c>
      <c r="D1163" t="inlineStr">
        <is>
          <t>JÄMTLANDS LÄN</t>
        </is>
      </c>
      <c r="E1163" t="inlineStr">
        <is>
          <t>RAGUNDA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39488-2023</t>
        </is>
      </c>
      <c r="B1164" s="1" t="n">
        <v>45166</v>
      </c>
      <c r="C1164" s="1" t="n">
        <v>45360</v>
      </c>
      <c r="D1164" t="inlineStr">
        <is>
          <t>JÄMTLANDS LÄN</t>
        </is>
      </c>
      <c r="E1164" t="inlineStr">
        <is>
          <t>RAGUNDA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39481-2023</t>
        </is>
      </c>
      <c r="B1165" s="1" t="n">
        <v>45167</v>
      </c>
      <c r="C1165" s="1" t="n">
        <v>45360</v>
      </c>
      <c r="D1165" t="inlineStr">
        <is>
          <t>JÄMTLANDS LÄN</t>
        </is>
      </c>
      <c r="E1165" t="inlineStr">
        <is>
          <t>RAGUNDA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39820-2023</t>
        </is>
      </c>
      <c r="B1166" s="1" t="n">
        <v>45167</v>
      </c>
      <c r="C1166" s="1" t="n">
        <v>45360</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40801-2023</t>
        </is>
      </c>
      <c r="B1167" s="1" t="n">
        <v>45170</v>
      </c>
      <c r="C1167" s="1" t="n">
        <v>45360</v>
      </c>
      <c r="D1167" t="inlineStr">
        <is>
          <t>JÄMTLANDS LÄN</t>
        </is>
      </c>
      <c r="E1167" t="inlineStr">
        <is>
          <t>RAGUNDA</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40800-2023</t>
        </is>
      </c>
      <c r="B1168" s="1" t="n">
        <v>45171</v>
      </c>
      <c r="C1168" s="1" t="n">
        <v>45360</v>
      </c>
      <c r="D1168" t="inlineStr">
        <is>
          <t>JÄMTLANDS LÄN</t>
        </is>
      </c>
      <c r="E1168" t="inlineStr">
        <is>
          <t>RAGUNDA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41413-2023</t>
        </is>
      </c>
      <c r="B1169" s="1" t="n">
        <v>45175</v>
      </c>
      <c r="C1169" s="1" t="n">
        <v>45360</v>
      </c>
      <c r="D1169" t="inlineStr">
        <is>
          <t>JÄMTLANDS LÄN</t>
        </is>
      </c>
      <c r="E1169" t="inlineStr">
        <is>
          <t>RAGUNDA</t>
        </is>
      </c>
      <c r="F1169" t="inlineStr">
        <is>
          <t>SCA</t>
        </is>
      </c>
      <c r="G1169" t="n">
        <v>40.6</v>
      </c>
      <c r="H1169" t="n">
        <v>0</v>
      </c>
      <c r="I1169" t="n">
        <v>0</v>
      </c>
      <c r="J1169" t="n">
        <v>0</v>
      </c>
      <c r="K1169" t="n">
        <v>0</v>
      </c>
      <c r="L1169" t="n">
        <v>0</v>
      </c>
      <c r="M1169" t="n">
        <v>0</v>
      </c>
      <c r="N1169" t="n">
        <v>0</v>
      </c>
      <c r="O1169" t="n">
        <v>0</v>
      </c>
      <c r="P1169" t="n">
        <v>0</v>
      </c>
      <c r="Q1169" t="n">
        <v>0</v>
      </c>
      <c r="R1169" s="2" t="inlineStr"/>
    </row>
    <row r="1170" ht="15" customHeight="1">
      <c r="A1170" t="inlineStr">
        <is>
          <t>A 41402-2023</t>
        </is>
      </c>
      <c r="B1170" s="1" t="n">
        <v>45175</v>
      </c>
      <c r="C1170" s="1" t="n">
        <v>45360</v>
      </c>
      <c r="D1170" t="inlineStr">
        <is>
          <t>JÄMTLANDS LÄN</t>
        </is>
      </c>
      <c r="E1170" t="inlineStr">
        <is>
          <t>RAGUNDA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42295-2023</t>
        </is>
      </c>
      <c r="B1171" s="1" t="n">
        <v>45175</v>
      </c>
      <c r="C1171" s="1" t="n">
        <v>45360</v>
      </c>
      <c r="D1171" t="inlineStr">
        <is>
          <t>JÄMTLANDS LÄN</t>
        </is>
      </c>
      <c r="E1171" t="inlineStr">
        <is>
          <t>RAGUNDA</t>
        </is>
      </c>
      <c r="F1171" t="inlineStr">
        <is>
          <t>Kommuner</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41656-2023</t>
        </is>
      </c>
      <c r="B1172" s="1" t="n">
        <v>45175</v>
      </c>
      <c r="C1172" s="1" t="n">
        <v>45360</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41693-2023</t>
        </is>
      </c>
      <c r="B1173" s="1" t="n">
        <v>45176</v>
      </c>
      <c r="C1173" s="1" t="n">
        <v>45360</v>
      </c>
      <c r="D1173" t="inlineStr">
        <is>
          <t>JÄMTLANDS LÄN</t>
        </is>
      </c>
      <c r="E1173" t="inlineStr">
        <is>
          <t>RAGUNDA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41766-2023</t>
        </is>
      </c>
      <c r="B1174" s="1" t="n">
        <v>45176</v>
      </c>
      <c r="C1174" s="1" t="n">
        <v>45360</v>
      </c>
      <c r="D1174" t="inlineStr">
        <is>
          <t>JÄMTLANDS LÄN</t>
        </is>
      </c>
      <c r="E1174" t="inlineStr">
        <is>
          <t>RAGUNDA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41905-2023</t>
        </is>
      </c>
      <c r="B1175" s="1" t="n">
        <v>45176</v>
      </c>
      <c r="C1175" s="1" t="n">
        <v>45360</v>
      </c>
      <c r="D1175" t="inlineStr">
        <is>
          <t>JÄMTLANDS LÄN</t>
        </is>
      </c>
      <c r="E1175" t="inlineStr">
        <is>
          <t>RAGUNDA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42149-2023</t>
        </is>
      </c>
      <c r="B1176" s="1" t="n">
        <v>45177</v>
      </c>
      <c r="C1176" s="1" t="n">
        <v>45360</v>
      </c>
      <c r="D1176" t="inlineStr">
        <is>
          <t>JÄMTLANDS LÄN</t>
        </is>
      </c>
      <c r="E1176" t="inlineStr">
        <is>
          <t>RAGUNDA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42510-2023</t>
        </is>
      </c>
      <c r="B1177" s="1" t="n">
        <v>45181</v>
      </c>
      <c r="C1177" s="1" t="n">
        <v>45360</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42509-2023</t>
        </is>
      </c>
      <c r="B1178" s="1" t="n">
        <v>45180</v>
      </c>
      <c r="C1178" s="1" t="n">
        <v>45360</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42508-2023</t>
        </is>
      </c>
      <c r="B1179" s="1" t="n">
        <v>45181</v>
      </c>
      <c r="C1179" s="1" t="n">
        <v>45360</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43607-2023</t>
        </is>
      </c>
      <c r="B1180" s="1" t="n">
        <v>45181</v>
      </c>
      <c r="C1180" s="1" t="n">
        <v>45360</v>
      </c>
      <c r="D1180" t="inlineStr">
        <is>
          <t>JÄMTLANDS LÄN</t>
        </is>
      </c>
      <c r="E1180" t="inlineStr">
        <is>
          <t>RAGUNDA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43102-2023</t>
        </is>
      </c>
      <c r="B1181" s="1" t="n">
        <v>45182</v>
      </c>
      <c r="C1181" s="1" t="n">
        <v>45360</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43122-2023</t>
        </is>
      </c>
      <c r="B1182" s="1" t="n">
        <v>45183</v>
      </c>
      <c r="C1182" s="1" t="n">
        <v>45360</v>
      </c>
      <c r="D1182" t="inlineStr">
        <is>
          <t>JÄMTLANDS LÄN</t>
        </is>
      </c>
      <c r="E1182" t="inlineStr">
        <is>
          <t>RAGUNDA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43132-2023</t>
        </is>
      </c>
      <c r="B1183" s="1" t="n">
        <v>45182</v>
      </c>
      <c r="C1183" s="1" t="n">
        <v>45360</v>
      </c>
      <c r="D1183" t="inlineStr">
        <is>
          <t>JÄMTLANDS LÄN</t>
        </is>
      </c>
      <c r="E1183" t="inlineStr">
        <is>
          <t>RAGUNDA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43926-2023</t>
        </is>
      </c>
      <c r="B1184" s="1" t="n">
        <v>45182</v>
      </c>
      <c r="C1184" s="1" t="n">
        <v>45360</v>
      </c>
      <c r="D1184" t="inlineStr">
        <is>
          <t>JÄMTLANDS LÄN</t>
        </is>
      </c>
      <c r="E1184" t="inlineStr">
        <is>
          <t>RAGUNDA</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43405-2023</t>
        </is>
      </c>
      <c r="B1185" s="1" t="n">
        <v>45184</v>
      </c>
      <c r="C1185" s="1" t="n">
        <v>45360</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43409-2023</t>
        </is>
      </c>
      <c r="B1186" s="1" t="n">
        <v>45184</v>
      </c>
      <c r="C1186" s="1" t="n">
        <v>45360</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44630-2023</t>
        </is>
      </c>
      <c r="B1187" s="1" t="n">
        <v>45184</v>
      </c>
      <c r="C1187" s="1" t="n">
        <v>45360</v>
      </c>
      <c r="D1187" t="inlineStr">
        <is>
          <t>JÄMTLANDS LÄN</t>
        </is>
      </c>
      <c r="E1187" t="inlineStr">
        <is>
          <t>RAGUNDA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44881-2023</t>
        </is>
      </c>
      <c r="B1188" s="1" t="n">
        <v>45187</v>
      </c>
      <c r="C1188" s="1" t="n">
        <v>45360</v>
      </c>
      <c r="D1188" t="inlineStr">
        <is>
          <t>JÄMTLANDS LÄN</t>
        </is>
      </c>
      <c r="E1188" t="inlineStr">
        <is>
          <t>RAGUNDA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45257-2023</t>
        </is>
      </c>
      <c r="B1189" s="1" t="n">
        <v>45187</v>
      </c>
      <c r="C1189" s="1" t="n">
        <v>45360</v>
      </c>
      <c r="D1189" t="inlineStr">
        <is>
          <t>JÄMTLANDS LÄN</t>
        </is>
      </c>
      <c r="E1189" t="inlineStr">
        <is>
          <t>RAGUNDA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45253-2023</t>
        </is>
      </c>
      <c r="B1190" s="1" t="n">
        <v>45187</v>
      </c>
      <c r="C1190" s="1" t="n">
        <v>45360</v>
      </c>
      <c r="D1190" t="inlineStr">
        <is>
          <t>JÄMTLANDS LÄN</t>
        </is>
      </c>
      <c r="E1190" t="inlineStr">
        <is>
          <t>RAGUNDA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44987-2023</t>
        </is>
      </c>
      <c r="B1191" s="1" t="n">
        <v>45191</v>
      </c>
      <c r="C1191" s="1" t="n">
        <v>45360</v>
      </c>
      <c r="D1191" t="inlineStr">
        <is>
          <t>JÄMTLANDS LÄN</t>
        </is>
      </c>
      <c r="E1191" t="inlineStr">
        <is>
          <t>RAGUNDA</t>
        </is>
      </c>
      <c r="F1191" t="inlineStr">
        <is>
          <t>SCA</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44999-2023</t>
        </is>
      </c>
      <c r="B1192" s="1" t="n">
        <v>45191</v>
      </c>
      <c r="C1192" s="1" t="n">
        <v>45360</v>
      </c>
      <c r="D1192" t="inlineStr">
        <is>
          <t>JÄMTLANDS LÄN</t>
        </is>
      </c>
      <c r="E1192" t="inlineStr">
        <is>
          <t>RAGUNDA</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44980-2023</t>
        </is>
      </c>
      <c r="B1193" s="1" t="n">
        <v>45190</v>
      </c>
      <c r="C1193" s="1" t="n">
        <v>45360</v>
      </c>
      <c r="D1193" t="inlineStr">
        <is>
          <t>JÄMTLANDS LÄN</t>
        </is>
      </c>
      <c r="E1193" t="inlineStr">
        <is>
          <t>RAGUNDA</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44988-2023</t>
        </is>
      </c>
      <c r="B1194" s="1" t="n">
        <v>45190</v>
      </c>
      <c r="C1194" s="1" t="n">
        <v>45360</v>
      </c>
      <c r="D1194" t="inlineStr">
        <is>
          <t>JÄMTLANDS LÄN</t>
        </is>
      </c>
      <c r="E1194" t="inlineStr">
        <is>
          <t>RAGUNDA</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44996-2023</t>
        </is>
      </c>
      <c r="B1195" s="1" t="n">
        <v>45191</v>
      </c>
      <c r="C1195" s="1" t="n">
        <v>45360</v>
      </c>
      <c r="D1195" t="inlineStr">
        <is>
          <t>JÄMTLANDS LÄN</t>
        </is>
      </c>
      <c r="E1195" t="inlineStr">
        <is>
          <t>RAGUNDA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45008-2023</t>
        </is>
      </c>
      <c r="B1196" s="1" t="n">
        <v>45191</v>
      </c>
      <c r="C1196" s="1" t="n">
        <v>45360</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45020-2023</t>
        </is>
      </c>
      <c r="B1197" s="1" t="n">
        <v>45191</v>
      </c>
      <c r="C1197" s="1" t="n">
        <v>45360</v>
      </c>
      <c r="D1197" t="inlineStr">
        <is>
          <t>JÄMTLANDS LÄN</t>
        </is>
      </c>
      <c r="E1197" t="inlineStr">
        <is>
          <t>RAGUNDA</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44997-2023</t>
        </is>
      </c>
      <c r="B1198" s="1" t="n">
        <v>45191</v>
      </c>
      <c r="C1198" s="1" t="n">
        <v>45360</v>
      </c>
      <c r="D1198" t="inlineStr">
        <is>
          <t>JÄMTLANDS LÄN</t>
        </is>
      </c>
      <c r="E1198" t="inlineStr">
        <is>
          <t>RAGUNDA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45336-2023</t>
        </is>
      </c>
      <c r="B1199" s="1" t="n">
        <v>45192</v>
      </c>
      <c r="C1199" s="1" t="n">
        <v>45360</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45335-2023</t>
        </is>
      </c>
      <c r="B1200" s="1" t="n">
        <v>45191</v>
      </c>
      <c r="C1200" s="1" t="n">
        <v>45360</v>
      </c>
      <c r="D1200" t="inlineStr">
        <is>
          <t>JÄMTLANDS LÄN</t>
        </is>
      </c>
      <c r="E1200" t="inlineStr">
        <is>
          <t>RAGUNDA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45338-2023</t>
        </is>
      </c>
      <c r="B1201" s="1" t="n">
        <v>45192</v>
      </c>
      <c r="C1201" s="1" t="n">
        <v>45360</v>
      </c>
      <c r="D1201" t="inlineStr">
        <is>
          <t>JÄMTLANDS LÄN</t>
        </is>
      </c>
      <c r="E1201" t="inlineStr">
        <is>
          <t>RAGUNDA</t>
        </is>
      </c>
      <c r="F1201" t="inlineStr">
        <is>
          <t>SCA</t>
        </is>
      </c>
      <c r="G1201" t="n">
        <v>23.4</v>
      </c>
      <c r="H1201" t="n">
        <v>0</v>
      </c>
      <c r="I1201" t="n">
        <v>0</v>
      </c>
      <c r="J1201" t="n">
        <v>0</v>
      </c>
      <c r="K1201" t="n">
        <v>0</v>
      </c>
      <c r="L1201" t="n">
        <v>0</v>
      </c>
      <c r="M1201" t="n">
        <v>0</v>
      </c>
      <c r="N1201" t="n">
        <v>0</v>
      </c>
      <c r="O1201" t="n">
        <v>0</v>
      </c>
      <c r="P1201" t="n">
        <v>0</v>
      </c>
      <c r="Q1201" t="n">
        <v>0</v>
      </c>
      <c r="R1201" s="2" t="inlineStr"/>
    </row>
    <row r="1202" ht="15" customHeight="1">
      <c r="A1202" t="inlineStr">
        <is>
          <t>A 45953-2023</t>
        </is>
      </c>
      <c r="B1202" s="1" t="n">
        <v>45196</v>
      </c>
      <c r="C1202" s="1" t="n">
        <v>45360</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45974-2023</t>
        </is>
      </c>
      <c r="B1203" s="1" t="n">
        <v>45196</v>
      </c>
      <c r="C1203" s="1" t="n">
        <v>45360</v>
      </c>
      <c r="D1203" t="inlineStr">
        <is>
          <t>JÄMTLANDS LÄN</t>
        </is>
      </c>
      <c r="E1203" t="inlineStr">
        <is>
          <t>RAGUNDA</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45954-2023</t>
        </is>
      </c>
      <c r="B1204" s="1" t="n">
        <v>45196</v>
      </c>
      <c r="C1204" s="1" t="n">
        <v>45360</v>
      </c>
      <c r="D1204" t="inlineStr">
        <is>
          <t>JÄMTLANDS LÄN</t>
        </is>
      </c>
      <c r="E1204" t="inlineStr">
        <is>
          <t>RAGUNDA</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45952-2023</t>
        </is>
      </c>
      <c r="B1205" s="1" t="n">
        <v>45195</v>
      </c>
      <c r="C1205" s="1" t="n">
        <v>45360</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45955-2023</t>
        </is>
      </c>
      <c r="B1206" s="1" t="n">
        <v>45196</v>
      </c>
      <c r="C1206" s="1" t="n">
        <v>45360</v>
      </c>
      <c r="D1206" t="inlineStr">
        <is>
          <t>JÄMTLANDS LÄN</t>
        </is>
      </c>
      <c r="E1206" t="inlineStr">
        <is>
          <t>RAGUNDA</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47319-2023</t>
        </is>
      </c>
      <c r="B1207" s="1" t="n">
        <v>45196</v>
      </c>
      <c r="C1207" s="1" t="n">
        <v>45360</v>
      </c>
      <c r="D1207" t="inlineStr">
        <is>
          <t>JÄMTLANDS LÄN</t>
        </is>
      </c>
      <c r="E1207" t="inlineStr">
        <is>
          <t>RAGUNDA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46536-2023</t>
        </is>
      </c>
      <c r="B1208" s="1" t="n">
        <v>45198</v>
      </c>
      <c r="C1208" s="1" t="n">
        <v>45360</v>
      </c>
      <c r="D1208" t="inlineStr">
        <is>
          <t>JÄMTLANDS LÄN</t>
        </is>
      </c>
      <c r="E1208" t="inlineStr">
        <is>
          <t>RAGUNDA</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46549-2023</t>
        </is>
      </c>
      <c r="B1209" s="1" t="n">
        <v>45198</v>
      </c>
      <c r="C1209" s="1" t="n">
        <v>45360</v>
      </c>
      <c r="D1209" t="inlineStr">
        <is>
          <t>JÄMTLANDS LÄN</t>
        </is>
      </c>
      <c r="E1209" t="inlineStr">
        <is>
          <t>RAGUNDA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46537-2023</t>
        </is>
      </c>
      <c r="B1210" s="1" t="n">
        <v>45197</v>
      </c>
      <c r="C1210" s="1" t="n">
        <v>45360</v>
      </c>
      <c r="D1210" t="inlineStr">
        <is>
          <t>JÄMTLANDS LÄN</t>
        </is>
      </c>
      <c r="E1210" t="inlineStr">
        <is>
          <t>RAGUNDA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46546-2023</t>
        </is>
      </c>
      <c r="B1211" s="1" t="n">
        <v>45198</v>
      </c>
      <c r="C1211" s="1" t="n">
        <v>45360</v>
      </c>
      <c r="D1211" t="inlineStr">
        <is>
          <t>JÄMTLANDS LÄN</t>
        </is>
      </c>
      <c r="E1211" t="inlineStr">
        <is>
          <t>RAGUNDA</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47444-2023</t>
        </is>
      </c>
      <c r="B1212" s="1" t="n">
        <v>45197</v>
      </c>
      <c r="C1212" s="1" t="n">
        <v>45360</v>
      </c>
      <c r="D1212" t="inlineStr">
        <is>
          <t>JÄMTLANDS LÄN</t>
        </is>
      </c>
      <c r="E1212" t="inlineStr">
        <is>
          <t>RAGUNDA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46817-2023</t>
        </is>
      </c>
      <c r="B1213" s="1" t="n">
        <v>45199</v>
      </c>
      <c r="C1213" s="1" t="n">
        <v>45360</v>
      </c>
      <c r="D1213" t="inlineStr">
        <is>
          <t>JÄMTLANDS LÄN</t>
        </is>
      </c>
      <c r="E1213" t="inlineStr">
        <is>
          <t>RAGUNDA</t>
        </is>
      </c>
      <c r="F1213" t="inlineStr">
        <is>
          <t>SCA</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46806-2023</t>
        </is>
      </c>
      <c r="B1214" s="1" t="n">
        <v>45199</v>
      </c>
      <c r="C1214" s="1" t="n">
        <v>45360</v>
      </c>
      <c r="D1214" t="inlineStr">
        <is>
          <t>JÄMTLANDS LÄN</t>
        </is>
      </c>
      <c r="E1214" t="inlineStr">
        <is>
          <t>RAGUNDA</t>
        </is>
      </c>
      <c r="F1214" t="inlineStr">
        <is>
          <t>SCA</t>
        </is>
      </c>
      <c r="G1214" t="n">
        <v>39.8</v>
      </c>
      <c r="H1214" t="n">
        <v>0</v>
      </c>
      <c r="I1214" t="n">
        <v>0</v>
      </c>
      <c r="J1214" t="n">
        <v>0</v>
      </c>
      <c r="K1214" t="n">
        <v>0</v>
      </c>
      <c r="L1214" t="n">
        <v>0</v>
      </c>
      <c r="M1214" t="n">
        <v>0</v>
      </c>
      <c r="N1214" t="n">
        <v>0</v>
      </c>
      <c r="O1214" t="n">
        <v>0</v>
      </c>
      <c r="P1214" t="n">
        <v>0</v>
      </c>
      <c r="Q1214" t="n">
        <v>0</v>
      </c>
      <c r="R1214" s="2" t="inlineStr"/>
    </row>
    <row r="1215" ht="15" customHeight="1">
      <c r="A1215" t="inlineStr">
        <is>
          <t>A 47168-2023</t>
        </is>
      </c>
      <c r="B1215" s="1" t="n">
        <v>45201</v>
      </c>
      <c r="C1215" s="1" t="n">
        <v>45360</v>
      </c>
      <c r="D1215" t="inlineStr">
        <is>
          <t>JÄMTLANDS LÄN</t>
        </is>
      </c>
      <c r="E1215" t="inlineStr">
        <is>
          <t>RAGUNDA</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47173-2023</t>
        </is>
      </c>
      <c r="B1216" s="1" t="n">
        <v>45202</v>
      </c>
      <c r="C1216" s="1" t="n">
        <v>45360</v>
      </c>
      <c r="D1216" t="inlineStr">
        <is>
          <t>JÄMTLANDS LÄN</t>
        </is>
      </c>
      <c r="E1216" t="inlineStr">
        <is>
          <t>RAGUNDA</t>
        </is>
      </c>
      <c r="F1216" t="inlineStr">
        <is>
          <t>SCA</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48065-2023</t>
        </is>
      </c>
      <c r="B1217" s="1" t="n">
        <v>45205</v>
      </c>
      <c r="C1217" s="1" t="n">
        <v>45360</v>
      </c>
      <c r="D1217" t="inlineStr">
        <is>
          <t>JÄMTLANDS LÄN</t>
        </is>
      </c>
      <c r="E1217" t="inlineStr">
        <is>
          <t>RAGUNDA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48066-2023</t>
        </is>
      </c>
      <c r="B1218" s="1" t="n">
        <v>45205</v>
      </c>
      <c r="C1218" s="1" t="n">
        <v>45360</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48421-2023</t>
        </is>
      </c>
      <c r="B1219" s="1" t="n">
        <v>45205</v>
      </c>
      <c r="C1219" s="1" t="n">
        <v>45360</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48469-2023</t>
        </is>
      </c>
      <c r="B1220" s="1" t="n">
        <v>45207</v>
      </c>
      <c r="C1220" s="1" t="n">
        <v>45360</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50160-2023</t>
        </is>
      </c>
      <c r="B1221" s="1" t="n">
        <v>45208</v>
      </c>
      <c r="C1221" s="1" t="n">
        <v>45360</v>
      </c>
      <c r="D1221" t="inlineStr">
        <is>
          <t>JÄMTLANDS LÄN</t>
        </is>
      </c>
      <c r="E1221" t="inlineStr">
        <is>
          <t>RAGUNDA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50157-2023</t>
        </is>
      </c>
      <c r="B1222" s="1" t="n">
        <v>45208</v>
      </c>
      <c r="C1222" s="1" t="n">
        <v>45360</v>
      </c>
      <c r="D1222" t="inlineStr">
        <is>
          <t>JÄMTLANDS LÄN</t>
        </is>
      </c>
      <c r="E1222" t="inlineStr">
        <is>
          <t>RAGUNDA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50658-2023</t>
        </is>
      </c>
      <c r="B1223" s="1" t="n">
        <v>45210</v>
      </c>
      <c r="C1223" s="1" t="n">
        <v>45360</v>
      </c>
      <c r="D1223" t="inlineStr">
        <is>
          <t>JÄMTLANDS LÄN</t>
        </is>
      </c>
      <c r="E1223" t="inlineStr">
        <is>
          <t>RAGUNDA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50650-2023</t>
        </is>
      </c>
      <c r="B1224" s="1" t="n">
        <v>45210</v>
      </c>
      <c r="C1224" s="1" t="n">
        <v>45360</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49650-2023</t>
        </is>
      </c>
      <c r="B1225" s="1" t="n">
        <v>45212</v>
      </c>
      <c r="C1225" s="1" t="n">
        <v>45360</v>
      </c>
      <c r="D1225" t="inlineStr">
        <is>
          <t>JÄMTLANDS LÄN</t>
        </is>
      </c>
      <c r="E1225" t="inlineStr">
        <is>
          <t>RAGUNDA</t>
        </is>
      </c>
      <c r="F1225" t="inlineStr">
        <is>
          <t>SCA</t>
        </is>
      </c>
      <c r="G1225" t="n">
        <v>19.8</v>
      </c>
      <c r="H1225" t="n">
        <v>0</v>
      </c>
      <c r="I1225" t="n">
        <v>0</v>
      </c>
      <c r="J1225" t="n">
        <v>0</v>
      </c>
      <c r="K1225" t="n">
        <v>0</v>
      </c>
      <c r="L1225" t="n">
        <v>0</v>
      </c>
      <c r="M1225" t="n">
        <v>0</v>
      </c>
      <c r="N1225" t="n">
        <v>0</v>
      </c>
      <c r="O1225" t="n">
        <v>0</v>
      </c>
      <c r="P1225" t="n">
        <v>0</v>
      </c>
      <c r="Q1225" t="n">
        <v>0</v>
      </c>
      <c r="R1225" s="2" t="inlineStr"/>
    </row>
    <row r="1226" ht="15" customHeight="1">
      <c r="A1226" t="inlineStr">
        <is>
          <t>A 49648-2023</t>
        </is>
      </c>
      <c r="B1226" s="1" t="n">
        <v>45212</v>
      </c>
      <c r="C1226" s="1" t="n">
        <v>45360</v>
      </c>
      <c r="D1226" t="inlineStr">
        <is>
          <t>JÄMTLANDS LÄN</t>
        </is>
      </c>
      <c r="E1226" t="inlineStr">
        <is>
          <t>RAGUNDA</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49659-2023</t>
        </is>
      </c>
      <c r="B1227" s="1" t="n">
        <v>45212</v>
      </c>
      <c r="C1227" s="1" t="n">
        <v>45360</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50211-2023</t>
        </is>
      </c>
      <c r="B1228" s="1" t="n">
        <v>45216</v>
      </c>
      <c r="C1228" s="1" t="n">
        <v>45360</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51503-2023</t>
        </is>
      </c>
      <c r="B1229" s="1" t="n">
        <v>45215</v>
      </c>
      <c r="C1229" s="1" t="n">
        <v>45360</v>
      </c>
      <c r="D1229" t="inlineStr">
        <is>
          <t>JÄMTLANDS LÄN</t>
        </is>
      </c>
      <c r="E1229" t="inlineStr">
        <is>
          <t>RAGUNDA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51646-2023</t>
        </is>
      </c>
      <c r="B1230" s="1" t="n">
        <v>45215</v>
      </c>
      <c r="C1230" s="1" t="n">
        <v>45360</v>
      </c>
      <c r="D1230" t="inlineStr">
        <is>
          <t>JÄMTLANDS LÄN</t>
        </is>
      </c>
      <c r="E1230" t="inlineStr">
        <is>
          <t>RAGUNDA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50486-2023</t>
        </is>
      </c>
      <c r="B1231" s="1" t="n">
        <v>45217</v>
      </c>
      <c r="C1231" s="1" t="n">
        <v>45360</v>
      </c>
      <c r="D1231" t="inlineStr">
        <is>
          <t>JÄMTLANDS LÄN</t>
        </is>
      </c>
      <c r="E1231" t="inlineStr">
        <is>
          <t>RAGUNDA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50485-2023</t>
        </is>
      </c>
      <c r="B1232" s="1" t="n">
        <v>45217</v>
      </c>
      <c r="C1232" s="1" t="n">
        <v>45360</v>
      </c>
      <c r="D1232" t="inlineStr">
        <is>
          <t>JÄMTLANDS LÄN</t>
        </is>
      </c>
      <c r="E1232" t="inlineStr">
        <is>
          <t>RAGUNDA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50487-2023</t>
        </is>
      </c>
      <c r="B1233" s="1" t="n">
        <v>45217</v>
      </c>
      <c r="C1233" s="1" t="n">
        <v>45360</v>
      </c>
      <c r="D1233" t="inlineStr">
        <is>
          <t>JÄMTLANDS LÄN</t>
        </is>
      </c>
      <c r="E1233" t="inlineStr">
        <is>
          <t>RAGUNDA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50483-2023</t>
        </is>
      </c>
      <c r="B1234" s="1" t="n">
        <v>45217</v>
      </c>
      <c r="C1234" s="1" t="n">
        <v>45360</v>
      </c>
      <c r="D1234" t="inlineStr">
        <is>
          <t>JÄMTLANDS LÄN</t>
        </is>
      </c>
      <c r="E1234" t="inlineStr">
        <is>
          <t>RAGUNDA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50484-2023</t>
        </is>
      </c>
      <c r="B1235" s="1" t="n">
        <v>45217</v>
      </c>
      <c r="C1235" s="1" t="n">
        <v>45360</v>
      </c>
      <c r="D1235" t="inlineStr">
        <is>
          <t>JÄMTLANDS LÄN</t>
        </is>
      </c>
      <c r="E1235" t="inlineStr">
        <is>
          <t>RAGUNDA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50831-2023</t>
        </is>
      </c>
      <c r="B1236" s="1" t="n">
        <v>45217</v>
      </c>
      <c r="C1236" s="1" t="n">
        <v>45360</v>
      </c>
      <c r="D1236" t="inlineStr">
        <is>
          <t>JÄMTLANDS LÄN</t>
        </is>
      </c>
      <c r="E1236" t="inlineStr">
        <is>
          <t>RAGUNDA</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50832-2023</t>
        </is>
      </c>
      <c r="B1237" s="1" t="n">
        <v>45218</v>
      </c>
      <c r="C1237" s="1" t="n">
        <v>45360</v>
      </c>
      <c r="D1237" t="inlineStr">
        <is>
          <t>JÄMTLANDS LÄN</t>
        </is>
      </c>
      <c r="E1237" t="inlineStr">
        <is>
          <t>RAGUNDA</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50848-2023</t>
        </is>
      </c>
      <c r="B1238" s="1" t="n">
        <v>45217</v>
      </c>
      <c r="C1238" s="1" t="n">
        <v>45360</v>
      </c>
      <c r="D1238" t="inlineStr">
        <is>
          <t>JÄMTLANDS LÄN</t>
        </is>
      </c>
      <c r="E1238" t="inlineStr">
        <is>
          <t>RAGUNDA</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52195-2023</t>
        </is>
      </c>
      <c r="B1239" s="1" t="n">
        <v>45217</v>
      </c>
      <c r="C1239" s="1" t="n">
        <v>45360</v>
      </c>
      <c r="D1239" t="inlineStr">
        <is>
          <t>JÄMTLANDS LÄN</t>
        </is>
      </c>
      <c r="E1239" t="inlineStr">
        <is>
          <t>RAGUNDA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50847-2023</t>
        </is>
      </c>
      <c r="B1240" s="1" t="n">
        <v>45217</v>
      </c>
      <c r="C1240" s="1" t="n">
        <v>45360</v>
      </c>
      <c r="D1240" t="inlineStr">
        <is>
          <t>JÄMTLANDS LÄN</t>
        </is>
      </c>
      <c r="E1240" t="inlineStr">
        <is>
          <t>RAGUNDA</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52550-2023</t>
        </is>
      </c>
      <c r="B1241" s="1" t="n">
        <v>45218</v>
      </c>
      <c r="C1241" s="1" t="n">
        <v>45360</v>
      </c>
      <c r="D1241" t="inlineStr">
        <is>
          <t>JÄMTLANDS LÄN</t>
        </is>
      </c>
      <c r="E1241" t="inlineStr">
        <is>
          <t>RAGUNDA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52544-2023</t>
        </is>
      </c>
      <c r="B1242" s="1" t="n">
        <v>45218</v>
      </c>
      <c r="C1242" s="1" t="n">
        <v>45360</v>
      </c>
      <c r="D1242" t="inlineStr">
        <is>
          <t>JÄMTLANDS LÄN</t>
        </is>
      </c>
      <c r="E1242" t="inlineStr">
        <is>
          <t>RAGUNDA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52631-2023</t>
        </is>
      </c>
      <c r="B1243" s="1" t="n">
        <v>45219</v>
      </c>
      <c r="C1243" s="1" t="n">
        <v>45360</v>
      </c>
      <c r="D1243" t="inlineStr">
        <is>
          <t>JÄMTLANDS LÄN</t>
        </is>
      </c>
      <c r="E1243" t="inlineStr">
        <is>
          <t>RAGUNDA</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52622-2023</t>
        </is>
      </c>
      <c r="B1244" s="1" t="n">
        <v>45219</v>
      </c>
      <c r="C1244" s="1" t="n">
        <v>45360</v>
      </c>
      <c r="D1244" t="inlineStr">
        <is>
          <t>JÄMTLANDS LÄN</t>
        </is>
      </c>
      <c r="E1244" t="inlineStr">
        <is>
          <t>RAGUNDA</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51435-2023</t>
        </is>
      </c>
      <c r="B1245" s="1" t="n">
        <v>45220</v>
      </c>
      <c r="C1245" s="1" t="n">
        <v>45360</v>
      </c>
      <c r="D1245" t="inlineStr">
        <is>
          <t>JÄMTLANDS LÄN</t>
        </is>
      </c>
      <c r="E1245" t="inlineStr">
        <is>
          <t>RAGUNDA</t>
        </is>
      </c>
      <c r="F1245" t="inlineStr">
        <is>
          <t>SCA</t>
        </is>
      </c>
      <c r="G1245" t="n">
        <v>39.6</v>
      </c>
      <c r="H1245" t="n">
        <v>0</v>
      </c>
      <c r="I1245" t="n">
        <v>0</v>
      </c>
      <c r="J1245" t="n">
        <v>0</v>
      </c>
      <c r="K1245" t="n">
        <v>0</v>
      </c>
      <c r="L1245" t="n">
        <v>0</v>
      </c>
      <c r="M1245" t="n">
        <v>0</v>
      </c>
      <c r="N1245" t="n">
        <v>0</v>
      </c>
      <c r="O1245" t="n">
        <v>0</v>
      </c>
      <c r="P1245" t="n">
        <v>0</v>
      </c>
      <c r="Q1245" t="n">
        <v>0</v>
      </c>
      <c r="R1245" s="2" t="inlineStr"/>
    </row>
    <row r="1246" ht="15" customHeight="1">
      <c r="A1246" t="inlineStr">
        <is>
          <t>A 51209-2023</t>
        </is>
      </c>
      <c r="B1246" s="1" t="n">
        <v>45219</v>
      </c>
      <c r="C1246" s="1" t="n">
        <v>45360</v>
      </c>
      <c r="D1246" t="inlineStr">
        <is>
          <t>JÄMTLANDS LÄN</t>
        </is>
      </c>
      <c r="E1246" t="inlineStr">
        <is>
          <t>RAGUNDA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51807-2023</t>
        </is>
      </c>
      <c r="B1247" s="1" t="n">
        <v>45223</v>
      </c>
      <c r="C1247" s="1" t="n">
        <v>45360</v>
      </c>
      <c r="D1247" t="inlineStr">
        <is>
          <t>JÄMTLANDS LÄN</t>
        </is>
      </c>
      <c r="E1247" t="inlineStr">
        <is>
          <t>RAGUNDA</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52878-2023</t>
        </is>
      </c>
      <c r="B1248" s="1" t="n">
        <v>45222</v>
      </c>
      <c r="C1248" s="1" t="n">
        <v>45360</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53019-2023</t>
        </is>
      </c>
      <c r="B1249" s="1" t="n">
        <v>45222</v>
      </c>
      <c r="C1249" s="1" t="n">
        <v>45360</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45360</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53860-2023</t>
        </is>
      </c>
      <c r="B1251" s="1" t="n">
        <v>45224</v>
      </c>
      <c r="C1251" s="1" t="n">
        <v>45360</v>
      </c>
      <c r="D1251" t="inlineStr">
        <is>
          <t>JÄMTLANDS LÄN</t>
        </is>
      </c>
      <c r="E1251" t="inlineStr">
        <is>
          <t>RAGUNDA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53847-2023</t>
        </is>
      </c>
      <c r="B1252" s="1" t="n">
        <v>45224</v>
      </c>
      <c r="C1252" s="1" t="n">
        <v>45360</v>
      </c>
      <c r="D1252" t="inlineStr">
        <is>
          <t>JÄMTLANDS LÄN</t>
        </is>
      </c>
      <c r="E1252" t="inlineStr">
        <is>
          <t>RAGUNDA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53947-2023</t>
        </is>
      </c>
      <c r="B1253" s="1" t="n">
        <v>45225</v>
      </c>
      <c r="C1253" s="1" t="n">
        <v>45360</v>
      </c>
      <c r="D1253" t="inlineStr">
        <is>
          <t>JÄMTLANDS LÄN</t>
        </is>
      </c>
      <c r="E1253" t="inlineStr">
        <is>
          <t>RAGUNDA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53455-2023</t>
        </is>
      </c>
      <c r="B1254" s="1" t="n">
        <v>45230</v>
      </c>
      <c r="C1254" s="1" t="n">
        <v>45360</v>
      </c>
      <c r="D1254" t="inlineStr">
        <is>
          <t>JÄMTLANDS LÄN</t>
        </is>
      </c>
      <c r="E1254" t="inlineStr">
        <is>
          <t>RAGUNDA</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53762-2023</t>
        </is>
      </c>
      <c r="B1255" s="1" t="n">
        <v>45231</v>
      </c>
      <c r="C1255" s="1" t="n">
        <v>45360</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53766-2023</t>
        </is>
      </c>
      <c r="B1256" s="1" t="n">
        <v>45231</v>
      </c>
      <c r="C1256" s="1" t="n">
        <v>45360</v>
      </c>
      <c r="D1256" t="inlineStr">
        <is>
          <t>JÄMTLANDS LÄN</t>
        </is>
      </c>
      <c r="E1256" t="inlineStr">
        <is>
          <t>RAGUNDA</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53769-2023</t>
        </is>
      </c>
      <c r="B1257" s="1" t="n">
        <v>45230</v>
      </c>
      <c r="C1257" s="1" t="n">
        <v>45360</v>
      </c>
      <c r="D1257" t="inlineStr">
        <is>
          <t>JÄMTLANDS LÄN</t>
        </is>
      </c>
      <c r="E1257" t="inlineStr">
        <is>
          <t>RAGUNDA</t>
        </is>
      </c>
      <c r="F1257" t="inlineStr">
        <is>
          <t>SCA</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55250-2023</t>
        </is>
      </c>
      <c r="B1258" s="1" t="n">
        <v>45231</v>
      </c>
      <c r="C1258" s="1" t="n">
        <v>45360</v>
      </c>
      <c r="D1258" t="inlineStr">
        <is>
          <t>JÄMTLANDS LÄN</t>
        </is>
      </c>
      <c r="E1258" t="inlineStr">
        <is>
          <t>RAGUNDA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54322-2023</t>
        </is>
      </c>
      <c r="B1259" s="1" t="n">
        <v>45232</v>
      </c>
      <c r="C1259" s="1" t="n">
        <v>45360</v>
      </c>
      <c r="D1259" t="inlineStr">
        <is>
          <t>JÄMTLANDS LÄN</t>
        </is>
      </c>
      <c r="E1259" t="inlineStr">
        <is>
          <t>RAGUNDA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54321-2023</t>
        </is>
      </c>
      <c r="B1260" s="1" t="n">
        <v>45232</v>
      </c>
      <c r="C1260" s="1" t="n">
        <v>45360</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54599-2023</t>
        </is>
      </c>
      <c r="B1261" s="1" t="n">
        <v>45233</v>
      </c>
      <c r="C1261" s="1" t="n">
        <v>45360</v>
      </c>
      <c r="D1261" t="inlineStr">
        <is>
          <t>JÄMTLANDS LÄN</t>
        </is>
      </c>
      <c r="E1261" t="inlineStr">
        <is>
          <t>RAGUNDA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56338-2023</t>
        </is>
      </c>
      <c r="B1262" s="1" t="n">
        <v>45236</v>
      </c>
      <c r="C1262" s="1" t="n">
        <v>45360</v>
      </c>
      <c r="D1262" t="inlineStr">
        <is>
          <t>JÄMTLANDS LÄN</t>
        </is>
      </c>
      <c r="E1262" t="inlineStr">
        <is>
          <t>RAGUNDA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56331-2023</t>
        </is>
      </c>
      <c r="B1263" s="1" t="n">
        <v>45236</v>
      </c>
      <c r="C1263" s="1" t="n">
        <v>45360</v>
      </c>
      <c r="D1263" t="inlineStr">
        <is>
          <t>JÄMTLANDS LÄN</t>
        </is>
      </c>
      <c r="E1263" t="inlineStr">
        <is>
          <t>RAGUNDA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56343-2023</t>
        </is>
      </c>
      <c r="B1264" s="1" t="n">
        <v>45236</v>
      </c>
      <c r="C1264" s="1" t="n">
        <v>45360</v>
      </c>
      <c r="D1264" t="inlineStr">
        <is>
          <t>JÄMTLANDS LÄN</t>
        </is>
      </c>
      <c r="E1264" t="inlineStr">
        <is>
          <t>RAGUNDA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56351-2023</t>
        </is>
      </c>
      <c r="B1265" s="1" t="n">
        <v>45236</v>
      </c>
      <c r="C1265" s="1" t="n">
        <v>45360</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55649-2023</t>
        </is>
      </c>
      <c r="B1266" s="1" t="n">
        <v>45238</v>
      </c>
      <c r="C1266" s="1" t="n">
        <v>45360</v>
      </c>
      <c r="D1266" t="inlineStr">
        <is>
          <t>JÄMTLANDS LÄN</t>
        </is>
      </c>
      <c r="E1266" t="inlineStr">
        <is>
          <t>RAGUNDA</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55669-2023</t>
        </is>
      </c>
      <c r="B1267" s="1" t="n">
        <v>45239</v>
      </c>
      <c r="C1267" s="1" t="n">
        <v>45360</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56618-2023</t>
        </is>
      </c>
      <c r="B1268" s="1" t="n">
        <v>45238</v>
      </c>
      <c r="C1268" s="1" t="n">
        <v>45360</v>
      </c>
      <c r="D1268" t="inlineStr">
        <is>
          <t>JÄMTLANDS LÄN</t>
        </is>
      </c>
      <c r="E1268" t="inlineStr">
        <is>
          <t>RAGUNDA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55487-2023</t>
        </is>
      </c>
      <c r="B1269" s="1" t="n">
        <v>45238</v>
      </c>
      <c r="C1269" s="1" t="n">
        <v>45360</v>
      </c>
      <c r="D1269" t="inlineStr">
        <is>
          <t>JÄMTLANDS LÄN</t>
        </is>
      </c>
      <c r="E1269" t="inlineStr">
        <is>
          <t>RAGUNDA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57433-2023</t>
        </is>
      </c>
      <c r="B1270" s="1" t="n">
        <v>45240</v>
      </c>
      <c r="C1270" s="1" t="n">
        <v>45360</v>
      </c>
      <c r="D1270" t="inlineStr">
        <is>
          <t>JÄMTLANDS LÄN</t>
        </is>
      </c>
      <c r="E1270" t="inlineStr">
        <is>
          <t>RAGUNDA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57425-2023</t>
        </is>
      </c>
      <c r="B1271" s="1" t="n">
        <v>45240</v>
      </c>
      <c r="C1271" s="1" t="n">
        <v>45360</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56284-2023</t>
        </is>
      </c>
      <c r="B1272" s="1" t="n">
        <v>45241</v>
      </c>
      <c r="C1272" s="1" t="n">
        <v>45360</v>
      </c>
      <c r="D1272" t="inlineStr">
        <is>
          <t>JÄMTLANDS LÄN</t>
        </is>
      </c>
      <c r="E1272" t="inlineStr">
        <is>
          <t>RAGUNDA</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56287-2023</t>
        </is>
      </c>
      <c r="B1273" s="1" t="n">
        <v>45241</v>
      </c>
      <c r="C1273" s="1" t="n">
        <v>45360</v>
      </c>
      <c r="D1273" t="inlineStr">
        <is>
          <t>JÄMTLANDS LÄN</t>
        </is>
      </c>
      <c r="E1273" t="inlineStr">
        <is>
          <t>RAGUNDA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56286-2023</t>
        </is>
      </c>
      <c r="B1274" s="1" t="n">
        <v>45241</v>
      </c>
      <c r="C1274" s="1" t="n">
        <v>45360</v>
      </c>
      <c r="D1274" t="inlineStr">
        <is>
          <t>JÄMTLANDS LÄN</t>
        </is>
      </c>
      <c r="E1274" t="inlineStr">
        <is>
          <t>RAGUNDA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56658-2023</t>
        </is>
      </c>
      <c r="B1275" s="1" t="n">
        <v>45243</v>
      </c>
      <c r="C1275" s="1" t="n">
        <v>45360</v>
      </c>
      <c r="D1275" t="inlineStr">
        <is>
          <t>JÄMTLANDS LÄN</t>
        </is>
      </c>
      <c r="E1275" t="inlineStr">
        <is>
          <t>RAGUNDA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56702-2023</t>
        </is>
      </c>
      <c r="B1276" s="1" t="n">
        <v>45244</v>
      </c>
      <c r="C1276" s="1" t="n">
        <v>45360</v>
      </c>
      <c r="D1276" t="inlineStr">
        <is>
          <t>JÄMTLANDS LÄN</t>
        </is>
      </c>
      <c r="E1276" t="inlineStr">
        <is>
          <t>RAGUNDA</t>
        </is>
      </c>
      <c r="F1276" t="inlineStr">
        <is>
          <t>SCA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57078-2023</t>
        </is>
      </c>
      <c r="B1277" s="1" t="n">
        <v>45245</v>
      </c>
      <c r="C1277" s="1" t="n">
        <v>45360</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57925-2023</t>
        </is>
      </c>
      <c r="B1278" s="1" t="n">
        <v>45244</v>
      </c>
      <c r="C1278" s="1" t="n">
        <v>45360</v>
      </c>
      <c r="D1278" t="inlineStr">
        <is>
          <t>JÄMTLANDS LÄN</t>
        </is>
      </c>
      <c r="E1278" t="inlineStr">
        <is>
          <t>RAGUNDA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57778-2023</t>
        </is>
      </c>
      <c r="B1279" s="1" t="n">
        <v>45246</v>
      </c>
      <c r="C1279" s="1" t="n">
        <v>45360</v>
      </c>
      <c r="D1279" t="inlineStr">
        <is>
          <t>JÄMTLANDS LÄN</t>
        </is>
      </c>
      <c r="E1279" t="inlineStr">
        <is>
          <t>RAGUNDA</t>
        </is>
      </c>
      <c r="F1279" t="inlineStr">
        <is>
          <t>SCA</t>
        </is>
      </c>
      <c r="G1279" t="n">
        <v>37.8</v>
      </c>
      <c r="H1279" t="n">
        <v>0</v>
      </c>
      <c r="I1279" t="n">
        <v>0</v>
      </c>
      <c r="J1279" t="n">
        <v>0</v>
      </c>
      <c r="K1279" t="n">
        <v>0</v>
      </c>
      <c r="L1279" t="n">
        <v>0</v>
      </c>
      <c r="M1279" t="n">
        <v>0</v>
      </c>
      <c r="N1279" t="n">
        <v>0</v>
      </c>
      <c r="O1279" t="n">
        <v>0</v>
      </c>
      <c r="P1279" t="n">
        <v>0</v>
      </c>
      <c r="Q1279" t="n">
        <v>0</v>
      </c>
      <c r="R1279" s="2" t="inlineStr"/>
    </row>
    <row r="1280" ht="15" customHeight="1">
      <c r="A1280" t="inlineStr">
        <is>
          <t>A 58084-2023</t>
        </is>
      </c>
      <c r="B1280" s="1" t="n">
        <v>45248</v>
      </c>
      <c r="C1280" s="1" t="n">
        <v>45360</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58992-2023</t>
        </is>
      </c>
      <c r="B1281" s="1" t="n">
        <v>45250</v>
      </c>
      <c r="C1281" s="1" t="n">
        <v>45360</v>
      </c>
      <c r="D1281" t="inlineStr">
        <is>
          <t>JÄMTLANDS LÄN</t>
        </is>
      </c>
      <c r="E1281" t="inlineStr">
        <is>
          <t>RAGUNDA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58863-2023</t>
        </is>
      </c>
      <c r="B1282" s="1" t="n">
        <v>45250</v>
      </c>
      <c r="C1282" s="1" t="n">
        <v>45360</v>
      </c>
      <c r="D1282" t="inlineStr">
        <is>
          <t>JÄMTLANDS LÄN</t>
        </is>
      </c>
      <c r="E1282" t="inlineStr">
        <is>
          <t>RAGUNDA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58921-2023</t>
        </is>
      </c>
      <c r="B1283" s="1" t="n">
        <v>45250</v>
      </c>
      <c r="C1283" s="1" t="n">
        <v>45360</v>
      </c>
      <c r="D1283" t="inlineStr">
        <is>
          <t>JÄMTLANDS LÄN</t>
        </is>
      </c>
      <c r="E1283" t="inlineStr">
        <is>
          <t>RAGUNDA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59136-2023</t>
        </is>
      </c>
      <c r="B1284" s="1" t="n">
        <v>45251</v>
      </c>
      <c r="C1284" s="1" t="n">
        <v>45360</v>
      </c>
      <c r="D1284" t="inlineStr">
        <is>
          <t>JÄMTLANDS LÄN</t>
        </is>
      </c>
      <c r="E1284" t="inlineStr">
        <is>
          <t>RAGUNDA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59286-2023</t>
        </is>
      </c>
      <c r="B1285" s="1" t="n">
        <v>45253</v>
      </c>
      <c r="C1285" s="1" t="n">
        <v>45360</v>
      </c>
      <c r="D1285" t="inlineStr">
        <is>
          <t>JÄMTLANDS LÄN</t>
        </is>
      </c>
      <c r="E1285" t="inlineStr">
        <is>
          <t>RAGUNDA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59557-2023</t>
        </is>
      </c>
      <c r="B1286" s="1" t="n">
        <v>45253</v>
      </c>
      <c r="C1286" s="1" t="n">
        <v>45360</v>
      </c>
      <c r="D1286" t="inlineStr">
        <is>
          <t>JÄMTLANDS LÄN</t>
        </is>
      </c>
      <c r="E1286" t="inlineStr">
        <is>
          <t>RAGUNDA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59658-2023</t>
        </is>
      </c>
      <c r="B1287" s="1" t="n">
        <v>45255</v>
      </c>
      <c r="C1287" s="1" t="n">
        <v>45360</v>
      </c>
      <c r="D1287" t="inlineStr">
        <is>
          <t>JÄMTLANDS LÄN</t>
        </is>
      </c>
      <c r="E1287" t="inlineStr">
        <is>
          <t>RAGUNDA</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59670-2023</t>
        </is>
      </c>
      <c r="B1288" s="1" t="n">
        <v>45255</v>
      </c>
      <c r="C1288" s="1" t="n">
        <v>45360</v>
      </c>
      <c r="D1288" t="inlineStr">
        <is>
          <t>JÄMTLANDS LÄN</t>
        </is>
      </c>
      <c r="E1288" t="inlineStr">
        <is>
          <t>RAGUNDA</t>
        </is>
      </c>
      <c r="F1288" t="inlineStr">
        <is>
          <t>SCA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59669-2023</t>
        </is>
      </c>
      <c r="B1289" s="1" t="n">
        <v>45255</v>
      </c>
      <c r="C1289" s="1" t="n">
        <v>45360</v>
      </c>
      <c r="D1289" t="inlineStr">
        <is>
          <t>JÄMTLANDS LÄN</t>
        </is>
      </c>
      <c r="E1289" t="inlineStr">
        <is>
          <t>RAGUNDA</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59996-2023</t>
        </is>
      </c>
      <c r="B1290" s="1" t="n">
        <v>45257</v>
      </c>
      <c r="C1290" s="1" t="n">
        <v>45360</v>
      </c>
      <c r="D1290" t="inlineStr">
        <is>
          <t>JÄMTLANDS LÄN</t>
        </is>
      </c>
      <c r="E1290" t="inlineStr">
        <is>
          <t>RAGUNDA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60012-2023</t>
        </is>
      </c>
      <c r="B1291" s="1" t="n">
        <v>45257</v>
      </c>
      <c r="C1291" s="1" t="n">
        <v>45360</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60199-2023</t>
        </is>
      </c>
      <c r="B1292" s="1" t="n">
        <v>45257</v>
      </c>
      <c r="C1292" s="1" t="n">
        <v>45360</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60228-2023</t>
        </is>
      </c>
      <c r="B1293" s="1" t="n">
        <v>45257</v>
      </c>
      <c r="C1293" s="1" t="n">
        <v>45360</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60185-2023</t>
        </is>
      </c>
      <c r="B1294" s="1" t="n">
        <v>45257</v>
      </c>
      <c r="C1294" s="1" t="n">
        <v>45360</v>
      </c>
      <c r="D1294" t="inlineStr">
        <is>
          <t>JÄMTLANDS LÄN</t>
        </is>
      </c>
      <c r="E1294" t="inlineStr">
        <is>
          <t>RAGUNDA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60195-2023</t>
        </is>
      </c>
      <c r="B1295" s="1" t="n">
        <v>45257</v>
      </c>
      <c r="C1295" s="1" t="n">
        <v>45360</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60222-2023</t>
        </is>
      </c>
      <c r="B1296" s="1" t="n">
        <v>45257</v>
      </c>
      <c r="C1296" s="1" t="n">
        <v>45360</v>
      </c>
      <c r="D1296" t="inlineStr">
        <is>
          <t>JÄMTLANDS LÄN</t>
        </is>
      </c>
      <c r="E1296" t="inlineStr">
        <is>
          <t>RAGUNDA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60235-2023</t>
        </is>
      </c>
      <c r="B1297" s="1" t="n">
        <v>45257</v>
      </c>
      <c r="C1297" s="1" t="n">
        <v>45360</v>
      </c>
      <c r="D1297" t="inlineStr">
        <is>
          <t>JÄMTLANDS LÄN</t>
        </is>
      </c>
      <c r="E1297" t="inlineStr">
        <is>
          <t>RAGUNDA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60330-2023</t>
        </is>
      </c>
      <c r="B1298" s="1" t="n">
        <v>45258</v>
      </c>
      <c r="C1298" s="1" t="n">
        <v>45360</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60413-2023</t>
        </is>
      </c>
      <c r="B1299" s="1" t="n">
        <v>45258</v>
      </c>
      <c r="C1299" s="1" t="n">
        <v>45360</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60450-2023</t>
        </is>
      </c>
      <c r="B1300" s="1" t="n">
        <v>45258</v>
      </c>
      <c r="C1300" s="1" t="n">
        <v>45360</v>
      </c>
      <c r="D1300" t="inlineStr">
        <is>
          <t>JÄMTLANDS LÄN</t>
        </is>
      </c>
      <c r="E1300" t="inlineStr">
        <is>
          <t>RAGUNDA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60456-2023</t>
        </is>
      </c>
      <c r="B1301" s="1" t="n">
        <v>45258</v>
      </c>
      <c r="C1301" s="1" t="n">
        <v>45360</v>
      </c>
      <c r="D1301" t="inlineStr">
        <is>
          <t>JÄMTLANDS LÄN</t>
        </is>
      </c>
      <c r="E1301" t="inlineStr">
        <is>
          <t>RAGUNDA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60443-2023</t>
        </is>
      </c>
      <c r="B1302" s="1" t="n">
        <v>45258</v>
      </c>
      <c r="C1302" s="1" t="n">
        <v>45360</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60629-2023</t>
        </is>
      </c>
      <c r="B1303" s="1" t="n">
        <v>45259</v>
      </c>
      <c r="C1303" s="1" t="n">
        <v>45360</v>
      </c>
      <c r="D1303" t="inlineStr">
        <is>
          <t>JÄMTLANDS LÄN</t>
        </is>
      </c>
      <c r="E1303" t="inlineStr">
        <is>
          <t>RAGUNDA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60643-2023</t>
        </is>
      </c>
      <c r="B1304" s="1" t="n">
        <v>45259</v>
      </c>
      <c r="C1304" s="1" t="n">
        <v>45360</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61191-2023</t>
        </is>
      </c>
      <c r="B1305" s="1" t="n">
        <v>45260</v>
      </c>
      <c r="C1305" s="1" t="n">
        <v>45360</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60838-2023</t>
        </is>
      </c>
      <c r="B1306" s="1" t="n">
        <v>45260</v>
      </c>
      <c r="C1306" s="1" t="n">
        <v>45360</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61197-2023</t>
        </is>
      </c>
      <c r="B1307" s="1" t="n">
        <v>45260</v>
      </c>
      <c r="C1307" s="1" t="n">
        <v>45360</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60836-2023</t>
        </is>
      </c>
      <c r="B1308" s="1" t="n">
        <v>45260</v>
      </c>
      <c r="C1308" s="1" t="n">
        <v>45360</v>
      </c>
      <c r="D1308" t="inlineStr">
        <is>
          <t>JÄMTLANDS LÄN</t>
        </is>
      </c>
      <c r="E1308" t="inlineStr">
        <is>
          <t>RAGUNDA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60860-2023</t>
        </is>
      </c>
      <c r="B1309" s="1" t="n">
        <v>45260</v>
      </c>
      <c r="C1309" s="1" t="n">
        <v>45360</v>
      </c>
      <c r="D1309" t="inlineStr">
        <is>
          <t>JÄMTLANDS LÄN</t>
        </is>
      </c>
      <c r="E1309" t="inlineStr">
        <is>
          <t>RAGUNDA</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62107-2023</t>
        </is>
      </c>
      <c r="B1310" s="1" t="n">
        <v>45266</v>
      </c>
      <c r="C1310" s="1" t="n">
        <v>45360</v>
      </c>
      <c r="D1310" t="inlineStr">
        <is>
          <t>JÄMTLANDS LÄN</t>
        </is>
      </c>
      <c r="E1310" t="inlineStr">
        <is>
          <t>RAGUNDA</t>
        </is>
      </c>
      <c r="F1310" t="inlineStr">
        <is>
          <t>SCA</t>
        </is>
      </c>
      <c r="G1310" t="n">
        <v>38.4</v>
      </c>
      <c r="H1310" t="n">
        <v>0</v>
      </c>
      <c r="I1310" t="n">
        <v>0</v>
      </c>
      <c r="J1310" t="n">
        <v>0</v>
      </c>
      <c r="K1310" t="n">
        <v>0</v>
      </c>
      <c r="L1310" t="n">
        <v>0</v>
      </c>
      <c r="M1310" t="n">
        <v>0</v>
      </c>
      <c r="N1310" t="n">
        <v>0</v>
      </c>
      <c r="O1310" t="n">
        <v>0</v>
      </c>
      <c r="P1310" t="n">
        <v>0</v>
      </c>
      <c r="Q1310" t="n">
        <v>0</v>
      </c>
      <c r="R1310" s="2" t="inlineStr"/>
    </row>
    <row r="1311" ht="15" customHeight="1">
      <c r="A1311" t="inlineStr">
        <is>
          <t>A 62405-2023</t>
        </is>
      </c>
      <c r="B1311" s="1" t="n">
        <v>45266</v>
      </c>
      <c r="C1311" s="1" t="n">
        <v>45360</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62106-2023</t>
        </is>
      </c>
      <c r="B1312" s="1" t="n">
        <v>45266</v>
      </c>
      <c r="C1312" s="1" t="n">
        <v>45360</v>
      </c>
      <c r="D1312" t="inlineStr">
        <is>
          <t>JÄMTLANDS LÄN</t>
        </is>
      </c>
      <c r="E1312" t="inlineStr">
        <is>
          <t>RAGUNDA</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62397-2023</t>
        </is>
      </c>
      <c r="B1313" s="1" t="n">
        <v>45266</v>
      </c>
      <c r="C1313" s="1" t="n">
        <v>45360</v>
      </c>
      <c r="D1313" t="inlineStr">
        <is>
          <t>JÄMTLANDS LÄN</t>
        </is>
      </c>
      <c r="E1313" t="inlineStr">
        <is>
          <t>RAGUNDA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62407-2023</t>
        </is>
      </c>
      <c r="B1314" s="1" t="n">
        <v>45266</v>
      </c>
      <c r="C1314" s="1" t="n">
        <v>45360</v>
      </c>
      <c r="D1314" t="inlineStr">
        <is>
          <t>JÄMTLANDS LÄN</t>
        </is>
      </c>
      <c r="E1314" t="inlineStr">
        <is>
          <t>RAGUNDA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62526-2023</t>
        </is>
      </c>
      <c r="B1315" s="1" t="n">
        <v>45267</v>
      </c>
      <c r="C1315" s="1" t="n">
        <v>45360</v>
      </c>
      <c r="D1315" t="inlineStr">
        <is>
          <t>JÄMTLANDS LÄN</t>
        </is>
      </c>
      <c r="E1315" t="inlineStr">
        <is>
          <t>RAGUNDA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62358-2023</t>
        </is>
      </c>
      <c r="B1316" s="1" t="n">
        <v>45267</v>
      </c>
      <c r="C1316" s="1" t="n">
        <v>45360</v>
      </c>
      <c r="D1316" t="inlineStr">
        <is>
          <t>JÄMTLANDS LÄN</t>
        </is>
      </c>
      <c r="E1316" t="inlineStr">
        <is>
          <t>RAGUNDA</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62839-2023</t>
        </is>
      </c>
      <c r="B1317" s="1" t="n">
        <v>45271</v>
      </c>
      <c r="C1317" s="1" t="n">
        <v>45360</v>
      </c>
      <c r="D1317" t="inlineStr">
        <is>
          <t>JÄMTLANDS LÄN</t>
        </is>
      </c>
      <c r="E1317" t="inlineStr">
        <is>
          <t>RAGUNDA</t>
        </is>
      </c>
      <c r="F1317" t="inlineStr">
        <is>
          <t>SCA</t>
        </is>
      </c>
      <c r="G1317" t="n">
        <v>26.7</v>
      </c>
      <c r="H1317" t="n">
        <v>0</v>
      </c>
      <c r="I1317" t="n">
        <v>0</v>
      </c>
      <c r="J1317" t="n">
        <v>0</v>
      </c>
      <c r="K1317" t="n">
        <v>0</v>
      </c>
      <c r="L1317" t="n">
        <v>0</v>
      </c>
      <c r="M1317" t="n">
        <v>0</v>
      </c>
      <c r="N1317" t="n">
        <v>0</v>
      </c>
      <c r="O1317" t="n">
        <v>0</v>
      </c>
      <c r="P1317" t="n">
        <v>0</v>
      </c>
      <c r="Q1317" t="n">
        <v>0</v>
      </c>
      <c r="R1317" s="2" t="inlineStr"/>
    </row>
    <row r="1318" ht="15" customHeight="1">
      <c r="A1318" t="inlineStr">
        <is>
          <t>A 63708-2023</t>
        </is>
      </c>
      <c r="B1318" s="1" t="n">
        <v>45275</v>
      </c>
      <c r="C1318" s="1" t="n">
        <v>45360</v>
      </c>
      <c r="D1318" t="inlineStr">
        <is>
          <t>JÄMTLANDS LÄN</t>
        </is>
      </c>
      <c r="E1318" t="inlineStr">
        <is>
          <t>RAGUNDA</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64017-2023</t>
        </is>
      </c>
      <c r="B1319" s="1" t="n">
        <v>45278</v>
      </c>
      <c r="C1319" s="1" t="n">
        <v>45360</v>
      </c>
      <c r="D1319" t="inlineStr">
        <is>
          <t>JÄMTLANDS LÄN</t>
        </is>
      </c>
      <c r="E1319" t="inlineStr">
        <is>
          <t>RAGUNDA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64039-2023</t>
        </is>
      </c>
      <c r="B1320" s="1" t="n">
        <v>45278</v>
      </c>
      <c r="C1320" s="1" t="n">
        <v>45360</v>
      </c>
      <c r="D1320" t="inlineStr">
        <is>
          <t>JÄMTLANDS LÄN</t>
        </is>
      </c>
      <c r="E1320" t="inlineStr">
        <is>
          <t>RAGUNDA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64265-2023</t>
        </is>
      </c>
      <c r="B1321" s="1" t="n">
        <v>45279</v>
      </c>
      <c r="C1321" s="1" t="n">
        <v>45360</v>
      </c>
      <c r="D1321" t="inlineStr">
        <is>
          <t>JÄMTLANDS LÄN</t>
        </is>
      </c>
      <c r="E1321" t="inlineStr">
        <is>
          <t>RAGUNDA</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64264-2023</t>
        </is>
      </c>
      <c r="B1322" s="1" t="n">
        <v>45279</v>
      </c>
      <c r="C1322" s="1" t="n">
        <v>45360</v>
      </c>
      <c r="D1322" t="inlineStr">
        <is>
          <t>JÄMTLANDS LÄN</t>
        </is>
      </c>
      <c r="E1322" t="inlineStr">
        <is>
          <t>RAGUNDA</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64415-2023</t>
        </is>
      </c>
      <c r="B1323" s="1" t="n">
        <v>45280</v>
      </c>
      <c r="C1323" s="1" t="n">
        <v>45360</v>
      </c>
      <c r="D1323" t="inlineStr">
        <is>
          <t>JÄMTLANDS LÄN</t>
        </is>
      </c>
      <c r="E1323" t="inlineStr">
        <is>
          <t>RAGUNDA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64492-2023</t>
        </is>
      </c>
      <c r="B1324" s="1" t="n">
        <v>45280</v>
      </c>
      <c r="C1324" s="1" t="n">
        <v>45360</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65083-2023</t>
        </is>
      </c>
      <c r="B1325" s="1" t="n">
        <v>45287</v>
      </c>
      <c r="C1325" s="1" t="n">
        <v>45360</v>
      </c>
      <c r="D1325" t="inlineStr">
        <is>
          <t>JÄMTLANDS LÄN</t>
        </is>
      </c>
      <c r="E1325" t="inlineStr">
        <is>
          <t>RAGUNDA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65242-2023</t>
        </is>
      </c>
      <c r="B1326" s="1" t="n">
        <v>45289</v>
      </c>
      <c r="C1326" s="1" t="n">
        <v>45360</v>
      </c>
      <c r="D1326" t="inlineStr">
        <is>
          <t>JÄMTLANDS LÄN</t>
        </is>
      </c>
      <c r="E1326" t="inlineStr">
        <is>
          <t>RAGUNDA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65216-2023</t>
        </is>
      </c>
      <c r="B1327" s="1" t="n">
        <v>45289</v>
      </c>
      <c r="C1327" s="1" t="n">
        <v>45360</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1130-2024</t>
        </is>
      </c>
      <c r="B1328" s="1" t="n">
        <v>45302</v>
      </c>
      <c r="C1328" s="1" t="n">
        <v>45360</v>
      </c>
      <c r="D1328" t="inlineStr">
        <is>
          <t>JÄMTLANDS LÄN</t>
        </is>
      </c>
      <c r="E1328" t="inlineStr">
        <is>
          <t>RAGUNDA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1123-2024</t>
        </is>
      </c>
      <c r="B1329" s="1" t="n">
        <v>45302</v>
      </c>
      <c r="C1329" s="1" t="n">
        <v>45360</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1465-2024</t>
        </is>
      </c>
      <c r="B1330" s="1" t="n">
        <v>45304</v>
      </c>
      <c r="C1330" s="1" t="n">
        <v>45360</v>
      </c>
      <c r="D1330" t="inlineStr">
        <is>
          <t>JÄMTLANDS LÄN</t>
        </is>
      </c>
      <c r="E1330" t="inlineStr">
        <is>
          <t>RAGUNDA</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1466-2024</t>
        </is>
      </c>
      <c r="B1331" s="1" t="n">
        <v>45304</v>
      </c>
      <c r="C1331" s="1" t="n">
        <v>45360</v>
      </c>
      <c r="D1331" t="inlineStr">
        <is>
          <t>JÄMTLANDS LÄN</t>
        </is>
      </c>
      <c r="E1331" t="inlineStr">
        <is>
          <t>RAGUNDA</t>
        </is>
      </c>
      <c r="F1331" t="inlineStr">
        <is>
          <t>SCA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1537-2024</t>
        </is>
      </c>
      <c r="B1332" s="1" t="n">
        <v>45306</v>
      </c>
      <c r="C1332" s="1" t="n">
        <v>45360</v>
      </c>
      <c r="D1332" t="inlineStr">
        <is>
          <t>JÄMTLANDS LÄN</t>
        </is>
      </c>
      <c r="E1332" t="inlineStr">
        <is>
          <t>RAGUNDA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1554-2024</t>
        </is>
      </c>
      <c r="B1333" s="1" t="n">
        <v>45306</v>
      </c>
      <c r="C1333" s="1" t="n">
        <v>45360</v>
      </c>
      <c r="D1333" t="inlineStr">
        <is>
          <t>JÄMTLANDS LÄN</t>
        </is>
      </c>
      <c r="E1333" t="inlineStr">
        <is>
          <t>RAGUNDA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1523-2024</t>
        </is>
      </c>
      <c r="B1334" s="1" t="n">
        <v>45306</v>
      </c>
      <c r="C1334" s="1" t="n">
        <v>45360</v>
      </c>
      <c r="D1334" t="inlineStr">
        <is>
          <t>JÄMTLANDS LÄN</t>
        </is>
      </c>
      <c r="E1334" t="inlineStr">
        <is>
          <t>RAGUNDA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1884-2024</t>
        </is>
      </c>
      <c r="B1335" s="1" t="n">
        <v>45307</v>
      </c>
      <c r="C1335" s="1" t="n">
        <v>45360</v>
      </c>
      <c r="D1335" t="inlineStr">
        <is>
          <t>JÄMTLANDS LÄN</t>
        </is>
      </c>
      <c r="E1335" t="inlineStr">
        <is>
          <t>RAGUNDA</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1888-2024</t>
        </is>
      </c>
      <c r="B1336" s="1" t="n">
        <v>45308</v>
      </c>
      <c r="C1336" s="1" t="n">
        <v>45360</v>
      </c>
      <c r="D1336" t="inlineStr">
        <is>
          <t>JÄMTLANDS LÄN</t>
        </is>
      </c>
      <c r="E1336" t="inlineStr">
        <is>
          <t>RAGUNDA</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1887-2024</t>
        </is>
      </c>
      <c r="B1337" s="1" t="n">
        <v>45308</v>
      </c>
      <c r="C1337" s="1" t="n">
        <v>45360</v>
      </c>
      <c r="D1337" t="inlineStr">
        <is>
          <t>JÄMTLANDS LÄN</t>
        </is>
      </c>
      <c r="E1337" t="inlineStr">
        <is>
          <t>RAGUNDA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1889-2024</t>
        </is>
      </c>
      <c r="B1338" s="1" t="n">
        <v>45308</v>
      </c>
      <c r="C1338" s="1" t="n">
        <v>45360</v>
      </c>
      <c r="D1338" t="inlineStr">
        <is>
          <t>JÄMTLANDS LÄN</t>
        </is>
      </c>
      <c r="E1338" t="inlineStr">
        <is>
          <t>RAGUNDA</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2143-2024</t>
        </is>
      </c>
      <c r="B1339" s="1" t="n">
        <v>45309</v>
      </c>
      <c r="C1339" s="1" t="n">
        <v>45360</v>
      </c>
      <c r="D1339" t="inlineStr">
        <is>
          <t>JÄMTLANDS LÄN</t>
        </is>
      </c>
      <c r="E1339" t="inlineStr">
        <is>
          <t>RAGUNDA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2224-2024</t>
        </is>
      </c>
      <c r="B1340" s="1" t="n">
        <v>45309</v>
      </c>
      <c r="C1340" s="1" t="n">
        <v>45360</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45360</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2247-2024</t>
        </is>
      </c>
      <c r="B1342" s="1" t="n">
        <v>45309</v>
      </c>
      <c r="C1342" s="1" t="n">
        <v>45360</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2242-2024</t>
        </is>
      </c>
      <c r="B1343" s="1" t="n">
        <v>45309</v>
      </c>
      <c r="C1343" s="1" t="n">
        <v>45360</v>
      </c>
      <c r="D1343" t="inlineStr">
        <is>
          <t>JÄMTLANDS LÄN</t>
        </is>
      </c>
      <c r="E1343" t="inlineStr">
        <is>
          <t>RAGUNDA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2250-2024</t>
        </is>
      </c>
      <c r="B1344" s="1" t="n">
        <v>45309</v>
      </c>
      <c r="C1344" s="1" t="n">
        <v>45360</v>
      </c>
      <c r="D1344" t="inlineStr">
        <is>
          <t>JÄMTLANDS LÄN</t>
        </is>
      </c>
      <c r="E1344" t="inlineStr">
        <is>
          <t>RAGUNDA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2240-2024</t>
        </is>
      </c>
      <c r="B1345" s="1" t="n">
        <v>45309</v>
      </c>
      <c r="C1345" s="1" t="n">
        <v>45360</v>
      </c>
      <c r="D1345" t="inlineStr">
        <is>
          <t>JÄMTLANDS LÄN</t>
        </is>
      </c>
      <c r="E1345" t="inlineStr">
        <is>
          <t>RAGUNDA</t>
        </is>
      </c>
      <c r="G1345" t="n">
        <v>15.9</v>
      </c>
      <c r="H1345" t="n">
        <v>0</v>
      </c>
      <c r="I1345" t="n">
        <v>0</v>
      </c>
      <c r="J1345" t="n">
        <v>0</v>
      </c>
      <c r="K1345" t="n">
        <v>0</v>
      </c>
      <c r="L1345" t="n">
        <v>0</v>
      </c>
      <c r="M1345" t="n">
        <v>0</v>
      </c>
      <c r="N1345" t="n">
        <v>0</v>
      </c>
      <c r="O1345" t="n">
        <v>0</v>
      </c>
      <c r="P1345" t="n">
        <v>0</v>
      </c>
      <c r="Q1345" t="n">
        <v>0</v>
      </c>
      <c r="R1345" s="2" t="inlineStr"/>
    </row>
    <row r="1346" ht="15" customHeight="1">
      <c r="A1346" t="inlineStr">
        <is>
          <t>A 2244-2024</t>
        </is>
      </c>
      <c r="B1346" s="1" t="n">
        <v>45309</v>
      </c>
      <c r="C1346" s="1" t="n">
        <v>45360</v>
      </c>
      <c r="D1346" t="inlineStr">
        <is>
          <t>JÄMTLANDS LÄN</t>
        </is>
      </c>
      <c r="E1346" t="inlineStr">
        <is>
          <t>RAGUNDA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2248-2024</t>
        </is>
      </c>
      <c r="B1347" s="1" t="n">
        <v>45309</v>
      </c>
      <c r="C1347" s="1" t="n">
        <v>45360</v>
      </c>
      <c r="D1347" t="inlineStr">
        <is>
          <t>JÄMTLANDS LÄN</t>
        </is>
      </c>
      <c r="E1347" t="inlineStr">
        <is>
          <t>RAGUNDA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2241-2024</t>
        </is>
      </c>
      <c r="B1348" s="1" t="n">
        <v>45309</v>
      </c>
      <c r="C1348" s="1" t="n">
        <v>45360</v>
      </c>
      <c r="D1348" t="inlineStr">
        <is>
          <t>JÄMTLANDS LÄN</t>
        </is>
      </c>
      <c r="E1348" t="inlineStr">
        <is>
          <t>RAGUNDA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2245-2024</t>
        </is>
      </c>
      <c r="B1349" s="1" t="n">
        <v>45309</v>
      </c>
      <c r="C1349" s="1" t="n">
        <v>45360</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2424-2024</t>
        </is>
      </c>
      <c r="B1350" s="1" t="n">
        <v>45310</v>
      </c>
      <c r="C1350" s="1" t="n">
        <v>45360</v>
      </c>
      <c r="D1350" t="inlineStr">
        <is>
          <t>JÄMTLANDS LÄN</t>
        </is>
      </c>
      <c r="E1350" t="inlineStr">
        <is>
          <t>RAGUNDA</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2629-2024</t>
        </is>
      </c>
      <c r="B1351" s="1" t="n">
        <v>45313</v>
      </c>
      <c r="C1351" s="1" t="n">
        <v>45360</v>
      </c>
      <c r="D1351" t="inlineStr">
        <is>
          <t>JÄMTLANDS LÄN</t>
        </is>
      </c>
      <c r="E1351" t="inlineStr">
        <is>
          <t>RAGUNDA</t>
        </is>
      </c>
      <c r="F1351" t="inlineStr">
        <is>
          <t>SCA</t>
        </is>
      </c>
      <c r="G1351" t="n">
        <v>40.9</v>
      </c>
      <c r="H1351" t="n">
        <v>0</v>
      </c>
      <c r="I1351" t="n">
        <v>0</v>
      </c>
      <c r="J1351" t="n">
        <v>0</v>
      </c>
      <c r="K1351" t="n">
        <v>0</v>
      </c>
      <c r="L1351" t="n">
        <v>0</v>
      </c>
      <c r="M1351" t="n">
        <v>0</v>
      </c>
      <c r="N1351" t="n">
        <v>0</v>
      </c>
      <c r="O1351" t="n">
        <v>0</v>
      </c>
      <c r="P1351" t="n">
        <v>0</v>
      </c>
      <c r="Q1351" t="n">
        <v>0</v>
      </c>
      <c r="R1351" s="2" t="inlineStr"/>
    </row>
    <row r="1352" ht="15" customHeight="1">
      <c r="A1352" t="inlineStr">
        <is>
          <t>A 2630-2024</t>
        </is>
      </c>
      <c r="B1352" s="1" t="n">
        <v>45313</v>
      </c>
      <c r="C1352" s="1" t="n">
        <v>45360</v>
      </c>
      <c r="D1352" t="inlineStr">
        <is>
          <t>JÄMTLANDS LÄN</t>
        </is>
      </c>
      <c r="E1352" t="inlineStr">
        <is>
          <t>RAGUNDA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2834-2024</t>
        </is>
      </c>
      <c r="B1353" s="1" t="n">
        <v>45314</v>
      </c>
      <c r="C1353" s="1" t="n">
        <v>45360</v>
      </c>
      <c r="D1353" t="inlineStr">
        <is>
          <t>JÄMTLANDS LÄN</t>
        </is>
      </c>
      <c r="E1353" t="inlineStr">
        <is>
          <t>RAGUNDA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2678-2024</t>
        </is>
      </c>
      <c r="B1354" s="1" t="n">
        <v>45314</v>
      </c>
      <c r="C1354" s="1" t="n">
        <v>45360</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2673-2024</t>
        </is>
      </c>
      <c r="B1355" s="1" t="n">
        <v>45314</v>
      </c>
      <c r="C1355" s="1" t="n">
        <v>45360</v>
      </c>
      <c r="D1355" t="inlineStr">
        <is>
          <t>JÄMTLANDS LÄN</t>
        </is>
      </c>
      <c r="E1355" t="inlineStr">
        <is>
          <t>RAGUNDA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2831-2024</t>
        </is>
      </c>
      <c r="B1356" s="1" t="n">
        <v>45314</v>
      </c>
      <c r="C1356" s="1" t="n">
        <v>45360</v>
      </c>
      <c r="D1356" t="inlineStr">
        <is>
          <t>JÄMTLANDS LÄN</t>
        </is>
      </c>
      <c r="E1356" t="inlineStr">
        <is>
          <t>RAGUNDA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2751-2024</t>
        </is>
      </c>
      <c r="B1357" s="1" t="n">
        <v>45314</v>
      </c>
      <c r="C1357" s="1" t="n">
        <v>45360</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3016-2024</t>
        </is>
      </c>
      <c r="B1358" s="1" t="n">
        <v>45315</v>
      </c>
      <c r="C1358" s="1" t="n">
        <v>45360</v>
      </c>
      <c r="D1358" t="inlineStr">
        <is>
          <t>JÄMTLANDS LÄN</t>
        </is>
      </c>
      <c r="E1358" t="inlineStr">
        <is>
          <t>RAGUNDA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3018-2024</t>
        </is>
      </c>
      <c r="B1359" s="1" t="n">
        <v>45315</v>
      </c>
      <c r="C1359" s="1" t="n">
        <v>45360</v>
      </c>
      <c r="D1359" t="inlineStr">
        <is>
          <t>JÄMTLANDS LÄN</t>
        </is>
      </c>
      <c r="E1359" t="inlineStr">
        <is>
          <t>RAGUNDA</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3240-2024</t>
        </is>
      </c>
      <c r="B1360" s="1" t="n">
        <v>45316</v>
      </c>
      <c r="C1360" s="1" t="n">
        <v>45360</v>
      </c>
      <c r="D1360" t="inlineStr">
        <is>
          <t>JÄMTLANDS LÄN</t>
        </is>
      </c>
      <c r="E1360" t="inlineStr">
        <is>
          <t>RAGUNDA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3635-2024</t>
        </is>
      </c>
      <c r="B1361" s="1" t="n">
        <v>45320</v>
      </c>
      <c r="C1361" s="1" t="n">
        <v>45360</v>
      </c>
      <c r="D1361" t="inlineStr">
        <is>
          <t>JÄMTLANDS LÄN</t>
        </is>
      </c>
      <c r="E1361" t="inlineStr">
        <is>
          <t>RAGUNDA</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3992-2024</t>
        </is>
      </c>
      <c r="B1362" s="1" t="n">
        <v>45322</v>
      </c>
      <c r="C1362" s="1" t="n">
        <v>45360</v>
      </c>
      <c r="D1362" t="inlineStr">
        <is>
          <t>JÄMTLANDS LÄN</t>
        </is>
      </c>
      <c r="E1362" t="inlineStr">
        <is>
          <t>RAGUNDA</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3938-2024</t>
        </is>
      </c>
      <c r="B1363" s="1" t="n">
        <v>45322</v>
      </c>
      <c r="C1363" s="1" t="n">
        <v>45360</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4125-2024</t>
        </is>
      </c>
      <c r="B1364" s="1" t="n">
        <v>45323</v>
      </c>
      <c r="C1364" s="1" t="n">
        <v>45360</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4212-2024</t>
        </is>
      </c>
      <c r="B1365" s="1" t="n">
        <v>45324</v>
      </c>
      <c r="C1365" s="1" t="n">
        <v>45360</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4249-2024</t>
        </is>
      </c>
      <c r="B1366" s="1" t="n">
        <v>45324</v>
      </c>
      <c r="C1366" s="1" t="n">
        <v>45360</v>
      </c>
      <c r="D1366" t="inlineStr">
        <is>
          <t>JÄMTLANDS LÄN</t>
        </is>
      </c>
      <c r="E1366" t="inlineStr">
        <is>
          <t>RAGUNDA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45360</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4591-2024</t>
        </is>
      </c>
      <c r="B1368" s="1" t="n">
        <v>45327</v>
      </c>
      <c r="C1368" s="1" t="n">
        <v>45360</v>
      </c>
      <c r="D1368" t="inlineStr">
        <is>
          <t>JÄMTLANDS LÄN</t>
        </is>
      </c>
      <c r="E1368" t="inlineStr">
        <is>
          <t>RAGUNDA</t>
        </is>
      </c>
      <c r="F1368" t="inlineStr">
        <is>
          <t>SCA</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4592-2024</t>
        </is>
      </c>
      <c r="B1369" s="1" t="n">
        <v>45327</v>
      </c>
      <c r="C1369" s="1" t="n">
        <v>45360</v>
      </c>
      <c r="D1369" t="inlineStr">
        <is>
          <t>JÄMTLANDS LÄN</t>
        </is>
      </c>
      <c r="E1369" t="inlineStr">
        <is>
          <t>RAGUNDA</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45360</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4822-2024</t>
        </is>
      </c>
      <c r="B1371" s="1" t="n">
        <v>45328</v>
      </c>
      <c r="C1371" s="1" t="n">
        <v>45360</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4820-2024</t>
        </is>
      </c>
      <c r="B1372" s="1" t="n">
        <v>45328</v>
      </c>
      <c r="C1372" s="1" t="n">
        <v>45360</v>
      </c>
      <c r="D1372" t="inlineStr">
        <is>
          <t>JÄMTLANDS LÄN</t>
        </is>
      </c>
      <c r="E1372" t="inlineStr">
        <is>
          <t>RAGUNDA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4936-2024</t>
        </is>
      </c>
      <c r="B1373" s="1" t="n">
        <v>45329</v>
      </c>
      <c r="C1373" s="1" t="n">
        <v>45360</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5067-2024</t>
        </is>
      </c>
      <c r="B1374" s="1" t="n">
        <v>45329</v>
      </c>
      <c r="C1374" s="1" t="n">
        <v>45360</v>
      </c>
      <c r="D1374" t="inlineStr">
        <is>
          <t>JÄMTLANDS LÄN</t>
        </is>
      </c>
      <c r="E1374" t="inlineStr">
        <is>
          <t>RAGUNDA</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5250-2024</t>
        </is>
      </c>
      <c r="B1375" s="1" t="n">
        <v>45330</v>
      </c>
      <c r="C1375" s="1" t="n">
        <v>45360</v>
      </c>
      <c r="D1375" t="inlineStr">
        <is>
          <t>JÄMTLANDS LÄN</t>
        </is>
      </c>
      <c r="E1375" t="inlineStr">
        <is>
          <t>RAGUNDA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5263-2024</t>
        </is>
      </c>
      <c r="B1376" s="1" t="n">
        <v>45331</v>
      </c>
      <c r="C1376" s="1" t="n">
        <v>45360</v>
      </c>
      <c r="D1376" t="inlineStr">
        <is>
          <t>JÄMTLANDS LÄN</t>
        </is>
      </c>
      <c r="E1376" t="inlineStr">
        <is>
          <t>RAGUNDA</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5429-2024</t>
        </is>
      </c>
      <c r="B1377" s="1" t="n">
        <v>45331</v>
      </c>
      <c r="C1377" s="1" t="n">
        <v>45360</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6267-2024</t>
        </is>
      </c>
      <c r="B1378" s="1" t="n">
        <v>45337</v>
      </c>
      <c r="C1378" s="1" t="n">
        <v>45360</v>
      </c>
      <c r="D1378" t="inlineStr">
        <is>
          <t>JÄMTLANDS LÄN</t>
        </is>
      </c>
      <c r="E1378" t="inlineStr">
        <is>
          <t>RAGUNDA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6477-2024</t>
        </is>
      </c>
      <c r="B1379" s="1" t="n">
        <v>45338</v>
      </c>
      <c r="C1379" s="1" t="n">
        <v>45360</v>
      </c>
      <c r="D1379" t="inlineStr">
        <is>
          <t>JÄMTLANDS LÄN</t>
        </is>
      </c>
      <c r="E1379" t="inlineStr">
        <is>
          <t>RAGUNDA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6687-2024</t>
        </is>
      </c>
      <c r="B1380" s="1" t="n">
        <v>45341</v>
      </c>
      <c r="C1380" s="1" t="n">
        <v>45360</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6688-2024</t>
        </is>
      </c>
      <c r="B1381" s="1" t="n">
        <v>45341</v>
      </c>
      <c r="C1381" s="1" t="n">
        <v>45360</v>
      </c>
      <c r="D1381" t="inlineStr">
        <is>
          <t>JÄMTLANDS LÄN</t>
        </is>
      </c>
      <c r="E1381" t="inlineStr">
        <is>
          <t>RAGUNDA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6694-2024</t>
        </is>
      </c>
      <c r="B1382" s="1" t="n">
        <v>45341</v>
      </c>
      <c r="C1382" s="1" t="n">
        <v>45360</v>
      </c>
      <c r="D1382" t="inlineStr">
        <is>
          <t>JÄMTLANDS LÄN</t>
        </is>
      </c>
      <c r="E1382" t="inlineStr">
        <is>
          <t>RAGUNDA</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6736-2024</t>
        </is>
      </c>
      <c r="B1383" s="1" t="n">
        <v>45342</v>
      </c>
      <c r="C1383" s="1" t="n">
        <v>45360</v>
      </c>
      <c r="D1383" t="inlineStr">
        <is>
          <t>JÄMTLANDS LÄN</t>
        </is>
      </c>
      <c r="E1383" t="inlineStr">
        <is>
          <t>RAGUNDA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6905-2024</t>
        </is>
      </c>
      <c r="B1384" s="1" t="n">
        <v>45342</v>
      </c>
      <c r="C1384" s="1" t="n">
        <v>45360</v>
      </c>
      <c r="D1384" t="inlineStr">
        <is>
          <t>JÄMTLANDS LÄN</t>
        </is>
      </c>
      <c r="E1384" t="inlineStr">
        <is>
          <t>RAGUNDA</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6902-2024</t>
        </is>
      </c>
      <c r="B1385" s="1" t="n">
        <v>45342</v>
      </c>
      <c r="C1385" s="1" t="n">
        <v>45360</v>
      </c>
      <c r="D1385" t="inlineStr">
        <is>
          <t>JÄMTLANDS LÄN</t>
        </is>
      </c>
      <c r="E1385" t="inlineStr">
        <is>
          <t>RAGUNDA</t>
        </is>
      </c>
      <c r="F1385" t="inlineStr">
        <is>
          <t>SCA</t>
        </is>
      </c>
      <c r="G1385" t="n">
        <v>18.7</v>
      </c>
      <c r="H1385" t="n">
        <v>0</v>
      </c>
      <c r="I1385" t="n">
        <v>0</v>
      </c>
      <c r="J1385" t="n">
        <v>0</v>
      </c>
      <c r="K1385" t="n">
        <v>0</v>
      </c>
      <c r="L1385" t="n">
        <v>0</v>
      </c>
      <c r="M1385" t="n">
        <v>0</v>
      </c>
      <c r="N1385" t="n">
        <v>0</v>
      </c>
      <c r="O1385" t="n">
        <v>0</v>
      </c>
      <c r="P1385" t="n">
        <v>0</v>
      </c>
      <c r="Q1385" t="n">
        <v>0</v>
      </c>
      <c r="R1385" s="2" t="inlineStr"/>
    </row>
    <row r="1386" ht="15" customHeight="1">
      <c r="A1386" t="inlineStr">
        <is>
          <t>A 6929-2024</t>
        </is>
      </c>
      <c r="B1386" s="1" t="n">
        <v>45343</v>
      </c>
      <c r="C1386" s="1" t="n">
        <v>45360</v>
      </c>
      <c r="D1386" t="inlineStr">
        <is>
          <t>JÄMTLANDS LÄN</t>
        </is>
      </c>
      <c r="E1386" t="inlineStr">
        <is>
          <t>RAGUNDA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7279-2024</t>
        </is>
      </c>
      <c r="B1387" s="1" t="n">
        <v>45344</v>
      </c>
      <c r="C1387" s="1" t="n">
        <v>45360</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7280-2024</t>
        </is>
      </c>
      <c r="B1388" s="1" t="n">
        <v>45344</v>
      </c>
      <c r="C1388" s="1" t="n">
        <v>45360</v>
      </c>
      <c r="D1388" t="inlineStr">
        <is>
          <t>JÄMTLANDS LÄN</t>
        </is>
      </c>
      <c r="E1388" t="inlineStr">
        <is>
          <t>RAGUNDA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7284-2024</t>
        </is>
      </c>
      <c r="B1389" s="1" t="n">
        <v>45344</v>
      </c>
      <c r="C1389" s="1" t="n">
        <v>45360</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7281-2024</t>
        </is>
      </c>
      <c r="B1390" s="1" t="n">
        <v>45344</v>
      </c>
      <c r="C1390" s="1" t="n">
        <v>45360</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7285-2024</t>
        </is>
      </c>
      <c r="B1391" s="1" t="n">
        <v>45344</v>
      </c>
      <c r="C1391" s="1" t="n">
        <v>45360</v>
      </c>
      <c r="D1391" t="inlineStr">
        <is>
          <t>JÄMTLANDS LÄN</t>
        </is>
      </c>
      <c r="E1391" t="inlineStr">
        <is>
          <t>RAGUNDA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7850-2024</t>
        </is>
      </c>
      <c r="B1392" s="1" t="n">
        <v>45350</v>
      </c>
      <c r="C1392" s="1" t="n">
        <v>45360</v>
      </c>
      <c r="D1392" t="inlineStr">
        <is>
          <t>JÄMTLANDS LÄN</t>
        </is>
      </c>
      <c r="E1392" t="inlineStr">
        <is>
          <t>RAGUNDA</t>
        </is>
      </c>
      <c r="F1392" t="inlineStr">
        <is>
          <t>SCA</t>
        </is>
      </c>
      <c r="G1392" t="n">
        <v>27.8</v>
      </c>
      <c r="H1392" t="n">
        <v>0</v>
      </c>
      <c r="I1392" t="n">
        <v>0</v>
      </c>
      <c r="J1392" t="n">
        <v>0</v>
      </c>
      <c r="K1392" t="n">
        <v>0</v>
      </c>
      <c r="L1392" t="n">
        <v>0</v>
      </c>
      <c r="M1392" t="n">
        <v>0</v>
      </c>
      <c r="N1392" t="n">
        <v>0</v>
      </c>
      <c r="O1392" t="n">
        <v>0</v>
      </c>
      <c r="P1392" t="n">
        <v>0</v>
      </c>
      <c r="Q1392" t="n">
        <v>0</v>
      </c>
      <c r="R1392" s="2" t="inlineStr"/>
    </row>
    <row r="1393" ht="15" customHeight="1">
      <c r="A1393" t="inlineStr">
        <is>
          <t>A 7855-2024</t>
        </is>
      </c>
      <c r="B1393" s="1" t="n">
        <v>45350</v>
      </c>
      <c r="C1393" s="1" t="n">
        <v>45360</v>
      </c>
      <c r="D1393" t="inlineStr">
        <is>
          <t>JÄMTLANDS LÄN</t>
        </is>
      </c>
      <c r="E1393" t="inlineStr">
        <is>
          <t>RAGUNDA</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8243-2024</t>
        </is>
      </c>
      <c r="B1394" s="1" t="n">
        <v>45352</v>
      </c>
      <c r="C1394" s="1" t="n">
        <v>45360</v>
      </c>
      <c r="D1394" t="inlineStr">
        <is>
          <t>JÄMTLANDS LÄN</t>
        </is>
      </c>
      <c r="E1394" t="inlineStr">
        <is>
          <t>RAGUNDA</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8241-2024</t>
        </is>
      </c>
      <c r="B1395" s="1" t="n">
        <v>45352</v>
      </c>
      <c r="C1395" s="1" t="n">
        <v>45360</v>
      </c>
      <c r="D1395" t="inlineStr">
        <is>
          <t>JÄMTLANDS LÄN</t>
        </is>
      </c>
      <c r="E1395" t="inlineStr">
        <is>
          <t>RAGUNDA</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8644-2024</t>
        </is>
      </c>
      <c r="B1396" s="1" t="n">
        <v>45356</v>
      </c>
      <c r="C1396" s="1" t="n">
        <v>45360</v>
      </c>
      <c r="D1396" t="inlineStr">
        <is>
          <t>JÄMTLANDS LÄN</t>
        </is>
      </c>
      <c r="E1396" t="inlineStr">
        <is>
          <t>RAGUNDA</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8642-2024</t>
        </is>
      </c>
      <c r="B1397" s="1" t="n">
        <v>45356</v>
      </c>
      <c r="C1397" s="1" t="n">
        <v>45360</v>
      </c>
      <c r="D1397" t="inlineStr">
        <is>
          <t>JÄMTLANDS LÄN</t>
        </is>
      </c>
      <c r="E1397" t="inlineStr">
        <is>
          <t>RAGUNDA</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8654-2024</t>
        </is>
      </c>
      <c r="B1398" s="1" t="n">
        <v>45356</v>
      </c>
      <c r="C1398" s="1" t="n">
        <v>45360</v>
      </c>
      <c r="D1398" t="inlineStr">
        <is>
          <t>JÄMTLANDS LÄN</t>
        </is>
      </c>
      <c r="E1398" t="inlineStr">
        <is>
          <t>RAGUNDA</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8639-2024</t>
        </is>
      </c>
      <c r="B1399" s="1" t="n">
        <v>45356</v>
      </c>
      <c r="C1399" s="1" t="n">
        <v>45360</v>
      </c>
      <c r="D1399" t="inlineStr">
        <is>
          <t>JÄMTLANDS LÄN</t>
        </is>
      </c>
      <c r="E1399" t="inlineStr">
        <is>
          <t>RAGUNDA</t>
        </is>
      </c>
      <c r="F1399" t="inlineStr">
        <is>
          <t>SCA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8643-2024</t>
        </is>
      </c>
      <c r="B1400" s="1" t="n">
        <v>45356</v>
      </c>
      <c r="C1400" s="1" t="n">
        <v>45360</v>
      </c>
      <c r="D1400" t="inlineStr">
        <is>
          <t>JÄMTLANDS LÄN</t>
        </is>
      </c>
      <c r="E1400" t="inlineStr">
        <is>
          <t>RAGUNDA</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8886-2024</t>
        </is>
      </c>
      <c r="B1401" s="1" t="n">
        <v>45357</v>
      </c>
      <c r="C1401" s="1" t="n">
        <v>45360</v>
      </c>
      <c r="D1401" t="inlineStr">
        <is>
          <t>JÄMTLANDS LÄN</t>
        </is>
      </c>
      <c r="E1401" t="inlineStr">
        <is>
          <t>RAGUNDA</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9325-2024</t>
        </is>
      </c>
      <c r="B1402" s="1" t="n">
        <v>45358</v>
      </c>
      <c r="C1402" s="1" t="n">
        <v>45360</v>
      </c>
      <c r="D1402" t="inlineStr">
        <is>
          <t>JÄMTLANDS LÄN</t>
        </is>
      </c>
      <c r="E1402" t="inlineStr">
        <is>
          <t>RAGUNDA</t>
        </is>
      </c>
      <c r="G1402" t="n">
        <v>3.1</v>
      </c>
      <c r="H1402" t="n">
        <v>0</v>
      </c>
      <c r="I1402" t="n">
        <v>0</v>
      </c>
      <c r="J1402" t="n">
        <v>0</v>
      </c>
      <c r="K1402" t="n">
        <v>0</v>
      </c>
      <c r="L1402" t="n">
        <v>0</v>
      </c>
      <c r="M1402" t="n">
        <v>0</v>
      </c>
      <c r="N1402" t="n">
        <v>0</v>
      </c>
      <c r="O1402" t="n">
        <v>0</v>
      </c>
      <c r="P1402" t="n">
        <v>0</v>
      </c>
      <c r="Q1402" t="n">
        <v>0</v>
      </c>
      <c r="R1402" s="2" t="inlineStr"/>
    </row>
    <row r="1403">
      <c r="A1403" t="inlineStr">
        <is>
          <t>A 9326-2024</t>
        </is>
      </c>
      <c r="B1403" s="1" t="n">
        <v>45358</v>
      </c>
      <c r="C1403" s="1" t="n">
        <v>45360</v>
      </c>
      <c r="D1403" t="inlineStr">
        <is>
          <t>JÄMTLANDS LÄN</t>
        </is>
      </c>
      <c r="E1403" t="inlineStr">
        <is>
          <t>RAGUNDA</t>
        </is>
      </c>
      <c r="G1403" t="n">
        <v>0.7</v>
      </c>
      <c r="H1403" t="n">
        <v>0</v>
      </c>
      <c r="I1403" t="n">
        <v>0</v>
      </c>
      <c r="J1403" t="n">
        <v>0</v>
      </c>
      <c r="K1403" t="n">
        <v>0</v>
      </c>
      <c r="L1403" t="n">
        <v>0</v>
      </c>
      <c r="M1403" t="n">
        <v>0</v>
      </c>
      <c r="N1403" t="n">
        <v>0</v>
      </c>
      <c r="O1403" t="n">
        <v>0</v>
      </c>
      <c r="P1403" t="n">
        <v>0</v>
      </c>
      <c r="Q1403" t="n">
        <v>0</v>
      </c>
      <c r="R14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2024-03-09T14:00:13Z</dcterms:created>
  <dcterms:modified xmlns:dcterms="http://purl.org/dc/terms/" xmlns:xsi="http://www.w3.org/2001/XMLSchema-instance" xsi:type="dcterms:W3CDTF">2024-03-09T14:00:14Z</dcterms:modified>
</cp:coreProperties>
</file>