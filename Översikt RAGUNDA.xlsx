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46010</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46010</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46010</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46010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46010</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46010</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46010</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46010</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46010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46010</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10625-2024</t>
        </is>
      </c>
      <c r="B16" s="1" t="n">
        <v>45367.04916666666</v>
      </c>
      <c r="C16" s="1" t="n">
        <v>46010</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38683-2022</t>
        </is>
      </c>
      <c r="B17" s="1" t="n">
        <v>44813</v>
      </c>
      <c r="C17" s="1" t="n">
        <v>46010</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55404-2024</t>
        </is>
      </c>
      <c r="B18" s="1" t="n">
        <v>45622</v>
      </c>
      <c r="C18" s="1" t="n">
        <v>46010</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46010</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46010</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46010</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46010</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46010</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46010</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46010</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46010</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46010</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46010</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46010</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46010</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46010</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46010</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46010</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46010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46010</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46010</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46010</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46010</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46010</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46010</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42393-2025</t>
        </is>
      </c>
      <c r="B41" s="1" t="n">
        <v>45905</v>
      </c>
      <c r="C41" s="1" t="n">
        <v>46010</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46010</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45008-2023</t>
        </is>
      </c>
      <c r="B43" s="1" t="n">
        <v>45190.96092592592</v>
      </c>
      <c r="C43" s="1" t="n">
        <v>46010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46010</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46010</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46010</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46010</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46010</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46010</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46010</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59107-2025</t>
        </is>
      </c>
      <c r="B51" s="1" t="n">
        <v>45988.46924768519</v>
      </c>
      <c r="C51" s="1" t="n">
        <v>46010</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46010</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46010</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46010</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46010</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46010</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46010</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46010</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46010</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46010</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46010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46010</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46010</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46010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46010</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46010</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46010</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46010</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46010</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55646-2023</t>
        </is>
      </c>
      <c r="B71" s="1" t="n">
        <v>45238</v>
      </c>
      <c r="C71" s="1" t="n">
        <v>46010</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34317-2025</t>
        </is>
      </c>
      <c r="B72" s="1" t="n">
        <v>45846.41361111111</v>
      </c>
      <c r="C72" s="1" t="n">
        <v>46010</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19402-2025</t>
        </is>
      </c>
      <c r="B73" s="1" t="n">
        <v>45769.67778935185</v>
      </c>
      <c r="C73" s="1" t="n">
        <v>46010</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46010</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53021-2022</t>
        </is>
      </c>
      <c r="B75" s="1" t="n">
        <v>44875</v>
      </c>
      <c r="C75" s="1" t="n">
        <v>46010</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36276-2025</t>
        </is>
      </c>
      <c r="B76" s="1" t="n">
        <v>45867.63619212963</v>
      </c>
      <c r="C76" s="1" t="n">
        <v>46010</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49291-2025</t>
        </is>
      </c>
      <c r="B77" s="1" t="n">
        <v>45938.53188657408</v>
      </c>
      <c r="C77" s="1" t="n">
        <v>46010</v>
      </c>
      <c r="D77" t="inlineStr">
        <is>
          <t>JÄMTLANDS LÄN</t>
        </is>
      </c>
      <c r="E77" t="inlineStr">
        <is>
          <t>RAGUNDA</t>
        </is>
      </c>
      <c r="F77" t="inlineStr">
        <is>
          <t>SCA</t>
        </is>
      </c>
      <c r="G77" t="n">
        <v>4.2</v>
      </c>
      <c r="H77" t="n">
        <v>1</v>
      </c>
      <c r="I77" t="n">
        <v>3</v>
      </c>
      <c r="J77" t="n">
        <v>2</v>
      </c>
      <c r="K77" t="n">
        <v>0</v>
      </c>
      <c r="L77" t="n">
        <v>0</v>
      </c>
      <c r="M77" t="n">
        <v>0</v>
      </c>
      <c r="N77" t="n">
        <v>0</v>
      </c>
      <c r="O77" t="n">
        <v>2</v>
      </c>
      <c r="P77" t="n">
        <v>0</v>
      </c>
      <c r="Q77" t="n">
        <v>6</v>
      </c>
      <c r="R77" s="2" t="inlineStr">
        <is>
          <t>Kolflarnlav
Lunglav
Korallblylav
Skinnlav
Vårärt
Blåsippa</t>
        </is>
      </c>
      <c r="S77">
        <f>HYPERLINK("https://klasma.github.io/Logging_2303/artfynd/A 49291-2025 artfynd.xlsx", "A 49291-2025")</f>
        <v/>
      </c>
      <c r="T77">
        <f>HYPERLINK("https://klasma.github.io/Logging_2303/kartor/A 49291-2025 karta.png", "A 49291-2025")</f>
        <v/>
      </c>
      <c r="V77">
        <f>HYPERLINK("https://klasma.github.io/Logging_2303/klagomål/A 49291-2025 FSC-klagomål.docx", "A 49291-2025")</f>
        <v/>
      </c>
      <c r="W77">
        <f>HYPERLINK("https://klasma.github.io/Logging_2303/klagomålsmail/A 49291-2025 FSC-klagomål mail.docx", "A 49291-2025")</f>
        <v/>
      </c>
      <c r="X77">
        <f>HYPERLINK("https://klasma.github.io/Logging_2303/tillsyn/A 49291-2025 tillsynsbegäran.docx", "A 49291-2025")</f>
        <v/>
      </c>
      <c r="Y77">
        <f>HYPERLINK("https://klasma.github.io/Logging_2303/tillsynsmail/A 49291-2025 tillsynsbegäran mail.docx", "A 49291-2025")</f>
        <v/>
      </c>
    </row>
    <row r="78" ht="15" customHeight="1">
      <c r="A78" t="inlineStr">
        <is>
          <t>A 30637-2024</t>
        </is>
      </c>
      <c r="B78" s="1" t="n">
        <v>45495.56244212963</v>
      </c>
      <c r="C78" s="1" t="n">
        <v>46010</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47115-2025</t>
        </is>
      </c>
      <c r="B79" s="1" t="n">
        <v>45929.67459490741</v>
      </c>
      <c r="C79" s="1" t="n">
        <v>46010</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46010</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46010</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46010</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46010</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46010</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46010</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46010</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46010</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39365-2024</t>
        </is>
      </c>
      <c r="B88" s="1" t="n">
        <v>45551.46912037037</v>
      </c>
      <c r="C88" s="1" t="n">
        <v>46010</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39974-2025</t>
        </is>
      </c>
      <c r="B89" s="1" t="n">
        <v>45893.38599537037</v>
      </c>
      <c r="C89" s="1" t="n">
        <v>46010</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15244-2025</t>
        </is>
      </c>
      <c r="B90" s="1" t="n">
        <v>45744.61550925926</v>
      </c>
      <c r="C90" s="1" t="n">
        <v>46010</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46010</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46010</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46010</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46010</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46010</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46010</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46010</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46010</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46010</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46010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46010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46010</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46010</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46010</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46010</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46010</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32903-2024</t>
        </is>
      </c>
      <c r="B107" s="1" t="n">
        <v>45516.94723379629</v>
      </c>
      <c r="C107" s="1" t="n">
        <v>46010</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46010</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46010</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46010</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43960-2023</t>
        </is>
      </c>
      <c r="B111" s="1" t="n">
        <v>45187</v>
      </c>
      <c r="C111" s="1" t="n">
        <v>46010</v>
      </c>
      <c r="D111" t="inlineStr">
        <is>
          <t>JÄMTLANDS LÄN</t>
        </is>
      </c>
      <c r="E111" t="inlineStr">
        <is>
          <t>RAGUNDA</t>
        </is>
      </c>
      <c r="F111" t="inlineStr">
        <is>
          <t>SCA</t>
        </is>
      </c>
      <c r="G111" t="n">
        <v>5.5</v>
      </c>
      <c r="H111" t="n">
        <v>0</v>
      </c>
      <c r="I111" t="n">
        <v>1</v>
      </c>
      <c r="J111" t="n">
        <v>3</v>
      </c>
      <c r="K111" t="n">
        <v>0</v>
      </c>
      <c r="L111" t="n">
        <v>0</v>
      </c>
      <c r="M111" t="n">
        <v>0</v>
      </c>
      <c r="N111" t="n">
        <v>0</v>
      </c>
      <c r="O111" t="n">
        <v>3</v>
      </c>
      <c r="P111" t="n">
        <v>0</v>
      </c>
      <c r="Q111" t="n">
        <v>4</v>
      </c>
      <c r="R111" s="2" t="inlineStr">
        <is>
          <t>Granticka
Vedflikmossa
Vedtrappmossa
Vedticka</t>
        </is>
      </c>
      <c r="S111">
        <f>HYPERLINK("https://klasma.github.io/Logging_2303/artfynd/A 43960-2023 artfynd.xlsx", "A 43960-2023")</f>
        <v/>
      </c>
      <c r="T111">
        <f>HYPERLINK("https://klasma.github.io/Logging_2303/kartor/A 43960-2023 karta.png", "A 43960-2023")</f>
        <v/>
      </c>
      <c r="V111">
        <f>HYPERLINK("https://klasma.github.io/Logging_2303/klagomål/A 43960-2023 FSC-klagomål.docx", "A 43960-2023")</f>
        <v/>
      </c>
      <c r="W111">
        <f>HYPERLINK("https://klasma.github.io/Logging_2303/klagomålsmail/A 43960-2023 FSC-klagomål mail.docx", "A 43960-2023")</f>
        <v/>
      </c>
      <c r="X111">
        <f>HYPERLINK("https://klasma.github.io/Logging_2303/tillsyn/A 43960-2023 tillsynsbegäran.docx", "A 43960-2023")</f>
        <v/>
      </c>
      <c r="Y111">
        <f>HYPERLINK("https://klasma.github.io/Logging_2303/tillsynsmail/A 43960-2023 tillsynsbegäran mail.docx", "A 43960-2023")</f>
        <v/>
      </c>
    </row>
    <row r="112" ht="15" customHeight="1">
      <c r="A112" t="inlineStr">
        <is>
          <t>A 40653-2025</t>
        </is>
      </c>
      <c r="B112" s="1" t="n">
        <v>45896.63618055556</v>
      </c>
      <c r="C112" s="1" t="n">
        <v>46010</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30483-2024</t>
        </is>
      </c>
      <c r="B113" s="1" t="n">
        <v>45491</v>
      </c>
      <c r="C113" s="1" t="n">
        <v>46010</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46010</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46010</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46010</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46010</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46010</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50342-2025</t>
        </is>
      </c>
      <c r="B119" s="1" t="n">
        <v>45944.53186342592</v>
      </c>
      <c r="C119" s="1" t="n">
        <v>46010</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52644-2024</t>
        </is>
      </c>
      <c r="B120" s="1" t="n">
        <v>45610.34415509259</v>
      </c>
      <c r="C120" s="1" t="n">
        <v>46010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46010</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46010</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46010</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46010</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46010</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46010</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46010</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46010</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46010</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46010</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46010</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46010</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58737-2022</t>
        </is>
      </c>
      <c r="B134" s="1" t="n">
        <v>44902</v>
      </c>
      <c r="C134" s="1" t="n">
        <v>46010</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46010</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34585-2025</t>
        </is>
      </c>
      <c r="B136" s="1" t="n">
        <v>45847.61498842593</v>
      </c>
      <c r="C136" s="1" t="n">
        <v>46010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28178-2023</t>
        </is>
      </c>
      <c r="B137" s="1" t="n">
        <v>45093</v>
      </c>
      <c r="C137" s="1" t="n">
        <v>46010</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32416-2025</t>
        </is>
      </c>
      <c r="B138" s="1" t="n">
        <v>45838</v>
      </c>
      <c r="C138" s="1" t="n">
        <v>46010</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49047-2023</t>
        </is>
      </c>
      <c r="B139" s="1" t="n">
        <v>45209</v>
      </c>
      <c r="C139" s="1" t="n">
        <v>46010</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14814-2024</t>
        </is>
      </c>
      <c r="B140" s="1" t="n">
        <v>45397.95748842593</v>
      </c>
      <c r="C140" s="1" t="n">
        <v>46010</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33278-2022</t>
        </is>
      </c>
      <c r="B141" s="1" t="n">
        <v>44788</v>
      </c>
      <c r="C141" s="1" t="n">
        <v>46010</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7519-2023</t>
        </is>
      </c>
      <c r="B142" s="1" t="n">
        <v>44971</v>
      </c>
      <c r="C142" s="1" t="n">
        <v>46010</v>
      </c>
      <c r="D142" t="inlineStr">
        <is>
          <t>JÄMTLANDS LÄN</t>
        </is>
      </c>
      <c r="E142" t="inlineStr">
        <is>
          <t>RAGUNDA</t>
        </is>
      </c>
      <c r="F142" t="inlineStr">
        <is>
          <t>SCA</t>
        </is>
      </c>
      <c r="G142" t="n">
        <v>3.2</v>
      </c>
      <c r="H142" t="n">
        <v>0</v>
      </c>
      <c r="I142" t="n">
        <v>1</v>
      </c>
      <c r="J142" t="n">
        <v>2</v>
      </c>
      <c r="K142" t="n">
        <v>0</v>
      </c>
      <c r="L142" t="n">
        <v>0</v>
      </c>
      <c r="M142" t="n">
        <v>0</v>
      </c>
      <c r="N142" t="n">
        <v>0</v>
      </c>
      <c r="O142" t="n">
        <v>2</v>
      </c>
      <c r="P142" t="n">
        <v>0</v>
      </c>
      <c r="Q142" t="n">
        <v>3</v>
      </c>
      <c r="R142" s="2" t="inlineStr">
        <is>
          <t>Granticka
Lunglav
Stor aspticka</t>
        </is>
      </c>
      <c r="S142">
        <f>HYPERLINK("https://klasma.github.io/Logging_2303/artfynd/A 7519-2023 artfynd.xlsx", "A 7519-2023")</f>
        <v/>
      </c>
      <c r="T142">
        <f>HYPERLINK("https://klasma.github.io/Logging_2303/kartor/A 7519-2023 karta.png", "A 7519-2023")</f>
        <v/>
      </c>
      <c r="V142">
        <f>HYPERLINK("https://klasma.github.io/Logging_2303/klagomål/A 7519-2023 FSC-klagomål.docx", "A 7519-2023")</f>
        <v/>
      </c>
      <c r="W142">
        <f>HYPERLINK("https://klasma.github.io/Logging_2303/klagomålsmail/A 7519-2023 FSC-klagomål mail.docx", "A 7519-2023")</f>
        <v/>
      </c>
      <c r="X142">
        <f>HYPERLINK("https://klasma.github.io/Logging_2303/tillsyn/A 7519-2023 tillsynsbegäran.docx", "A 7519-2023")</f>
        <v/>
      </c>
      <c r="Y142">
        <f>HYPERLINK("https://klasma.github.io/Logging_2303/tillsynsmail/A 7519-2023 tillsynsbegäran mail.docx", "A 7519-2023")</f>
        <v/>
      </c>
    </row>
    <row r="143" ht="15" customHeight="1">
      <c r="A143" t="inlineStr">
        <is>
          <t>A 12737-2025</t>
        </is>
      </c>
      <c r="B143" s="1" t="n">
        <v>45733</v>
      </c>
      <c r="C143" s="1" t="n">
        <v>46010</v>
      </c>
      <c r="D143" t="inlineStr">
        <is>
          <t>JÄMTLANDS LÄN</t>
        </is>
      </c>
      <c r="E143" t="inlineStr">
        <is>
          <t>RAGUNDA</t>
        </is>
      </c>
      <c r="G143" t="n">
        <v>16.1</v>
      </c>
      <c r="H143" t="n">
        <v>2</v>
      </c>
      <c r="I143" t="n">
        <v>2</v>
      </c>
      <c r="J143" t="n">
        <v>0</v>
      </c>
      <c r="K143" t="n">
        <v>1</v>
      </c>
      <c r="L143" t="n">
        <v>0</v>
      </c>
      <c r="M143" t="n">
        <v>0</v>
      </c>
      <c r="N143" t="n">
        <v>0</v>
      </c>
      <c r="O143" t="n">
        <v>1</v>
      </c>
      <c r="P143" t="n">
        <v>1</v>
      </c>
      <c r="Q143" t="n">
        <v>3</v>
      </c>
      <c r="R143" s="2" t="inlineStr">
        <is>
          <t>Knärot
Plattlummer
Skarp dropptaggsvamp</t>
        </is>
      </c>
      <c r="S143">
        <f>HYPERLINK("https://klasma.github.io/Logging_2303/artfynd/A 12737-2025 artfynd.xlsx", "A 12737-2025")</f>
        <v/>
      </c>
      <c r="T143">
        <f>HYPERLINK("https://klasma.github.io/Logging_2303/kartor/A 12737-2025 karta.png", "A 12737-2025")</f>
        <v/>
      </c>
      <c r="U143">
        <f>HYPERLINK("https://klasma.github.io/Logging_2303/knärot/A 12737-2025 karta knärot.png", "A 12737-2025")</f>
        <v/>
      </c>
      <c r="V143">
        <f>HYPERLINK("https://klasma.github.io/Logging_2303/klagomål/A 12737-2025 FSC-klagomål.docx", "A 12737-2025")</f>
        <v/>
      </c>
      <c r="W143">
        <f>HYPERLINK("https://klasma.github.io/Logging_2303/klagomålsmail/A 12737-2025 FSC-klagomål mail.docx", "A 12737-2025")</f>
        <v/>
      </c>
      <c r="X143">
        <f>HYPERLINK("https://klasma.github.io/Logging_2303/tillsyn/A 12737-2025 tillsynsbegäran.docx", "A 12737-2025")</f>
        <v/>
      </c>
      <c r="Y143">
        <f>HYPERLINK("https://klasma.github.io/Logging_2303/tillsynsmail/A 12737-2025 tillsynsbegäran mail.docx", "A 12737-2025")</f>
        <v/>
      </c>
    </row>
    <row r="144" ht="15" customHeight="1">
      <c r="A144" t="inlineStr">
        <is>
          <t>A 57667-2025</t>
        </is>
      </c>
      <c r="B144" s="1" t="n">
        <v>45981.42767361111</v>
      </c>
      <c r="C144" s="1" t="n">
        <v>46010</v>
      </c>
      <c r="D144" t="inlineStr">
        <is>
          <t>JÄMTLANDS LÄN</t>
        </is>
      </c>
      <c r="E144" t="inlineStr">
        <is>
          <t>RAGUNDA</t>
        </is>
      </c>
      <c r="F144" t="inlineStr">
        <is>
          <t>SCA</t>
        </is>
      </c>
      <c r="G144" t="n">
        <v>1.7</v>
      </c>
      <c r="H144" t="n">
        <v>0</v>
      </c>
      <c r="I144" t="n">
        <v>2</v>
      </c>
      <c r="J144" t="n">
        <v>1</v>
      </c>
      <c r="K144" t="n">
        <v>0</v>
      </c>
      <c r="L144" t="n">
        <v>0</v>
      </c>
      <c r="M144" t="n">
        <v>0</v>
      </c>
      <c r="N144" t="n">
        <v>0</v>
      </c>
      <c r="O144" t="n">
        <v>1</v>
      </c>
      <c r="P144" t="n">
        <v>0</v>
      </c>
      <c r="Q144" t="n">
        <v>3</v>
      </c>
      <c r="R144" s="2" t="inlineStr">
        <is>
          <t>Lunglav
Korallblylav
Luddlav</t>
        </is>
      </c>
      <c r="S144">
        <f>HYPERLINK("https://klasma.github.io/Logging_2303/artfynd/A 57667-2025 artfynd.xlsx", "A 57667-2025")</f>
        <v/>
      </c>
      <c r="T144">
        <f>HYPERLINK("https://klasma.github.io/Logging_2303/kartor/A 57667-2025 karta.png", "A 57667-2025")</f>
        <v/>
      </c>
      <c r="V144">
        <f>HYPERLINK("https://klasma.github.io/Logging_2303/klagomål/A 57667-2025 FSC-klagomål.docx", "A 57667-2025")</f>
        <v/>
      </c>
      <c r="W144">
        <f>HYPERLINK("https://klasma.github.io/Logging_2303/klagomålsmail/A 57667-2025 FSC-klagomål mail.docx", "A 57667-2025")</f>
        <v/>
      </c>
      <c r="X144">
        <f>HYPERLINK("https://klasma.github.io/Logging_2303/tillsyn/A 57667-2025 tillsynsbegäran.docx", "A 57667-2025")</f>
        <v/>
      </c>
      <c r="Y144">
        <f>HYPERLINK("https://klasma.github.io/Logging_2303/tillsynsmail/A 57667-2025 tillsynsbegäran mail.docx", "A 57667-2025")</f>
        <v/>
      </c>
    </row>
    <row r="145" ht="15" customHeight="1">
      <c r="A145" t="inlineStr">
        <is>
          <t>A 5048-2025</t>
        </is>
      </c>
      <c r="B145" s="1" t="n">
        <v>45691.44769675926</v>
      </c>
      <c r="C145" s="1" t="n">
        <v>46010</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59179-2025</t>
        </is>
      </c>
      <c r="B146" s="1" t="n">
        <v>45988.57350694444</v>
      </c>
      <c r="C146" s="1" t="n">
        <v>46010</v>
      </c>
      <c r="D146" t="inlineStr">
        <is>
          <t>JÄMTLANDS LÄN</t>
        </is>
      </c>
      <c r="E146" t="inlineStr">
        <is>
          <t>RAGUNDA</t>
        </is>
      </c>
      <c r="F146" t="inlineStr">
        <is>
          <t>SCA</t>
        </is>
      </c>
      <c r="G146" t="n">
        <v>2.3</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HYPERLINK("https://klasma.github.io/Logging_2303/artfynd/A 59179-2025 artfynd.xlsx", "A 59179-2025")</f>
        <v/>
      </c>
      <c r="T146">
        <f>HYPERLINK("https://klasma.github.io/Logging_2303/kartor/A 59179-2025 karta.png", "A 59179-2025")</f>
        <v/>
      </c>
      <c r="V146">
        <f>HYPERLINK("https://klasma.github.io/Logging_2303/klagomål/A 59179-2025 FSC-klagomål.docx", "A 59179-2025")</f>
        <v/>
      </c>
      <c r="W146">
        <f>HYPERLINK("https://klasma.github.io/Logging_2303/klagomålsmail/A 59179-2025 FSC-klagomål mail.docx", "A 59179-2025")</f>
        <v/>
      </c>
      <c r="X146">
        <f>HYPERLINK("https://klasma.github.io/Logging_2303/tillsyn/A 59179-2025 tillsynsbegäran.docx", "A 59179-2025")</f>
        <v/>
      </c>
      <c r="Y146">
        <f>HYPERLINK("https://klasma.github.io/Logging_2303/tillsynsmail/A 59179-2025 tillsynsbegäran mail.docx", "A 59179-2025")</f>
        <v/>
      </c>
    </row>
    <row r="147" ht="15" customHeight="1">
      <c r="A147" t="inlineStr">
        <is>
          <t>A 61790-2023</t>
        </is>
      </c>
      <c r="B147" s="1" t="n">
        <v>45265</v>
      </c>
      <c r="C147" s="1" t="n">
        <v>46010</v>
      </c>
      <c r="D147" t="inlineStr">
        <is>
          <t>JÄMTLANDS LÄN</t>
        </is>
      </c>
      <c r="E147" t="inlineStr">
        <is>
          <t>RAGUNDA</t>
        </is>
      </c>
      <c r="F147" t="inlineStr">
        <is>
          <t>SCA</t>
        </is>
      </c>
      <c r="G147" t="n">
        <v>6.1</v>
      </c>
      <c r="H147" t="n">
        <v>0</v>
      </c>
      <c r="I147" t="n">
        <v>0</v>
      </c>
      <c r="J147" t="n">
        <v>3</v>
      </c>
      <c r="K147" t="n">
        <v>0</v>
      </c>
      <c r="L147" t="n">
        <v>0</v>
      </c>
      <c r="M147" t="n">
        <v>0</v>
      </c>
      <c r="N147" t="n">
        <v>0</v>
      </c>
      <c r="O147" t="n">
        <v>3</v>
      </c>
      <c r="P147" t="n">
        <v>0</v>
      </c>
      <c r="Q147" t="n">
        <v>3</v>
      </c>
      <c r="R147" s="2" t="inlineStr">
        <is>
          <t>Gammelgransskål
Lunglav
Skrovellav</t>
        </is>
      </c>
      <c r="S147">
        <f>HYPERLINK("https://klasma.github.io/Logging_2303/artfynd/A 61790-2023 artfynd.xlsx", "A 61790-2023")</f>
        <v/>
      </c>
      <c r="T147">
        <f>HYPERLINK("https://klasma.github.io/Logging_2303/kartor/A 61790-2023 karta.png", "A 61790-2023")</f>
        <v/>
      </c>
      <c r="V147">
        <f>HYPERLINK("https://klasma.github.io/Logging_2303/klagomål/A 61790-2023 FSC-klagomål.docx", "A 61790-2023")</f>
        <v/>
      </c>
      <c r="W147">
        <f>HYPERLINK("https://klasma.github.io/Logging_2303/klagomålsmail/A 61790-2023 FSC-klagomål mail.docx", "A 61790-2023")</f>
        <v/>
      </c>
      <c r="X147">
        <f>HYPERLINK("https://klasma.github.io/Logging_2303/tillsyn/A 61790-2023 tillsynsbegäran.docx", "A 61790-2023")</f>
        <v/>
      </c>
      <c r="Y147">
        <f>HYPERLINK("https://klasma.github.io/Logging_2303/tillsynsmail/A 61790-2023 tillsynsbegäran mail.docx", "A 61790-2023")</f>
        <v/>
      </c>
    </row>
    <row r="148" ht="15" customHeight="1">
      <c r="A148" t="inlineStr">
        <is>
          <t>A 61954-2025</t>
        </is>
      </c>
      <c r="B148" s="1" t="n">
        <v>46003.57381944444</v>
      </c>
      <c r="C148" s="1" t="n">
        <v>46010</v>
      </c>
      <c r="D148" t="inlineStr">
        <is>
          <t>JÄMTLANDS LÄN</t>
        </is>
      </c>
      <c r="E148" t="inlineStr">
        <is>
          <t>RAGUNDA</t>
        </is>
      </c>
      <c r="F148" t="inlineStr">
        <is>
          <t>SCA</t>
        </is>
      </c>
      <c r="G148" t="n">
        <v>6.5</v>
      </c>
      <c r="H148" t="n">
        <v>0</v>
      </c>
      <c r="I148" t="n">
        <v>1</v>
      </c>
      <c r="J148" t="n">
        <v>2</v>
      </c>
      <c r="K148" t="n">
        <v>0</v>
      </c>
      <c r="L148" t="n">
        <v>0</v>
      </c>
      <c r="M148" t="n">
        <v>0</v>
      </c>
      <c r="N148" t="n">
        <v>0</v>
      </c>
      <c r="O148" t="n">
        <v>2</v>
      </c>
      <c r="P148" t="n">
        <v>0</v>
      </c>
      <c r="Q148" t="n">
        <v>3</v>
      </c>
      <c r="R148" s="2" t="inlineStr">
        <is>
          <t>Garnlav
Lunglav
Trådticka</t>
        </is>
      </c>
      <c r="S148">
        <f>HYPERLINK("https://klasma.github.io/Logging_2303/artfynd/A 61954-2025 artfynd.xlsx", "A 61954-2025")</f>
        <v/>
      </c>
      <c r="T148">
        <f>HYPERLINK("https://klasma.github.io/Logging_2303/kartor/A 61954-2025 karta.png", "A 61954-2025")</f>
        <v/>
      </c>
      <c r="V148">
        <f>HYPERLINK("https://klasma.github.io/Logging_2303/klagomål/A 61954-2025 FSC-klagomål.docx", "A 61954-2025")</f>
        <v/>
      </c>
      <c r="W148">
        <f>HYPERLINK("https://klasma.github.io/Logging_2303/klagomålsmail/A 61954-2025 FSC-klagomål mail.docx", "A 61954-2025")</f>
        <v/>
      </c>
      <c r="X148">
        <f>HYPERLINK("https://klasma.github.io/Logging_2303/tillsyn/A 61954-2025 tillsynsbegäran.docx", "A 61954-2025")</f>
        <v/>
      </c>
      <c r="Y148">
        <f>HYPERLINK("https://klasma.github.io/Logging_2303/tillsynsmail/A 61954-2025 tillsynsbegäran mail.docx", "A 61954-2025")</f>
        <v/>
      </c>
    </row>
    <row r="149" ht="15" customHeight="1">
      <c r="A149" t="inlineStr">
        <is>
          <t>A 57941-2024</t>
        </is>
      </c>
      <c r="B149" s="1" t="n">
        <v>45631</v>
      </c>
      <c r="C149" s="1" t="n">
        <v>46010</v>
      </c>
      <c r="D149" t="inlineStr">
        <is>
          <t>JÄMTLANDS LÄN</t>
        </is>
      </c>
      <c r="E149" t="inlineStr">
        <is>
          <t>RAGUNDA</t>
        </is>
      </c>
      <c r="F149" t="inlineStr">
        <is>
          <t>SCA</t>
        </is>
      </c>
      <c r="G149" t="n">
        <v>4.2</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57941-2024 artfynd.xlsx", "A 57941-2024")</f>
        <v/>
      </c>
      <c r="T149">
        <f>HYPERLINK("https://klasma.github.io/Logging_2303/kartor/A 57941-2024 karta.png", "A 57941-2024")</f>
        <v/>
      </c>
      <c r="V149">
        <f>HYPERLINK("https://klasma.github.io/Logging_2303/klagomål/A 57941-2024 FSC-klagomål.docx", "A 57941-2024")</f>
        <v/>
      </c>
      <c r="W149">
        <f>HYPERLINK("https://klasma.github.io/Logging_2303/klagomålsmail/A 57941-2024 FSC-klagomål mail.docx", "A 57941-2024")</f>
        <v/>
      </c>
      <c r="X149">
        <f>HYPERLINK("https://klasma.github.io/Logging_2303/tillsyn/A 57941-2024 tillsynsbegäran.docx", "A 57941-2024")</f>
        <v/>
      </c>
      <c r="Y149">
        <f>HYPERLINK("https://klasma.github.io/Logging_2303/tillsynsmail/A 57941-2024 tillsynsbegäran mail.docx", "A 57941-2024")</f>
        <v/>
      </c>
      <c r="Z149">
        <f>HYPERLINK("https://klasma.github.io/Logging_2303/fåglar/A 57941-2024 prioriterade fågelarter.docx", "A 57941-2024")</f>
        <v/>
      </c>
    </row>
    <row r="150" ht="15" customHeight="1">
      <c r="A150" t="inlineStr">
        <is>
          <t>A 48054-2022</t>
        </is>
      </c>
      <c r="B150" s="1" t="n">
        <v>44855</v>
      </c>
      <c r="C150" s="1" t="n">
        <v>46010</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46010</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46010</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46010</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46010</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46010</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46010</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46010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46010</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46010</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46010</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46010</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47267-2022</t>
        </is>
      </c>
      <c r="B163" s="1" t="n">
        <v>44852</v>
      </c>
      <c r="C163" s="1" t="n">
        <v>46010</v>
      </c>
      <c r="D163" t="inlineStr">
        <is>
          <t>JÄMTLANDS LÄN</t>
        </is>
      </c>
      <c r="E163" t="inlineStr">
        <is>
          <t>RAGUNDA</t>
        </is>
      </c>
      <c r="F163" t="inlineStr">
        <is>
          <t>SCA</t>
        </is>
      </c>
      <c r="G163" t="n">
        <v>82.8</v>
      </c>
      <c r="H163" t="n">
        <v>0</v>
      </c>
      <c r="I163" t="n">
        <v>0</v>
      </c>
      <c r="J163" t="n">
        <v>2</v>
      </c>
      <c r="K163" t="n">
        <v>0</v>
      </c>
      <c r="L163" t="n">
        <v>0</v>
      </c>
      <c r="M163" t="n">
        <v>0</v>
      </c>
      <c r="N163" t="n">
        <v>0</v>
      </c>
      <c r="O163" t="n">
        <v>2</v>
      </c>
      <c r="P163" t="n">
        <v>0</v>
      </c>
      <c r="Q163" t="n">
        <v>2</v>
      </c>
      <c r="R163" s="2" t="inlineStr">
        <is>
          <t>Dvärgbägarlav
Garnlav</t>
        </is>
      </c>
      <c r="S163">
        <f>HYPERLINK("https://klasma.github.io/Logging_2303/artfynd/A 47267-2022 artfynd.xlsx", "A 47267-2022")</f>
        <v/>
      </c>
      <c r="T163">
        <f>HYPERLINK("https://klasma.github.io/Logging_2303/kartor/A 47267-2022 karta.png", "A 47267-2022")</f>
        <v/>
      </c>
      <c r="V163">
        <f>HYPERLINK("https://klasma.github.io/Logging_2303/klagomål/A 47267-2022 FSC-klagomål.docx", "A 47267-2022")</f>
        <v/>
      </c>
      <c r="W163">
        <f>HYPERLINK("https://klasma.github.io/Logging_2303/klagomålsmail/A 47267-2022 FSC-klagomål mail.docx", "A 47267-2022")</f>
        <v/>
      </c>
      <c r="X163">
        <f>HYPERLINK("https://klasma.github.io/Logging_2303/tillsyn/A 47267-2022 tillsynsbegäran.docx", "A 47267-2022")</f>
        <v/>
      </c>
      <c r="Y163">
        <f>HYPERLINK("https://klasma.github.io/Logging_2303/tillsynsmail/A 47267-2022 tillsynsbegäran mail.docx", "A 47267-2022")</f>
        <v/>
      </c>
    </row>
    <row r="164" ht="15" customHeight="1">
      <c r="A164" t="inlineStr">
        <is>
          <t>A 45021-2023</t>
        </is>
      </c>
      <c r="B164" s="1" t="n">
        <v>45190</v>
      </c>
      <c r="C164" s="1" t="n">
        <v>46010</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48427-2023</t>
        </is>
      </c>
      <c r="B165" s="1" t="n">
        <v>45205</v>
      </c>
      <c r="C165" s="1" t="n">
        <v>46010</v>
      </c>
      <c r="D165" t="inlineStr">
        <is>
          <t>JÄMTLANDS LÄN</t>
        </is>
      </c>
      <c r="E165" t="inlineStr">
        <is>
          <t>RAGUNDA</t>
        </is>
      </c>
      <c r="F165" t="inlineStr">
        <is>
          <t>SCA</t>
        </is>
      </c>
      <c r="G165" t="n">
        <v>10.1</v>
      </c>
      <c r="H165" t="n">
        <v>0</v>
      </c>
      <c r="I165" t="n">
        <v>1</v>
      </c>
      <c r="J165" t="n">
        <v>1</v>
      </c>
      <c r="K165" t="n">
        <v>0</v>
      </c>
      <c r="L165" t="n">
        <v>0</v>
      </c>
      <c r="M165" t="n">
        <v>0</v>
      </c>
      <c r="N165" t="n">
        <v>0</v>
      </c>
      <c r="O165" t="n">
        <v>1</v>
      </c>
      <c r="P165" t="n">
        <v>0</v>
      </c>
      <c r="Q165" t="n">
        <v>2</v>
      </c>
      <c r="R165" s="2" t="inlineStr">
        <is>
          <t>Lunglav
Luddlav</t>
        </is>
      </c>
      <c r="S165">
        <f>HYPERLINK("https://klasma.github.io/Logging_2303/artfynd/A 48427-2023 artfynd.xlsx", "A 48427-2023")</f>
        <v/>
      </c>
      <c r="T165">
        <f>HYPERLINK("https://klasma.github.io/Logging_2303/kartor/A 48427-2023 karta.png", "A 48427-2023")</f>
        <v/>
      </c>
      <c r="V165">
        <f>HYPERLINK("https://klasma.github.io/Logging_2303/klagomål/A 48427-2023 FSC-klagomål.docx", "A 48427-2023")</f>
        <v/>
      </c>
      <c r="W165">
        <f>HYPERLINK("https://klasma.github.io/Logging_2303/klagomålsmail/A 48427-2023 FSC-klagomål mail.docx", "A 48427-2023")</f>
        <v/>
      </c>
      <c r="X165">
        <f>HYPERLINK("https://klasma.github.io/Logging_2303/tillsyn/A 48427-2023 tillsynsbegäran.docx", "A 48427-2023")</f>
        <v/>
      </c>
      <c r="Y165">
        <f>HYPERLINK("https://klasma.github.io/Logging_2303/tillsynsmail/A 48427-2023 tillsynsbegäran mail.docx", "A 48427-2023")</f>
        <v/>
      </c>
    </row>
    <row r="166" ht="15" customHeight="1">
      <c r="A166" t="inlineStr">
        <is>
          <t>A 31960-2025</t>
        </is>
      </c>
      <c r="B166" s="1" t="n">
        <v>45835.344375</v>
      </c>
      <c r="C166" s="1" t="n">
        <v>46010</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35131-2025</t>
        </is>
      </c>
      <c r="B167" s="1" t="n">
        <v>45852.63597222222</v>
      </c>
      <c r="C167" s="1" t="n">
        <v>46010</v>
      </c>
      <c r="D167" t="inlineStr">
        <is>
          <t>JÄMTLANDS LÄN</t>
        </is>
      </c>
      <c r="E167" t="inlineStr">
        <is>
          <t>RAGUNDA</t>
        </is>
      </c>
      <c r="F167" t="inlineStr">
        <is>
          <t>SCA</t>
        </is>
      </c>
      <c r="G167" t="n">
        <v>6.9</v>
      </c>
      <c r="H167" t="n">
        <v>1</v>
      </c>
      <c r="I167" t="n">
        <v>1</v>
      </c>
      <c r="J167" t="n">
        <v>0</v>
      </c>
      <c r="K167" t="n">
        <v>0</v>
      </c>
      <c r="L167" t="n">
        <v>0</v>
      </c>
      <c r="M167" t="n">
        <v>0</v>
      </c>
      <c r="N167" t="n">
        <v>0</v>
      </c>
      <c r="O167" t="n">
        <v>0</v>
      </c>
      <c r="P167" t="n">
        <v>0</v>
      </c>
      <c r="Q167" t="n">
        <v>2</v>
      </c>
      <c r="R167" s="2" t="inlineStr">
        <is>
          <t>Ögonpyrola
Nattviol</t>
        </is>
      </c>
      <c r="S167">
        <f>HYPERLINK("https://klasma.github.io/Logging_2303/artfynd/A 35131-2025 artfynd.xlsx", "A 35131-2025")</f>
        <v/>
      </c>
      <c r="T167">
        <f>HYPERLINK("https://klasma.github.io/Logging_2303/kartor/A 35131-2025 karta.png", "A 35131-2025")</f>
        <v/>
      </c>
      <c r="V167">
        <f>HYPERLINK("https://klasma.github.io/Logging_2303/klagomål/A 35131-2025 FSC-klagomål.docx", "A 35131-2025")</f>
        <v/>
      </c>
      <c r="W167">
        <f>HYPERLINK("https://klasma.github.io/Logging_2303/klagomålsmail/A 35131-2025 FSC-klagomål mail.docx", "A 35131-2025")</f>
        <v/>
      </c>
      <c r="X167">
        <f>HYPERLINK("https://klasma.github.io/Logging_2303/tillsyn/A 35131-2025 tillsynsbegäran.docx", "A 35131-2025")</f>
        <v/>
      </c>
      <c r="Y167">
        <f>HYPERLINK("https://klasma.github.io/Logging_2303/tillsynsmail/A 35131-2025 tillsynsbegäran mail.docx", "A 35131-2025")</f>
        <v/>
      </c>
    </row>
    <row r="168" ht="15" customHeight="1">
      <c r="A168" t="inlineStr">
        <is>
          <t>A 30053-2024</t>
        </is>
      </c>
      <c r="B168" s="1" t="n">
        <v>45488.94747685185</v>
      </c>
      <c r="C168" s="1" t="n">
        <v>46010</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50089-2022</t>
        </is>
      </c>
      <c r="B169" s="1" t="n">
        <v>44865</v>
      </c>
      <c r="C169" s="1" t="n">
        <v>46010</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11086-2025</t>
        </is>
      </c>
      <c r="B170" s="1" t="n">
        <v>45723.57329861111</v>
      </c>
      <c r="C170" s="1" t="n">
        <v>46010</v>
      </c>
      <c r="D170" t="inlineStr">
        <is>
          <t>JÄMTLANDS LÄN</t>
        </is>
      </c>
      <c r="E170" t="inlineStr">
        <is>
          <t>RAGUNDA</t>
        </is>
      </c>
      <c r="F170" t="inlineStr">
        <is>
          <t>SCA</t>
        </is>
      </c>
      <c r="G170" t="n">
        <v>10.8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HYPERLINK("https://klasma.github.io/Logging_2303/artfynd/A 11086-2025 artfynd.xlsx", "A 11086-2025")</f>
        <v/>
      </c>
      <c r="T170">
        <f>HYPERLINK("https://klasma.github.io/Logging_2303/kartor/A 11086-2025 karta.png", "A 11086-2025")</f>
        <v/>
      </c>
      <c r="V170">
        <f>HYPERLINK("https://klasma.github.io/Logging_2303/klagomål/A 11086-2025 FSC-klagomål.docx", "A 11086-2025")</f>
        <v/>
      </c>
      <c r="W170">
        <f>HYPERLINK("https://klasma.github.io/Logging_2303/klagomålsmail/A 11086-2025 FSC-klagomål mail.docx", "A 11086-2025")</f>
        <v/>
      </c>
      <c r="X170">
        <f>HYPERLINK("https://klasma.github.io/Logging_2303/tillsyn/A 11086-2025 tillsynsbegäran.docx", "A 11086-2025")</f>
        <v/>
      </c>
      <c r="Y170">
        <f>HYPERLINK("https://klasma.github.io/Logging_2303/tillsynsmail/A 11086-2025 tillsynsbegäran mail.docx", "A 11086-2025")</f>
        <v/>
      </c>
    </row>
    <row r="171" ht="15" customHeight="1">
      <c r="A171" t="inlineStr">
        <is>
          <t>A 47850-2025</t>
        </is>
      </c>
      <c r="B171" s="1" t="n">
        <v>45932.38626157407</v>
      </c>
      <c r="C171" s="1" t="n">
        <v>46010</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40826-2023</t>
        </is>
      </c>
      <c r="B172" s="1" t="n">
        <v>45171</v>
      </c>
      <c r="C172" s="1" t="n">
        <v>46010</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56634-2025</t>
        </is>
      </c>
      <c r="B173" s="1" t="n">
        <v>45975.61619212963</v>
      </c>
      <c r="C173" s="1" t="n">
        <v>46010</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41490-2022</t>
        </is>
      </c>
      <c r="B174" s="1" t="n">
        <v>44826.94976851852</v>
      </c>
      <c r="C174" s="1" t="n">
        <v>46010</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46010</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46771-2024</t>
        </is>
      </c>
      <c r="B176" s="1" t="n">
        <v>45583.49642361111</v>
      </c>
      <c r="C176" s="1" t="n">
        <v>46010</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44409-2023</t>
        </is>
      </c>
      <c r="B177" s="1" t="n">
        <v>45188</v>
      </c>
      <c r="C177" s="1" t="n">
        <v>46010</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12271-2024</t>
        </is>
      </c>
      <c r="B178" s="1" t="n">
        <v>45378</v>
      </c>
      <c r="C178" s="1" t="n">
        <v>46010</v>
      </c>
      <c r="D178" t="inlineStr">
        <is>
          <t>JÄMTLANDS LÄN</t>
        </is>
      </c>
      <c r="E178" t="inlineStr">
        <is>
          <t>RAGUNDA</t>
        </is>
      </c>
      <c r="F178" t="inlineStr">
        <is>
          <t>Kommuner</t>
        </is>
      </c>
      <c r="G178" t="n">
        <v>6.1</v>
      </c>
      <c r="H178" t="n">
        <v>0</v>
      </c>
      <c r="I178" t="n">
        <v>0</v>
      </c>
      <c r="J178" t="n">
        <v>2</v>
      </c>
      <c r="K178" t="n">
        <v>0</v>
      </c>
      <c r="L178" t="n">
        <v>0</v>
      </c>
      <c r="M178" t="n">
        <v>0</v>
      </c>
      <c r="N178" t="n">
        <v>0</v>
      </c>
      <c r="O178" t="n">
        <v>2</v>
      </c>
      <c r="P178" t="n">
        <v>0</v>
      </c>
      <c r="Q178" t="n">
        <v>2</v>
      </c>
      <c r="R178" s="2" t="inlineStr">
        <is>
          <t>Garnlav
Lunglav</t>
        </is>
      </c>
      <c r="S178">
        <f>HYPERLINK("https://klasma.github.io/Logging_2303/artfynd/A 12271-2024 artfynd.xlsx", "A 12271-2024")</f>
        <v/>
      </c>
      <c r="T178">
        <f>HYPERLINK("https://klasma.github.io/Logging_2303/kartor/A 12271-2024 karta.png", "A 12271-2024")</f>
        <v/>
      </c>
      <c r="V178">
        <f>HYPERLINK("https://klasma.github.io/Logging_2303/klagomål/A 12271-2024 FSC-klagomål.docx", "A 12271-2024")</f>
        <v/>
      </c>
      <c r="W178">
        <f>HYPERLINK("https://klasma.github.io/Logging_2303/klagomålsmail/A 12271-2024 FSC-klagomål mail.docx", "A 12271-2024")</f>
        <v/>
      </c>
      <c r="X178">
        <f>HYPERLINK("https://klasma.github.io/Logging_2303/tillsyn/A 12271-2024 tillsynsbegäran.docx", "A 12271-2024")</f>
        <v/>
      </c>
      <c r="Y178">
        <f>HYPERLINK("https://klasma.github.io/Logging_2303/tillsynsmail/A 12271-2024 tillsynsbegäran mail.docx", "A 12271-2024")</f>
        <v/>
      </c>
    </row>
    <row r="179" ht="15" customHeight="1">
      <c r="A179" t="inlineStr">
        <is>
          <t>A 34715-2024</t>
        </is>
      </c>
      <c r="B179" s="1" t="n">
        <v>45526.56393518519</v>
      </c>
      <c r="C179" s="1" t="n">
        <v>46010</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10866-2025</t>
        </is>
      </c>
      <c r="B180" s="1" t="n">
        <v>45722.61543981481</v>
      </c>
      <c r="C180" s="1" t="n">
        <v>46010</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10884-2025</t>
        </is>
      </c>
      <c r="B181" s="1" t="n">
        <v>45722.65670138889</v>
      </c>
      <c r="C181" s="1" t="n">
        <v>46010</v>
      </c>
      <c r="D181" t="inlineStr">
        <is>
          <t>JÄMTLANDS LÄN</t>
        </is>
      </c>
      <c r="E181" t="inlineStr">
        <is>
          <t>RAGUNDA</t>
        </is>
      </c>
      <c r="F181" t="inlineStr">
        <is>
          <t>SCA</t>
        </is>
      </c>
      <c r="G181" t="n">
        <v>5.4</v>
      </c>
      <c r="H181" t="n">
        <v>0</v>
      </c>
      <c r="I181" t="n">
        <v>1</v>
      </c>
      <c r="J181" t="n">
        <v>1</v>
      </c>
      <c r="K181" t="n">
        <v>0</v>
      </c>
      <c r="L181" t="n">
        <v>0</v>
      </c>
      <c r="M181" t="n">
        <v>0</v>
      </c>
      <c r="N181" t="n">
        <v>0</v>
      </c>
      <c r="O181" t="n">
        <v>1</v>
      </c>
      <c r="P181" t="n">
        <v>0</v>
      </c>
      <c r="Q181" t="n">
        <v>2</v>
      </c>
      <c r="R181" s="2" t="inlineStr">
        <is>
          <t>Vitgrynig nållav
Dropptaggsvamp</t>
        </is>
      </c>
      <c r="S181">
        <f>HYPERLINK("https://klasma.github.io/Logging_2303/artfynd/A 10884-2025 artfynd.xlsx", "A 10884-2025")</f>
        <v/>
      </c>
      <c r="T181">
        <f>HYPERLINK("https://klasma.github.io/Logging_2303/kartor/A 10884-2025 karta.png", "A 10884-2025")</f>
        <v/>
      </c>
      <c r="V181">
        <f>HYPERLINK("https://klasma.github.io/Logging_2303/klagomål/A 10884-2025 FSC-klagomål.docx", "A 10884-2025")</f>
        <v/>
      </c>
      <c r="W181">
        <f>HYPERLINK("https://klasma.github.io/Logging_2303/klagomålsmail/A 10884-2025 FSC-klagomål mail.docx", "A 10884-2025")</f>
        <v/>
      </c>
      <c r="X181">
        <f>HYPERLINK("https://klasma.github.io/Logging_2303/tillsyn/A 10884-2025 tillsynsbegäran.docx", "A 10884-2025")</f>
        <v/>
      </c>
      <c r="Y181">
        <f>HYPERLINK("https://klasma.github.io/Logging_2303/tillsynsmail/A 10884-2025 tillsynsbegäran mail.docx", "A 10884-2025")</f>
        <v/>
      </c>
    </row>
    <row r="182" ht="15" customHeight="1">
      <c r="A182" t="inlineStr">
        <is>
          <t>A 3838-2024</t>
        </is>
      </c>
      <c r="B182" s="1" t="n">
        <v>45321</v>
      </c>
      <c r="C182" s="1" t="n">
        <v>46010</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57940-2024</t>
        </is>
      </c>
      <c r="B183" s="1" t="n">
        <v>45631</v>
      </c>
      <c r="C183" s="1" t="n">
        <v>46010</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36756-2023</t>
        </is>
      </c>
      <c r="B184" s="1" t="n">
        <v>45153</v>
      </c>
      <c r="C184" s="1" t="n">
        <v>46010</v>
      </c>
      <c r="D184" t="inlineStr">
        <is>
          <t>JÄMTLANDS LÄN</t>
        </is>
      </c>
      <c r="E184" t="inlineStr">
        <is>
          <t>RAGUNDA</t>
        </is>
      </c>
      <c r="G184" t="n">
        <v>3.5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HYPERLINK("https://klasma.github.io/Logging_2303/artfynd/A 36756-2023 artfynd.xlsx", "A 36756-2023")</f>
        <v/>
      </c>
      <c r="T184">
        <f>HYPERLINK("https://klasma.github.io/Logging_2303/kartor/A 36756-2023 karta.png", "A 36756-2023")</f>
        <v/>
      </c>
      <c r="V184">
        <f>HYPERLINK("https://klasma.github.io/Logging_2303/klagomål/A 36756-2023 FSC-klagomål.docx", "A 36756-2023")</f>
        <v/>
      </c>
      <c r="W184">
        <f>HYPERLINK("https://klasma.github.io/Logging_2303/klagomålsmail/A 36756-2023 FSC-klagomål mail.docx", "A 36756-2023")</f>
        <v/>
      </c>
      <c r="X184">
        <f>HYPERLINK("https://klasma.github.io/Logging_2303/tillsyn/A 36756-2023 tillsynsbegäran.docx", "A 36756-2023")</f>
        <v/>
      </c>
      <c r="Y184">
        <f>HYPERLINK("https://klasma.github.io/Logging_2303/tillsynsmail/A 36756-2023 tillsynsbegäran mail.docx", "A 36756-2023")</f>
        <v/>
      </c>
      <c r="Z184">
        <f>HYPERLINK("https://klasma.github.io/Logging_2303/fåglar/A 36756-2023 prioriterade fågelarter.docx", "A 36756-2023")</f>
        <v/>
      </c>
    </row>
    <row r="185" ht="15" customHeight="1">
      <c r="A185" t="inlineStr">
        <is>
          <t>A 62636-2025</t>
        </is>
      </c>
      <c r="B185" s="1" t="n">
        <v>46008.3653587963</v>
      </c>
      <c r="C185" s="1" t="n">
        <v>46010</v>
      </c>
      <c r="D185" t="inlineStr">
        <is>
          <t>JÄMTLANDS LÄN</t>
        </is>
      </c>
      <c r="E185" t="inlineStr">
        <is>
          <t>RAGUNDA</t>
        </is>
      </c>
      <c r="G185" t="n">
        <v>3.1</v>
      </c>
      <c r="H185" t="n">
        <v>1</v>
      </c>
      <c r="I185" t="n">
        <v>0</v>
      </c>
      <c r="J185" t="n">
        <v>2</v>
      </c>
      <c r="K185" t="n">
        <v>0</v>
      </c>
      <c r="L185" t="n">
        <v>0</v>
      </c>
      <c r="M185" t="n">
        <v>0</v>
      </c>
      <c r="N185" t="n">
        <v>0</v>
      </c>
      <c r="O185" t="n">
        <v>2</v>
      </c>
      <c r="P185" t="n">
        <v>0</v>
      </c>
      <c r="Q185" t="n">
        <v>2</v>
      </c>
      <c r="R185" s="2" t="inlineStr">
        <is>
          <t>Garnlav
Talltita</t>
        </is>
      </c>
      <c r="S185">
        <f>HYPERLINK("https://klasma.github.io/Logging_2303/artfynd/A 62636-2025 artfynd.xlsx", "A 62636-2025")</f>
        <v/>
      </c>
      <c r="T185">
        <f>HYPERLINK("https://klasma.github.io/Logging_2303/kartor/A 62636-2025 karta.png", "A 62636-2025")</f>
        <v/>
      </c>
      <c r="V185">
        <f>HYPERLINK("https://klasma.github.io/Logging_2303/klagomål/A 62636-2025 FSC-klagomål.docx", "A 62636-2025")</f>
        <v/>
      </c>
      <c r="W185">
        <f>HYPERLINK("https://klasma.github.io/Logging_2303/klagomålsmail/A 62636-2025 FSC-klagomål mail.docx", "A 62636-2025")</f>
        <v/>
      </c>
      <c r="X185">
        <f>HYPERLINK("https://klasma.github.io/Logging_2303/tillsyn/A 62636-2025 tillsynsbegäran.docx", "A 62636-2025")</f>
        <v/>
      </c>
      <c r="Y185">
        <f>HYPERLINK("https://klasma.github.io/Logging_2303/tillsynsmail/A 62636-2025 tillsynsbegäran mail.docx", "A 62636-2025")</f>
        <v/>
      </c>
      <c r="Z185">
        <f>HYPERLINK("https://klasma.github.io/Logging_2303/fåglar/A 62636-2025 prioriterade fågelarter.docx", "A 62636-2025")</f>
        <v/>
      </c>
    </row>
    <row r="186" ht="15" customHeight="1">
      <c r="A186" t="inlineStr">
        <is>
          <t>A 56285-2023</t>
        </is>
      </c>
      <c r="B186" s="1" t="n">
        <v>45241</v>
      </c>
      <c r="C186" s="1" t="n">
        <v>46010</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46010</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46010</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46010</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46010</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46010</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46010</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46010</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46010</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46010</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46010</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46010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46010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46010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46010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46010</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46010</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59104-2023</t>
        </is>
      </c>
      <c r="B205" s="1" t="n">
        <v>45252</v>
      </c>
      <c r="C205" s="1" t="n">
        <v>46010</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25694-2023</t>
        </is>
      </c>
      <c r="B206" s="1" t="n">
        <v>45089</v>
      </c>
      <c r="C206" s="1" t="n">
        <v>46010</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46010</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29921-2024</t>
        </is>
      </c>
      <c r="B208" s="1" t="n">
        <v>45487.92863425926</v>
      </c>
      <c r="C208" s="1" t="n">
        <v>46010</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36975-2023</t>
        </is>
      </c>
      <c r="B209" s="1" t="n">
        <v>45154</v>
      </c>
      <c r="C209" s="1" t="n">
        <v>46010</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16316-2025</t>
        </is>
      </c>
      <c r="B210" s="1" t="n">
        <v>45751.34795138889</v>
      </c>
      <c r="C210" s="1" t="n">
        <v>46010</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50233-2024</t>
        </is>
      </c>
      <c r="B211" s="1" t="n">
        <v>45600.55265046296</v>
      </c>
      <c r="C211" s="1" t="n">
        <v>46010</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46010</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40841-2025</t>
        </is>
      </c>
      <c r="B213" s="1" t="n">
        <v>45897.531875</v>
      </c>
      <c r="C213" s="1" t="n">
        <v>46010</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43404-2023</t>
        </is>
      </c>
      <c r="B214" s="1" t="n">
        <v>45183</v>
      </c>
      <c r="C214" s="1" t="n">
        <v>46010</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24443-2024</t>
        </is>
      </c>
      <c r="B215" s="1" t="n">
        <v>45457.9640625</v>
      </c>
      <c r="C215" s="1" t="n">
        <v>46010</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23930-2024</t>
        </is>
      </c>
      <c r="B216" s="1" t="n">
        <v>45455.96184027778</v>
      </c>
      <c r="C216" s="1" t="n">
        <v>46010</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27573-2025</t>
        </is>
      </c>
      <c r="B217" s="1" t="n">
        <v>45813.49061342593</v>
      </c>
      <c r="C217" s="1" t="n">
        <v>46010</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30390-2025</t>
        </is>
      </c>
      <c r="B218" s="1" t="n">
        <v>45827.57371527778</v>
      </c>
      <c r="C218" s="1" t="n">
        <v>46010</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46010</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43526-2025</t>
        </is>
      </c>
      <c r="B220" s="1" t="n">
        <v>45911</v>
      </c>
      <c r="C220" s="1" t="n">
        <v>46010</v>
      </c>
      <c r="D220" t="inlineStr">
        <is>
          <t>JÄMTLANDS LÄN</t>
        </is>
      </c>
      <c r="E220" t="inlineStr">
        <is>
          <t>RAGUNDA</t>
        </is>
      </c>
      <c r="G220" t="n">
        <v>5.5</v>
      </c>
      <c r="H220" t="n">
        <v>0</v>
      </c>
      <c r="I220" t="n">
        <v>0</v>
      </c>
      <c r="J220" t="n">
        <v>1</v>
      </c>
      <c r="K220" t="n">
        <v>0</v>
      </c>
      <c r="L220" t="n">
        <v>0</v>
      </c>
      <c r="M220" t="n">
        <v>0</v>
      </c>
      <c r="N220" t="n">
        <v>0</v>
      </c>
      <c r="O220" t="n">
        <v>1</v>
      </c>
      <c r="P220" t="n">
        <v>0</v>
      </c>
      <c r="Q220" t="n">
        <v>1</v>
      </c>
      <c r="R220" s="2" t="inlineStr">
        <is>
          <t>Lunglav</t>
        </is>
      </c>
      <c r="S220">
        <f>HYPERLINK("https://klasma.github.io/Logging_2303/artfynd/A 43526-2025 artfynd.xlsx", "A 43526-2025")</f>
        <v/>
      </c>
      <c r="T220">
        <f>HYPERLINK("https://klasma.github.io/Logging_2303/kartor/A 43526-2025 karta.png", "A 43526-2025")</f>
        <v/>
      </c>
      <c r="V220">
        <f>HYPERLINK("https://klasma.github.io/Logging_2303/klagomål/A 43526-2025 FSC-klagomål.docx", "A 43526-2025")</f>
        <v/>
      </c>
      <c r="W220">
        <f>HYPERLINK("https://klasma.github.io/Logging_2303/klagomålsmail/A 43526-2025 FSC-klagomål mail.docx", "A 43526-2025")</f>
        <v/>
      </c>
      <c r="X220">
        <f>HYPERLINK("https://klasma.github.io/Logging_2303/tillsyn/A 43526-2025 tillsynsbegäran.docx", "A 43526-2025")</f>
        <v/>
      </c>
      <c r="Y220">
        <f>HYPERLINK("https://klasma.github.io/Logging_2303/tillsynsmail/A 43526-2025 tillsynsbegäran mail.docx", "A 43526-2025")</f>
        <v/>
      </c>
    </row>
    <row r="221" ht="15" customHeight="1">
      <c r="A221" t="inlineStr">
        <is>
          <t>A 978-2024</t>
        </is>
      </c>
      <c r="B221" s="1" t="n">
        <v>45301</v>
      </c>
      <c r="C221" s="1" t="n">
        <v>46010</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46010</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46010</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46010</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46010</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26317-2024</t>
        </is>
      </c>
      <c r="B226" s="1" t="n">
        <v>45468</v>
      </c>
      <c r="C226" s="1" t="n">
        <v>46010</v>
      </c>
      <c r="D226" t="inlineStr">
        <is>
          <t>JÄMTLANDS LÄN</t>
        </is>
      </c>
      <c r="E226" t="inlineStr">
        <is>
          <t>RAGUNDA</t>
        </is>
      </c>
      <c r="F226" t="inlineStr">
        <is>
          <t>SCA</t>
        </is>
      </c>
      <c r="G226" t="n">
        <v>3.8</v>
      </c>
      <c r="H226" t="n">
        <v>0</v>
      </c>
      <c r="I226" t="n">
        <v>0</v>
      </c>
      <c r="J226" t="n">
        <v>1</v>
      </c>
      <c r="K226" t="n">
        <v>0</v>
      </c>
      <c r="L226" t="n">
        <v>0</v>
      </c>
      <c r="M226" t="n">
        <v>0</v>
      </c>
      <c r="N226" t="n">
        <v>0</v>
      </c>
      <c r="O226" t="n">
        <v>1</v>
      </c>
      <c r="P226" t="n">
        <v>0</v>
      </c>
      <c r="Q226" t="n">
        <v>1</v>
      </c>
      <c r="R226" s="2" t="inlineStr">
        <is>
          <t>Kortskaftad ärgspik</t>
        </is>
      </c>
      <c r="S226">
        <f>HYPERLINK("https://klasma.github.io/Logging_2303/artfynd/A 26317-2024 artfynd.xlsx", "A 26317-2024")</f>
        <v/>
      </c>
      <c r="T226">
        <f>HYPERLINK("https://klasma.github.io/Logging_2303/kartor/A 26317-2024 karta.png", "A 26317-2024")</f>
        <v/>
      </c>
      <c r="V226">
        <f>HYPERLINK("https://klasma.github.io/Logging_2303/klagomål/A 26317-2024 FSC-klagomål.docx", "A 26317-2024")</f>
        <v/>
      </c>
      <c r="W226">
        <f>HYPERLINK("https://klasma.github.io/Logging_2303/klagomålsmail/A 26317-2024 FSC-klagomål mail.docx", "A 26317-2024")</f>
        <v/>
      </c>
      <c r="X226">
        <f>HYPERLINK("https://klasma.github.io/Logging_2303/tillsyn/A 26317-2024 tillsynsbegäran.docx", "A 26317-2024")</f>
        <v/>
      </c>
      <c r="Y226">
        <f>HYPERLINK("https://klasma.github.io/Logging_2303/tillsynsmail/A 26317-2024 tillsynsbegäran mail.docx", "A 26317-2024")</f>
        <v/>
      </c>
    </row>
    <row r="227" ht="15" customHeight="1">
      <c r="A227" t="inlineStr">
        <is>
          <t>A 49091-2022</t>
        </is>
      </c>
      <c r="B227" s="1" t="n">
        <v>44860</v>
      </c>
      <c r="C227" s="1" t="n">
        <v>46010</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48429-2023</t>
        </is>
      </c>
      <c r="B228" s="1" t="n">
        <v>45205</v>
      </c>
      <c r="C228" s="1" t="n">
        <v>46010</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48429-2023 artfynd.xlsx", "A 48429-2023")</f>
        <v/>
      </c>
      <c r="T228">
        <f>HYPERLINK("https://klasma.github.io/Logging_2303/kartor/A 48429-2023 karta.png", "A 48429-2023")</f>
        <v/>
      </c>
      <c r="V228">
        <f>HYPERLINK("https://klasma.github.io/Logging_2303/klagomål/A 48429-2023 FSC-klagomål.docx", "A 48429-2023")</f>
        <v/>
      </c>
      <c r="W228">
        <f>HYPERLINK("https://klasma.github.io/Logging_2303/klagomålsmail/A 48429-2023 FSC-klagomål mail.docx", "A 48429-2023")</f>
        <v/>
      </c>
      <c r="X228">
        <f>HYPERLINK("https://klasma.github.io/Logging_2303/tillsyn/A 48429-2023 tillsynsbegäran.docx", "A 48429-2023")</f>
        <v/>
      </c>
      <c r="Y228">
        <f>HYPERLINK("https://klasma.github.io/Logging_2303/tillsynsmail/A 48429-2023 tillsynsbegäran mail.docx", "A 48429-2023")</f>
        <v/>
      </c>
    </row>
    <row r="229" ht="15" customHeight="1">
      <c r="A229" t="inlineStr">
        <is>
          <t>A 55756-2025</t>
        </is>
      </c>
      <c r="B229" s="1" t="n">
        <v>45972.59438657408</v>
      </c>
      <c r="C229" s="1" t="n">
        <v>46010</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HYPERLINK("https://klasma.github.io/Logging_2303/artfynd/A 55756-2025 artfynd.xlsx", "A 55756-2025")</f>
        <v/>
      </c>
      <c r="T229">
        <f>HYPERLINK("https://klasma.github.io/Logging_2303/kartor/A 55756-2025 karta.png", "A 55756-2025")</f>
        <v/>
      </c>
      <c r="V229">
        <f>HYPERLINK("https://klasma.github.io/Logging_2303/klagomål/A 55756-2025 FSC-klagomål.docx", "A 55756-2025")</f>
        <v/>
      </c>
      <c r="W229">
        <f>HYPERLINK("https://klasma.github.io/Logging_2303/klagomålsmail/A 55756-2025 FSC-klagomål mail.docx", "A 55756-2025")</f>
        <v/>
      </c>
      <c r="X229">
        <f>HYPERLINK("https://klasma.github.io/Logging_2303/tillsyn/A 55756-2025 tillsynsbegäran.docx", "A 55756-2025")</f>
        <v/>
      </c>
      <c r="Y229">
        <f>HYPERLINK("https://klasma.github.io/Logging_2303/tillsynsmail/A 55756-2025 tillsynsbegäran mail.docx", "A 55756-2025")</f>
        <v/>
      </c>
    </row>
    <row r="230" ht="15" customHeight="1">
      <c r="A230" t="inlineStr">
        <is>
          <t>A 56599-2025</t>
        </is>
      </c>
      <c r="B230" s="1" t="n">
        <v>45975.5734837963</v>
      </c>
      <c r="C230" s="1" t="n">
        <v>46010</v>
      </c>
      <c r="D230" t="inlineStr">
        <is>
          <t>JÄMTLANDS LÄN</t>
        </is>
      </c>
      <c r="E230" t="inlineStr">
        <is>
          <t>RAGUNDA</t>
        </is>
      </c>
      <c r="F230" t="inlineStr">
        <is>
          <t>SCA</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HYPERLINK("https://klasma.github.io/Logging_2303/artfynd/A 56599-2025 artfynd.xlsx", "A 56599-2025")</f>
        <v/>
      </c>
      <c r="T230">
        <f>HYPERLINK("https://klasma.github.io/Logging_2303/kartor/A 56599-2025 karta.png", "A 56599-2025")</f>
        <v/>
      </c>
      <c r="V230">
        <f>HYPERLINK("https://klasma.github.io/Logging_2303/klagomål/A 56599-2025 FSC-klagomål.docx", "A 56599-2025")</f>
        <v/>
      </c>
      <c r="W230">
        <f>HYPERLINK("https://klasma.github.io/Logging_2303/klagomålsmail/A 56599-2025 FSC-klagomål mail.docx", "A 56599-2025")</f>
        <v/>
      </c>
      <c r="X230">
        <f>HYPERLINK("https://klasma.github.io/Logging_2303/tillsyn/A 56599-2025 tillsynsbegäran.docx", "A 56599-2025")</f>
        <v/>
      </c>
      <c r="Y230">
        <f>HYPERLINK("https://klasma.github.io/Logging_2303/tillsynsmail/A 56599-2025 tillsynsbegäran mail.docx", "A 56599-2025")</f>
        <v/>
      </c>
    </row>
    <row r="231" ht="15" customHeight="1">
      <c r="A231" t="inlineStr">
        <is>
          <t>A 17340-2023</t>
        </is>
      </c>
      <c r="B231" s="1" t="n">
        <v>45033</v>
      </c>
      <c r="C231" s="1" t="n">
        <v>46010</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Vedtrappmossa</t>
        </is>
      </c>
      <c r="S231">
        <f>HYPERLINK("https://klasma.github.io/Logging_2303/artfynd/A 17340-2023 artfynd.xlsx", "A 17340-2023")</f>
        <v/>
      </c>
      <c r="T231">
        <f>HYPERLINK("https://klasma.github.io/Logging_2303/kartor/A 17340-2023 karta.png", "A 17340-2023")</f>
        <v/>
      </c>
      <c r="U231">
        <f>HYPERLINK("https://klasma.github.io/Logging_2303/knärot/A 17340-2023 karta knärot.png", "A 17340-2023")</f>
        <v/>
      </c>
      <c r="V231">
        <f>HYPERLINK("https://klasma.github.io/Logging_2303/klagomål/A 17340-2023 FSC-klagomål.docx", "A 17340-2023")</f>
        <v/>
      </c>
      <c r="W231">
        <f>HYPERLINK("https://klasma.github.io/Logging_2303/klagomålsmail/A 17340-2023 FSC-klagomål mail.docx", "A 17340-2023")</f>
        <v/>
      </c>
      <c r="X231">
        <f>HYPERLINK("https://klasma.github.io/Logging_2303/tillsyn/A 17340-2023 tillsynsbegäran.docx", "A 17340-2023")</f>
        <v/>
      </c>
      <c r="Y231">
        <f>HYPERLINK("https://klasma.github.io/Logging_2303/tillsynsmail/A 17340-2023 tillsynsbegäran mail.docx", "A 17340-2023")</f>
        <v/>
      </c>
    </row>
    <row r="232" ht="15" customHeight="1">
      <c r="A232" t="inlineStr">
        <is>
          <t>A 26322-2024</t>
        </is>
      </c>
      <c r="B232" s="1" t="n">
        <v>45468.97461805555</v>
      </c>
      <c r="C232" s="1" t="n">
        <v>46010</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57253-2025</t>
        </is>
      </c>
      <c r="B233" s="1" t="n">
        <v>45979.64381944444</v>
      </c>
      <c r="C233" s="1" t="n">
        <v>46010</v>
      </c>
      <c r="D233" t="inlineStr">
        <is>
          <t>JÄMTLANDS LÄN</t>
        </is>
      </c>
      <c r="E233" t="inlineStr">
        <is>
          <t>RAGUNDA</t>
        </is>
      </c>
      <c r="G233" t="n">
        <v>1.2</v>
      </c>
      <c r="H233" t="n">
        <v>0</v>
      </c>
      <c r="I233" t="n">
        <v>1</v>
      </c>
      <c r="J233" t="n">
        <v>0</v>
      </c>
      <c r="K233" t="n">
        <v>0</v>
      </c>
      <c r="L233" t="n">
        <v>0</v>
      </c>
      <c r="M233" t="n">
        <v>0</v>
      </c>
      <c r="N233" t="n">
        <v>0</v>
      </c>
      <c r="O233" t="n">
        <v>0</v>
      </c>
      <c r="P233" t="n">
        <v>0</v>
      </c>
      <c r="Q233" t="n">
        <v>1</v>
      </c>
      <c r="R233" s="2" t="inlineStr">
        <is>
          <t>Skinnlav</t>
        </is>
      </c>
      <c r="S233">
        <f>HYPERLINK("https://klasma.github.io/Logging_2303/artfynd/A 57253-2025 artfynd.xlsx", "A 57253-2025")</f>
        <v/>
      </c>
      <c r="T233">
        <f>HYPERLINK("https://klasma.github.io/Logging_2303/kartor/A 57253-2025 karta.png", "A 57253-2025")</f>
        <v/>
      </c>
      <c r="V233">
        <f>HYPERLINK("https://klasma.github.io/Logging_2303/klagomål/A 57253-2025 FSC-klagomål.docx", "A 57253-2025")</f>
        <v/>
      </c>
      <c r="W233">
        <f>HYPERLINK("https://klasma.github.io/Logging_2303/klagomålsmail/A 57253-2025 FSC-klagomål mail.docx", "A 57253-2025")</f>
        <v/>
      </c>
      <c r="X233">
        <f>HYPERLINK("https://klasma.github.io/Logging_2303/tillsyn/A 57253-2025 tillsynsbegäran.docx", "A 57253-2025")</f>
        <v/>
      </c>
      <c r="Y233">
        <f>HYPERLINK("https://klasma.github.io/Logging_2303/tillsynsmail/A 57253-2025 tillsynsbegäran mail.docx", "A 57253-2025")</f>
        <v/>
      </c>
    </row>
    <row r="234" ht="15" customHeight="1">
      <c r="A234" t="inlineStr">
        <is>
          <t>A 57479-2025</t>
        </is>
      </c>
      <c r="B234" s="1" t="n">
        <v>45980.5737037037</v>
      </c>
      <c r="C234" s="1" t="n">
        <v>46010</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57478-2025</t>
        </is>
      </c>
      <c r="B235" s="1" t="n">
        <v>45980.57349537037</v>
      </c>
      <c r="C235" s="1" t="n">
        <v>46010</v>
      </c>
      <c r="D235" t="inlineStr">
        <is>
          <t>JÄMTLANDS LÄN</t>
        </is>
      </c>
      <c r="E235" t="inlineStr">
        <is>
          <t>RAGUNDA</t>
        </is>
      </c>
      <c r="F235" t="inlineStr">
        <is>
          <t>SCA</t>
        </is>
      </c>
      <c r="G235" t="n">
        <v>3.3</v>
      </c>
      <c r="H235" t="n">
        <v>0</v>
      </c>
      <c r="I235" t="n">
        <v>0</v>
      </c>
      <c r="J235" t="n">
        <v>1</v>
      </c>
      <c r="K235" t="n">
        <v>0</v>
      </c>
      <c r="L235" t="n">
        <v>0</v>
      </c>
      <c r="M235" t="n">
        <v>0</v>
      </c>
      <c r="N235" t="n">
        <v>0</v>
      </c>
      <c r="O235" t="n">
        <v>1</v>
      </c>
      <c r="P235" t="n">
        <v>0</v>
      </c>
      <c r="Q235" t="n">
        <v>1</v>
      </c>
      <c r="R235" s="2" t="inlineStr">
        <is>
          <t>Lunglav</t>
        </is>
      </c>
      <c r="S235">
        <f>HYPERLINK("https://klasma.github.io/Logging_2303/artfynd/A 57478-2025 artfynd.xlsx", "A 57478-2025")</f>
        <v/>
      </c>
      <c r="T235">
        <f>HYPERLINK("https://klasma.github.io/Logging_2303/kartor/A 57478-2025 karta.png", "A 57478-2025")</f>
        <v/>
      </c>
      <c r="V235">
        <f>HYPERLINK("https://klasma.github.io/Logging_2303/klagomål/A 57478-2025 FSC-klagomål.docx", "A 57478-2025")</f>
        <v/>
      </c>
      <c r="W235">
        <f>HYPERLINK("https://klasma.github.io/Logging_2303/klagomålsmail/A 57478-2025 FSC-klagomål mail.docx", "A 57478-2025")</f>
        <v/>
      </c>
      <c r="X235">
        <f>HYPERLINK("https://klasma.github.io/Logging_2303/tillsyn/A 57478-2025 tillsynsbegäran.docx", "A 57478-2025")</f>
        <v/>
      </c>
      <c r="Y235">
        <f>HYPERLINK("https://klasma.github.io/Logging_2303/tillsynsmail/A 57478-2025 tillsynsbegäran mail.docx", "A 57478-2025")</f>
        <v/>
      </c>
    </row>
    <row r="236" ht="15" customHeight="1">
      <c r="A236" t="inlineStr">
        <is>
          <t>A 49053-2025</t>
        </is>
      </c>
      <c r="B236" s="1" t="n">
        <v>45937.64009259259</v>
      </c>
      <c r="C236" s="1" t="n">
        <v>46010</v>
      </c>
      <c r="D236" t="inlineStr">
        <is>
          <t>JÄMTLANDS LÄN</t>
        </is>
      </c>
      <c r="E236" t="inlineStr">
        <is>
          <t>RAGUNDA</t>
        </is>
      </c>
      <c r="F236" t="inlineStr">
        <is>
          <t>SCA</t>
        </is>
      </c>
      <c r="G236" t="n">
        <v>7</v>
      </c>
      <c r="H236" t="n">
        <v>1</v>
      </c>
      <c r="I236" t="n">
        <v>1</v>
      </c>
      <c r="J236" t="n">
        <v>0</v>
      </c>
      <c r="K236" t="n">
        <v>0</v>
      </c>
      <c r="L236" t="n">
        <v>0</v>
      </c>
      <c r="M236" t="n">
        <v>0</v>
      </c>
      <c r="N236" t="n">
        <v>0</v>
      </c>
      <c r="O236" t="n">
        <v>0</v>
      </c>
      <c r="P236" t="n">
        <v>0</v>
      </c>
      <c r="Q236" t="n">
        <v>1</v>
      </c>
      <c r="R236" s="2" t="inlineStr">
        <is>
          <t>Guckusko</t>
        </is>
      </c>
      <c r="S236">
        <f>HYPERLINK("https://klasma.github.io/Logging_2303/artfynd/A 49053-2025 artfynd.xlsx", "A 49053-2025")</f>
        <v/>
      </c>
      <c r="T236">
        <f>HYPERLINK("https://klasma.github.io/Logging_2303/kartor/A 49053-2025 karta.png", "A 49053-2025")</f>
        <v/>
      </c>
      <c r="V236">
        <f>HYPERLINK("https://klasma.github.io/Logging_2303/klagomål/A 49053-2025 FSC-klagomål.docx", "A 49053-2025")</f>
        <v/>
      </c>
      <c r="W236">
        <f>HYPERLINK("https://klasma.github.io/Logging_2303/klagomålsmail/A 49053-2025 FSC-klagomål mail.docx", "A 49053-2025")</f>
        <v/>
      </c>
      <c r="X236">
        <f>HYPERLINK("https://klasma.github.io/Logging_2303/tillsyn/A 49053-2025 tillsynsbegäran.docx", "A 49053-2025")</f>
        <v/>
      </c>
      <c r="Y236">
        <f>HYPERLINK("https://klasma.github.io/Logging_2303/tillsynsmail/A 49053-2025 tillsynsbegäran mail.docx", "A 49053-2025")</f>
        <v/>
      </c>
    </row>
    <row r="237" ht="15" customHeight="1">
      <c r="A237" t="inlineStr">
        <is>
          <t>A 48477-2023</t>
        </is>
      </c>
      <c r="B237" s="1" t="n">
        <v>45206</v>
      </c>
      <c r="C237" s="1" t="n">
        <v>46010</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48477-2023 artfynd.xlsx", "A 48477-2023")</f>
        <v/>
      </c>
      <c r="T237">
        <f>HYPERLINK("https://klasma.github.io/Logging_2303/kartor/A 48477-2023 karta.png", "A 48477-2023")</f>
        <v/>
      </c>
      <c r="V237">
        <f>HYPERLINK("https://klasma.github.io/Logging_2303/klagomål/A 48477-2023 FSC-klagomål.docx", "A 48477-2023")</f>
        <v/>
      </c>
      <c r="W237">
        <f>HYPERLINK("https://klasma.github.io/Logging_2303/klagomålsmail/A 48477-2023 FSC-klagomål mail.docx", "A 48477-2023")</f>
        <v/>
      </c>
      <c r="X237">
        <f>HYPERLINK("https://klasma.github.io/Logging_2303/tillsyn/A 48477-2023 tillsynsbegäran.docx", "A 48477-2023")</f>
        <v/>
      </c>
      <c r="Y237">
        <f>HYPERLINK("https://klasma.github.io/Logging_2303/tillsynsmail/A 48477-2023 tillsynsbegäran mail.docx", "A 48477-2023")</f>
        <v/>
      </c>
    </row>
    <row r="238" ht="15" customHeight="1">
      <c r="A238" t="inlineStr">
        <is>
          <t>A 16724-2025</t>
        </is>
      </c>
      <c r="B238" s="1" t="n">
        <v>45754.51064814815</v>
      </c>
      <c r="C238" s="1" t="n">
        <v>46010</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49770-2024</t>
        </is>
      </c>
      <c r="B239" s="1" t="n">
        <v>45597.34461805555</v>
      </c>
      <c r="C239" s="1" t="n">
        <v>46010</v>
      </c>
      <c r="D239" t="inlineStr">
        <is>
          <t>JÄMTLANDS LÄN</t>
        </is>
      </c>
      <c r="E239" t="inlineStr">
        <is>
          <t>RAGUNDA</t>
        </is>
      </c>
      <c r="F239" t="inlineStr">
        <is>
          <t>Naturvårdsverket</t>
        </is>
      </c>
      <c r="G239" t="n">
        <v>8.9</v>
      </c>
      <c r="H239" t="n">
        <v>1</v>
      </c>
      <c r="I239" t="n">
        <v>0</v>
      </c>
      <c r="J239" t="n">
        <v>0</v>
      </c>
      <c r="K239" t="n">
        <v>1</v>
      </c>
      <c r="L239" t="n">
        <v>0</v>
      </c>
      <c r="M239" t="n">
        <v>0</v>
      </c>
      <c r="N239" t="n">
        <v>0</v>
      </c>
      <c r="O239" t="n">
        <v>1</v>
      </c>
      <c r="P239" t="n">
        <v>1</v>
      </c>
      <c r="Q239" t="n">
        <v>1</v>
      </c>
      <c r="R239" s="2" t="inlineStr">
        <is>
          <t>Doftticka</t>
        </is>
      </c>
      <c r="S239">
        <f>HYPERLINK("https://klasma.github.io/Logging_2303/artfynd/A 49770-2024 artfynd.xlsx", "A 49770-2024")</f>
        <v/>
      </c>
      <c r="T239">
        <f>HYPERLINK("https://klasma.github.io/Logging_2303/kartor/A 49770-2024 karta.png", "A 49770-2024")</f>
        <v/>
      </c>
      <c r="V239">
        <f>HYPERLINK("https://klasma.github.io/Logging_2303/klagomål/A 49770-2024 FSC-klagomål.docx", "A 49770-2024")</f>
        <v/>
      </c>
      <c r="W239">
        <f>HYPERLINK("https://klasma.github.io/Logging_2303/klagomålsmail/A 49770-2024 FSC-klagomål mail.docx", "A 49770-2024")</f>
        <v/>
      </c>
      <c r="X239">
        <f>HYPERLINK("https://klasma.github.io/Logging_2303/tillsyn/A 49770-2024 tillsynsbegäran.docx", "A 49770-2024")</f>
        <v/>
      </c>
      <c r="Y239">
        <f>HYPERLINK("https://klasma.github.io/Logging_2303/tillsynsmail/A 49770-2024 tillsynsbegäran mail.docx", "A 49770-2024")</f>
        <v/>
      </c>
    </row>
    <row r="240" ht="15" customHeight="1">
      <c r="A240" t="inlineStr">
        <is>
          <t>A 58990-2025</t>
        </is>
      </c>
      <c r="B240" s="1" t="n">
        <v>45987</v>
      </c>
      <c r="C240" s="1" t="n">
        <v>46010</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61324-2024</t>
        </is>
      </c>
      <c r="B241" s="1" t="n">
        <v>45646.34438657408</v>
      </c>
      <c r="C241" s="1" t="n">
        <v>46010</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51912-2025</t>
        </is>
      </c>
      <c r="B242" s="1" t="n">
        <v>45952.46939814815</v>
      </c>
      <c r="C242" s="1" t="n">
        <v>46010</v>
      </c>
      <c r="D242" t="inlineStr">
        <is>
          <t>JÄMTLANDS LÄN</t>
        </is>
      </c>
      <c r="E242" t="inlineStr">
        <is>
          <t>RAGUNDA</t>
        </is>
      </c>
      <c r="F242" t="inlineStr">
        <is>
          <t>SCA</t>
        </is>
      </c>
      <c r="G242" t="n">
        <v>24.2</v>
      </c>
      <c r="H242" t="n">
        <v>1</v>
      </c>
      <c r="I242" t="n">
        <v>0</v>
      </c>
      <c r="J242" t="n">
        <v>0</v>
      </c>
      <c r="K242" t="n">
        <v>1</v>
      </c>
      <c r="L242" t="n">
        <v>0</v>
      </c>
      <c r="M242" t="n">
        <v>0</v>
      </c>
      <c r="N242" t="n">
        <v>0</v>
      </c>
      <c r="O242" t="n">
        <v>1</v>
      </c>
      <c r="P242" t="n">
        <v>1</v>
      </c>
      <c r="Q242" t="n">
        <v>1</v>
      </c>
      <c r="R242" s="2" t="inlineStr">
        <is>
          <t>Norna</t>
        </is>
      </c>
      <c r="S242">
        <f>HYPERLINK("https://klasma.github.io/Logging_2303/artfynd/A 51912-2025 artfynd.xlsx", "A 51912-2025")</f>
        <v/>
      </c>
      <c r="T242">
        <f>HYPERLINK("https://klasma.github.io/Logging_2303/kartor/A 51912-2025 karta.png", "A 51912-2025")</f>
        <v/>
      </c>
      <c r="V242">
        <f>HYPERLINK("https://klasma.github.io/Logging_2303/klagomål/A 51912-2025 FSC-klagomål.docx", "A 51912-2025")</f>
        <v/>
      </c>
      <c r="W242">
        <f>HYPERLINK("https://klasma.github.io/Logging_2303/klagomålsmail/A 51912-2025 FSC-klagomål mail.docx", "A 51912-2025")</f>
        <v/>
      </c>
      <c r="X242">
        <f>HYPERLINK("https://klasma.github.io/Logging_2303/tillsyn/A 51912-2025 tillsynsbegäran.docx", "A 51912-2025")</f>
        <v/>
      </c>
      <c r="Y242">
        <f>HYPERLINK("https://klasma.github.io/Logging_2303/tillsynsmail/A 51912-2025 tillsynsbegäran mail.docx", "A 51912-2025")</f>
        <v/>
      </c>
    </row>
    <row r="243" ht="15" customHeight="1">
      <c r="A243" t="inlineStr">
        <is>
          <t>A 32069-2024</t>
        </is>
      </c>
      <c r="B243" s="1" t="n">
        <v>45510</v>
      </c>
      <c r="C243" s="1" t="n">
        <v>46010</v>
      </c>
      <c r="D243" t="inlineStr">
        <is>
          <t>JÄMTLANDS LÄN</t>
        </is>
      </c>
      <c r="E243" t="inlineStr">
        <is>
          <t>RAGUNDA</t>
        </is>
      </c>
      <c r="F243" t="inlineStr">
        <is>
          <t>SCA</t>
        </is>
      </c>
      <c r="G243" t="n">
        <v>1.8</v>
      </c>
      <c r="H243" t="n">
        <v>0</v>
      </c>
      <c r="I243" t="n">
        <v>0</v>
      </c>
      <c r="J243" t="n">
        <v>1</v>
      </c>
      <c r="K243" t="n">
        <v>0</v>
      </c>
      <c r="L243" t="n">
        <v>0</v>
      </c>
      <c r="M243" t="n">
        <v>0</v>
      </c>
      <c r="N243" t="n">
        <v>0</v>
      </c>
      <c r="O243" t="n">
        <v>1</v>
      </c>
      <c r="P243" t="n">
        <v>0</v>
      </c>
      <c r="Q243" t="n">
        <v>1</v>
      </c>
      <c r="R243" s="2" t="inlineStr">
        <is>
          <t>Lunglav</t>
        </is>
      </c>
      <c r="S243">
        <f>HYPERLINK("https://klasma.github.io/Logging_2303/artfynd/A 32069-2024 artfynd.xlsx", "A 32069-2024")</f>
        <v/>
      </c>
      <c r="T243">
        <f>HYPERLINK("https://klasma.github.io/Logging_2303/kartor/A 32069-2024 karta.png", "A 32069-2024")</f>
        <v/>
      </c>
      <c r="V243">
        <f>HYPERLINK("https://klasma.github.io/Logging_2303/klagomål/A 32069-2024 FSC-klagomål.docx", "A 32069-2024")</f>
        <v/>
      </c>
      <c r="W243">
        <f>HYPERLINK("https://klasma.github.io/Logging_2303/klagomålsmail/A 32069-2024 FSC-klagomål mail.docx", "A 32069-2024")</f>
        <v/>
      </c>
      <c r="X243">
        <f>HYPERLINK("https://klasma.github.io/Logging_2303/tillsyn/A 32069-2024 tillsynsbegäran.docx", "A 32069-2024")</f>
        <v/>
      </c>
      <c r="Y243">
        <f>HYPERLINK("https://klasma.github.io/Logging_2303/tillsynsmail/A 32069-2024 tillsynsbegäran mail.docx", "A 32069-2024")</f>
        <v/>
      </c>
    </row>
    <row r="244" ht="15" customHeight="1">
      <c r="A244" t="inlineStr">
        <is>
          <t>A 19751-2025</t>
        </is>
      </c>
      <c r="B244" s="1" t="n">
        <v>45771.3859837963</v>
      </c>
      <c r="C244" s="1" t="n">
        <v>46010</v>
      </c>
      <c r="D244" t="inlineStr">
        <is>
          <t>JÄMTLANDS LÄN</t>
        </is>
      </c>
      <c r="E244" t="inlineStr">
        <is>
          <t>RAGUNDA</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19751-2025 artfynd.xlsx", "A 19751-2025")</f>
        <v/>
      </c>
      <c r="T244">
        <f>HYPERLINK("https://klasma.github.io/Logging_2303/kartor/A 19751-2025 karta.png", "A 19751-2025")</f>
        <v/>
      </c>
      <c r="V244">
        <f>HYPERLINK("https://klasma.github.io/Logging_2303/klagomål/A 19751-2025 FSC-klagomål.docx", "A 19751-2025")</f>
        <v/>
      </c>
      <c r="W244">
        <f>HYPERLINK("https://klasma.github.io/Logging_2303/klagomålsmail/A 19751-2025 FSC-klagomål mail.docx", "A 19751-2025")</f>
        <v/>
      </c>
      <c r="X244">
        <f>HYPERLINK("https://klasma.github.io/Logging_2303/tillsyn/A 19751-2025 tillsynsbegäran.docx", "A 19751-2025")</f>
        <v/>
      </c>
      <c r="Y244">
        <f>HYPERLINK("https://klasma.github.io/Logging_2303/tillsynsmail/A 19751-2025 tillsynsbegäran mail.docx", "A 19751-2025")</f>
        <v/>
      </c>
      <c r="Z244">
        <f>HYPERLINK("https://klasma.github.io/Logging_2303/fåglar/A 19751-2025 prioriterade fågelarter.docx", "A 19751-2025")</f>
        <v/>
      </c>
    </row>
    <row r="245" ht="15" customHeight="1">
      <c r="A245" t="inlineStr">
        <is>
          <t>A 50164-2023</t>
        </is>
      </c>
      <c r="B245" s="1" t="n">
        <v>45208</v>
      </c>
      <c r="C245" s="1" t="n">
        <v>46010</v>
      </c>
      <c r="D245" t="inlineStr">
        <is>
          <t>JÄMTLANDS LÄN</t>
        </is>
      </c>
      <c r="E245" t="inlineStr">
        <is>
          <t>RAGUNDA</t>
        </is>
      </c>
      <c r="G245" t="n">
        <v>2.9</v>
      </c>
      <c r="H245" t="n">
        <v>0</v>
      </c>
      <c r="I245" t="n">
        <v>0</v>
      </c>
      <c r="J245" t="n">
        <v>0</v>
      </c>
      <c r="K245" t="n">
        <v>1</v>
      </c>
      <c r="L245" t="n">
        <v>0</v>
      </c>
      <c r="M245" t="n">
        <v>0</v>
      </c>
      <c r="N245" t="n">
        <v>0</v>
      </c>
      <c r="O245" t="n">
        <v>1</v>
      </c>
      <c r="P245" t="n">
        <v>1</v>
      </c>
      <c r="Q245" t="n">
        <v>1</v>
      </c>
      <c r="R245" s="2" t="inlineStr">
        <is>
          <t>Mindre barkplattbagge</t>
        </is>
      </c>
      <c r="S245">
        <f>HYPERLINK("https://klasma.github.io/Logging_2303/artfynd/A 50164-2023 artfynd.xlsx", "A 50164-2023")</f>
        <v/>
      </c>
      <c r="T245">
        <f>HYPERLINK("https://klasma.github.io/Logging_2303/kartor/A 50164-2023 karta.png", "A 50164-2023")</f>
        <v/>
      </c>
      <c r="V245">
        <f>HYPERLINK("https://klasma.github.io/Logging_2303/klagomål/A 50164-2023 FSC-klagomål.docx", "A 50164-2023")</f>
        <v/>
      </c>
      <c r="W245">
        <f>HYPERLINK("https://klasma.github.io/Logging_2303/klagomålsmail/A 50164-2023 FSC-klagomål mail.docx", "A 50164-2023")</f>
        <v/>
      </c>
      <c r="X245">
        <f>HYPERLINK("https://klasma.github.io/Logging_2303/tillsyn/A 50164-2023 tillsynsbegäran.docx", "A 50164-2023")</f>
        <v/>
      </c>
      <c r="Y245">
        <f>HYPERLINK("https://klasma.github.io/Logging_2303/tillsynsmail/A 50164-2023 tillsynsbegäran mail.docx", "A 50164-2023")</f>
        <v/>
      </c>
    </row>
    <row r="246" ht="15" customHeight="1">
      <c r="A246" t="inlineStr">
        <is>
          <t>A 19387-2025</t>
        </is>
      </c>
      <c r="B246" s="1" t="n">
        <v>45769.65736111111</v>
      </c>
      <c r="C246" s="1" t="n">
        <v>46010</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2929-2024</t>
        </is>
      </c>
      <c r="B247" s="1" t="n">
        <v>45315</v>
      </c>
      <c r="C247" s="1" t="n">
        <v>46010</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58846-2024</t>
        </is>
      </c>
      <c r="B248" s="1" t="n">
        <v>45636.3863425926</v>
      </c>
      <c r="C248" s="1" t="n">
        <v>46010</v>
      </c>
      <c r="D248" t="inlineStr">
        <is>
          <t>JÄMTLANDS LÄN</t>
        </is>
      </c>
      <c r="E248" t="inlineStr">
        <is>
          <t>RAGUNDA</t>
        </is>
      </c>
      <c r="F248" t="inlineStr">
        <is>
          <t>SCA</t>
        </is>
      </c>
      <c r="G248" t="n">
        <v>1.5</v>
      </c>
      <c r="H248" t="n">
        <v>0</v>
      </c>
      <c r="I248" t="n">
        <v>0</v>
      </c>
      <c r="J248" t="n">
        <v>0</v>
      </c>
      <c r="K248" t="n">
        <v>1</v>
      </c>
      <c r="L248" t="n">
        <v>0</v>
      </c>
      <c r="M248" t="n">
        <v>0</v>
      </c>
      <c r="N248" t="n">
        <v>0</v>
      </c>
      <c r="O248" t="n">
        <v>1</v>
      </c>
      <c r="P248" t="n">
        <v>1</v>
      </c>
      <c r="Q248" t="n">
        <v>1</v>
      </c>
      <c r="R248" s="2" t="inlineStr">
        <is>
          <t>Rynkskinn</t>
        </is>
      </c>
      <c r="S248">
        <f>HYPERLINK("https://klasma.github.io/Logging_2303/artfynd/A 58846-2024 artfynd.xlsx", "A 58846-2024")</f>
        <v/>
      </c>
      <c r="T248">
        <f>HYPERLINK("https://klasma.github.io/Logging_2303/kartor/A 58846-2024 karta.png", "A 58846-2024")</f>
        <v/>
      </c>
      <c r="V248">
        <f>HYPERLINK("https://klasma.github.io/Logging_2303/klagomål/A 58846-2024 FSC-klagomål.docx", "A 58846-2024")</f>
        <v/>
      </c>
      <c r="W248">
        <f>HYPERLINK("https://klasma.github.io/Logging_2303/klagomålsmail/A 58846-2024 FSC-klagomål mail.docx", "A 58846-2024")</f>
        <v/>
      </c>
      <c r="X248">
        <f>HYPERLINK("https://klasma.github.io/Logging_2303/tillsyn/A 58846-2024 tillsynsbegäran.docx", "A 58846-2024")</f>
        <v/>
      </c>
      <c r="Y248">
        <f>HYPERLINK("https://klasma.github.io/Logging_2303/tillsynsmail/A 58846-2024 tillsynsbegäran mail.docx", "A 58846-2024")</f>
        <v/>
      </c>
    </row>
    <row r="249" ht="15" customHeight="1">
      <c r="A249" t="inlineStr">
        <is>
          <t>A 36854-2023</t>
        </is>
      </c>
      <c r="B249" s="1" t="n">
        <v>45153</v>
      </c>
      <c r="C249" s="1" t="n">
        <v>46010</v>
      </c>
      <c r="D249" t="inlineStr">
        <is>
          <t>JÄMTLANDS LÄN</t>
        </is>
      </c>
      <c r="E249" t="inlineStr">
        <is>
          <t>RAGUNDA</t>
        </is>
      </c>
      <c r="G249" t="n">
        <v>4</v>
      </c>
      <c r="H249" t="n">
        <v>1</v>
      </c>
      <c r="I249" t="n">
        <v>0</v>
      </c>
      <c r="J249" t="n">
        <v>1</v>
      </c>
      <c r="K249" t="n">
        <v>0</v>
      </c>
      <c r="L249" t="n">
        <v>0</v>
      </c>
      <c r="M249" t="n">
        <v>0</v>
      </c>
      <c r="N249" t="n">
        <v>0</v>
      </c>
      <c r="O249" t="n">
        <v>1</v>
      </c>
      <c r="P249" t="n">
        <v>0</v>
      </c>
      <c r="Q249" t="n">
        <v>1</v>
      </c>
      <c r="R249" s="2" t="inlineStr">
        <is>
          <t>Talltita</t>
        </is>
      </c>
      <c r="S249">
        <f>HYPERLINK("https://klasma.github.io/Logging_2303/artfynd/A 36854-2023 artfynd.xlsx", "A 36854-2023")</f>
        <v/>
      </c>
      <c r="T249">
        <f>HYPERLINK("https://klasma.github.io/Logging_2303/kartor/A 36854-2023 karta.png", "A 36854-2023")</f>
        <v/>
      </c>
      <c r="V249">
        <f>HYPERLINK("https://klasma.github.io/Logging_2303/klagomål/A 36854-2023 FSC-klagomål.docx", "A 36854-2023")</f>
        <v/>
      </c>
      <c r="W249">
        <f>HYPERLINK("https://klasma.github.io/Logging_2303/klagomålsmail/A 36854-2023 FSC-klagomål mail.docx", "A 36854-2023")</f>
        <v/>
      </c>
      <c r="X249">
        <f>HYPERLINK("https://klasma.github.io/Logging_2303/tillsyn/A 36854-2023 tillsynsbegäran.docx", "A 36854-2023")</f>
        <v/>
      </c>
      <c r="Y249">
        <f>HYPERLINK("https://klasma.github.io/Logging_2303/tillsynsmail/A 36854-2023 tillsynsbegäran mail.docx", "A 36854-2023")</f>
        <v/>
      </c>
      <c r="Z249">
        <f>HYPERLINK("https://klasma.github.io/Logging_2303/fåglar/A 36854-2023 prioriterade fågelarter.docx", "A 36854-2023")</f>
        <v/>
      </c>
    </row>
    <row r="250" ht="15" customHeight="1">
      <c r="A250" t="inlineStr">
        <is>
          <t>A 18985-2023</t>
        </is>
      </c>
      <c r="B250" s="1" t="n">
        <v>45044</v>
      </c>
      <c r="C250" s="1" t="n">
        <v>46010</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30485-2024</t>
        </is>
      </c>
      <c r="B251" s="1" t="n">
        <v>45491.95008101852</v>
      </c>
      <c r="C251" s="1" t="n">
        <v>46010</v>
      </c>
      <c r="D251" t="inlineStr">
        <is>
          <t>JÄMTLANDS LÄN</t>
        </is>
      </c>
      <c r="E251" t="inlineStr">
        <is>
          <t>RAGUNDA</t>
        </is>
      </c>
      <c r="F251" t="inlineStr">
        <is>
          <t>SCA</t>
        </is>
      </c>
      <c r="G251" t="n">
        <v>2</v>
      </c>
      <c r="H251" t="n">
        <v>0</v>
      </c>
      <c r="I251" t="n">
        <v>0</v>
      </c>
      <c r="J251" t="n">
        <v>1</v>
      </c>
      <c r="K251" t="n">
        <v>0</v>
      </c>
      <c r="L251" t="n">
        <v>0</v>
      </c>
      <c r="M251" t="n">
        <v>0</v>
      </c>
      <c r="N251" t="n">
        <v>0</v>
      </c>
      <c r="O251" t="n">
        <v>1</v>
      </c>
      <c r="P251" t="n">
        <v>0</v>
      </c>
      <c r="Q251" t="n">
        <v>1</v>
      </c>
      <c r="R251" s="2" t="inlineStr">
        <is>
          <t>Garnlav</t>
        </is>
      </c>
      <c r="S251">
        <f>HYPERLINK("https://klasma.github.io/Logging_2303/artfynd/A 30485-2024 artfynd.xlsx", "A 30485-2024")</f>
        <v/>
      </c>
      <c r="T251">
        <f>HYPERLINK("https://klasma.github.io/Logging_2303/kartor/A 30485-2024 karta.png", "A 30485-2024")</f>
        <v/>
      </c>
      <c r="V251">
        <f>HYPERLINK("https://klasma.github.io/Logging_2303/klagomål/A 30485-2024 FSC-klagomål.docx", "A 30485-2024")</f>
        <v/>
      </c>
      <c r="W251">
        <f>HYPERLINK("https://klasma.github.io/Logging_2303/klagomålsmail/A 30485-2024 FSC-klagomål mail.docx", "A 30485-2024")</f>
        <v/>
      </c>
      <c r="X251">
        <f>HYPERLINK("https://klasma.github.io/Logging_2303/tillsyn/A 30485-2024 tillsynsbegäran.docx", "A 30485-2024")</f>
        <v/>
      </c>
      <c r="Y251">
        <f>HYPERLINK("https://klasma.github.io/Logging_2303/tillsynsmail/A 30485-2024 tillsynsbegäran mail.docx", "A 30485-2024")</f>
        <v/>
      </c>
    </row>
    <row r="252" ht="15" customHeight="1">
      <c r="A252" t="inlineStr">
        <is>
          <t>A 35750-2023</t>
        </is>
      </c>
      <c r="B252" s="1" t="n">
        <v>45147</v>
      </c>
      <c r="C252" s="1" t="n">
        <v>46010</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62072-2023</t>
        </is>
      </c>
      <c r="B253" s="1" t="n">
        <v>45266</v>
      </c>
      <c r="C253" s="1" t="n">
        <v>46010</v>
      </c>
      <c r="D253" t="inlineStr">
        <is>
          <t>JÄMTLANDS LÄN</t>
        </is>
      </c>
      <c r="E253" t="inlineStr">
        <is>
          <t>RAGUNDA</t>
        </is>
      </c>
      <c r="G253" t="n">
        <v>4.5</v>
      </c>
      <c r="H253" t="n">
        <v>1</v>
      </c>
      <c r="I253" t="n">
        <v>0</v>
      </c>
      <c r="J253" t="n">
        <v>0</v>
      </c>
      <c r="K253" t="n">
        <v>1</v>
      </c>
      <c r="L253" t="n">
        <v>0</v>
      </c>
      <c r="M253" t="n">
        <v>0</v>
      </c>
      <c r="N253" t="n">
        <v>0</v>
      </c>
      <c r="O253" t="n">
        <v>1</v>
      </c>
      <c r="P253" t="n">
        <v>1</v>
      </c>
      <c r="Q253" t="n">
        <v>1</v>
      </c>
      <c r="R253" s="2" t="inlineStr">
        <is>
          <t>Lappuggla</t>
        </is>
      </c>
      <c r="S253">
        <f>HYPERLINK("https://klasma.github.io/Logging_2303/artfynd/A 62072-2023 artfynd.xlsx", "A 62072-2023")</f>
        <v/>
      </c>
      <c r="T253">
        <f>HYPERLINK("https://klasma.github.io/Logging_2303/kartor/A 62072-2023 karta.png", "A 62072-2023")</f>
        <v/>
      </c>
      <c r="V253">
        <f>HYPERLINK("https://klasma.github.io/Logging_2303/klagomål/A 62072-2023 FSC-klagomål.docx", "A 62072-2023")</f>
        <v/>
      </c>
      <c r="W253">
        <f>HYPERLINK("https://klasma.github.io/Logging_2303/klagomålsmail/A 62072-2023 FSC-klagomål mail.docx", "A 62072-2023")</f>
        <v/>
      </c>
      <c r="X253">
        <f>HYPERLINK("https://klasma.github.io/Logging_2303/tillsyn/A 62072-2023 tillsynsbegäran.docx", "A 62072-2023")</f>
        <v/>
      </c>
      <c r="Y253">
        <f>HYPERLINK("https://klasma.github.io/Logging_2303/tillsynsmail/A 62072-2023 tillsynsbegäran mail.docx", "A 62072-2023")</f>
        <v/>
      </c>
      <c r="Z253">
        <f>HYPERLINK("https://klasma.github.io/Logging_2303/fåglar/A 62072-2023 prioriterade fågelarter.docx", "A 62072-2023")</f>
        <v/>
      </c>
    </row>
    <row r="254" ht="15" customHeight="1">
      <c r="A254" t="inlineStr">
        <is>
          <t>A 20774-2024</t>
        </is>
      </c>
      <c r="B254" s="1" t="n">
        <v>45436.94644675926</v>
      </c>
      <c r="C254" s="1" t="n">
        <v>46010</v>
      </c>
      <c r="D254" t="inlineStr">
        <is>
          <t>JÄMTLANDS LÄN</t>
        </is>
      </c>
      <c r="E254" t="inlineStr">
        <is>
          <t>RAGUNDA</t>
        </is>
      </c>
      <c r="F254" t="inlineStr">
        <is>
          <t>SCA</t>
        </is>
      </c>
      <c r="G254" t="n">
        <v>2.3</v>
      </c>
      <c r="H254" t="n">
        <v>0</v>
      </c>
      <c r="I254" t="n">
        <v>1</v>
      </c>
      <c r="J254" t="n">
        <v>0</v>
      </c>
      <c r="K254" t="n">
        <v>0</v>
      </c>
      <c r="L254" t="n">
        <v>0</v>
      </c>
      <c r="M254" t="n">
        <v>0</v>
      </c>
      <c r="N254" t="n">
        <v>0</v>
      </c>
      <c r="O254" t="n">
        <v>0</v>
      </c>
      <c r="P254" t="n">
        <v>0</v>
      </c>
      <c r="Q254" t="n">
        <v>1</v>
      </c>
      <c r="R254" s="2" t="inlineStr">
        <is>
          <t>Fjällig taggsvamp s.str.</t>
        </is>
      </c>
      <c r="S254">
        <f>HYPERLINK("https://klasma.github.io/Logging_2303/artfynd/A 20774-2024 artfynd.xlsx", "A 20774-2024")</f>
        <v/>
      </c>
      <c r="T254">
        <f>HYPERLINK("https://klasma.github.io/Logging_2303/kartor/A 20774-2024 karta.png", "A 20774-2024")</f>
        <v/>
      </c>
      <c r="V254">
        <f>HYPERLINK("https://klasma.github.io/Logging_2303/klagomål/A 20774-2024 FSC-klagomål.docx", "A 20774-2024")</f>
        <v/>
      </c>
      <c r="W254">
        <f>HYPERLINK("https://klasma.github.io/Logging_2303/klagomålsmail/A 20774-2024 FSC-klagomål mail.docx", "A 20774-2024")</f>
        <v/>
      </c>
      <c r="X254">
        <f>HYPERLINK("https://klasma.github.io/Logging_2303/tillsyn/A 20774-2024 tillsynsbegäran.docx", "A 20774-2024")</f>
        <v/>
      </c>
      <c r="Y254">
        <f>HYPERLINK("https://klasma.github.io/Logging_2303/tillsynsmail/A 20774-2024 tillsynsbegäran mail.docx", "A 20774-2024")</f>
        <v/>
      </c>
    </row>
    <row r="255" ht="15" customHeight="1">
      <c r="A255" t="inlineStr">
        <is>
          <t>A 36757-2023</t>
        </is>
      </c>
      <c r="B255" s="1" t="n">
        <v>45153</v>
      </c>
      <c r="C255" s="1" t="n">
        <v>46010</v>
      </c>
      <c r="D255" t="inlineStr">
        <is>
          <t>JÄMTLANDS LÄN</t>
        </is>
      </c>
      <c r="E255" t="inlineStr">
        <is>
          <t>RAGUNDA</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36757-2023 artfynd.xlsx", "A 36757-2023")</f>
        <v/>
      </c>
      <c r="T255">
        <f>HYPERLINK("https://klasma.github.io/Logging_2303/kartor/A 36757-2023 karta.png", "A 36757-2023")</f>
        <v/>
      </c>
      <c r="V255">
        <f>HYPERLINK("https://klasma.github.io/Logging_2303/klagomål/A 36757-2023 FSC-klagomål.docx", "A 36757-2023")</f>
        <v/>
      </c>
      <c r="W255">
        <f>HYPERLINK("https://klasma.github.io/Logging_2303/klagomålsmail/A 36757-2023 FSC-klagomål mail.docx", "A 36757-2023")</f>
        <v/>
      </c>
      <c r="X255">
        <f>HYPERLINK("https://klasma.github.io/Logging_2303/tillsyn/A 36757-2023 tillsynsbegäran.docx", "A 36757-2023")</f>
        <v/>
      </c>
      <c r="Y255">
        <f>HYPERLINK("https://klasma.github.io/Logging_2303/tillsynsmail/A 36757-2023 tillsynsbegäran mail.docx", "A 36757-2023")</f>
        <v/>
      </c>
      <c r="Z255">
        <f>HYPERLINK("https://klasma.github.io/Logging_2303/fåglar/A 36757-2023 prioriterade fågelarter.docx", "A 36757-2023")</f>
        <v/>
      </c>
    </row>
    <row r="256" ht="15" customHeight="1">
      <c r="A256" t="inlineStr">
        <is>
          <t>A 21212-2025</t>
        </is>
      </c>
      <c r="B256" s="1" t="n">
        <v>45779.48993055556</v>
      </c>
      <c r="C256" s="1" t="n">
        <v>46010</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46010</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69618-2020</t>
        </is>
      </c>
      <c r="B258" s="1" t="n">
        <v>44195</v>
      </c>
      <c r="C258" s="1" t="n">
        <v>46010</v>
      </c>
      <c r="D258" t="inlineStr">
        <is>
          <t>JÄMTLANDS LÄN</t>
        </is>
      </c>
      <c r="E258" t="inlineStr">
        <is>
          <t>RAGUNDA</t>
        </is>
      </c>
      <c r="G258" t="n">
        <v>2.4</v>
      </c>
      <c r="H258" t="n">
        <v>0</v>
      </c>
      <c r="I258" t="n">
        <v>0</v>
      </c>
      <c r="J258" t="n">
        <v>0</v>
      </c>
      <c r="K258" t="n">
        <v>0</v>
      </c>
      <c r="L258" t="n">
        <v>0</v>
      </c>
      <c r="M258" t="n">
        <v>0</v>
      </c>
      <c r="N258" t="n">
        <v>0</v>
      </c>
      <c r="O258" t="n">
        <v>0</v>
      </c>
      <c r="P258" t="n">
        <v>0</v>
      </c>
      <c r="Q258" t="n">
        <v>0</v>
      </c>
      <c r="R258" s="2" t="inlineStr"/>
    </row>
    <row r="259" ht="15" customHeight="1">
      <c r="A259" t="inlineStr">
        <is>
          <t>A 2469-2021</t>
        </is>
      </c>
      <c r="B259" s="1" t="n">
        <v>44214</v>
      </c>
      <c r="C259" s="1" t="n">
        <v>46010</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46010</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46010</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46010</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46010</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46010</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46010</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46010</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46010</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46010</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46010</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46010</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46010</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46010</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46010</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46010</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46010</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46010</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46010</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46010</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46010</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46010</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46010</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46010</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46010</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46010</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46010</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46010</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46010</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46010</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46010</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46010</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46010</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46010</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46010</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46010</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46010</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46010</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46010</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46010</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46010</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69481-2020</t>
        </is>
      </c>
      <c r="B301" s="1" t="n">
        <v>44194</v>
      </c>
      <c r="C301" s="1" t="n">
        <v>46010</v>
      </c>
      <c r="D301" t="inlineStr">
        <is>
          <t>JÄMTLANDS LÄN</t>
        </is>
      </c>
      <c r="E301" t="inlineStr">
        <is>
          <t>RAGUNDA</t>
        </is>
      </c>
      <c r="G301" t="n">
        <v>1</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46010</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46010</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46010</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46010</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46010</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46010</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46010</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46010</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46010</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46010</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46010</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46010</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46010</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46010</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11217-2022</t>
        </is>
      </c>
      <c r="B316" s="1" t="n">
        <v>44629.56258101852</v>
      </c>
      <c r="C316" s="1" t="n">
        <v>46010</v>
      </c>
      <c r="D316" t="inlineStr">
        <is>
          <t>JÄMTLANDS LÄN</t>
        </is>
      </c>
      <c r="E316" t="inlineStr">
        <is>
          <t>RAGUNDA</t>
        </is>
      </c>
      <c r="G316" t="n">
        <v>10.2</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46010</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46010</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46010</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46010</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46010</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46010</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46010</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46010</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46010</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46010</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46010</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46010</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46010</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46010</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46010</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46010</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46010</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46010</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46010</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46010</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46010</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46010</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46010</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46010</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46010</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46010</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46010</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46010</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1858-2022</t>
        </is>
      </c>
      <c r="B345" s="1" t="n">
        <v>44574</v>
      </c>
      <c r="C345" s="1" t="n">
        <v>46010</v>
      </c>
      <c r="D345" t="inlineStr">
        <is>
          <t>JÄMTLANDS LÄN</t>
        </is>
      </c>
      <c r="E345" t="inlineStr">
        <is>
          <t>RAGUNDA</t>
        </is>
      </c>
      <c r="G345" t="n">
        <v>5.7</v>
      </c>
      <c r="H345" t="n">
        <v>0</v>
      </c>
      <c r="I345" t="n">
        <v>0</v>
      </c>
      <c r="J345" t="n">
        <v>0</v>
      </c>
      <c r="K345" t="n">
        <v>0</v>
      </c>
      <c r="L345" t="n">
        <v>0</v>
      </c>
      <c r="M345" t="n">
        <v>0</v>
      </c>
      <c r="N345" t="n">
        <v>0</v>
      </c>
      <c r="O345" t="n">
        <v>0</v>
      </c>
      <c r="P345" t="n">
        <v>0</v>
      </c>
      <c r="Q345" t="n">
        <v>0</v>
      </c>
      <c r="R345" s="2" t="inlineStr"/>
    </row>
    <row r="346" ht="15" customHeight="1">
      <c r="A346" t="inlineStr">
        <is>
          <t>A 35749-2022</t>
        </is>
      </c>
      <c r="B346" s="1" t="n">
        <v>44799.94394675926</v>
      </c>
      <c r="C346" s="1" t="n">
        <v>46010</v>
      </c>
      <c r="D346" t="inlineStr">
        <is>
          <t>JÄMTLANDS LÄN</t>
        </is>
      </c>
      <c r="E346" t="inlineStr">
        <is>
          <t>RAGUNDA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46010</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46010</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46010</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46010</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46010</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46010</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46010</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46010</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46010</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46010</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46010</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46010</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46010</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15664-2022</t>
        </is>
      </c>
      <c r="B360" s="1" t="n">
        <v>44662</v>
      </c>
      <c r="C360" s="1" t="n">
        <v>46010</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46010</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18341-2022</t>
        </is>
      </c>
      <c r="B362" s="1" t="n">
        <v>44685</v>
      </c>
      <c r="C362" s="1" t="n">
        <v>46010</v>
      </c>
      <c r="D362" t="inlineStr">
        <is>
          <t>JÄMTLANDS LÄN</t>
        </is>
      </c>
      <c r="E362" t="inlineStr">
        <is>
          <t>RAGUNDA</t>
        </is>
      </c>
      <c r="G362" t="n">
        <v>0.2</v>
      </c>
      <c r="H362" t="n">
        <v>0</v>
      </c>
      <c r="I362" t="n">
        <v>0</v>
      </c>
      <c r="J362" t="n">
        <v>0</v>
      </c>
      <c r="K362" t="n">
        <v>0</v>
      </c>
      <c r="L362" t="n">
        <v>0</v>
      </c>
      <c r="M362" t="n">
        <v>0</v>
      </c>
      <c r="N362" t="n">
        <v>0</v>
      </c>
      <c r="O362" t="n">
        <v>0</v>
      </c>
      <c r="P362" t="n">
        <v>0</v>
      </c>
      <c r="Q362" t="n">
        <v>0</v>
      </c>
      <c r="R362" s="2" t="inlineStr"/>
    </row>
    <row r="363" ht="15" customHeight="1">
      <c r="A363" t="inlineStr">
        <is>
          <t>A 9185-2022</t>
        </is>
      </c>
      <c r="B363" s="1" t="n">
        <v>44615</v>
      </c>
      <c r="C363" s="1" t="n">
        <v>46010</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46010</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46010</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46010</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46010</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46010</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46010</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38733-2022</t>
        </is>
      </c>
      <c r="B370" s="1" t="n">
        <v>44815</v>
      </c>
      <c r="C370" s="1" t="n">
        <v>46010</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44578.92284722222</v>
      </c>
      <c r="C371" s="1" t="n">
        <v>46010</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46010</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46010</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47803-2022</t>
        </is>
      </c>
      <c r="B374" s="1" t="n">
        <v>44854.95390046296</v>
      </c>
      <c r="C374" s="1" t="n">
        <v>46010</v>
      </c>
      <c r="D374" t="inlineStr">
        <is>
          <t>JÄMTLANDS LÄN</t>
        </is>
      </c>
      <c r="E374" t="inlineStr">
        <is>
          <t>RAGUNDA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46010</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46010</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32986-2022</t>
        </is>
      </c>
      <c r="B377" s="1" t="n">
        <v>44784.94157407407</v>
      </c>
      <c r="C377" s="1" t="n">
        <v>46010</v>
      </c>
      <c r="D377" t="inlineStr">
        <is>
          <t>JÄMTLANDS LÄN</t>
        </is>
      </c>
      <c r="E377" t="inlineStr">
        <is>
          <t>RAGUNDA</t>
        </is>
      </c>
      <c r="F377" t="inlineStr">
        <is>
          <t>SCA</t>
        </is>
      </c>
      <c r="G377" t="n">
        <v>6.7</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46010</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42267-2022</t>
        </is>
      </c>
      <c r="B379" s="1" t="n">
        <v>44830</v>
      </c>
      <c r="C379" s="1" t="n">
        <v>46010</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46010</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46010</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46010</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46010</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46010</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46010</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46010</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46010</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46010</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46010</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19600-2021</t>
        </is>
      </c>
      <c r="B390" s="1" t="n">
        <v>44308</v>
      </c>
      <c r="C390" s="1" t="n">
        <v>46010</v>
      </c>
      <c r="D390" t="inlineStr">
        <is>
          <t>JÄMTLANDS LÄN</t>
        </is>
      </c>
      <c r="E390" t="inlineStr">
        <is>
          <t>RAGUNDA</t>
        </is>
      </c>
      <c r="G390" t="n">
        <v>4.3</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46010</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46010</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46010</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46010</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46010</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46010</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46010</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46010</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46010</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22655-2021</t>
        </is>
      </c>
      <c r="B400" s="1" t="n">
        <v>44322</v>
      </c>
      <c r="C400" s="1" t="n">
        <v>46010</v>
      </c>
      <c r="D400" t="inlineStr">
        <is>
          <t>JÄMTLANDS LÄN</t>
        </is>
      </c>
      <c r="E400" t="inlineStr">
        <is>
          <t>RAGUNDA</t>
        </is>
      </c>
      <c r="G400" t="n">
        <v>5.8</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46010</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46010</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46010</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26122-2022</t>
        </is>
      </c>
      <c r="B404" s="1" t="n">
        <v>44734.94193287037</v>
      </c>
      <c r="C404" s="1" t="n">
        <v>46010</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46010</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5175-2023</t>
        </is>
      </c>
      <c r="B406" s="1" t="n">
        <v>44958.94298611111</v>
      </c>
      <c r="C406" s="1" t="n">
        <v>46010</v>
      </c>
      <c r="D406" t="inlineStr">
        <is>
          <t>JÄMTLANDS LÄN</t>
        </is>
      </c>
      <c r="E406" t="inlineStr">
        <is>
          <t>RAGUNDA</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46010</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14896-2022</t>
        </is>
      </c>
      <c r="B408" s="1" t="n">
        <v>44656</v>
      </c>
      <c r="C408" s="1" t="n">
        <v>46010</v>
      </c>
      <c r="D408" t="inlineStr">
        <is>
          <t>JÄMTLANDS LÄN</t>
        </is>
      </c>
      <c r="E408" t="inlineStr">
        <is>
          <t>RAGUNDA</t>
        </is>
      </c>
      <c r="F408" t="inlineStr">
        <is>
          <t>SCA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35153-2024</t>
        </is>
      </c>
      <c r="B409" s="1" t="n">
        <v>45530</v>
      </c>
      <c r="C409" s="1" t="n">
        <v>46010</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20574-2025</t>
        </is>
      </c>
      <c r="B410" s="1" t="n">
        <v>45775.67747685185</v>
      </c>
      <c r="C410" s="1" t="n">
        <v>46010</v>
      </c>
      <c r="D410" t="inlineStr">
        <is>
          <t>JÄMTLANDS LÄN</t>
        </is>
      </c>
      <c r="E410" t="inlineStr">
        <is>
          <t>RAGUNDA</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36246-2024</t>
        </is>
      </c>
      <c r="B411" s="1" t="n">
        <v>45534</v>
      </c>
      <c r="C411" s="1" t="n">
        <v>46010</v>
      </c>
      <c r="D411" t="inlineStr">
        <is>
          <t>JÄMTLANDS LÄN</t>
        </is>
      </c>
      <c r="E411" t="inlineStr">
        <is>
          <t>RAGUNDA</t>
        </is>
      </c>
      <c r="G411" t="n">
        <v>1.6</v>
      </c>
      <c r="H411" t="n">
        <v>0</v>
      </c>
      <c r="I411" t="n">
        <v>0</v>
      </c>
      <c r="J411" t="n">
        <v>0</v>
      </c>
      <c r="K411" t="n">
        <v>0</v>
      </c>
      <c r="L411" t="n">
        <v>0</v>
      </c>
      <c r="M411" t="n">
        <v>0</v>
      </c>
      <c r="N411" t="n">
        <v>0</v>
      </c>
      <c r="O411" t="n">
        <v>0</v>
      </c>
      <c r="P411" t="n">
        <v>0</v>
      </c>
      <c r="Q411" t="n">
        <v>0</v>
      </c>
      <c r="R411" s="2" t="inlineStr"/>
    </row>
    <row r="412" ht="15" customHeight="1">
      <c r="A412" t="inlineStr">
        <is>
          <t>A 24196-2024</t>
        </is>
      </c>
      <c r="B412" s="1" t="n">
        <v>45456.96569444444</v>
      </c>
      <c r="C412" s="1" t="n">
        <v>46010</v>
      </c>
      <c r="D412" t="inlineStr">
        <is>
          <t>JÄMTLANDS LÄN</t>
        </is>
      </c>
      <c r="E412" t="inlineStr">
        <is>
          <t>RAGUNDA</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44630-2023</t>
        </is>
      </c>
      <c r="B413" s="1" t="n">
        <v>45184</v>
      </c>
      <c r="C413" s="1" t="n">
        <v>46010</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11558-2023</t>
        </is>
      </c>
      <c r="B414" s="1" t="n">
        <v>44993.94958333333</v>
      </c>
      <c r="C414" s="1" t="n">
        <v>46010</v>
      </c>
      <c r="D414" t="inlineStr">
        <is>
          <t>JÄMTLANDS LÄN</t>
        </is>
      </c>
      <c r="E414" t="inlineStr">
        <is>
          <t>RAGUNDA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14156-2024</t>
        </is>
      </c>
      <c r="B415" s="1" t="n">
        <v>45392</v>
      </c>
      <c r="C415" s="1" t="n">
        <v>46010</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14157-2024</t>
        </is>
      </c>
      <c r="B416" s="1" t="n">
        <v>45392.92903935185</v>
      </c>
      <c r="C416" s="1" t="n">
        <v>46010</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24197-2024</t>
        </is>
      </c>
      <c r="B417" s="1" t="n">
        <v>45456.96601851852</v>
      </c>
      <c r="C417" s="1" t="n">
        <v>46010</v>
      </c>
      <c r="D417" t="inlineStr">
        <is>
          <t>JÄMTLANDS LÄN</t>
        </is>
      </c>
      <c r="E417" t="inlineStr">
        <is>
          <t>RAGUNDA</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20088-2023</t>
        </is>
      </c>
      <c r="B418" s="1" t="n">
        <v>45054</v>
      </c>
      <c r="C418" s="1" t="n">
        <v>46010</v>
      </c>
      <c r="D418" t="inlineStr">
        <is>
          <t>JÄMTLANDS LÄN</t>
        </is>
      </c>
      <c r="E418" t="inlineStr">
        <is>
          <t>RAGUNDA</t>
        </is>
      </c>
      <c r="F418" t="inlineStr">
        <is>
          <t>SCA</t>
        </is>
      </c>
      <c r="G418" t="n">
        <v>23.4</v>
      </c>
      <c r="H418" t="n">
        <v>0</v>
      </c>
      <c r="I418" t="n">
        <v>0</v>
      </c>
      <c r="J418" t="n">
        <v>0</v>
      </c>
      <c r="K418" t="n">
        <v>0</v>
      </c>
      <c r="L418" t="n">
        <v>0</v>
      </c>
      <c r="M418" t="n">
        <v>0</v>
      </c>
      <c r="N418" t="n">
        <v>0</v>
      </c>
      <c r="O418" t="n">
        <v>0</v>
      </c>
      <c r="P418" t="n">
        <v>0</v>
      </c>
      <c r="Q418" t="n">
        <v>0</v>
      </c>
      <c r="R418" s="2" t="inlineStr"/>
    </row>
    <row r="419" ht="15" customHeight="1">
      <c r="A419" t="inlineStr">
        <is>
          <t>A 4882-2023</t>
        </is>
      </c>
      <c r="B419" s="1" t="n">
        <v>44957.94075231482</v>
      </c>
      <c r="C419" s="1" t="n">
        <v>46010</v>
      </c>
      <c r="D419" t="inlineStr">
        <is>
          <t>JÄMTLANDS LÄN</t>
        </is>
      </c>
      <c r="E419" t="inlineStr">
        <is>
          <t>RAGUNDA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15554-2025</t>
        </is>
      </c>
      <c r="B420" s="1" t="n">
        <v>45747.67739583334</v>
      </c>
      <c r="C420" s="1" t="n">
        <v>46010</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13276-2025</t>
        </is>
      </c>
      <c r="B421" s="1" t="n">
        <v>45735.5517824074</v>
      </c>
      <c r="C421" s="1" t="n">
        <v>46010</v>
      </c>
      <c r="D421" t="inlineStr">
        <is>
          <t>JÄMTLANDS LÄN</t>
        </is>
      </c>
      <c r="E421" t="inlineStr">
        <is>
          <t>RAGUNDA</t>
        </is>
      </c>
      <c r="G421" t="n">
        <v>16.6</v>
      </c>
      <c r="H421" t="n">
        <v>0</v>
      </c>
      <c r="I421" t="n">
        <v>0</v>
      </c>
      <c r="J421" t="n">
        <v>0</v>
      </c>
      <c r="K421" t="n">
        <v>0</v>
      </c>
      <c r="L421" t="n">
        <v>0</v>
      </c>
      <c r="M421" t="n">
        <v>0</v>
      </c>
      <c r="N421" t="n">
        <v>0</v>
      </c>
      <c r="O421" t="n">
        <v>0</v>
      </c>
      <c r="P421" t="n">
        <v>0</v>
      </c>
      <c r="Q421" t="n">
        <v>0</v>
      </c>
      <c r="R421" s="2" t="inlineStr"/>
    </row>
    <row r="422" ht="15" customHeight="1">
      <c r="A422" t="inlineStr">
        <is>
          <t>A 65216-2023</t>
        </is>
      </c>
      <c r="B422" s="1" t="n">
        <v>45289</v>
      </c>
      <c r="C422" s="1" t="n">
        <v>46010</v>
      </c>
      <c r="D422" t="inlineStr">
        <is>
          <t>JÄMTLANDS LÄN</t>
        </is>
      </c>
      <c r="E422" t="inlineStr">
        <is>
          <t>RAGUNDA</t>
        </is>
      </c>
      <c r="G422" t="n">
        <v>2.9</v>
      </c>
      <c r="H422" t="n">
        <v>0</v>
      </c>
      <c r="I422" t="n">
        <v>0</v>
      </c>
      <c r="J422" t="n">
        <v>0</v>
      </c>
      <c r="K422" t="n">
        <v>0</v>
      </c>
      <c r="L422" t="n">
        <v>0</v>
      </c>
      <c r="M422" t="n">
        <v>0</v>
      </c>
      <c r="N422" t="n">
        <v>0</v>
      </c>
      <c r="O422" t="n">
        <v>0</v>
      </c>
      <c r="P422" t="n">
        <v>0</v>
      </c>
      <c r="Q422" t="n">
        <v>0</v>
      </c>
      <c r="R422" s="2" t="inlineStr"/>
    </row>
    <row r="423" ht="15" customHeight="1">
      <c r="A423" t="inlineStr">
        <is>
          <t>A 52148-2024</t>
        </is>
      </c>
      <c r="B423" s="1" t="n">
        <v>45608.52354166667</v>
      </c>
      <c r="C423" s="1" t="n">
        <v>46010</v>
      </c>
      <c r="D423" t="inlineStr">
        <is>
          <t>JÄMTLANDS LÄN</t>
        </is>
      </c>
      <c r="E423" t="inlineStr">
        <is>
          <t>RAGUNDA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13767-2022</t>
        </is>
      </c>
      <c r="B424" s="1" t="n">
        <v>44649.47048611111</v>
      </c>
      <c r="C424" s="1" t="n">
        <v>46010</v>
      </c>
      <c r="D424" t="inlineStr">
        <is>
          <t>JÄMTLANDS LÄN</t>
        </is>
      </c>
      <c r="E424" t="inlineStr">
        <is>
          <t>RAGUNDA</t>
        </is>
      </c>
      <c r="F424" t="inlineStr">
        <is>
          <t>Kommuner</t>
        </is>
      </c>
      <c r="G424" t="n">
        <v>3.1</v>
      </c>
      <c r="H424" t="n">
        <v>0</v>
      </c>
      <c r="I424" t="n">
        <v>0</v>
      </c>
      <c r="J424" t="n">
        <v>0</v>
      </c>
      <c r="K424" t="n">
        <v>0</v>
      </c>
      <c r="L424" t="n">
        <v>0</v>
      </c>
      <c r="M424" t="n">
        <v>0</v>
      </c>
      <c r="N424" t="n">
        <v>0</v>
      </c>
      <c r="O424" t="n">
        <v>0</v>
      </c>
      <c r="P424" t="n">
        <v>0</v>
      </c>
      <c r="Q424" t="n">
        <v>0</v>
      </c>
      <c r="R424" s="2" t="inlineStr"/>
    </row>
    <row r="425" ht="15" customHeight="1">
      <c r="A425" t="inlineStr">
        <is>
          <t>A 55487-2023</t>
        </is>
      </c>
      <c r="B425" s="1" t="n">
        <v>45238</v>
      </c>
      <c r="C425" s="1" t="n">
        <v>46010</v>
      </c>
      <c r="D425" t="inlineStr">
        <is>
          <t>JÄMTLANDS LÄN</t>
        </is>
      </c>
      <c r="E425" t="inlineStr">
        <is>
          <t>RAGUNDA</t>
        </is>
      </c>
      <c r="G425" t="n">
        <v>3</v>
      </c>
      <c r="H425" t="n">
        <v>0</v>
      </c>
      <c r="I425" t="n">
        <v>0</v>
      </c>
      <c r="J425" t="n">
        <v>0</v>
      </c>
      <c r="K425" t="n">
        <v>0</v>
      </c>
      <c r="L425" t="n">
        <v>0</v>
      </c>
      <c r="M425" t="n">
        <v>0</v>
      </c>
      <c r="N425" t="n">
        <v>0</v>
      </c>
      <c r="O425" t="n">
        <v>0</v>
      </c>
      <c r="P425" t="n">
        <v>0</v>
      </c>
      <c r="Q425" t="n">
        <v>0</v>
      </c>
      <c r="R425" s="2" t="inlineStr"/>
    </row>
    <row r="426" ht="15" customHeight="1">
      <c r="A426" t="inlineStr">
        <is>
          <t>A 45335-2023</t>
        </is>
      </c>
      <c r="B426" s="1" t="n">
        <v>45191</v>
      </c>
      <c r="C426" s="1" t="n">
        <v>46010</v>
      </c>
      <c r="D426" t="inlineStr">
        <is>
          <t>JÄMTLANDS LÄN</t>
        </is>
      </c>
      <c r="E426" t="inlineStr">
        <is>
          <t>RAGUNDA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18454-2021</t>
        </is>
      </c>
      <c r="B427" s="1" t="n">
        <v>44305.92047453704</v>
      </c>
      <c r="C427" s="1" t="n">
        <v>46010</v>
      </c>
      <c r="D427" t="inlineStr">
        <is>
          <t>JÄMTLANDS LÄN</t>
        </is>
      </c>
      <c r="E427" t="inlineStr">
        <is>
          <t>RAGUNDA</t>
        </is>
      </c>
      <c r="G427" t="n">
        <v>1.3</v>
      </c>
      <c r="H427" t="n">
        <v>0</v>
      </c>
      <c r="I427" t="n">
        <v>0</v>
      </c>
      <c r="J427" t="n">
        <v>0</v>
      </c>
      <c r="K427" t="n">
        <v>0</v>
      </c>
      <c r="L427" t="n">
        <v>0</v>
      </c>
      <c r="M427" t="n">
        <v>0</v>
      </c>
      <c r="N427" t="n">
        <v>0</v>
      </c>
      <c r="O427" t="n">
        <v>0</v>
      </c>
      <c r="P427" t="n">
        <v>0</v>
      </c>
      <c r="Q427" t="n">
        <v>0</v>
      </c>
      <c r="R427" s="2" t="inlineStr"/>
    </row>
    <row r="428" ht="15" customHeight="1">
      <c r="A428" t="inlineStr">
        <is>
          <t>A 11048-2023</t>
        </is>
      </c>
      <c r="B428" s="1" t="n">
        <v>44991</v>
      </c>
      <c r="C428" s="1" t="n">
        <v>46010</v>
      </c>
      <c r="D428" t="inlineStr">
        <is>
          <t>JÄMTLANDS LÄN</t>
        </is>
      </c>
      <c r="E428" t="inlineStr">
        <is>
          <t>RAGUNDA</t>
        </is>
      </c>
      <c r="F428" t="inlineStr">
        <is>
          <t>SCA</t>
        </is>
      </c>
      <c r="G428" t="n">
        <v>13.5</v>
      </c>
      <c r="H428" t="n">
        <v>0</v>
      </c>
      <c r="I428" t="n">
        <v>0</v>
      </c>
      <c r="J428" t="n">
        <v>0</v>
      </c>
      <c r="K428" t="n">
        <v>0</v>
      </c>
      <c r="L428" t="n">
        <v>0</v>
      </c>
      <c r="M428" t="n">
        <v>0</v>
      </c>
      <c r="N428" t="n">
        <v>0</v>
      </c>
      <c r="O428" t="n">
        <v>0</v>
      </c>
      <c r="P428" t="n">
        <v>0</v>
      </c>
      <c r="Q428" t="n">
        <v>0</v>
      </c>
      <c r="R428" s="2" t="inlineStr"/>
    </row>
    <row r="429" ht="15" customHeight="1">
      <c r="A429" t="inlineStr">
        <is>
          <t>A 11062-2023</t>
        </is>
      </c>
      <c r="B429" s="1" t="n">
        <v>44991</v>
      </c>
      <c r="C429" s="1" t="n">
        <v>46010</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46010</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11252-2025</t>
        </is>
      </c>
      <c r="B431" s="1" t="n">
        <v>45726.38615740741</v>
      </c>
      <c r="C431" s="1" t="n">
        <v>46010</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44980.93865740741</v>
      </c>
      <c r="C432" s="1" t="n">
        <v>46010</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46010</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57064-2024</t>
        </is>
      </c>
      <c r="B434" s="1" t="n">
        <v>45629.35326388889</v>
      </c>
      <c r="C434" s="1" t="n">
        <v>46010</v>
      </c>
      <c r="D434" t="inlineStr">
        <is>
          <t>JÄMTLANDS LÄN</t>
        </is>
      </c>
      <c r="E434" t="inlineStr">
        <is>
          <t>RAGUNDA</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55524-2024</t>
        </is>
      </c>
      <c r="B435" s="1" t="n">
        <v>45622.47435185185</v>
      </c>
      <c r="C435" s="1" t="n">
        <v>46010</v>
      </c>
      <c r="D435" t="inlineStr">
        <is>
          <t>JÄMTLANDS LÄN</t>
        </is>
      </c>
      <c r="E435" t="inlineStr">
        <is>
          <t>RAGUNDA</t>
        </is>
      </c>
      <c r="G435" t="n">
        <v>1.4</v>
      </c>
      <c r="H435" t="n">
        <v>0</v>
      </c>
      <c r="I435" t="n">
        <v>0</v>
      </c>
      <c r="J435" t="n">
        <v>0</v>
      </c>
      <c r="K435" t="n">
        <v>0</v>
      </c>
      <c r="L435" t="n">
        <v>0</v>
      </c>
      <c r="M435" t="n">
        <v>0</v>
      </c>
      <c r="N435" t="n">
        <v>0</v>
      </c>
      <c r="O435" t="n">
        <v>0</v>
      </c>
      <c r="P435" t="n">
        <v>0</v>
      </c>
      <c r="Q435" t="n">
        <v>0</v>
      </c>
      <c r="R435" s="2" t="inlineStr"/>
    </row>
    <row r="436" ht="15" customHeight="1">
      <c r="A436" t="inlineStr">
        <is>
          <t>A 25332-2023</t>
        </is>
      </c>
      <c r="B436" s="1" t="n">
        <v>45086.94010416666</v>
      </c>
      <c r="C436" s="1" t="n">
        <v>46010</v>
      </c>
      <c r="D436" t="inlineStr">
        <is>
          <t>JÄMTLANDS LÄN</t>
        </is>
      </c>
      <c r="E436" t="inlineStr">
        <is>
          <t>RAGUNDA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29920-2024</t>
        </is>
      </c>
      <c r="B437" s="1" t="n">
        <v>45487.92856481481</v>
      </c>
      <c r="C437" s="1" t="n">
        <v>46010</v>
      </c>
      <c r="D437" t="inlineStr">
        <is>
          <t>JÄMTLANDS LÄN</t>
        </is>
      </c>
      <c r="E437" t="inlineStr">
        <is>
          <t>RAGUNDA</t>
        </is>
      </c>
      <c r="G437" t="n">
        <v>3.4</v>
      </c>
      <c r="H437" t="n">
        <v>0</v>
      </c>
      <c r="I437" t="n">
        <v>0</v>
      </c>
      <c r="J437" t="n">
        <v>0</v>
      </c>
      <c r="K437" t="n">
        <v>0</v>
      </c>
      <c r="L437" t="n">
        <v>0</v>
      </c>
      <c r="M437" t="n">
        <v>0</v>
      </c>
      <c r="N437" t="n">
        <v>0</v>
      </c>
      <c r="O437" t="n">
        <v>0</v>
      </c>
      <c r="P437" t="n">
        <v>0</v>
      </c>
      <c r="Q437" t="n">
        <v>0</v>
      </c>
      <c r="R437" s="2" t="inlineStr"/>
    </row>
    <row r="438" ht="15" customHeight="1">
      <c r="A438" t="inlineStr">
        <is>
          <t>A 7280-2024</t>
        </is>
      </c>
      <c r="B438" s="1" t="n">
        <v>45344</v>
      </c>
      <c r="C438" s="1" t="n">
        <v>46010</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46010</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3767-2025</t>
        </is>
      </c>
      <c r="B440" s="1" t="n">
        <v>45681.60203703704</v>
      </c>
      <c r="C440" s="1" t="n">
        <v>46010</v>
      </c>
      <c r="D440" t="inlineStr">
        <is>
          <t>JÄMTLANDS LÄN</t>
        </is>
      </c>
      <c r="E440" t="inlineStr">
        <is>
          <t>RAGUNDA</t>
        </is>
      </c>
      <c r="G440" t="n">
        <v>4.9</v>
      </c>
      <c r="H440" t="n">
        <v>0</v>
      </c>
      <c r="I440" t="n">
        <v>0</v>
      </c>
      <c r="J440" t="n">
        <v>0</v>
      </c>
      <c r="K440" t="n">
        <v>0</v>
      </c>
      <c r="L440" t="n">
        <v>0</v>
      </c>
      <c r="M440" t="n">
        <v>0</v>
      </c>
      <c r="N440" t="n">
        <v>0</v>
      </c>
      <c r="O440" t="n">
        <v>0</v>
      </c>
      <c r="P440" t="n">
        <v>0</v>
      </c>
      <c r="Q440" t="n">
        <v>0</v>
      </c>
      <c r="R440" s="2" t="inlineStr"/>
    </row>
    <row r="441" ht="15" customHeight="1">
      <c r="A441" t="inlineStr">
        <is>
          <t>A 44778-2024</t>
        </is>
      </c>
      <c r="B441" s="1" t="n">
        <v>45574.63355324074</v>
      </c>
      <c r="C441" s="1" t="n">
        <v>46010</v>
      </c>
      <c r="D441" t="inlineStr">
        <is>
          <t>JÄMTLANDS LÄN</t>
        </is>
      </c>
      <c r="E441" t="inlineStr">
        <is>
          <t>RAGUNDA</t>
        </is>
      </c>
      <c r="G441" t="n">
        <v>5.5</v>
      </c>
      <c r="H441" t="n">
        <v>0</v>
      </c>
      <c r="I441" t="n">
        <v>0</v>
      </c>
      <c r="J441" t="n">
        <v>0</v>
      </c>
      <c r="K441" t="n">
        <v>0</v>
      </c>
      <c r="L441" t="n">
        <v>0</v>
      </c>
      <c r="M441" t="n">
        <v>0</v>
      </c>
      <c r="N441" t="n">
        <v>0</v>
      </c>
      <c r="O441" t="n">
        <v>0</v>
      </c>
      <c r="P441" t="n">
        <v>0</v>
      </c>
      <c r="Q441" t="n">
        <v>0</v>
      </c>
      <c r="R441" s="2" t="inlineStr"/>
    </row>
    <row r="442" ht="15" customHeight="1">
      <c r="A442" t="inlineStr">
        <is>
          <t>A 12783-2023</t>
        </is>
      </c>
      <c r="B442" s="1" t="n">
        <v>45000</v>
      </c>
      <c r="C442" s="1" t="n">
        <v>46010</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46010</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2673-2024</t>
        </is>
      </c>
      <c r="B444" s="1" t="n">
        <v>45314</v>
      </c>
      <c r="C444" s="1" t="n">
        <v>46010</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64492-2023</t>
        </is>
      </c>
      <c r="B445" s="1" t="n">
        <v>45280.92645833334</v>
      </c>
      <c r="C445" s="1" t="n">
        <v>46010</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7279-2024</t>
        </is>
      </c>
      <c r="B446" s="1" t="n">
        <v>45344.92822916667</v>
      </c>
      <c r="C446" s="1" t="n">
        <v>46010</v>
      </c>
      <c r="D446" t="inlineStr">
        <is>
          <t>JÄMTLANDS LÄN</t>
        </is>
      </c>
      <c r="E446" t="inlineStr">
        <is>
          <t>RAGUNDA</t>
        </is>
      </c>
      <c r="G446" t="n">
        <v>2.1</v>
      </c>
      <c r="H446" t="n">
        <v>0</v>
      </c>
      <c r="I446" t="n">
        <v>0</v>
      </c>
      <c r="J446" t="n">
        <v>0</v>
      </c>
      <c r="K446" t="n">
        <v>0</v>
      </c>
      <c r="L446" t="n">
        <v>0</v>
      </c>
      <c r="M446" t="n">
        <v>0</v>
      </c>
      <c r="N446" t="n">
        <v>0</v>
      </c>
      <c r="O446" t="n">
        <v>0</v>
      </c>
      <c r="P446" t="n">
        <v>0</v>
      </c>
      <c r="Q446" t="n">
        <v>0</v>
      </c>
      <c r="R446" s="2" t="inlineStr"/>
    </row>
    <row r="447" ht="15" customHeight="1">
      <c r="A447" t="inlineStr">
        <is>
          <t>A 12660-2024</t>
        </is>
      </c>
      <c r="B447" s="1" t="n">
        <v>45384</v>
      </c>
      <c r="C447" s="1" t="n">
        <v>46010</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54599-2023</t>
        </is>
      </c>
      <c r="B448" s="1" t="n">
        <v>45233.92591435185</v>
      </c>
      <c r="C448" s="1" t="n">
        <v>46010</v>
      </c>
      <c r="D448" t="inlineStr">
        <is>
          <t>JÄMTLANDS LÄN</t>
        </is>
      </c>
      <c r="E448" t="inlineStr">
        <is>
          <t>RAGUNDA</t>
        </is>
      </c>
      <c r="G448" t="n">
        <v>3.7</v>
      </c>
      <c r="H448" t="n">
        <v>0</v>
      </c>
      <c r="I448" t="n">
        <v>0</v>
      </c>
      <c r="J448" t="n">
        <v>0</v>
      </c>
      <c r="K448" t="n">
        <v>0</v>
      </c>
      <c r="L448" t="n">
        <v>0</v>
      </c>
      <c r="M448" t="n">
        <v>0</v>
      </c>
      <c r="N448" t="n">
        <v>0</v>
      </c>
      <c r="O448" t="n">
        <v>0</v>
      </c>
      <c r="P448" t="n">
        <v>0</v>
      </c>
      <c r="Q448" t="n">
        <v>0</v>
      </c>
      <c r="R448" s="2" t="inlineStr"/>
    </row>
    <row r="449" ht="15" customHeight="1">
      <c r="A449" t="inlineStr">
        <is>
          <t>A 55649-2023</t>
        </is>
      </c>
      <c r="B449" s="1" t="n">
        <v>45238</v>
      </c>
      <c r="C449" s="1" t="n">
        <v>46010</v>
      </c>
      <c r="D449" t="inlineStr">
        <is>
          <t>JÄMTLANDS LÄN</t>
        </is>
      </c>
      <c r="E449" t="inlineStr">
        <is>
          <t>RAGUNDA</t>
        </is>
      </c>
      <c r="F449" t="inlineStr">
        <is>
          <t>SCA</t>
        </is>
      </c>
      <c r="G449" t="n">
        <v>6</v>
      </c>
      <c r="H449" t="n">
        <v>0</v>
      </c>
      <c r="I449" t="n">
        <v>0</v>
      </c>
      <c r="J449" t="n">
        <v>0</v>
      </c>
      <c r="K449" t="n">
        <v>0</v>
      </c>
      <c r="L449" t="n">
        <v>0</v>
      </c>
      <c r="M449" t="n">
        <v>0</v>
      </c>
      <c r="N449" t="n">
        <v>0</v>
      </c>
      <c r="O449" t="n">
        <v>0</v>
      </c>
      <c r="P449" t="n">
        <v>0</v>
      </c>
      <c r="Q449" t="n">
        <v>0</v>
      </c>
      <c r="R449" s="2" t="inlineStr"/>
    </row>
    <row r="450" ht="15" customHeight="1">
      <c r="A450" t="inlineStr">
        <is>
          <t>A 12521-2023</t>
        </is>
      </c>
      <c r="B450" s="1" t="n">
        <v>45000</v>
      </c>
      <c r="C450" s="1" t="n">
        <v>46010</v>
      </c>
      <c r="D450" t="inlineStr">
        <is>
          <t>JÄMTLANDS LÄN</t>
        </is>
      </c>
      <c r="E450" t="inlineStr">
        <is>
          <t>RAGUNDA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22898-2025</t>
        </is>
      </c>
      <c r="B451" s="1" t="n">
        <v>45790.40670138889</v>
      </c>
      <c r="C451" s="1" t="n">
        <v>46010</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29319-2023</t>
        </is>
      </c>
      <c r="B452" s="1" t="n">
        <v>45105</v>
      </c>
      <c r="C452" s="1" t="n">
        <v>46010</v>
      </c>
      <c r="D452" t="inlineStr">
        <is>
          <t>JÄMTLANDS LÄN</t>
        </is>
      </c>
      <c r="E452" t="inlineStr">
        <is>
          <t>RAGUNDA</t>
        </is>
      </c>
      <c r="F452" t="inlineStr">
        <is>
          <t>SCA</t>
        </is>
      </c>
      <c r="G452" t="n">
        <v>0.5</v>
      </c>
      <c r="H452" t="n">
        <v>0</v>
      </c>
      <c r="I452" t="n">
        <v>0</v>
      </c>
      <c r="J452" t="n">
        <v>0</v>
      </c>
      <c r="K452" t="n">
        <v>0</v>
      </c>
      <c r="L452" t="n">
        <v>0</v>
      </c>
      <c r="M452" t="n">
        <v>0</v>
      </c>
      <c r="N452" t="n">
        <v>0</v>
      </c>
      <c r="O452" t="n">
        <v>0</v>
      </c>
      <c r="P452" t="n">
        <v>0</v>
      </c>
      <c r="Q452" t="n">
        <v>0</v>
      </c>
      <c r="R452" s="2" t="inlineStr"/>
    </row>
    <row r="453" ht="15" customHeight="1">
      <c r="A453" t="inlineStr">
        <is>
          <t>A 18612-2024</t>
        </is>
      </c>
      <c r="B453" s="1" t="n">
        <v>45425.96239583333</v>
      </c>
      <c r="C453" s="1" t="n">
        <v>46010</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23253-2025</t>
        </is>
      </c>
      <c r="B454" s="1" t="n">
        <v>45791.53238425926</v>
      </c>
      <c r="C454" s="1" t="n">
        <v>46010</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23413-2025</t>
        </is>
      </c>
      <c r="B455" s="1" t="n">
        <v>45792.34606481482</v>
      </c>
      <c r="C455" s="1" t="n">
        <v>46010</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464-2023</t>
        </is>
      </c>
      <c r="B456" s="1" t="n">
        <v>44929.92489583333</v>
      </c>
      <c r="C456" s="1" t="n">
        <v>46010</v>
      </c>
      <c r="D456" t="inlineStr">
        <is>
          <t>JÄMTLANDS LÄN</t>
        </is>
      </c>
      <c r="E456" t="inlineStr">
        <is>
          <t>RAGUNDA</t>
        </is>
      </c>
      <c r="G456" t="n">
        <v>1.4</v>
      </c>
      <c r="H456" t="n">
        <v>0</v>
      </c>
      <c r="I456" t="n">
        <v>0</v>
      </c>
      <c r="J456" t="n">
        <v>0</v>
      </c>
      <c r="K456" t="n">
        <v>0</v>
      </c>
      <c r="L456" t="n">
        <v>0</v>
      </c>
      <c r="M456" t="n">
        <v>0</v>
      </c>
      <c r="N456" t="n">
        <v>0</v>
      </c>
      <c r="O456" t="n">
        <v>0</v>
      </c>
      <c r="P456" t="n">
        <v>0</v>
      </c>
      <c r="Q456" t="n">
        <v>0</v>
      </c>
      <c r="R456" s="2" t="inlineStr"/>
    </row>
    <row r="457" ht="15" customHeight="1">
      <c r="A457" t="inlineStr">
        <is>
          <t>A 23586-2025</t>
        </is>
      </c>
      <c r="B457" s="1" t="n">
        <v>45792.63584490741</v>
      </c>
      <c r="C457" s="1" t="n">
        <v>46010</v>
      </c>
      <c r="D457" t="inlineStr">
        <is>
          <t>JÄMTLANDS LÄN</t>
        </is>
      </c>
      <c r="E457" t="inlineStr">
        <is>
          <t>RAGUNDA</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53769-2023</t>
        </is>
      </c>
      <c r="B458" s="1" t="n">
        <v>45230</v>
      </c>
      <c r="C458" s="1" t="n">
        <v>46010</v>
      </c>
      <c r="D458" t="inlineStr">
        <is>
          <t>JÄMTLANDS LÄN</t>
        </is>
      </c>
      <c r="E458" t="inlineStr">
        <is>
          <t>RAGUNDA</t>
        </is>
      </c>
      <c r="F458" t="inlineStr">
        <is>
          <t>SCA</t>
        </is>
      </c>
      <c r="G458" t="n">
        <v>11.6</v>
      </c>
      <c r="H458" t="n">
        <v>0</v>
      </c>
      <c r="I458" t="n">
        <v>0</v>
      </c>
      <c r="J458" t="n">
        <v>0</v>
      </c>
      <c r="K458" t="n">
        <v>0</v>
      </c>
      <c r="L458" t="n">
        <v>0</v>
      </c>
      <c r="M458" t="n">
        <v>0</v>
      </c>
      <c r="N458" t="n">
        <v>0</v>
      </c>
      <c r="O458" t="n">
        <v>0</v>
      </c>
      <c r="P458" t="n">
        <v>0</v>
      </c>
      <c r="Q458" t="n">
        <v>0</v>
      </c>
      <c r="R458" s="2" t="inlineStr"/>
    </row>
    <row r="459" ht="15" customHeight="1">
      <c r="A459" t="inlineStr">
        <is>
          <t>A 23841-2025</t>
        </is>
      </c>
      <c r="B459" s="1" t="n">
        <v>45793.61523148148</v>
      </c>
      <c r="C459" s="1" t="n">
        <v>46010</v>
      </c>
      <c r="D459" t="inlineStr">
        <is>
          <t>JÄMTLANDS LÄN</t>
        </is>
      </c>
      <c r="E459" t="inlineStr">
        <is>
          <t>RAGUNDA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52228-2024</t>
        </is>
      </c>
      <c r="B460" s="1" t="n">
        <v>45608.6078587963</v>
      </c>
      <c r="C460" s="1" t="n">
        <v>46010</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23507-2025</t>
        </is>
      </c>
      <c r="B461" s="1" t="n">
        <v>45792.49023148148</v>
      </c>
      <c r="C461" s="1" t="n">
        <v>46010</v>
      </c>
      <c r="D461" t="inlineStr">
        <is>
          <t>JÄMTLANDS LÄN</t>
        </is>
      </c>
      <c r="E461" t="inlineStr">
        <is>
          <t>RAGUNDA</t>
        </is>
      </c>
      <c r="F461" t="inlineStr">
        <is>
          <t>SCA</t>
        </is>
      </c>
      <c r="G461" t="n">
        <v>16.4</v>
      </c>
      <c r="H461" t="n">
        <v>0</v>
      </c>
      <c r="I461" t="n">
        <v>0</v>
      </c>
      <c r="J461" t="n">
        <v>0</v>
      </c>
      <c r="K461" t="n">
        <v>0</v>
      </c>
      <c r="L461" t="n">
        <v>0</v>
      </c>
      <c r="M461" t="n">
        <v>0</v>
      </c>
      <c r="N461" t="n">
        <v>0</v>
      </c>
      <c r="O461" t="n">
        <v>0</v>
      </c>
      <c r="P461" t="n">
        <v>0</v>
      </c>
      <c r="Q461" t="n">
        <v>0</v>
      </c>
      <c r="R461" s="2" t="inlineStr"/>
    </row>
    <row r="462" ht="15" customHeight="1">
      <c r="A462" t="inlineStr">
        <is>
          <t>A 23840-2025</t>
        </is>
      </c>
      <c r="B462" s="1" t="n">
        <v>45793</v>
      </c>
      <c r="C462" s="1" t="n">
        <v>46010</v>
      </c>
      <c r="D462" t="inlineStr">
        <is>
          <t>JÄMTLANDS LÄN</t>
        </is>
      </c>
      <c r="E462" t="inlineStr">
        <is>
          <t>RAGUNDA</t>
        </is>
      </c>
      <c r="G462" t="n">
        <v>0.8</v>
      </c>
      <c r="H462" t="n">
        <v>0</v>
      </c>
      <c r="I462" t="n">
        <v>0</v>
      </c>
      <c r="J462" t="n">
        <v>0</v>
      </c>
      <c r="K462" t="n">
        <v>0</v>
      </c>
      <c r="L462" t="n">
        <v>0</v>
      </c>
      <c r="M462" t="n">
        <v>0</v>
      </c>
      <c r="N462" t="n">
        <v>0</v>
      </c>
      <c r="O462" t="n">
        <v>0</v>
      </c>
      <c r="P462" t="n">
        <v>0</v>
      </c>
      <c r="Q462" t="n">
        <v>0</v>
      </c>
      <c r="R462" s="2" t="inlineStr"/>
    </row>
    <row r="463" ht="15" customHeight="1">
      <c r="A463" t="inlineStr">
        <is>
          <t>A 23654-2025</t>
        </is>
      </c>
      <c r="B463" s="1" t="n">
        <v>45792.71905092592</v>
      </c>
      <c r="C463" s="1" t="n">
        <v>46010</v>
      </c>
      <c r="D463" t="inlineStr">
        <is>
          <t>JÄMTLANDS LÄN</t>
        </is>
      </c>
      <c r="E463" t="inlineStr">
        <is>
          <t>RAGUNDA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23405-2025</t>
        </is>
      </c>
      <c r="B464" s="1" t="n">
        <v>45792.34527777778</v>
      </c>
      <c r="C464" s="1" t="n">
        <v>46010</v>
      </c>
      <c r="D464" t="inlineStr">
        <is>
          <t>JÄMTLANDS LÄN</t>
        </is>
      </c>
      <c r="E464" t="inlineStr">
        <is>
          <t>RAGUNDA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2242-2024</t>
        </is>
      </c>
      <c r="B465" s="1" t="n">
        <v>45309</v>
      </c>
      <c r="C465" s="1" t="n">
        <v>46010</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2248-2024</t>
        </is>
      </c>
      <c r="B466" s="1" t="n">
        <v>45309</v>
      </c>
      <c r="C466" s="1" t="n">
        <v>46010</v>
      </c>
      <c r="D466" t="inlineStr">
        <is>
          <t>JÄMTLANDS LÄN</t>
        </is>
      </c>
      <c r="E466" t="inlineStr">
        <is>
          <t>RAGUNDA</t>
        </is>
      </c>
      <c r="G466" t="n">
        <v>4.2</v>
      </c>
      <c r="H466" t="n">
        <v>0</v>
      </c>
      <c r="I466" t="n">
        <v>0</v>
      </c>
      <c r="J466" t="n">
        <v>0</v>
      </c>
      <c r="K466" t="n">
        <v>0</v>
      </c>
      <c r="L466" t="n">
        <v>0</v>
      </c>
      <c r="M466" t="n">
        <v>0</v>
      </c>
      <c r="N466" t="n">
        <v>0</v>
      </c>
      <c r="O466" t="n">
        <v>0</v>
      </c>
      <c r="P466" t="n">
        <v>0</v>
      </c>
      <c r="Q466" t="n">
        <v>0</v>
      </c>
      <c r="R466" s="2" t="inlineStr"/>
    </row>
    <row r="467" ht="15" customHeight="1">
      <c r="A467" t="inlineStr">
        <is>
          <t>A 39192-2025</t>
        </is>
      </c>
      <c r="B467" s="1" t="n">
        <v>45888.6775</v>
      </c>
      <c r="C467" s="1" t="n">
        <v>46010</v>
      </c>
      <c r="D467" t="inlineStr">
        <is>
          <t>JÄMTLANDS LÄN</t>
        </is>
      </c>
      <c r="E467" t="inlineStr">
        <is>
          <t>RAGUNDA</t>
        </is>
      </c>
      <c r="F467" t="inlineStr">
        <is>
          <t>Naturvårdsverket</t>
        </is>
      </c>
      <c r="G467" t="n">
        <v>2.3</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46010</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29263-2024</t>
        </is>
      </c>
      <c r="B469" s="1" t="n">
        <v>45482.94891203703</v>
      </c>
      <c r="C469" s="1" t="n">
        <v>46010</v>
      </c>
      <c r="D469" t="inlineStr">
        <is>
          <t>JÄMTLANDS LÄN</t>
        </is>
      </c>
      <c r="E469" t="inlineStr">
        <is>
          <t>RAGUNDA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39384-2025</t>
        </is>
      </c>
      <c r="B470" s="1" t="n">
        <v>45889.61517361111</v>
      </c>
      <c r="C470" s="1" t="n">
        <v>46010</v>
      </c>
      <c r="D470" t="inlineStr">
        <is>
          <t>JÄMTLANDS LÄN</t>
        </is>
      </c>
      <c r="E470" t="inlineStr">
        <is>
          <t>RAGUNDA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8800-2025</t>
        </is>
      </c>
      <c r="B471" s="1" t="n">
        <v>45712.65671296296</v>
      </c>
      <c r="C471" s="1" t="n">
        <v>46010</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28216-2025</t>
        </is>
      </c>
      <c r="B472" s="1" t="n">
        <v>45818.46898148148</v>
      </c>
      <c r="C472" s="1" t="n">
        <v>46010</v>
      </c>
      <c r="D472" t="inlineStr">
        <is>
          <t>JÄMTLANDS LÄN</t>
        </is>
      </c>
      <c r="E472" t="inlineStr">
        <is>
          <t>RAGUNDA</t>
        </is>
      </c>
      <c r="G472" t="n">
        <v>6.6</v>
      </c>
      <c r="H472" t="n">
        <v>0</v>
      </c>
      <c r="I472" t="n">
        <v>0</v>
      </c>
      <c r="J472" t="n">
        <v>0</v>
      </c>
      <c r="K472" t="n">
        <v>0</v>
      </c>
      <c r="L472" t="n">
        <v>0</v>
      </c>
      <c r="M472" t="n">
        <v>0</v>
      </c>
      <c r="N472" t="n">
        <v>0</v>
      </c>
      <c r="O472" t="n">
        <v>0</v>
      </c>
      <c r="P472" t="n">
        <v>0</v>
      </c>
      <c r="Q472" t="n">
        <v>0</v>
      </c>
      <c r="R472" s="2" t="inlineStr"/>
    </row>
    <row r="473" ht="15" customHeight="1">
      <c r="A473" t="inlineStr">
        <is>
          <t>A 29265-2024</t>
        </is>
      </c>
      <c r="B473" s="1" t="n">
        <v>45482.9491087963</v>
      </c>
      <c r="C473" s="1" t="n">
        <v>46010</v>
      </c>
      <c r="D473" t="inlineStr">
        <is>
          <t>JÄMTLANDS LÄN</t>
        </is>
      </c>
      <c r="E473" t="inlineStr">
        <is>
          <t>RAGUNDA</t>
        </is>
      </c>
      <c r="F473" t="inlineStr">
        <is>
          <t>SCA</t>
        </is>
      </c>
      <c r="G473" t="n">
        <v>11.6</v>
      </c>
      <c r="H473" t="n">
        <v>0</v>
      </c>
      <c r="I473" t="n">
        <v>0</v>
      </c>
      <c r="J473" t="n">
        <v>0</v>
      </c>
      <c r="K473" t="n">
        <v>0</v>
      </c>
      <c r="L473" t="n">
        <v>0</v>
      </c>
      <c r="M473" t="n">
        <v>0</v>
      </c>
      <c r="N473" t="n">
        <v>0</v>
      </c>
      <c r="O473" t="n">
        <v>0</v>
      </c>
      <c r="P473" t="n">
        <v>0</v>
      </c>
      <c r="Q473" t="n">
        <v>0</v>
      </c>
      <c r="R473" s="2" t="inlineStr"/>
    </row>
    <row r="474" ht="15" customHeight="1">
      <c r="A474" t="inlineStr">
        <is>
          <t>A 27291-2022</t>
        </is>
      </c>
      <c r="B474" s="1" t="n">
        <v>44741.94070601852</v>
      </c>
      <c r="C474" s="1" t="n">
        <v>46010</v>
      </c>
      <c r="D474" t="inlineStr">
        <is>
          <t>JÄMTLANDS LÄN</t>
        </is>
      </c>
      <c r="E474" t="inlineStr">
        <is>
          <t>RAGUNDA</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8776-2025</t>
        </is>
      </c>
      <c r="B475" s="1" t="n">
        <v>45712.61510416667</v>
      </c>
      <c r="C475" s="1" t="n">
        <v>46010</v>
      </c>
      <c r="D475" t="inlineStr">
        <is>
          <t>JÄMTLANDS LÄN</t>
        </is>
      </c>
      <c r="E475" t="inlineStr">
        <is>
          <t>RAGUNDA</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18284-2025</t>
        </is>
      </c>
      <c r="B476" s="1" t="n">
        <v>45762.39876157408</v>
      </c>
      <c r="C476" s="1" t="n">
        <v>46010</v>
      </c>
      <c r="D476" t="inlineStr">
        <is>
          <t>JÄMTLANDS LÄN</t>
        </is>
      </c>
      <c r="E476" t="inlineStr">
        <is>
          <t>RAGUNDA</t>
        </is>
      </c>
      <c r="G476" t="n">
        <v>0.2</v>
      </c>
      <c r="H476" t="n">
        <v>0</v>
      </c>
      <c r="I476" t="n">
        <v>0</v>
      </c>
      <c r="J476" t="n">
        <v>0</v>
      </c>
      <c r="K476" t="n">
        <v>0</v>
      </c>
      <c r="L476" t="n">
        <v>0</v>
      </c>
      <c r="M476" t="n">
        <v>0</v>
      </c>
      <c r="N476" t="n">
        <v>0</v>
      </c>
      <c r="O476" t="n">
        <v>0</v>
      </c>
      <c r="P476" t="n">
        <v>0</v>
      </c>
      <c r="Q476" t="n">
        <v>0</v>
      </c>
      <c r="R476" s="2" t="inlineStr"/>
      <c r="U476">
        <f>HYPERLINK("https://klasma.github.io/Logging_2303/knärot/A 18284-2025 karta knärot.png", "A 18284-2025")</f>
        <v/>
      </c>
      <c r="V476">
        <f>HYPERLINK("https://klasma.github.io/Logging_2303/klagomål/A 18284-2025 FSC-klagomål.docx", "A 18284-2025")</f>
        <v/>
      </c>
      <c r="W476">
        <f>HYPERLINK("https://klasma.github.io/Logging_2303/klagomålsmail/A 18284-2025 FSC-klagomål mail.docx", "A 18284-2025")</f>
        <v/>
      </c>
      <c r="X476">
        <f>HYPERLINK("https://klasma.github.io/Logging_2303/tillsyn/A 18284-2025 tillsynsbegäran.docx", "A 18284-2025")</f>
        <v/>
      </c>
      <c r="Y476">
        <f>HYPERLINK("https://klasma.github.io/Logging_2303/tillsynsmail/A 18284-2025 tillsynsbegäran mail.docx", "A 18284-2025")</f>
        <v/>
      </c>
    </row>
    <row r="477" ht="15" customHeight="1">
      <c r="A477" t="inlineStr">
        <is>
          <t>A 19263-2025</t>
        </is>
      </c>
      <c r="B477" s="1" t="n">
        <v>45769.51075231482</v>
      </c>
      <c r="C477" s="1" t="n">
        <v>46010</v>
      </c>
      <c r="D477" t="inlineStr">
        <is>
          <t>JÄMTLANDS LÄN</t>
        </is>
      </c>
      <c r="E477" t="inlineStr">
        <is>
          <t>RAGUNDA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24158-2025</t>
        </is>
      </c>
      <c r="B478" s="1" t="n">
        <v>45796</v>
      </c>
      <c r="C478" s="1" t="n">
        <v>46010</v>
      </c>
      <c r="D478" t="inlineStr">
        <is>
          <t>JÄMTLANDS LÄN</t>
        </is>
      </c>
      <c r="E478" t="inlineStr">
        <is>
          <t>RAGUNDA</t>
        </is>
      </c>
      <c r="G478" t="n">
        <v>2.9</v>
      </c>
      <c r="H478" t="n">
        <v>0</v>
      </c>
      <c r="I478" t="n">
        <v>0</v>
      </c>
      <c r="J478" t="n">
        <v>0</v>
      </c>
      <c r="K478" t="n">
        <v>0</v>
      </c>
      <c r="L478" t="n">
        <v>0</v>
      </c>
      <c r="M478" t="n">
        <v>0</v>
      </c>
      <c r="N478" t="n">
        <v>0</v>
      </c>
      <c r="O478" t="n">
        <v>0</v>
      </c>
      <c r="P478" t="n">
        <v>0</v>
      </c>
      <c r="Q478" t="n">
        <v>0</v>
      </c>
      <c r="R478" s="2" t="inlineStr"/>
      <c r="U478">
        <f>HYPERLINK("https://klasma.github.io/Logging_2303/knärot/A 24158-2025 karta knärot.png", "A 24158-2025")</f>
        <v/>
      </c>
      <c r="V478">
        <f>HYPERLINK("https://klasma.github.io/Logging_2303/klagomål/A 24158-2025 FSC-klagomål.docx", "A 24158-2025")</f>
        <v/>
      </c>
      <c r="W478">
        <f>HYPERLINK("https://klasma.github.io/Logging_2303/klagomålsmail/A 24158-2025 FSC-klagomål mail.docx", "A 24158-2025")</f>
        <v/>
      </c>
      <c r="X478">
        <f>HYPERLINK("https://klasma.github.io/Logging_2303/tillsyn/A 24158-2025 tillsynsbegäran.docx", "A 24158-2025")</f>
        <v/>
      </c>
      <c r="Y478">
        <f>HYPERLINK("https://klasma.github.io/Logging_2303/tillsynsmail/A 24158-2025 tillsynsbegäran mail.docx", "A 24158-2025")</f>
        <v/>
      </c>
    </row>
    <row r="479" ht="15" customHeight="1">
      <c r="A479" t="inlineStr">
        <is>
          <t>A 24161-2025</t>
        </is>
      </c>
      <c r="B479" s="1" t="n">
        <v>45796</v>
      </c>
      <c r="C479" s="1" t="n">
        <v>46010</v>
      </c>
      <c r="D479" t="inlineStr">
        <is>
          <t>JÄMTLANDS LÄN</t>
        </is>
      </c>
      <c r="E479" t="inlineStr">
        <is>
          <t>RAGUNDA</t>
        </is>
      </c>
      <c r="G479" t="n">
        <v>2.4</v>
      </c>
      <c r="H479" t="n">
        <v>0</v>
      </c>
      <c r="I479" t="n">
        <v>0</v>
      </c>
      <c r="J479" t="n">
        <v>0</v>
      </c>
      <c r="K479" t="n">
        <v>0</v>
      </c>
      <c r="L479" t="n">
        <v>0</v>
      </c>
      <c r="M479" t="n">
        <v>0</v>
      </c>
      <c r="N479" t="n">
        <v>0</v>
      </c>
      <c r="O479" t="n">
        <v>0</v>
      </c>
      <c r="P479" t="n">
        <v>0</v>
      </c>
      <c r="Q479" t="n">
        <v>0</v>
      </c>
      <c r="R479" s="2" t="inlineStr"/>
    </row>
    <row r="480" ht="15" customHeight="1">
      <c r="A480" t="inlineStr">
        <is>
          <t>A 14821-2025</t>
        </is>
      </c>
      <c r="B480" s="1" t="n">
        <v>45743.36</v>
      </c>
      <c r="C480" s="1" t="n">
        <v>46010</v>
      </c>
      <c r="D480" t="inlineStr">
        <is>
          <t>JÄMTLANDS LÄN</t>
        </is>
      </c>
      <c r="E480" t="inlineStr">
        <is>
          <t>RAGUNDA</t>
        </is>
      </c>
      <c r="F480" t="inlineStr">
        <is>
          <t>Kyrkan</t>
        </is>
      </c>
      <c r="G480" t="n">
        <v>6.4</v>
      </c>
      <c r="H480" t="n">
        <v>0</v>
      </c>
      <c r="I480" t="n">
        <v>0</v>
      </c>
      <c r="J480" t="n">
        <v>0</v>
      </c>
      <c r="K480" t="n">
        <v>0</v>
      </c>
      <c r="L480" t="n">
        <v>0</v>
      </c>
      <c r="M480" t="n">
        <v>0</v>
      </c>
      <c r="N480" t="n">
        <v>0</v>
      </c>
      <c r="O480" t="n">
        <v>0</v>
      </c>
      <c r="P480" t="n">
        <v>0</v>
      </c>
      <c r="Q480" t="n">
        <v>0</v>
      </c>
      <c r="R480" s="2" t="inlineStr"/>
    </row>
    <row r="481" ht="15" customHeight="1">
      <c r="A481" t="inlineStr">
        <is>
          <t>A 24159-2025</t>
        </is>
      </c>
      <c r="B481" s="1" t="n">
        <v>45796</v>
      </c>
      <c r="C481" s="1" t="n">
        <v>46010</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24391-2025</t>
        </is>
      </c>
      <c r="B482" s="1" t="n">
        <v>45797.63627314815</v>
      </c>
      <c r="C482" s="1" t="n">
        <v>46010</v>
      </c>
      <c r="D482" t="inlineStr">
        <is>
          <t>JÄMTLANDS LÄN</t>
        </is>
      </c>
      <c r="E482" t="inlineStr">
        <is>
          <t>RAGUNDA</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36375-2022</t>
        </is>
      </c>
      <c r="B483" s="1" t="n">
        <v>44803.94351851852</v>
      </c>
      <c r="C483" s="1" t="n">
        <v>46010</v>
      </c>
      <c r="D483" t="inlineStr">
        <is>
          <t>JÄMTLANDS LÄN</t>
        </is>
      </c>
      <c r="E483" t="inlineStr">
        <is>
          <t>RAGUNDA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8679-2023</t>
        </is>
      </c>
      <c r="B484" s="1" t="n">
        <v>44977.98670138889</v>
      </c>
      <c r="C484" s="1" t="n">
        <v>46010</v>
      </c>
      <c r="D484" t="inlineStr">
        <is>
          <t>JÄMTLANDS LÄN</t>
        </is>
      </c>
      <c r="E484" t="inlineStr">
        <is>
          <t>RAGUNDA</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9325-2024</t>
        </is>
      </c>
      <c r="B485" s="1" t="n">
        <v>45358.95813657407</v>
      </c>
      <c r="C485" s="1" t="n">
        <v>46010</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62407-2023</t>
        </is>
      </c>
      <c r="B486" s="1" t="n">
        <v>45266</v>
      </c>
      <c r="C486" s="1" t="n">
        <v>46010</v>
      </c>
      <c r="D486" t="inlineStr">
        <is>
          <t>JÄMTLANDS LÄN</t>
        </is>
      </c>
      <c r="E486" t="inlineStr">
        <is>
          <t>RAGUNDA</t>
        </is>
      </c>
      <c r="G486" t="n">
        <v>1.6</v>
      </c>
      <c r="H486" t="n">
        <v>0</v>
      </c>
      <c r="I486" t="n">
        <v>0</v>
      </c>
      <c r="J486" t="n">
        <v>0</v>
      </c>
      <c r="K486" t="n">
        <v>0</v>
      </c>
      <c r="L486" t="n">
        <v>0</v>
      </c>
      <c r="M486" t="n">
        <v>0</v>
      </c>
      <c r="N486" t="n">
        <v>0</v>
      </c>
      <c r="O486" t="n">
        <v>0</v>
      </c>
      <c r="P486" t="n">
        <v>0</v>
      </c>
      <c r="Q486" t="n">
        <v>0</v>
      </c>
      <c r="R486" s="2" t="inlineStr"/>
    </row>
    <row r="487" ht="15" customHeight="1">
      <c r="A487" t="inlineStr">
        <is>
          <t>A 5930-2025</t>
        </is>
      </c>
      <c r="B487" s="1" t="n">
        <v>45695.44724537037</v>
      </c>
      <c r="C487" s="1" t="n">
        <v>46010</v>
      </c>
      <c r="D487" t="inlineStr">
        <is>
          <t>JÄMTLANDS LÄN</t>
        </is>
      </c>
      <c r="E487" t="inlineStr">
        <is>
          <t>RAGUNDA</t>
        </is>
      </c>
      <c r="G487" t="n">
        <v>0.7</v>
      </c>
      <c r="H487" t="n">
        <v>0</v>
      </c>
      <c r="I487" t="n">
        <v>0</v>
      </c>
      <c r="J487" t="n">
        <v>0</v>
      </c>
      <c r="K487" t="n">
        <v>0</v>
      </c>
      <c r="L487" t="n">
        <v>0</v>
      </c>
      <c r="M487" t="n">
        <v>0</v>
      </c>
      <c r="N487" t="n">
        <v>0</v>
      </c>
      <c r="O487" t="n">
        <v>0</v>
      </c>
      <c r="P487" t="n">
        <v>0</v>
      </c>
      <c r="Q487" t="n">
        <v>0</v>
      </c>
      <c r="R487" s="2" t="inlineStr"/>
    </row>
    <row r="488" ht="15" customHeight="1">
      <c r="A488" t="inlineStr">
        <is>
          <t>A 57170-2024</t>
        </is>
      </c>
      <c r="B488" s="1" t="n">
        <v>45629.42759259259</v>
      </c>
      <c r="C488" s="1" t="n">
        <v>46010</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21524-2024</t>
        </is>
      </c>
      <c r="B489" s="1" t="n">
        <v>45441</v>
      </c>
      <c r="C489" s="1" t="n">
        <v>46010</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38191-2024</t>
        </is>
      </c>
      <c r="B490" s="1" t="n">
        <v>45545.49078703704</v>
      </c>
      <c r="C490" s="1" t="n">
        <v>46010</v>
      </c>
      <c r="D490" t="inlineStr">
        <is>
          <t>JÄMTLANDS LÄN</t>
        </is>
      </c>
      <c r="E490" t="inlineStr">
        <is>
          <t>RAGUNDA</t>
        </is>
      </c>
      <c r="G490" t="n">
        <v>1.6</v>
      </c>
      <c r="H490" t="n">
        <v>0</v>
      </c>
      <c r="I490" t="n">
        <v>0</v>
      </c>
      <c r="J490" t="n">
        <v>0</v>
      </c>
      <c r="K490" t="n">
        <v>0</v>
      </c>
      <c r="L490" t="n">
        <v>0</v>
      </c>
      <c r="M490" t="n">
        <v>0</v>
      </c>
      <c r="N490" t="n">
        <v>0</v>
      </c>
      <c r="O490" t="n">
        <v>0</v>
      </c>
      <c r="P490" t="n">
        <v>0</v>
      </c>
      <c r="Q490" t="n">
        <v>0</v>
      </c>
      <c r="R490" s="2" t="inlineStr"/>
    </row>
    <row r="491" ht="15" customHeight="1">
      <c r="A491" t="inlineStr">
        <is>
          <t>A 8795-2022</t>
        </is>
      </c>
      <c r="B491" s="1" t="n">
        <v>44614</v>
      </c>
      <c r="C491" s="1" t="n">
        <v>46010</v>
      </c>
      <c r="D491" t="inlineStr">
        <is>
          <t>JÄMTLANDS LÄN</t>
        </is>
      </c>
      <c r="E491" t="inlineStr">
        <is>
          <t>RAGUNDA</t>
        </is>
      </c>
      <c r="G491" t="n">
        <v>3.9</v>
      </c>
      <c r="H491" t="n">
        <v>0</v>
      </c>
      <c r="I491" t="n">
        <v>0</v>
      </c>
      <c r="J491" t="n">
        <v>0</v>
      </c>
      <c r="K491" t="n">
        <v>0</v>
      </c>
      <c r="L491" t="n">
        <v>0</v>
      </c>
      <c r="M491" t="n">
        <v>0</v>
      </c>
      <c r="N491" t="n">
        <v>0</v>
      </c>
      <c r="O491" t="n">
        <v>0</v>
      </c>
      <c r="P491" t="n">
        <v>0</v>
      </c>
      <c r="Q491" t="n">
        <v>0</v>
      </c>
      <c r="R491" s="2" t="inlineStr"/>
    </row>
    <row r="492" ht="15" customHeight="1">
      <c r="A492" t="inlineStr">
        <is>
          <t>A 39947-2025</t>
        </is>
      </c>
      <c r="B492" s="1" t="n">
        <v>45892.34438657408</v>
      </c>
      <c r="C492" s="1" t="n">
        <v>46010</v>
      </c>
      <c r="D492" t="inlineStr">
        <is>
          <t>JÄMTLANDS LÄN</t>
        </is>
      </c>
      <c r="E492" t="inlineStr">
        <is>
          <t>RAGUNDA</t>
        </is>
      </c>
      <c r="G492" t="n">
        <v>6.6</v>
      </c>
      <c r="H492" t="n">
        <v>0</v>
      </c>
      <c r="I492" t="n">
        <v>0</v>
      </c>
      <c r="J492" t="n">
        <v>0</v>
      </c>
      <c r="K492" t="n">
        <v>0</v>
      </c>
      <c r="L492" t="n">
        <v>0</v>
      </c>
      <c r="M492" t="n">
        <v>0</v>
      </c>
      <c r="N492" t="n">
        <v>0</v>
      </c>
      <c r="O492" t="n">
        <v>0</v>
      </c>
      <c r="P492" t="n">
        <v>0</v>
      </c>
      <c r="Q492" t="n">
        <v>0</v>
      </c>
      <c r="R492" s="2" t="inlineStr"/>
    </row>
    <row r="493" ht="15" customHeight="1">
      <c r="A493" t="inlineStr">
        <is>
          <t>A 39951-2025</t>
        </is>
      </c>
      <c r="B493" s="1" t="n">
        <v>45892.38657407407</v>
      </c>
      <c r="C493" s="1" t="n">
        <v>46010</v>
      </c>
      <c r="D493" t="inlineStr">
        <is>
          <t>JÄMTLANDS LÄN</t>
        </is>
      </c>
      <c r="E493" t="inlineStr">
        <is>
          <t>RAGUNDA</t>
        </is>
      </c>
      <c r="G493" t="n">
        <v>2.3</v>
      </c>
      <c r="H493" t="n">
        <v>0</v>
      </c>
      <c r="I493" t="n">
        <v>0</v>
      </c>
      <c r="J493" t="n">
        <v>0</v>
      </c>
      <c r="K493" t="n">
        <v>0</v>
      </c>
      <c r="L493" t="n">
        <v>0</v>
      </c>
      <c r="M493" t="n">
        <v>0</v>
      </c>
      <c r="N493" t="n">
        <v>0</v>
      </c>
      <c r="O493" t="n">
        <v>0</v>
      </c>
      <c r="P493" t="n">
        <v>0</v>
      </c>
      <c r="Q493" t="n">
        <v>0</v>
      </c>
      <c r="R493" s="2" t="inlineStr"/>
    </row>
    <row r="494" ht="15" customHeight="1">
      <c r="A494" t="inlineStr">
        <is>
          <t>A 35265-2023</t>
        </is>
      </c>
      <c r="B494" s="1" t="n">
        <v>45145.95326388889</v>
      </c>
      <c r="C494" s="1" t="n">
        <v>46010</v>
      </c>
      <c r="D494" t="inlineStr">
        <is>
          <t>JÄMTLANDS LÄN</t>
        </is>
      </c>
      <c r="E494" t="inlineStr">
        <is>
          <t>RAGUNDA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39948-2025</t>
        </is>
      </c>
      <c r="B495" s="1" t="n">
        <v>45892.38591435185</v>
      </c>
      <c r="C495" s="1" t="n">
        <v>46010</v>
      </c>
      <c r="D495" t="inlineStr">
        <is>
          <t>JÄMTLANDS LÄN</t>
        </is>
      </c>
      <c r="E495" t="inlineStr">
        <is>
          <t>RAGUNDA</t>
        </is>
      </c>
      <c r="G495" t="n">
        <v>5</v>
      </c>
      <c r="H495" t="n">
        <v>0</v>
      </c>
      <c r="I495" t="n">
        <v>0</v>
      </c>
      <c r="J495" t="n">
        <v>0</v>
      </c>
      <c r="K495" t="n">
        <v>0</v>
      </c>
      <c r="L495" t="n">
        <v>0</v>
      </c>
      <c r="M495" t="n">
        <v>0</v>
      </c>
      <c r="N495" t="n">
        <v>0</v>
      </c>
      <c r="O495" t="n">
        <v>0</v>
      </c>
      <c r="P495" t="n">
        <v>0</v>
      </c>
      <c r="Q495" t="n">
        <v>0</v>
      </c>
      <c r="R495" s="2" t="inlineStr"/>
    </row>
    <row r="496" ht="15" customHeight="1">
      <c r="A496" t="inlineStr">
        <is>
          <t>A 39946-2025</t>
        </is>
      </c>
      <c r="B496" s="1" t="n">
        <v>45892.34423611111</v>
      </c>
      <c r="C496" s="1" t="n">
        <v>46010</v>
      </c>
      <c r="D496" t="inlineStr">
        <is>
          <t>JÄMTLANDS LÄN</t>
        </is>
      </c>
      <c r="E496" t="inlineStr">
        <is>
          <t>RAGUNDA</t>
        </is>
      </c>
      <c r="G496" t="n">
        <v>4.7</v>
      </c>
      <c r="H496" t="n">
        <v>0</v>
      </c>
      <c r="I496" t="n">
        <v>0</v>
      </c>
      <c r="J496" t="n">
        <v>0</v>
      </c>
      <c r="K496" t="n">
        <v>0</v>
      </c>
      <c r="L496" t="n">
        <v>0</v>
      </c>
      <c r="M496" t="n">
        <v>0</v>
      </c>
      <c r="N496" t="n">
        <v>0</v>
      </c>
      <c r="O496" t="n">
        <v>0</v>
      </c>
      <c r="P496" t="n">
        <v>0</v>
      </c>
      <c r="Q496" t="n">
        <v>0</v>
      </c>
      <c r="R496" s="2" t="inlineStr"/>
    </row>
    <row r="497" ht="15" customHeight="1">
      <c r="A497" t="inlineStr">
        <is>
          <t>A 39950-2025</t>
        </is>
      </c>
      <c r="B497" s="1" t="n">
        <v>45892.38641203703</v>
      </c>
      <c r="C497" s="1" t="n">
        <v>46010</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39955-2025</t>
        </is>
      </c>
      <c r="B498" s="1" t="n">
        <v>45892.44824074074</v>
      </c>
      <c r="C498" s="1" t="n">
        <v>46010</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39956-2025</t>
        </is>
      </c>
      <c r="B499" s="1" t="n">
        <v>45892.44840277778</v>
      </c>
      <c r="C499" s="1" t="n">
        <v>46010</v>
      </c>
      <c r="D499" t="inlineStr">
        <is>
          <t>JÄMTLANDS LÄN</t>
        </is>
      </c>
      <c r="E499" t="inlineStr">
        <is>
          <t>RAGUNDA</t>
        </is>
      </c>
      <c r="G499" t="n">
        <v>3.6</v>
      </c>
      <c r="H499" t="n">
        <v>0</v>
      </c>
      <c r="I499" t="n">
        <v>0</v>
      </c>
      <c r="J499" t="n">
        <v>0</v>
      </c>
      <c r="K499" t="n">
        <v>0</v>
      </c>
      <c r="L499" t="n">
        <v>0</v>
      </c>
      <c r="M499" t="n">
        <v>0</v>
      </c>
      <c r="N499" t="n">
        <v>0</v>
      </c>
      <c r="O499" t="n">
        <v>0</v>
      </c>
      <c r="P499" t="n">
        <v>0</v>
      </c>
      <c r="Q499" t="n">
        <v>0</v>
      </c>
      <c r="R499" s="2" t="inlineStr"/>
    </row>
    <row r="500" ht="15" customHeight="1">
      <c r="A500" t="inlineStr">
        <is>
          <t>A 5148-2023</t>
        </is>
      </c>
      <c r="B500" s="1" t="n">
        <v>44958</v>
      </c>
      <c r="C500" s="1" t="n">
        <v>46010</v>
      </c>
      <c r="D500" t="inlineStr">
        <is>
          <t>JÄMTLANDS LÄN</t>
        </is>
      </c>
      <c r="E500" t="inlineStr">
        <is>
          <t>RAGUNDA</t>
        </is>
      </c>
      <c r="G500" t="n">
        <v>2.9</v>
      </c>
      <c r="H500" t="n">
        <v>0</v>
      </c>
      <c r="I500" t="n">
        <v>0</v>
      </c>
      <c r="J500" t="n">
        <v>0</v>
      </c>
      <c r="K500" t="n">
        <v>0</v>
      </c>
      <c r="L500" t="n">
        <v>0</v>
      </c>
      <c r="M500" t="n">
        <v>0</v>
      </c>
      <c r="N500" t="n">
        <v>0</v>
      </c>
      <c r="O500" t="n">
        <v>0</v>
      </c>
      <c r="P500" t="n">
        <v>0</v>
      </c>
      <c r="Q500" t="n">
        <v>0</v>
      </c>
      <c r="R500" s="2" t="inlineStr"/>
    </row>
    <row r="501" ht="15" customHeight="1">
      <c r="A501" t="inlineStr">
        <is>
          <t>A 25631-2025</t>
        </is>
      </c>
      <c r="B501" s="1" t="n">
        <v>45803.5946875</v>
      </c>
      <c r="C501" s="1" t="n">
        <v>46010</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66471-2021</t>
        </is>
      </c>
      <c r="B502" s="1" t="n">
        <v>44518</v>
      </c>
      <c r="C502" s="1" t="n">
        <v>46010</v>
      </c>
      <c r="D502" t="inlineStr">
        <is>
          <t>JÄMTLANDS LÄN</t>
        </is>
      </c>
      <c r="E502" t="inlineStr">
        <is>
          <t>RAGUNDA</t>
        </is>
      </c>
      <c r="G502" t="n">
        <v>13.4</v>
      </c>
      <c r="H502" t="n">
        <v>0</v>
      </c>
      <c r="I502" t="n">
        <v>0</v>
      </c>
      <c r="J502" t="n">
        <v>0</v>
      </c>
      <c r="K502" t="n">
        <v>0</v>
      </c>
      <c r="L502" t="n">
        <v>0</v>
      </c>
      <c r="M502" t="n">
        <v>0</v>
      </c>
      <c r="N502" t="n">
        <v>0</v>
      </c>
      <c r="O502" t="n">
        <v>0</v>
      </c>
      <c r="P502" t="n">
        <v>0</v>
      </c>
      <c r="Q502" t="n">
        <v>0</v>
      </c>
      <c r="R502" s="2" t="inlineStr"/>
    </row>
    <row r="503" ht="15" customHeight="1">
      <c r="A503" t="inlineStr">
        <is>
          <t>A 18778-2024</t>
        </is>
      </c>
      <c r="B503" s="1" t="n">
        <v>45426</v>
      </c>
      <c r="C503" s="1" t="n">
        <v>46010</v>
      </c>
      <c r="D503" t="inlineStr">
        <is>
          <t>JÄMTLANDS LÄN</t>
        </is>
      </c>
      <c r="E503" t="inlineStr">
        <is>
          <t>RAGUNDA</t>
        </is>
      </c>
      <c r="G503" t="n">
        <v>0.9</v>
      </c>
      <c r="H503" t="n">
        <v>0</v>
      </c>
      <c r="I503" t="n">
        <v>0</v>
      </c>
      <c r="J503" t="n">
        <v>0</v>
      </c>
      <c r="K503" t="n">
        <v>0</v>
      </c>
      <c r="L503" t="n">
        <v>0</v>
      </c>
      <c r="M503" t="n">
        <v>0</v>
      </c>
      <c r="N503" t="n">
        <v>0</v>
      </c>
      <c r="O503" t="n">
        <v>0</v>
      </c>
      <c r="P503" t="n">
        <v>0</v>
      </c>
      <c r="Q503" t="n">
        <v>0</v>
      </c>
      <c r="R503" s="2" t="inlineStr"/>
    </row>
    <row r="504" ht="15" customHeight="1">
      <c r="A504" t="inlineStr">
        <is>
          <t>A 59556-2024</t>
        </is>
      </c>
      <c r="B504" s="1" t="n">
        <v>45638.63600694444</v>
      </c>
      <c r="C504" s="1" t="n">
        <v>46010</v>
      </c>
      <c r="D504" t="inlineStr">
        <is>
          <t>JÄMTLANDS LÄN</t>
        </is>
      </c>
      <c r="E504" t="inlineStr">
        <is>
          <t>RAGUNDA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25376-2025</t>
        </is>
      </c>
      <c r="B505" s="1" t="n">
        <v>45800.63619212963</v>
      </c>
      <c r="C505" s="1" t="n">
        <v>46010</v>
      </c>
      <c r="D505" t="inlineStr">
        <is>
          <t>JÄMTLANDS LÄN</t>
        </is>
      </c>
      <c r="E505" t="inlineStr">
        <is>
          <t>RAGUNDA</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39949-2025</t>
        </is>
      </c>
      <c r="B506" s="1" t="n">
        <v>45892.38619212963</v>
      </c>
      <c r="C506" s="1" t="n">
        <v>46010</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25175-2025</t>
        </is>
      </c>
      <c r="B507" s="1" t="n">
        <v>45800.44822916666</v>
      </c>
      <c r="C507" s="1" t="n">
        <v>46010</v>
      </c>
      <c r="D507" t="inlineStr">
        <is>
          <t>JÄMTLANDS LÄN</t>
        </is>
      </c>
      <c r="E507" t="inlineStr">
        <is>
          <t>RAGUNDA</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25177-2025</t>
        </is>
      </c>
      <c r="B508" s="1" t="n">
        <v>45800.44862268519</v>
      </c>
      <c r="C508" s="1" t="n">
        <v>46010</v>
      </c>
      <c r="D508" t="inlineStr">
        <is>
          <t>JÄMTLANDS LÄN</t>
        </is>
      </c>
      <c r="E508" t="inlineStr">
        <is>
          <t>RAGUNDA</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16529-2022</t>
        </is>
      </c>
      <c r="B509" s="1" t="n">
        <v>44671</v>
      </c>
      <c r="C509" s="1" t="n">
        <v>46010</v>
      </c>
      <c r="D509" t="inlineStr">
        <is>
          <t>JÄMTLANDS LÄN</t>
        </is>
      </c>
      <c r="E509" t="inlineStr">
        <is>
          <t>RAGUNDA</t>
        </is>
      </c>
      <c r="G509" t="n">
        <v>1.5</v>
      </c>
      <c r="H509" t="n">
        <v>0</v>
      </c>
      <c r="I509" t="n">
        <v>0</v>
      </c>
      <c r="J509" t="n">
        <v>0</v>
      </c>
      <c r="K509" t="n">
        <v>0</v>
      </c>
      <c r="L509" t="n">
        <v>0</v>
      </c>
      <c r="M509" t="n">
        <v>0</v>
      </c>
      <c r="N509" t="n">
        <v>0</v>
      </c>
      <c r="O509" t="n">
        <v>0</v>
      </c>
      <c r="P509" t="n">
        <v>0</v>
      </c>
      <c r="Q509" t="n">
        <v>0</v>
      </c>
      <c r="R509" s="2" t="inlineStr"/>
    </row>
    <row r="510" ht="15" customHeight="1">
      <c r="A510" t="inlineStr">
        <is>
          <t>A 25659-2025</t>
        </is>
      </c>
      <c r="B510" s="1" t="n">
        <v>45803.61552083334</v>
      </c>
      <c r="C510" s="1" t="n">
        <v>46010</v>
      </c>
      <c r="D510" t="inlineStr">
        <is>
          <t>JÄMTLANDS LÄN</t>
        </is>
      </c>
      <c r="E510" t="inlineStr">
        <is>
          <t>RAGUNDA</t>
        </is>
      </c>
      <c r="G510" t="n">
        <v>1.5</v>
      </c>
      <c r="H510" t="n">
        <v>0</v>
      </c>
      <c r="I510" t="n">
        <v>0</v>
      </c>
      <c r="J510" t="n">
        <v>0</v>
      </c>
      <c r="K510" t="n">
        <v>0</v>
      </c>
      <c r="L510" t="n">
        <v>0</v>
      </c>
      <c r="M510" t="n">
        <v>0</v>
      </c>
      <c r="N510" t="n">
        <v>0</v>
      </c>
      <c r="O510" t="n">
        <v>0</v>
      </c>
      <c r="P510" t="n">
        <v>0</v>
      </c>
      <c r="Q510" t="n">
        <v>0</v>
      </c>
      <c r="R510" s="2" t="inlineStr"/>
    </row>
    <row r="511" ht="15" customHeight="1">
      <c r="A511" t="inlineStr">
        <is>
          <t>A 25661-2025</t>
        </is>
      </c>
      <c r="B511" s="1" t="n">
        <v>45803.61557870371</v>
      </c>
      <c r="C511" s="1" t="n">
        <v>46010</v>
      </c>
      <c r="D511" t="inlineStr">
        <is>
          <t>JÄMTLANDS LÄN</t>
        </is>
      </c>
      <c r="E511" t="inlineStr">
        <is>
          <t>RAGUNDA</t>
        </is>
      </c>
      <c r="G511" t="n">
        <v>1.4</v>
      </c>
      <c r="H511" t="n">
        <v>0</v>
      </c>
      <c r="I511" t="n">
        <v>0</v>
      </c>
      <c r="J511" t="n">
        <v>0</v>
      </c>
      <c r="K511" t="n">
        <v>0</v>
      </c>
      <c r="L511" t="n">
        <v>0</v>
      </c>
      <c r="M511" t="n">
        <v>0</v>
      </c>
      <c r="N511" t="n">
        <v>0</v>
      </c>
      <c r="O511" t="n">
        <v>0</v>
      </c>
      <c r="P511" t="n">
        <v>0</v>
      </c>
      <c r="Q511" t="n">
        <v>0</v>
      </c>
      <c r="R511" s="2" t="inlineStr"/>
    </row>
    <row r="512" ht="15" customHeight="1">
      <c r="A512" t="inlineStr">
        <is>
          <t>A 25350-2025</t>
        </is>
      </c>
      <c r="B512" s="1" t="n">
        <v>45800</v>
      </c>
      <c r="C512" s="1" t="n">
        <v>46010</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25152-2025</t>
        </is>
      </c>
      <c r="B513" s="1" t="n">
        <v>45800.42743055556</v>
      </c>
      <c r="C513" s="1" t="n">
        <v>46010</v>
      </c>
      <c r="D513" t="inlineStr">
        <is>
          <t>JÄMTLANDS LÄN</t>
        </is>
      </c>
      <c r="E513" t="inlineStr">
        <is>
          <t>RAGUNDA</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61934-2022</t>
        </is>
      </c>
      <c r="B514" s="1" t="n">
        <v>44917</v>
      </c>
      <c r="C514" s="1" t="n">
        <v>46010</v>
      </c>
      <c r="D514" t="inlineStr">
        <is>
          <t>JÄMTLANDS LÄN</t>
        </is>
      </c>
      <c r="E514" t="inlineStr">
        <is>
          <t>RAGUNDA</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19613-2023</t>
        </is>
      </c>
      <c r="B515" s="1" t="n">
        <v>45050.94020833333</v>
      </c>
      <c r="C515" s="1" t="n">
        <v>46010</v>
      </c>
      <c r="D515" t="inlineStr">
        <is>
          <t>JÄMTLANDS LÄN</t>
        </is>
      </c>
      <c r="E515" t="inlineStr">
        <is>
          <t>RAGUNDA</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8678-2023</t>
        </is>
      </c>
      <c r="B516" s="1" t="n">
        <v>44977.98660879629</v>
      </c>
      <c r="C516" s="1" t="n">
        <v>46010</v>
      </c>
      <c r="D516" t="inlineStr">
        <is>
          <t>JÄMTLANDS LÄN</t>
        </is>
      </c>
      <c r="E516" t="inlineStr">
        <is>
          <t>RAGUNDA</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25814-2025</t>
        </is>
      </c>
      <c r="B517" s="1" t="n">
        <v>45804.42642361111</v>
      </c>
      <c r="C517" s="1" t="n">
        <v>46010</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25944-2025</t>
        </is>
      </c>
      <c r="B518" s="1" t="n">
        <v>45804.59487268519</v>
      </c>
      <c r="C518" s="1" t="n">
        <v>46010</v>
      </c>
      <c r="D518" t="inlineStr">
        <is>
          <t>JÄMTLANDS LÄN</t>
        </is>
      </c>
      <c r="E518" t="inlineStr">
        <is>
          <t>RAGUNDA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26283-2025</t>
        </is>
      </c>
      <c r="B519" s="1" t="n">
        <v>45805.61495370371</v>
      </c>
      <c r="C519" s="1" t="n">
        <v>46010</v>
      </c>
      <c r="D519" t="inlineStr">
        <is>
          <t>JÄMTLANDS LÄN</t>
        </is>
      </c>
      <c r="E519" t="inlineStr">
        <is>
          <t>RAGUNDA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10788-2025</t>
        </is>
      </c>
      <c r="B520" s="1" t="n">
        <v>45722.48982638889</v>
      </c>
      <c r="C520" s="1" t="n">
        <v>46010</v>
      </c>
      <c r="D520" t="inlineStr">
        <is>
          <t>JÄMTLANDS LÄN</t>
        </is>
      </c>
      <c r="E520" t="inlineStr">
        <is>
          <t>RAGUNDA</t>
        </is>
      </c>
      <c r="G520" t="n">
        <v>3.5</v>
      </c>
      <c r="H520" t="n">
        <v>0</v>
      </c>
      <c r="I520" t="n">
        <v>0</v>
      </c>
      <c r="J520" t="n">
        <v>0</v>
      </c>
      <c r="K520" t="n">
        <v>0</v>
      </c>
      <c r="L520" t="n">
        <v>0</v>
      </c>
      <c r="M520" t="n">
        <v>0</v>
      </c>
      <c r="N520" t="n">
        <v>0</v>
      </c>
      <c r="O520" t="n">
        <v>0</v>
      </c>
      <c r="P520" t="n">
        <v>0</v>
      </c>
      <c r="Q520" t="n">
        <v>0</v>
      </c>
      <c r="R520" s="2" t="inlineStr"/>
    </row>
    <row r="521" ht="15" customHeight="1">
      <c r="A521" t="inlineStr">
        <is>
          <t>A 24258-2025</t>
        </is>
      </c>
      <c r="B521" s="1" t="n">
        <v>45797.40800925926</v>
      </c>
      <c r="C521" s="1" t="n">
        <v>46010</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28742-2023</t>
        </is>
      </c>
      <c r="B522" s="1" t="n">
        <v>45103</v>
      </c>
      <c r="C522" s="1" t="n">
        <v>46010</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25994-2025</t>
        </is>
      </c>
      <c r="B523" s="1" t="n">
        <v>45804.65672453704</v>
      </c>
      <c r="C523" s="1" t="n">
        <v>46010</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17323-2025</t>
        </is>
      </c>
      <c r="B524" s="1" t="n">
        <v>45756.63601851852</v>
      </c>
      <c r="C524" s="1" t="n">
        <v>46010</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40586-2025</t>
        </is>
      </c>
      <c r="B525" s="1" t="n">
        <v>45896.52478009259</v>
      </c>
      <c r="C525" s="1" t="n">
        <v>46010</v>
      </c>
      <c r="D525" t="inlineStr">
        <is>
          <t>JÄMTLANDS LÄN</t>
        </is>
      </c>
      <c r="E525" t="inlineStr">
        <is>
          <t>RAGUNDA</t>
        </is>
      </c>
      <c r="G525" t="n">
        <v>1.2</v>
      </c>
      <c r="H525" t="n">
        <v>0</v>
      </c>
      <c r="I525" t="n">
        <v>0</v>
      </c>
      <c r="J525" t="n">
        <v>0</v>
      </c>
      <c r="K525" t="n">
        <v>0</v>
      </c>
      <c r="L525" t="n">
        <v>0</v>
      </c>
      <c r="M525" t="n">
        <v>0</v>
      </c>
      <c r="N525" t="n">
        <v>0</v>
      </c>
      <c r="O525" t="n">
        <v>0</v>
      </c>
      <c r="P525" t="n">
        <v>0</v>
      </c>
      <c r="Q525" t="n">
        <v>0</v>
      </c>
      <c r="R525" s="2" t="inlineStr"/>
    </row>
    <row r="526" ht="15" customHeight="1">
      <c r="A526" t="inlineStr">
        <is>
          <t>A 16364-2023</t>
        </is>
      </c>
      <c r="B526" s="1" t="n">
        <v>45028</v>
      </c>
      <c r="C526" s="1" t="n">
        <v>46010</v>
      </c>
      <c r="D526" t="inlineStr">
        <is>
          <t>JÄMTLANDS LÄN</t>
        </is>
      </c>
      <c r="E526" t="inlineStr">
        <is>
          <t>RAGUNDA</t>
        </is>
      </c>
      <c r="G526" t="n">
        <v>0.5</v>
      </c>
      <c r="H526" t="n">
        <v>0</v>
      </c>
      <c r="I526" t="n">
        <v>0</v>
      </c>
      <c r="J526" t="n">
        <v>0</v>
      </c>
      <c r="K526" t="n">
        <v>0</v>
      </c>
      <c r="L526" t="n">
        <v>0</v>
      </c>
      <c r="M526" t="n">
        <v>0</v>
      </c>
      <c r="N526" t="n">
        <v>0</v>
      </c>
      <c r="O526" t="n">
        <v>0</v>
      </c>
      <c r="P526" t="n">
        <v>0</v>
      </c>
      <c r="Q526" t="n">
        <v>0</v>
      </c>
      <c r="R526" s="2" t="inlineStr"/>
    </row>
    <row r="527" ht="15" customHeight="1">
      <c r="A527" t="inlineStr">
        <is>
          <t>A 26172-2025</t>
        </is>
      </c>
      <c r="B527" s="1" t="n">
        <v>45805.46613425926</v>
      </c>
      <c r="C527" s="1" t="n">
        <v>46010</v>
      </c>
      <c r="D527" t="inlineStr">
        <is>
          <t>JÄMTLANDS LÄN</t>
        </is>
      </c>
      <c r="E527" t="inlineStr">
        <is>
          <t>RAGUNDA</t>
        </is>
      </c>
      <c r="G527" t="n">
        <v>2.1</v>
      </c>
      <c r="H527" t="n">
        <v>0</v>
      </c>
      <c r="I527" t="n">
        <v>0</v>
      </c>
      <c r="J527" t="n">
        <v>0</v>
      </c>
      <c r="K527" t="n">
        <v>0</v>
      </c>
      <c r="L527" t="n">
        <v>0</v>
      </c>
      <c r="M527" t="n">
        <v>0</v>
      </c>
      <c r="N527" t="n">
        <v>0</v>
      </c>
      <c r="O527" t="n">
        <v>0</v>
      </c>
      <c r="P527" t="n">
        <v>0</v>
      </c>
      <c r="Q527" t="n">
        <v>0</v>
      </c>
      <c r="R527" s="2" t="inlineStr"/>
    </row>
    <row r="528" ht="15" customHeight="1">
      <c r="A528" t="inlineStr">
        <is>
          <t>A 59136-2023</t>
        </is>
      </c>
      <c r="B528" s="1" t="n">
        <v>45251</v>
      </c>
      <c r="C528" s="1" t="n">
        <v>46010</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26246-2025</t>
        </is>
      </c>
      <c r="B529" s="1" t="n">
        <v>45805.57390046296</v>
      </c>
      <c r="C529" s="1" t="n">
        <v>46010</v>
      </c>
      <c r="D529" t="inlineStr">
        <is>
          <t>JÄMTLANDS LÄN</t>
        </is>
      </c>
      <c r="E529" t="inlineStr">
        <is>
          <t>RAGUNDA</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49659-2023</t>
        </is>
      </c>
      <c r="B530" s="1" t="n">
        <v>45211.95134259259</v>
      </c>
      <c r="C530" s="1" t="n">
        <v>46010</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73278-2021</t>
        </is>
      </c>
      <c r="B531" s="1" t="n">
        <v>44550.92168981482</v>
      </c>
      <c r="C531" s="1" t="n">
        <v>46010</v>
      </c>
      <c r="D531" t="inlineStr">
        <is>
          <t>JÄMTLANDS LÄN</t>
        </is>
      </c>
      <c r="E531" t="inlineStr">
        <is>
          <t>RAGUNDA</t>
        </is>
      </c>
      <c r="G531" t="n">
        <v>4.4</v>
      </c>
      <c r="H531" t="n">
        <v>0</v>
      </c>
      <c r="I531" t="n">
        <v>0</v>
      </c>
      <c r="J531" t="n">
        <v>0</v>
      </c>
      <c r="K531" t="n">
        <v>0</v>
      </c>
      <c r="L531" t="n">
        <v>0</v>
      </c>
      <c r="M531" t="n">
        <v>0</v>
      </c>
      <c r="N531" t="n">
        <v>0</v>
      </c>
      <c r="O531" t="n">
        <v>0</v>
      </c>
      <c r="P531" t="n">
        <v>0</v>
      </c>
      <c r="Q531" t="n">
        <v>0</v>
      </c>
      <c r="R531" s="2" t="inlineStr"/>
    </row>
    <row r="532" ht="15" customHeight="1">
      <c r="A532" t="inlineStr">
        <is>
          <t>A 51396-2024</t>
        </is>
      </c>
      <c r="B532" s="1" t="n">
        <v>45604.4190625</v>
      </c>
      <c r="C532" s="1" t="n">
        <v>46010</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50521-2024</t>
        </is>
      </c>
      <c r="B533" s="1" t="n">
        <v>45601.55331018518</v>
      </c>
      <c r="C533" s="1" t="n">
        <v>46010</v>
      </c>
      <c r="D533" t="inlineStr">
        <is>
          <t>JÄMTLANDS LÄN</t>
        </is>
      </c>
      <c r="E533" t="inlineStr">
        <is>
          <t>RAGUNDA</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26640-2025</t>
        </is>
      </c>
      <c r="B534" s="1" t="n">
        <v>45810.36495370371</v>
      </c>
      <c r="C534" s="1" t="n">
        <v>46010</v>
      </c>
      <c r="D534" t="inlineStr">
        <is>
          <t>JÄMTLANDS LÄN</t>
        </is>
      </c>
      <c r="E534" t="inlineStr">
        <is>
          <t>RAGUNDA</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41161-2025</t>
        </is>
      </c>
      <c r="B535" s="1" t="n">
        <v>45898.53193287037</v>
      </c>
      <c r="C535" s="1" t="n">
        <v>46010</v>
      </c>
      <c r="D535" t="inlineStr">
        <is>
          <t>JÄMTLANDS LÄN</t>
        </is>
      </c>
      <c r="E535" t="inlineStr">
        <is>
          <t>RAGUNDA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4916-2025</t>
        </is>
      </c>
      <c r="B536" s="1" t="n">
        <v>45688.68196759259</v>
      </c>
      <c r="C536" s="1" t="n">
        <v>46010</v>
      </c>
      <c r="D536" t="inlineStr">
        <is>
          <t>JÄMTLANDS LÄN</t>
        </is>
      </c>
      <c r="E536" t="inlineStr">
        <is>
          <t>RAGUNDA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59557-2023</t>
        </is>
      </c>
      <c r="B537" s="1" t="n">
        <v>45253</v>
      </c>
      <c r="C537" s="1" t="n">
        <v>46010</v>
      </c>
      <c r="D537" t="inlineStr">
        <is>
          <t>JÄMTLANDS LÄN</t>
        </is>
      </c>
      <c r="E537" t="inlineStr">
        <is>
          <t>RAGUNDA</t>
        </is>
      </c>
      <c r="G537" t="n">
        <v>1</v>
      </c>
      <c r="H537" t="n">
        <v>0</v>
      </c>
      <c r="I537" t="n">
        <v>0</v>
      </c>
      <c r="J537" t="n">
        <v>0</v>
      </c>
      <c r="K537" t="n">
        <v>0</v>
      </c>
      <c r="L537" t="n">
        <v>0</v>
      </c>
      <c r="M537" t="n">
        <v>0</v>
      </c>
      <c r="N537" t="n">
        <v>0</v>
      </c>
      <c r="O537" t="n">
        <v>0</v>
      </c>
      <c r="P537" t="n">
        <v>0</v>
      </c>
      <c r="Q537" t="n">
        <v>0</v>
      </c>
      <c r="R537" s="2" t="inlineStr"/>
    </row>
    <row r="538" ht="15" customHeight="1">
      <c r="A538" t="inlineStr">
        <is>
          <t>A 41233-2025</t>
        </is>
      </c>
      <c r="B538" s="1" t="n">
        <v>45898.59295138889</v>
      </c>
      <c r="C538" s="1" t="n">
        <v>46010</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57112-2024</t>
        </is>
      </c>
      <c r="B539" s="1" t="n">
        <v>45629.36486111111</v>
      </c>
      <c r="C539" s="1" t="n">
        <v>46010</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53136-2024</t>
        </is>
      </c>
      <c r="B540" s="1" t="n">
        <v>45611.5953125</v>
      </c>
      <c r="C540" s="1" t="n">
        <v>46010</v>
      </c>
      <c r="D540" t="inlineStr">
        <is>
          <t>JÄMTLANDS LÄN</t>
        </is>
      </c>
      <c r="E540" t="inlineStr">
        <is>
          <t>RAGUNDA</t>
        </is>
      </c>
      <c r="G540" t="n">
        <v>3.8</v>
      </c>
      <c r="H540" t="n">
        <v>0</v>
      </c>
      <c r="I540" t="n">
        <v>0</v>
      </c>
      <c r="J540" t="n">
        <v>0</v>
      </c>
      <c r="K540" t="n">
        <v>0</v>
      </c>
      <c r="L540" t="n">
        <v>0</v>
      </c>
      <c r="M540" t="n">
        <v>0</v>
      </c>
      <c r="N540" t="n">
        <v>0</v>
      </c>
      <c r="O540" t="n">
        <v>0</v>
      </c>
      <c r="P540" t="n">
        <v>0</v>
      </c>
      <c r="Q540" t="n">
        <v>0</v>
      </c>
      <c r="R540" s="2" t="inlineStr"/>
    </row>
    <row r="541" ht="15" customHeight="1">
      <c r="A541" t="inlineStr">
        <is>
          <t>A 33621-2023</t>
        </is>
      </c>
      <c r="B541" s="1" t="n">
        <v>45119</v>
      </c>
      <c r="C541" s="1" t="n">
        <v>46010</v>
      </c>
      <c r="D541" t="inlineStr">
        <is>
          <t>JÄMTLANDS LÄN</t>
        </is>
      </c>
      <c r="E541" t="inlineStr">
        <is>
          <t>RAGUNDA</t>
        </is>
      </c>
      <c r="G541" t="n">
        <v>0.5</v>
      </c>
      <c r="H541" t="n">
        <v>0</v>
      </c>
      <c r="I541" t="n">
        <v>0</v>
      </c>
      <c r="J541" t="n">
        <v>0</v>
      </c>
      <c r="K541" t="n">
        <v>0</v>
      </c>
      <c r="L541" t="n">
        <v>0</v>
      </c>
      <c r="M541" t="n">
        <v>0</v>
      </c>
      <c r="N541" t="n">
        <v>0</v>
      </c>
      <c r="O541" t="n">
        <v>0</v>
      </c>
      <c r="P541" t="n">
        <v>0</v>
      </c>
      <c r="Q541" t="n">
        <v>0</v>
      </c>
      <c r="R541" s="2" t="inlineStr"/>
    </row>
    <row r="542" ht="15" customHeight="1">
      <c r="A542" t="inlineStr">
        <is>
          <t>A 2001-2025</t>
        </is>
      </c>
      <c r="B542" s="1" t="n">
        <v>45672.44898148148</v>
      </c>
      <c r="C542" s="1" t="n">
        <v>46010</v>
      </c>
      <c r="D542" t="inlineStr">
        <is>
          <t>JÄMTLANDS LÄN</t>
        </is>
      </c>
      <c r="E542" t="inlineStr">
        <is>
          <t>RAGUNDA</t>
        </is>
      </c>
      <c r="F542" t="inlineStr">
        <is>
          <t>SCA</t>
        </is>
      </c>
      <c r="G542" t="n">
        <v>16.2</v>
      </c>
      <c r="H542" t="n">
        <v>0</v>
      </c>
      <c r="I542" t="n">
        <v>0</v>
      </c>
      <c r="J542" t="n">
        <v>0</v>
      </c>
      <c r="K542" t="n">
        <v>0</v>
      </c>
      <c r="L542" t="n">
        <v>0</v>
      </c>
      <c r="M542" t="n">
        <v>0</v>
      </c>
      <c r="N542" t="n">
        <v>0</v>
      </c>
      <c r="O542" t="n">
        <v>0</v>
      </c>
      <c r="P542" t="n">
        <v>0</v>
      </c>
      <c r="Q542" t="n">
        <v>0</v>
      </c>
      <c r="R542" s="2" t="inlineStr"/>
    </row>
    <row r="543" ht="15" customHeight="1">
      <c r="A543" t="inlineStr">
        <is>
          <t>A 6694-2024</t>
        </is>
      </c>
      <c r="B543" s="1" t="n">
        <v>45341.95381944445</v>
      </c>
      <c r="C543" s="1" t="n">
        <v>46010</v>
      </c>
      <c r="D543" t="inlineStr">
        <is>
          <t>JÄMTLANDS LÄN</t>
        </is>
      </c>
      <c r="E543" t="inlineStr">
        <is>
          <t>RAGUNDA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53762-2023</t>
        </is>
      </c>
      <c r="B544" s="1" t="n">
        <v>45230.96376157407</v>
      </c>
      <c r="C544" s="1" t="n">
        <v>46010</v>
      </c>
      <c r="D544" t="inlineStr">
        <is>
          <t>JÄMTLANDS LÄN</t>
        </is>
      </c>
      <c r="E544" t="inlineStr">
        <is>
          <t>RAGUNDA</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1537-2024</t>
        </is>
      </c>
      <c r="B545" s="1" t="n">
        <v>45306</v>
      </c>
      <c r="C545" s="1" t="n">
        <v>46010</v>
      </c>
      <c r="D545" t="inlineStr">
        <is>
          <t>JÄMTLANDS LÄN</t>
        </is>
      </c>
      <c r="E545" t="inlineStr">
        <is>
          <t>RAGUNDA</t>
        </is>
      </c>
      <c r="G545" t="n">
        <v>0.2</v>
      </c>
      <c r="H545" t="n">
        <v>0</v>
      </c>
      <c r="I545" t="n">
        <v>0</v>
      </c>
      <c r="J545" t="n">
        <v>0</v>
      </c>
      <c r="K545" t="n">
        <v>0</v>
      </c>
      <c r="L545" t="n">
        <v>0</v>
      </c>
      <c r="M545" t="n">
        <v>0</v>
      </c>
      <c r="N545" t="n">
        <v>0</v>
      </c>
      <c r="O545" t="n">
        <v>0</v>
      </c>
      <c r="P545" t="n">
        <v>0</v>
      </c>
      <c r="Q545" t="n">
        <v>0</v>
      </c>
      <c r="R545" s="2" t="inlineStr"/>
    </row>
    <row r="546" ht="15" customHeight="1">
      <c r="A546" t="inlineStr">
        <is>
          <t>A 41262-2025</t>
        </is>
      </c>
      <c r="B546" s="1" t="n">
        <v>45898.61502314815</v>
      </c>
      <c r="C546" s="1" t="n">
        <v>46010</v>
      </c>
      <c r="D546" t="inlineStr">
        <is>
          <t>JÄMTLANDS LÄN</t>
        </is>
      </c>
      <c r="E546" t="inlineStr">
        <is>
          <t>RAGUNDA</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60935-2024</t>
        </is>
      </c>
      <c r="B547" s="1" t="n">
        <v>45645.36740740741</v>
      </c>
      <c r="C547" s="1" t="n">
        <v>46010</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19089-2024</t>
        </is>
      </c>
      <c r="B548" s="1" t="n">
        <v>45428.00471064815</v>
      </c>
      <c r="C548" s="1" t="n">
        <v>46010</v>
      </c>
      <c r="D548" t="inlineStr">
        <is>
          <t>JÄMTLANDS LÄN</t>
        </is>
      </c>
      <c r="E548" t="inlineStr">
        <is>
          <t>RAGUNDA</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41423-2025</t>
        </is>
      </c>
      <c r="B549" s="1" t="n">
        <v>45901.38578703703</v>
      </c>
      <c r="C549" s="1" t="n">
        <v>46010</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6257-2025</t>
        </is>
      </c>
      <c r="B550" s="1" t="n">
        <v>45698.59409722222</v>
      </c>
      <c r="C550" s="1" t="n">
        <v>46010</v>
      </c>
      <c r="D550" t="inlineStr">
        <is>
          <t>JÄMTLANDS LÄN</t>
        </is>
      </c>
      <c r="E550" t="inlineStr">
        <is>
          <t>RAGUNDA</t>
        </is>
      </c>
      <c r="F550" t="inlineStr">
        <is>
          <t>SCA</t>
        </is>
      </c>
      <c r="G550" t="n">
        <v>7</v>
      </c>
      <c r="H550" t="n">
        <v>0</v>
      </c>
      <c r="I550" t="n">
        <v>0</v>
      </c>
      <c r="J550" t="n">
        <v>0</v>
      </c>
      <c r="K550" t="n">
        <v>0</v>
      </c>
      <c r="L550" t="n">
        <v>0</v>
      </c>
      <c r="M550" t="n">
        <v>0</v>
      </c>
      <c r="N550" t="n">
        <v>0</v>
      </c>
      <c r="O550" t="n">
        <v>0</v>
      </c>
      <c r="P550" t="n">
        <v>0</v>
      </c>
      <c r="Q550" t="n">
        <v>0</v>
      </c>
      <c r="R550" s="2" t="inlineStr"/>
    </row>
    <row r="551" ht="15" customHeight="1">
      <c r="A551" t="inlineStr">
        <is>
          <t>A 14074-2023</t>
        </is>
      </c>
      <c r="B551" s="1" t="n">
        <v>45009.089375</v>
      </c>
      <c r="C551" s="1" t="n">
        <v>46010</v>
      </c>
      <c r="D551" t="inlineStr">
        <is>
          <t>JÄMTLANDS LÄN</t>
        </is>
      </c>
      <c r="E551" t="inlineStr">
        <is>
          <t>RAGUNDA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37265-2024</t>
        </is>
      </c>
      <c r="B552" s="1" t="n">
        <v>45540.38564814815</v>
      </c>
      <c r="C552" s="1" t="n">
        <v>46010</v>
      </c>
      <c r="D552" t="inlineStr">
        <is>
          <t>JÄMTLANDS LÄN</t>
        </is>
      </c>
      <c r="E552" t="inlineStr">
        <is>
          <t>RAGUNDA</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27510-2025</t>
        </is>
      </c>
      <c r="B553" s="1" t="n">
        <v>45813.42790509259</v>
      </c>
      <c r="C553" s="1" t="n">
        <v>46010</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19404-2025</t>
        </is>
      </c>
      <c r="B554" s="1" t="n">
        <v>45769.67802083334</v>
      </c>
      <c r="C554" s="1" t="n">
        <v>46010</v>
      </c>
      <c r="D554" t="inlineStr">
        <is>
          <t>JÄMTLANDS LÄN</t>
        </is>
      </c>
      <c r="E554" t="inlineStr">
        <is>
          <t>RAGUNDA</t>
        </is>
      </c>
      <c r="F554" t="inlineStr">
        <is>
          <t>SCA</t>
        </is>
      </c>
      <c r="G554" t="n">
        <v>3</v>
      </c>
      <c r="H554" t="n">
        <v>0</v>
      </c>
      <c r="I554" t="n">
        <v>0</v>
      </c>
      <c r="J554" t="n">
        <v>0</v>
      </c>
      <c r="K554" t="n">
        <v>0</v>
      </c>
      <c r="L554" t="n">
        <v>0</v>
      </c>
      <c r="M554" t="n">
        <v>0</v>
      </c>
      <c r="N554" t="n">
        <v>0</v>
      </c>
      <c r="O554" t="n">
        <v>0</v>
      </c>
      <c r="P554" t="n">
        <v>0</v>
      </c>
      <c r="Q554" t="n">
        <v>0</v>
      </c>
      <c r="R554" s="2" t="inlineStr"/>
      <c r="U554">
        <f>HYPERLINK("https://klasma.github.io/Logging_2303/knärot/A 19404-2025 karta knärot.png", "A 19404-2025")</f>
        <v/>
      </c>
      <c r="V554">
        <f>HYPERLINK("https://klasma.github.io/Logging_2303/klagomål/A 19404-2025 FSC-klagomål.docx", "A 19404-2025")</f>
        <v/>
      </c>
      <c r="W554">
        <f>HYPERLINK("https://klasma.github.io/Logging_2303/klagomålsmail/A 19404-2025 FSC-klagomål mail.docx", "A 19404-2025")</f>
        <v/>
      </c>
      <c r="X554">
        <f>HYPERLINK("https://klasma.github.io/Logging_2303/tillsyn/A 19404-2025 tillsynsbegäran.docx", "A 19404-2025")</f>
        <v/>
      </c>
      <c r="Y554">
        <f>HYPERLINK("https://klasma.github.io/Logging_2303/tillsynsmail/A 19404-2025 tillsynsbegäran mail.docx", "A 19404-2025")</f>
        <v/>
      </c>
    </row>
    <row r="555" ht="15" customHeight="1">
      <c r="A555" t="inlineStr">
        <is>
          <t>A 41424-2025</t>
        </is>
      </c>
      <c r="B555" s="1" t="n">
        <v>45901.38584490741</v>
      </c>
      <c r="C555" s="1" t="n">
        <v>46010</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18777-2024</t>
        </is>
      </c>
      <c r="B556" s="1" t="n">
        <v>45426</v>
      </c>
      <c r="C556" s="1" t="n">
        <v>46010</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41140-2025</t>
        </is>
      </c>
      <c r="B557" s="1" t="n">
        <v>45898.49012731481</v>
      </c>
      <c r="C557" s="1" t="n">
        <v>46010</v>
      </c>
      <c r="D557" t="inlineStr">
        <is>
          <t>JÄMTLANDS LÄN</t>
        </is>
      </c>
      <c r="E557" t="inlineStr">
        <is>
          <t>RAGUNDA</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41422-2025</t>
        </is>
      </c>
      <c r="B558" s="1" t="n">
        <v>45901.38572916666</v>
      </c>
      <c r="C558" s="1" t="n">
        <v>46010</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41876-2025</t>
        </is>
      </c>
      <c r="B559" s="1" t="n">
        <v>45903.34555555556</v>
      </c>
      <c r="C559" s="1" t="n">
        <v>46010</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58564-2024</t>
        </is>
      </c>
      <c r="B560" s="1" t="n">
        <v>45635.47243055556</v>
      </c>
      <c r="C560" s="1" t="n">
        <v>46010</v>
      </c>
      <c r="D560" t="inlineStr">
        <is>
          <t>JÄMTLANDS LÄN</t>
        </is>
      </c>
      <c r="E560" t="inlineStr">
        <is>
          <t>RAGUNDA</t>
        </is>
      </c>
      <c r="G560" t="n">
        <v>2.6</v>
      </c>
      <c r="H560" t="n">
        <v>0</v>
      </c>
      <c r="I560" t="n">
        <v>0</v>
      </c>
      <c r="J560" t="n">
        <v>0</v>
      </c>
      <c r="K560" t="n">
        <v>0</v>
      </c>
      <c r="L560" t="n">
        <v>0</v>
      </c>
      <c r="M560" t="n">
        <v>0</v>
      </c>
      <c r="N560" t="n">
        <v>0</v>
      </c>
      <c r="O560" t="n">
        <v>0</v>
      </c>
      <c r="P560" t="n">
        <v>0</v>
      </c>
      <c r="Q560" t="n">
        <v>0</v>
      </c>
      <c r="R560" s="2" t="inlineStr"/>
    </row>
    <row r="561" ht="15" customHeight="1">
      <c r="A561" t="inlineStr">
        <is>
          <t>A 8243-2024</t>
        </is>
      </c>
      <c r="B561" s="1" t="n">
        <v>45351.98532407408</v>
      </c>
      <c r="C561" s="1" t="n">
        <v>46010</v>
      </c>
      <c r="D561" t="inlineStr">
        <is>
          <t>JÄMTLANDS LÄN</t>
        </is>
      </c>
      <c r="E561" t="inlineStr">
        <is>
          <t>RAGUNDA</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1325-2025</t>
        </is>
      </c>
      <c r="B562" s="1" t="n">
        <v>45667.57342592593</v>
      </c>
      <c r="C562" s="1" t="n">
        <v>46010</v>
      </c>
      <c r="D562" t="inlineStr">
        <is>
          <t>JÄMTLANDS LÄN</t>
        </is>
      </c>
      <c r="E562" t="inlineStr">
        <is>
          <t>RAGUNDA</t>
        </is>
      </c>
      <c r="F562" t="inlineStr">
        <is>
          <t>SCA</t>
        </is>
      </c>
      <c r="G562" t="n">
        <v>20.2</v>
      </c>
      <c r="H562" t="n">
        <v>0</v>
      </c>
      <c r="I562" t="n">
        <v>0</v>
      </c>
      <c r="J562" t="n">
        <v>0</v>
      </c>
      <c r="K562" t="n">
        <v>0</v>
      </c>
      <c r="L562" t="n">
        <v>0</v>
      </c>
      <c r="M562" t="n">
        <v>0</v>
      </c>
      <c r="N562" t="n">
        <v>0</v>
      </c>
      <c r="O562" t="n">
        <v>0</v>
      </c>
      <c r="P562" t="n">
        <v>0</v>
      </c>
      <c r="Q562" t="n">
        <v>0</v>
      </c>
      <c r="R562" s="2" t="inlineStr"/>
    </row>
    <row r="563" ht="15" customHeight="1">
      <c r="A563" t="inlineStr">
        <is>
          <t>A 18989-2025</t>
        </is>
      </c>
      <c r="B563" s="1" t="n">
        <v>45764</v>
      </c>
      <c r="C563" s="1" t="n">
        <v>46010</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18159-2023</t>
        </is>
      </c>
      <c r="B564" s="1" t="n">
        <v>45040.94277777777</v>
      </c>
      <c r="C564" s="1" t="n">
        <v>46010</v>
      </c>
      <c r="D564" t="inlineStr">
        <is>
          <t>JÄMTLANDS LÄN</t>
        </is>
      </c>
      <c r="E564" t="inlineStr">
        <is>
          <t>RAGUNDA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41656-2025</t>
        </is>
      </c>
      <c r="B565" s="1" t="n">
        <v>45902.34423611111</v>
      </c>
      <c r="C565" s="1" t="n">
        <v>46010</v>
      </c>
      <c r="D565" t="inlineStr">
        <is>
          <t>JÄMTLANDS LÄN</t>
        </is>
      </c>
      <c r="E565" t="inlineStr">
        <is>
          <t>RAGUNDA</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19486-2024</t>
        </is>
      </c>
      <c r="B566" s="1" t="n">
        <v>45429</v>
      </c>
      <c r="C566" s="1" t="n">
        <v>46010</v>
      </c>
      <c r="D566" t="inlineStr">
        <is>
          <t>JÄMTLANDS LÄN</t>
        </is>
      </c>
      <c r="E566" t="inlineStr">
        <is>
          <t>RAGUNDA</t>
        </is>
      </c>
      <c r="G566" t="n">
        <v>2.3</v>
      </c>
      <c r="H566" t="n">
        <v>0</v>
      </c>
      <c r="I566" t="n">
        <v>0</v>
      </c>
      <c r="J566" t="n">
        <v>0</v>
      </c>
      <c r="K566" t="n">
        <v>0</v>
      </c>
      <c r="L566" t="n">
        <v>0</v>
      </c>
      <c r="M566" t="n">
        <v>0</v>
      </c>
      <c r="N566" t="n">
        <v>0</v>
      </c>
      <c r="O566" t="n">
        <v>0</v>
      </c>
      <c r="P566" t="n">
        <v>0</v>
      </c>
      <c r="Q566" t="n">
        <v>0</v>
      </c>
      <c r="R566" s="2" t="inlineStr"/>
    </row>
    <row r="567" ht="15" customHeight="1">
      <c r="A567" t="inlineStr">
        <is>
          <t>A 1326-2025</t>
        </is>
      </c>
      <c r="B567" s="1" t="n">
        <v>45667.57347222222</v>
      </c>
      <c r="C567" s="1" t="n">
        <v>46010</v>
      </c>
      <c r="D567" t="inlineStr">
        <is>
          <t>JÄMTLANDS LÄN</t>
        </is>
      </c>
      <c r="E567" t="inlineStr">
        <is>
          <t>RAGUNDA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30642-2024</t>
        </is>
      </c>
      <c r="B568" s="1" t="n">
        <v>45495.57677083334</v>
      </c>
      <c r="C568" s="1" t="n">
        <v>46010</v>
      </c>
      <c r="D568" t="inlineStr">
        <is>
          <t>JÄMTLANDS LÄN</t>
        </is>
      </c>
      <c r="E568" t="inlineStr">
        <is>
          <t>RAGUNDA</t>
        </is>
      </c>
      <c r="G568" t="n">
        <v>2.7</v>
      </c>
      <c r="H568" t="n">
        <v>0</v>
      </c>
      <c r="I568" t="n">
        <v>0</v>
      </c>
      <c r="J568" t="n">
        <v>0</v>
      </c>
      <c r="K568" t="n">
        <v>0</v>
      </c>
      <c r="L568" t="n">
        <v>0</v>
      </c>
      <c r="M568" t="n">
        <v>0</v>
      </c>
      <c r="N568" t="n">
        <v>0</v>
      </c>
      <c r="O568" t="n">
        <v>0</v>
      </c>
      <c r="P568" t="n">
        <v>0</v>
      </c>
      <c r="Q568" t="n">
        <v>0</v>
      </c>
      <c r="R568" s="2" t="inlineStr"/>
    </row>
    <row r="569" ht="15" customHeight="1">
      <c r="A569" t="inlineStr">
        <is>
          <t>A 993-2025</t>
        </is>
      </c>
      <c r="B569" s="1" t="n">
        <v>45666.44943287037</v>
      </c>
      <c r="C569" s="1" t="n">
        <v>46010</v>
      </c>
      <c r="D569" t="inlineStr">
        <is>
          <t>JÄMTLANDS LÄN</t>
        </is>
      </c>
      <c r="E569" t="inlineStr">
        <is>
          <t>RAGUNDA</t>
        </is>
      </c>
      <c r="G569" t="n">
        <v>11.3</v>
      </c>
      <c r="H569" t="n">
        <v>0</v>
      </c>
      <c r="I569" t="n">
        <v>0</v>
      </c>
      <c r="J569" t="n">
        <v>0</v>
      </c>
      <c r="K569" t="n">
        <v>0</v>
      </c>
      <c r="L569" t="n">
        <v>0</v>
      </c>
      <c r="M569" t="n">
        <v>0</v>
      </c>
      <c r="N569" t="n">
        <v>0</v>
      </c>
      <c r="O569" t="n">
        <v>0</v>
      </c>
      <c r="P569" t="n">
        <v>0</v>
      </c>
      <c r="Q569" t="n">
        <v>0</v>
      </c>
      <c r="R569" s="2" t="inlineStr"/>
    </row>
    <row r="570" ht="15" customHeight="1">
      <c r="A570" t="inlineStr">
        <is>
          <t>A 58193-2022</t>
        </is>
      </c>
      <c r="B570" s="1" t="n">
        <v>44900.95700231481</v>
      </c>
      <c r="C570" s="1" t="n">
        <v>46010</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28637-2025</t>
        </is>
      </c>
      <c r="B571" s="1" t="n">
        <v>45819.6359375</v>
      </c>
      <c r="C571" s="1" t="n">
        <v>46010</v>
      </c>
      <c r="D571" t="inlineStr">
        <is>
          <t>JÄMTLANDS LÄN</t>
        </is>
      </c>
      <c r="E571" t="inlineStr">
        <is>
          <t>RAGUNDA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28081-2022</t>
        </is>
      </c>
      <c r="B572" s="1" t="n">
        <v>44746</v>
      </c>
      <c r="C572" s="1" t="n">
        <v>46010</v>
      </c>
      <c r="D572" t="inlineStr">
        <is>
          <t>JÄMTLANDS LÄN</t>
        </is>
      </c>
      <c r="E572" t="inlineStr">
        <is>
          <t>RAGUNDA</t>
        </is>
      </c>
      <c r="G572" t="n">
        <v>7.2</v>
      </c>
      <c r="H572" t="n">
        <v>0</v>
      </c>
      <c r="I572" t="n">
        <v>0</v>
      </c>
      <c r="J572" t="n">
        <v>0</v>
      </c>
      <c r="K572" t="n">
        <v>0</v>
      </c>
      <c r="L572" t="n">
        <v>0</v>
      </c>
      <c r="M572" t="n">
        <v>0</v>
      </c>
      <c r="N572" t="n">
        <v>0</v>
      </c>
      <c r="O572" t="n">
        <v>0</v>
      </c>
      <c r="P572" t="n">
        <v>0</v>
      </c>
      <c r="Q572" t="n">
        <v>0</v>
      </c>
      <c r="R572" s="2" t="inlineStr"/>
    </row>
    <row r="573" ht="15" customHeight="1">
      <c r="A573" t="inlineStr">
        <is>
          <t>A 28973-2025</t>
        </is>
      </c>
      <c r="B573" s="1" t="n">
        <v>45821.34513888889</v>
      </c>
      <c r="C573" s="1" t="n">
        <v>46010</v>
      </c>
      <c r="D573" t="inlineStr">
        <is>
          <t>JÄMTLANDS LÄN</t>
        </is>
      </c>
      <c r="E573" t="inlineStr">
        <is>
          <t>RAGUNDA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46010</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44759-2024</t>
        </is>
      </c>
      <c r="B575" s="1" t="n">
        <v>45574.61634259259</v>
      </c>
      <c r="C575" s="1" t="n">
        <v>46010</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29731-2025</t>
        </is>
      </c>
      <c r="B576" s="1" t="n">
        <v>45825.58252314815</v>
      </c>
      <c r="C576" s="1" t="n">
        <v>46010</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37324-2022</t>
        </is>
      </c>
      <c r="B577" s="1" t="n">
        <v>44806</v>
      </c>
      <c r="C577" s="1" t="n">
        <v>46010</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41343-2024</t>
        </is>
      </c>
      <c r="B578" s="1" t="n">
        <v>45559.67745370371</v>
      </c>
      <c r="C578" s="1" t="n">
        <v>46010</v>
      </c>
      <c r="D578" t="inlineStr">
        <is>
          <t>JÄMTLANDS LÄN</t>
        </is>
      </c>
      <c r="E578" t="inlineStr">
        <is>
          <t>RAGUNDA</t>
        </is>
      </c>
      <c r="F578" t="inlineStr">
        <is>
          <t>SCA</t>
        </is>
      </c>
      <c r="G578" t="n">
        <v>25.1</v>
      </c>
      <c r="H578" t="n">
        <v>0</v>
      </c>
      <c r="I578" t="n">
        <v>0</v>
      </c>
      <c r="J578" t="n">
        <v>0</v>
      </c>
      <c r="K578" t="n">
        <v>0</v>
      </c>
      <c r="L578" t="n">
        <v>0</v>
      </c>
      <c r="M578" t="n">
        <v>0</v>
      </c>
      <c r="N578" t="n">
        <v>0</v>
      </c>
      <c r="O578" t="n">
        <v>0</v>
      </c>
      <c r="P578" t="n">
        <v>0</v>
      </c>
      <c r="Q578" t="n">
        <v>0</v>
      </c>
      <c r="R578" s="2" t="inlineStr"/>
    </row>
    <row r="579" ht="15" customHeight="1">
      <c r="A579" t="inlineStr">
        <is>
          <t>A 45953-2023</t>
        </is>
      </c>
      <c r="B579" s="1" t="n">
        <v>45195.94672453704</v>
      </c>
      <c r="C579" s="1" t="n">
        <v>46010</v>
      </c>
      <c r="D579" t="inlineStr">
        <is>
          <t>JÄMTLANDS LÄN</t>
        </is>
      </c>
      <c r="E579" t="inlineStr">
        <is>
          <t>RAGUNDA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16982-2024</t>
        </is>
      </c>
      <c r="B580" s="1" t="n">
        <v>45412.02506944445</v>
      </c>
      <c r="C580" s="1" t="n">
        <v>46010</v>
      </c>
      <c r="D580" t="inlineStr">
        <is>
          <t>JÄMTLANDS LÄN</t>
        </is>
      </c>
      <c r="E580" t="inlineStr">
        <is>
          <t>RAGUNDA</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29723-2025</t>
        </is>
      </c>
      <c r="B581" s="1" t="n">
        <v>45825.57675925926</v>
      </c>
      <c r="C581" s="1" t="n">
        <v>46010</v>
      </c>
      <c r="D581" t="inlineStr">
        <is>
          <t>JÄMTLANDS LÄN</t>
        </is>
      </c>
      <c r="E581" t="inlineStr">
        <is>
          <t>RAGUNDA</t>
        </is>
      </c>
      <c r="G581" t="n">
        <v>3.1</v>
      </c>
      <c r="H581" t="n">
        <v>0</v>
      </c>
      <c r="I581" t="n">
        <v>0</v>
      </c>
      <c r="J581" t="n">
        <v>0</v>
      </c>
      <c r="K581" t="n">
        <v>0</v>
      </c>
      <c r="L581" t="n">
        <v>0</v>
      </c>
      <c r="M581" t="n">
        <v>0</v>
      </c>
      <c r="N581" t="n">
        <v>0</v>
      </c>
      <c r="O581" t="n">
        <v>0</v>
      </c>
      <c r="P581" t="n">
        <v>0</v>
      </c>
      <c r="Q581" t="n">
        <v>0</v>
      </c>
      <c r="R581" s="2" t="inlineStr"/>
    </row>
    <row r="582" ht="15" customHeight="1">
      <c r="A582" t="inlineStr">
        <is>
          <t>A 49650-2024</t>
        </is>
      </c>
      <c r="B582" s="1" t="n">
        <v>45596.61569444444</v>
      </c>
      <c r="C582" s="1" t="n">
        <v>46010</v>
      </c>
      <c r="D582" t="inlineStr">
        <is>
          <t>JÄMTLANDS LÄN</t>
        </is>
      </c>
      <c r="E582" t="inlineStr">
        <is>
          <t>RAGUNDA</t>
        </is>
      </c>
      <c r="F582" t="inlineStr">
        <is>
          <t>Naturvårdsverket</t>
        </is>
      </c>
      <c r="G582" t="n">
        <v>3</v>
      </c>
      <c r="H582" t="n">
        <v>0</v>
      </c>
      <c r="I582" t="n">
        <v>0</v>
      </c>
      <c r="J582" t="n">
        <v>0</v>
      </c>
      <c r="K582" t="n">
        <v>0</v>
      </c>
      <c r="L582" t="n">
        <v>0</v>
      </c>
      <c r="M582" t="n">
        <v>0</v>
      </c>
      <c r="N582" t="n">
        <v>0</v>
      </c>
      <c r="O582" t="n">
        <v>0</v>
      </c>
      <c r="P582" t="n">
        <v>0</v>
      </c>
      <c r="Q582" t="n">
        <v>0</v>
      </c>
      <c r="R582" s="2" t="inlineStr"/>
    </row>
    <row r="583" ht="15" customHeight="1">
      <c r="A583" t="inlineStr">
        <is>
          <t>A 49651-2024</t>
        </is>
      </c>
      <c r="B583" s="1" t="n">
        <v>45596.61582175926</v>
      </c>
      <c r="C583" s="1" t="n">
        <v>46010</v>
      </c>
      <c r="D583" t="inlineStr">
        <is>
          <t>JÄMTLANDS LÄN</t>
        </is>
      </c>
      <c r="E583" t="inlineStr">
        <is>
          <t>RAGUNDA</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42269-2025</t>
        </is>
      </c>
      <c r="B584" s="1" t="n">
        <v>45904.60431712963</v>
      </c>
      <c r="C584" s="1" t="n">
        <v>46010</v>
      </c>
      <c r="D584" t="inlineStr">
        <is>
          <t>JÄMTLANDS LÄN</t>
        </is>
      </c>
      <c r="E584" t="inlineStr">
        <is>
          <t>RAGUNDA</t>
        </is>
      </c>
      <c r="G584" t="n">
        <v>4.3</v>
      </c>
      <c r="H584" t="n">
        <v>0</v>
      </c>
      <c r="I584" t="n">
        <v>0</v>
      </c>
      <c r="J584" t="n">
        <v>0</v>
      </c>
      <c r="K584" t="n">
        <v>0</v>
      </c>
      <c r="L584" t="n">
        <v>0</v>
      </c>
      <c r="M584" t="n">
        <v>0</v>
      </c>
      <c r="N584" t="n">
        <v>0</v>
      </c>
      <c r="O584" t="n">
        <v>0</v>
      </c>
      <c r="P584" t="n">
        <v>0</v>
      </c>
      <c r="Q584" t="n">
        <v>0</v>
      </c>
      <c r="R584" s="2" t="inlineStr"/>
    </row>
    <row r="585" ht="15" customHeight="1">
      <c r="A585" t="inlineStr">
        <is>
          <t>A 30088-2025</t>
        </is>
      </c>
      <c r="B585" s="1" t="n">
        <v>45826.65759259259</v>
      </c>
      <c r="C585" s="1" t="n">
        <v>46010</v>
      </c>
      <c r="D585" t="inlineStr">
        <is>
          <t>JÄMTLANDS LÄN</t>
        </is>
      </c>
      <c r="E585" t="inlineStr">
        <is>
          <t>RAGUNDA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30348-2025</t>
        </is>
      </c>
      <c r="B586" s="1" t="n">
        <v>45827.53178240741</v>
      </c>
      <c r="C586" s="1" t="n">
        <v>46010</v>
      </c>
      <c r="D586" t="inlineStr">
        <is>
          <t>JÄMTLANDS LÄN</t>
        </is>
      </c>
      <c r="E586" t="inlineStr">
        <is>
          <t>RAGUNDA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64264-2023</t>
        </is>
      </c>
      <c r="B587" s="1" t="n">
        <v>45279.94564814815</v>
      </c>
      <c r="C587" s="1" t="n">
        <v>46010</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30434-2025</t>
        </is>
      </c>
      <c r="B588" s="1" t="n">
        <v>45827.63582175926</v>
      </c>
      <c r="C588" s="1" t="n">
        <v>46010</v>
      </c>
      <c r="D588" t="inlineStr">
        <is>
          <t>JÄMTLANDS LÄN</t>
        </is>
      </c>
      <c r="E588" t="inlineStr">
        <is>
          <t>RAGUNDA</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42893-2022</t>
        </is>
      </c>
      <c r="B589" s="1" t="n">
        <v>44832</v>
      </c>
      <c r="C589" s="1" t="n">
        <v>46010</v>
      </c>
      <c r="D589" t="inlineStr">
        <is>
          <t>JÄMTLANDS LÄN</t>
        </is>
      </c>
      <c r="E589" t="inlineStr">
        <is>
          <t>RAGUNDA</t>
        </is>
      </c>
      <c r="F589" t="inlineStr">
        <is>
          <t>SCA</t>
        </is>
      </c>
      <c r="G589" t="n">
        <v>28.4</v>
      </c>
      <c r="H589" t="n">
        <v>0</v>
      </c>
      <c r="I589" t="n">
        <v>0</v>
      </c>
      <c r="J589" t="n">
        <v>0</v>
      </c>
      <c r="K589" t="n">
        <v>0</v>
      </c>
      <c r="L589" t="n">
        <v>0</v>
      </c>
      <c r="M589" t="n">
        <v>0</v>
      </c>
      <c r="N589" t="n">
        <v>0</v>
      </c>
      <c r="O589" t="n">
        <v>0</v>
      </c>
      <c r="P589" t="n">
        <v>0</v>
      </c>
      <c r="Q589" t="n">
        <v>0</v>
      </c>
      <c r="R589" s="2" t="inlineStr"/>
    </row>
    <row r="590" ht="15" customHeight="1">
      <c r="A590" t="inlineStr">
        <is>
          <t>A 33763-2025</t>
        </is>
      </c>
      <c r="B590" s="1" t="n">
        <v>45842.38579861111</v>
      </c>
      <c r="C590" s="1" t="n">
        <v>46010</v>
      </c>
      <c r="D590" t="inlineStr">
        <is>
          <t>JÄMTLANDS LÄN</t>
        </is>
      </c>
      <c r="E590" t="inlineStr">
        <is>
          <t>RAGUNDA</t>
        </is>
      </c>
      <c r="F590" t="inlineStr">
        <is>
          <t>SCA</t>
        </is>
      </c>
      <c r="G590" t="n">
        <v>13.4</v>
      </c>
      <c r="H590" t="n">
        <v>0</v>
      </c>
      <c r="I590" t="n">
        <v>0</v>
      </c>
      <c r="J590" t="n">
        <v>0</v>
      </c>
      <c r="K590" t="n">
        <v>0</v>
      </c>
      <c r="L590" t="n">
        <v>0</v>
      </c>
      <c r="M590" t="n">
        <v>0</v>
      </c>
      <c r="N590" t="n">
        <v>0</v>
      </c>
      <c r="O590" t="n">
        <v>0</v>
      </c>
      <c r="P590" t="n">
        <v>0</v>
      </c>
      <c r="Q590" t="n">
        <v>0</v>
      </c>
      <c r="R590" s="2" t="inlineStr"/>
    </row>
    <row r="591" ht="15" customHeight="1">
      <c r="A591" t="inlineStr">
        <is>
          <t>A 31463-2024</t>
        </is>
      </c>
      <c r="B591" s="1" t="n">
        <v>45505</v>
      </c>
      <c r="C591" s="1" t="n">
        <v>46010</v>
      </c>
      <c r="D591" t="inlineStr">
        <is>
          <t>JÄMTLANDS LÄN</t>
        </is>
      </c>
      <c r="E591" t="inlineStr">
        <is>
          <t>RAGUNDA</t>
        </is>
      </c>
      <c r="F591" t="inlineStr">
        <is>
          <t>SCA</t>
        </is>
      </c>
      <c r="G591" t="n">
        <v>20.3</v>
      </c>
      <c r="H591" t="n">
        <v>0</v>
      </c>
      <c r="I591" t="n">
        <v>0</v>
      </c>
      <c r="J591" t="n">
        <v>0</v>
      </c>
      <c r="K591" t="n">
        <v>0</v>
      </c>
      <c r="L591" t="n">
        <v>0</v>
      </c>
      <c r="M591" t="n">
        <v>0</v>
      </c>
      <c r="N591" t="n">
        <v>0</v>
      </c>
      <c r="O591" t="n">
        <v>0</v>
      </c>
      <c r="P591" t="n">
        <v>0</v>
      </c>
      <c r="Q591" t="n">
        <v>0</v>
      </c>
      <c r="R591" s="2" t="inlineStr"/>
    </row>
    <row r="592" ht="15" customHeight="1">
      <c r="A592" t="inlineStr">
        <is>
          <t>A 29940-2023</t>
        </is>
      </c>
      <c r="B592" s="1" t="n">
        <v>45107</v>
      </c>
      <c r="C592" s="1" t="n">
        <v>46010</v>
      </c>
      <c r="D592" t="inlineStr">
        <is>
          <t>JÄMTLANDS LÄN</t>
        </is>
      </c>
      <c r="E592" t="inlineStr">
        <is>
          <t>RAGUNDA</t>
        </is>
      </c>
      <c r="G592" t="n">
        <v>13.5</v>
      </c>
      <c r="H592" t="n">
        <v>0</v>
      </c>
      <c r="I592" t="n">
        <v>0</v>
      </c>
      <c r="J592" t="n">
        <v>0</v>
      </c>
      <c r="K592" t="n">
        <v>0</v>
      </c>
      <c r="L592" t="n">
        <v>0</v>
      </c>
      <c r="M592" t="n">
        <v>0</v>
      </c>
      <c r="N592" t="n">
        <v>0</v>
      </c>
      <c r="O592" t="n">
        <v>0</v>
      </c>
      <c r="P592" t="n">
        <v>0</v>
      </c>
      <c r="Q592" t="n">
        <v>0</v>
      </c>
      <c r="R592" s="2" t="inlineStr"/>
    </row>
    <row r="593" ht="15" customHeight="1">
      <c r="A593" t="inlineStr">
        <is>
          <t>A 30887-2025</t>
        </is>
      </c>
      <c r="B593" s="1" t="n">
        <v>45832.3459375</v>
      </c>
      <c r="C593" s="1" t="n">
        <v>46010</v>
      </c>
      <c r="D593" t="inlineStr">
        <is>
          <t>JÄMTLANDS LÄN</t>
        </is>
      </c>
      <c r="E593" t="inlineStr">
        <is>
          <t>RAGUNDA</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30883-2025</t>
        </is>
      </c>
      <c r="B594" s="1" t="n">
        <v>45832.34552083333</v>
      </c>
      <c r="C594" s="1" t="n">
        <v>46010</v>
      </c>
      <c r="D594" t="inlineStr">
        <is>
          <t>JÄMTLANDS LÄN</t>
        </is>
      </c>
      <c r="E594" t="inlineStr">
        <is>
          <t>RAGUNDA</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43177-2025</t>
        </is>
      </c>
      <c r="B595" s="1" t="n">
        <v>45910.40667824074</v>
      </c>
      <c r="C595" s="1" t="n">
        <v>46010</v>
      </c>
      <c r="D595" t="inlineStr">
        <is>
          <t>JÄMTLANDS LÄN</t>
        </is>
      </c>
      <c r="E595" t="inlineStr">
        <is>
          <t>RAGUNDA</t>
        </is>
      </c>
      <c r="F595" t="inlineStr">
        <is>
          <t>SCA</t>
        </is>
      </c>
      <c r="G595" t="n">
        <v>4.9</v>
      </c>
      <c r="H595" t="n">
        <v>0</v>
      </c>
      <c r="I595" t="n">
        <v>0</v>
      </c>
      <c r="J595" t="n">
        <v>0</v>
      </c>
      <c r="K595" t="n">
        <v>0</v>
      </c>
      <c r="L595" t="n">
        <v>0</v>
      </c>
      <c r="M595" t="n">
        <v>0</v>
      </c>
      <c r="N595" t="n">
        <v>0</v>
      </c>
      <c r="O595" t="n">
        <v>0</v>
      </c>
      <c r="P595" t="n">
        <v>0</v>
      </c>
      <c r="Q595" t="n">
        <v>0</v>
      </c>
      <c r="R595" s="2" t="inlineStr"/>
    </row>
    <row r="596" ht="15" customHeight="1">
      <c r="A596" t="inlineStr">
        <is>
          <t>A 23303-2024</t>
        </is>
      </c>
      <c r="B596" s="1" t="n">
        <v>45453.4444212963</v>
      </c>
      <c r="C596" s="1" t="n">
        <v>46010</v>
      </c>
      <c r="D596" t="inlineStr">
        <is>
          <t>JÄMTLANDS LÄN</t>
        </is>
      </c>
      <c r="E596" t="inlineStr">
        <is>
          <t>RAGUNDA</t>
        </is>
      </c>
      <c r="G596" t="n">
        <v>0.7</v>
      </c>
      <c r="H596" t="n">
        <v>0</v>
      </c>
      <c r="I596" t="n">
        <v>0</v>
      </c>
      <c r="J596" t="n">
        <v>0</v>
      </c>
      <c r="K596" t="n">
        <v>0</v>
      </c>
      <c r="L596" t="n">
        <v>0</v>
      </c>
      <c r="M596" t="n">
        <v>0</v>
      </c>
      <c r="N596" t="n">
        <v>0</v>
      </c>
      <c r="O596" t="n">
        <v>0</v>
      </c>
      <c r="P596" t="n">
        <v>0</v>
      </c>
      <c r="Q596" t="n">
        <v>0</v>
      </c>
      <c r="R596" s="2" t="inlineStr"/>
    </row>
    <row r="597" ht="15" customHeight="1">
      <c r="A597" t="inlineStr">
        <is>
          <t>A 179-2025</t>
        </is>
      </c>
      <c r="B597" s="1" t="n">
        <v>45659.69822916666</v>
      </c>
      <c r="C597" s="1" t="n">
        <v>46010</v>
      </c>
      <c r="D597" t="inlineStr">
        <is>
          <t>JÄMTLANDS LÄN</t>
        </is>
      </c>
      <c r="E597" t="inlineStr">
        <is>
          <t>RAGUNDA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43181-2025</t>
        </is>
      </c>
      <c r="B598" s="1" t="n">
        <v>45910.40721064815</v>
      </c>
      <c r="C598" s="1" t="n">
        <v>46010</v>
      </c>
      <c r="D598" t="inlineStr">
        <is>
          <t>JÄMTLANDS LÄN</t>
        </is>
      </c>
      <c r="E598" t="inlineStr">
        <is>
          <t>RAGUNDA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22412-2024</t>
        </is>
      </c>
      <c r="B599" s="1" t="n">
        <v>45446.68947916666</v>
      </c>
      <c r="C599" s="1" t="n">
        <v>46010</v>
      </c>
      <c r="D599" t="inlineStr">
        <is>
          <t>JÄMTLANDS LÄN</t>
        </is>
      </c>
      <c r="E599" t="inlineStr">
        <is>
          <t>RAGUNDA</t>
        </is>
      </c>
      <c r="G599" t="n">
        <v>0.8</v>
      </c>
      <c r="H599" t="n">
        <v>0</v>
      </c>
      <c r="I599" t="n">
        <v>0</v>
      </c>
      <c r="J599" t="n">
        <v>0</v>
      </c>
      <c r="K599" t="n">
        <v>0</v>
      </c>
      <c r="L599" t="n">
        <v>0</v>
      </c>
      <c r="M599" t="n">
        <v>0</v>
      </c>
      <c r="N599" t="n">
        <v>0</v>
      </c>
      <c r="O599" t="n">
        <v>0</v>
      </c>
      <c r="P599" t="n">
        <v>0</v>
      </c>
      <c r="Q599" t="n">
        <v>0</v>
      </c>
      <c r="R599" s="2" t="inlineStr"/>
    </row>
    <row r="600" ht="15" customHeight="1">
      <c r="A600" t="inlineStr">
        <is>
          <t>A 13334-2024</t>
        </is>
      </c>
      <c r="B600" s="1" t="n">
        <v>45386</v>
      </c>
      <c r="C600" s="1" t="n">
        <v>46010</v>
      </c>
      <c r="D600" t="inlineStr">
        <is>
          <t>JÄMTLANDS LÄN</t>
        </is>
      </c>
      <c r="E600" t="inlineStr">
        <is>
          <t>RAGUNDA</t>
        </is>
      </c>
      <c r="G600" t="n">
        <v>8.6</v>
      </c>
      <c r="H600" t="n">
        <v>0</v>
      </c>
      <c r="I600" t="n">
        <v>0</v>
      </c>
      <c r="J600" t="n">
        <v>0</v>
      </c>
      <c r="K600" t="n">
        <v>0</v>
      </c>
      <c r="L600" t="n">
        <v>0</v>
      </c>
      <c r="M600" t="n">
        <v>0</v>
      </c>
      <c r="N600" t="n">
        <v>0</v>
      </c>
      <c r="O600" t="n">
        <v>0</v>
      </c>
      <c r="P600" t="n">
        <v>0</v>
      </c>
      <c r="Q600" t="n">
        <v>0</v>
      </c>
      <c r="R600" s="2" t="inlineStr"/>
    </row>
    <row r="601" ht="15" customHeight="1">
      <c r="A601" t="inlineStr">
        <is>
          <t>A 30880-2025</t>
        </is>
      </c>
      <c r="B601" s="1" t="n">
        <v>45832.34524305556</v>
      </c>
      <c r="C601" s="1" t="n">
        <v>46010</v>
      </c>
      <c r="D601" t="inlineStr">
        <is>
          <t>JÄMTLANDS LÄN</t>
        </is>
      </c>
      <c r="E601" t="inlineStr">
        <is>
          <t>RAGUNDA</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60443-2023</t>
        </is>
      </c>
      <c r="B602" s="1" t="n">
        <v>45258</v>
      </c>
      <c r="C602" s="1" t="n">
        <v>46010</v>
      </c>
      <c r="D602" t="inlineStr">
        <is>
          <t>JÄMTLANDS LÄN</t>
        </is>
      </c>
      <c r="E602" t="inlineStr">
        <is>
          <t>RAGUNDA</t>
        </is>
      </c>
      <c r="G602" t="n">
        <v>2.9</v>
      </c>
      <c r="H602" t="n">
        <v>0</v>
      </c>
      <c r="I602" t="n">
        <v>0</v>
      </c>
      <c r="J602" t="n">
        <v>0</v>
      </c>
      <c r="K602" t="n">
        <v>0</v>
      </c>
      <c r="L602" t="n">
        <v>0</v>
      </c>
      <c r="M602" t="n">
        <v>0</v>
      </c>
      <c r="N602" t="n">
        <v>0</v>
      </c>
      <c r="O602" t="n">
        <v>0</v>
      </c>
      <c r="P602" t="n">
        <v>0</v>
      </c>
      <c r="Q602" t="n">
        <v>0</v>
      </c>
      <c r="R602" s="2" t="inlineStr"/>
    </row>
    <row r="603" ht="15" customHeight="1">
      <c r="A603" t="inlineStr">
        <is>
          <t>A 43330-2025</t>
        </is>
      </c>
      <c r="B603" s="1" t="n">
        <v>45910.67766203704</v>
      </c>
      <c r="C603" s="1" t="n">
        <v>46010</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21726-2023</t>
        </is>
      </c>
      <c r="B604" s="1" t="n">
        <v>45065.42894675926</v>
      </c>
      <c r="C604" s="1" t="n">
        <v>46010</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32096-2025</t>
        </is>
      </c>
      <c r="B605" s="1" t="n">
        <v>45835.46334490741</v>
      </c>
      <c r="C605" s="1" t="n">
        <v>46010</v>
      </c>
      <c r="D605" t="inlineStr">
        <is>
          <t>JÄMTLANDS LÄN</t>
        </is>
      </c>
      <c r="E605" t="inlineStr">
        <is>
          <t>RAGUNDA</t>
        </is>
      </c>
      <c r="G605" t="n">
        <v>0.9</v>
      </c>
      <c r="H605" t="n">
        <v>0</v>
      </c>
      <c r="I605" t="n">
        <v>0</v>
      </c>
      <c r="J605" t="n">
        <v>0</v>
      </c>
      <c r="K605" t="n">
        <v>0</v>
      </c>
      <c r="L605" t="n">
        <v>0</v>
      </c>
      <c r="M605" t="n">
        <v>0</v>
      </c>
      <c r="N605" t="n">
        <v>0</v>
      </c>
      <c r="O605" t="n">
        <v>0</v>
      </c>
      <c r="P605" t="n">
        <v>0</v>
      </c>
      <c r="Q605" t="n">
        <v>0</v>
      </c>
      <c r="R605" s="2" t="inlineStr"/>
    </row>
    <row r="606" ht="15" customHeight="1">
      <c r="A606" t="inlineStr">
        <is>
          <t>A 32151-2025</t>
        </is>
      </c>
      <c r="B606" s="1" t="n">
        <v>45835.53166666667</v>
      </c>
      <c r="C606" s="1" t="n">
        <v>46010</v>
      </c>
      <c r="D606" t="inlineStr">
        <is>
          <t>JÄMTLANDS LÄN</t>
        </is>
      </c>
      <c r="E606" t="inlineStr">
        <is>
          <t>RAGUNDA</t>
        </is>
      </c>
      <c r="F606" t="inlineStr">
        <is>
          <t>SCA</t>
        </is>
      </c>
      <c r="G606" t="n">
        <v>12.3</v>
      </c>
      <c r="H606" t="n">
        <v>0</v>
      </c>
      <c r="I606" t="n">
        <v>0</v>
      </c>
      <c r="J606" t="n">
        <v>0</v>
      </c>
      <c r="K606" t="n">
        <v>0</v>
      </c>
      <c r="L606" t="n">
        <v>0</v>
      </c>
      <c r="M606" t="n">
        <v>0</v>
      </c>
      <c r="N606" t="n">
        <v>0</v>
      </c>
      <c r="O606" t="n">
        <v>0</v>
      </c>
      <c r="P606" t="n">
        <v>0</v>
      </c>
      <c r="Q606" t="n">
        <v>0</v>
      </c>
      <c r="R606" s="2" t="inlineStr"/>
    </row>
    <row r="607" ht="15" customHeight="1">
      <c r="A607" t="inlineStr">
        <is>
          <t>A 45952-2023</t>
        </is>
      </c>
      <c r="B607" s="1" t="n">
        <v>45195</v>
      </c>
      <c r="C607" s="1" t="n">
        <v>46010</v>
      </c>
      <c r="D607" t="inlineStr">
        <is>
          <t>JÄMTLANDS LÄN</t>
        </is>
      </c>
      <c r="E607" t="inlineStr">
        <is>
          <t>RAGUNDA</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45954-2023</t>
        </is>
      </c>
      <c r="B608" s="1" t="n">
        <v>45195.94679398148</v>
      </c>
      <c r="C608" s="1" t="n">
        <v>46010</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45955-2023</t>
        </is>
      </c>
      <c r="B609" s="1" t="n">
        <v>45195.94685185186</v>
      </c>
      <c r="C609" s="1" t="n">
        <v>46010</v>
      </c>
      <c r="D609" t="inlineStr">
        <is>
          <t>JÄMTLANDS LÄN</t>
        </is>
      </c>
      <c r="E609" t="inlineStr">
        <is>
          <t>RAGUNDA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32306-2025</t>
        </is>
      </c>
      <c r="B610" s="1" t="n">
        <v>45835.72046296296</v>
      </c>
      <c r="C610" s="1" t="n">
        <v>46010</v>
      </c>
      <c r="D610" t="inlineStr">
        <is>
          <t>JÄMTLANDS LÄN</t>
        </is>
      </c>
      <c r="E610" t="inlineStr">
        <is>
          <t>RAGUNDA</t>
        </is>
      </c>
      <c r="G610" t="n">
        <v>10.2</v>
      </c>
      <c r="H610" t="n">
        <v>0</v>
      </c>
      <c r="I610" t="n">
        <v>0</v>
      </c>
      <c r="J610" t="n">
        <v>0</v>
      </c>
      <c r="K610" t="n">
        <v>0</v>
      </c>
      <c r="L610" t="n">
        <v>0</v>
      </c>
      <c r="M610" t="n">
        <v>0</v>
      </c>
      <c r="N610" t="n">
        <v>0</v>
      </c>
      <c r="O610" t="n">
        <v>0</v>
      </c>
      <c r="P610" t="n">
        <v>0</v>
      </c>
      <c r="Q610" t="n">
        <v>0</v>
      </c>
      <c r="R610" s="2" t="inlineStr"/>
    </row>
    <row r="611" ht="15" customHeight="1">
      <c r="A611" t="inlineStr">
        <is>
          <t>A 32021-2025</t>
        </is>
      </c>
      <c r="B611" s="1" t="n">
        <v>45835.40668981482</v>
      </c>
      <c r="C611" s="1" t="n">
        <v>46010</v>
      </c>
      <c r="D611" t="inlineStr">
        <is>
          <t>JÄMTLANDS LÄN</t>
        </is>
      </c>
      <c r="E611" t="inlineStr">
        <is>
          <t>RAGUNDA</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31882-2025</t>
        </is>
      </c>
      <c r="B612" s="1" t="n">
        <v>45834.65662037037</v>
      </c>
      <c r="C612" s="1" t="n">
        <v>46010</v>
      </c>
      <c r="D612" t="inlineStr">
        <is>
          <t>JÄMTLANDS LÄN</t>
        </is>
      </c>
      <c r="E612" t="inlineStr">
        <is>
          <t>RAGUNDA</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60456-2023</t>
        </is>
      </c>
      <c r="B613" s="1" t="n">
        <v>45258</v>
      </c>
      <c r="C613" s="1" t="n">
        <v>46010</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16334-2025</t>
        </is>
      </c>
      <c r="B614" s="1" t="n">
        <v>45751.36490740741</v>
      </c>
      <c r="C614" s="1" t="n">
        <v>46010</v>
      </c>
      <c r="D614" t="inlineStr">
        <is>
          <t>JÄMTLANDS LÄN</t>
        </is>
      </c>
      <c r="E614" t="inlineStr">
        <is>
          <t>RAGUNDA</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58438-2022</t>
        </is>
      </c>
      <c r="B615" s="1" t="n">
        <v>44901</v>
      </c>
      <c r="C615" s="1" t="n">
        <v>46010</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58442-2022</t>
        </is>
      </c>
      <c r="B616" s="1" t="n">
        <v>44901</v>
      </c>
      <c r="C616" s="1" t="n">
        <v>46010</v>
      </c>
      <c r="D616" t="inlineStr">
        <is>
          <t>JÄMTLANDS LÄN</t>
        </is>
      </c>
      <c r="E616" t="inlineStr">
        <is>
          <t>RAGUNDA</t>
        </is>
      </c>
      <c r="F616" t="inlineStr">
        <is>
          <t>SCA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5806-2025</t>
        </is>
      </c>
      <c r="B617" s="1" t="n">
        <v>45694.69826388889</v>
      </c>
      <c r="C617" s="1" t="n">
        <v>46010</v>
      </c>
      <c r="D617" t="inlineStr">
        <is>
          <t>JÄMTLANDS LÄN</t>
        </is>
      </c>
      <c r="E617" t="inlineStr">
        <is>
          <t>RAGUNDA</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41179-2022</t>
        </is>
      </c>
      <c r="B618" s="1" t="n">
        <v>44825</v>
      </c>
      <c r="C618" s="1" t="n">
        <v>46010</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32796-2025</t>
        </is>
      </c>
      <c r="B619" s="1" t="n">
        <v>45839.49082175926</v>
      </c>
      <c r="C619" s="1" t="n">
        <v>46010</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32655-2025</t>
        </is>
      </c>
      <c r="B620" s="1" t="n">
        <v>45838.67800925926</v>
      </c>
      <c r="C620" s="1" t="n">
        <v>46010</v>
      </c>
      <c r="D620" t="inlineStr">
        <is>
          <t>JÄMTLANDS LÄN</t>
        </is>
      </c>
      <c r="E620" t="inlineStr">
        <is>
          <t>RAGUNDA</t>
        </is>
      </c>
      <c r="G620" t="n">
        <v>2.8</v>
      </c>
      <c r="H620" t="n">
        <v>0</v>
      </c>
      <c r="I620" t="n">
        <v>0</v>
      </c>
      <c r="J620" t="n">
        <v>0</v>
      </c>
      <c r="K620" t="n">
        <v>0</v>
      </c>
      <c r="L620" t="n">
        <v>0</v>
      </c>
      <c r="M620" t="n">
        <v>0</v>
      </c>
      <c r="N620" t="n">
        <v>0</v>
      </c>
      <c r="O620" t="n">
        <v>0</v>
      </c>
      <c r="P620" t="n">
        <v>0</v>
      </c>
      <c r="Q620" t="n">
        <v>0</v>
      </c>
      <c r="R620" s="2" t="inlineStr"/>
    </row>
    <row r="621" ht="15" customHeight="1">
      <c r="A621" t="inlineStr">
        <is>
          <t>A 32751-2025</t>
        </is>
      </c>
      <c r="B621" s="1" t="n">
        <v>45839.42864583333</v>
      </c>
      <c r="C621" s="1" t="n">
        <v>46010</v>
      </c>
      <c r="D621" t="inlineStr">
        <is>
          <t>JÄMTLANDS LÄN</t>
        </is>
      </c>
      <c r="E621" t="inlineStr">
        <is>
          <t>RAGUNDA</t>
        </is>
      </c>
      <c r="F621" t="inlineStr">
        <is>
          <t>SCA</t>
        </is>
      </c>
      <c r="G621" t="n">
        <v>10</v>
      </c>
      <c r="H621" t="n">
        <v>0</v>
      </c>
      <c r="I621" t="n">
        <v>0</v>
      </c>
      <c r="J621" t="n">
        <v>0</v>
      </c>
      <c r="K621" t="n">
        <v>0</v>
      </c>
      <c r="L621" t="n">
        <v>0</v>
      </c>
      <c r="M621" t="n">
        <v>0</v>
      </c>
      <c r="N621" t="n">
        <v>0</v>
      </c>
      <c r="O621" t="n">
        <v>0</v>
      </c>
      <c r="P621" t="n">
        <v>0</v>
      </c>
      <c r="Q621" t="n">
        <v>0</v>
      </c>
      <c r="R621" s="2" t="inlineStr"/>
    </row>
    <row r="622" ht="15" customHeight="1">
      <c r="A622" t="inlineStr">
        <is>
          <t>A 43776-2025</t>
        </is>
      </c>
      <c r="B622" s="1" t="n">
        <v>45912.51086805556</v>
      </c>
      <c r="C622" s="1" t="n">
        <v>46010</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43971-2025</t>
        </is>
      </c>
      <c r="B623" s="1" t="n">
        <v>45915.40694444445</v>
      </c>
      <c r="C623" s="1" t="n">
        <v>46010</v>
      </c>
      <c r="D623" t="inlineStr">
        <is>
          <t>JÄMTLANDS LÄN</t>
        </is>
      </c>
      <c r="E623" t="inlineStr">
        <is>
          <t>RAGUNDA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32777-2025</t>
        </is>
      </c>
      <c r="B624" s="1" t="n">
        <v>45839.46915509259</v>
      </c>
      <c r="C624" s="1" t="n">
        <v>46010</v>
      </c>
      <c r="D624" t="inlineStr">
        <is>
          <t>JÄMTLANDS LÄN</t>
        </is>
      </c>
      <c r="E624" t="inlineStr">
        <is>
          <t>RAGUNDA</t>
        </is>
      </c>
      <c r="F624" t="inlineStr">
        <is>
          <t>SCA</t>
        </is>
      </c>
      <c r="G624" t="n">
        <v>21.7</v>
      </c>
      <c r="H624" t="n">
        <v>0</v>
      </c>
      <c r="I624" t="n">
        <v>0</v>
      </c>
      <c r="J624" t="n">
        <v>0</v>
      </c>
      <c r="K624" t="n">
        <v>0</v>
      </c>
      <c r="L624" t="n">
        <v>0</v>
      </c>
      <c r="M624" t="n">
        <v>0</v>
      </c>
      <c r="N624" t="n">
        <v>0</v>
      </c>
      <c r="O624" t="n">
        <v>0</v>
      </c>
      <c r="P624" t="n">
        <v>0</v>
      </c>
      <c r="Q624" t="n">
        <v>0</v>
      </c>
      <c r="R624" s="2" t="inlineStr"/>
    </row>
    <row r="625" ht="15" customHeight="1">
      <c r="A625" t="inlineStr">
        <is>
          <t>A 43804-2025</t>
        </is>
      </c>
      <c r="B625" s="1" t="n">
        <v>45912.57373842593</v>
      </c>
      <c r="C625" s="1" t="n">
        <v>46010</v>
      </c>
      <c r="D625" t="inlineStr">
        <is>
          <t>JÄMTLANDS LÄN</t>
        </is>
      </c>
      <c r="E625" t="inlineStr">
        <is>
          <t>RAGUNDA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32430-2025</t>
        </is>
      </c>
      <c r="B626" s="1" t="n">
        <v>45838.36532407408</v>
      </c>
      <c r="C626" s="1" t="n">
        <v>46010</v>
      </c>
      <c r="D626" t="inlineStr">
        <is>
          <t>JÄMTLANDS LÄN</t>
        </is>
      </c>
      <c r="E626" t="inlineStr">
        <is>
          <t>RAGUNDA</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32747-2025</t>
        </is>
      </c>
      <c r="B627" s="1" t="n">
        <v>45839.42810185185</v>
      </c>
      <c r="C627" s="1" t="n">
        <v>46010</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32757-2025</t>
        </is>
      </c>
      <c r="B628" s="1" t="n">
        <v>45838</v>
      </c>
      <c r="C628" s="1" t="n">
        <v>46010</v>
      </c>
      <c r="D628" t="inlineStr">
        <is>
          <t>JÄMTLANDS LÄN</t>
        </is>
      </c>
      <c r="E628" t="inlineStr">
        <is>
          <t>RAGUNDA</t>
        </is>
      </c>
      <c r="G628" t="n">
        <v>4.5</v>
      </c>
      <c r="H628" t="n">
        <v>0</v>
      </c>
      <c r="I628" t="n">
        <v>0</v>
      </c>
      <c r="J628" t="n">
        <v>0</v>
      </c>
      <c r="K628" t="n">
        <v>0</v>
      </c>
      <c r="L628" t="n">
        <v>0</v>
      </c>
      <c r="M628" t="n">
        <v>0</v>
      </c>
      <c r="N628" t="n">
        <v>0</v>
      </c>
      <c r="O628" t="n">
        <v>0</v>
      </c>
      <c r="P628" t="n">
        <v>0</v>
      </c>
      <c r="Q628" t="n">
        <v>0</v>
      </c>
      <c r="R628" s="2" t="inlineStr"/>
    </row>
    <row r="629" ht="15" customHeight="1">
      <c r="A629" t="inlineStr">
        <is>
          <t>A 61598-2024</t>
        </is>
      </c>
      <c r="B629" s="1" t="n">
        <v>45646.63605324074</v>
      </c>
      <c r="C629" s="1" t="n">
        <v>46010</v>
      </c>
      <c r="D629" t="inlineStr">
        <is>
          <t>JÄMTLANDS LÄN</t>
        </is>
      </c>
      <c r="E629" t="inlineStr">
        <is>
          <t>RAGUNDA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17667-2025</t>
        </is>
      </c>
      <c r="B630" s="1" t="n">
        <v>45758.36487268518</v>
      </c>
      <c r="C630" s="1" t="n">
        <v>46010</v>
      </c>
      <c r="D630" t="inlineStr">
        <is>
          <t>JÄMTLANDS LÄN</t>
        </is>
      </c>
      <c r="E630" t="inlineStr">
        <is>
          <t>RAGUNDA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32846-2025</t>
        </is>
      </c>
      <c r="B631" s="1" t="n">
        <v>45839.57331018519</v>
      </c>
      <c r="C631" s="1" t="n">
        <v>46010</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32748-2025</t>
        </is>
      </c>
      <c r="B632" s="1" t="n">
        <v>45839.42822916667</v>
      </c>
      <c r="C632" s="1" t="n">
        <v>46010</v>
      </c>
      <c r="D632" t="inlineStr">
        <is>
          <t>JÄMTLANDS LÄN</t>
        </is>
      </c>
      <c r="E632" t="inlineStr">
        <is>
          <t>RAGUNDA</t>
        </is>
      </c>
      <c r="F632" t="inlineStr">
        <is>
          <t>SCA</t>
        </is>
      </c>
      <c r="G632" t="n">
        <v>4.4</v>
      </c>
      <c r="H632" t="n">
        <v>0</v>
      </c>
      <c r="I632" t="n">
        <v>0</v>
      </c>
      <c r="J632" t="n">
        <v>0</v>
      </c>
      <c r="K632" t="n">
        <v>0</v>
      </c>
      <c r="L632" t="n">
        <v>0</v>
      </c>
      <c r="M632" t="n">
        <v>0</v>
      </c>
      <c r="N632" t="n">
        <v>0</v>
      </c>
      <c r="O632" t="n">
        <v>0</v>
      </c>
      <c r="P632" t="n">
        <v>0</v>
      </c>
      <c r="Q632" t="n">
        <v>0</v>
      </c>
      <c r="R632" s="2" t="inlineStr"/>
    </row>
    <row r="633" ht="15" customHeight="1">
      <c r="A633" t="inlineStr">
        <is>
          <t>A 32762-2025</t>
        </is>
      </c>
      <c r="B633" s="1" t="n">
        <v>45838</v>
      </c>
      <c r="C633" s="1" t="n">
        <v>46010</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32660-2025</t>
        </is>
      </c>
      <c r="B634" s="1" t="n">
        <v>45838.67887731481</v>
      </c>
      <c r="C634" s="1" t="n">
        <v>46010</v>
      </c>
      <c r="D634" t="inlineStr">
        <is>
          <t>JÄMTLANDS LÄN</t>
        </is>
      </c>
      <c r="E634" t="inlineStr">
        <is>
          <t>RAGUNDA</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12405-2025</t>
        </is>
      </c>
      <c r="B635" s="1" t="n">
        <v>45730.42738425926</v>
      </c>
      <c r="C635" s="1" t="n">
        <v>46010</v>
      </c>
      <c r="D635" t="inlineStr">
        <is>
          <t>JÄMTLANDS LÄN</t>
        </is>
      </c>
      <c r="E635" t="inlineStr">
        <is>
          <t>RAGUNDA</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32527-2025</t>
        </is>
      </c>
      <c r="B636" s="1" t="n">
        <v>45838.48996527777</v>
      </c>
      <c r="C636" s="1" t="n">
        <v>46010</v>
      </c>
      <c r="D636" t="inlineStr">
        <is>
          <t>JÄMTLANDS LÄN</t>
        </is>
      </c>
      <c r="E636" t="inlineStr">
        <is>
          <t>RAGUNDA</t>
        </is>
      </c>
      <c r="G636" t="n">
        <v>5</v>
      </c>
      <c r="H636" t="n">
        <v>0</v>
      </c>
      <c r="I636" t="n">
        <v>0</v>
      </c>
      <c r="J636" t="n">
        <v>0</v>
      </c>
      <c r="K636" t="n">
        <v>0</v>
      </c>
      <c r="L636" t="n">
        <v>0</v>
      </c>
      <c r="M636" t="n">
        <v>0</v>
      </c>
      <c r="N636" t="n">
        <v>0</v>
      </c>
      <c r="O636" t="n">
        <v>0</v>
      </c>
      <c r="P636" t="n">
        <v>0</v>
      </c>
      <c r="Q636" t="n">
        <v>0</v>
      </c>
      <c r="R636" s="2" t="inlineStr"/>
    </row>
    <row r="637" ht="15" customHeight="1">
      <c r="A637" t="inlineStr">
        <is>
          <t>A 36986-2023</t>
        </is>
      </c>
      <c r="B637" s="1" t="n">
        <v>45154.95525462963</v>
      </c>
      <c r="C637" s="1" t="n">
        <v>46010</v>
      </c>
      <c r="D637" t="inlineStr">
        <is>
          <t>JÄMTLANDS LÄN</t>
        </is>
      </c>
      <c r="E637" t="inlineStr">
        <is>
          <t>RAGUNDA</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33140-2025</t>
        </is>
      </c>
      <c r="B638" s="1" t="n">
        <v>45840.52225694444</v>
      </c>
      <c r="C638" s="1" t="n">
        <v>46010</v>
      </c>
      <c r="D638" t="inlineStr">
        <is>
          <t>JÄMTLANDS LÄN</t>
        </is>
      </c>
      <c r="E638" t="inlineStr">
        <is>
          <t>RAGUNDA</t>
        </is>
      </c>
      <c r="G638" t="n">
        <v>2</v>
      </c>
      <c r="H638" t="n">
        <v>0</v>
      </c>
      <c r="I638" t="n">
        <v>0</v>
      </c>
      <c r="J638" t="n">
        <v>0</v>
      </c>
      <c r="K638" t="n">
        <v>0</v>
      </c>
      <c r="L638" t="n">
        <v>0</v>
      </c>
      <c r="M638" t="n">
        <v>0</v>
      </c>
      <c r="N638" t="n">
        <v>0</v>
      </c>
      <c r="O638" t="n">
        <v>0</v>
      </c>
      <c r="P638" t="n">
        <v>0</v>
      </c>
      <c r="Q638" t="n">
        <v>0</v>
      </c>
      <c r="R638" s="2" t="inlineStr"/>
    </row>
    <row r="639" ht="15" customHeight="1">
      <c r="A639" t="inlineStr">
        <is>
          <t>A 33556-2025</t>
        </is>
      </c>
      <c r="B639" s="1" t="n">
        <v>45841.57427083333</v>
      </c>
      <c r="C639" s="1" t="n">
        <v>46010</v>
      </c>
      <c r="D639" t="inlineStr">
        <is>
          <t>JÄMTLANDS LÄN</t>
        </is>
      </c>
      <c r="E639" t="inlineStr">
        <is>
          <t>RAGUNDA</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2224-2024</t>
        </is>
      </c>
      <c r="B640" s="1" t="n">
        <v>45309.92524305556</v>
      </c>
      <c r="C640" s="1" t="n">
        <v>46010</v>
      </c>
      <c r="D640" t="inlineStr">
        <is>
          <t>JÄMTLANDS LÄN</t>
        </is>
      </c>
      <c r="E640" t="inlineStr">
        <is>
          <t>RAGUNDA</t>
        </is>
      </c>
      <c r="G640" t="n">
        <v>0.9</v>
      </c>
      <c r="H640" t="n">
        <v>0</v>
      </c>
      <c r="I640" t="n">
        <v>0</v>
      </c>
      <c r="J640" t="n">
        <v>0</v>
      </c>
      <c r="K640" t="n">
        <v>0</v>
      </c>
      <c r="L640" t="n">
        <v>0</v>
      </c>
      <c r="M640" t="n">
        <v>0</v>
      </c>
      <c r="N640" t="n">
        <v>0</v>
      </c>
      <c r="O640" t="n">
        <v>0</v>
      </c>
      <c r="P640" t="n">
        <v>0</v>
      </c>
      <c r="Q640" t="n">
        <v>0</v>
      </c>
      <c r="R640" s="2" t="inlineStr"/>
    </row>
    <row r="641" ht="15" customHeight="1">
      <c r="A641" t="inlineStr">
        <is>
          <t>A 1523-2024</t>
        </is>
      </c>
      <c r="B641" s="1" t="n">
        <v>45306</v>
      </c>
      <c r="C641" s="1" t="n">
        <v>46010</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58630-2024</t>
        </is>
      </c>
      <c r="B642" s="1" t="n">
        <v>45635.57331018519</v>
      </c>
      <c r="C642" s="1" t="n">
        <v>46010</v>
      </c>
      <c r="D642" t="inlineStr">
        <is>
          <t>JÄMTLANDS LÄN</t>
        </is>
      </c>
      <c r="E642" t="inlineStr">
        <is>
          <t>RAGUNDA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46549-2023</t>
        </is>
      </c>
      <c r="B643" s="1" t="n">
        <v>45197.94171296297</v>
      </c>
      <c r="C643" s="1" t="n">
        <v>46010</v>
      </c>
      <c r="D643" t="inlineStr">
        <is>
          <t>JÄMTLANDS LÄN</t>
        </is>
      </c>
      <c r="E643" t="inlineStr">
        <is>
          <t>RAGUNDA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32258-2024</t>
        </is>
      </c>
      <c r="B644" s="1" t="n">
        <v>45511</v>
      </c>
      <c r="C644" s="1" t="n">
        <v>46010</v>
      </c>
      <c r="D644" t="inlineStr">
        <is>
          <t>JÄMTLANDS LÄN</t>
        </is>
      </c>
      <c r="E644" t="inlineStr">
        <is>
          <t>RAGUNDA</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45279-2025</t>
        </is>
      </c>
      <c r="B645" s="1" t="n">
        <v>45919.71912037037</v>
      </c>
      <c r="C645" s="1" t="n">
        <v>46010</v>
      </c>
      <c r="D645" t="inlineStr">
        <is>
          <t>JÄMTLANDS LÄN</t>
        </is>
      </c>
      <c r="E645" t="inlineStr">
        <is>
          <t>RAGUNDA</t>
        </is>
      </c>
      <c r="F645" t="inlineStr">
        <is>
          <t>SCA</t>
        </is>
      </c>
      <c r="G645" t="n">
        <v>11.5</v>
      </c>
      <c r="H645" t="n">
        <v>0</v>
      </c>
      <c r="I645" t="n">
        <v>0</v>
      </c>
      <c r="J645" t="n">
        <v>0</v>
      </c>
      <c r="K645" t="n">
        <v>0</v>
      </c>
      <c r="L645" t="n">
        <v>0</v>
      </c>
      <c r="M645" t="n">
        <v>0</v>
      </c>
      <c r="N645" t="n">
        <v>0</v>
      </c>
      <c r="O645" t="n">
        <v>0</v>
      </c>
      <c r="P645" t="n">
        <v>0</v>
      </c>
      <c r="Q645" t="n">
        <v>0</v>
      </c>
      <c r="R645" s="2" t="inlineStr"/>
    </row>
    <row r="646" ht="15" customHeight="1">
      <c r="A646" t="inlineStr">
        <is>
          <t>A 38270-2021</t>
        </is>
      </c>
      <c r="B646" s="1" t="n">
        <v>44405.92065972222</v>
      </c>
      <c r="C646" s="1" t="n">
        <v>46010</v>
      </c>
      <c r="D646" t="inlineStr">
        <is>
          <t>JÄMTLANDS LÄN</t>
        </is>
      </c>
      <c r="E646" t="inlineStr">
        <is>
          <t>RAGUNDA</t>
        </is>
      </c>
      <c r="G646" t="n">
        <v>1.3</v>
      </c>
      <c r="H646" t="n">
        <v>0</v>
      </c>
      <c r="I646" t="n">
        <v>0</v>
      </c>
      <c r="J646" t="n">
        <v>0</v>
      </c>
      <c r="K646" t="n">
        <v>0</v>
      </c>
      <c r="L646" t="n">
        <v>0</v>
      </c>
      <c r="M646" t="n">
        <v>0</v>
      </c>
      <c r="N646" t="n">
        <v>0</v>
      </c>
      <c r="O646" t="n">
        <v>0</v>
      </c>
      <c r="P646" t="n">
        <v>0</v>
      </c>
      <c r="Q646" t="n">
        <v>0</v>
      </c>
      <c r="R646" s="2" t="inlineStr"/>
    </row>
    <row r="647" ht="15" customHeight="1">
      <c r="A647" t="inlineStr">
        <is>
          <t>A 29257-2024</t>
        </is>
      </c>
      <c r="B647" s="1" t="n">
        <v>45482.94815972223</v>
      </c>
      <c r="C647" s="1" t="n">
        <v>46010</v>
      </c>
      <c r="D647" t="inlineStr">
        <is>
          <t>JÄMTLANDS LÄN</t>
        </is>
      </c>
      <c r="E647" t="inlineStr">
        <is>
          <t>RAGUNDA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27373-2023</t>
        </is>
      </c>
      <c r="B648" s="1" t="n">
        <v>45096.93866898148</v>
      </c>
      <c r="C648" s="1" t="n">
        <v>46010</v>
      </c>
      <c r="D648" t="inlineStr">
        <is>
          <t>JÄMTLANDS LÄN</t>
        </is>
      </c>
      <c r="E648" t="inlineStr">
        <is>
          <t>RAGUNDA</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33790-2025</t>
        </is>
      </c>
      <c r="B649" s="1" t="n">
        <v>45842.42608796297</v>
      </c>
      <c r="C649" s="1" t="n">
        <v>46010</v>
      </c>
      <c r="D649" t="inlineStr">
        <is>
          <t>JÄMTLANDS LÄN</t>
        </is>
      </c>
      <c r="E649" t="inlineStr">
        <is>
          <t>RAGUNDA</t>
        </is>
      </c>
      <c r="G649" t="n">
        <v>0.3</v>
      </c>
      <c r="H649" t="n">
        <v>0</v>
      </c>
      <c r="I649" t="n">
        <v>0</v>
      </c>
      <c r="J649" t="n">
        <v>0</v>
      </c>
      <c r="K649" t="n">
        <v>0</v>
      </c>
      <c r="L649" t="n">
        <v>0</v>
      </c>
      <c r="M649" t="n">
        <v>0</v>
      </c>
      <c r="N649" t="n">
        <v>0</v>
      </c>
      <c r="O649" t="n">
        <v>0</v>
      </c>
      <c r="P649" t="n">
        <v>0</v>
      </c>
      <c r="Q649" t="n">
        <v>0</v>
      </c>
      <c r="R649" s="2" t="inlineStr"/>
    </row>
    <row r="650" ht="15" customHeight="1">
      <c r="A650" t="inlineStr">
        <is>
          <t>A 62115-2024</t>
        </is>
      </c>
      <c r="B650" s="1" t="n">
        <v>45656</v>
      </c>
      <c r="C650" s="1" t="n">
        <v>46010</v>
      </c>
      <c r="D650" t="inlineStr">
        <is>
          <t>JÄMTLANDS LÄN</t>
        </is>
      </c>
      <c r="E650" t="inlineStr">
        <is>
          <t>RAGUNDA</t>
        </is>
      </c>
      <c r="G650" t="n">
        <v>3.3</v>
      </c>
      <c r="H650" t="n">
        <v>0</v>
      </c>
      <c r="I650" t="n">
        <v>0</v>
      </c>
      <c r="J650" t="n">
        <v>0</v>
      </c>
      <c r="K650" t="n">
        <v>0</v>
      </c>
      <c r="L650" t="n">
        <v>0</v>
      </c>
      <c r="M650" t="n">
        <v>0</v>
      </c>
      <c r="N650" t="n">
        <v>0</v>
      </c>
      <c r="O650" t="n">
        <v>0</v>
      </c>
      <c r="P650" t="n">
        <v>0</v>
      </c>
      <c r="Q650" t="n">
        <v>0</v>
      </c>
      <c r="R650" s="2" t="inlineStr"/>
    </row>
    <row r="651" ht="15" customHeight="1">
      <c r="A651" t="inlineStr">
        <is>
          <t>A 12653-2024</t>
        </is>
      </c>
      <c r="B651" s="1" t="n">
        <v>45384</v>
      </c>
      <c r="C651" s="1" t="n">
        <v>46010</v>
      </c>
      <c r="D651" t="inlineStr">
        <is>
          <t>JÄMTLANDS LÄN</t>
        </is>
      </c>
      <c r="E651" t="inlineStr">
        <is>
          <t>RAGUNDA</t>
        </is>
      </c>
      <c r="G651" t="n">
        <v>1.1</v>
      </c>
      <c r="H651" t="n">
        <v>0</v>
      </c>
      <c r="I651" t="n">
        <v>0</v>
      </c>
      <c r="J651" t="n">
        <v>0</v>
      </c>
      <c r="K651" t="n">
        <v>0</v>
      </c>
      <c r="L651" t="n">
        <v>0</v>
      </c>
      <c r="M651" t="n">
        <v>0</v>
      </c>
      <c r="N651" t="n">
        <v>0</v>
      </c>
      <c r="O651" t="n">
        <v>0</v>
      </c>
      <c r="P651" t="n">
        <v>0</v>
      </c>
      <c r="Q651" t="n">
        <v>0</v>
      </c>
      <c r="R651" s="2" t="inlineStr"/>
    </row>
    <row r="652" ht="15" customHeight="1">
      <c r="A652" t="inlineStr">
        <is>
          <t>A 50211-2023</t>
        </is>
      </c>
      <c r="B652" s="1" t="n">
        <v>45215.94657407407</v>
      </c>
      <c r="C652" s="1" t="n">
        <v>46010</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34607-2025</t>
        </is>
      </c>
      <c r="B653" s="1" t="n">
        <v>45847.65703703704</v>
      </c>
      <c r="C653" s="1" t="n">
        <v>46010</v>
      </c>
      <c r="D653" t="inlineStr">
        <is>
          <t>JÄMTLANDS LÄN</t>
        </is>
      </c>
      <c r="E653" t="inlineStr">
        <is>
          <t>RAGUNDA</t>
        </is>
      </c>
      <c r="F653" t="inlineStr">
        <is>
          <t>SCA</t>
        </is>
      </c>
      <c r="G653" t="n">
        <v>31.4</v>
      </c>
      <c r="H653" t="n">
        <v>0</v>
      </c>
      <c r="I653" t="n">
        <v>0</v>
      </c>
      <c r="J653" t="n">
        <v>0</v>
      </c>
      <c r="K653" t="n">
        <v>0</v>
      </c>
      <c r="L653" t="n">
        <v>0</v>
      </c>
      <c r="M653" t="n">
        <v>0</v>
      </c>
      <c r="N653" t="n">
        <v>0</v>
      </c>
      <c r="O653" t="n">
        <v>0</v>
      </c>
      <c r="P653" t="n">
        <v>0</v>
      </c>
      <c r="Q653" t="n">
        <v>0</v>
      </c>
      <c r="R653" s="2" t="inlineStr"/>
    </row>
    <row r="654" ht="15" customHeight="1">
      <c r="A654" t="inlineStr">
        <is>
          <t>A 34461-2025</t>
        </is>
      </c>
      <c r="B654" s="1" t="n">
        <v>45847.34474537037</v>
      </c>
      <c r="C654" s="1" t="n">
        <v>46010</v>
      </c>
      <c r="D654" t="inlineStr">
        <is>
          <t>JÄMTLANDS LÄN</t>
        </is>
      </c>
      <c r="E654" t="inlineStr">
        <is>
          <t>RAGUNDA</t>
        </is>
      </c>
      <c r="F654" t="inlineStr">
        <is>
          <t>SCA</t>
        </is>
      </c>
      <c r="G654" t="n">
        <v>44.8</v>
      </c>
      <c r="H654" t="n">
        <v>0</v>
      </c>
      <c r="I654" t="n">
        <v>0</v>
      </c>
      <c r="J654" t="n">
        <v>0</v>
      </c>
      <c r="K654" t="n">
        <v>0</v>
      </c>
      <c r="L654" t="n">
        <v>0</v>
      </c>
      <c r="M654" t="n">
        <v>0</v>
      </c>
      <c r="N654" t="n">
        <v>0</v>
      </c>
      <c r="O654" t="n">
        <v>0</v>
      </c>
      <c r="P654" t="n">
        <v>0</v>
      </c>
      <c r="Q654" t="n">
        <v>0</v>
      </c>
      <c r="R654" s="2" t="inlineStr"/>
    </row>
    <row r="655" ht="15" customHeight="1">
      <c r="A655" t="inlineStr">
        <is>
          <t>A 34464-2025</t>
        </is>
      </c>
      <c r="B655" s="1" t="n">
        <v>45847.34528935186</v>
      </c>
      <c r="C655" s="1" t="n">
        <v>46010</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34468-2025</t>
        </is>
      </c>
      <c r="B656" s="1" t="n">
        <v>45847.34597222223</v>
      </c>
      <c r="C656" s="1" t="n">
        <v>46010</v>
      </c>
      <c r="D656" t="inlineStr">
        <is>
          <t>JÄMTLANDS LÄN</t>
        </is>
      </c>
      <c r="E656" t="inlineStr">
        <is>
          <t>RAGUNDA</t>
        </is>
      </c>
      <c r="F656" t="inlineStr">
        <is>
          <t>SCA</t>
        </is>
      </c>
      <c r="G656" t="n">
        <v>10</v>
      </c>
      <c r="H656" t="n">
        <v>0</v>
      </c>
      <c r="I656" t="n">
        <v>0</v>
      </c>
      <c r="J656" t="n">
        <v>0</v>
      </c>
      <c r="K656" t="n">
        <v>0</v>
      </c>
      <c r="L656" t="n">
        <v>0</v>
      </c>
      <c r="M656" t="n">
        <v>0</v>
      </c>
      <c r="N656" t="n">
        <v>0</v>
      </c>
      <c r="O656" t="n">
        <v>0</v>
      </c>
      <c r="P656" t="n">
        <v>0</v>
      </c>
      <c r="Q656" t="n">
        <v>0</v>
      </c>
      <c r="R656" s="2" t="inlineStr"/>
    </row>
    <row r="657" ht="15" customHeight="1">
      <c r="A657" t="inlineStr">
        <is>
          <t>A 34466-2025</t>
        </is>
      </c>
      <c r="B657" s="1" t="n">
        <v>45847.34565972222</v>
      </c>
      <c r="C657" s="1" t="n">
        <v>46010</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34463-2025</t>
        </is>
      </c>
      <c r="B658" s="1" t="n">
        <v>45847.34515046296</v>
      </c>
      <c r="C658" s="1" t="n">
        <v>46010</v>
      </c>
      <c r="D658" t="inlineStr">
        <is>
          <t>JÄMTLANDS LÄN</t>
        </is>
      </c>
      <c r="E658" t="inlineStr">
        <is>
          <t>RAGUNDA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9232-2025</t>
        </is>
      </c>
      <c r="B659" s="1" t="n">
        <v>45714.55064814815</v>
      </c>
      <c r="C659" s="1" t="n">
        <v>46010</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29775-2023</t>
        </is>
      </c>
      <c r="B660" s="1" t="n">
        <v>45098</v>
      </c>
      <c r="C660" s="1" t="n">
        <v>46010</v>
      </c>
      <c r="D660" t="inlineStr">
        <is>
          <t>JÄMTLANDS LÄN</t>
        </is>
      </c>
      <c r="E660" t="inlineStr">
        <is>
          <t>RAGUNDA</t>
        </is>
      </c>
      <c r="G660" t="n">
        <v>3.6</v>
      </c>
      <c r="H660" t="n">
        <v>0</v>
      </c>
      <c r="I660" t="n">
        <v>0</v>
      </c>
      <c r="J660" t="n">
        <v>0</v>
      </c>
      <c r="K660" t="n">
        <v>0</v>
      </c>
      <c r="L660" t="n">
        <v>0</v>
      </c>
      <c r="M660" t="n">
        <v>0</v>
      </c>
      <c r="N660" t="n">
        <v>0</v>
      </c>
      <c r="O660" t="n">
        <v>0</v>
      </c>
      <c r="P660" t="n">
        <v>0</v>
      </c>
      <c r="Q660" t="n">
        <v>0</v>
      </c>
      <c r="R660" s="2" t="inlineStr"/>
    </row>
    <row r="661" ht="15" customHeight="1">
      <c r="A661" t="inlineStr">
        <is>
          <t>A 34586-2025</t>
        </is>
      </c>
      <c r="B661" s="1" t="n">
        <v>45847.61513888889</v>
      </c>
      <c r="C661" s="1" t="n">
        <v>46010</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34588-2025</t>
        </is>
      </c>
      <c r="B662" s="1" t="n">
        <v>45847.61548611111</v>
      </c>
      <c r="C662" s="1" t="n">
        <v>46010</v>
      </c>
      <c r="D662" t="inlineStr">
        <is>
          <t>JÄMTLANDS LÄN</t>
        </is>
      </c>
      <c r="E662" t="inlineStr">
        <is>
          <t>RAGUNDA</t>
        </is>
      </c>
      <c r="G662" t="n">
        <v>32.3</v>
      </c>
      <c r="H662" t="n">
        <v>0</v>
      </c>
      <c r="I662" t="n">
        <v>0</v>
      </c>
      <c r="J662" t="n">
        <v>0</v>
      </c>
      <c r="K662" t="n">
        <v>0</v>
      </c>
      <c r="L662" t="n">
        <v>0</v>
      </c>
      <c r="M662" t="n">
        <v>0</v>
      </c>
      <c r="N662" t="n">
        <v>0</v>
      </c>
      <c r="O662" t="n">
        <v>0</v>
      </c>
      <c r="P662" t="n">
        <v>0</v>
      </c>
      <c r="Q662" t="n">
        <v>0</v>
      </c>
      <c r="R662" s="2" t="inlineStr"/>
    </row>
    <row r="663" ht="15" customHeight="1">
      <c r="A663" t="inlineStr">
        <is>
          <t>A 34296-2025</t>
        </is>
      </c>
      <c r="B663" s="1" t="n">
        <v>45846.34454861111</v>
      </c>
      <c r="C663" s="1" t="n">
        <v>46010</v>
      </c>
      <c r="D663" t="inlineStr">
        <is>
          <t>JÄMTLANDS LÄN</t>
        </is>
      </c>
      <c r="E663" t="inlineStr">
        <is>
          <t>RAGUNDA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44954-2025</t>
        </is>
      </c>
      <c r="B664" s="1" t="n">
        <v>45918.61203703703</v>
      </c>
      <c r="C664" s="1" t="n">
        <v>46010</v>
      </c>
      <c r="D664" t="inlineStr">
        <is>
          <t>JÄMTLANDS LÄN</t>
        </is>
      </c>
      <c r="E664" t="inlineStr">
        <is>
          <t>RAGUNDA</t>
        </is>
      </c>
      <c r="G664" t="n">
        <v>3</v>
      </c>
      <c r="H664" t="n">
        <v>0</v>
      </c>
      <c r="I664" t="n">
        <v>0</v>
      </c>
      <c r="J664" t="n">
        <v>0</v>
      </c>
      <c r="K664" t="n">
        <v>0</v>
      </c>
      <c r="L664" t="n">
        <v>0</v>
      </c>
      <c r="M664" t="n">
        <v>0</v>
      </c>
      <c r="N664" t="n">
        <v>0</v>
      </c>
      <c r="O664" t="n">
        <v>0</v>
      </c>
      <c r="P664" t="n">
        <v>0</v>
      </c>
      <c r="Q664" t="n">
        <v>0</v>
      </c>
      <c r="R664" s="2" t="inlineStr"/>
    </row>
    <row r="665" ht="15" customHeight="1">
      <c r="A665" t="inlineStr">
        <is>
          <t>A 34709-2025</t>
        </is>
      </c>
      <c r="B665" s="1" t="n">
        <v>45848.49761574074</v>
      </c>
      <c r="C665" s="1" t="n">
        <v>46010</v>
      </c>
      <c r="D665" t="inlineStr">
        <is>
          <t>JÄMTLANDS LÄN</t>
        </is>
      </c>
      <c r="E665" t="inlineStr">
        <is>
          <t>RAGUNDA</t>
        </is>
      </c>
      <c r="G665" t="n">
        <v>3.1</v>
      </c>
      <c r="H665" t="n">
        <v>0</v>
      </c>
      <c r="I665" t="n">
        <v>0</v>
      </c>
      <c r="J665" t="n">
        <v>0</v>
      </c>
      <c r="K665" t="n">
        <v>0</v>
      </c>
      <c r="L665" t="n">
        <v>0</v>
      </c>
      <c r="M665" t="n">
        <v>0</v>
      </c>
      <c r="N665" t="n">
        <v>0</v>
      </c>
      <c r="O665" t="n">
        <v>0</v>
      </c>
      <c r="P665" t="n">
        <v>0</v>
      </c>
      <c r="Q665" t="n">
        <v>0</v>
      </c>
      <c r="R665" s="2" t="inlineStr"/>
    </row>
    <row r="666" ht="15" customHeight="1">
      <c r="A666" t="inlineStr">
        <is>
          <t>A 44494-2024</t>
        </is>
      </c>
      <c r="B666" s="1" t="n">
        <v>45574.39081018518</v>
      </c>
      <c r="C666" s="1" t="n">
        <v>46010</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34772-2025</t>
        </is>
      </c>
      <c r="B667" s="1" t="n">
        <v>45848.65658564815</v>
      </c>
      <c r="C667" s="1" t="n">
        <v>46010</v>
      </c>
      <c r="D667" t="inlineStr">
        <is>
          <t>JÄMTLANDS LÄN</t>
        </is>
      </c>
      <c r="E667" t="inlineStr">
        <is>
          <t>RAGUNDA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34710-2025</t>
        </is>
      </c>
      <c r="B668" s="1" t="n">
        <v>45848.49774305556</v>
      </c>
      <c r="C668" s="1" t="n">
        <v>46010</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13898-2023</t>
        </is>
      </c>
      <c r="B669" s="1" t="n">
        <v>45008.01408564814</v>
      </c>
      <c r="C669" s="1" t="n">
        <v>46010</v>
      </c>
      <c r="D669" t="inlineStr">
        <is>
          <t>JÄMTLANDS LÄN</t>
        </is>
      </c>
      <c r="E669" t="inlineStr">
        <is>
          <t>RAGUNDA</t>
        </is>
      </c>
      <c r="F669" t="inlineStr">
        <is>
          <t>SCA</t>
        </is>
      </c>
      <c r="G669" t="n">
        <v>5</v>
      </c>
      <c r="H669" t="n">
        <v>0</v>
      </c>
      <c r="I669" t="n">
        <v>0</v>
      </c>
      <c r="J669" t="n">
        <v>0</v>
      </c>
      <c r="K669" t="n">
        <v>0</v>
      </c>
      <c r="L669" t="n">
        <v>0</v>
      </c>
      <c r="M669" t="n">
        <v>0</v>
      </c>
      <c r="N669" t="n">
        <v>0</v>
      </c>
      <c r="O669" t="n">
        <v>0</v>
      </c>
      <c r="P669" t="n">
        <v>0</v>
      </c>
      <c r="Q669" t="n">
        <v>0</v>
      </c>
      <c r="R669" s="2" t="inlineStr"/>
    </row>
    <row r="670" ht="15" customHeight="1">
      <c r="A670" t="inlineStr">
        <is>
          <t>A 34968-2025</t>
        </is>
      </c>
      <c r="B670" s="1" t="n">
        <v>45849.65663194445</v>
      </c>
      <c r="C670" s="1" t="n">
        <v>46010</v>
      </c>
      <c r="D670" t="inlineStr">
        <is>
          <t>JÄMTLANDS LÄN</t>
        </is>
      </c>
      <c r="E670" t="inlineStr">
        <is>
          <t>RAGUNDA</t>
        </is>
      </c>
      <c r="F670" t="inlineStr">
        <is>
          <t>SCA</t>
        </is>
      </c>
      <c r="G670" t="n">
        <v>20.2</v>
      </c>
      <c r="H670" t="n">
        <v>0</v>
      </c>
      <c r="I670" t="n">
        <v>0</v>
      </c>
      <c r="J670" t="n">
        <v>0</v>
      </c>
      <c r="K670" t="n">
        <v>0</v>
      </c>
      <c r="L670" t="n">
        <v>0</v>
      </c>
      <c r="M670" t="n">
        <v>0</v>
      </c>
      <c r="N670" t="n">
        <v>0</v>
      </c>
      <c r="O670" t="n">
        <v>0</v>
      </c>
      <c r="P670" t="n">
        <v>0</v>
      </c>
      <c r="Q670" t="n">
        <v>0</v>
      </c>
      <c r="R670" s="2" t="inlineStr"/>
    </row>
    <row r="671" ht="15" customHeight="1">
      <c r="A671" t="inlineStr">
        <is>
          <t>A 34998-2025</t>
        </is>
      </c>
      <c r="B671" s="1" t="n">
        <v>45850.34434027778</v>
      </c>
      <c r="C671" s="1" t="n">
        <v>46010</v>
      </c>
      <c r="D671" t="inlineStr">
        <is>
          <t>JÄMTLANDS LÄN</t>
        </is>
      </c>
      <c r="E671" t="inlineStr">
        <is>
          <t>RAGUNDA</t>
        </is>
      </c>
      <c r="G671" t="n">
        <v>1.4</v>
      </c>
      <c r="H671" t="n">
        <v>0</v>
      </c>
      <c r="I671" t="n">
        <v>0</v>
      </c>
      <c r="J671" t="n">
        <v>0</v>
      </c>
      <c r="K671" t="n">
        <v>0</v>
      </c>
      <c r="L671" t="n">
        <v>0</v>
      </c>
      <c r="M671" t="n">
        <v>0</v>
      </c>
      <c r="N671" t="n">
        <v>0</v>
      </c>
      <c r="O671" t="n">
        <v>0</v>
      </c>
      <c r="P671" t="n">
        <v>0</v>
      </c>
      <c r="Q671" t="n">
        <v>0</v>
      </c>
      <c r="R671" s="2" t="inlineStr"/>
    </row>
    <row r="672" ht="15" customHeight="1">
      <c r="A672" t="inlineStr">
        <is>
          <t>A 34999-2025</t>
        </is>
      </c>
      <c r="B672" s="1" t="n">
        <v>45850.34450231482</v>
      </c>
      <c r="C672" s="1" t="n">
        <v>46010</v>
      </c>
      <c r="D672" t="inlineStr">
        <is>
          <t>JÄMTLANDS LÄN</t>
        </is>
      </c>
      <c r="E672" t="inlineStr">
        <is>
          <t>RAGUNDA</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35092-2025</t>
        </is>
      </c>
      <c r="B673" s="1" t="n">
        <v>45852.53185185185</v>
      </c>
      <c r="C673" s="1" t="n">
        <v>46010</v>
      </c>
      <c r="D673" t="inlineStr">
        <is>
          <t>JÄMTLANDS LÄN</t>
        </is>
      </c>
      <c r="E673" t="inlineStr">
        <is>
          <t>RAGUNDA</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26026-2024</t>
        </is>
      </c>
      <c r="B674" s="1" t="n">
        <v>45467.96207175926</v>
      </c>
      <c r="C674" s="1" t="n">
        <v>46010</v>
      </c>
      <c r="D674" t="inlineStr">
        <is>
          <t>JÄMTLANDS LÄN</t>
        </is>
      </c>
      <c r="E674" t="inlineStr">
        <is>
          <t>RAGUNDA</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35091-2025</t>
        </is>
      </c>
      <c r="B675" s="1" t="n">
        <v>45852.53168981482</v>
      </c>
      <c r="C675" s="1" t="n">
        <v>46010</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5429-2024</t>
        </is>
      </c>
      <c r="B676" s="1" t="n">
        <v>45331.92746527777</v>
      </c>
      <c r="C676" s="1" t="n">
        <v>46010</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35462-2025</t>
        </is>
      </c>
      <c r="B677" s="1" t="n">
        <v>45855.61523148148</v>
      </c>
      <c r="C677" s="1" t="n">
        <v>46010</v>
      </c>
      <c r="D677" t="inlineStr">
        <is>
          <t>JÄMTLANDS LÄN</t>
        </is>
      </c>
      <c r="E677" t="inlineStr">
        <is>
          <t>RAGUNDA</t>
        </is>
      </c>
      <c r="F677" t="inlineStr">
        <is>
          <t>SCA</t>
        </is>
      </c>
      <c r="G677" t="n">
        <v>5.7</v>
      </c>
      <c r="H677" t="n">
        <v>0</v>
      </c>
      <c r="I677" t="n">
        <v>0</v>
      </c>
      <c r="J677" t="n">
        <v>0</v>
      </c>
      <c r="K677" t="n">
        <v>0</v>
      </c>
      <c r="L677" t="n">
        <v>0</v>
      </c>
      <c r="M677" t="n">
        <v>0</v>
      </c>
      <c r="N677" t="n">
        <v>0</v>
      </c>
      <c r="O677" t="n">
        <v>0</v>
      </c>
      <c r="P677" t="n">
        <v>0</v>
      </c>
      <c r="Q677" t="n">
        <v>0</v>
      </c>
      <c r="R677" s="2" t="inlineStr"/>
    </row>
    <row r="678" ht="15" customHeight="1">
      <c r="A678" t="inlineStr">
        <is>
          <t>A 35355-2025</t>
        </is>
      </c>
      <c r="B678" s="1" t="n">
        <v>45854.65663194445</v>
      </c>
      <c r="C678" s="1" t="n">
        <v>46010</v>
      </c>
      <c r="D678" t="inlineStr">
        <is>
          <t>JÄMTLANDS LÄN</t>
        </is>
      </c>
      <c r="E678" t="inlineStr">
        <is>
          <t>RAGUNDA</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35477-2025</t>
        </is>
      </c>
      <c r="B679" s="1" t="n">
        <v>45855.67899305555</v>
      </c>
      <c r="C679" s="1" t="n">
        <v>46010</v>
      </c>
      <c r="D679" t="inlineStr">
        <is>
          <t>JÄMTLANDS LÄN</t>
        </is>
      </c>
      <c r="E679" t="inlineStr">
        <is>
          <t>RAGUNDA</t>
        </is>
      </c>
      <c r="G679" t="n">
        <v>3.6</v>
      </c>
      <c r="H679" t="n">
        <v>0</v>
      </c>
      <c r="I679" t="n">
        <v>0</v>
      </c>
      <c r="J679" t="n">
        <v>0</v>
      </c>
      <c r="K679" t="n">
        <v>0</v>
      </c>
      <c r="L679" t="n">
        <v>0</v>
      </c>
      <c r="M679" t="n">
        <v>0</v>
      </c>
      <c r="N679" t="n">
        <v>0</v>
      </c>
      <c r="O679" t="n">
        <v>0</v>
      </c>
      <c r="P679" t="n">
        <v>0</v>
      </c>
      <c r="Q679" t="n">
        <v>0</v>
      </c>
      <c r="R679" s="2" t="inlineStr"/>
    </row>
    <row r="680" ht="15" customHeight="1">
      <c r="A680" t="inlineStr">
        <is>
          <t>A 3720-2025</t>
        </is>
      </c>
      <c r="B680" s="1" t="n">
        <v>45681.5315625</v>
      </c>
      <c r="C680" s="1" t="n">
        <v>46010</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3770-2025</t>
        </is>
      </c>
      <c r="B681" s="1" t="n">
        <v>45681.6050925926</v>
      </c>
      <c r="C681" s="1" t="n">
        <v>46010</v>
      </c>
      <c r="D681" t="inlineStr">
        <is>
          <t>JÄMTLANDS LÄN</t>
        </is>
      </c>
      <c r="E681" t="inlineStr">
        <is>
          <t>RAGUNDA</t>
        </is>
      </c>
      <c r="G681" t="n">
        <v>2.7</v>
      </c>
      <c r="H681" t="n">
        <v>0</v>
      </c>
      <c r="I681" t="n">
        <v>0</v>
      </c>
      <c r="J681" t="n">
        <v>0</v>
      </c>
      <c r="K681" t="n">
        <v>0</v>
      </c>
      <c r="L681" t="n">
        <v>0</v>
      </c>
      <c r="M681" t="n">
        <v>0</v>
      </c>
      <c r="N681" t="n">
        <v>0</v>
      </c>
      <c r="O681" t="n">
        <v>0</v>
      </c>
      <c r="P681" t="n">
        <v>0</v>
      </c>
      <c r="Q681" t="n">
        <v>0</v>
      </c>
      <c r="R681" s="2" t="inlineStr"/>
    </row>
    <row r="682" ht="15" customHeight="1">
      <c r="A682" t="inlineStr">
        <is>
          <t>A 35541-2025</t>
        </is>
      </c>
      <c r="B682" s="1" t="n">
        <v>45856.46931712963</v>
      </c>
      <c r="C682" s="1" t="n">
        <v>46010</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51579-2024</t>
        </is>
      </c>
      <c r="B683" s="1" t="n">
        <v>45604.63575231482</v>
      </c>
      <c r="C683" s="1" t="n">
        <v>46010</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35658-2025</t>
        </is>
      </c>
      <c r="B684" s="1" t="n">
        <v>45859.594375</v>
      </c>
      <c r="C684" s="1" t="n">
        <v>46010</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8775-2025</t>
        </is>
      </c>
      <c r="B685" s="1" t="n">
        <v>45712.61502314815</v>
      </c>
      <c r="C685" s="1" t="n">
        <v>46010</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2339-2025</t>
        </is>
      </c>
      <c r="B686" s="1" t="n">
        <v>45673.66358796296</v>
      </c>
      <c r="C686" s="1" t="n">
        <v>46010</v>
      </c>
      <c r="D686" t="inlineStr">
        <is>
          <t>JÄMTLANDS LÄN</t>
        </is>
      </c>
      <c r="E686" t="inlineStr">
        <is>
          <t>RAGUNDA</t>
        </is>
      </c>
      <c r="G686" t="n">
        <v>5</v>
      </c>
      <c r="H686" t="n">
        <v>0</v>
      </c>
      <c r="I686" t="n">
        <v>0</v>
      </c>
      <c r="J686" t="n">
        <v>0</v>
      </c>
      <c r="K686" t="n">
        <v>0</v>
      </c>
      <c r="L686" t="n">
        <v>0</v>
      </c>
      <c r="M686" t="n">
        <v>0</v>
      </c>
      <c r="N686" t="n">
        <v>0</v>
      </c>
      <c r="O686" t="n">
        <v>0</v>
      </c>
      <c r="P686" t="n">
        <v>0</v>
      </c>
      <c r="Q686" t="n">
        <v>0</v>
      </c>
      <c r="R686" s="2" t="inlineStr"/>
    </row>
    <row r="687" ht="15" customHeight="1">
      <c r="A687" t="inlineStr">
        <is>
          <t>A 45894-2025</t>
        </is>
      </c>
      <c r="B687" s="1" t="n">
        <v>45923.67765046296</v>
      </c>
      <c r="C687" s="1" t="n">
        <v>46010</v>
      </c>
      <c r="D687" t="inlineStr">
        <is>
          <t>JÄMTLANDS LÄN</t>
        </is>
      </c>
      <c r="E687" t="inlineStr">
        <is>
          <t>RAGUNDA</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35689-2025</t>
        </is>
      </c>
      <c r="B688" s="1" t="n">
        <v>45860.30229166667</v>
      </c>
      <c r="C688" s="1" t="n">
        <v>46010</v>
      </c>
      <c r="D688" t="inlineStr">
        <is>
          <t>JÄMTLANDS LÄN</t>
        </is>
      </c>
      <c r="E688" t="inlineStr">
        <is>
          <t>RAGUNDA</t>
        </is>
      </c>
      <c r="G688" t="n">
        <v>1.9</v>
      </c>
      <c r="H688" t="n">
        <v>0</v>
      </c>
      <c r="I688" t="n">
        <v>0</v>
      </c>
      <c r="J688" t="n">
        <v>0</v>
      </c>
      <c r="K688" t="n">
        <v>0</v>
      </c>
      <c r="L688" t="n">
        <v>0</v>
      </c>
      <c r="M688" t="n">
        <v>0</v>
      </c>
      <c r="N688" t="n">
        <v>0</v>
      </c>
      <c r="O688" t="n">
        <v>0</v>
      </c>
      <c r="P688" t="n">
        <v>0</v>
      </c>
      <c r="Q688" t="n">
        <v>0</v>
      </c>
      <c r="R688" s="2" t="inlineStr"/>
    </row>
    <row r="689" ht="15" customHeight="1">
      <c r="A689" t="inlineStr">
        <is>
          <t>A 27499-2024</t>
        </is>
      </c>
      <c r="B689" s="1" t="n">
        <v>45474.50608796296</v>
      </c>
      <c r="C689" s="1" t="n">
        <v>46010</v>
      </c>
      <c r="D689" t="inlineStr">
        <is>
          <t>JÄMTLANDS LÄN</t>
        </is>
      </c>
      <c r="E689" t="inlineStr">
        <is>
          <t>RAGUNDA</t>
        </is>
      </c>
      <c r="G689" t="n">
        <v>1.3</v>
      </c>
      <c r="H689" t="n">
        <v>0</v>
      </c>
      <c r="I689" t="n">
        <v>0</v>
      </c>
      <c r="J689" t="n">
        <v>0</v>
      </c>
      <c r="K689" t="n">
        <v>0</v>
      </c>
      <c r="L689" t="n">
        <v>0</v>
      </c>
      <c r="M689" t="n">
        <v>0</v>
      </c>
      <c r="N689" t="n">
        <v>0</v>
      </c>
      <c r="O689" t="n">
        <v>0</v>
      </c>
      <c r="P689" t="n">
        <v>0</v>
      </c>
      <c r="Q689" t="n">
        <v>0</v>
      </c>
      <c r="R689" s="2" t="inlineStr"/>
    </row>
    <row r="690" ht="15" customHeight="1">
      <c r="A690" t="inlineStr">
        <is>
          <t>A 57078-2023</t>
        </is>
      </c>
      <c r="B690" s="1" t="n">
        <v>45244.96774305555</v>
      </c>
      <c r="C690" s="1" t="n">
        <v>46010</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46192-2025</t>
        </is>
      </c>
      <c r="B691" s="1" t="n">
        <v>45924.67789351852</v>
      </c>
      <c r="C691" s="1" t="n">
        <v>46010</v>
      </c>
      <c r="D691" t="inlineStr">
        <is>
          <t>JÄMTLANDS LÄN</t>
        </is>
      </c>
      <c r="E691" t="inlineStr">
        <is>
          <t>RAGUNDA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59368-2022</t>
        </is>
      </c>
      <c r="B692" s="1" t="n">
        <v>44904.94824074074</v>
      </c>
      <c r="C692" s="1" t="n">
        <v>46010</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6801-2023</t>
        </is>
      </c>
      <c r="B693" s="1" t="n">
        <v>44966.95328703704</v>
      </c>
      <c r="C693" s="1" t="n">
        <v>46010</v>
      </c>
      <c r="D693" t="inlineStr">
        <is>
          <t>JÄMTLANDS LÄN</t>
        </is>
      </c>
      <c r="E693" t="inlineStr">
        <is>
          <t>RAGUNDA</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41656-2023</t>
        </is>
      </c>
      <c r="B694" s="1" t="n">
        <v>45175</v>
      </c>
      <c r="C694" s="1" t="n">
        <v>46010</v>
      </c>
      <c r="D694" t="inlineStr">
        <is>
          <t>JÄMTLANDS LÄN</t>
        </is>
      </c>
      <c r="E694" t="inlineStr">
        <is>
          <t>RAGUNDA</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54092-2024</t>
        </is>
      </c>
      <c r="B695" s="1" t="n">
        <v>45616.5108912037</v>
      </c>
      <c r="C695" s="1" t="n">
        <v>46010</v>
      </c>
      <c r="D695" t="inlineStr">
        <is>
          <t>JÄMTLANDS LÄN</t>
        </is>
      </c>
      <c r="E695" t="inlineStr">
        <is>
          <t>RAGUNDA</t>
        </is>
      </c>
      <c r="F695" t="inlineStr">
        <is>
          <t>Naturvårdsverket</t>
        </is>
      </c>
      <c r="G695" t="n">
        <v>1.3</v>
      </c>
      <c r="H695" t="n">
        <v>0</v>
      </c>
      <c r="I695" t="n">
        <v>0</v>
      </c>
      <c r="J695" t="n">
        <v>0</v>
      </c>
      <c r="K695" t="n">
        <v>0</v>
      </c>
      <c r="L695" t="n">
        <v>0</v>
      </c>
      <c r="M695" t="n">
        <v>0</v>
      </c>
      <c r="N695" t="n">
        <v>0</v>
      </c>
      <c r="O695" t="n">
        <v>0</v>
      </c>
      <c r="P695" t="n">
        <v>0</v>
      </c>
      <c r="Q695" t="n">
        <v>0</v>
      </c>
      <c r="R695" s="2" t="inlineStr"/>
    </row>
    <row r="696" ht="15" customHeight="1">
      <c r="A696" t="inlineStr">
        <is>
          <t>A 51646-2023</t>
        </is>
      </c>
      <c r="B696" s="1" t="n">
        <v>45215</v>
      </c>
      <c r="C696" s="1" t="n">
        <v>46010</v>
      </c>
      <c r="D696" t="inlineStr">
        <is>
          <t>JÄMTLANDS LÄN</t>
        </is>
      </c>
      <c r="E696" t="inlineStr">
        <is>
          <t>RAGUNDA</t>
        </is>
      </c>
      <c r="G696" t="n">
        <v>0.7</v>
      </c>
      <c r="H696" t="n">
        <v>0</v>
      </c>
      <c r="I696" t="n">
        <v>0</v>
      </c>
      <c r="J696" t="n">
        <v>0</v>
      </c>
      <c r="K696" t="n">
        <v>0</v>
      </c>
      <c r="L696" t="n">
        <v>0</v>
      </c>
      <c r="M696" t="n">
        <v>0</v>
      </c>
      <c r="N696" t="n">
        <v>0</v>
      </c>
      <c r="O696" t="n">
        <v>0</v>
      </c>
      <c r="P696" t="n">
        <v>0</v>
      </c>
      <c r="Q696" t="n">
        <v>0</v>
      </c>
      <c r="R696" s="2" t="inlineStr"/>
    </row>
    <row r="697" ht="15" customHeight="1">
      <c r="A697" t="inlineStr">
        <is>
          <t>A 37268-2024</t>
        </is>
      </c>
      <c r="B697" s="1" t="n">
        <v>45540.38586805556</v>
      </c>
      <c r="C697" s="1" t="n">
        <v>46010</v>
      </c>
      <c r="D697" t="inlineStr">
        <is>
          <t>JÄMTLANDS LÄN</t>
        </is>
      </c>
      <c r="E697" t="inlineStr">
        <is>
          <t>RAGUNDA</t>
        </is>
      </c>
      <c r="F697" t="inlineStr">
        <is>
          <t>SCA</t>
        </is>
      </c>
      <c r="G697" t="n">
        <v>6.3</v>
      </c>
      <c r="H697" t="n">
        <v>0</v>
      </c>
      <c r="I697" t="n">
        <v>0</v>
      </c>
      <c r="J697" t="n">
        <v>0</v>
      </c>
      <c r="K697" t="n">
        <v>0</v>
      </c>
      <c r="L697" t="n">
        <v>0</v>
      </c>
      <c r="M697" t="n">
        <v>0</v>
      </c>
      <c r="N697" t="n">
        <v>0</v>
      </c>
      <c r="O697" t="n">
        <v>0</v>
      </c>
      <c r="P697" t="n">
        <v>0</v>
      </c>
      <c r="Q697" t="n">
        <v>0</v>
      </c>
      <c r="R697" s="2" t="inlineStr"/>
    </row>
    <row r="698" ht="15" customHeight="1">
      <c r="A698" t="inlineStr">
        <is>
          <t>A 14512-2025</t>
        </is>
      </c>
      <c r="B698" s="1" t="n">
        <v>45741.63659722222</v>
      </c>
      <c r="C698" s="1" t="n">
        <v>46010</v>
      </c>
      <c r="D698" t="inlineStr">
        <is>
          <t>JÄMTLANDS LÄN</t>
        </is>
      </c>
      <c r="E698" t="inlineStr">
        <is>
          <t>RAGUNDA</t>
        </is>
      </c>
      <c r="F698" t="inlineStr">
        <is>
          <t>SCA</t>
        </is>
      </c>
      <c r="G698" t="n">
        <v>8.9</v>
      </c>
      <c r="H698" t="n">
        <v>0</v>
      </c>
      <c r="I698" t="n">
        <v>0</v>
      </c>
      <c r="J698" t="n">
        <v>0</v>
      </c>
      <c r="K698" t="n">
        <v>0</v>
      </c>
      <c r="L698" t="n">
        <v>0</v>
      </c>
      <c r="M698" t="n">
        <v>0</v>
      </c>
      <c r="N698" t="n">
        <v>0</v>
      </c>
      <c r="O698" t="n">
        <v>0</v>
      </c>
      <c r="P698" t="n">
        <v>0</v>
      </c>
      <c r="Q698" t="n">
        <v>0</v>
      </c>
      <c r="R698" s="2" t="inlineStr"/>
    </row>
    <row r="699" ht="15" customHeight="1">
      <c r="A699" t="inlineStr">
        <is>
          <t>A 36541-2025</t>
        </is>
      </c>
      <c r="B699" s="1" t="n">
        <v>45869.65666666667</v>
      </c>
      <c r="C699" s="1" t="n">
        <v>46010</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36544-2025</t>
        </is>
      </c>
      <c r="B700" s="1" t="n">
        <v>45869.67744212963</v>
      </c>
      <c r="C700" s="1" t="n">
        <v>46010</v>
      </c>
      <c r="D700" t="inlineStr">
        <is>
          <t>JÄMTLANDS LÄN</t>
        </is>
      </c>
      <c r="E700" t="inlineStr">
        <is>
          <t>RAGUNDA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50649-2022</t>
        </is>
      </c>
      <c r="B701" s="1" t="n">
        <v>44866</v>
      </c>
      <c r="C701" s="1" t="n">
        <v>46010</v>
      </c>
      <c r="D701" t="inlineStr">
        <is>
          <t>JÄMTLANDS LÄN</t>
        </is>
      </c>
      <c r="E701" t="inlineStr">
        <is>
          <t>RAGUNDA</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36553-2025</t>
        </is>
      </c>
      <c r="B702" s="1" t="n">
        <v>45870.34439814815</v>
      </c>
      <c r="C702" s="1" t="n">
        <v>46010</v>
      </c>
      <c r="D702" t="inlineStr">
        <is>
          <t>JÄMTLANDS LÄN</t>
        </is>
      </c>
      <c r="E702" t="inlineStr">
        <is>
          <t>RAGUNDA</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59759-2024</t>
        </is>
      </c>
      <c r="B703" s="1" t="n">
        <v>45639.55240740741</v>
      </c>
      <c r="C703" s="1" t="n">
        <v>46010</v>
      </c>
      <c r="D703" t="inlineStr">
        <is>
          <t>JÄMTLANDS LÄN</t>
        </is>
      </c>
      <c r="E703" t="inlineStr">
        <is>
          <t>RAGUNDA</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35537-2021</t>
        </is>
      </c>
      <c r="B704" s="1" t="n">
        <v>44384</v>
      </c>
      <c r="C704" s="1" t="n">
        <v>46010</v>
      </c>
      <c r="D704" t="inlineStr">
        <is>
          <t>JÄMTLANDS LÄN</t>
        </is>
      </c>
      <c r="E704" t="inlineStr">
        <is>
          <t>RAGUNDA</t>
        </is>
      </c>
      <c r="G704" t="n">
        <v>3.1</v>
      </c>
      <c r="H704" t="n">
        <v>0</v>
      </c>
      <c r="I704" t="n">
        <v>0</v>
      </c>
      <c r="J704" t="n">
        <v>0</v>
      </c>
      <c r="K704" t="n">
        <v>0</v>
      </c>
      <c r="L704" t="n">
        <v>0</v>
      </c>
      <c r="M704" t="n">
        <v>0</v>
      </c>
      <c r="N704" t="n">
        <v>0</v>
      </c>
      <c r="O704" t="n">
        <v>0</v>
      </c>
      <c r="P704" t="n">
        <v>0</v>
      </c>
      <c r="Q704" t="n">
        <v>0</v>
      </c>
      <c r="R704" s="2" t="inlineStr"/>
    </row>
    <row r="705" ht="15" customHeight="1">
      <c r="A705" t="inlineStr">
        <is>
          <t>A 2819-2023</t>
        </is>
      </c>
      <c r="B705" s="1" t="n">
        <v>44944</v>
      </c>
      <c r="C705" s="1" t="n">
        <v>46010</v>
      </c>
      <c r="D705" t="inlineStr">
        <is>
          <t>JÄMTLANDS LÄN</t>
        </is>
      </c>
      <c r="E705" t="inlineStr">
        <is>
          <t>RAGUNDA</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44536-2022</t>
        </is>
      </c>
      <c r="B706" s="1" t="n">
        <v>44839</v>
      </c>
      <c r="C706" s="1" t="n">
        <v>46010</v>
      </c>
      <c r="D706" t="inlineStr">
        <is>
          <t>JÄMTLANDS LÄN</t>
        </is>
      </c>
      <c r="E706" t="inlineStr">
        <is>
          <t>RAGUNDA</t>
        </is>
      </c>
      <c r="G706" t="n">
        <v>4</v>
      </c>
      <c r="H706" t="n">
        <v>0</v>
      </c>
      <c r="I706" t="n">
        <v>0</v>
      </c>
      <c r="J706" t="n">
        <v>0</v>
      </c>
      <c r="K706" t="n">
        <v>0</v>
      </c>
      <c r="L706" t="n">
        <v>0</v>
      </c>
      <c r="M706" t="n">
        <v>0</v>
      </c>
      <c r="N706" t="n">
        <v>0</v>
      </c>
      <c r="O706" t="n">
        <v>0</v>
      </c>
      <c r="P706" t="n">
        <v>0</v>
      </c>
      <c r="Q706" t="n">
        <v>0</v>
      </c>
      <c r="R706" s="2" t="inlineStr"/>
    </row>
    <row r="707" ht="15" customHeight="1">
      <c r="A707" t="inlineStr">
        <is>
          <t>A 46275-2025</t>
        </is>
      </c>
      <c r="B707" s="1" t="n">
        <v>45925.3711574074</v>
      </c>
      <c r="C707" s="1" t="n">
        <v>46010</v>
      </c>
      <c r="D707" t="inlineStr">
        <is>
          <t>JÄMTLANDS LÄN</t>
        </is>
      </c>
      <c r="E707" t="inlineStr">
        <is>
          <t>RAGUNDA</t>
        </is>
      </c>
      <c r="G707" t="n">
        <v>2.7</v>
      </c>
      <c r="H707" t="n">
        <v>0</v>
      </c>
      <c r="I707" t="n">
        <v>0</v>
      </c>
      <c r="J707" t="n">
        <v>0</v>
      </c>
      <c r="K707" t="n">
        <v>0</v>
      </c>
      <c r="L707" t="n">
        <v>0</v>
      </c>
      <c r="M707" t="n">
        <v>0</v>
      </c>
      <c r="N707" t="n">
        <v>0</v>
      </c>
      <c r="O707" t="n">
        <v>0</v>
      </c>
      <c r="P707" t="n">
        <v>0</v>
      </c>
      <c r="Q707" t="n">
        <v>0</v>
      </c>
      <c r="R707" s="2" t="inlineStr"/>
    </row>
    <row r="708" ht="15" customHeight="1">
      <c r="A708" t="inlineStr">
        <is>
          <t>A 32075-2025</t>
        </is>
      </c>
      <c r="B708" s="1" t="n">
        <v>45835.4506712963</v>
      </c>
      <c r="C708" s="1" t="n">
        <v>46010</v>
      </c>
      <c r="D708" t="inlineStr">
        <is>
          <t>JÄMTLANDS LÄN</t>
        </is>
      </c>
      <c r="E708" t="inlineStr">
        <is>
          <t>RAGUNDA</t>
        </is>
      </c>
      <c r="G708" t="n">
        <v>1.1</v>
      </c>
      <c r="H708" t="n">
        <v>0</v>
      </c>
      <c r="I708" t="n">
        <v>0</v>
      </c>
      <c r="J708" t="n">
        <v>0</v>
      </c>
      <c r="K708" t="n">
        <v>0</v>
      </c>
      <c r="L708" t="n">
        <v>0</v>
      </c>
      <c r="M708" t="n">
        <v>0</v>
      </c>
      <c r="N708" t="n">
        <v>0</v>
      </c>
      <c r="O708" t="n">
        <v>0</v>
      </c>
      <c r="P708" t="n">
        <v>0</v>
      </c>
      <c r="Q708" t="n">
        <v>0</v>
      </c>
      <c r="R708" s="2" t="inlineStr"/>
    </row>
    <row r="709" ht="15" customHeight="1">
      <c r="A709" t="inlineStr">
        <is>
          <t>A 30459-2021</t>
        </is>
      </c>
      <c r="B709" s="1" t="n">
        <v>44362</v>
      </c>
      <c r="C709" s="1" t="n">
        <v>46010</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32874-2025</t>
        </is>
      </c>
      <c r="B710" s="1" t="n">
        <v>45839</v>
      </c>
      <c r="C710" s="1" t="n">
        <v>46010</v>
      </c>
      <c r="D710" t="inlineStr">
        <is>
          <t>JÄMTLANDS LÄN</t>
        </is>
      </c>
      <c r="E710" t="inlineStr">
        <is>
          <t>RAGUNDA</t>
        </is>
      </c>
      <c r="G710" t="n">
        <v>2.3</v>
      </c>
      <c r="H710" t="n">
        <v>0</v>
      </c>
      <c r="I710" t="n">
        <v>0</v>
      </c>
      <c r="J710" t="n">
        <v>0</v>
      </c>
      <c r="K710" t="n">
        <v>0</v>
      </c>
      <c r="L710" t="n">
        <v>0</v>
      </c>
      <c r="M710" t="n">
        <v>0</v>
      </c>
      <c r="N710" t="n">
        <v>0</v>
      </c>
      <c r="O710" t="n">
        <v>0</v>
      </c>
      <c r="P710" t="n">
        <v>0</v>
      </c>
      <c r="Q710" t="n">
        <v>0</v>
      </c>
      <c r="R710" s="2" t="inlineStr"/>
    </row>
    <row r="711" ht="15" customHeight="1">
      <c r="A711" t="inlineStr">
        <is>
          <t>A 36994-2025</t>
        </is>
      </c>
      <c r="B711" s="1" t="n">
        <v>45874.67746527777</v>
      </c>
      <c r="C711" s="1" t="n">
        <v>46010</v>
      </c>
      <c r="D711" t="inlineStr">
        <is>
          <t>JÄMTLANDS LÄN</t>
        </is>
      </c>
      <c r="E711" t="inlineStr">
        <is>
          <t>RAGUNDA</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37008-2025</t>
        </is>
      </c>
      <c r="B712" s="1" t="n">
        <v>45874.69844907407</v>
      </c>
      <c r="C712" s="1" t="n">
        <v>46010</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37543-2023</t>
        </is>
      </c>
      <c r="B713" s="1" t="n">
        <v>45158.94231481481</v>
      </c>
      <c r="C713" s="1" t="n">
        <v>46010</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36947-2025</t>
        </is>
      </c>
      <c r="B714" s="1" t="n">
        <v>45874.59496527778</v>
      </c>
      <c r="C714" s="1" t="n">
        <v>46010</v>
      </c>
      <c r="D714" t="inlineStr">
        <is>
          <t>JÄMTLANDS LÄN</t>
        </is>
      </c>
      <c r="E714" t="inlineStr">
        <is>
          <t>RAGUNDA</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37292-2025</t>
        </is>
      </c>
      <c r="B715" s="1" t="n">
        <v>45876.53188657408</v>
      </c>
      <c r="C715" s="1" t="n">
        <v>46010</v>
      </c>
      <c r="D715" t="inlineStr">
        <is>
          <t>JÄMTLANDS LÄN</t>
        </is>
      </c>
      <c r="E715" t="inlineStr">
        <is>
          <t>RAGUNDA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7668-2025</t>
        </is>
      </c>
      <c r="B716" s="1" t="n">
        <v>45706.34450231482</v>
      </c>
      <c r="C716" s="1" t="n">
        <v>46010</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46825-2025</t>
        </is>
      </c>
      <c r="B717" s="1" t="n">
        <v>45926.92506944444</v>
      </c>
      <c r="C717" s="1" t="n">
        <v>46010</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36046-2023</t>
        </is>
      </c>
      <c r="B718" s="1" t="n">
        <v>45148</v>
      </c>
      <c r="C718" s="1" t="n">
        <v>46010</v>
      </c>
      <c r="D718" t="inlineStr">
        <is>
          <t>JÄMTLANDS LÄN</t>
        </is>
      </c>
      <c r="E718" t="inlineStr">
        <is>
          <t>RAGUNDA</t>
        </is>
      </c>
      <c r="G718" t="n">
        <v>1.9</v>
      </c>
      <c r="H718" t="n">
        <v>0</v>
      </c>
      <c r="I718" t="n">
        <v>0</v>
      </c>
      <c r="J718" t="n">
        <v>0</v>
      </c>
      <c r="K718" t="n">
        <v>0</v>
      </c>
      <c r="L718" t="n">
        <v>0</v>
      </c>
      <c r="M718" t="n">
        <v>0</v>
      </c>
      <c r="N718" t="n">
        <v>0</v>
      </c>
      <c r="O718" t="n">
        <v>0</v>
      </c>
      <c r="P718" t="n">
        <v>0</v>
      </c>
      <c r="Q718" t="n">
        <v>0</v>
      </c>
      <c r="R718" s="2" t="inlineStr"/>
    </row>
    <row r="719" ht="15" customHeight="1">
      <c r="A719" t="inlineStr">
        <is>
          <t>A 46710-2025</t>
        </is>
      </c>
      <c r="B719" s="1" t="n">
        <v>45926.57337962963</v>
      </c>
      <c r="C719" s="1" t="n">
        <v>46010</v>
      </c>
      <c r="D719" t="inlineStr">
        <is>
          <t>JÄMTLANDS LÄN</t>
        </is>
      </c>
      <c r="E719" t="inlineStr">
        <is>
          <t>RAGUNDA</t>
        </is>
      </c>
      <c r="F719" t="inlineStr">
        <is>
          <t>SCA</t>
        </is>
      </c>
      <c r="G719" t="n">
        <v>6</v>
      </c>
      <c r="H719" t="n">
        <v>0</v>
      </c>
      <c r="I719" t="n">
        <v>0</v>
      </c>
      <c r="J719" t="n">
        <v>0</v>
      </c>
      <c r="K719" t="n">
        <v>0</v>
      </c>
      <c r="L719" t="n">
        <v>0</v>
      </c>
      <c r="M719" t="n">
        <v>0</v>
      </c>
      <c r="N719" t="n">
        <v>0</v>
      </c>
      <c r="O719" t="n">
        <v>0</v>
      </c>
      <c r="P719" t="n">
        <v>0</v>
      </c>
      <c r="Q719" t="n">
        <v>0</v>
      </c>
      <c r="R719" s="2" t="inlineStr"/>
    </row>
    <row r="720" ht="15" customHeight="1">
      <c r="A720" t="inlineStr">
        <is>
          <t>A 47075-2025</t>
        </is>
      </c>
      <c r="B720" s="1" t="n">
        <v>45929.63728009259</v>
      </c>
      <c r="C720" s="1" t="n">
        <v>46010</v>
      </c>
      <c r="D720" t="inlineStr">
        <is>
          <t>JÄMTLANDS LÄN</t>
        </is>
      </c>
      <c r="E720" t="inlineStr">
        <is>
          <t>RAGUNDA</t>
        </is>
      </c>
      <c r="F720" t="inlineStr">
        <is>
          <t>SCA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8654-2024</t>
        </is>
      </c>
      <c r="B721" s="1" t="n">
        <v>45356.03784722222</v>
      </c>
      <c r="C721" s="1" t="n">
        <v>46010</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6902-2024</t>
        </is>
      </c>
      <c r="B722" s="1" t="n">
        <v>45342</v>
      </c>
      <c r="C722" s="1" t="n">
        <v>46010</v>
      </c>
      <c r="D722" t="inlineStr">
        <is>
          <t>JÄMTLANDS LÄN</t>
        </is>
      </c>
      <c r="E722" t="inlineStr">
        <is>
          <t>RAGUNDA</t>
        </is>
      </c>
      <c r="F722" t="inlineStr">
        <is>
          <t>SCA</t>
        </is>
      </c>
      <c r="G722" t="n">
        <v>18.7</v>
      </c>
      <c r="H722" t="n">
        <v>0</v>
      </c>
      <c r="I722" t="n">
        <v>0</v>
      </c>
      <c r="J722" t="n">
        <v>0</v>
      </c>
      <c r="K722" t="n">
        <v>0</v>
      </c>
      <c r="L722" t="n">
        <v>0</v>
      </c>
      <c r="M722" t="n">
        <v>0</v>
      </c>
      <c r="N722" t="n">
        <v>0</v>
      </c>
      <c r="O722" t="n">
        <v>0</v>
      </c>
      <c r="P722" t="n">
        <v>0</v>
      </c>
      <c r="Q722" t="n">
        <v>0</v>
      </c>
      <c r="R722" s="2" t="inlineStr"/>
    </row>
    <row r="723" ht="15" customHeight="1">
      <c r="A723" t="inlineStr">
        <is>
          <t>A 6905-2024</t>
        </is>
      </c>
      <c r="B723" s="1" t="n">
        <v>45342.9462037037</v>
      </c>
      <c r="C723" s="1" t="n">
        <v>46010</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22731-2023</t>
        </is>
      </c>
      <c r="B724" s="1" t="n">
        <v>45071</v>
      </c>
      <c r="C724" s="1" t="n">
        <v>46010</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47119-2025</t>
        </is>
      </c>
      <c r="B725" s="1" t="n">
        <v>45929.67795138889</v>
      </c>
      <c r="C725" s="1" t="n">
        <v>46010</v>
      </c>
      <c r="D725" t="inlineStr">
        <is>
          <t>JÄMTLANDS LÄN</t>
        </is>
      </c>
      <c r="E725" t="inlineStr">
        <is>
          <t>RAGUNDA</t>
        </is>
      </c>
      <c r="F725" t="inlineStr">
        <is>
          <t>SCA</t>
        </is>
      </c>
      <c r="G725" t="n">
        <v>22.7</v>
      </c>
      <c r="H725" t="n">
        <v>0</v>
      </c>
      <c r="I725" t="n">
        <v>0</v>
      </c>
      <c r="J725" t="n">
        <v>0</v>
      </c>
      <c r="K725" t="n">
        <v>0</v>
      </c>
      <c r="L725" t="n">
        <v>0</v>
      </c>
      <c r="M725" t="n">
        <v>0</v>
      </c>
      <c r="N725" t="n">
        <v>0</v>
      </c>
      <c r="O725" t="n">
        <v>0</v>
      </c>
      <c r="P725" t="n">
        <v>0</v>
      </c>
      <c r="Q725" t="n">
        <v>0</v>
      </c>
      <c r="R725" s="2" t="inlineStr"/>
    </row>
    <row r="726" ht="15" customHeight="1">
      <c r="A726" t="inlineStr">
        <is>
          <t>A 11245-2025</t>
        </is>
      </c>
      <c r="B726" s="1" t="n">
        <v>45726.38575231482</v>
      </c>
      <c r="C726" s="1" t="n">
        <v>46010</v>
      </c>
      <c r="D726" t="inlineStr">
        <is>
          <t>JÄMTLANDS LÄN</t>
        </is>
      </c>
      <c r="E726" t="inlineStr">
        <is>
          <t>RAGUNDA</t>
        </is>
      </c>
      <c r="G726" t="n">
        <v>2.3</v>
      </c>
      <c r="H726" t="n">
        <v>0</v>
      </c>
      <c r="I726" t="n">
        <v>0</v>
      </c>
      <c r="J726" t="n">
        <v>0</v>
      </c>
      <c r="K726" t="n">
        <v>0</v>
      </c>
      <c r="L726" t="n">
        <v>0</v>
      </c>
      <c r="M726" t="n">
        <v>0</v>
      </c>
      <c r="N726" t="n">
        <v>0</v>
      </c>
      <c r="O726" t="n">
        <v>0</v>
      </c>
      <c r="P726" t="n">
        <v>0</v>
      </c>
      <c r="Q726" t="n">
        <v>0</v>
      </c>
      <c r="R726" s="2" t="inlineStr"/>
    </row>
    <row r="727" ht="15" customHeight="1">
      <c r="A727" t="inlineStr">
        <is>
          <t>A 61923-2024</t>
        </is>
      </c>
      <c r="B727" s="1" t="n">
        <v>45653.44836805556</v>
      </c>
      <c r="C727" s="1" t="n">
        <v>46010</v>
      </c>
      <c r="D727" t="inlineStr">
        <is>
          <t>JÄMTLANDS LÄN</t>
        </is>
      </c>
      <c r="E727" t="inlineStr">
        <is>
          <t>RAGUNDA</t>
        </is>
      </c>
      <c r="F727" t="inlineStr">
        <is>
          <t>SCA</t>
        </is>
      </c>
      <c r="G727" t="n">
        <v>11.1</v>
      </c>
      <c r="H727" t="n">
        <v>0</v>
      </c>
      <c r="I727" t="n">
        <v>0</v>
      </c>
      <c r="J727" t="n">
        <v>0</v>
      </c>
      <c r="K727" t="n">
        <v>0</v>
      </c>
      <c r="L727" t="n">
        <v>0</v>
      </c>
      <c r="M727" t="n">
        <v>0</v>
      </c>
      <c r="N727" t="n">
        <v>0</v>
      </c>
      <c r="O727" t="n">
        <v>0</v>
      </c>
      <c r="P727" t="n">
        <v>0</v>
      </c>
      <c r="Q727" t="n">
        <v>0</v>
      </c>
      <c r="R727" s="2" t="inlineStr"/>
    </row>
    <row r="728" ht="15" customHeight="1">
      <c r="A728" t="inlineStr">
        <is>
          <t>A 23567-2024</t>
        </is>
      </c>
      <c r="B728" s="1" t="n">
        <v>45453.95538194444</v>
      </c>
      <c r="C728" s="1" t="n">
        <v>46010</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19246-2023</t>
        </is>
      </c>
      <c r="B729" s="1" t="n">
        <v>45048.94340277778</v>
      </c>
      <c r="C729" s="1" t="n">
        <v>46010</v>
      </c>
      <c r="D729" t="inlineStr">
        <is>
          <t>JÄMTLANDS LÄN</t>
        </is>
      </c>
      <c r="E729" t="inlineStr">
        <is>
          <t>RAGUNDA</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61109-2024</t>
        </is>
      </c>
      <c r="B730" s="1" t="n">
        <v>45645.55672453704</v>
      </c>
      <c r="C730" s="1" t="n">
        <v>46010</v>
      </c>
      <c r="D730" t="inlineStr">
        <is>
          <t>JÄMTLANDS LÄN</t>
        </is>
      </c>
      <c r="E730" t="inlineStr">
        <is>
          <t>RAGUNDA</t>
        </is>
      </c>
      <c r="G730" t="n">
        <v>4</v>
      </c>
      <c r="H730" t="n">
        <v>0</v>
      </c>
      <c r="I730" t="n">
        <v>0</v>
      </c>
      <c r="J730" t="n">
        <v>0</v>
      </c>
      <c r="K730" t="n">
        <v>0</v>
      </c>
      <c r="L730" t="n">
        <v>0</v>
      </c>
      <c r="M730" t="n">
        <v>0</v>
      </c>
      <c r="N730" t="n">
        <v>0</v>
      </c>
      <c r="O730" t="n">
        <v>0</v>
      </c>
      <c r="P730" t="n">
        <v>0</v>
      </c>
      <c r="Q730" t="n">
        <v>0</v>
      </c>
      <c r="R730" s="2" t="inlineStr"/>
    </row>
    <row r="731" ht="15" customHeight="1">
      <c r="A731" t="inlineStr">
        <is>
          <t>A 58955-2024</t>
        </is>
      </c>
      <c r="B731" s="1" t="n">
        <v>45636.57329861111</v>
      </c>
      <c r="C731" s="1" t="n">
        <v>46010</v>
      </c>
      <c r="D731" t="inlineStr">
        <is>
          <t>JÄMTLANDS LÄN</t>
        </is>
      </c>
      <c r="E731" t="inlineStr">
        <is>
          <t>RAGUNDA</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46689-2025</t>
        </is>
      </c>
      <c r="B732" s="1" t="n">
        <v>45926.55307870371</v>
      </c>
      <c r="C732" s="1" t="n">
        <v>46010</v>
      </c>
      <c r="D732" t="inlineStr">
        <is>
          <t>JÄMTLANDS LÄN</t>
        </is>
      </c>
      <c r="E732" t="inlineStr">
        <is>
          <t>RAGUNDA</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46909-2025</t>
        </is>
      </c>
      <c r="B733" s="1" t="n">
        <v>45929.40673611111</v>
      </c>
      <c r="C733" s="1" t="n">
        <v>46010</v>
      </c>
      <c r="D733" t="inlineStr">
        <is>
          <t>JÄMTLANDS LÄN</t>
        </is>
      </c>
      <c r="E733" t="inlineStr">
        <is>
          <t>RAGUNDA</t>
        </is>
      </c>
      <c r="G733" t="n">
        <v>5.7</v>
      </c>
      <c r="H733" t="n">
        <v>0</v>
      </c>
      <c r="I733" t="n">
        <v>0</v>
      </c>
      <c r="J733" t="n">
        <v>0</v>
      </c>
      <c r="K733" t="n">
        <v>0</v>
      </c>
      <c r="L733" t="n">
        <v>0</v>
      </c>
      <c r="M733" t="n">
        <v>0</v>
      </c>
      <c r="N733" t="n">
        <v>0</v>
      </c>
      <c r="O733" t="n">
        <v>0</v>
      </c>
      <c r="P733" t="n">
        <v>0</v>
      </c>
      <c r="Q733" t="n">
        <v>0</v>
      </c>
      <c r="R733" s="2" t="inlineStr"/>
    </row>
    <row r="734" ht="15" customHeight="1">
      <c r="A734" t="inlineStr">
        <is>
          <t>A 9504-2025</t>
        </is>
      </c>
      <c r="B734" s="1" t="n">
        <v>45714</v>
      </c>
      <c r="C734" s="1" t="n">
        <v>46010</v>
      </c>
      <c r="D734" t="inlineStr">
        <is>
          <t>JÄMTLANDS LÄN</t>
        </is>
      </c>
      <c r="E734" t="inlineStr">
        <is>
          <t>RAGUNDA</t>
        </is>
      </c>
      <c r="G734" t="n">
        <v>6</v>
      </c>
      <c r="H734" t="n">
        <v>0</v>
      </c>
      <c r="I734" t="n">
        <v>0</v>
      </c>
      <c r="J734" t="n">
        <v>0</v>
      </c>
      <c r="K734" t="n">
        <v>0</v>
      </c>
      <c r="L734" t="n">
        <v>0</v>
      </c>
      <c r="M734" t="n">
        <v>0</v>
      </c>
      <c r="N734" t="n">
        <v>0</v>
      </c>
      <c r="O734" t="n">
        <v>0</v>
      </c>
      <c r="P734" t="n">
        <v>0</v>
      </c>
      <c r="Q734" t="n">
        <v>0</v>
      </c>
      <c r="R734" s="2" t="inlineStr"/>
    </row>
    <row r="735" ht="15" customHeight="1">
      <c r="A735" t="inlineStr">
        <is>
          <t>A 47122-2025</t>
        </is>
      </c>
      <c r="B735" s="1" t="n">
        <v>45929.67878472222</v>
      </c>
      <c r="C735" s="1" t="n">
        <v>46010</v>
      </c>
      <c r="D735" t="inlineStr">
        <is>
          <t>JÄMTLANDS LÄN</t>
        </is>
      </c>
      <c r="E735" t="inlineStr">
        <is>
          <t>RAGUNDA</t>
        </is>
      </c>
      <c r="F735" t="inlineStr">
        <is>
          <t>SCA</t>
        </is>
      </c>
      <c r="G735" t="n">
        <v>31.1</v>
      </c>
      <c r="H735" t="n">
        <v>0</v>
      </c>
      <c r="I735" t="n">
        <v>0</v>
      </c>
      <c r="J735" t="n">
        <v>0</v>
      </c>
      <c r="K735" t="n">
        <v>0</v>
      </c>
      <c r="L735" t="n">
        <v>0</v>
      </c>
      <c r="M735" t="n">
        <v>0</v>
      </c>
      <c r="N735" t="n">
        <v>0</v>
      </c>
      <c r="O735" t="n">
        <v>0</v>
      </c>
      <c r="P735" t="n">
        <v>0</v>
      </c>
      <c r="Q735" t="n">
        <v>0</v>
      </c>
      <c r="R735" s="2" t="inlineStr"/>
    </row>
    <row r="736" ht="15" customHeight="1">
      <c r="A736" t="inlineStr">
        <is>
          <t>A 33877-2023</t>
        </is>
      </c>
      <c r="B736" s="1" t="n">
        <v>45133</v>
      </c>
      <c r="C736" s="1" t="n">
        <v>46010</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46974-2025</t>
        </is>
      </c>
      <c r="B737" s="1" t="n">
        <v>45929.51104166666</v>
      </c>
      <c r="C737" s="1" t="n">
        <v>46010</v>
      </c>
      <c r="D737" t="inlineStr">
        <is>
          <t>JÄMTLANDS LÄN</t>
        </is>
      </c>
      <c r="E737" t="inlineStr">
        <is>
          <t>RAGUNDA</t>
        </is>
      </c>
      <c r="F737" t="inlineStr">
        <is>
          <t>SCA</t>
        </is>
      </c>
      <c r="G737" t="n">
        <v>12.1</v>
      </c>
      <c r="H737" t="n">
        <v>0</v>
      </c>
      <c r="I737" t="n">
        <v>0</v>
      </c>
      <c r="J737" t="n">
        <v>0</v>
      </c>
      <c r="K737" t="n">
        <v>0</v>
      </c>
      <c r="L737" t="n">
        <v>0</v>
      </c>
      <c r="M737" t="n">
        <v>0</v>
      </c>
      <c r="N737" t="n">
        <v>0</v>
      </c>
      <c r="O737" t="n">
        <v>0</v>
      </c>
      <c r="P737" t="n">
        <v>0</v>
      </c>
      <c r="Q737" t="n">
        <v>0</v>
      </c>
      <c r="R737" s="2" t="inlineStr"/>
    </row>
    <row r="738" ht="15" customHeight="1">
      <c r="A738" t="inlineStr">
        <is>
          <t>A 62541-2022</t>
        </is>
      </c>
      <c r="B738" s="1" t="n">
        <v>44917</v>
      </c>
      <c r="C738" s="1" t="n">
        <v>46010</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9567-2025</t>
        </is>
      </c>
      <c r="B739" s="1" t="n">
        <v>45715.61523148148</v>
      </c>
      <c r="C739" s="1" t="n">
        <v>46010</v>
      </c>
      <c r="D739" t="inlineStr">
        <is>
          <t>JÄMTLANDS LÄN</t>
        </is>
      </c>
      <c r="E739" t="inlineStr">
        <is>
          <t>RAGUNDA</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21661-2023</t>
        </is>
      </c>
      <c r="B740" s="1" t="n">
        <v>45063</v>
      </c>
      <c r="C740" s="1" t="n">
        <v>46010</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46751-2025</t>
        </is>
      </c>
      <c r="B741" s="1" t="n">
        <v>45926.6153125</v>
      </c>
      <c r="C741" s="1" t="n">
        <v>46010</v>
      </c>
      <c r="D741" t="inlineStr">
        <is>
          <t>JÄMTLANDS LÄN</t>
        </is>
      </c>
      <c r="E741" t="inlineStr">
        <is>
          <t>RAGUNDA</t>
        </is>
      </c>
      <c r="F741" t="inlineStr">
        <is>
          <t>SCA</t>
        </is>
      </c>
      <c r="G741" t="n">
        <v>7.8</v>
      </c>
      <c r="H741" t="n">
        <v>0</v>
      </c>
      <c r="I741" t="n">
        <v>0</v>
      </c>
      <c r="J741" t="n">
        <v>0</v>
      </c>
      <c r="K741" t="n">
        <v>0</v>
      </c>
      <c r="L741" t="n">
        <v>0</v>
      </c>
      <c r="M741" t="n">
        <v>0</v>
      </c>
      <c r="N741" t="n">
        <v>0</v>
      </c>
      <c r="O741" t="n">
        <v>0</v>
      </c>
      <c r="P741" t="n">
        <v>0</v>
      </c>
      <c r="Q741" t="n">
        <v>0</v>
      </c>
      <c r="R741" s="2" t="inlineStr"/>
    </row>
    <row r="742" ht="15" customHeight="1">
      <c r="A742" t="inlineStr">
        <is>
          <t>A 46753-2025</t>
        </is>
      </c>
      <c r="B742" s="1" t="n">
        <v>45926.61552083334</v>
      </c>
      <c r="C742" s="1" t="n">
        <v>46010</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47037-2025</t>
        </is>
      </c>
      <c r="B743" s="1" t="n">
        <v>45929.59456018519</v>
      </c>
      <c r="C743" s="1" t="n">
        <v>46010</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19438-2023</t>
        </is>
      </c>
      <c r="B744" s="1" t="n">
        <v>45049</v>
      </c>
      <c r="C744" s="1" t="n">
        <v>46010</v>
      </c>
      <c r="D744" t="inlineStr">
        <is>
          <t>JÄMTLANDS LÄN</t>
        </is>
      </c>
      <c r="E744" t="inlineStr">
        <is>
          <t>RAGUNDA</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47749-2025</t>
        </is>
      </c>
      <c r="B745" s="1" t="n">
        <v>45931.65711805555</v>
      </c>
      <c r="C745" s="1" t="n">
        <v>46010</v>
      </c>
      <c r="D745" t="inlineStr">
        <is>
          <t>JÄMTLANDS LÄN</t>
        </is>
      </c>
      <c r="E745" t="inlineStr">
        <is>
          <t>RAGUNDA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69153-2021</t>
        </is>
      </c>
      <c r="B746" s="1" t="n">
        <v>44530.94694444445</v>
      </c>
      <c r="C746" s="1" t="n">
        <v>46010</v>
      </c>
      <c r="D746" t="inlineStr">
        <is>
          <t>JÄMTLANDS LÄN</t>
        </is>
      </c>
      <c r="E746" t="inlineStr">
        <is>
          <t>RAGUNDA</t>
        </is>
      </c>
      <c r="F746" t="inlineStr">
        <is>
          <t>SCA</t>
        </is>
      </c>
      <c r="G746" t="n">
        <v>5</v>
      </c>
      <c r="H746" t="n">
        <v>0</v>
      </c>
      <c r="I746" t="n">
        <v>0</v>
      </c>
      <c r="J746" t="n">
        <v>0</v>
      </c>
      <c r="K746" t="n">
        <v>0</v>
      </c>
      <c r="L746" t="n">
        <v>0</v>
      </c>
      <c r="M746" t="n">
        <v>0</v>
      </c>
      <c r="N746" t="n">
        <v>0</v>
      </c>
      <c r="O746" t="n">
        <v>0</v>
      </c>
      <c r="P746" t="n">
        <v>0</v>
      </c>
      <c r="Q746" t="n">
        <v>0</v>
      </c>
      <c r="R746" s="2" t="inlineStr"/>
    </row>
    <row r="747" ht="15" customHeight="1">
      <c r="A747" t="inlineStr">
        <is>
          <t>A 47228-2025</t>
        </is>
      </c>
      <c r="B747" s="1" t="n">
        <v>45930.3990162037</v>
      </c>
      <c r="C747" s="1" t="n">
        <v>46010</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12585-2024</t>
        </is>
      </c>
      <c r="B748" s="1" t="n">
        <v>45379.93637731481</v>
      </c>
      <c r="C748" s="1" t="n">
        <v>46010</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55489-2024</t>
        </is>
      </c>
      <c r="B749" s="1" t="n">
        <v>45622.44774305556</v>
      </c>
      <c r="C749" s="1" t="n">
        <v>46010</v>
      </c>
      <c r="D749" t="inlineStr">
        <is>
          <t>JÄMTLANDS LÄN</t>
        </is>
      </c>
      <c r="E749" t="inlineStr">
        <is>
          <t>RAGUNDA</t>
        </is>
      </c>
      <c r="G749" t="n">
        <v>1.6</v>
      </c>
      <c r="H749" t="n">
        <v>0</v>
      </c>
      <c r="I749" t="n">
        <v>0</v>
      </c>
      <c r="J749" t="n">
        <v>0</v>
      </c>
      <c r="K749" t="n">
        <v>0</v>
      </c>
      <c r="L749" t="n">
        <v>0</v>
      </c>
      <c r="M749" t="n">
        <v>0</v>
      </c>
      <c r="N749" t="n">
        <v>0</v>
      </c>
      <c r="O749" t="n">
        <v>0</v>
      </c>
      <c r="P749" t="n">
        <v>0</v>
      </c>
      <c r="Q749" t="n">
        <v>0</v>
      </c>
      <c r="R749" s="2" t="inlineStr"/>
    </row>
    <row r="750" ht="15" customHeight="1">
      <c r="A750" t="inlineStr">
        <is>
          <t>A 18631-2024</t>
        </is>
      </c>
      <c r="B750" s="1" t="n">
        <v>45425.96494212963</v>
      </c>
      <c r="C750" s="1" t="n">
        <v>46010</v>
      </c>
      <c r="D750" t="inlineStr">
        <is>
          <t>JÄMTLANDS LÄN</t>
        </is>
      </c>
      <c r="E750" t="inlineStr">
        <is>
          <t>RAGUNDA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26646-2023</t>
        </is>
      </c>
      <c r="B751" s="1" t="n">
        <v>45092</v>
      </c>
      <c r="C751" s="1" t="n">
        <v>46010</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43405-2023</t>
        </is>
      </c>
      <c r="B752" s="1" t="n">
        <v>45183.95563657407</v>
      </c>
      <c r="C752" s="1" t="n">
        <v>46010</v>
      </c>
      <c r="D752" t="inlineStr">
        <is>
          <t>JÄMTLANDS LÄN</t>
        </is>
      </c>
      <c r="E752" t="inlineStr">
        <is>
          <t>RAGUNDA</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59496-2024</t>
        </is>
      </c>
      <c r="B753" s="1" t="n">
        <v>45638</v>
      </c>
      <c r="C753" s="1" t="n">
        <v>46010</v>
      </c>
      <c r="D753" t="inlineStr">
        <is>
          <t>JÄMTLANDS LÄN</t>
        </is>
      </c>
      <c r="E753" t="inlineStr">
        <is>
          <t>RAGUNDA</t>
        </is>
      </c>
      <c r="G753" t="n">
        <v>13.1</v>
      </c>
      <c r="H753" t="n">
        <v>0</v>
      </c>
      <c r="I753" t="n">
        <v>0</v>
      </c>
      <c r="J753" t="n">
        <v>0</v>
      </c>
      <c r="K753" t="n">
        <v>0</v>
      </c>
      <c r="L753" t="n">
        <v>0</v>
      </c>
      <c r="M753" t="n">
        <v>0</v>
      </c>
      <c r="N753" t="n">
        <v>0</v>
      </c>
      <c r="O753" t="n">
        <v>0</v>
      </c>
      <c r="P753" t="n">
        <v>0</v>
      </c>
      <c r="Q753" t="n">
        <v>0</v>
      </c>
      <c r="R753" s="2" t="inlineStr"/>
    </row>
    <row r="754" ht="15" customHeight="1">
      <c r="A754" t="inlineStr">
        <is>
          <t>A 62106-2023</t>
        </is>
      </c>
      <c r="B754" s="1" t="n">
        <v>45266.95082175926</v>
      </c>
      <c r="C754" s="1" t="n">
        <v>46010</v>
      </c>
      <c r="D754" t="inlineStr">
        <is>
          <t>JÄMTLANDS LÄN</t>
        </is>
      </c>
      <c r="E754" t="inlineStr">
        <is>
          <t>RAGUNDA</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18781-2024</t>
        </is>
      </c>
      <c r="B755" s="1" t="n">
        <v>45426</v>
      </c>
      <c r="C755" s="1" t="n">
        <v>46010</v>
      </c>
      <c r="D755" t="inlineStr">
        <is>
          <t>JÄMTLANDS LÄN</t>
        </is>
      </c>
      <c r="E755" t="inlineStr">
        <is>
          <t>RAGUNDA</t>
        </is>
      </c>
      <c r="G755" t="n">
        <v>0.9</v>
      </c>
      <c r="H755" t="n">
        <v>0</v>
      </c>
      <c r="I755" t="n">
        <v>0</v>
      </c>
      <c r="J755" t="n">
        <v>0</v>
      </c>
      <c r="K755" t="n">
        <v>0</v>
      </c>
      <c r="L755" t="n">
        <v>0</v>
      </c>
      <c r="M755" t="n">
        <v>0</v>
      </c>
      <c r="N755" t="n">
        <v>0</v>
      </c>
      <c r="O755" t="n">
        <v>0</v>
      </c>
      <c r="P755" t="n">
        <v>0</v>
      </c>
      <c r="Q755" t="n">
        <v>0</v>
      </c>
      <c r="R755" s="2" t="inlineStr"/>
    </row>
    <row r="756" ht="15" customHeight="1">
      <c r="A756" t="inlineStr">
        <is>
          <t>A 47229-2025</t>
        </is>
      </c>
      <c r="B756" s="1" t="n">
        <v>45930.40166666666</v>
      </c>
      <c r="C756" s="1" t="n">
        <v>46010</v>
      </c>
      <c r="D756" t="inlineStr">
        <is>
          <t>JÄMTLANDS LÄN</t>
        </is>
      </c>
      <c r="E756" t="inlineStr">
        <is>
          <t>RAGUNDA</t>
        </is>
      </c>
      <c r="G756" t="n">
        <v>1.8</v>
      </c>
      <c r="H756" t="n">
        <v>0</v>
      </c>
      <c r="I756" t="n">
        <v>0</v>
      </c>
      <c r="J756" t="n">
        <v>0</v>
      </c>
      <c r="K756" t="n">
        <v>0</v>
      </c>
      <c r="L756" t="n">
        <v>0</v>
      </c>
      <c r="M756" t="n">
        <v>0</v>
      </c>
      <c r="N756" t="n">
        <v>0</v>
      </c>
      <c r="O756" t="n">
        <v>0</v>
      </c>
      <c r="P756" t="n">
        <v>0</v>
      </c>
      <c r="Q756" t="n">
        <v>0</v>
      </c>
      <c r="R756" s="2" t="inlineStr"/>
    </row>
    <row r="757" ht="15" customHeight="1">
      <c r="A757" t="inlineStr">
        <is>
          <t>A 62081-2022</t>
        </is>
      </c>
      <c r="B757" s="1" t="n">
        <v>44918</v>
      </c>
      <c r="C757" s="1" t="n">
        <v>46010</v>
      </c>
      <c r="D757" t="inlineStr">
        <is>
          <t>JÄMTLANDS LÄN</t>
        </is>
      </c>
      <c r="E757" t="inlineStr">
        <is>
          <t>RAGUNDA</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55797-2025</t>
        </is>
      </c>
      <c r="B758" s="1" t="n">
        <v>45972.65693287037</v>
      </c>
      <c r="C758" s="1" t="n">
        <v>46010</v>
      </c>
      <c r="D758" t="inlineStr">
        <is>
          <t>JÄMTLANDS LÄN</t>
        </is>
      </c>
      <c r="E758" t="inlineStr">
        <is>
          <t>RAGUNDA</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30826-2023</t>
        </is>
      </c>
      <c r="B759" s="1" t="n">
        <v>45112</v>
      </c>
      <c r="C759" s="1" t="n">
        <v>46010</v>
      </c>
      <c r="D759" t="inlineStr">
        <is>
          <t>JÄMTLANDS LÄN</t>
        </is>
      </c>
      <c r="E759" t="inlineStr">
        <is>
          <t>RAGUNDA</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53263-2024</t>
        </is>
      </c>
      <c r="B760" s="1" t="n">
        <v>45614.34541666666</v>
      </c>
      <c r="C760" s="1" t="n">
        <v>46010</v>
      </c>
      <c r="D760" t="inlineStr">
        <is>
          <t>JÄMTLANDS LÄN</t>
        </is>
      </c>
      <c r="E760" t="inlineStr">
        <is>
          <t>RAGUNDA</t>
        </is>
      </c>
      <c r="G760" t="n">
        <v>1.9</v>
      </c>
      <c r="H760" t="n">
        <v>0</v>
      </c>
      <c r="I760" t="n">
        <v>0</v>
      </c>
      <c r="J760" t="n">
        <v>0</v>
      </c>
      <c r="K760" t="n">
        <v>0</v>
      </c>
      <c r="L760" t="n">
        <v>0</v>
      </c>
      <c r="M760" t="n">
        <v>0</v>
      </c>
      <c r="N760" t="n">
        <v>0</v>
      </c>
      <c r="O760" t="n">
        <v>0</v>
      </c>
      <c r="P760" t="n">
        <v>0</v>
      </c>
      <c r="Q760" t="n">
        <v>0</v>
      </c>
      <c r="R760" s="2" t="inlineStr"/>
    </row>
    <row r="761" ht="15" customHeight="1">
      <c r="A761" t="inlineStr">
        <is>
          <t>A 47748-2025</t>
        </is>
      </c>
      <c r="B761" s="1" t="n">
        <v>45931.65693287037</v>
      </c>
      <c r="C761" s="1" t="n">
        <v>46010</v>
      </c>
      <c r="D761" t="inlineStr">
        <is>
          <t>JÄMTLANDS LÄN</t>
        </is>
      </c>
      <c r="E761" t="inlineStr">
        <is>
          <t>RAGUNDA</t>
        </is>
      </c>
      <c r="F761" t="inlineStr">
        <is>
          <t>SCA</t>
        </is>
      </c>
      <c r="G761" t="n">
        <v>8.6</v>
      </c>
      <c r="H761" t="n">
        <v>0</v>
      </c>
      <c r="I761" t="n">
        <v>0</v>
      </c>
      <c r="J761" t="n">
        <v>0</v>
      </c>
      <c r="K761" t="n">
        <v>0</v>
      </c>
      <c r="L761" t="n">
        <v>0</v>
      </c>
      <c r="M761" t="n">
        <v>0</v>
      </c>
      <c r="N761" t="n">
        <v>0</v>
      </c>
      <c r="O761" t="n">
        <v>0</v>
      </c>
      <c r="P761" t="n">
        <v>0</v>
      </c>
      <c r="Q761" t="n">
        <v>0</v>
      </c>
      <c r="R761" s="2" t="inlineStr"/>
    </row>
    <row r="762" ht="15" customHeight="1">
      <c r="A762" t="inlineStr">
        <is>
          <t>A 26645-2024</t>
        </is>
      </c>
      <c r="B762" s="1" t="n">
        <v>45469.94667824074</v>
      </c>
      <c r="C762" s="1" t="n">
        <v>46010</v>
      </c>
      <c r="D762" t="inlineStr">
        <is>
          <t>JÄMTLANDS LÄN</t>
        </is>
      </c>
      <c r="E762" t="inlineStr">
        <is>
          <t>RAGUNDA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55897-2025</t>
        </is>
      </c>
      <c r="B763" s="1" t="n">
        <v>45973.38600694444</v>
      </c>
      <c r="C763" s="1" t="n">
        <v>46010</v>
      </c>
      <c r="D763" t="inlineStr">
        <is>
          <t>JÄMTLANDS LÄN</t>
        </is>
      </c>
      <c r="E763" t="inlineStr">
        <is>
          <t>RAGUNDA</t>
        </is>
      </c>
      <c r="F763" t="inlineStr">
        <is>
          <t>SCA</t>
        </is>
      </c>
      <c r="G763" t="n">
        <v>14.1</v>
      </c>
      <c r="H763" t="n">
        <v>0</v>
      </c>
      <c r="I763" t="n">
        <v>0</v>
      </c>
      <c r="J763" t="n">
        <v>0</v>
      </c>
      <c r="K763" t="n">
        <v>0</v>
      </c>
      <c r="L763" t="n">
        <v>0</v>
      </c>
      <c r="M763" t="n">
        <v>0</v>
      </c>
      <c r="N763" t="n">
        <v>0</v>
      </c>
      <c r="O763" t="n">
        <v>0</v>
      </c>
      <c r="P763" t="n">
        <v>0</v>
      </c>
      <c r="Q763" t="n">
        <v>0</v>
      </c>
      <c r="R763" s="2" t="inlineStr"/>
    </row>
    <row r="764" ht="15" customHeight="1">
      <c r="A764" t="inlineStr">
        <is>
          <t>A 893-2025</t>
        </is>
      </c>
      <c r="B764" s="1" t="n">
        <v>45665.65684027778</v>
      </c>
      <c r="C764" s="1" t="n">
        <v>46010</v>
      </c>
      <c r="D764" t="inlineStr">
        <is>
          <t>JÄMTLANDS LÄN</t>
        </is>
      </c>
      <c r="E764" t="inlineStr">
        <is>
          <t>RAGUNDA</t>
        </is>
      </c>
      <c r="F764" t="inlineStr">
        <is>
          <t>SCA</t>
        </is>
      </c>
      <c r="G764" t="n">
        <v>45.1</v>
      </c>
      <c r="H764" t="n">
        <v>0</v>
      </c>
      <c r="I764" t="n">
        <v>0</v>
      </c>
      <c r="J764" t="n">
        <v>0</v>
      </c>
      <c r="K764" t="n">
        <v>0</v>
      </c>
      <c r="L764" t="n">
        <v>0</v>
      </c>
      <c r="M764" t="n">
        <v>0</v>
      </c>
      <c r="N764" t="n">
        <v>0</v>
      </c>
      <c r="O764" t="n">
        <v>0</v>
      </c>
      <c r="P764" t="n">
        <v>0</v>
      </c>
      <c r="Q764" t="n">
        <v>0</v>
      </c>
      <c r="R764" s="2" t="inlineStr"/>
    </row>
    <row r="765" ht="15" customHeight="1">
      <c r="A765" t="inlineStr">
        <is>
          <t>A 31135-2023</t>
        </is>
      </c>
      <c r="B765" s="1" t="n">
        <v>45103</v>
      </c>
      <c r="C765" s="1" t="n">
        <v>46010</v>
      </c>
      <c r="D765" t="inlineStr">
        <is>
          <t>JÄMTLANDS LÄN</t>
        </is>
      </c>
      <c r="E765" t="inlineStr">
        <is>
          <t>RAGUNDA</t>
        </is>
      </c>
      <c r="G765" t="n">
        <v>0.9</v>
      </c>
      <c r="H765" t="n">
        <v>0</v>
      </c>
      <c r="I765" t="n">
        <v>0</v>
      </c>
      <c r="J765" t="n">
        <v>0</v>
      </c>
      <c r="K765" t="n">
        <v>0</v>
      </c>
      <c r="L765" t="n">
        <v>0</v>
      </c>
      <c r="M765" t="n">
        <v>0</v>
      </c>
      <c r="N765" t="n">
        <v>0</v>
      </c>
      <c r="O765" t="n">
        <v>0</v>
      </c>
      <c r="P765" t="n">
        <v>0</v>
      </c>
      <c r="Q765" t="n">
        <v>0</v>
      </c>
      <c r="R765" s="2" t="inlineStr"/>
    </row>
    <row r="766" ht="15" customHeight="1">
      <c r="A766" t="inlineStr">
        <is>
          <t>A 21332-2025</t>
        </is>
      </c>
      <c r="B766" s="1" t="n">
        <v>45782.36506944444</v>
      </c>
      <c r="C766" s="1" t="n">
        <v>46010</v>
      </c>
      <c r="D766" t="inlineStr">
        <is>
          <t>JÄMTLANDS LÄN</t>
        </is>
      </c>
      <c r="E766" t="inlineStr">
        <is>
          <t>RAGUNDA</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43132-2023</t>
        </is>
      </c>
      <c r="B767" s="1" t="n">
        <v>45182</v>
      </c>
      <c r="C767" s="1" t="n">
        <v>46010</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56170-2025</t>
        </is>
      </c>
      <c r="B768" s="1" t="n">
        <v>45974.39398148148</v>
      </c>
      <c r="C768" s="1" t="n">
        <v>46010</v>
      </c>
      <c r="D768" t="inlineStr">
        <is>
          <t>JÄMTLANDS LÄN</t>
        </is>
      </c>
      <c r="E768" t="inlineStr">
        <is>
          <t>RAGUNDA</t>
        </is>
      </c>
      <c r="G768" t="n">
        <v>2</v>
      </c>
      <c r="H768" t="n">
        <v>0</v>
      </c>
      <c r="I768" t="n">
        <v>0</v>
      </c>
      <c r="J768" t="n">
        <v>0</v>
      </c>
      <c r="K768" t="n">
        <v>0</v>
      </c>
      <c r="L768" t="n">
        <v>0</v>
      </c>
      <c r="M768" t="n">
        <v>0</v>
      </c>
      <c r="N768" t="n">
        <v>0</v>
      </c>
      <c r="O768" t="n">
        <v>0</v>
      </c>
      <c r="P768" t="n">
        <v>0</v>
      </c>
      <c r="Q768" t="n">
        <v>0</v>
      </c>
      <c r="R768" s="2" t="inlineStr"/>
    </row>
    <row r="769" ht="15" customHeight="1">
      <c r="A769" t="inlineStr">
        <is>
          <t>A 56284-2023</t>
        </is>
      </c>
      <c r="B769" s="1" t="n">
        <v>45241.95724537037</v>
      </c>
      <c r="C769" s="1" t="n">
        <v>46010</v>
      </c>
      <c r="D769" t="inlineStr">
        <is>
          <t>JÄMTLANDS LÄN</t>
        </is>
      </c>
      <c r="E769" t="inlineStr">
        <is>
          <t>RAGUNDA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56435-2025</t>
        </is>
      </c>
      <c r="B770" s="1" t="n">
        <v>45975.34679398148</v>
      </c>
      <c r="C770" s="1" t="n">
        <v>46010</v>
      </c>
      <c r="D770" t="inlineStr">
        <is>
          <t>JÄMTLANDS LÄN</t>
        </is>
      </c>
      <c r="E770" t="inlineStr">
        <is>
          <t>RAGUNDA</t>
        </is>
      </c>
      <c r="F770" t="inlineStr">
        <is>
          <t>SCA</t>
        </is>
      </c>
      <c r="G770" t="n">
        <v>9.199999999999999</v>
      </c>
      <c r="H770" t="n">
        <v>0</v>
      </c>
      <c r="I770" t="n">
        <v>0</v>
      </c>
      <c r="J770" t="n">
        <v>0</v>
      </c>
      <c r="K770" t="n">
        <v>0</v>
      </c>
      <c r="L770" t="n">
        <v>0</v>
      </c>
      <c r="M770" t="n">
        <v>0</v>
      </c>
      <c r="N770" t="n">
        <v>0</v>
      </c>
      <c r="O770" t="n">
        <v>0</v>
      </c>
      <c r="P770" t="n">
        <v>0</v>
      </c>
      <c r="Q770" t="n">
        <v>0</v>
      </c>
      <c r="R770" s="2" t="inlineStr"/>
      <c r="U770">
        <f>HYPERLINK("https://klasma.github.io/Logging_2303/knärot/A 56435-2025 karta knärot.png", "A 56435-2025")</f>
        <v/>
      </c>
      <c r="V770">
        <f>HYPERLINK("https://klasma.github.io/Logging_2303/klagomål/A 56435-2025 FSC-klagomål.docx", "A 56435-2025")</f>
        <v/>
      </c>
      <c r="W770">
        <f>HYPERLINK("https://klasma.github.io/Logging_2303/klagomålsmail/A 56435-2025 FSC-klagomål mail.docx", "A 56435-2025")</f>
        <v/>
      </c>
      <c r="X770">
        <f>HYPERLINK("https://klasma.github.io/Logging_2303/tillsyn/A 56435-2025 tillsynsbegäran.docx", "A 56435-2025")</f>
        <v/>
      </c>
      <c r="Y770">
        <f>HYPERLINK("https://klasma.github.io/Logging_2303/tillsynsmail/A 56435-2025 tillsynsbegäran mail.docx", "A 56435-2025")</f>
        <v/>
      </c>
    </row>
    <row r="771" ht="15" customHeight="1">
      <c r="A771" t="inlineStr">
        <is>
          <t>A 61045-2022</t>
        </is>
      </c>
      <c r="B771" s="1" t="n">
        <v>44914</v>
      </c>
      <c r="C771" s="1" t="n">
        <v>46010</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61197-2023</t>
        </is>
      </c>
      <c r="B772" s="1" t="n">
        <v>45260</v>
      </c>
      <c r="C772" s="1" t="n">
        <v>46010</v>
      </c>
      <c r="D772" t="inlineStr">
        <is>
          <t>JÄMTLANDS LÄN</t>
        </is>
      </c>
      <c r="E772" t="inlineStr">
        <is>
          <t>RAGUNDA</t>
        </is>
      </c>
      <c r="G772" t="n">
        <v>2.5</v>
      </c>
      <c r="H772" t="n">
        <v>0</v>
      </c>
      <c r="I772" t="n">
        <v>0</v>
      </c>
      <c r="J772" t="n">
        <v>0</v>
      </c>
      <c r="K772" t="n">
        <v>0</v>
      </c>
      <c r="L772" t="n">
        <v>0</v>
      </c>
      <c r="M772" t="n">
        <v>0</v>
      </c>
      <c r="N772" t="n">
        <v>0</v>
      </c>
      <c r="O772" t="n">
        <v>0</v>
      </c>
      <c r="P772" t="n">
        <v>0</v>
      </c>
      <c r="Q772" t="n">
        <v>0</v>
      </c>
      <c r="R772" s="2" t="inlineStr"/>
    </row>
    <row r="773" ht="15" customHeight="1">
      <c r="A773" t="inlineStr">
        <is>
          <t>A 13263-2025</t>
        </is>
      </c>
      <c r="B773" s="1" t="n">
        <v>45735.53177083333</v>
      </c>
      <c r="C773" s="1" t="n">
        <v>46010</v>
      </c>
      <c r="D773" t="inlineStr">
        <is>
          <t>JÄMTLANDS LÄN</t>
        </is>
      </c>
      <c r="E773" t="inlineStr">
        <is>
          <t>RAGUNDA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48066-2022</t>
        </is>
      </c>
      <c r="B774" s="1" t="n">
        <v>44855</v>
      </c>
      <c r="C774" s="1" t="n">
        <v>46010</v>
      </c>
      <c r="D774" t="inlineStr">
        <is>
          <t>JÄMTLANDS LÄN</t>
        </is>
      </c>
      <c r="E774" t="inlineStr">
        <is>
          <t>RAGUNDA</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64415-2023</t>
        </is>
      </c>
      <c r="B775" s="1" t="n">
        <v>45280</v>
      </c>
      <c r="C775" s="1" t="n">
        <v>46010</v>
      </c>
      <c r="D775" t="inlineStr">
        <is>
          <t>JÄMTLANDS LÄN</t>
        </is>
      </c>
      <c r="E775" t="inlineStr">
        <is>
          <t>RAGUNDA</t>
        </is>
      </c>
      <c r="G775" t="n">
        <v>5.1</v>
      </c>
      <c r="H775" t="n">
        <v>0</v>
      </c>
      <c r="I775" t="n">
        <v>0</v>
      </c>
      <c r="J775" t="n">
        <v>0</v>
      </c>
      <c r="K775" t="n">
        <v>0</v>
      </c>
      <c r="L775" t="n">
        <v>0</v>
      </c>
      <c r="M775" t="n">
        <v>0</v>
      </c>
      <c r="N775" t="n">
        <v>0</v>
      </c>
      <c r="O775" t="n">
        <v>0</v>
      </c>
      <c r="P775" t="n">
        <v>0</v>
      </c>
      <c r="Q775" t="n">
        <v>0</v>
      </c>
      <c r="R775" s="2" t="inlineStr"/>
    </row>
    <row r="776" ht="15" customHeight="1">
      <c r="A776" t="inlineStr">
        <is>
          <t>A 60225-2022</t>
        </is>
      </c>
      <c r="B776" s="1" t="n">
        <v>44903</v>
      </c>
      <c r="C776" s="1" t="n">
        <v>46010</v>
      </c>
      <c r="D776" t="inlineStr">
        <is>
          <t>JÄMTLANDS LÄN</t>
        </is>
      </c>
      <c r="E776" t="inlineStr">
        <is>
          <t>RAGUNDA</t>
        </is>
      </c>
      <c r="G776" t="n">
        <v>1</v>
      </c>
      <c r="H776" t="n">
        <v>0</v>
      </c>
      <c r="I776" t="n">
        <v>0</v>
      </c>
      <c r="J776" t="n">
        <v>0</v>
      </c>
      <c r="K776" t="n">
        <v>0</v>
      </c>
      <c r="L776" t="n">
        <v>0</v>
      </c>
      <c r="M776" t="n">
        <v>0</v>
      </c>
      <c r="N776" t="n">
        <v>0</v>
      </c>
      <c r="O776" t="n">
        <v>0</v>
      </c>
      <c r="P776" t="n">
        <v>0</v>
      </c>
      <c r="Q776" t="n">
        <v>0</v>
      </c>
      <c r="R776" s="2" t="inlineStr"/>
    </row>
    <row r="777" ht="15" customHeight="1">
      <c r="A777" t="inlineStr">
        <is>
          <t>A 15864-2024</t>
        </is>
      </c>
      <c r="B777" s="1" t="n">
        <v>45404.99792824074</v>
      </c>
      <c r="C777" s="1" t="n">
        <v>46010</v>
      </c>
      <c r="D777" t="inlineStr">
        <is>
          <t>JÄMTLANDS LÄN</t>
        </is>
      </c>
      <c r="E777" t="inlineStr">
        <is>
          <t>RAGUNDA</t>
        </is>
      </c>
      <c r="F777" t="inlineStr">
        <is>
          <t>SCA</t>
        </is>
      </c>
      <c r="G777" t="n">
        <v>1.1</v>
      </c>
      <c r="H777" t="n">
        <v>0</v>
      </c>
      <c r="I777" t="n">
        <v>0</v>
      </c>
      <c r="J777" t="n">
        <v>0</v>
      </c>
      <c r="K777" t="n">
        <v>0</v>
      </c>
      <c r="L777" t="n">
        <v>0</v>
      </c>
      <c r="M777" t="n">
        <v>0</v>
      </c>
      <c r="N777" t="n">
        <v>0</v>
      </c>
      <c r="O777" t="n">
        <v>0</v>
      </c>
      <c r="P777" t="n">
        <v>0</v>
      </c>
      <c r="Q777" t="n">
        <v>0</v>
      </c>
      <c r="R777" s="2" t="inlineStr"/>
      <c r="U777">
        <f>HYPERLINK("https://klasma.github.io/Logging_2303/knärot/A 15864-2024 karta knärot.png", "A 15864-2024")</f>
        <v/>
      </c>
      <c r="V777">
        <f>HYPERLINK("https://klasma.github.io/Logging_2303/klagomål/A 15864-2024 FSC-klagomål.docx", "A 15864-2024")</f>
        <v/>
      </c>
      <c r="W777">
        <f>HYPERLINK("https://klasma.github.io/Logging_2303/klagomålsmail/A 15864-2024 FSC-klagomål mail.docx", "A 15864-2024")</f>
        <v/>
      </c>
      <c r="X777">
        <f>HYPERLINK("https://klasma.github.io/Logging_2303/tillsyn/A 15864-2024 tillsynsbegäran.docx", "A 15864-2024")</f>
        <v/>
      </c>
      <c r="Y777">
        <f>HYPERLINK("https://klasma.github.io/Logging_2303/tillsynsmail/A 15864-2024 tillsynsbegäran mail.docx", "A 15864-2024")</f>
        <v/>
      </c>
    </row>
    <row r="778" ht="15" customHeight="1">
      <c r="A778" t="inlineStr">
        <is>
          <t>A 57749-2024</t>
        </is>
      </c>
      <c r="B778" s="1" t="n">
        <v>45630.7862037037</v>
      </c>
      <c r="C778" s="1" t="n">
        <v>46010</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24280-2021</t>
        </is>
      </c>
      <c r="B779" s="1" t="n">
        <v>44336</v>
      </c>
      <c r="C779" s="1" t="n">
        <v>46010</v>
      </c>
      <c r="D779" t="inlineStr">
        <is>
          <t>JÄMTLANDS LÄN</t>
        </is>
      </c>
      <c r="E779" t="inlineStr">
        <is>
          <t>RAGUNDA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48748-2025</t>
        </is>
      </c>
      <c r="B780" s="1" t="n">
        <v>45936.67912037037</v>
      </c>
      <c r="C780" s="1" t="n">
        <v>46010</v>
      </c>
      <c r="D780" t="inlineStr">
        <is>
          <t>JÄMTLANDS LÄN</t>
        </is>
      </c>
      <c r="E780" t="inlineStr">
        <is>
          <t>RAGUNDA</t>
        </is>
      </c>
      <c r="F780" t="inlineStr">
        <is>
          <t>SCA</t>
        </is>
      </c>
      <c r="G780" t="n">
        <v>11.1</v>
      </c>
      <c r="H780" t="n">
        <v>0</v>
      </c>
      <c r="I780" t="n">
        <v>0</v>
      </c>
      <c r="J780" t="n">
        <v>0</v>
      </c>
      <c r="K780" t="n">
        <v>0</v>
      </c>
      <c r="L780" t="n">
        <v>0</v>
      </c>
      <c r="M780" t="n">
        <v>0</v>
      </c>
      <c r="N780" t="n">
        <v>0</v>
      </c>
      <c r="O780" t="n">
        <v>0</v>
      </c>
      <c r="P780" t="n">
        <v>0</v>
      </c>
      <c r="Q780" t="n">
        <v>0</v>
      </c>
      <c r="R780" s="2" t="inlineStr"/>
    </row>
    <row r="781" ht="15" customHeight="1">
      <c r="A781" t="inlineStr">
        <is>
          <t>A 8886-2024</t>
        </is>
      </c>
      <c r="B781" s="1" t="n">
        <v>45357.05300925926</v>
      </c>
      <c r="C781" s="1" t="n">
        <v>46010</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28596-2021</t>
        </is>
      </c>
      <c r="B782" s="1" t="n">
        <v>44356</v>
      </c>
      <c r="C782" s="1" t="n">
        <v>46010</v>
      </c>
      <c r="D782" t="inlineStr">
        <is>
          <t>JÄMTLANDS LÄN</t>
        </is>
      </c>
      <c r="E782" t="inlineStr">
        <is>
          <t>RAGUNDA</t>
        </is>
      </c>
      <c r="G782" t="n">
        <v>5.4</v>
      </c>
      <c r="H782" t="n">
        <v>0</v>
      </c>
      <c r="I782" t="n">
        <v>0</v>
      </c>
      <c r="J782" t="n">
        <v>0</v>
      </c>
      <c r="K782" t="n">
        <v>0</v>
      </c>
      <c r="L782" t="n">
        <v>0</v>
      </c>
      <c r="M782" t="n">
        <v>0</v>
      </c>
      <c r="N782" t="n">
        <v>0</v>
      </c>
      <c r="O782" t="n">
        <v>0</v>
      </c>
      <c r="P782" t="n">
        <v>0</v>
      </c>
      <c r="Q782" t="n">
        <v>0</v>
      </c>
      <c r="R782" s="2" t="inlineStr"/>
    </row>
    <row r="783" ht="15" customHeight="1">
      <c r="A783" t="inlineStr">
        <is>
          <t>A 57117-2025</t>
        </is>
      </c>
      <c r="B783" s="1" t="n">
        <v>45978</v>
      </c>
      <c r="C783" s="1" t="n">
        <v>46010</v>
      </c>
      <c r="D783" t="inlineStr">
        <is>
          <t>JÄMTLANDS LÄN</t>
        </is>
      </c>
      <c r="E783" t="inlineStr">
        <is>
          <t>RAGUNDA</t>
        </is>
      </c>
      <c r="G783" t="n">
        <v>4.2</v>
      </c>
      <c r="H783" t="n">
        <v>0</v>
      </c>
      <c r="I783" t="n">
        <v>0</v>
      </c>
      <c r="J783" t="n">
        <v>0</v>
      </c>
      <c r="K783" t="n">
        <v>0</v>
      </c>
      <c r="L783" t="n">
        <v>0</v>
      </c>
      <c r="M783" t="n">
        <v>0</v>
      </c>
      <c r="N783" t="n">
        <v>0</v>
      </c>
      <c r="O783" t="n">
        <v>0</v>
      </c>
      <c r="P783" t="n">
        <v>0</v>
      </c>
      <c r="Q783" t="n">
        <v>0</v>
      </c>
      <c r="R783" s="2" t="inlineStr"/>
    </row>
    <row r="784" ht="15" customHeight="1">
      <c r="A784" t="inlineStr">
        <is>
          <t>A 11058-2025</t>
        </is>
      </c>
      <c r="B784" s="1" t="n">
        <v>45723.51079861111</v>
      </c>
      <c r="C784" s="1" t="n">
        <v>46010</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48528-2025</t>
        </is>
      </c>
      <c r="B785" s="1" t="n">
        <v>45936.40758101852</v>
      </c>
      <c r="C785" s="1" t="n">
        <v>46010</v>
      </c>
      <c r="D785" t="inlineStr">
        <is>
          <t>JÄMTLANDS LÄN</t>
        </is>
      </c>
      <c r="E785" t="inlineStr">
        <is>
          <t>RAGUNDA</t>
        </is>
      </c>
      <c r="F785" t="inlineStr">
        <is>
          <t>SCA</t>
        </is>
      </c>
      <c r="G785" t="n">
        <v>6.8</v>
      </c>
      <c r="H785" t="n">
        <v>0</v>
      </c>
      <c r="I785" t="n">
        <v>0</v>
      </c>
      <c r="J785" t="n">
        <v>0</v>
      </c>
      <c r="K785" t="n">
        <v>0</v>
      </c>
      <c r="L785" t="n">
        <v>0</v>
      </c>
      <c r="M785" t="n">
        <v>0</v>
      </c>
      <c r="N785" t="n">
        <v>0</v>
      </c>
      <c r="O785" t="n">
        <v>0</v>
      </c>
      <c r="P785" t="n">
        <v>0</v>
      </c>
      <c r="Q785" t="n">
        <v>0</v>
      </c>
      <c r="R785" s="2" t="inlineStr"/>
    </row>
    <row r="786" ht="15" customHeight="1">
      <c r="A786" t="inlineStr">
        <is>
          <t>A 48742-2025</t>
        </is>
      </c>
      <c r="B786" s="1" t="n">
        <v>45936.67810185185</v>
      </c>
      <c r="C786" s="1" t="n">
        <v>46010</v>
      </c>
      <c r="D786" t="inlineStr">
        <is>
          <t>JÄMTLANDS LÄN</t>
        </is>
      </c>
      <c r="E786" t="inlineStr">
        <is>
          <t>RAGUNDA</t>
        </is>
      </c>
      <c r="F786" t="inlineStr">
        <is>
          <t>SCA</t>
        </is>
      </c>
      <c r="G786" t="n">
        <v>8.9</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46010</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56751-2025</t>
        </is>
      </c>
      <c r="B788" s="1" t="n">
        <v>45978.36538194444</v>
      </c>
      <c r="C788" s="1" t="n">
        <v>46010</v>
      </c>
      <c r="D788" t="inlineStr">
        <is>
          <t>JÄMTLANDS LÄN</t>
        </is>
      </c>
      <c r="E788" t="inlineStr">
        <is>
          <t>RAGUNDA</t>
        </is>
      </c>
      <c r="F788" t="inlineStr">
        <is>
          <t>SCA</t>
        </is>
      </c>
      <c r="G788" t="n">
        <v>34.5</v>
      </c>
      <c r="H788" t="n">
        <v>0</v>
      </c>
      <c r="I788" t="n">
        <v>0</v>
      </c>
      <c r="J788" t="n">
        <v>0</v>
      </c>
      <c r="K788" t="n">
        <v>0</v>
      </c>
      <c r="L788" t="n">
        <v>0</v>
      </c>
      <c r="M788" t="n">
        <v>0</v>
      </c>
      <c r="N788" t="n">
        <v>0</v>
      </c>
      <c r="O788" t="n">
        <v>0</v>
      </c>
      <c r="P788" t="n">
        <v>0</v>
      </c>
      <c r="Q788" t="n">
        <v>0</v>
      </c>
      <c r="R788" s="2" t="inlineStr"/>
    </row>
    <row r="789" ht="15" customHeight="1">
      <c r="A789" t="inlineStr">
        <is>
          <t>A 57184-2025</t>
        </is>
      </c>
      <c r="B789" s="1" t="n">
        <v>45979.57361111111</v>
      </c>
      <c r="C789" s="1" t="n">
        <v>46010</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24441-2024</t>
        </is>
      </c>
      <c r="B790" s="1" t="n">
        <v>45457.96372685185</v>
      </c>
      <c r="C790" s="1" t="n">
        <v>46010</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56806-2025</t>
        </is>
      </c>
      <c r="B791" s="1" t="n">
        <v>45978.44842592593</v>
      </c>
      <c r="C791" s="1" t="n">
        <v>46010</v>
      </c>
      <c r="D791" t="inlineStr">
        <is>
          <t>JÄMTLANDS LÄN</t>
        </is>
      </c>
      <c r="E791" t="inlineStr">
        <is>
          <t>RAGUNDA</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40801-2023</t>
        </is>
      </c>
      <c r="B792" s="1" t="n">
        <v>45170</v>
      </c>
      <c r="C792" s="1" t="n">
        <v>46010</v>
      </c>
      <c r="D792" t="inlineStr">
        <is>
          <t>JÄMTLANDS LÄN</t>
        </is>
      </c>
      <c r="E792" t="inlineStr">
        <is>
          <t>RAGUNDA</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57111-2025</t>
        </is>
      </c>
      <c r="B793" s="1" t="n">
        <v>45978</v>
      </c>
      <c r="C793" s="1" t="n">
        <v>46010</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48746-2025</t>
        </is>
      </c>
      <c r="B794" s="1" t="n">
        <v>45936.67878472222</v>
      </c>
      <c r="C794" s="1" t="n">
        <v>46010</v>
      </c>
      <c r="D794" t="inlineStr">
        <is>
          <t>JÄMTLANDS LÄN</t>
        </is>
      </c>
      <c r="E794" t="inlineStr">
        <is>
          <t>RAGUNDA</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48065-2023</t>
        </is>
      </c>
      <c r="B795" s="1" t="n">
        <v>45204.94399305555</v>
      </c>
      <c r="C795" s="1" t="n">
        <v>46010</v>
      </c>
      <c r="D795" t="inlineStr">
        <is>
          <t>JÄMTLANDS LÄN</t>
        </is>
      </c>
      <c r="E795" t="inlineStr">
        <is>
          <t>RAGUNDA</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4592-2024</t>
        </is>
      </c>
      <c r="B796" s="1" t="n">
        <v>45327.94443287037</v>
      </c>
      <c r="C796" s="1" t="n">
        <v>46010</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60195-2023</t>
        </is>
      </c>
      <c r="B797" s="1" t="n">
        <v>45257</v>
      </c>
      <c r="C797" s="1" t="n">
        <v>46010</v>
      </c>
      <c r="D797" t="inlineStr">
        <is>
          <t>JÄMTLANDS LÄN</t>
        </is>
      </c>
      <c r="E797" t="inlineStr">
        <is>
          <t>RAGUNDA</t>
        </is>
      </c>
      <c r="G797" t="n">
        <v>1.7</v>
      </c>
      <c r="H797" t="n">
        <v>0</v>
      </c>
      <c r="I797" t="n">
        <v>0</v>
      </c>
      <c r="J797" t="n">
        <v>0</v>
      </c>
      <c r="K797" t="n">
        <v>0</v>
      </c>
      <c r="L797" t="n">
        <v>0</v>
      </c>
      <c r="M797" t="n">
        <v>0</v>
      </c>
      <c r="N797" t="n">
        <v>0</v>
      </c>
      <c r="O797" t="n">
        <v>0</v>
      </c>
      <c r="P797" t="n">
        <v>0</v>
      </c>
      <c r="Q797" t="n">
        <v>0</v>
      </c>
      <c r="R797" s="2" t="inlineStr"/>
    </row>
    <row r="798" ht="15" customHeight="1">
      <c r="A798" t="inlineStr">
        <is>
          <t>A 22981-2023</t>
        </is>
      </c>
      <c r="B798" s="1" t="n">
        <v>45072.92737268518</v>
      </c>
      <c r="C798" s="1" t="n">
        <v>46010</v>
      </c>
      <c r="D798" t="inlineStr">
        <is>
          <t>JÄMTLANDS LÄN</t>
        </is>
      </c>
      <c r="E798" t="inlineStr">
        <is>
          <t>RAGUNDA</t>
        </is>
      </c>
      <c r="G798" t="n">
        <v>3.8</v>
      </c>
      <c r="H798" t="n">
        <v>0</v>
      </c>
      <c r="I798" t="n">
        <v>0</v>
      </c>
      <c r="J798" t="n">
        <v>0</v>
      </c>
      <c r="K798" t="n">
        <v>0</v>
      </c>
      <c r="L798" t="n">
        <v>0</v>
      </c>
      <c r="M798" t="n">
        <v>0</v>
      </c>
      <c r="N798" t="n">
        <v>0</v>
      </c>
      <c r="O798" t="n">
        <v>0</v>
      </c>
      <c r="P798" t="n">
        <v>0</v>
      </c>
      <c r="Q798" t="n">
        <v>0</v>
      </c>
      <c r="R798" s="2" t="inlineStr"/>
    </row>
    <row r="799" ht="15" customHeight="1">
      <c r="A799" t="inlineStr">
        <is>
          <t>A 26942-2021</t>
        </is>
      </c>
      <c r="B799" s="1" t="n">
        <v>44349.91978009259</v>
      </c>
      <c r="C799" s="1" t="n">
        <v>46010</v>
      </c>
      <c r="D799" t="inlineStr">
        <is>
          <t>JÄMTLANDS LÄN</t>
        </is>
      </c>
      <c r="E799" t="inlineStr">
        <is>
          <t>RAGUNDA</t>
        </is>
      </c>
      <c r="G799" t="n">
        <v>6.2</v>
      </c>
      <c r="H799" t="n">
        <v>0</v>
      </c>
      <c r="I799" t="n">
        <v>0</v>
      </c>
      <c r="J799" t="n">
        <v>0</v>
      </c>
      <c r="K799" t="n">
        <v>0</v>
      </c>
      <c r="L799" t="n">
        <v>0</v>
      </c>
      <c r="M799" t="n">
        <v>0</v>
      </c>
      <c r="N799" t="n">
        <v>0</v>
      </c>
      <c r="O799" t="n">
        <v>0</v>
      </c>
      <c r="P799" t="n">
        <v>0</v>
      </c>
      <c r="Q799" t="n">
        <v>0</v>
      </c>
      <c r="R799" s="2" t="inlineStr"/>
    </row>
    <row r="800" ht="15" customHeight="1">
      <c r="A800" t="inlineStr">
        <is>
          <t>A 57833-2025</t>
        </is>
      </c>
      <c r="B800" s="1" t="n">
        <v>45981.61541666667</v>
      </c>
      <c r="C800" s="1" t="n">
        <v>46010</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46546-2023</t>
        </is>
      </c>
      <c r="B801" s="1" t="n">
        <v>45197.94152777778</v>
      </c>
      <c r="C801" s="1" t="n">
        <v>46010</v>
      </c>
      <c r="D801" t="inlineStr">
        <is>
          <t>JÄMTLANDS LÄN</t>
        </is>
      </c>
      <c r="E801" t="inlineStr">
        <is>
          <t>RAGUNDA</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49639-2025</t>
        </is>
      </c>
      <c r="B802" s="1" t="n">
        <v>45939.61253472222</v>
      </c>
      <c r="C802" s="1" t="n">
        <v>46010</v>
      </c>
      <c r="D802" t="inlineStr">
        <is>
          <t>JÄMTLANDS LÄN</t>
        </is>
      </c>
      <c r="E802" t="inlineStr">
        <is>
          <t>RAGUNDA</t>
        </is>
      </c>
      <c r="F802" t="inlineStr">
        <is>
          <t>Kommuner</t>
        </is>
      </c>
      <c r="G802" t="n">
        <v>13.6</v>
      </c>
      <c r="H802" t="n">
        <v>0</v>
      </c>
      <c r="I802" t="n">
        <v>0</v>
      </c>
      <c r="J802" t="n">
        <v>0</v>
      </c>
      <c r="K802" t="n">
        <v>0</v>
      </c>
      <c r="L802" t="n">
        <v>0</v>
      </c>
      <c r="M802" t="n">
        <v>0</v>
      </c>
      <c r="N802" t="n">
        <v>0</v>
      </c>
      <c r="O802" t="n">
        <v>0</v>
      </c>
      <c r="P802" t="n">
        <v>0</v>
      </c>
      <c r="Q802" t="n">
        <v>0</v>
      </c>
      <c r="R802" s="2" t="inlineStr"/>
    </row>
    <row r="803" ht="15" customHeight="1">
      <c r="A803" t="inlineStr">
        <is>
          <t>A 19865-2023</t>
        </is>
      </c>
      <c r="B803" s="1" t="n">
        <v>45053.94305555556</v>
      </c>
      <c r="C803" s="1" t="n">
        <v>46010</v>
      </c>
      <c r="D803" t="inlineStr">
        <is>
          <t>JÄMTLANDS LÄN</t>
        </is>
      </c>
      <c r="E803" t="inlineStr">
        <is>
          <t>RAGUNDA</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49059-2025</t>
        </is>
      </c>
      <c r="B804" s="1" t="n">
        <v>45937.64123842592</v>
      </c>
      <c r="C804" s="1" t="n">
        <v>46010</v>
      </c>
      <c r="D804" t="inlineStr">
        <is>
          <t>JÄMTLANDS LÄN</t>
        </is>
      </c>
      <c r="E804" t="inlineStr">
        <is>
          <t>RAGUNDA</t>
        </is>
      </c>
      <c r="G804" t="n">
        <v>2.1</v>
      </c>
      <c r="H804" t="n">
        <v>0</v>
      </c>
      <c r="I804" t="n">
        <v>0</v>
      </c>
      <c r="J804" t="n">
        <v>0</v>
      </c>
      <c r="K804" t="n">
        <v>0</v>
      </c>
      <c r="L804" t="n">
        <v>0</v>
      </c>
      <c r="M804" t="n">
        <v>0</v>
      </c>
      <c r="N804" t="n">
        <v>0</v>
      </c>
      <c r="O804" t="n">
        <v>0</v>
      </c>
      <c r="P804" t="n">
        <v>0</v>
      </c>
      <c r="Q804" t="n">
        <v>0</v>
      </c>
      <c r="R804" s="2" t="inlineStr"/>
    </row>
    <row r="805" ht="15" customHeight="1">
      <c r="A805" t="inlineStr">
        <is>
          <t>A 57332-2025</t>
        </is>
      </c>
      <c r="B805" s="1" t="n">
        <v>45980.34467592592</v>
      </c>
      <c r="C805" s="1" t="n">
        <v>46010</v>
      </c>
      <c r="D805" t="inlineStr">
        <is>
          <t>JÄMTLANDS LÄN</t>
        </is>
      </c>
      <c r="E805" t="inlineStr">
        <is>
          <t>RAGUNDA</t>
        </is>
      </c>
      <c r="F805" t="inlineStr">
        <is>
          <t>SCA</t>
        </is>
      </c>
      <c r="G805" t="n">
        <v>22.6</v>
      </c>
      <c r="H805" t="n">
        <v>0</v>
      </c>
      <c r="I805" t="n">
        <v>0</v>
      </c>
      <c r="J805" t="n">
        <v>0</v>
      </c>
      <c r="K805" t="n">
        <v>0</v>
      </c>
      <c r="L805" t="n">
        <v>0</v>
      </c>
      <c r="M805" t="n">
        <v>0</v>
      </c>
      <c r="N805" t="n">
        <v>0</v>
      </c>
      <c r="O805" t="n">
        <v>0</v>
      </c>
      <c r="P805" t="n">
        <v>0</v>
      </c>
      <c r="Q805" t="n">
        <v>0</v>
      </c>
      <c r="R805" s="2" t="inlineStr"/>
    </row>
    <row r="806" ht="15" customHeight="1">
      <c r="A806" t="inlineStr">
        <is>
          <t>A 49193-2025</t>
        </is>
      </c>
      <c r="B806" s="1" t="n">
        <v>45938.40831018519</v>
      </c>
      <c r="C806" s="1" t="n">
        <v>46010</v>
      </c>
      <c r="D806" t="inlineStr">
        <is>
          <t>JÄMTLANDS LÄN</t>
        </is>
      </c>
      <c r="E806" t="inlineStr">
        <is>
          <t>RAGUNDA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57560-2025</t>
        </is>
      </c>
      <c r="B807" s="1" t="n">
        <v>45980.6987962963</v>
      </c>
      <c r="C807" s="1" t="n">
        <v>46010</v>
      </c>
      <c r="D807" t="inlineStr">
        <is>
          <t>JÄMTLANDS LÄN</t>
        </is>
      </c>
      <c r="E807" t="inlineStr">
        <is>
          <t>RAGUNDA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57785-2025</t>
        </is>
      </c>
      <c r="B808" s="1" t="n">
        <v>45981.57393518519</v>
      </c>
      <c r="C808" s="1" t="n">
        <v>46010</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564-2025</t>
        </is>
      </c>
      <c r="B809" s="1" t="n">
        <v>45664.55241898148</v>
      </c>
      <c r="C809" s="1" t="n">
        <v>46010</v>
      </c>
      <c r="D809" t="inlineStr">
        <is>
          <t>JÄMTLANDS LÄN</t>
        </is>
      </c>
      <c r="E809" t="inlineStr">
        <is>
          <t>RAGUNDA</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50555-2024</t>
        </is>
      </c>
      <c r="B810" s="1" t="n">
        <v>45601.59518518519</v>
      </c>
      <c r="C810" s="1" t="n">
        <v>46010</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59658-2023</t>
        </is>
      </c>
      <c r="B811" s="1" t="n">
        <v>45254.96402777778</v>
      </c>
      <c r="C811" s="1" t="n">
        <v>46010</v>
      </c>
      <c r="D811" t="inlineStr">
        <is>
          <t>JÄMTLANDS LÄN</t>
        </is>
      </c>
      <c r="E811" t="inlineStr">
        <is>
          <t>RAGUNDA</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57561-2025</t>
        </is>
      </c>
      <c r="B812" s="1" t="n">
        <v>45980.69885416667</v>
      </c>
      <c r="C812" s="1" t="n">
        <v>46010</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49649-2024</t>
        </is>
      </c>
      <c r="B813" s="1" t="n">
        <v>45596.61553240741</v>
      </c>
      <c r="C813" s="1" t="n">
        <v>46010</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2831-2024</t>
        </is>
      </c>
      <c r="B814" s="1" t="n">
        <v>45314.92758101852</v>
      </c>
      <c r="C814" s="1" t="n">
        <v>46010</v>
      </c>
      <c r="D814" t="inlineStr">
        <is>
          <t>JÄMTLANDS LÄN</t>
        </is>
      </c>
      <c r="E814" t="inlineStr">
        <is>
          <t>RAGUNDA</t>
        </is>
      </c>
      <c r="G814" t="n">
        <v>0.6</v>
      </c>
      <c r="H814" t="n">
        <v>0</v>
      </c>
      <c r="I814" t="n">
        <v>0</v>
      </c>
      <c r="J814" t="n">
        <v>0</v>
      </c>
      <c r="K814" t="n">
        <v>0</v>
      </c>
      <c r="L814" t="n">
        <v>0</v>
      </c>
      <c r="M814" t="n">
        <v>0</v>
      </c>
      <c r="N814" t="n">
        <v>0</v>
      </c>
      <c r="O814" t="n">
        <v>0</v>
      </c>
      <c r="P814" t="n">
        <v>0</v>
      </c>
      <c r="Q814" t="n">
        <v>0</v>
      </c>
      <c r="R814" s="2" t="inlineStr"/>
    </row>
    <row r="815" ht="15" customHeight="1">
      <c r="A815" t="inlineStr">
        <is>
          <t>A 49238-2025</t>
        </is>
      </c>
      <c r="B815" s="1" t="n">
        <v>45938.48231481481</v>
      </c>
      <c r="C815" s="1" t="n">
        <v>46010</v>
      </c>
      <c r="D815" t="inlineStr">
        <is>
          <t>JÄMTLANDS LÄN</t>
        </is>
      </c>
      <c r="E815" t="inlineStr">
        <is>
          <t>RAGUNDA</t>
        </is>
      </c>
      <c r="G815" t="n">
        <v>4.7</v>
      </c>
      <c r="H815" t="n">
        <v>0</v>
      </c>
      <c r="I815" t="n">
        <v>0</v>
      </c>
      <c r="J815" t="n">
        <v>0</v>
      </c>
      <c r="K815" t="n">
        <v>0</v>
      </c>
      <c r="L815" t="n">
        <v>0</v>
      </c>
      <c r="M815" t="n">
        <v>0</v>
      </c>
      <c r="N815" t="n">
        <v>0</v>
      </c>
      <c r="O815" t="n">
        <v>0</v>
      </c>
      <c r="P815" t="n">
        <v>0</v>
      </c>
      <c r="Q815" t="n">
        <v>0</v>
      </c>
      <c r="R815" s="2" t="inlineStr"/>
    </row>
    <row r="816" ht="15" customHeight="1">
      <c r="A816" t="inlineStr">
        <is>
          <t>A 49290-2025</t>
        </is>
      </c>
      <c r="B816" s="1" t="n">
        <v>45938.53168981482</v>
      </c>
      <c r="C816" s="1" t="n">
        <v>46010</v>
      </c>
      <c r="D816" t="inlineStr">
        <is>
          <t>JÄMTLANDS LÄN</t>
        </is>
      </c>
      <c r="E816" t="inlineStr">
        <is>
          <t>RAGUNDA</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49092-2025</t>
        </is>
      </c>
      <c r="B817" s="1" t="n">
        <v>45937.67792824074</v>
      </c>
      <c r="C817" s="1" t="n">
        <v>46010</v>
      </c>
      <c r="D817" t="inlineStr">
        <is>
          <t>JÄMTLANDS LÄN</t>
        </is>
      </c>
      <c r="E817" t="inlineStr">
        <is>
          <t>RAGUNDA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34088-2025</t>
        </is>
      </c>
      <c r="B818" s="1" t="n">
        <v>45845</v>
      </c>
      <c r="C818" s="1" t="n">
        <v>46010</v>
      </c>
      <c r="D818" t="inlineStr">
        <is>
          <t>JÄMTLANDS LÄN</t>
        </is>
      </c>
      <c r="E818" t="inlineStr">
        <is>
          <t>RAGUNDA</t>
        </is>
      </c>
      <c r="G818" t="n">
        <v>1.4</v>
      </c>
      <c r="H818" t="n">
        <v>0</v>
      </c>
      <c r="I818" t="n">
        <v>0</v>
      </c>
      <c r="J818" t="n">
        <v>0</v>
      </c>
      <c r="K818" t="n">
        <v>0</v>
      </c>
      <c r="L818" t="n">
        <v>0</v>
      </c>
      <c r="M818" t="n">
        <v>0</v>
      </c>
      <c r="N818" t="n">
        <v>0</v>
      </c>
      <c r="O818" t="n">
        <v>0</v>
      </c>
      <c r="P818" t="n">
        <v>0</v>
      </c>
      <c r="Q818" t="n">
        <v>0</v>
      </c>
      <c r="R818" s="2" t="inlineStr"/>
    </row>
    <row r="819" ht="15" customHeight="1">
      <c r="A819" t="inlineStr">
        <is>
          <t>A 53740-2024</t>
        </is>
      </c>
      <c r="B819" s="1" t="n">
        <v>45615.47091435185</v>
      </c>
      <c r="C819" s="1" t="n">
        <v>46010</v>
      </c>
      <c r="D819" t="inlineStr">
        <is>
          <t>JÄMTLANDS LÄN</t>
        </is>
      </c>
      <c r="E819" t="inlineStr">
        <is>
          <t>RAGUNDA</t>
        </is>
      </c>
      <c r="G819" t="n">
        <v>2.7</v>
      </c>
      <c r="H819" t="n">
        <v>0</v>
      </c>
      <c r="I819" t="n">
        <v>0</v>
      </c>
      <c r="J819" t="n">
        <v>0</v>
      </c>
      <c r="K819" t="n">
        <v>0</v>
      </c>
      <c r="L819" t="n">
        <v>0</v>
      </c>
      <c r="M819" t="n">
        <v>0</v>
      </c>
      <c r="N819" t="n">
        <v>0</v>
      </c>
      <c r="O819" t="n">
        <v>0</v>
      </c>
      <c r="P819" t="n">
        <v>0</v>
      </c>
      <c r="Q819" t="n">
        <v>0</v>
      </c>
      <c r="R819" s="2" t="inlineStr"/>
    </row>
    <row r="820" ht="15" customHeight="1">
      <c r="A820" t="inlineStr">
        <is>
          <t>A 59372-2024</t>
        </is>
      </c>
      <c r="B820" s="1" t="n">
        <v>45638.34431712963</v>
      </c>
      <c r="C820" s="1" t="n">
        <v>46010</v>
      </c>
      <c r="D820" t="inlineStr">
        <is>
          <t>JÄMTLANDS LÄN</t>
        </is>
      </c>
      <c r="E820" t="inlineStr">
        <is>
          <t>RAGUNDA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50215-2025</t>
        </is>
      </c>
      <c r="B821" s="1" t="n">
        <v>45943.67842592593</v>
      </c>
      <c r="C821" s="1" t="n">
        <v>46010</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58093-2025</t>
        </is>
      </c>
      <c r="B822" s="1" t="n">
        <v>45982.5741087963</v>
      </c>
      <c r="C822" s="1" t="n">
        <v>46010</v>
      </c>
      <c r="D822" t="inlineStr">
        <is>
          <t>JÄMTLANDS LÄN</t>
        </is>
      </c>
      <c r="E822" t="inlineStr">
        <is>
          <t>RAGUNDA</t>
        </is>
      </c>
      <c r="G822" t="n">
        <v>22.2</v>
      </c>
      <c r="H822" t="n">
        <v>0</v>
      </c>
      <c r="I822" t="n">
        <v>0</v>
      </c>
      <c r="J822" t="n">
        <v>0</v>
      </c>
      <c r="K822" t="n">
        <v>0</v>
      </c>
      <c r="L822" t="n">
        <v>0</v>
      </c>
      <c r="M822" t="n">
        <v>0</v>
      </c>
      <c r="N822" t="n">
        <v>0</v>
      </c>
      <c r="O822" t="n">
        <v>0</v>
      </c>
      <c r="P822" t="n">
        <v>0</v>
      </c>
      <c r="Q822" t="n">
        <v>0</v>
      </c>
      <c r="R822" s="2" t="inlineStr"/>
    </row>
    <row r="823" ht="15" customHeight="1">
      <c r="A823" t="inlineStr">
        <is>
          <t>A 58076-2025</t>
        </is>
      </c>
      <c r="B823" s="1" t="n">
        <v>45982.55273148148</v>
      </c>
      <c r="C823" s="1" t="n">
        <v>46010</v>
      </c>
      <c r="D823" t="inlineStr">
        <is>
          <t>JÄMTLANDS LÄN</t>
        </is>
      </c>
      <c r="E823" t="inlineStr">
        <is>
          <t>RAGUNDA</t>
        </is>
      </c>
      <c r="G823" t="n">
        <v>0.1</v>
      </c>
      <c r="H823" t="n">
        <v>0</v>
      </c>
      <c r="I823" t="n">
        <v>0</v>
      </c>
      <c r="J823" t="n">
        <v>0</v>
      </c>
      <c r="K823" t="n">
        <v>0</v>
      </c>
      <c r="L823" t="n">
        <v>0</v>
      </c>
      <c r="M823" t="n">
        <v>0</v>
      </c>
      <c r="N823" t="n">
        <v>0</v>
      </c>
      <c r="O823" t="n">
        <v>0</v>
      </c>
      <c r="P823" t="n">
        <v>0</v>
      </c>
      <c r="Q823" t="n">
        <v>0</v>
      </c>
      <c r="R823" s="2" t="inlineStr"/>
    </row>
    <row r="824" ht="15" customHeight="1">
      <c r="A824" t="inlineStr">
        <is>
          <t>A 49991-2025</t>
        </is>
      </c>
      <c r="B824" s="1" t="n">
        <v>45942.91568287037</v>
      </c>
      <c r="C824" s="1" t="n">
        <v>46010</v>
      </c>
      <c r="D824" t="inlineStr">
        <is>
          <t>JÄMTLANDS LÄN</t>
        </is>
      </c>
      <c r="E824" t="inlineStr">
        <is>
          <t>RAGUNDA</t>
        </is>
      </c>
      <c r="G824" t="n">
        <v>9</v>
      </c>
      <c r="H824" t="n">
        <v>0</v>
      </c>
      <c r="I824" t="n">
        <v>0</v>
      </c>
      <c r="J824" t="n">
        <v>0</v>
      </c>
      <c r="K824" t="n">
        <v>0</v>
      </c>
      <c r="L824" t="n">
        <v>0</v>
      </c>
      <c r="M824" t="n">
        <v>0</v>
      </c>
      <c r="N824" t="n">
        <v>0</v>
      </c>
      <c r="O824" t="n">
        <v>0</v>
      </c>
      <c r="P824" t="n">
        <v>0</v>
      </c>
      <c r="Q824" t="n">
        <v>0</v>
      </c>
      <c r="R824" s="2" t="inlineStr"/>
    </row>
    <row r="825" ht="15" customHeight="1">
      <c r="A825" t="inlineStr">
        <is>
          <t>A 49993-2025</t>
        </is>
      </c>
      <c r="B825" s="1" t="n">
        <v>45942.94371527778</v>
      </c>
      <c r="C825" s="1" t="n">
        <v>46010</v>
      </c>
      <c r="D825" t="inlineStr">
        <is>
          <t>JÄMTLANDS LÄN</t>
        </is>
      </c>
      <c r="E825" t="inlineStr">
        <is>
          <t>RAGUNDA</t>
        </is>
      </c>
      <c r="G825" t="n">
        <v>1.5</v>
      </c>
      <c r="H825" t="n">
        <v>0</v>
      </c>
      <c r="I825" t="n">
        <v>0</v>
      </c>
      <c r="J825" t="n">
        <v>0</v>
      </c>
      <c r="K825" t="n">
        <v>0</v>
      </c>
      <c r="L825" t="n">
        <v>0</v>
      </c>
      <c r="M825" t="n">
        <v>0</v>
      </c>
      <c r="N825" t="n">
        <v>0</v>
      </c>
      <c r="O825" t="n">
        <v>0</v>
      </c>
      <c r="P825" t="n">
        <v>0</v>
      </c>
      <c r="Q825" t="n">
        <v>0</v>
      </c>
      <c r="R825" s="2" t="inlineStr"/>
    </row>
    <row r="826" ht="15" customHeight="1">
      <c r="A826" t="inlineStr">
        <is>
          <t>A 12522-2023</t>
        </is>
      </c>
      <c r="B826" s="1" t="n">
        <v>45000</v>
      </c>
      <c r="C826" s="1" t="n">
        <v>46010</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12523-2023</t>
        </is>
      </c>
      <c r="B827" s="1" t="n">
        <v>45000</v>
      </c>
      <c r="C827" s="1" t="n">
        <v>46010</v>
      </c>
      <c r="D827" t="inlineStr">
        <is>
          <t>JÄMTLANDS LÄN</t>
        </is>
      </c>
      <c r="E827" t="inlineStr">
        <is>
          <t>RAGUNDA</t>
        </is>
      </c>
      <c r="F827" t="inlineStr">
        <is>
          <t>SCA</t>
        </is>
      </c>
      <c r="G827" t="n">
        <v>14.3</v>
      </c>
      <c r="H827" t="n">
        <v>0</v>
      </c>
      <c r="I827" t="n">
        <v>0</v>
      </c>
      <c r="J827" t="n">
        <v>0</v>
      </c>
      <c r="K827" t="n">
        <v>0</v>
      </c>
      <c r="L827" t="n">
        <v>0</v>
      </c>
      <c r="M827" t="n">
        <v>0</v>
      </c>
      <c r="N827" t="n">
        <v>0</v>
      </c>
      <c r="O827" t="n">
        <v>0</v>
      </c>
      <c r="P827" t="n">
        <v>0</v>
      </c>
      <c r="Q827" t="n">
        <v>0</v>
      </c>
      <c r="R827" s="2" t="inlineStr"/>
    </row>
    <row r="828" ht="15" customHeight="1">
      <c r="A828" t="inlineStr">
        <is>
          <t>A 24861-2023</t>
        </is>
      </c>
      <c r="B828" s="1" t="n">
        <v>45078</v>
      </c>
      <c r="C828" s="1" t="n">
        <v>46010</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57970-2025</t>
        </is>
      </c>
      <c r="B829" s="1" t="n">
        <v>45982.38582175926</v>
      </c>
      <c r="C829" s="1" t="n">
        <v>46010</v>
      </c>
      <c r="D829" t="inlineStr">
        <is>
          <t>JÄMTLANDS LÄN</t>
        </is>
      </c>
      <c r="E829" t="inlineStr">
        <is>
          <t>RAGUNDA</t>
        </is>
      </c>
      <c r="G829" t="n">
        <v>4.9</v>
      </c>
      <c r="H829" t="n">
        <v>0</v>
      </c>
      <c r="I829" t="n">
        <v>0</v>
      </c>
      <c r="J829" t="n">
        <v>0</v>
      </c>
      <c r="K829" t="n">
        <v>0</v>
      </c>
      <c r="L829" t="n">
        <v>0</v>
      </c>
      <c r="M829" t="n">
        <v>0</v>
      </c>
      <c r="N829" t="n">
        <v>0</v>
      </c>
      <c r="O829" t="n">
        <v>0</v>
      </c>
      <c r="P829" t="n">
        <v>0</v>
      </c>
      <c r="Q829" t="n">
        <v>0</v>
      </c>
      <c r="R829" s="2" t="inlineStr"/>
    </row>
    <row r="830" ht="15" customHeight="1">
      <c r="A830" t="inlineStr">
        <is>
          <t>A 49994-2025</t>
        </is>
      </c>
      <c r="B830" s="1" t="n">
        <v>45942.96922453704</v>
      </c>
      <c r="C830" s="1" t="n">
        <v>46010</v>
      </c>
      <c r="D830" t="inlineStr">
        <is>
          <t>JÄMTLANDS LÄN</t>
        </is>
      </c>
      <c r="E830" t="inlineStr">
        <is>
          <t>RAGUNDA</t>
        </is>
      </c>
      <c r="G830" t="n">
        <v>4.5</v>
      </c>
      <c r="H830" t="n">
        <v>0</v>
      </c>
      <c r="I830" t="n">
        <v>0</v>
      </c>
      <c r="J830" t="n">
        <v>0</v>
      </c>
      <c r="K830" t="n">
        <v>0</v>
      </c>
      <c r="L830" t="n">
        <v>0</v>
      </c>
      <c r="M830" t="n">
        <v>0</v>
      </c>
      <c r="N830" t="n">
        <v>0</v>
      </c>
      <c r="O830" t="n">
        <v>0</v>
      </c>
      <c r="P830" t="n">
        <v>0</v>
      </c>
      <c r="Q830" t="n">
        <v>0</v>
      </c>
      <c r="R830" s="2" t="inlineStr"/>
    </row>
    <row r="831" ht="15" customHeight="1">
      <c r="A831" t="inlineStr">
        <is>
          <t>A 49995-2025</t>
        </is>
      </c>
      <c r="B831" s="1" t="n">
        <v>45943.00986111111</v>
      </c>
      <c r="C831" s="1" t="n">
        <v>46010</v>
      </c>
      <c r="D831" t="inlineStr">
        <is>
          <t>JÄMTLANDS LÄN</t>
        </is>
      </c>
      <c r="E831" t="inlineStr">
        <is>
          <t>RAGUNDA</t>
        </is>
      </c>
      <c r="G831" t="n">
        <v>2.5</v>
      </c>
      <c r="H831" t="n">
        <v>0</v>
      </c>
      <c r="I831" t="n">
        <v>0</v>
      </c>
      <c r="J831" t="n">
        <v>0</v>
      </c>
      <c r="K831" t="n">
        <v>0</v>
      </c>
      <c r="L831" t="n">
        <v>0</v>
      </c>
      <c r="M831" t="n">
        <v>0</v>
      </c>
      <c r="N831" t="n">
        <v>0</v>
      </c>
      <c r="O831" t="n">
        <v>0</v>
      </c>
      <c r="P831" t="n">
        <v>0</v>
      </c>
      <c r="Q831" t="n">
        <v>0</v>
      </c>
      <c r="R831" s="2" t="inlineStr"/>
    </row>
    <row r="832" ht="15" customHeight="1">
      <c r="A832" t="inlineStr">
        <is>
          <t>A 57963-2025</t>
        </is>
      </c>
      <c r="B832" s="1" t="n">
        <v>45982.37800925926</v>
      </c>
      <c r="C832" s="1" t="n">
        <v>46010</v>
      </c>
      <c r="D832" t="inlineStr">
        <is>
          <t>JÄMTLANDS LÄN</t>
        </is>
      </c>
      <c r="E832" t="inlineStr">
        <is>
          <t>RAGUNDA</t>
        </is>
      </c>
      <c r="G832" t="n">
        <v>1.7</v>
      </c>
      <c r="H832" t="n">
        <v>0</v>
      </c>
      <c r="I832" t="n">
        <v>0</v>
      </c>
      <c r="J832" t="n">
        <v>0</v>
      </c>
      <c r="K832" t="n">
        <v>0</v>
      </c>
      <c r="L832" t="n">
        <v>0</v>
      </c>
      <c r="M832" t="n">
        <v>0</v>
      </c>
      <c r="N832" t="n">
        <v>0</v>
      </c>
      <c r="O832" t="n">
        <v>0</v>
      </c>
      <c r="P832" t="n">
        <v>0</v>
      </c>
      <c r="Q832" t="n">
        <v>0</v>
      </c>
      <c r="R832" s="2" t="inlineStr"/>
    </row>
    <row r="833" ht="15" customHeight="1">
      <c r="A833" t="inlineStr">
        <is>
          <t>A 13905-2025</t>
        </is>
      </c>
      <c r="B833" s="1" t="n">
        <v>45737.63574074074</v>
      </c>
      <c r="C833" s="1" t="n">
        <v>46010</v>
      </c>
      <c r="D833" t="inlineStr">
        <is>
          <t>JÄMTLANDS LÄN</t>
        </is>
      </c>
      <c r="E833" t="inlineStr">
        <is>
          <t>RAGUNDA</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13941-2025</t>
        </is>
      </c>
      <c r="B834" s="1" t="n">
        <v>45737.69822916666</v>
      </c>
      <c r="C834" s="1" t="n">
        <v>46010</v>
      </c>
      <c r="D834" t="inlineStr">
        <is>
          <t>JÄMTLANDS LÄN</t>
        </is>
      </c>
      <c r="E834" t="inlineStr">
        <is>
          <t>RAGUNDA</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50126-2025</t>
        </is>
      </c>
      <c r="B835" s="1" t="n">
        <v>45943.55271990741</v>
      </c>
      <c r="C835" s="1" t="n">
        <v>46010</v>
      </c>
      <c r="D835" t="inlineStr">
        <is>
          <t>JÄMTLANDS LÄN</t>
        </is>
      </c>
      <c r="E835" t="inlineStr">
        <is>
          <t>RAGUNDA</t>
        </is>
      </c>
      <c r="G835" t="n">
        <v>1</v>
      </c>
      <c r="H835" t="n">
        <v>0</v>
      </c>
      <c r="I835" t="n">
        <v>0</v>
      </c>
      <c r="J835" t="n">
        <v>0</v>
      </c>
      <c r="K835" t="n">
        <v>0</v>
      </c>
      <c r="L835" t="n">
        <v>0</v>
      </c>
      <c r="M835" t="n">
        <v>0</v>
      </c>
      <c r="N835" t="n">
        <v>0</v>
      </c>
      <c r="O835" t="n">
        <v>0</v>
      </c>
      <c r="P835" t="n">
        <v>0</v>
      </c>
      <c r="Q835" t="n">
        <v>0</v>
      </c>
      <c r="R835" s="2" t="inlineStr"/>
    </row>
    <row r="836" ht="15" customHeight="1">
      <c r="A836" t="inlineStr">
        <is>
          <t>A 50098-2025</t>
        </is>
      </c>
      <c r="B836" s="1" t="n">
        <v>45943.51086805556</v>
      </c>
      <c r="C836" s="1" t="n">
        <v>46010</v>
      </c>
      <c r="D836" t="inlineStr">
        <is>
          <t>JÄMTLANDS LÄN</t>
        </is>
      </c>
      <c r="E836" t="inlineStr">
        <is>
          <t>RAGUNDA</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50125-2025</t>
        </is>
      </c>
      <c r="B837" s="1" t="n">
        <v>45943.55262731481</v>
      </c>
      <c r="C837" s="1" t="n">
        <v>46010</v>
      </c>
      <c r="D837" t="inlineStr">
        <is>
          <t>JÄMTLANDS LÄN</t>
        </is>
      </c>
      <c r="E837" t="inlineStr">
        <is>
          <t>RAGUNDA</t>
        </is>
      </c>
      <c r="F837" t="inlineStr">
        <is>
          <t>Sveaskog</t>
        </is>
      </c>
      <c r="G837" t="n">
        <v>23.2</v>
      </c>
      <c r="H837" t="n">
        <v>0</v>
      </c>
      <c r="I837" t="n">
        <v>0</v>
      </c>
      <c r="J837" t="n">
        <v>0</v>
      </c>
      <c r="K837" t="n">
        <v>0</v>
      </c>
      <c r="L837" t="n">
        <v>0</v>
      </c>
      <c r="M837" t="n">
        <v>0</v>
      </c>
      <c r="N837" t="n">
        <v>0</v>
      </c>
      <c r="O837" t="n">
        <v>0</v>
      </c>
      <c r="P837" t="n">
        <v>0</v>
      </c>
      <c r="Q837" t="n">
        <v>0</v>
      </c>
      <c r="R837" s="2" t="inlineStr"/>
    </row>
    <row r="838" ht="15" customHeight="1">
      <c r="A838" t="inlineStr">
        <is>
          <t>A 57916-2025</t>
        </is>
      </c>
      <c r="B838" s="1" t="n">
        <v>45981</v>
      </c>
      <c r="C838" s="1" t="n">
        <v>46010</v>
      </c>
      <c r="D838" t="inlineStr">
        <is>
          <t>JÄMTLANDS LÄN</t>
        </is>
      </c>
      <c r="E838" t="inlineStr">
        <is>
          <t>RAGUNDA</t>
        </is>
      </c>
      <c r="G838" t="n">
        <v>5.3</v>
      </c>
      <c r="H838" t="n">
        <v>0</v>
      </c>
      <c r="I838" t="n">
        <v>0</v>
      </c>
      <c r="J838" t="n">
        <v>0</v>
      </c>
      <c r="K838" t="n">
        <v>0</v>
      </c>
      <c r="L838" t="n">
        <v>0</v>
      </c>
      <c r="M838" t="n">
        <v>0</v>
      </c>
      <c r="N838" t="n">
        <v>0</v>
      </c>
      <c r="O838" t="n">
        <v>0</v>
      </c>
      <c r="P838" t="n">
        <v>0</v>
      </c>
      <c r="Q838" t="n">
        <v>0</v>
      </c>
      <c r="R838" s="2" t="inlineStr"/>
    </row>
    <row r="839" ht="15" customHeight="1">
      <c r="A839" t="inlineStr">
        <is>
          <t>A 50081-2025</t>
        </is>
      </c>
      <c r="B839" s="1" t="n">
        <v>45943.46954861111</v>
      </c>
      <c r="C839" s="1" t="n">
        <v>46010</v>
      </c>
      <c r="D839" t="inlineStr">
        <is>
          <t>JÄMTLANDS LÄN</t>
        </is>
      </c>
      <c r="E839" t="inlineStr">
        <is>
          <t>RAGUNDA</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50055-2025</t>
        </is>
      </c>
      <c r="B840" s="1" t="n">
        <v>45943.43287037037</v>
      </c>
      <c r="C840" s="1" t="n">
        <v>46010</v>
      </c>
      <c r="D840" t="inlineStr">
        <is>
          <t>JÄMTLANDS LÄN</t>
        </is>
      </c>
      <c r="E840" t="inlineStr">
        <is>
          <t>RAGUNDA</t>
        </is>
      </c>
      <c r="G840" t="n">
        <v>17.6</v>
      </c>
      <c r="H840" t="n">
        <v>0</v>
      </c>
      <c r="I840" t="n">
        <v>0</v>
      </c>
      <c r="J840" t="n">
        <v>0</v>
      </c>
      <c r="K840" t="n">
        <v>0</v>
      </c>
      <c r="L840" t="n">
        <v>0</v>
      </c>
      <c r="M840" t="n">
        <v>0</v>
      </c>
      <c r="N840" t="n">
        <v>0</v>
      </c>
      <c r="O840" t="n">
        <v>0</v>
      </c>
      <c r="P840" t="n">
        <v>0</v>
      </c>
      <c r="Q840" t="n">
        <v>0</v>
      </c>
      <c r="R840" s="2" t="inlineStr"/>
    </row>
    <row r="841" ht="15" customHeight="1">
      <c r="A841" t="inlineStr">
        <is>
          <t>A 50080-2025</t>
        </is>
      </c>
      <c r="B841" s="1" t="n">
        <v>45943.469375</v>
      </c>
      <c r="C841" s="1" t="n">
        <v>46010</v>
      </c>
      <c r="D841" t="inlineStr">
        <is>
          <t>JÄMTLANDS LÄN</t>
        </is>
      </c>
      <c r="E841" t="inlineStr">
        <is>
          <t>RAGUNDA</t>
        </is>
      </c>
      <c r="F841" t="inlineStr">
        <is>
          <t>Naturvårdsverket</t>
        </is>
      </c>
      <c r="G841" t="n">
        <v>6.1</v>
      </c>
      <c r="H841" t="n">
        <v>0</v>
      </c>
      <c r="I841" t="n">
        <v>0</v>
      </c>
      <c r="J841" t="n">
        <v>0</v>
      </c>
      <c r="K841" t="n">
        <v>0</v>
      </c>
      <c r="L841" t="n">
        <v>0</v>
      </c>
      <c r="M841" t="n">
        <v>0</v>
      </c>
      <c r="N841" t="n">
        <v>0</v>
      </c>
      <c r="O841" t="n">
        <v>0</v>
      </c>
      <c r="P841" t="n">
        <v>0</v>
      </c>
      <c r="Q841" t="n">
        <v>0</v>
      </c>
      <c r="R841" s="2" t="inlineStr"/>
    </row>
    <row r="842" ht="15" customHeight="1">
      <c r="A842" t="inlineStr">
        <is>
          <t>A 51245-2024</t>
        </is>
      </c>
      <c r="B842" s="1" t="n">
        <v>45603.67850694444</v>
      </c>
      <c r="C842" s="1" t="n">
        <v>46010</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50260-2025</t>
        </is>
      </c>
      <c r="B843" s="1" t="n">
        <v>45944.34515046296</v>
      </c>
      <c r="C843" s="1" t="n">
        <v>46010</v>
      </c>
      <c r="D843" t="inlineStr">
        <is>
          <t>JÄMTLANDS LÄN</t>
        </is>
      </c>
      <c r="E843" t="inlineStr">
        <is>
          <t>RAGUNDA</t>
        </is>
      </c>
      <c r="F843" t="inlineStr">
        <is>
          <t>SCA</t>
        </is>
      </c>
      <c r="G843" t="n">
        <v>7.9</v>
      </c>
      <c r="H843" t="n">
        <v>0</v>
      </c>
      <c r="I843" t="n">
        <v>0</v>
      </c>
      <c r="J843" t="n">
        <v>0</v>
      </c>
      <c r="K843" t="n">
        <v>0</v>
      </c>
      <c r="L843" t="n">
        <v>0</v>
      </c>
      <c r="M843" t="n">
        <v>0</v>
      </c>
      <c r="N843" t="n">
        <v>0</v>
      </c>
      <c r="O843" t="n">
        <v>0</v>
      </c>
      <c r="P843" t="n">
        <v>0</v>
      </c>
      <c r="Q843" t="n">
        <v>0</v>
      </c>
      <c r="R843" s="2" t="inlineStr"/>
    </row>
    <row r="844" ht="15" customHeight="1">
      <c r="A844" t="inlineStr">
        <is>
          <t>A 58638-2025</t>
        </is>
      </c>
      <c r="B844" s="1" t="n">
        <v>45986.49016203704</v>
      </c>
      <c r="C844" s="1" t="n">
        <v>46010</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53955-2022</t>
        </is>
      </c>
      <c r="B845" s="1" t="n">
        <v>44880.95741898148</v>
      </c>
      <c r="C845" s="1" t="n">
        <v>46010</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50473-2025</t>
        </is>
      </c>
      <c r="B846" s="1" t="n">
        <v>45945.36520833334</v>
      </c>
      <c r="C846" s="1" t="n">
        <v>46010</v>
      </c>
      <c r="D846" t="inlineStr">
        <is>
          <t>JÄMTLANDS LÄN</t>
        </is>
      </c>
      <c r="E846" t="inlineStr">
        <is>
          <t>RAGUNDA</t>
        </is>
      </c>
      <c r="F846" t="inlineStr">
        <is>
          <t>SCA</t>
        </is>
      </c>
      <c r="G846" t="n">
        <v>11.2</v>
      </c>
      <c r="H846" t="n">
        <v>0</v>
      </c>
      <c r="I846" t="n">
        <v>0</v>
      </c>
      <c r="J846" t="n">
        <v>0</v>
      </c>
      <c r="K846" t="n">
        <v>0</v>
      </c>
      <c r="L846" t="n">
        <v>0</v>
      </c>
      <c r="M846" t="n">
        <v>0</v>
      </c>
      <c r="N846" t="n">
        <v>0</v>
      </c>
      <c r="O846" t="n">
        <v>0</v>
      </c>
      <c r="P846" t="n">
        <v>0</v>
      </c>
      <c r="Q846" t="n">
        <v>0</v>
      </c>
      <c r="R846" s="2" t="inlineStr"/>
    </row>
    <row r="847" ht="15" customHeight="1">
      <c r="A847" t="inlineStr">
        <is>
          <t>A 58918-2025</t>
        </is>
      </c>
      <c r="B847" s="1" t="n">
        <v>45987.52952546296</v>
      </c>
      <c r="C847" s="1" t="n">
        <v>46010</v>
      </c>
      <c r="D847" t="inlineStr">
        <is>
          <t>JÄMTLANDS LÄN</t>
        </is>
      </c>
      <c r="E847" t="inlineStr">
        <is>
          <t>RAGUNDA</t>
        </is>
      </c>
      <c r="G847" t="n">
        <v>2</v>
      </c>
      <c r="H847" t="n">
        <v>0</v>
      </c>
      <c r="I847" t="n">
        <v>0</v>
      </c>
      <c r="J847" t="n">
        <v>0</v>
      </c>
      <c r="K847" t="n">
        <v>0</v>
      </c>
      <c r="L847" t="n">
        <v>0</v>
      </c>
      <c r="M847" t="n">
        <v>0</v>
      </c>
      <c r="N847" t="n">
        <v>0</v>
      </c>
      <c r="O847" t="n">
        <v>0</v>
      </c>
      <c r="P847" t="n">
        <v>0</v>
      </c>
      <c r="Q847" t="n">
        <v>0</v>
      </c>
      <c r="R847" s="2" t="inlineStr"/>
    </row>
    <row r="848" ht="15" customHeight="1">
      <c r="A848" t="inlineStr">
        <is>
          <t>A 58559-2025</t>
        </is>
      </c>
      <c r="B848" s="1" t="n">
        <v>45986.34475694445</v>
      </c>
      <c r="C848" s="1" t="n">
        <v>46010</v>
      </c>
      <c r="D848" t="inlineStr">
        <is>
          <t>JÄMTLANDS LÄN</t>
        </is>
      </c>
      <c r="E848" t="inlineStr">
        <is>
          <t>RAGUNDA</t>
        </is>
      </c>
      <c r="F848" t="inlineStr">
        <is>
          <t>SCA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41772-2024</t>
        </is>
      </c>
      <c r="B849" s="1" t="n">
        <v>45561.34663194444</v>
      </c>
      <c r="C849" s="1" t="n">
        <v>46010</v>
      </c>
      <c r="D849" t="inlineStr">
        <is>
          <t>JÄMTLANDS LÄN</t>
        </is>
      </c>
      <c r="E849" t="inlineStr">
        <is>
          <t>RAGUNDA</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10972-2022</t>
        </is>
      </c>
      <c r="B850" s="1" t="n">
        <v>44628</v>
      </c>
      <c r="C850" s="1" t="n">
        <v>46010</v>
      </c>
      <c r="D850" t="inlineStr">
        <is>
          <t>JÄMTLANDS LÄN</t>
        </is>
      </c>
      <c r="E850" t="inlineStr">
        <is>
          <t>RAGUNDA</t>
        </is>
      </c>
      <c r="G850" t="n">
        <v>9.5</v>
      </c>
      <c r="H850" t="n">
        <v>0</v>
      </c>
      <c r="I850" t="n">
        <v>0</v>
      </c>
      <c r="J850" t="n">
        <v>0</v>
      </c>
      <c r="K850" t="n">
        <v>0</v>
      </c>
      <c r="L850" t="n">
        <v>0</v>
      </c>
      <c r="M850" t="n">
        <v>0</v>
      </c>
      <c r="N850" t="n">
        <v>0</v>
      </c>
      <c r="O850" t="n">
        <v>0</v>
      </c>
      <c r="P850" t="n">
        <v>0</v>
      </c>
      <c r="Q850" t="n">
        <v>0</v>
      </c>
      <c r="R850" s="2" t="inlineStr"/>
    </row>
    <row r="851" ht="15" customHeight="1">
      <c r="A851" t="inlineStr">
        <is>
          <t>A 11834-2023</t>
        </is>
      </c>
      <c r="B851" s="1" t="n">
        <v>44994.94296296296</v>
      </c>
      <c r="C851" s="1" t="n">
        <v>46010</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50504-2025</t>
        </is>
      </c>
      <c r="B852" s="1" t="n">
        <v>45945.4284837963</v>
      </c>
      <c r="C852" s="1" t="n">
        <v>46010</v>
      </c>
      <c r="D852" t="inlineStr">
        <is>
          <t>JÄMTLANDS LÄN</t>
        </is>
      </c>
      <c r="E852" t="inlineStr">
        <is>
          <t>RAGUNDA</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17559-2023</t>
        </is>
      </c>
      <c r="B853" s="1" t="n">
        <v>45034</v>
      </c>
      <c r="C853" s="1" t="n">
        <v>46010</v>
      </c>
      <c r="D853" t="inlineStr">
        <is>
          <t>JÄMTLANDS LÄN</t>
        </is>
      </c>
      <c r="E853" t="inlineStr">
        <is>
          <t>RAGUNDA</t>
        </is>
      </c>
      <c r="G853" t="n">
        <v>7.5</v>
      </c>
      <c r="H853" t="n">
        <v>0</v>
      </c>
      <c r="I853" t="n">
        <v>0</v>
      </c>
      <c r="J853" t="n">
        <v>0</v>
      </c>
      <c r="K853" t="n">
        <v>0</v>
      </c>
      <c r="L853" t="n">
        <v>0</v>
      </c>
      <c r="M853" t="n">
        <v>0</v>
      </c>
      <c r="N853" t="n">
        <v>0</v>
      </c>
      <c r="O853" t="n">
        <v>0</v>
      </c>
      <c r="P853" t="n">
        <v>0</v>
      </c>
      <c r="Q853" t="n">
        <v>0</v>
      </c>
      <c r="R853" s="2" t="inlineStr"/>
    </row>
    <row r="854" ht="15" customHeight="1">
      <c r="A854" t="inlineStr">
        <is>
          <t>A 38312-2024</t>
        </is>
      </c>
      <c r="B854" s="1" t="n">
        <v>45545.64957175926</v>
      </c>
      <c r="C854" s="1" t="n">
        <v>46010</v>
      </c>
      <c r="D854" t="inlineStr">
        <is>
          <t>JÄMTLANDS LÄN</t>
        </is>
      </c>
      <c r="E854" t="inlineStr">
        <is>
          <t>RAGUNDA</t>
        </is>
      </c>
      <c r="G854" t="n">
        <v>1.2</v>
      </c>
      <c r="H854" t="n">
        <v>0</v>
      </c>
      <c r="I854" t="n">
        <v>0</v>
      </c>
      <c r="J854" t="n">
        <v>0</v>
      </c>
      <c r="K854" t="n">
        <v>0</v>
      </c>
      <c r="L854" t="n">
        <v>0</v>
      </c>
      <c r="M854" t="n">
        <v>0</v>
      </c>
      <c r="N854" t="n">
        <v>0</v>
      </c>
      <c r="O854" t="n">
        <v>0</v>
      </c>
      <c r="P854" t="n">
        <v>0</v>
      </c>
      <c r="Q854" t="n">
        <v>0</v>
      </c>
      <c r="R854" s="2" t="inlineStr"/>
    </row>
    <row r="855" ht="15" customHeight="1">
      <c r="A855" t="inlineStr">
        <is>
          <t>A 32832-2021</t>
        </is>
      </c>
      <c r="B855" s="1" t="n">
        <v>44375</v>
      </c>
      <c r="C855" s="1" t="n">
        <v>46010</v>
      </c>
      <c r="D855" t="inlineStr">
        <is>
          <t>JÄMTLANDS LÄN</t>
        </is>
      </c>
      <c r="E855" t="inlineStr">
        <is>
          <t>RAGUNDA</t>
        </is>
      </c>
      <c r="G855" t="n">
        <v>3</v>
      </c>
      <c r="H855" t="n">
        <v>0</v>
      </c>
      <c r="I855" t="n">
        <v>0</v>
      </c>
      <c r="J855" t="n">
        <v>0</v>
      </c>
      <c r="K855" t="n">
        <v>0</v>
      </c>
      <c r="L855" t="n">
        <v>0</v>
      </c>
      <c r="M855" t="n">
        <v>0</v>
      </c>
      <c r="N855" t="n">
        <v>0</v>
      </c>
      <c r="O855" t="n">
        <v>0</v>
      </c>
      <c r="P855" t="n">
        <v>0</v>
      </c>
      <c r="Q855" t="n">
        <v>0</v>
      </c>
      <c r="R855" s="2" t="inlineStr"/>
    </row>
    <row r="856" ht="15" customHeight="1">
      <c r="A856" t="inlineStr">
        <is>
          <t>A 50503-2025</t>
        </is>
      </c>
      <c r="B856" s="1" t="n">
        <v>45945.42746527777</v>
      </c>
      <c r="C856" s="1" t="n">
        <v>46010</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33650-2025</t>
        </is>
      </c>
      <c r="B857" s="1" t="n">
        <v>45841</v>
      </c>
      <c r="C857" s="1" t="n">
        <v>46010</v>
      </c>
      <c r="D857" t="inlineStr">
        <is>
          <t>JÄMTLANDS LÄN</t>
        </is>
      </c>
      <c r="E857" t="inlineStr">
        <is>
          <t>RAGUNDA</t>
        </is>
      </c>
      <c r="G857" t="n">
        <v>1.4</v>
      </c>
      <c r="H857" t="n">
        <v>0</v>
      </c>
      <c r="I857" t="n">
        <v>0</v>
      </c>
      <c r="J857" t="n">
        <v>0</v>
      </c>
      <c r="K857" t="n">
        <v>0</v>
      </c>
      <c r="L857" t="n">
        <v>0</v>
      </c>
      <c r="M857" t="n">
        <v>0</v>
      </c>
      <c r="N857" t="n">
        <v>0</v>
      </c>
      <c r="O857" t="n">
        <v>0</v>
      </c>
      <c r="P857" t="n">
        <v>0</v>
      </c>
      <c r="Q857" t="n">
        <v>0</v>
      </c>
      <c r="R857" s="2" t="inlineStr"/>
    </row>
    <row r="858" ht="15" customHeight="1">
      <c r="A858" t="inlineStr">
        <is>
          <t>A 22011-2023</t>
        </is>
      </c>
      <c r="B858" s="1" t="n">
        <v>45068</v>
      </c>
      <c r="C858" s="1" t="n">
        <v>46010</v>
      </c>
      <c r="D858" t="inlineStr">
        <is>
          <t>JÄMTLANDS LÄN</t>
        </is>
      </c>
      <c r="E858" t="inlineStr">
        <is>
          <t>RAGUNDA</t>
        </is>
      </c>
      <c r="F858" t="inlineStr">
        <is>
          <t>SCA</t>
        </is>
      </c>
      <c r="G858" t="n">
        <v>12.2</v>
      </c>
      <c r="H858" t="n">
        <v>0</v>
      </c>
      <c r="I858" t="n">
        <v>0</v>
      </c>
      <c r="J858" t="n">
        <v>0</v>
      </c>
      <c r="K858" t="n">
        <v>0</v>
      </c>
      <c r="L858" t="n">
        <v>0</v>
      </c>
      <c r="M858" t="n">
        <v>0</v>
      </c>
      <c r="N858" t="n">
        <v>0</v>
      </c>
      <c r="O858" t="n">
        <v>0</v>
      </c>
      <c r="P858" t="n">
        <v>0</v>
      </c>
      <c r="Q858" t="n">
        <v>0</v>
      </c>
      <c r="R858" s="2" t="inlineStr"/>
    </row>
    <row r="859" ht="15" customHeight="1">
      <c r="A859" t="inlineStr">
        <is>
          <t>A 50711-2025</t>
        </is>
      </c>
      <c r="B859" s="1" t="n">
        <v>45946.34431712963</v>
      </c>
      <c r="C859" s="1" t="n">
        <v>46010</v>
      </c>
      <c r="D859" t="inlineStr">
        <is>
          <t>JÄMTLANDS LÄN</t>
        </is>
      </c>
      <c r="E859" t="inlineStr">
        <is>
          <t>RAGUNDA</t>
        </is>
      </c>
      <c r="F859" t="inlineStr">
        <is>
          <t>SCA</t>
        </is>
      </c>
      <c r="G859" t="n">
        <v>8</v>
      </c>
      <c r="H859" t="n">
        <v>0</v>
      </c>
      <c r="I859" t="n">
        <v>0</v>
      </c>
      <c r="J859" t="n">
        <v>0</v>
      </c>
      <c r="K859" t="n">
        <v>0</v>
      </c>
      <c r="L859" t="n">
        <v>0</v>
      </c>
      <c r="M859" t="n">
        <v>0</v>
      </c>
      <c r="N859" t="n">
        <v>0</v>
      </c>
      <c r="O859" t="n">
        <v>0</v>
      </c>
      <c r="P859" t="n">
        <v>0</v>
      </c>
      <c r="Q859" t="n">
        <v>0</v>
      </c>
      <c r="R859" s="2" t="inlineStr"/>
    </row>
    <row r="860" ht="15" customHeight="1">
      <c r="A860" t="inlineStr">
        <is>
          <t>A 50716-2025</t>
        </is>
      </c>
      <c r="B860" s="1" t="n">
        <v>45946.34572916666</v>
      </c>
      <c r="C860" s="1" t="n">
        <v>46010</v>
      </c>
      <c r="D860" t="inlineStr">
        <is>
          <t>JÄMTLANDS LÄN</t>
        </is>
      </c>
      <c r="E860" t="inlineStr">
        <is>
          <t>RAGUNDA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14158-2024</t>
        </is>
      </c>
      <c r="B861" s="1" t="n">
        <v>45392</v>
      </c>
      <c r="C861" s="1" t="n">
        <v>46010</v>
      </c>
      <c r="D861" t="inlineStr">
        <is>
          <t>JÄMTLANDS LÄN</t>
        </is>
      </c>
      <c r="E861" t="inlineStr">
        <is>
          <t>RAGUNDA</t>
        </is>
      </c>
      <c r="G861" t="n">
        <v>0.7</v>
      </c>
      <c r="H861" t="n">
        <v>0</v>
      </c>
      <c r="I861" t="n">
        <v>0</v>
      </c>
      <c r="J861" t="n">
        <v>0</v>
      </c>
      <c r="K861" t="n">
        <v>0</v>
      </c>
      <c r="L861" t="n">
        <v>0</v>
      </c>
      <c r="M861" t="n">
        <v>0</v>
      </c>
      <c r="N861" t="n">
        <v>0</v>
      </c>
      <c r="O861" t="n">
        <v>0</v>
      </c>
      <c r="P861" t="n">
        <v>0</v>
      </c>
      <c r="Q861" t="n">
        <v>0</v>
      </c>
      <c r="R861" s="2" t="inlineStr"/>
    </row>
    <row r="862" ht="15" customHeight="1">
      <c r="A862" t="inlineStr">
        <is>
          <t>A 50719-2025</t>
        </is>
      </c>
      <c r="B862" s="1" t="n">
        <v>45946.34642361111</v>
      </c>
      <c r="C862" s="1" t="n">
        <v>46010</v>
      </c>
      <c r="D862" t="inlineStr">
        <is>
          <t>JÄMTLANDS LÄN</t>
        </is>
      </c>
      <c r="E862" t="inlineStr">
        <is>
          <t>RAGUNDA</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59491-2025</t>
        </is>
      </c>
      <c r="B863" s="1" t="n">
        <v>45989.60376157407</v>
      </c>
      <c r="C863" s="1" t="n">
        <v>46010</v>
      </c>
      <c r="D863" t="inlineStr">
        <is>
          <t>JÄMTLANDS LÄN</t>
        </is>
      </c>
      <c r="E863" t="inlineStr">
        <is>
          <t>RAGUNDA</t>
        </is>
      </c>
      <c r="G863" t="n">
        <v>0.9</v>
      </c>
      <c r="H863" t="n">
        <v>0</v>
      </c>
      <c r="I863" t="n">
        <v>0</v>
      </c>
      <c r="J863" t="n">
        <v>0</v>
      </c>
      <c r="K863" t="n">
        <v>0</v>
      </c>
      <c r="L863" t="n">
        <v>0</v>
      </c>
      <c r="M863" t="n">
        <v>0</v>
      </c>
      <c r="N863" t="n">
        <v>0</v>
      </c>
      <c r="O863" t="n">
        <v>0</v>
      </c>
      <c r="P863" t="n">
        <v>0</v>
      </c>
      <c r="Q863" t="n">
        <v>0</v>
      </c>
      <c r="R863" s="2" t="inlineStr"/>
    </row>
    <row r="864" ht="15" customHeight="1">
      <c r="A864" t="inlineStr">
        <is>
          <t>A 42508-2023</t>
        </is>
      </c>
      <c r="B864" s="1" t="n">
        <v>45180.95907407408</v>
      </c>
      <c r="C864" s="1" t="n">
        <v>46010</v>
      </c>
      <c r="D864" t="inlineStr">
        <is>
          <t>JÄMTLANDS LÄN</t>
        </is>
      </c>
      <c r="E864" t="inlineStr">
        <is>
          <t>RAGUNDA</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59214-2025</t>
        </is>
      </c>
      <c r="B865" s="1" t="n">
        <v>45988.61623842592</v>
      </c>
      <c r="C865" s="1" t="n">
        <v>46010</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35274-2023</t>
        </is>
      </c>
      <c r="B866" s="1" t="n">
        <v>45145</v>
      </c>
      <c r="C866" s="1" t="n">
        <v>46010</v>
      </c>
      <c r="D866" t="inlineStr">
        <is>
          <t>JÄMTLANDS LÄN</t>
        </is>
      </c>
      <c r="E866" t="inlineStr">
        <is>
          <t>RAGUNDA</t>
        </is>
      </c>
      <c r="F866" t="inlineStr">
        <is>
          <t>SCA</t>
        </is>
      </c>
      <c r="G866" t="n">
        <v>6.1</v>
      </c>
      <c r="H866" t="n">
        <v>0</v>
      </c>
      <c r="I866" t="n">
        <v>0</v>
      </c>
      <c r="J866" t="n">
        <v>0</v>
      </c>
      <c r="K866" t="n">
        <v>0</v>
      </c>
      <c r="L866" t="n">
        <v>0</v>
      </c>
      <c r="M866" t="n">
        <v>0</v>
      </c>
      <c r="N866" t="n">
        <v>0</v>
      </c>
      <c r="O866" t="n">
        <v>0</v>
      </c>
      <c r="P866" t="n">
        <v>0</v>
      </c>
      <c r="Q866" t="n">
        <v>0</v>
      </c>
      <c r="R866" s="2" t="inlineStr"/>
    </row>
    <row r="867" ht="15" customHeight="1">
      <c r="A867" t="inlineStr">
        <is>
          <t>A 51019-2025</t>
        </is>
      </c>
      <c r="B867" s="1" t="n">
        <v>45947.38623842593</v>
      </c>
      <c r="C867" s="1" t="n">
        <v>46010</v>
      </c>
      <c r="D867" t="inlineStr">
        <is>
          <t>JÄMTLANDS LÄN</t>
        </is>
      </c>
      <c r="E867" t="inlineStr">
        <is>
          <t>RAGUNDA</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59503-2025</t>
        </is>
      </c>
      <c r="B868" s="1" t="n">
        <v>45989.62703703704</v>
      </c>
      <c r="C868" s="1" t="n">
        <v>46010</v>
      </c>
      <c r="D868" t="inlineStr">
        <is>
          <t>JÄMTLANDS LÄN</t>
        </is>
      </c>
      <c r="E868" t="inlineStr">
        <is>
          <t>RAGUNDA</t>
        </is>
      </c>
      <c r="G868" t="n">
        <v>0.6</v>
      </c>
      <c r="H868" t="n">
        <v>0</v>
      </c>
      <c r="I868" t="n">
        <v>0</v>
      </c>
      <c r="J868" t="n">
        <v>0</v>
      </c>
      <c r="K868" t="n">
        <v>0</v>
      </c>
      <c r="L868" t="n">
        <v>0</v>
      </c>
      <c r="M868" t="n">
        <v>0</v>
      </c>
      <c r="N868" t="n">
        <v>0</v>
      </c>
      <c r="O868" t="n">
        <v>0</v>
      </c>
      <c r="P868" t="n">
        <v>0</v>
      </c>
      <c r="Q868" t="n">
        <v>0</v>
      </c>
      <c r="R868" s="2" t="inlineStr"/>
    </row>
    <row r="869" ht="15" customHeight="1">
      <c r="A869" t="inlineStr">
        <is>
          <t>A 12983-2025</t>
        </is>
      </c>
      <c r="B869" s="1" t="n">
        <v>45734.4633912037</v>
      </c>
      <c r="C869" s="1" t="n">
        <v>46010</v>
      </c>
      <c r="D869" t="inlineStr">
        <is>
          <t>JÄMTLANDS LÄN</t>
        </is>
      </c>
      <c r="E869" t="inlineStr">
        <is>
          <t>RAGUNDA</t>
        </is>
      </c>
      <c r="G869" t="n">
        <v>5.2</v>
      </c>
      <c r="H869" t="n">
        <v>0</v>
      </c>
      <c r="I869" t="n">
        <v>0</v>
      </c>
      <c r="J869" t="n">
        <v>0</v>
      </c>
      <c r="K869" t="n">
        <v>0</v>
      </c>
      <c r="L869" t="n">
        <v>0</v>
      </c>
      <c r="M869" t="n">
        <v>0</v>
      </c>
      <c r="N869" t="n">
        <v>0</v>
      </c>
      <c r="O869" t="n">
        <v>0</v>
      </c>
      <c r="P869" t="n">
        <v>0</v>
      </c>
      <c r="Q869" t="n">
        <v>0</v>
      </c>
      <c r="R869" s="2" t="inlineStr"/>
    </row>
    <row r="870" ht="15" customHeight="1">
      <c r="A870" t="inlineStr">
        <is>
          <t>A 17598-2021</t>
        </is>
      </c>
      <c r="B870" s="1" t="n">
        <v>44299</v>
      </c>
      <c r="C870" s="1" t="n">
        <v>46010</v>
      </c>
      <c r="D870" t="inlineStr">
        <is>
          <t>JÄMTLANDS LÄN</t>
        </is>
      </c>
      <c r="E870" t="inlineStr">
        <is>
          <t>RAGUNDA</t>
        </is>
      </c>
      <c r="G870" t="n">
        <v>4.6</v>
      </c>
      <c r="H870" t="n">
        <v>0</v>
      </c>
      <c r="I870" t="n">
        <v>0</v>
      </c>
      <c r="J870" t="n">
        <v>0</v>
      </c>
      <c r="K870" t="n">
        <v>0</v>
      </c>
      <c r="L870" t="n">
        <v>0</v>
      </c>
      <c r="M870" t="n">
        <v>0</v>
      </c>
      <c r="N870" t="n">
        <v>0</v>
      </c>
      <c r="O870" t="n">
        <v>0</v>
      </c>
      <c r="P870" t="n">
        <v>0</v>
      </c>
      <c r="Q870" t="n">
        <v>0</v>
      </c>
      <c r="R870" s="2" t="inlineStr"/>
    </row>
    <row r="871" ht="15" customHeight="1">
      <c r="A871" t="inlineStr">
        <is>
          <t>A 50985-2025</t>
        </is>
      </c>
      <c r="B871" s="1" t="n">
        <v>45947.34506944445</v>
      </c>
      <c r="C871" s="1" t="n">
        <v>46010</v>
      </c>
      <c r="D871" t="inlineStr">
        <is>
          <t>JÄMTLANDS LÄN</t>
        </is>
      </c>
      <c r="E871" t="inlineStr">
        <is>
          <t>RAGUNDA</t>
        </is>
      </c>
      <c r="F871" t="inlineStr">
        <is>
          <t>SCA</t>
        </is>
      </c>
      <c r="G871" t="n">
        <v>8</v>
      </c>
      <c r="H871" t="n">
        <v>0</v>
      </c>
      <c r="I871" t="n">
        <v>0</v>
      </c>
      <c r="J871" t="n">
        <v>0</v>
      </c>
      <c r="K871" t="n">
        <v>0</v>
      </c>
      <c r="L871" t="n">
        <v>0</v>
      </c>
      <c r="M871" t="n">
        <v>0</v>
      </c>
      <c r="N871" t="n">
        <v>0</v>
      </c>
      <c r="O871" t="n">
        <v>0</v>
      </c>
      <c r="P871" t="n">
        <v>0</v>
      </c>
      <c r="Q871" t="n">
        <v>0</v>
      </c>
      <c r="R871" s="2" t="inlineStr"/>
    </row>
    <row r="872" ht="15" customHeight="1">
      <c r="A872" t="inlineStr">
        <is>
          <t>A 51034-2025</t>
        </is>
      </c>
      <c r="B872" s="1" t="n">
        <v>45947.40670138889</v>
      </c>
      <c r="C872" s="1" t="n">
        <v>46010</v>
      </c>
      <c r="D872" t="inlineStr">
        <is>
          <t>JÄMTLANDS LÄN</t>
        </is>
      </c>
      <c r="E872" t="inlineStr">
        <is>
          <t>RAGUNDA</t>
        </is>
      </c>
      <c r="F872" t="inlineStr">
        <is>
          <t>SCA</t>
        </is>
      </c>
      <c r="G872" t="n">
        <v>44.1</v>
      </c>
      <c r="H872" t="n">
        <v>0</v>
      </c>
      <c r="I872" t="n">
        <v>0</v>
      </c>
      <c r="J872" t="n">
        <v>0</v>
      </c>
      <c r="K872" t="n">
        <v>0</v>
      </c>
      <c r="L872" t="n">
        <v>0</v>
      </c>
      <c r="M872" t="n">
        <v>0</v>
      </c>
      <c r="N872" t="n">
        <v>0</v>
      </c>
      <c r="O872" t="n">
        <v>0</v>
      </c>
      <c r="P872" t="n">
        <v>0</v>
      </c>
      <c r="Q872" t="n">
        <v>0</v>
      </c>
      <c r="R872" s="2" t="inlineStr"/>
    </row>
    <row r="873" ht="15" customHeight="1">
      <c r="A873" t="inlineStr">
        <is>
          <t>A 59499-2025</t>
        </is>
      </c>
      <c r="B873" s="1" t="n">
        <v>45989.61846064815</v>
      </c>
      <c r="C873" s="1" t="n">
        <v>46010</v>
      </c>
      <c r="D873" t="inlineStr">
        <is>
          <t>JÄMTLANDS LÄN</t>
        </is>
      </c>
      <c r="E873" t="inlineStr">
        <is>
          <t>RAGUNDA</t>
        </is>
      </c>
      <c r="G873" t="n">
        <v>2</v>
      </c>
      <c r="H873" t="n">
        <v>0</v>
      </c>
      <c r="I873" t="n">
        <v>0</v>
      </c>
      <c r="J873" t="n">
        <v>0</v>
      </c>
      <c r="K873" t="n">
        <v>0</v>
      </c>
      <c r="L873" t="n">
        <v>0</v>
      </c>
      <c r="M873" t="n">
        <v>0</v>
      </c>
      <c r="N873" t="n">
        <v>0</v>
      </c>
      <c r="O873" t="n">
        <v>0</v>
      </c>
      <c r="P873" t="n">
        <v>0</v>
      </c>
      <c r="Q873" t="n">
        <v>0</v>
      </c>
      <c r="R873" s="2" t="inlineStr"/>
    </row>
    <row r="874" ht="15" customHeight="1">
      <c r="A874" t="inlineStr">
        <is>
          <t>A 3938-2024</t>
        </is>
      </c>
      <c r="B874" s="1" t="n">
        <v>45322</v>
      </c>
      <c r="C874" s="1" t="n">
        <v>46010</v>
      </c>
      <c r="D874" t="inlineStr">
        <is>
          <t>JÄMTLANDS LÄN</t>
        </is>
      </c>
      <c r="E874" t="inlineStr">
        <is>
          <t>RAGUNDA</t>
        </is>
      </c>
      <c r="G874" t="n">
        <v>3.2</v>
      </c>
      <c r="H874" t="n">
        <v>0</v>
      </c>
      <c r="I874" t="n">
        <v>0</v>
      </c>
      <c r="J874" t="n">
        <v>0</v>
      </c>
      <c r="K874" t="n">
        <v>0</v>
      </c>
      <c r="L874" t="n">
        <v>0</v>
      </c>
      <c r="M874" t="n">
        <v>0</v>
      </c>
      <c r="N874" t="n">
        <v>0</v>
      </c>
      <c r="O874" t="n">
        <v>0</v>
      </c>
      <c r="P874" t="n">
        <v>0</v>
      </c>
      <c r="Q874" t="n">
        <v>0</v>
      </c>
      <c r="R874" s="2" t="inlineStr"/>
    </row>
    <row r="875" ht="15" customHeight="1">
      <c r="A875" t="inlineStr">
        <is>
          <t>A 51592-2025</t>
        </is>
      </c>
      <c r="B875" s="1" t="n">
        <v>45951.36541666667</v>
      </c>
      <c r="C875" s="1" t="n">
        <v>46010</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51395-2025</t>
        </is>
      </c>
      <c r="B876" s="1" t="n">
        <v>45950.46989583333</v>
      </c>
      <c r="C876" s="1" t="n">
        <v>46010</v>
      </c>
      <c r="D876" t="inlineStr">
        <is>
          <t>JÄMTLANDS LÄN</t>
        </is>
      </c>
      <c r="E876" t="inlineStr">
        <is>
          <t>RAGUNDA</t>
        </is>
      </c>
      <c r="F876" t="inlineStr">
        <is>
          <t>SCA</t>
        </is>
      </c>
      <c r="G876" t="n">
        <v>30.7</v>
      </c>
      <c r="H876" t="n">
        <v>0</v>
      </c>
      <c r="I876" t="n">
        <v>0</v>
      </c>
      <c r="J876" t="n">
        <v>0</v>
      </c>
      <c r="K876" t="n">
        <v>0</v>
      </c>
      <c r="L876" t="n">
        <v>0</v>
      </c>
      <c r="M876" t="n">
        <v>0</v>
      </c>
      <c r="N876" t="n">
        <v>0</v>
      </c>
      <c r="O876" t="n">
        <v>0</v>
      </c>
      <c r="P876" t="n">
        <v>0</v>
      </c>
      <c r="Q876" t="n">
        <v>0</v>
      </c>
      <c r="R876" s="2" t="inlineStr"/>
    </row>
    <row r="877" ht="15" customHeight="1">
      <c r="A877" t="inlineStr">
        <is>
          <t>A 53144-2024</t>
        </is>
      </c>
      <c r="B877" s="1" t="n">
        <v>45611</v>
      </c>
      <c r="C877" s="1" t="n">
        <v>46010</v>
      </c>
      <c r="D877" t="inlineStr">
        <is>
          <t>JÄMTLANDS LÄN</t>
        </is>
      </c>
      <c r="E877" t="inlineStr">
        <is>
          <t>RAGUNDA</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59692-2025</t>
        </is>
      </c>
      <c r="B878" s="1" t="n">
        <v>45992.49001157407</v>
      </c>
      <c r="C878" s="1" t="n">
        <v>46010</v>
      </c>
      <c r="D878" t="inlineStr">
        <is>
          <t>JÄMTLANDS LÄN</t>
        </is>
      </c>
      <c r="E878" t="inlineStr">
        <is>
          <t>RAGUNDA</t>
        </is>
      </c>
      <c r="G878" t="n">
        <v>2.7</v>
      </c>
      <c r="H878" t="n">
        <v>0</v>
      </c>
      <c r="I878" t="n">
        <v>0</v>
      </c>
      <c r="J878" t="n">
        <v>0</v>
      </c>
      <c r="K878" t="n">
        <v>0</v>
      </c>
      <c r="L878" t="n">
        <v>0</v>
      </c>
      <c r="M878" t="n">
        <v>0</v>
      </c>
      <c r="N878" t="n">
        <v>0</v>
      </c>
      <c r="O878" t="n">
        <v>0</v>
      </c>
      <c r="P878" t="n">
        <v>0</v>
      </c>
      <c r="Q878" t="n">
        <v>0</v>
      </c>
      <c r="R878" s="2" t="inlineStr"/>
    </row>
    <row r="879" ht="15" customHeight="1">
      <c r="A879" t="inlineStr">
        <is>
          <t>A 51678-2025</t>
        </is>
      </c>
      <c r="B879" s="1" t="n">
        <v>45951.51106481482</v>
      </c>
      <c r="C879" s="1" t="n">
        <v>46010</v>
      </c>
      <c r="D879" t="inlineStr">
        <is>
          <t>JÄMTLANDS LÄN</t>
        </is>
      </c>
      <c r="E879" t="inlineStr">
        <is>
          <t>RAGUNDA</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59693-2025</t>
        </is>
      </c>
      <c r="B880" s="1" t="n">
        <v>45992.49009259259</v>
      </c>
      <c r="C880" s="1" t="n">
        <v>46010</v>
      </c>
      <c r="D880" t="inlineStr">
        <is>
          <t>JÄMTLANDS LÄN</t>
        </is>
      </c>
      <c r="E880" t="inlineStr">
        <is>
          <t>RAGUNDA</t>
        </is>
      </c>
      <c r="G880" t="n">
        <v>0.7</v>
      </c>
      <c r="H880" t="n">
        <v>0</v>
      </c>
      <c r="I880" t="n">
        <v>0</v>
      </c>
      <c r="J880" t="n">
        <v>0</v>
      </c>
      <c r="K880" t="n">
        <v>0</v>
      </c>
      <c r="L880" t="n">
        <v>0</v>
      </c>
      <c r="M880" t="n">
        <v>0</v>
      </c>
      <c r="N880" t="n">
        <v>0</v>
      </c>
      <c r="O880" t="n">
        <v>0</v>
      </c>
      <c r="P880" t="n">
        <v>0</v>
      </c>
      <c r="Q880" t="n">
        <v>0</v>
      </c>
      <c r="R880" s="2" t="inlineStr"/>
    </row>
    <row r="881" ht="15" customHeight="1">
      <c r="A881" t="inlineStr">
        <is>
          <t>A 22311-2024</t>
        </is>
      </c>
      <c r="B881" s="1" t="n">
        <v>45446.57052083333</v>
      </c>
      <c r="C881" s="1" t="n">
        <v>46010</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57914-2025</t>
        </is>
      </c>
      <c r="B882" s="1" t="n">
        <v>45981</v>
      </c>
      <c r="C882" s="1" t="n">
        <v>46010</v>
      </c>
      <c r="D882" t="inlineStr">
        <is>
          <t>JÄMTLANDS LÄN</t>
        </is>
      </c>
      <c r="E882" t="inlineStr">
        <is>
          <t>RAGUNDA</t>
        </is>
      </c>
      <c r="G882" t="n">
        <v>3.2</v>
      </c>
      <c r="H882" t="n">
        <v>0</v>
      </c>
      <c r="I882" t="n">
        <v>0</v>
      </c>
      <c r="J882" t="n">
        <v>0</v>
      </c>
      <c r="K882" t="n">
        <v>0</v>
      </c>
      <c r="L882" t="n">
        <v>0</v>
      </c>
      <c r="M882" t="n">
        <v>0</v>
      </c>
      <c r="N882" t="n">
        <v>0</v>
      </c>
      <c r="O882" t="n">
        <v>0</v>
      </c>
      <c r="P882" t="n">
        <v>0</v>
      </c>
      <c r="Q882" t="n">
        <v>0</v>
      </c>
      <c r="R882" s="2" t="inlineStr"/>
    </row>
    <row r="883" ht="15" customHeight="1">
      <c r="A883" t="inlineStr">
        <is>
          <t>A 59931-2025</t>
        </is>
      </c>
      <c r="B883" s="1" t="n">
        <v>45993.40177083333</v>
      </c>
      <c r="C883" s="1" t="n">
        <v>46010</v>
      </c>
      <c r="D883" t="inlineStr">
        <is>
          <t>JÄMTLANDS LÄN</t>
        </is>
      </c>
      <c r="E883" t="inlineStr">
        <is>
          <t>RAGUNDA</t>
        </is>
      </c>
      <c r="G883" t="n">
        <v>4</v>
      </c>
      <c r="H883" t="n">
        <v>0</v>
      </c>
      <c r="I883" t="n">
        <v>0</v>
      </c>
      <c r="J883" t="n">
        <v>0</v>
      </c>
      <c r="K883" t="n">
        <v>0</v>
      </c>
      <c r="L883" t="n">
        <v>0</v>
      </c>
      <c r="M883" t="n">
        <v>0</v>
      </c>
      <c r="N883" t="n">
        <v>0</v>
      </c>
      <c r="O883" t="n">
        <v>0</v>
      </c>
      <c r="P883" t="n">
        <v>0</v>
      </c>
      <c r="Q883" t="n">
        <v>0</v>
      </c>
      <c r="R883" s="2" t="inlineStr"/>
    </row>
    <row r="884" ht="15" customHeight="1">
      <c r="A884" t="inlineStr">
        <is>
          <t>A 51593-2025</t>
        </is>
      </c>
      <c r="B884" s="1" t="n">
        <v>45951.36548611111</v>
      </c>
      <c r="C884" s="1" t="n">
        <v>46010</v>
      </c>
      <c r="D884" t="inlineStr">
        <is>
          <t>JÄMTLANDS LÄN</t>
        </is>
      </c>
      <c r="E884" t="inlineStr">
        <is>
          <t>RAGUNDA</t>
        </is>
      </c>
      <c r="G884" t="n">
        <v>1.5</v>
      </c>
      <c r="H884" t="n">
        <v>0</v>
      </c>
      <c r="I884" t="n">
        <v>0</v>
      </c>
      <c r="J884" t="n">
        <v>0</v>
      </c>
      <c r="K884" t="n">
        <v>0</v>
      </c>
      <c r="L884" t="n">
        <v>0</v>
      </c>
      <c r="M884" t="n">
        <v>0</v>
      </c>
      <c r="N884" t="n">
        <v>0</v>
      </c>
      <c r="O884" t="n">
        <v>0</v>
      </c>
      <c r="P884" t="n">
        <v>0</v>
      </c>
      <c r="Q884" t="n">
        <v>0</v>
      </c>
      <c r="R884" s="2" t="inlineStr"/>
    </row>
    <row r="885" ht="15" customHeight="1">
      <c r="A885" t="inlineStr">
        <is>
          <t>A 60062-2025</t>
        </is>
      </c>
      <c r="B885" s="1" t="n">
        <v>45993.65694444445</v>
      </c>
      <c r="C885" s="1" t="n">
        <v>46010</v>
      </c>
      <c r="D885" t="inlineStr">
        <is>
          <t>JÄMTLANDS LÄN</t>
        </is>
      </c>
      <c r="E885" t="inlineStr">
        <is>
          <t>RAGUNDA</t>
        </is>
      </c>
      <c r="F885" t="inlineStr">
        <is>
          <t>SCA</t>
        </is>
      </c>
      <c r="G885" t="n">
        <v>5.8</v>
      </c>
      <c r="H885" t="n">
        <v>0</v>
      </c>
      <c r="I885" t="n">
        <v>0</v>
      </c>
      <c r="J885" t="n">
        <v>0</v>
      </c>
      <c r="K885" t="n">
        <v>0</v>
      </c>
      <c r="L885" t="n">
        <v>0</v>
      </c>
      <c r="M885" t="n">
        <v>0</v>
      </c>
      <c r="N885" t="n">
        <v>0</v>
      </c>
      <c r="O885" t="n">
        <v>0</v>
      </c>
      <c r="P885" t="n">
        <v>0</v>
      </c>
      <c r="Q885" t="n">
        <v>0</v>
      </c>
      <c r="R885" s="2" t="inlineStr"/>
    </row>
    <row r="886" ht="15" customHeight="1">
      <c r="A886" t="inlineStr">
        <is>
          <t>A 59738-2025</t>
        </is>
      </c>
      <c r="B886" s="1" t="n">
        <v>45992.57408564815</v>
      </c>
      <c r="C886" s="1" t="n">
        <v>46010</v>
      </c>
      <c r="D886" t="inlineStr">
        <is>
          <t>JÄMTLANDS LÄN</t>
        </is>
      </c>
      <c r="E886" t="inlineStr">
        <is>
          <t>RAGUNDA</t>
        </is>
      </c>
      <c r="F886" t="inlineStr">
        <is>
          <t>SCA</t>
        </is>
      </c>
      <c r="G886" t="n">
        <v>12.5</v>
      </c>
      <c r="H886" t="n">
        <v>0</v>
      </c>
      <c r="I886" t="n">
        <v>0</v>
      </c>
      <c r="J886" t="n">
        <v>0</v>
      </c>
      <c r="K886" t="n">
        <v>0</v>
      </c>
      <c r="L886" t="n">
        <v>0</v>
      </c>
      <c r="M886" t="n">
        <v>0</v>
      </c>
      <c r="N886" t="n">
        <v>0</v>
      </c>
      <c r="O886" t="n">
        <v>0</v>
      </c>
      <c r="P886" t="n">
        <v>0</v>
      </c>
      <c r="Q886" t="n">
        <v>0</v>
      </c>
      <c r="R886" s="2" t="inlineStr"/>
    </row>
    <row r="887" ht="15" customHeight="1">
      <c r="A887" t="inlineStr">
        <is>
          <t>A 51484-2025</t>
        </is>
      </c>
      <c r="B887" s="1" t="n">
        <v>45950.62196759259</v>
      </c>
      <c r="C887" s="1" t="n">
        <v>46010</v>
      </c>
      <c r="D887" t="inlineStr">
        <is>
          <t>JÄMTLANDS LÄN</t>
        </is>
      </c>
      <c r="E887" t="inlineStr">
        <is>
          <t>RAGUNDA</t>
        </is>
      </c>
      <c r="F887" t="inlineStr">
        <is>
          <t>SCA</t>
        </is>
      </c>
      <c r="G887" t="n">
        <v>23.1</v>
      </c>
      <c r="H887" t="n">
        <v>0</v>
      </c>
      <c r="I887" t="n">
        <v>0</v>
      </c>
      <c r="J887" t="n">
        <v>0</v>
      </c>
      <c r="K887" t="n">
        <v>0</v>
      </c>
      <c r="L887" t="n">
        <v>0</v>
      </c>
      <c r="M887" t="n">
        <v>0</v>
      </c>
      <c r="N887" t="n">
        <v>0</v>
      </c>
      <c r="O887" t="n">
        <v>0</v>
      </c>
      <c r="P887" t="n">
        <v>0</v>
      </c>
      <c r="Q887" t="n">
        <v>0</v>
      </c>
      <c r="R887" s="2" t="inlineStr"/>
    </row>
    <row r="888" ht="15" customHeight="1">
      <c r="A888" t="inlineStr">
        <is>
          <t>A 51491-2025</t>
        </is>
      </c>
      <c r="B888" s="1" t="n">
        <v>45950.63362268519</v>
      </c>
      <c r="C888" s="1" t="n">
        <v>46010</v>
      </c>
      <c r="D888" t="inlineStr">
        <is>
          <t>JÄMTLANDS LÄN</t>
        </is>
      </c>
      <c r="E888" t="inlineStr">
        <is>
          <t>RAGUNDA</t>
        </is>
      </c>
      <c r="G888" t="n">
        <v>1.1</v>
      </c>
      <c r="H888" t="n">
        <v>0</v>
      </c>
      <c r="I888" t="n">
        <v>0</v>
      </c>
      <c r="J888" t="n">
        <v>0</v>
      </c>
      <c r="K888" t="n">
        <v>0</v>
      </c>
      <c r="L888" t="n">
        <v>0</v>
      </c>
      <c r="M888" t="n">
        <v>0</v>
      </c>
      <c r="N888" t="n">
        <v>0</v>
      </c>
      <c r="O888" t="n">
        <v>0</v>
      </c>
      <c r="P888" t="n">
        <v>0</v>
      </c>
      <c r="Q888" t="n">
        <v>0</v>
      </c>
      <c r="R888" s="2" t="inlineStr"/>
    </row>
    <row r="889" ht="15" customHeight="1">
      <c r="A889" t="inlineStr">
        <is>
          <t>A 19403-2025</t>
        </is>
      </c>
      <c r="B889" s="1" t="n">
        <v>45769.67790509259</v>
      </c>
      <c r="C889" s="1" t="n">
        <v>46010</v>
      </c>
      <c r="D889" t="inlineStr">
        <is>
          <t>JÄMTLANDS LÄN</t>
        </is>
      </c>
      <c r="E889" t="inlineStr">
        <is>
          <t>RAGUNDA</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59740-2025</t>
        </is>
      </c>
      <c r="B890" s="1" t="n">
        <v>45992.5743287037</v>
      </c>
      <c r="C890" s="1" t="n">
        <v>46010</v>
      </c>
      <c r="D890" t="inlineStr">
        <is>
          <t>JÄMTLANDS LÄN</t>
        </is>
      </c>
      <c r="E890" t="inlineStr">
        <is>
          <t>RAGUNDA</t>
        </is>
      </c>
      <c r="F890" t="inlineStr">
        <is>
          <t>SCA</t>
        </is>
      </c>
      <c r="G890" t="n">
        <v>14.1</v>
      </c>
      <c r="H890" t="n">
        <v>0</v>
      </c>
      <c r="I890" t="n">
        <v>0</v>
      </c>
      <c r="J890" t="n">
        <v>0</v>
      </c>
      <c r="K890" t="n">
        <v>0</v>
      </c>
      <c r="L890" t="n">
        <v>0</v>
      </c>
      <c r="M890" t="n">
        <v>0</v>
      </c>
      <c r="N890" t="n">
        <v>0</v>
      </c>
      <c r="O890" t="n">
        <v>0</v>
      </c>
      <c r="P890" t="n">
        <v>0</v>
      </c>
      <c r="Q890" t="n">
        <v>0</v>
      </c>
      <c r="R890" s="2" t="inlineStr"/>
    </row>
    <row r="891" ht="15" customHeight="1">
      <c r="A891" t="inlineStr">
        <is>
          <t>A 59739-2025</t>
        </is>
      </c>
      <c r="B891" s="1" t="n">
        <v>45992.57417824074</v>
      </c>
      <c r="C891" s="1" t="n">
        <v>46010</v>
      </c>
      <c r="D891" t="inlineStr">
        <is>
          <t>JÄMTLANDS LÄN</t>
        </is>
      </c>
      <c r="E891" t="inlineStr">
        <is>
          <t>RAGUNDA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51791-2025</t>
        </is>
      </c>
      <c r="B892" s="1" t="n">
        <v>45951.69833333333</v>
      </c>
      <c r="C892" s="1" t="n">
        <v>46010</v>
      </c>
      <c r="D892" t="inlineStr">
        <is>
          <t>JÄMTLANDS LÄN</t>
        </is>
      </c>
      <c r="E892" t="inlineStr">
        <is>
          <t>RAGUNDA</t>
        </is>
      </c>
      <c r="F892" t="inlineStr">
        <is>
          <t>SCA</t>
        </is>
      </c>
      <c r="G892" t="n">
        <v>43.3</v>
      </c>
      <c r="H892" t="n">
        <v>0</v>
      </c>
      <c r="I892" t="n">
        <v>0</v>
      </c>
      <c r="J892" t="n">
        <v>0</v>
      </c>
      <c r="K892" t="n">
        <v>0</v>
      </c>
      <c r="L892" t="n">
        <v>0</v>
      </c>
      <c r="M892" t="n">
        <v>0</v>
      </c>
      <c r="N892" t="n">
        <v>0</v>
      </c>
      <c r="O892" t="n">
        <v>0</v>
      </c>
      <c r="P892" t="n">
        <v>0</v>
      </c>
      <c r="Q892" t="n">
        <v>0</v>
      </c>
      <c r="R892" s="2" t="inlineStr"/>
    </row>
    <row r="893" ht="15" customHeight="1">
      <c r="A893" t="inlineStr">
        <is>
          <t>A 57915-2025</t>
        </is>
      </c>
      <c r="B893" s="1" t="n">
        <v>45981</v>
      </c>
      <c r="C893" s="1" t="n">
        <v>46010</v>
      </c>
      <c r="D893" t="inlineStr">
        <is>
          <t>JÄMTLANDS LÄN</t>
        </is>
      </c>
      <c r="E893" t="inlineStr">
        <is>
          <t>RAGUNDA</t>
        </is>
      </c>
      <c r="G893" t="n">
        <v>6.4</v>
      </c>
      <c r="H893" t="n">
        <v>0</v>
      </c>
      <c r="I893" t="n">
        <v>0</v>
      </c>
      <c r="J893" t="n">
        <v>0</v>
      </c>
      <c r="K893" t="n">
        <v>0</v>
      </c>
      <c r="L893" t="n">
        <v>0</v>
      </c>
      <c r="M893" t="n">
        <v>0</v>
      </c>
      <c r="N893" t="n">
        <v>0</v>
      </c>
      <c r="O893" t="n">
        <v>0</v>
      </c>
      <c r="P893" t="n">
        <v>0</v>
      </c>
      <c r="Q893" t="n">
        <v>0</v>
      </c>
      <c r="R893" s="2" t="inlineStr"/>
    </row>
    <row r="894" ht="15" customHeight="1">
      <c r="A894" t="inlineStr">
        <is>
          <t>A 51702-2025</t>
        </is>
      </c>
      <c r="B894" s="1" t="n">
        <v>45951.55305555555</v>
      </c>
      <c r="C894" s="1" t="n">
        <v>46010</v>
      </c>
      <c r="D894" t="inlineStr">
        <is>
          <t>JÄMTLANDS LÄN</t>
        </is>
      </c>
      <c r="E894" t="inlineStr">
        <is>
          <t>RAGUNDA</t>
        </is>
      </c>
      <c r="G894" t="n">
        <v>11.4</v>
      </c>
      <c r="H894" t="n">
        <v>0</v>
      </c>
      <c r="I894" t="n">
        <v>0</v>
      </c>
      <c r="J894" t="n">
        <v>0</v>
      </c>
      <c r="K894" t="n">
        <v>0</v>
      </c>
      <c r="L894" t="n">
        <v>0</v>
      </c>
      <c r="M894" t="n">
        <v>0</v>
      </c>
      <c r="N894" t="n">
        <v>0</v>
      </c>
      <c r="O894" t="n">
        <v>0</v>
      </c>
      <c r="P894" t="n">
        <v>0</v>
      </c>
      <c r="Q894" t="n">
        <v>0</v>
      </c>
      <c r="R894" s="2" t="inlineStr"/>
    </row>
    <row r="895" ht="15" customHeight="1">
      <c r="A895" t="inlineStr">
        <is>
          <t>A 51394-2025</t>
        </is>
      </c>
      <c r="B895" s="1" t="n">
        <v>45950.46972222222</v>
      </c>
      <c r="C895" s="1" t="n">
        <v>46010</v>
      </c>
      <c r="D895" t="inlineStr">
        <is>
          <t>JÄMTLANDS LÄN</t>
        </is>
      </c>
      <c r="E895" t="inlineStr">
        <is>
          <t>RAGUNDA</t>
        </is>
      </c>
      <c r="F895" t="inlineStr">
        <is>
          <t>SCA</t>
        </is>
      </c>
      <c r="G895" t="n">
        <v>36.5</v>
      </c>
      <c r="H895" t="n">
        <v>0</v>
      </c>
      <c r="I895" t="n">
        <v>0</v>
      </c>
      <c r="J895" t="n">
        <v>0</v>
      </c>
      <c r="K895" t="n">
        <v>0</v>
      </c>
      <c r="L895" t="n">
        <v>0</v>
      </c>
      <c r="M895" t="n">
        <v>0</v>
      </c>
      <c r="N895" t="n">
        <v>0</v>
      </c>
      <c r="O895" t="n">
        <v>0</v>
      </c>
      <c r="P895" t="n">
        <v>0</v>
      </c>
      <c r="Q895" t="n">
        <v>0</v>
      </c>
      <c r="R895" s="2" t="inlineStr"/>
    </row>
    <row r="896" ht="15" customHeight="1">
      <c r="A896" t="inlineStr">
        <is>
          <t>A 52317-2025</t>
        </is>
      </c>
      <c r="B896" s="1" t="n">
        <v>45953.65675925926</v>
      </c>
      <c r="C896" s="1" t="n">
        <v>46010</v>
      </c>
      <c r="D896" t="inlineStr">
        <is>
          <t>JÄMTLANDS LÄN</t>
        </is>
      </c>
      <c r="E896" t="inlineStr">
        <is>
          <t>RAGUNDA</t>
        </is>
      </c>
      <c r="F896" t="inlineStr">
        <is>
          <t>SCA</t>
        </is>
      </c>
      <c r="G896" t="n">
        <v>27.2</v>
      </c>
      <c r="H896" t="n">
        <v>0</v>
      </c>
      <c r="I896" t="n">
        <v>0</v>
      </c>
      <c r="J896" t="n">
        <v>0</v>
      </c>
      <c r="K896" t="n">
        <v>0</v>
      </c>
      <c r="L896" t="n">
        <v>0</v>
      </c>
      <c r="M896" t="n">
        <v>0</v>
      </c>
      <c r="N896" t="n">
        <v>0</v>
      </c>
      <c r="O896" t="n">
        <v>0</v>
      </c>
      <c r="P896" t="n">
        <v>0</v>
      </c>
      <c r="Q896" t="n">
        <v>0</v>
      </c>
      <c r="R896" s="2" t="inlineStr"/>
    </row>
    <row r="897" ht="15" customHeight="1">
      <c r="A897" t="inlineStr">
        <is>
          <t>A 11147-2025</t>
        </is>
      </c>
      <c r="B897" s="1" t="n">
        <v>45723.67777777778</v>
      </c>
      <c r="C897" s="1" t="n">
        <v>46010</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60389-2025</t>
        </is>
      </c>
      <c r="B898" s="1" t="n">
        <v>45995.38628472222</v>
      </c>
      <c r="C898" s="1" t="n">
        <v>46010</v>
      </c>
      <c r="D898" t="inlineStr">
        <is>
          <t>JÄMTLANDS LÄN</t>
        </is>
      </c>
      <c r="E898" t="inlineStr">
        <is>
          <t>RAGUNDA</t>
        </is>
      </c>
      <c r="G898" t="n">
        <v>3.3</v>
      </c>
      <c r="H898" t="n">
        <v>0</v>
      </c>
      <c r="I898" t="n">
        <v>0</v>
      </c>
      <c r="J898" t="n">
        <v>0</v>
      </c>
      <c r="K898" t="n">
        <v>0</v>
      </c>
      <c r="L898" t="n">
        <v>0</v>
      </c>
      <c r="M898" t="n">
        <v>0</v>
      </c>
      <c r="N898" t="n">
        <v>0</v>
      </c>
      <c r="O898" t="n">
        <v>0</v>
      </c>
      <c r="P898" t="n">
        <v>0</v>
      </c>
      <c r="Q898" t="n">
        <v>0</v>
      </c>
      <c r="R898" s="2" t="inlineStr"/>
    </row>
    <row r="899" ht="15" customHeight="1">
      <c r="A899" t="inlineStr">
        <is>
          <t>A 60130-2025</t>
        </is>
      </c>
      <c r="B899" s="1" t="n">
        <v>45994.34467592592</v>
      </c>
      <c r="C899" s="1" t="n">
        <v>46010</v>
      </c>
      <c r="D899" t="inlineStr">
        <is>
          <t>JÄMTLANDS LÄN</t>
        </is>
      </c>
      <c r="E899" t="inlineStr">
        <is>
          <t>RAGUNDA</t>
        </is>
      </c>
      <c r="G899" t="n">
        <v>4.9</v>
      </c>
      <c r="H899" t="n">
        <v>0</v>
      </c>
      <c r="I899" t="n">
        <v>0</v>
      </c>
      <c r="J899" t="n">
        <v>0</v>
      </c>
      <c r="K899" t="n">
        <v>0</v>
      </c>
      <c r="L899" t="n">
        <v>0</v>
      </c>
      <c r="M899" t="n">
        <v>0</v>
      </c>
      <c r="N899" t="n">
        <v>0</v>
      </c>
      <c r="O899" t="n">
        <v>0</v>
      </c>
      <c r="P899" t="n">
        <v>0</v>
      </c>
      <c r="Q899" t="n">
        <v>0</v>
      </c>
      <c r="R899" s="2" t="inlineStr"/>
    </row>
    <row r="900" ht="15" customHeight="1">
      <c r="A900" t="inlineStr">
        <is>
          <t>A 52122-2025</t>
        </is>
      </c>
      <c r="B900" s="1" t="n">
        <v>45952.71946759259</v>
      </c>
      <c r="C900" s="1" t="n">
        <v>46010</v>
      </c>
      <c r="D900" t="inlineStr">
        <is>
          <t>JÄMTLANDS LÄN</t>
        </is>
      </c>
      <c r="E900" t="inlineStr">
        <is>
          <t>RAGUNDA</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60128-2025</t>
        </is>
      </c>
      <c r="B901" s="1" t="n">
        <v>45994.34456018519</v>
      </c>
      <c r="C901" s="1" t="n">
        <v>46010</v>
      </c>
      <c r="D901" t="inlineStr">
        <is>
          <t>JÄMTLANDS LÄN</t>
        </is>
      </c>
      <c r="E901" t="inlineStr">
        <is>
          <t>RAGUNDA</t>
        </is>
      </c>
      <c r="G901" t="n">
        <v>7.1</v>
      </c>
      <c r="H901" t="n">
        <v>0</v>
      </c>
      <c r="I901" t="n">
        <v>0</v>
      </c>
      <c r="J901" t="n">
        <v>0</v>
      </c>
      <c r="K901" t="n">
        <v>0</v>
      </c>
      <c r="L901" t="n">
        <v>0</v>
      </c>
      <c r="M901" t="n">
        <v>0</v>
      </c>
      <c r="N901" t="n">
        <v>0</v>
      </c>
      <c r="O901" t="n">
        <v>0</v>
      </c>
      <c r="P901" t="n">
        <v>0</v>
      </c>
      <c r="Q901" t="n">
        <v>0</v>
      </c>
      <c r="R901" s="2" t="inlineStr"/>
    </row>
    <row r="902" ht="15" customHeight="1">
      <c r="A902" t="inlineStr">
        <is>
          <t>A 9847-2025</t>
        </is>
      </c>
      <c r="B902" s="1" t="n">
        <v>45716.61487268518</v>
      </c>
      <c r="C902" s="1" t="n">
        <v>46010</v>
      </c>
      <c r="D902" t="inlineStr">
        <is>
          <t>JÄMTLANDS LÄN</t>
        </is>
      </c>
      <c r="E902" t="inlineStr">
        <is>
          <t>RAGUNDA</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60387-2025</t>
        </is>
      </c>
      <c r="B903" s="1" t="n">
        <v>45995.38611111111</v>
      </c>
      <c r="C903" s="1" t="n">
        <v>46010</v>
      </c>
      <c r="D903" t="inlineStr">
        <is>
          <t>JÄMTLANDS LÄN</t>
        </is>
      </c>
      <c r="E903" t="inlineStr">
        <is>
          <t>RAGUNDA</t>
        </is>
      </c>
      <c r="G903" t="n">
        <v>8.5</v>
      </c>
      <c r="H903" t="n">
        <v>0</v>
      </c>
      <c r="I903" t="n">
        <v>0</v>
      </c>
      <c r="J903" t="n">
        <v>0</v>
      </c>
      <c r="K903" t="n">
        <v>0</v>
      </c>
      <c r="L903" t="n">
        <v>0</v>
      </c>
      <c r="M903" t="n">
        <v>0</v>
      </c>
      <c r="N903" t="n">
        <v>0</v>
      </c>
      <c r="O903" t="n">
        <v>0</v>
      </c>
      <c r="P903" t="n">
        <v>0</v>
      </c>
      <c r="Q903" t="n">
        <v>0</v>
      </c>
      <c r="R903" s="2" t="inlineStr"/>
    </row>
    <row r="904" ht="15" customHeight="1">
      <c r="A904" t="inlineStr">
        <is>
          <t>A 28173-2024</t>
        </is>
      </c>
      <c r="B904" s="1" t="n">
        <v>45476.94533564815</v>
      </c>
      <c r="C904" s="1" t="n">
        <v>46010</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23734-2024</t>
        </is>
      </c>
      <c r="B905" s="1" t="n">
        <v>45454.95960648148</v>
      </c>
      <c r="C905" s="1" t="n">
        <v>46010</v>
      </c>
      <c r="D905" t="inlineStr">
        <is>
          <t>JÄMTLANDS LÄN</t>
        </is>
      </c>
      <c r="E905" t="inlineStr">
        <is>
          <t>RAGUNDA</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38425-2022</t>
        </is>
      </c>
      <c r="B906" s="1" t="n">
        <v>44812.94709490741</v>
      </c>
      <c r="C906" s="1" t="n">
        <v>46010</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52330-2025</t>
        </is>
      </c>
      <c r="B907" s="1" t="n">
        <v>45953.67752314815</v>
      </c>
      <c r="C907" s="1" t="n">
        <v>46010</v>
      </c>
      <c r="D907" t="inlineStr">
        <is>
          <t>JÄMTLANDS LÄN</t>
        </is>
      </c>
      <c r="E907" t="inlineStr">
        <is>
          <t>RAGUNDA</t>
        </is>
      </c>
      <c r="F907" t="inlineStr">
        <is>
          <t>SCA</t>
        </is>
      </c>
      <c r="G907" t="n">
        <v>10.1</v>
      </c>
      <c r="H907" t="n">
        <v>0</v>
      </c>
      <c r="I907" t="n">
        <v>0</v>
      </c>
      <c r="J907" t="n">
        <v>0</v>
      </c>
      <c r="K907" t="n">
        <v>0</v>
      </c>
      <c r="L907" t="n">
        <v>0</v>
      </c>
      <c r="M907" t="n">
        <v>0</v>
      </c>
      <c r="N907" t="n">
        <v>0</v>
      </c>
      <c r="O907" t="n">
        <v>0</v>
      </c>
      <c r="P907" t="n">
        <v>0</v>
      </c>
      <c r="Q907" t="n">
        <v>0</v>
      </c>
      <c r="R907" s="2" t="inlineStr"/>
    </row>
    <row r="908" ht="15" customHeight="1">
      <c r="A908" t="inlineStr">
        <is>
          <t>A 12995-2023</t>
        </is>
      </c>
      <c r="B908" s="1" t="n">
        <v>45002.0328125</v>
      </c>
      <c r="C908" s="1" t="n">
        <v>46010</v>
      </c>
      <c r="D908" t="inlineStr">
        <is>
          <t>JÄMTLANDS LÄN</t>
        </is>
      </c>
      <c r="E908" t="inlineStr">
        <is>
          <t>RAGUNDA</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52093-2025</t>
        </is>
      </c>
      <c r="B909" s="1" t="n">
        <v>45952.67865740741</v>
      </c>
      <c r="C909" s="1" t="n">
        <v>46010</v>
      </c>
      <c r="D909" t="inlineStr">
        <is>
          <t>JÄMTLANDS LÄN</t>
        </is>
      </c>
      <c r="E909" t="inlineStr">
        <is>
          <t>RAGUNDA</t>
        </is>
      </c>
      <c r="F909" t="inlineStr">
        <is>
          <t>SCA</t>
        </is>
      </c>
      <c r="G909" t="n">
        <v>22.7</v>
      </c>
      <c r="H909" t="n">
        <v>0</v>
      </c>
      <c r="I909" t="n">
        <v>0</v>
      </c>
      <c r="J909" t="n">
        <v>0</v>
      </c>
      <c r="K909" t="n">
        <v>0</v>
      </c>
      <c r="L909" t="n">
        <v>0</v>
      </c>
      <c r="M909" t="n">
        <v>0</v>
      </c>
      <c r="N909" t="n">
        <v>0</v>
      </c>
      <c r="O909" t="n">
        <v>0</v>
      </c>
      <c r="P909" t="n">
        <v>0</v>
      </c>
      <c r="Q909" t="n">
        <v>0</v>
      </c>
      <c r="R909" s="2" t="inlineStr"/>
    </row>
    <row r="910" ht="15" customHeight="1">
      <c r="A910" t="inlineStr">
        <is>
          <t>A 44755-2024</t>
        </is>
      </c>
      <c r="B910" s="1" t="n">
        <v>45574.61184027778</v>
      </c>
      <c r="C910" s="1" t="n">
        <v>46010</v>
      </c>
      <c r="D910" t="inlineStr">
        <is>
          <t>JÄMTLANDS LÄN</t>
        </is>
      </c>
      <c r="E910" t="inlineStr">
        <is>
          <t>RAGUNDA</t>
        </is>
      </c>
      <c r="G910" t="n">
        <v>4.4</v>
      </c>
      <c r="H910" t="n">
        <v>0</v>
      </c>
      <c r="I910" t="n">
        <v>0</v>
      </c>
      <c r="J910" t="n">
        <v>0</v>
      </c>
      <c r="K910" t="n">
        <v>0</v>
      </c>
      <c r="L910" t="n">
        <v>0</v>
      </c>
      <c r="M910" t="n">
        <v>0</v>
      </c>
      <c r="N910" t="n">
        <v>0</v>
      </c>
      <c r="O910" t="n">
        <v>0</v>
      </c>
      <c r="P910" t="n">
        <v>0</v>
      </c>
      <c r="Q910" t="n">
        <v>0</v>
      </c>
      <c r="R910" s="2" t="inlineStr"/>
    </row>
    <row r="911" ht="15" customHeight="1">
      <c r="A911" t="inlineStr">
        <is>
          <t>A 44766-2024</t>
        </is>
      </c>
      <c r="B911" s="1" t="n">
        <v>45574.62297453704</v>
      </c>
      <c r="C911" s="1" t="n">
        <v>46010</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51882-2025</t>
        </is>
      </c>
      <c r="B912" s="1" t="n">
        <v>45952.40685185185</v>
      </c>
      <c r="C912" s="1" t="n">
        <v>46010</v>
      </c>
      <c r="D912" t="inlineStr">
        <is>
          <t>JÄMTLANDS LÄN</t>
        </is>
      </c>
      <c r="E912" t="inlineStr">
        <is>
          <t>RAGUNDA</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51903-2025</t>
        </is>
      </c>
      <c r="B913" s="1" t="n">
        <v>45952.44857638889</v>
      </c>
      <c r="C913" s="1" t="n">
        <v>46010</v>
      </c>
      <c r="D913" t="inlineStr">
        <is>
          <t>JÄMTLANDS LÄN</t>
        </is>
      </c>
      <c r="E913" t="inlineStr">
        <is>
          <t>RAGUNDA</t>
        </is>
      </c>
      <c r="F913" t="inlineStr">
        <is>
          <t>SCA</t>
        </is>
      </c>
      <c r="G913" t="n">
        <v>20.8</v>
      </c>
      <c r="H913" t="n">
        <v>0</v>
      </c>
      <c r="I913" t="n">
        <v>0</v>
      </c>
      <c r="J913" t="n">
        <v>0</v>
      </c>
      <c r="K913" t="n">
        <v>0</v>
      </c>
      <c r="L913" t="n">
        <v>0</v>
      </c>
      <c r="M913" t="n">
        <v>0</v>
      </c>
      <c r="N913" t="n">
        <v>0</v>
      </c>
      <c r="O913" t="n">
        <v>0</v>
      </c>
      <c r="P913" t="n">
        <v>0</v>
      </c>
      <c r="Q913" t="n">
        <v>0</v>
      </c>
      <c r="R913" s="2" t="inlineStr"/>
    </row>
    <row r="914" ht="15" customHeight="1">
      <c r="A914" t="inlineStr">
        <is>
          <t>A 16676-2022</t>
        </is>
      </c>
      <c r="B914" s="1" t="n">
        <v>44672.94018518519</v>
      </c>
      <c r="C914" s="1" t="n">
        <v>46010</v>
      </c>
      <c r="D914" t="inlineStr">
        <is>
          <t>JÄMTLANDS LÄN</t>
        </is>
      </c>
      <c r="E914" t="inlineStr">
        <is>
          <t>RAGUNDA</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51932-2025</t>
        </is>
      </c>
      <c r="B915" s="1" t="n">
        <v>45952.51094907407</v>
      </c>
      <c r="C915" s="1" t="n">
        <v>46010</v>
      </c>
      <c r="D915" t="inlineStr">
        <is>
          <t>JÄMTLANDS LÄN</t>
        </is>
      </c>
      <c r="E915" t="inlineStr">
        <is>
          <t>RAGUNDA</t>
        </is>
      </c>
      <c r="F915" t="inlineStr">
        <is>
          <t>SCA</t>
        </is>
      </c>
      <c r="G915" t="n">
        <v>39.2</v>
      </c>
      <c r="H915" t="n">
        <v>0</v>
      </c>
      <c r="I915" t="n">
        <v>0</v>
      </c>
      <c r="J915" t="n">
        <v>0</v>
      </c>
      <c r="K915" t="n">
        <v>0</v>
      </c>
      <c r="L915" t="n">
        <v>0</v>
      </c>
      <c r="M915" t="n">
        <v>0</v>
      </c>
      <c r="N915" t="n">
        <v>0</v>
      </c>
      <c r="O915" t="n">
        <v>0</v>
      </c>
      <c r="P915" t="n">
        <v>0</v>
      </c>
      <c r="Q915" t="n">
        <v>0</v>
      </c>
      <c r="R915" s="2" t="inlineStr"/>
    </row>
    <row r="916" ht="15" customHeight="1">
      <c r="A916" t="inlineStr">
        <is>
          <t>A 55536-2024</t>
        </is>
      </c>
      <c r="B916" s="1" t="n">
        <v>45622</v>
      </c>
      <c r="C916" s="1" t="n">
        <v>46010</v>
      </c>
      <c r="D916" t="inlineStr">
        <is>
          <t>JÄMTLANDS LÄN</t>
        </is>
      </c>
      <c r="E916" t="inlineStr">
        <is>
          <t>RAGUNDA</t>
        </is>
      </c>
      <c r="G916" t="n">
        <v>0.8</v>
      </c>
      <c r="H916" t="n">
        <v>0</v>
      </c>
      <c r="I916" t="n">
        <v>0</v>
      </c>
      <c r="J916" t="n">
        <v>0</v>
      </c>
      <c r="K916" t="n">
        <v>0</v>
      </c>
      <c r="L916" t="n">
        <v>0</v>
      </c>
      <c r="M916" t="n">
        <v>0</v>
      </c>
      <c r="N916" t="n">
        <v>0</v>
      </c>
      <c r="O916" t="n">
        <v>0</v>
      </c>
      <c r="P916" t="n">
        <v>0</v>
      </c>
      <c r="Q916" t="n">
        <v>0</v>
      </c>
      <c r="R916" s="2" t="inlineStr"/>
    </row>
    <row r="917" ht="15" customHeight="1">
      <c r="A917" t="inlineStr">
        <is>
          <t>A 44597-2024</t>
        </is>
      </c>
      <c r="B917" s="1" t="n">
        <v>45574.51087962963</v>
      </c>
      <c r="C917" s="1" t="n">
        <v>46010</v>
      </c>
      <c r="D917" t="inlineStr">
        <is>
          <t>JÄMTLANDS LÄN</t>
        </is>
      </c>
      <c r="E917" t="inlineStr">
        <is>
          <t>RAGUNDA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51906-2025</t>
        </is>
      </c>
      <c r="B918" s="1" t="n">
        <v>45952.4615162037</v>
      </c>
      <c r="C918" s="1" t="n">
        <v>46010</v>
      </c>
      <c r="D918" t="inlineStr">
        <is>
          <t>JÄMTLANDS LÄN</t>
        </is>
      </c>
      <c r="E918" t="inlineStr">
        <is>
          <t>RAGUNDA</t>
        </is>
      </c>
      <c r="G918" t="n">
        <v>4.5</v>
      </c>
      <c r="H918" t="n">
        <v>0</v>
      </c>
      <c r="I918" t="n">
        <v>0</v>
      </c>
      <c r="J918" t="n">
        <v>0</v>
      </c>
      <c r="K918" t="n">
        <v>0</v>
      </c>
      <c r="L918" t="n">
        <v>0</v>
      </c>
      <c r="M918" t="n">
        <v>0</v>
      </c>
      <c r="N918" t="n">
        <v>0</v>
      </c>
      <c r="O918" t="n">
        <v>0</v>
      </c>
      <c r="P918" t="n">
        <v>0</v>
      </c>
      <c r="Q918" t="n">
        <v>0</v>
      </c>
      <c r="R918" s="2" t="inlineStr"/>
    </row>
    <row r="919" ht="15" customHeight="1">
      <c r="A919" t="inlineStr">
        <is>
          <t>A 60307-2025</t>
        </is>
      </c>
      <c r="B919" s="1" t="n">
        <v>45994.6842824074</v>
      </c>
      <c r="C919" s="1" t="n">
        <v>46010</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52972-2025</t>
        </is>
      </c>
      <c r="B920" s="1" t="n">
        <v>45957.67783564814</v>
      </c>
      <c r="C920" s="1" t="n">
        <v>46010</v>
      </c>
      <c r="D920" t="inlineStr">
        <is>
          <t>JÄMTLANDS LÄN</t>
        </is>
      </c>
      <c r="E920" t="inlineStr">
        <is>
          <t>RAGUNDA</t>
        </is>
      </c>
      <c r="F920" t="inlineStr">
        <is>
          <t>SCA</t>
        </is>
      </c>
      <c r="G920" t="n">
        <v>53.4</v>
      </c>
      <c r="H920" t="n">
        <v>0</v>
      </c>
      <c r="I920" t="n">
        <v>0</v>
      </c>
      <c r="J920" t="n">
        <v>0</v>
      </c>
      <c r="K920" t="n">
        <v>0</v>
      </c>
      <c r="L920" t="n">
        <v>0</v>
      </c>
      <c r="M920" t="n">
        <v>0</v>
      </c>
      <c r="N920" t="n">
        <v>0</v>
      </c>
      <c r="O920" t="n">
        <v>0</v>
      </c>
      <c r="P920" t="n">
        <v>0</v>
      </c>
      <c r="Q920" t="n">
        <v>0</v>
      </c>
      <c r="R920" s="2" t="inlineStr"/>
    </row>
    <row r="921" ht="15" customHeight="1">
      <c r="A921" t="inlineStr">
        <is>
          <t>A 44598-2024</t>
        </is>
      </c>
      <c r="B921" s="1" t="n">
        <v>45574.51090277778</v>
      </c>
      <c r="C921" s="1" t="n">
        <v>46010</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52430-2025</t>
        </is>
      </c>
      <c r="B922" s="1" t="n">
        <v>45954.38592592593</v>
      </c>
      <c r="C922" s="1" t="n">
        <v>46010</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60760-2025</t>
        </is>
      </c>
      <c r="B923" s="1" t="n">
        <v>45999.38597222222</v>
      </c>
      <c r="C923" s="1" t="n">
        <v>46010</v>
      </c>
      <c r="D923" t="inlineStr">
        <is>
          <t>JÄMTLANDS LÄN</t>
        </is>
      </c>
      <c r="E923" t="inlineStr">
        <is>
          <t>RAGUNDA</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60775-2025</t>
        </is>
      </c>
      <c r="B924" s="1" t="n">
        <v>45999.3905787037</v>
      </c>
      <c r="C924" s="1" t="n">
        <v>46010</v>
      </c>
      <c r="D924" t="inlineStr">
        <is>
          <t>JÄMTLANDS LÄN</t>
        </is>
      </c>
      <c r="E924" t="inlineStr">
        <is>
          <t>RAGUNDA</t>
        </is>
      </c>
      <c r="G924" t="n">
        <v>15.7</v>
      </c>
      <c r="H924" t="n">
        <v>0</v>
      </c>
      <c r="I924" t="n">
        <v>0</v>
      </c>
      <c r="J924" t="n">
        <v>0</v>
      </c>
      <c r="K924" t="n">
        <v>0</v>
      </c>
      <c r="L924" t="n">
        <v>0</v>
      </c>
      <c r="M924" t="n">
        <v>0</v>
      </c>
      <c r="N924" t="n">
        <v>0</v>
      </c>
      <c r="O924" t="n">
        <v>0</v>
      </c>
      <c r="P924" t="n">
        <v>0</v>
      </c>
      <c r="Q924" t="n">
        <v>0</v>
      </c>
      <c r="R924" s="2" t="inlineStr"/>
    </row>
    <row r="925" ht="15" customHeight="1">
      <c r="A925" t="inlineStr">
        <is>
          <t>A 52875-2025</t>
        </is>
      </c>
      <c r="B925" s="1" t="n">
        <v>45957.53211805555</v>
      </c>
      <c r="C925" s="1" t="n">
        <v>46010</v>
      </c>
      <c r="D925" t="inlineStr">
        <is>
          <t>JÄMTLANDS LÄN</t>
        </is>
      </c>
      <c r="E925" t="inlineStr">
        <is>
          <t>RAGUNDA</t>
        </is>
      </c>
      <c r="F925" t="inlineStr">
        <is>
          <t>SCA</t>
        </is>
      </c>
      <c r="G925" t="n">
        <v>34.3</v>
      </c>
      <c r="H925" t="n">
        <v>0</v>
      </c>
      <c r="I925" t="n">
        <v>0</v>
      </c>
      <c r="J925" t="n">
        <v>0</v>
      </c>
      <c r="K925" t="n">
        <v>0</v>
      </c>
      <c r="L925" t="n">
        <v>0</v>
      </c>
      <c r="M925" t="n">
        <v>0</v>
      </c>
      <c r="N925" t="n">
        <v>0</v>
      </c>
      <c r="O925" t="n">
        <v>0</v>
      </c>
      <c r="P925" t="n">
        <v>0</v>
      </c>
      <c r="Q925" t="n">
        <v>0</v>
      </c>
      <c r="R925" s="2" t="inlineStr"/>
    </row>
    <row r="926" ht="15" customHeight="1">
      <c r="A926" t="inlineStr">
        <is>
          <t>A 18610-2024</t>
        </is>
      </c>
      <c r="B926" s="1" t="n">
        <v>45425.96230324074</v>
      </c>
      <c r="C926" s="1" t="n">
        <v>46010</v>
      </c>
      <c r="D926" t="inlineStr">
        <is>
          <t>JÄMTLANDS LÄN</t>
        </is>
      </c>
      <c r="E926" t="inlineStr">
        <is>
          <t>RAGUNDA</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57116-2024</t>
        </is>
      </c>
      <c r="B927" s="1" t="n">
        <v>45629.36513888889</v>
      </c>
      <c r="C927" s="1" t="n">
        <v>46010</v>
      </c>
      <c r="D927" t="inlineStr">
        <is>
          <t>JÄMTLANDS LÄN</t>
        </is>
      </c>
      <c r="E927" t="inlineStr">
        <is>
          <t>RAGUNDA</t>
        </is>
      </c>
      <c r="G927" t="n">
        <v>0.6</v>
      </c>
      <c r="H927" t="n">
        <v>0</v>
      </c>
      <c r="I927" t="n">
        <v>0</v>
      </c>
      <c r="J927" t="n">
        <v>0</v>
      </c>
      <c r="K927" t="n">
        <v>0</v>
      </c>
      <c r="L927" t="n">
        <v>0</v>
      </c>
      <c r="M927" t="n">
        <v>0</v>
      </c>
      <c r="N927" t="n">
        <v>0</v>
      </c>
      <c r="O927" t="n">
        <v>0</v>
      </c>
      <c r="P927" t="n">
        <v>0</v>
      </c>
      <c r="Q927" t="n">
        <v>0</v>
      </c>
      <c r="R927" s="2" t="inlineStr"/>
    </row>
    <row r="928" ht="15" customHeight="1">
      <c r="A928" t="inlineStr">
        <is>
          <t>A 3104-2025</t>
        </is>
      </c>
      <c r="B928" s="1" t="n">
        <v>45678.67761574074</v>
      </c>
      <c r="C928" s="1" t="n">
        <v>46010</v>
      </c>
      <c r="D928" t="inlineStr">
        <is>
          <t>JÄMTLANDS LÄN</t>
        </is>
      </c>
      <c r="E928" t="inlineStr">
        <is>
          <t>RAGUNDA</t>
        </is>
      </c>
      <c r="F928" t="inlineStr">
        <is>
          <t>SCA</t>
        </is>
      </c>
      <c r="G928" t="n">
        <v>46.2</v>
      </c>
      <c r="H928" t="n">
        <v>0</v>
      </c>
      <c r="I928" t="n">
        <v>0</v>
      </c>
      <c r="J928" t="n">
        <v>0</v>
      </c>
      <c r="K928" t="n">
        <v>0</v>
      </c>
      <c r="L928" t="n">
        <v>0</v>
      </c>
      <c r="M928" t="n">
        <v>0</v>
      </c>
      <c r="N928" t="n">
        <v>0</v>
      </c>
      <c r="O928" t="n">
        <v>0</v>
      </c>
      <c r="P928" t="n">
        <v>0</v>
      </c>
      <c r="Q928" t="n">
        <v>0</v>
      </c>
      <c r="R928" s="2" t="inlineStr"/>
    </row>
    <row r="929" ht="15" customHeight="1">
      <c r="A929" t="inlineStr">
        <is>
          <t>A 40246-2024</t>
        </is>
      </c>
      <c r="B929" s="1" t="n">
        <v>45554.61583333334</v>
      </c>
      <c r="C929" s="1" t="n">
        <v>46010</v>
      </c>
      <c r="D929" t="inlineStr">
        <is>
          <t>JÄMTLANDS LÄN</t>
        </is>
      </c>
      <c r="E929" t="inlineStr">
        <is>
          <t>RAGUNDA</t>
        </is>
      </c>
      <c r="G929" t="n">
        <v>1</v>
      </c>
      <c r="H929" t="n">
        <v>0</v>
      </c>
      <c r="I929" t="n">
        <v>0</v>
      </c>
      <c r="J929" t="n">
        <v>0</v>
      </c>
      <c r="K929" t="n">
        <v>0</v>
      </c>
      <c r="L929" t="n">
        <v>0</v>
      </c>
      <c r="M929" t="n">
        <v>0</v>
      </c>
      <c r="N929" t="n">
        <v>0</v>
      </c>
      <c r="O929" t="n">
        <v>0</v>
      </c>
      <c r="P929" t="n">
        <v>0</v>
      </c>
      <c r="Q929" t="n">
        <v>0</v>
      </c>
      <c r="R929" s="2" t="inlineStr"/>
    </row>
    <row r="930" ht="15" customHeight="1">
      <c r="A930" t="inlineStr">
        <is>
          <t>A 52394-2025</t>
        </is>
      </c>
      <c r="B930" s="1" t="n">
        <v>45954.34466435185</v>
      </c>
      <c r="C930" s="1" t="n">
        <v>46010</v>
      </c>
      <c r="D930" t="inlineStr">
        <is>
          <t>JÄMTLANDS LÄN</t>
        </is>
      </c>
      <c r="E930" t="inlineStr">
        <is>
          <t>RAGUNDA</t>
        </is>
      </c>
      <c r="F930" t="inlineStr">
        <is>
          <t>SCA</t>
        </is>
      </c>
      <c r="G930" t="n">
        <v>53.8</v>
      </c>
      <c r="H930" t="n">
        <v>0</v>
      </c>
      <c r="I930" t="n">
        <v>0</v>
      </c>
      <c r="J930" t="n">
        <v>0</v>
      </c>
      <c r="K930" t="n">
        <v>0</v>
      </c>
      <c r="L930" t="n">
        <v>0</v>
      </c>
      <c r="M930" t="n">
        <v>0</v>
      </c>
      <c r="N930" t="n">
        <v>0</v>
      </c>
      <c r="O930" t="n">
        <v>0</v>
      </c>
      <c r="P930" t="n">
        <v>0</v>
      </c>
      <c r="Q930" t="n">
        <v>0</v>
      </c>
      <c r="R930" s="2" t="inlineStr"/>
    </row>
    <row r="931" ht="15" customHeight="1">
      <c r="A931" t="inlineStr">
        <is>
          <t>A 52395-2025</t>
        </is>
      </c>
      <c r="B931" s="1" t="n">
        <v>45954.34487268519</v>
      </c>
      <c r="C931" s="1" t="n">
        <v>46010</v>
      </c>
      <c r="D931" t="inlineStr">
        <is>
          <t>JÄMTLANDS LÄN</t>
        </is>
      </c>
      <c r="E931" t="inlineStr">
        <is>
          <t>RAGUNDA</t>
        </is>
      </c>
      <c r="F931" t="inlineStr">
        <is>
          <t>SCA</t>
        </is>
      </c>
      <c r="G931" t="n">
        <v>14.2</v>
      </c>
      <c r="H931" t="n">
        <v>0</v>
      </c>
      <c r="I931" t="n">
        <v>0</v>
      </c>
      <c r="J931" t="n">
        <v>0</v>
      </c>
      <c r="K931" t="n">
        <v>0</v>
      </c>
      <c r="L931" t="n">
        <v>0</v>
      </c>
      <c r="M931" t="n">
        <v>0</v>
      </c>
      <c r="N931" t="n">
        <v>0</v>
      </c>
      <c r="O931" t="n">
        <v>0</v>
      </c>
      <c r="P931" t="n">
        <v>0</v>
      </c>
      <c r="Q931" t="n">
        <v>0</v>
      </c>
      <c r="R931" s="2" t="inlineStr"/>
    </row>
    <row r="932" ht="15" customHeight="1">
      <c r="A932" t="inlineStr">
        <is>
          <t>A 4878-2022</t>
        </is>
      </c>
      <c r="B932" s="1" t="n">
        <v>44593</v>
      </c>
      <c r="C932" s="1" t="n">
        <v>46010</v>
      </c>
      <c r="D932" t="inlineStr">
        <is>
          <t>JÄMTLANDS LÄN</t>
        </is>
      </c>
      <c r="E932" t="inlineStr">
        <is>
          <t>RAGUNDA</t>
        </is>
      </c>
      <c r="G932" t="n">
        <v>21.7</v>
      </c>
      <c r="H932" t="n">
        <v>0</v>
      </c>
      <c r="I932" t="n">
        <v>0</v>
      </c>
      <c r="J932" t="n">
        <v>0</v>
      </c>
      <c r="K932" t="n">
        <v>0</v>
      </c>
      <c r="L932" t="n">
        <v>0</v>
      </c>
      <c r="M932" t="n">
        <v>0</v>
      </c>
      <c r="N932" t="n">
        <v>0</v>
      </c>
      <c r="O932" t="n">
        <v>0</v>
      </c>
      <c r="P932" t="n">
        <v>0</v>
      </c>
      <c r="Q932" t="n">
        <v>0</v>
      </c>
      <c r="R932" s="2" t="inlineStr"/>
    </row>
    <row r="933" ht="15" customHeight="1">
      <c r="A933" t="inlineStr">
        <is>
          <t>A 60630-2025</t>
        </is>
      </c>
      <c r="B933" s="1" t="n">
        <v>45996.42120370371</v>
      </c>
      <c r="C933" s="1" t="n">
        <v>46010</v>
      </c>
      <c r="D933" t="inlineStr">
        <is>
          <t>JÄMTLANDS LÄN</t>
        </is>
      </c>
      <c r="E933" t="inlineStr">
        <is>
          <t>RAGUNDA</t>
        </is>
      </c>
      <c r="G933" t="n">
        <v>13.2</v>
      </c>
      <c r="H933" t="n">
        <v>0</v>
      </c>
      <c r="I933" t="n">
        <v>0</v>
      </c>
      <c r="J933" t="n">
        <v>0</v>
      </c>
      <c r="K933" t="n">
        <v>0</v>
      </c>
      <c r="L933" t="n">
        <v>0</v>
      </c>
      <c r="M933" t="n">
        <v>0</v>
      </c>
      <c r="N933" t="n">
        <v>0</v>
      </c>
      <c r="O933" t="n">
        <v>0</v>
      </c>
      <c r="P933" t="n">
        <v>0</v>
      </c>
      <c r="Q933" t="n">
        <v>0</v>
      </c>
      <c r="R933" s="2" t="inlineStr"/>
    </row>
    <row r="934" ht="15" customHeight="1">
      <c r="A934" t="inlineStr">
        <is>
          <t>A 57237-2022</t>
        </is>
      </c>
      <c r="B934" s="1" t="n">
        <v>44889</v>
      </c>
      <c r="C934" s="1" t="n">
        <v>46010</v>
      </c>
      <c r="D934" t="inlineStr">
        <is>
          <t>JÄMTLANDS LÄN</t>
        </is>
      </c>
      <c r="E934" t="inlineStr">
        <is>
          <t>RAGUNDA</t>
        </is>
      </c>
      <c r="G934" t="n">
        <v>2.2</v>
      </c>
      <c r="H934" t="n">
        <v>0</v>
      </c>
      <c r="I934" t="n">
        <v>0</v>
      </c>
      <c r="J934" t="n">
        <v>0</v>
      </c>
      <c r="K934" t="n">
        <v>0</v>
      </c>
      <c r="L934" t="n">
        <v>0</v>
      </c>
      <c r="M934" t="n">
        <v>0</v>
      </c>
      <c r="N934" t="n">
        <v>0</v>
      </c>
      <c r="O934" t="n">
        <v>0</v>
      </c>
      <c r="P934" t="n">
        <v>0</v>
      </c>
      <c r="Q934" t="n">
        <v>0</v>
      </c>
      <c r="R934" s="2" t="inlineStr"/>
    </row>
    <row r="935" ht="15" customHeight="1">
      <c r="A935" t="inlineStr">
        <is>
          <t>A 53211-2025</t>
        </is>
      </c>
      <c r="B935" s="1" t="n">
        <v>45958.59490740741</v>
      </c>
      <c r="C935" s="1" t="n">
        <v>46010</v>
      </c>
      <c r="D935" t="inlineStr">
        <is>
          <t>JÄMTLANDS LÄN</t>
        </is>
      </c>
      <c r="E935" t="inlineStr">
        <is>
          <t>RAGUNDA</t>
        </is>
      </c>
      <c r="F935" t="inlineStr">
        <is>
          <t>SCA</t>
        </is>
      </c>
      <c r="G935" t="n">
        <v>7.4</v>
      </c>
      <c r="H935" t="n">
        <v>0</v>
      </c>
      <c r="I935" t="n">
        <v>0</v>
      </c>
      <c r="J935" t="n">
        <v>0</v>
      </c>
      <c r="K935" t="n">
        <v>0</v>
      </c>
      <c r="L935" t="n">
        <v>0</v>
      </c>
      <c r="M935" t="n">
        <v>0</v>
      </c>
      <c r="N935" t="n">
        <v>0</v>
      </c>
      <c r="O935" t="n">
        <v>0</v>
      </c>
      <c r="P935" t="n">
        <v>0</v>
      </c>
      <c r="Q935" t="n">
        <v>0</v>
      </c>
      <c r="R935" s="2" t="inlineStr"/>
    </row>
    <row r="936" ht="15" customHeight="1">
      <c r="A936" t="inlineStr">
        <is>
          <t>A 55547-2025</t>
        </is>
      </c>
      <c r="B936" s="1" t="n">
        <v>45971</v>
      </c>
      <c r="C936" s="1" t="n">
        <v>46010</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53032-2025</t>
        </is>
      </c>
      <c r="B937" s="1" t="n">
        <v>45958.34462962963</v>
      </c>
      <c r="C937" s="1" t="n">
        <v>46010</v>
      </c>
      <c r="D937" t="inlineStr">
        <is>
          <t>JÄMTLANDS LÄN</t>
        </is>
      </c>
      <c r="E937" t="inlineStr">
        <is>
          <t>RAGUNDA</t>
        </is>
      </c>
      <c r="G937" t="n">
        <v>2.6</v>
      </c>
      <c r="H937" t="n">
        <v>0</v>
      </c>
      <c r="I937" t="n">
        <v>0</v>
      </c>
      <c r="J937" t="n">
        <v>0</v>
      </c>
      <c r="K937" t="n">
        <v>0</v>
      </c>
      <c r="L937" t="n">
        <v>0</v>
      </c>
      <c r="M937" t="n">
        <v>0</v>
      </c>
      <c r="N937" t="n">
        <v>0</v>
      </c>
      <c r="O937" t="n">
        <v>0</v>
      </c>
      <c r="P937" t="n">
        <v>0</v>
      </c>
      <c r="Q937" t="n">
        <v>0</v>
      </c>
      <c r="R937" s="2" t="inlineStr"/>
    </row>
    <row r="938" ht="15" customHeight="1">
      <c r="A938" t="inlineStr">
        <is>
          <t>A 53109-2025</t>
        </is>
      </c>
      <c r="B938" s="1" t="n">
        <v>45958</v>
      </c>
      <c r="C938" s="1" t="n">
        <v>46010</v>
      </c>
      <c r="D938" t="inlineStr">
        <is>
          <t>JÄMTLANDS LÄN</t>
        </is>
      </c>
      <c r="E938" t="inlineStr">
        <is>
          <t>RAGUNDA</t>
        </is>
      </c>
      <c r="G938" t="n">
        <v>2.1</v>
      </c>
      <c r="H938" t="n">
        <v>0</v>
      </c>
      <c r="I938" t="n">
        <v>0</v>
      </c>
      <c r="J938" t="n">
        <v>0</v>
      </c>
      <c r="K938" t="n">
        <v>0</v>
      </c>
      <c r="L938" t="n">
        <v>0</v>
      </c>
      <c r="M938" t="n">
        <v>0</v>
      </c>
      <c r="N938" t="n">
        <v>0</v>
      </c>
      <c r="O938" t="n">
        <v>0</v>
      </c>
      <c r="P938" t="n">
        <v>0</v>
      </c>
      <c r="Q938" t="n">
        <v>0</v>
      </c>
      <c r="R938" s="2" t="inlineStr"/>
    </row>
    <row r="939" ht="15" customHeight="1">
      <c r="A939" t="inlineStr">
        <is>
          <t>A 61509-2025</t>
        </is>
      </c>
      <c r="B939" s="1" t="n">
        <v>46001.68189814815</v>
      </c>
      <c r="C939" s="1" t="n">
        <v>46010</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46010</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53075-2025</t>
        </is>
      </c>
      <c r="B941" s="1" t="n">
        <v>45958.38584490741</v>
      </c>
      <c r="C941" s="1" t="n">
        <v>46010</v>
      </c>
      <c r="D941" t="inlineStr">
        <is>
          <t>JÄMTLANDS LÄN</t>
        </is>
      </c>
      <c r="E941" t="inlineStr">
        <is>
          <t>RAGUNDA</t>
        </is>
      </c>
      <c r="F941" t="inlineStr">
        <is>
          <t>SCA</t>
        </is>
      </c>
      <c r="G941" t="n">
        <v>28.9</v>
      </c>
      <c r="H941" t="n">
        <v>0</v>
      </c>
      <c r="I941" t="n">
        <v>0</v>
      </c>
      <c r="J941" t="n">
        <v>0</v>
      </c>
      <c r="K941" t="n">
        <v>0</v>
      </c>
      <c r="L941" t="n">
        <v>0</v>
      </c>
      <c r="M941" t="n">
        <v>0</v>
      </c>
      <c r="N941" t="n">
        <v>0</v>
      </c>
      <c r="O941" t="n">
        <v>0</v>
      </c>
      <c r="P941" t="n">
        <v>0</v>
      </c>
      <c r="Q941" t="n">
        <v>0</v>
      </c>
      <c r="R941" s="2" t="inlineStr"/>
    </row>
    <row r="942" ht="15" customHeight="1">
      <c r="A942" t="inlineStr">
        <is>
          <t>A 19419-2024</t>
        </is>
      </c>
      <c r="B942" s="1" t="n">
        <v>45429</v>
      </c>
      <c r="C942" s="1" t="n">
        <v>46010</v>
      </c>
      <c r="D942" t="inlineStr">
        <is>
          <t>JÄMTLANDS LÄN</t>
        </is>
      </c>
      <c r="E942" t="inlineStr">
        <is>
          <t>RAGUNDA</t>
        </is>
      </c>
      <c r="G942" t="n">
        <v>3.5</v>
      </c>
      <c r="H942" t="n">
        <v>0</v>
      </c>
      <c r="I942" t="n">
        <v>0</v>
      </c>
      <c r="J942" t="n">
        <v>0</v>
      </c>
      <c r="K942" t="n">
        <v>0</v>
      </c>
      <c r="L942" t="n">
        <v>0</v>
      </c>
      <c r="M942" t="n">
        <v>0</v>
      </c>
      <c r="N942" t="n">
        <v>0</v>
      </c>
      <c r="O942" t="n">
        <v>0</v>
      </c>
      <c r="P942" t="n">
        <v>0</v>
      </c>
      <c r="Q942" t="n">
        <v>0</v>
      </c>
      <c r="R942" s="2" t="inlineStr"/>
    </row>
    <row r="943" ht="15" customHeight="1">
      <c r="A943" t="inlineStr">
        <is>
          <t>A 19383-2025</t>
        </is>
      </c>
      <c r="B943" s="1" t="n">
        <v>45769.65688657408</v>
      </c>
      <c r="C943" s="1" t="n">
        <v>46010</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52578-2025</t>
        </is>
      </c>
      <c r="B944" s="1" t="n">
        <v>45954.61508101852</v>
      </c>
      <c r="C944" s="1" t="n">
        <v>46010</v>
      </c>
      <c r="D944" t="inlineStr">
        <is>
          <t>JÄMTLANDS LÄN</t>
        </is>
      </c>
      <c r="E944" t="inlineStr">
        <is>
          <t>RAGUNDA</t>
        </is>
      </c>
      <c r="F944" t="inlineStr">
        <is>
          <t>SCA</t>
        </is>
      </c>
      <c r="G944" t="n">
        <v>25.2</v>
      </c>
      <c r="H944" t="n">
        <v>0</v>
      </c>
      <c r="I944" t="n">
        <v>0</v>
      </c>
      <c r="J944" t="n">
        <v>0</v>
      </c>
      <c r="K944" t="n">
        <v>0</v>
      </c>
      <c r="L944" t="n">
        <v>0</v>
      </c>
      <c r="M944" t="n">
        <v>0</v>
      </c>
      <c r="N944" t="n">
        <v>0</v>
      </c>
      <c r="O944" t="n">
        <v>0</v>
      </c>
      <c r="P944" t="n">
        <v>0</v>
      </c>
      <c r="Q944" t="n">
        <v>0</v>
      </c>
      <c r="R944" s="2" t="inlineStr"/>
    </row>
    <row r="945" ht="15" customHeight="1">
      <c r="A945" t="inlineStr">
        <is>
          <t>A 49229-2024</t>
        </is>
      </c>
      <c r="B945" s="1" t="n">
        <v>45595.42738425926</v>
      </c>
      <c r="C945" s="1" t="n">
        <v>46010</v>
      </c>
      <c r="D945" t="inlineStr">
        <is>
          <t>JÄMTLANDS LÄN</t>
        </is>
      </c>
      <c r="E945" t="inlineStr">
        <is>
          <t>RAGUNDA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13700-2023</t>
        </is>
      </c>
      <c r="B946" s="1" t="n">
        <v>45006</v>
      </c>
      <c r="C946" s="1" t="n">
        <v>46010</v>
      </c>
      <c r="D946" t="inlineStr">
        <is>
          <t>JÄMTLANDS LÄN</t>
        </is>
      </c>
      <c r="E946" t="inlineStr">
        <is>
          <t>RAGUNDA</t>
        </is>
      </c>
      <c r="F946" t="inlineStr">
        <is>
          <t>SCA</t>
        </is>
      </c>
      <c r="G946" t="n">
        <v>50.3</v>
      </c>
      <c r="H946" t="n">
        <v>0</v>
      </c>
      <c r="I946" t="n">
        <v>0</v>
      </c>
      <c r="J946" t="n">
        <v>0</v>
      </c>
      <c r="K946" t="n">
        <v>0</v>
      </c>
      <c r="L946" t="n">
        <v>0</v>
      </c>
      <c r="M946" t="n">
        <v>0</v>
      </c>
      <c r="N946" t="n">
        <v>0</v>
      </c>
      <c r="O946" t="n">
        <v>0</v>
      </c>
      <c r="P946" t="n">
        <v>0</v>
      </c>
      <c r="Q946" t="n">
        <v>0</v>
      </c>
      <c r="R946" s="2" t="inlineStr"/>
    </row>
    <row r="947" ht="15" customHeight="1">
      <c r="A947" t="inlineStr">
        <is>
          <t>A 51389-2024</t>
        </is>
      </c>
      <c r="B947" s="1" t="n">
        <v>45604.40540509259</v>
      </c>
      <c r="C947" s="1" t="n">
        <v>46010</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51393-2024</t>
        </is>
      </c>
      <c r="B948" s="1" t="n">
        <v>45604.41625</v>
      </c>
      <c r="C948" s="1" t="n">
        <v>46010</v>
      </c>
      <c r="D948" t="inlineStr">
        <is>
          <t>JÄMTLANDS LÄN</t>
        </is>
      </c>
      <c r="E948" t="inlineStr">
        <is>
          <t>RAGUNDA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61266-2025</t>
        </is>
      </c>
      <c r="B949" s="1" t="n">
        <v>46000.67784722222</v>
      </c>
      <c r="C949" s="1" t="n">
        <v>46010</v>
      </c>
      <c r="D949" t="inlineStr">
        <is>
          <t>JÄMTLANDS LÄN</t>
        </is>
      </c>
      <c r="E949" t="inlineStr">
        <is>
          <t>RAGUNDA</t>
        </is>
      </c>
      <c r="G949" t="n">
        <v>7.9</v>
      </c>
      <c r="H949" t="n">
        <v>0</v>
      </c>
      <c r="I949" t="n">
        <v>0</v>
      </c>
      <c r="J949" t="n">
        <v>0</v>
      </c>
      <c r="K949" t="n">
        <v>0</v>
      </c>
      <c r="L949" t="n">
        <v>0</v>
      </c>
      <c r="M949" t="n">
        <v>0</v>
      </c>
      <c r="N949" t="n">
        <v>0</v>
      </c>
      <c r="O949" t="n">
        <v>0</v>
      </c>
      <c r="P949" t="n">
        <v>0</v>
      </c>
      <c r="Q949" t="n">
        <v>0</v>
      </c>
      <c r="R949" s="2" t="inlineStr"/>
    </row>
    <row r="950" ht="15" customHeight="1">
      <c r="A950" t="inlineStr">
        <is>
          <t>A 55671-2025</t>
        </is>
      </c>
      <c r="B950" s="1" t="n">
        <v>45972</v>
      </c>
      <c r="C950" s="1" t="n">
        <v>46010</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61233-2025</t>
        </is>
      </c>
      <c r="B951" s="1" t="n">
        <v>46000.6359837963</v>
      </c>
      <c r="C951" s="1" t="n">
        <v>46010</v>
      </c>
      <c r="D951" t="inlineStr">
        <is>
          <t>JÄMTLANDS LÄN</t>
        </is>
      </c>
      <c r="E951" t="inlineStr">
        <is>
          <t>RAGUNDA</t>
        </is>
      </c>
      <c r="F951" t="inlineStr">
        <is>
          <t>SCA</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20987-2023</t>
        </is>
      </c>
      <c r="B952" s="1" t="n">
        <v>45056</v>
      </c>
      <c r="C952" s="1" t="n">
        <v>46010</v>
      </c>
      <c r="D952" t="inlineStr">
        <is>
          <t>JÄMTLANDS LÄN</t>
        </is>
      </c>
      <c r="E952" t="inlineStr">
        <is>
          <t>RAGUNDA</t>
        </is>
      </c>
      <c r="G952" t="n">
        <v>1.1</v>
      </c>
      <c r="H952" t="n">
        <v>0</v>
      </c>
      <c r="I952" t="n">
        <v>0</v>
      </c>
      <c r="J952" t="n">
        <v>0</v>
      </c>
      <c r="K952" t="n">
        <v>0</v>
      </c>
      <c r="L952" t="n">
        <v>0</v>
      </c>
      <c r="M952" t="n">
        <v>0</v>
      </c>
      <c r="N952" t="n">
        <v>0</v>
      </c>
      <c r="O952" t="n">
        <v>0</v>
      </c>
      <c r="P952" t="n">
        <v>0</v>
      </c>
      <c r="Q952" t="n">
        <v>0</v>
      </c>
      <c r="R952" s="2" t="inlineStr"/>
    </row>
    <row r="953" ht="15" customHeight="1">
      <c r="A953" t="inlineStr">
        <is>
          <t>A 20994-2023</t>
        </is>
      </c>
      <c r="B953" s="1" t="n">
        <v>45056</v>
      </c>
      <c r="C953" s="1" t="n">
        <v>46010</v>
      </c>
      <c r="D953" t="inlineStr">
        <is>
          <t>JÄMTLANDS LÄN</t>
        </is>
      </c>
      <c r="E953" t="inlineStr">
        <is>
          <t>RAGUNDA</t>
        </is>
      </c>
      <c r="G953" t="n">
        <v>1.3</v>
      </c>
      <c r="H953" t="n">
        <v>0</v>
      </c>
      <c r="I953" t="n">
        <v>0</v>
      </c>
      <c r="J953" t="n">
        <v>0</v>
      </c>
      <c r="K953" t="n">
        <v>0</v>
      </c>
      <c r="L953" t="n">
        <v>0</v>
      </c>
      <c r="M953" t="n">
        <v>0</v>
      </c>
      <c r="N953" t="n">
        <v>0</v>
      </c>
      <c r="O953" t="n">
        <v>0</v>
      </c>
      <c r="P953" t="n">
        <v>0</v>
      </c>
      <c r="Q953" t="n">
        <v>0</v>
      </c>
      <c r="R953" s="2" t="inlineStr"/>
    </row>
    <row r="954" ht="15" customHeight="1">
      <c r="A954" t="inlineStr">
        <is>
          <t>A 55633-2025</t>
        </is>
      </c>
      <c r="B954" s="1" t="n">
        <v>45972</v>
      </c>
      <c r="C954" s="1" t="n">
        <v>46010</v>
      </c>
      <c r="D954" t="inlineStr">
        <is>
          <t>JÄMTLANDS LÄN</t>
        </is>
      </c>
      <c r="E954" t="inlineStr">
        <is>
          <t>RAGUNDA</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53076-2025</t>
        </is>
      </c>
      <c r="B955" s="1" t="n">
        <v>45958.38604166666</v>
      </c>
      <c r="C955" s="1" t="n">
        <v>46010</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55669-2023</t>
        </is>
      </c>
      <c r="B956" s="1" t="n">
        <v>45238.96797453704</v>
      </c>
      <c r="C956" s="1" t="n">
        <v>46010</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25304-2023</t>
        </is>
      </c>
      <c r="B957" s="1" t="n">
        <v>45086</v>
      </c>
      <c r="C957" s="1" t="n">
        <v>46010</v>
      </c>
      <c r="D957" t="inlineStr">
        <is>
          <t>JÄMTLANDS LÄN</t>
        </is>
      </c>
      <c r="E957" t="inlineStr">
        <is>
          <t>RAGUNDA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32063-2024</t>
        </is>
      </c>
      <c r="B958" s="1" t="n">
        <v>45510</v>
      </c>
      <c r="C958" s="1" t="n">
        <v>46010</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53986-2025</t>
        </is>
      </c>
      <c r="B959" s="1" t="n">
        <v>45961.57381944444</v>
      </c>
      <c r="C959" s="1" t="n">
        <v>46010</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10641-2024</t>
        </is>
      </c>
      <c r="B960" s="1" t="n">
        <v>45367.69850694444</v>
      </c>
      <c r="C960" s="1" t="n">
        <v>46010</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10644-2024</t>
        </is>
      </c>
      <c r="B961" s="1" t="n">
        <v>45367.71348379629</v>
      </c>
      <c r="C961" s="1" t="n">
        <v>46010</v>
      </c>
      <c r="D961" t="inlineStr">
        <is>
          <t>JÄMTLANDS LÄN</t>
        </is>
      </c>
      <c r="E961" t="inlineStr">
        <is>
          <t>RAGUNDA</t>
        </is>
      </c>
      <c r="G961" t="n">
        <v>2</v>
      </c>
      <c r="H961" t="n">
        <v>0</v>
      </c>
      <c r="I961" t="n">
        <v>0</v>
      </c>
      <c r="J961" t="n">
        <v>0</v>
      </c>
      <c r="K961" t="n">
        <v>0</v>
      </c>
      <c r="L961" t="n">
        <v>0</v>
      </c>
      <c r="M961" t="n">
        <v>0</v>
      </c>
      <c r="N961" t="n">
        <v>0</v>
      </c>
      <c r="O961" t="n">
        <v>0</v>
      </c>
      <c r="P961" t="n">
        <v>0</v>
      </c>
      <c r="Q961" t="n">
        <v>0</v>
      </c>
      <c r="R961" s="2" t="inlineStr"/>
    </row>
    <row r="962" ht="15" customHeight="1">
      <c r="A962" t="inlineStr">
        <is>
          <t>A 20426-2024</t>
        </is>
      </c>
      <c r="B962" s="1" t="n">
        <v>45435</v>
      </c>
      <c r="C962" s="1" t="n">
        <v>46010</v>
      </c>
      <c r="D962" t="inlineStr">
        <is>
          <t>JÄMTLANDS LÄN</t>
        </is>
      </c>
      <c r="E962" t="inlineStr">
        <is>
          <t>RAGUNDA</t>
        </is>
      </c>
      <c r="G962" t="n">
        <v>2.1</v>
      </c>
      <c r="H962" t="n">
        <v>0</v>
      </c>
      <c r="I962" t="n">
        <v>0</v>
      </c>
      <c r="J962" t="n">
        <v>0</v>
      </c>
      <c r="K962" t="n">
        <v>0</v>
      </c>
      <c r="L962" t="n">
        <v>0</v>
      </c>
      <c r="M962" t="n">
        <v>0</v>
      </c>
      <c r="N962" t="n">
        <v>0</v>
      </c>
      <c r="O962" t="n">
        <v>0</v>
      </c>
      <c r="P962" t="n">
        <v>0</v>
      </c>
      <c r="Q962" t="n">
        <v>0</v>
      </c>
      <c r="R962" s="2" t="inlineStr"/>
    </row>
    <row r="963" ht="15" customHeight="1">
      <c r="A963" t="inlineStr">
        <is>
          <t>A 17742-2022</t>
        </is>
      </c>
      <c r="B963" s="1" t="n">
        <v>44680.95246527778</v>
      </c>
      <c r="C963" s="1" t="n">
        <v>46010</v>
      </c>
      <c r="D963" t="inlineStr">
        <is>
          <t>JÄMTLANDS LÄN</t>
        </is>
      </c>
      <c r="E963" t="inlineStr">
        <is>
          <t>RAGUNDA</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53973-2025</t>
        </is>
      </c>
      <c r="B964" s="1" t="n">
        <v>45961.55246527777</v>
      </c>
      <c r="C964" s="1" t="n">
        <v>46010</v>
      </c>
      <c r="D964" t="inlineStr">
        <is>
          <t>JÄMTLANDS LÄN</t>
        </is>
      </c>
      <c r="E964" t="inlineStr">
        <is>
          <t>RAGUNDA</t>
        </is>
      </c>
      <c r="G964" t="n">
        <v>2.4</v>
      </c>
      <c r="H964" t="n">
        <v>0</v>
      </c>
      <c r="I964" t="n">
        <v>0</v>
      </c>
      <c r="J964" t="n">
        <v>0</v>
      </c>
      <c r="K964" t="n">
        <v>0</v>
      </c>
      <c r="L964" t="n">
        <v>0</v>
      </c>
      <c r="M964" t="n">
        <v>0</v>
      </c>
      <c r="N964" t="n">
        <v>0</v>
      </c>
      <c r="O964" t="n">
        <v>0</v>
      </c>
      <c r="P964" t="n">
        <v>0</v>
      </c>
      <c r="Q964" t="n">
        <v>0</v>
      </c>
      <c r="R964" s="2" t="inlineStr"/>
    </row>
    <row r="965" ht="15" customHeight="1">
      <c r="A965" t="inlineStr">
        <is>
          <t>A 53549-2025</t>
        </is>
      </c>
      <c r="B965" s="1" t="n">
        <v>45960.38576388889</v>
      </c>
      <c r="C965" s="1" t="n">
        <v>46010</v>
      </c>
      <c r="D965" t="inlineStr">
        <is>
          <t>JÄMTLANDS LÄN</t>
        </is>
      </c>
      <c r="E965" t="inlineStr">
        <is>
          <t>RAGUNDA</t>
        </is>
      </c>
      <c r="G965" t="n">
        <v>5.4</v>
      </c>
      <c r="H965" t="n">
        <v>0</v>
      </c>
      <c r="I965" t="n">
        <v>0</v>
      </c>
      <c r="J965" t="n">
        <v>0</v>
      </c>
      <c r="K965" t="n">
        <v>0</v>
      </c>
      <c r="L965" t="n">
        <v>0</v>
      </c>
      <c r="M965" t="n">
        <v>0</v>
      </c>
      <c r="N965" t="n">
        <v>0</v>
      </c>
      <c r="O965" t="n">
        <v>0</v>
      </c>
      <c r="P965" t="n">
        <v>0</v>
      </c>
      <c r="Q965" t="n">
        <v>0</v>
      </c>
      <c r="R965" s="2" t="inlineStr"/>
    </row>
    <row r="966" ht="15" customHeight="1">
      <c r="A966" t="inlineStr">
        <is>
          <t>A 53975-2025</t>
        </is>
      </c>
      <c r="B966" s="1" t="n">
        <v>45961.55277777778</v>
      </c>
      <c r="C966" s="1" t="n">
        <v>46010</v>
      </c>
      <c r="D966" t="inlineStr">
        <is>
          <t>JÄMTLANDS LÄN</t>
        </is>
      </c>
      <c r="E966" t="inlineStr">
        <is>
          <t>RAGUNDA</t>
        </is>
      </c>
      <c r="F966" t="inlineStr">
        <is>
          <t>SCA</t>
        </is>
      </c>
      <c r="G966" t="n">
        <v>21.9</v>
      </c>
      <c r="H966" t="n">
        <v>0</v>
      </c>
      <c r="I966" t="n">
        <v>0</v>
      </c>
      <c r="J966" t="n">
        <v>0</v>
      </c>
      <c r="K966" t="n">
        <v>0</v>
      </c>
      <c r="L966" t="n">
        <v>0</v>
      </c>
      <c r="M966" t="n">
        <v>0</v>
      </c>
      <c r="N966" t="n">
        <v>0</v>
      </c>
      <c r="O966" t="n">
        <v>0</v>
      </c>
      <c r="P966" t="n">
        <v>0</v>
      </c>
      <c r="Q966" t="n">
        <v>0</v>
      </c>
      <c r="R966" s="2" t="inlineStr"/>
    </row>
    <row r="967" ht="15" customHeight="1">
      <c r="A967" t="inlineStr">
        <is>
          <t>A 30825-2023</t>
        </is>
      </c>
      <c r="B967" s="1" t="n">
        <v>45112.94310185185</v>
      </c>
      <c r="C967" s="1" t="n">
        <v>46010</v>
      </c>
      <c r="D967" t="inlineStr">
        <is>
          <t>JÄMTLANDS LÄN</t>
        </is>
      </c>
      <c r="E967" t="inlineStr">
        <is>
          <t>RAGUNDA</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53726-2025</t>
        </is>
      </c>
      <c r="B968" s="1" t="n">
        <v>45960.63597222222</v>
      </c>
      <c r="C968" s="1" t="n">
        <v>46010</v>
      </c>
      <c r="D968" t="inlineStr">
        <is>
          <t>JÄMTLANDS LÄN</t>
        </is>
      </c>
      <c r="E968" t="inlineStr">
        <is>
          <t>RAGUNDA</t>
        </is>
      </c>
      <c r="F968" t="inlineStr">
        <is>
          <t>SCA</t>
        </is>
      </c>
      <c r="G968" t="n">
        <v>10.9</v>
      </c>
      <c r="H968" t="n">
        <v>0</v>
      </c>
      <c r="I968" t="n">
        <v>0</v>
      </c>
      <c r="J968" t="n">
        <v>0</v>
      </c>
      <c r="K968" t="n">
        <v>0</v>
      </c>
      <c r="L968" t="n">
        <v>0</v>
      </c>
      <c r="M968" t="n">
        <v>0</v>
      </c>
      <c r="N968" t="n">
        <v>0</v>
      </c>
      <c r="O968" t="n">
        <v>0</v>
      </c>
      <c r="P968" t="n">
        <v>0</v>
      </c>
      <c r="Q968" t="n">
        <v>0</v>
      </c>
      <c r="R968" s="2" t="inlineStr"/>
    </row>
    <row r="969" ht="15" customHeight="1">
      <c r="A969" t="inlineStr">
        <is>
          <t>A 53748-2025</t>
        </is>
      </c>
      <c r="B969" s="1" t="n">
        <v>45960.65673611111</v>
      </c>
      <c r="C969" s="1" t="n">
        <v>46010</v>
      </c>
      <c r="D969" t="inlineStr">
        <is>
          <t>JÄMTLANDS LÄN</t>
        </is>
      </c>
      <c r="E969" t="inlineStr">
        <is>
          <t>RAGUNDA</t>
        </is>
      </c>
      <c r="F969" t="inlineStr">
        <is>
          <t>SCA</t>
        </is>
      </c>
      <c r="G969" t="n">
        <v>14.9</v>
      </c>
      <c r="H969" t="n">
        <v>0</v>
      </c>
      <c r="I969" t="n">
        <v>0</v>
      </c>
      <c r="J969" t="n">
        <v>0</v>
      </c>
      <c r="K969" t="n">
        <v>0</v>
      </c>
      <c r="L969" t="n">
        <v>0</v>
      </c>
      <c r="M969" t="n">
        <v>0</v>
      </c>
      <c r="N969" t="n">
        <v>0</v>
      </c>
      <c r="O969" t="n">
        <v>0</v>
      </c>
      <c r="P969" t="n">
        <v>0</v>
      </c>
      <c r="Q969" t="n">
        <v>0</v>
      </c>
      <c r="R969" s="2" t="inlineStr"/>
    </row>
    <row r="970" ht="15" customHeight="1">
      <c r="A970" t="inlineStr">
        <is>
          <t>A 53727-2025</t>
        </is>
      </c>
      <c r="B970" s="1" t="n">
        <v>45960.63630787037</v>
      </c>
      <c r="C970" s="1" t="n">
        <v>46010</v>
      </c>
      <c r="D970" t="inlineStr">
        <is>
          <t>JÄMTLANDS LÄN</t>
        </is>
      </c>
      <c r="E970" t="inlineStr">
        <is>
          <t>RAGUNDA</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61697-2025</t>
        </is>
      </c>
      <c r="B971" s="1" t="n">
        <v>46002</v>
      </c>
      <c r="C971" s="1" t="n">
        <v>46010</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53765-2025</t>
        </is>
      </c>
      <c r="B972" s="1" t="n">
        <v>45960.67753472222</v>
      </c>
      <c r="C972" s="1" t="n">
        <v>46010</v>
      </c>
      <c r="D972" t="inlineStr">
        <is>
          <t>JÄMTLANDS LÄN</t>
        </is>
      </c>
      <c r="E972" t="inlineStr">
        <is>
          <t>RAGUNDA</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53951-2025</t>
        </is>
      </c>
      <c r="B973" s="1" t="n">
        <v>45961.50200231482</v>
      </c>
      <c r="C973" s="1" t="n">
        <v>46010</v>
      </c>
      <c r="D973" t="inlineStr">
        <is>
          <t>JÄMTLANDS LÄN</t>
        </is>
      </c>
      <c r="E973" t="inlineStr">
        <is>
          <t>RAGUNDA</t>
        </is>
      </c>
      <c r="G973" t="n">
        <v>1.8</v>
      </c>
      <c r="H973" t="n">
        <v>0</v>
      </c>
      <c r="I973" t="n">
        <v>0</v>
      </c>
      <c r="J973" t="n">
        <v>0</v>
      </c>
      <c r="K973" t="n">
        <v>0</v>
      </c>
      <c r="L973" t="n">
        <v>0</v>
      </c>
      <c r="M973" t="n">
        <v>0</v>
      </c>
      <c r="N973" t="n">
        <v>0</v>
      </c>
      <c r="O973" t="n">
        <v>0</v>
      </c>
      <c r="P973" t="n">
        <v>0</v>
      </c>
      <c r="Q973" t="n">
        <v>0</v>
      </c>
      <c r="R973" s="2" t="inlineStr"/>
    </row>
    <row r="974" ht="15" customHeight="1">
      <c r="A974" t="inlineStr">
        <is>
          <t>A 53948-2025</t>
        </is>
      </c>
      <c r="B974" s="1" t="n">
        <v>45961.50033564815</v>
      </c>
      <c r="C974" s="1" t="n">
        <v>46010</v>
      </c>
      <c r="D974" t="inlineStr">
        <is>
          <t>JÄMTLANDS LÄN</t>
        </is>
      </c>
      <c r="E974" t="inlineStr">
        <is>
          <t>RAGUNDA</t>
        </is>
      </c>
      <c r="G974" t="n">
        <v>7.9</v>
      </c>
      <c r="H974" t="n">
        <v>0</v>
      </c>
      <c r="I974" t="n">
        <v>0</v>
      </c>
      <c r="J974" t="n">
        <v>0</v>
      </c>
      <c r="K974" t="n">
        <v>0</v>
      </c>
      <c r="L974" t="n">
        <v>0</v>
      </c>
      <c r="M974" t="n">
        <v>0</v>
      </c>
      <c r="N974" t="n">
        <v>0</v>
      </c>
      <c r="O974" t="n">
        <v>0</v>
      </c>
      <c r="P974" t="n">
        <v>0</v>
      </c>
      <c r="Q974" t="n">
        <v>0</v>
      </c>
      <c r="R974" s="2" t="inlineStr"/>
    </row>
    <row r="975" ht="15" customHeight="1">
      <c r="A975" t="inlineStr">
        <is>
          <t>A 9084-2023</t>
        </is>
      </c>
      <c r="B975" s="1" t="n">
        <v>44979</v>
      </c>
      <c r="C975" s="1" t="n">
        <v>46010</v>
      </c>
      <c r="D975" t="inlineStr">
        <is>
          <t>JÄMTLANDS LÄN</t>
        </is>
      </c>
      <c r="E975" t="inlineStr">
        <is>
          <t>RAGUNDA</t>
        </is>
      </c>
      <c r="G975" t="n">
        <v>1.9</v>
      </c>
      <c r="H975" t="n">
        <v>0</v>
      </c>
      <c r="I975" t="n">
        <v>0</v>
      </c>
      <c r="J975" t="n">
        <v>0</v>
      </c>
      <c r="K975" t="n">
        <v>0</v>
      </c>
      <c r="L975" t="n">
        <v>0</v>
      </c>
      <c r="M975" t="n">
        <v>0</v>
      </c>
      <c r="N975" t="n">
        <v>0</v>
      </c>
      <c r="O975" t="n">
        <v>0</v>
      </c>
      <c r="P975" t="n">
        <v>0</v>
      </c>
      <c r="Q975" t="n">
        <v>0</v>
      </c>
      <c r="R975" s="2" t="inlineStr"/>
    </row>
    <row r="976" ht="15" customHeight="1">
      <c r="A976" t="inlineStr">
        <is>
          <t>A 62432-2025</t>
        </is>
      </c>
      <c r="B976" s="1" t="n">
        <v>46007</v>
      </c>
      <c r="C976" s="1" t="n">
        <v>46010</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62436-2025</t>
        </is>
      </c>
      <c r="B977" s="1" t="n">
        <v>46007</v>
      </c>
      <c r="C977" s="1" t="n">
        <v>46010</v>
      </c>
      <c r="D977" t="inlineStr">
        <is>
          <t>JÄMTLANDS LÄN</t>
        </is>
      </c>
      <c r="E977" t="inlineStr">
        <is>
          <t>RAGUNDA</t>
        </is>
      </c>
      <c r="G977" t="n">
        <v>0.7</v>
      </c>
      <c r="H977" t="n">
        <v>0</v>
      </c>
      <c r="I977" t="n">
        <v>0</v>
      </c>
      <c r="J977" t="n">
        <v>0</v>
      </c>
      <c r="K977" t="n">
        <v>0</v>
      </c>
      <c r="L977" t="n">
        <v>0</v>
      </c>
      <c r="M977" t="n">
        <v>0</v>
      </c>
      <c r="N977" t="n">
        <v>0</v>
      </c>
      <c r="O977" t="n">
        <v>0</v>
      </c>
      <c r="P977" t="n">
        <v>0</v>
      </c>
      <c r="Q977" t="n">
        <v>0</v>
      </c>
      <c r="R977" s="2" t="inlineStr"/>
    </row>
    <row r="978" ht="15" customHeight="1">
      <c r="A978" t="inlineStr">
        <is>
          <t>A 62467-2025</t>
        </is>
      </c>
      <c r="B978" s="1" t="n">
        <v>46007.5108912037</v>
      </c>
      <c r="C978" s="1" t="n">
        <v>46010</v>
      </c>
      <c r="D978" t="inlineStr">
        <is>
          <t>JÄMTLANDS LÄN</t>
        </is>
      </c>
      <c r="E978" t="inlineStr">
        <is>
          <t>RAGUNDA</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50160-2023</t>
        </is>
      </c>
      <c r="B979" s="1" t="n">
        <v>45208</v>
      </c>
      <c r="C979" s="1" t="n">
        <v>46010</v>
      </c>
      <c r="D979" t="inlineStr">
        <is>
          <t>JÄMTLANDS LÄN</t>
        </is>
      </c>
      <c r="E979" t="inlineStr">
        <is>
          <t>RAGUNDA</t>
        </is>
      </c>
      <c r="G979" t="n">
        <v>4.6</v>
      </c>
      <c r="H979" t="n">
        <v>0</v>
      </c>
      <c r="I979" t="n">
        <v>0</v>
      </c>
      <c r="J979" t="n">
        <v>0</v>
      </c>
      <c r="K979" t="n">
        <v>0</v>
      </c>
      <c r="L979" t="n">
        <v>0</v>
      </c>
      <c r="M979" t="n">
        <v>0</v>
      </c>
      <c r="N979" t="n">
        <v>0</v>
      </c>
      <c r="O979" t="n">
        <v>0</v>
      </c>
      <c r="P979" t="n">
        <v>0</v>
      </c>
      <c r="Q979" t="n">
        <v>0</v>
      </c>
      <c r="R979" s="2" t="inlineStr"/>
    </row>
    <row r="980" ht="15" customHeight="1">
      <c r="A980" t="inlineStr">
        <is>
          <t>A 9326-2024</t>
        </is>
      </c>
      <c r="B980" s="1" t="n">
        <v>45358.95818287037</v>
      </c>
      <c r="C980" s="1" t="n">
        <v>46010</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54195-2025</t>
        </is>
      </c>
      <c r="B981" s="1" t="n">
        <v>45964.57413194444</v>
      </c>
      <c r="C981" s="1" t="n">
        <v>46010</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54396-2025</t>
        </is>
      </c>
      <c r="B982" s="1" t="n">
        <v>45965.44849537037</v>
      </c>
      <c r="C982" s="1" t="n">
        <v>46010</v>
      </c>
      <c r="D982" t="inlineStr">
        <is>
          <t>JÄMTLANDS LÄN</t>
        </is>
      </c>
      <c r="E982" t="inlineStr">
        <is>
          <t>RAGUNDA</t>
        </is>
      </c>
      <c r="F982" t="inlineStr">
        <is>
          <t>SCA</t>
        </is>
      </c>
      <c r="G982" t="n">
        <v>35.2</v>
      </c>
      <c r="H982" t="n">
        <v>0</v>
      </c>
      <c r="I982" t="n">
        <v>0</v>
      </c>
      <c r="J982" t="n">
        <v>0</v>
      </c>
      <c r="K982" t="n">
        <v>0</v>
      </c>
      <c r="L982" t="n">
        <v>0</v>
      </c>
      <c r="M982" t="n">
        <v>0</v>
      </c>
      <c r="N982" t="n">
        <v>0</v>
      </c>
      <c r="O982" t="n">
        <v>0</v>
      </c>
      <c r="P982" t="n">
        <v>0</v>
      </c>
      <c r="Q982" t="n">
        <v>0</v>
      </c>
      <c r="R982" s="2" t="inlineStr"/>
    </row>
    <row r="983" ht="15" customHeight="1">
      <c r="A983" t="inlineStr">
        <is>
          <t>A 7520-2023</t>
        </is>
      </c>
      <c r="B983" s="1" t="n">
        <v>44971</v>
      </c>
      <c r="C983" s="1" t="n">
        <v>46010</v>
      </c>
      <c r="D983" t="inlineStr">
        <is>
          <t>JÄMTLANDS LÄN</t>
        </is>
      </c>
      <c r="E983" t="inlineStr">
        <is>
          <t>RAGUNDA</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21662-2023</t>
        </is>
      </c>
      <c r="B984" s="1" t="n">
        <v>45063</v>
      </c>
      <c r="C984" s="1" t="n">
        <v>46010</v>
      </c>
      <c r="D984" t="inlineStr">
        <is>
          <t>JÄMTLANDS LÄN</t>
        </is>
      </c>
      <c r="E984" t="inlineStr">
        <is>
          <t>RAGUNDA</t>
        </is>
      </c>
      <c r="G984" t="n">
        <v>1.8</v>
      </c>
      <c r="H984" t="n">
        <v>0</v>
      </c>
      <c r="I984" t="n">
        <v>0</v>
      </c>
      <c r="J984" t="n">
        <v>0</v>
      </c>
      <c r="K984" t="n">
        <v>0</v>
      </c>
      <c r="L984" t="n">
        <v>0</v>
      </c>
      <c r="M984" t="n">
        <v>0</v>
      </c>
      <c r="N984" t="n">
        <v>0</v>
      </c>
      <c r="O984" t="n">
        <v>0</v>
      </c>
      <c r="P984" t="n">
        <v>0</v>
      </c>
      <c r="Q984" t="n">
        <v>0</v>
      </c>
      <c r="R984" s="2" t="inlineStr"/>
    </row>
    <row r="985" ht="15" customHeight="1">
      <c r="A985" t="inlineStr">
        <is>
          <t>A 44727-2024</t>
        </is>
      </c>
      <c r="B985" s="1" t="n">
        <v>45574.57967592592</v>
      </c>
      <c r="C985" s="1" t="n">
        <v>46010</v>
      </c>
      <c r="D985" t="inlineStr">
        <is>
          <t>JÄMTLANDS LÄN</t>
        </is>
      </c>
      <c r="E985" t="inlineStr">
        <is>
          <t>RAGUNDA</t>
        </is>
      </c>
      <c r="G985" t="n">
        <v>4.7</v>
      </c>
      <c r="H985" t="n">
        <v>0</v>
      </c>
      <c r="I985" t="n">
        <v>0</v>
      </c>
      <c r="J985" t="n">
        <v>0</v>
      </c>
      <c r="K985" t="n">
        <v>0</v>
      </c>
      <c r="L985" t="n">
        <v>0</v>
      </c>
      <c r="M985" t="n">
        <v>0</v>
      </c>
      <c r="N985" t="n">
        <v>0</v>
      </c>
      <c r="O985" t="n">
        <v>0</v>
      </c>
      <c r="P985" t="n">
        <v>0</v>
      </c>
      <c r="Q985" t="n">
        <v>0</v>
      </c>
      <c r="R985" s="2" t="inlineStr"/>
    </row>
    <row r="986" ht="15" customHeight="1">
      <c r="A986" t="inlineStr">
        <is>
          <t>A 62490-2025</t>
        </is>
      </c>
      <c r="B986" s="1" t="n">
        <v>46007.5697337963</v>
      </c>
      <c r="C986" s="1" t="n">
        <v>46010</v>
      </c>
      <c r="D986" t="inlineStr">
        <is>
          <t>JÄMTLANDS LÄN</t>
        </is>
      </c>
      <c r="E986" t="inlineStr">
        <is>
          <t>RAGUNDA</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50157-2023</t>
        </is>
      </c>
      <c r="B987" s="1" t="n">
        <v>45208</v>
      </c>
      <c r="C987" s="1" t="n">
        <v>46010</v>
      </c>
      <c r="D987" t="inlineStr">
        <is>
          <t>JÄMTLANDS LÄN</t>
        </is>
      </c>
      <c r="E987" t="inlineStr">
        <is>
          <t>RAGUNDA</t>
        </is>
      </c>
      <c r="G987" t="n">
        <v>0.9</v>
      </c>
      <c r="H987" t="n">
        <v>0</v>
      </c>
      <c r="I987" t="n">
        <v>0</v>
      </c>
      <c r="J987" t="n">
        <v>0</v>
      </c>
      <c r="K987" t="n">
        <v>0</v>
      </c>
      <c r="L987" t="n">
        <v>0</v>
      </c>
      <c r="M987" t="n">
        <v>0</v>
      </c>
      <c r="N987" t="n">
        <v>0</v>
      </c>
      <c r="O987" t="n">
        <v>0</v>
      </c>
      <c r="P987" t="n">
        <v>0</v>
      </c>
      <c r="Q987" t="n">
        <v>0</v>
      </c>
      <c r="R987" s="2" t="inlineStr"/>
    </row>
    <row r="988" ht="15" customHeight="1">
      <c r="A988" t="inlineStr">
        <is>
          <t>A 63060-2025</t>
        </is>
      </c>
      <c r="B988" s="1" t="n">
        <v>46009.64414351852</v>
      </c>
      <c r="C988" s="1" t="n">
        <v>46010</v>
      </c>
      <c r="D988" t="inlineStr">
        <is>
          <t>JÄMTLANDS LÄN</t>
        </is>
      </c>
      <c r="E988" t="inlineStr">
        <is>
          <t>RAGUNDA</t>
        </is>
      </c>
      <c r="G988" t="n">
        <v>6.5</v>
      </c>
      <c r="H988" t="n">
        <v>0</v>
      </c>
      <c r="I988" t="n">
        <v>0</v>
      </c>
      <c r="J988" t="n">
        <v>0</v>
      </c>
      <c r="K988" t="n">
        <v>0</v>
      </c>
      <c r="L988" t="n">
        <v>0</v>
      </c>
      <c r="M988" t="n">
        <v>0</v>
      </c>
      <c r="N988" t="n">
        <v>0</v>
      </c>
      <c r="O988" t="n">
        <v>0</v>
      </c>
      <c r="P988" t="n">
        <v>0</v>
      </c>
      <c r="Q988" t="n">
        <v>0</v>
      </c>
      <c r="R988" s="2" t="inlineStr"/>
    </row>
    <row r="989" ht="15" customHeight="1">
      <c r="A989" t="inlineStr">
        <is>
          <t>A 54794-2025</t>
        </is>
      </c>
      <c r="B989" s="1" t="n">
        <v>45966.63592592593</v>
      </c>
      <c r="C989" s="1" t="n">
        <v>46010</v>
      </c>
      <c r="D989" t="inlineStr">
        <is>
          <t>JÄMTLANDS LÄN</t>
        </is>
      </c>
      <c r="E989" t="inlineStr">
        <is>
          <t>RAGUNDA</t>
        </is>
      </c>
      <c r="G989" t="n">
        <v>4</v>
      </c>
      <c r="H989" t="n">
        <v>0</v>
      </c>
      <c r="I989" t="n">
        <v>0</v>
      </c>
      <c r="J989" t="n">
        <v>0</v>
      </c>
      <c r="K989" t="n">
        <v>0</v>
      </c>
      <c r="L989" t="n">
        <v>0</v>
      </c>
      <c r="M989" t="n">
        <v>0</v>
      </c>
      <c r="N989" t="n">
        <v>0</v>
      </c>
      <c r="O989" t="n">
        <v>0</v>
      </c>
      <c r="P989" t="n">
        <v>0</v>
      </c>
      <c r="Q989" t="n">
        <v>0</v>
      </c>
      <c r="R989" s="2" t="inlineStr"/>
    </row>
    <row r="990" ht="15" customHeight="1">
      <c r="A990" t="inlineStr">
        <is>
          <t>A 62638-2025</t>
        </is>
      </c>
      <c r="B990" s="1" t="n">
        <v>46008.36564814814</v>
      </c>
      <c r="C990" s="1" t="n">
        <v>46010</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62691-2025</t>
        </is>
      </c>
      <c r="B991" s="1" t="n">
        <v>46008.4759837963</v>
      </c>
      <c r="C991" s="1" t="n">
        <v>46010</v>
      </c>
      <c r="D991" t="inlineStr">
        <is>
          <t>JÄMTLANDS LÄN</t>
        </is>
      </c>
      <c r="E991" t="inlineStr">
        <is>
          <t>RAGUNDA</t>
        </is>
      </c>
      <c r="G991" t="n">
        <v>2.6</v>
      </c>
      <c r="H991" t="n">
        <v>0</v>
      </c>
      <c r="I991" t="n">
        <v>0</v>
      </c>
      <c r="J991" t="n">
        <v>0</v>
      </c>
      <c r="K991" t="n">
        <v>0</v>
      </c>
      <c r="L991" t="n">
        <v>0</v>
      </c>
      <c r="M991" t="n">
        <v>0</v>
      </c>
      <c r="N991" t="n">
        <v>0</v>
      </c>
      <c r="O991" t="n">
        <v>0</v>
      </c>
      <c r="P991" t="n">
        <v>0</v>
      </c>
      <c r="Q991" t="n">
        <v>0</v>
      </c>
      <c r="R991" s="2" t="inlineStr"/>
    </row>
    <row r="992" ht="15" customHeight="1">
      <c r="A992" t="inlineStr">
        <is>
          <t>A 62927-2025</t>
        </is>
      </c>
      <c r="B992" s="1" t="n">
        <v>46009.38609953703</v>
      </c>
      <c r="C992" s="1" t="n">
        <v>46010</v>
      </c>
      <c r="D992" t="inlineStr">
        <is>
          <t>JÄMTLANDS LÄN</t>
        </is>
      </c>
      <c r="E992" t="inlineStr">
        <is>
          <t>RAGUNDA</t>
        </is>
      </c>
      <c r="G992" t="n">
        <v>6.3</v>
      </c>
      <c r="H992" t="n">
        <v>0</v>
      </c>
      <c r="I992" t="n">
        <v>0</v>
      </c>
      <c r="J992" t="n">
        <v>0</v>
      </c>
      <c r="K992" t="n">
        <v>0</v>
      </c>
      <c r="L992" t="n">
        <v>0</v>
      </c>
      <c r="M992" t="n">
        <v>0</v>
      </c>
      <c r="N992" t="n">
        <v>0</v>
      </c>
      <c r="O992" t="n">
        <v>0</v>
      </c>
      <c r="P992" t="n">
        <v>0</v>
      </c>
      <c r="Q992" t="n">
        <v>0</v>
      </c>
      <c r="R992" s="2" t="inlineStr"/>
      <c r="U992">
        <f>HYPERLINK("https://klasma.github.io/Logging_2303/knärot/A 62927-2025 karta knärot.png", "A 62927-2025")</f>
        <v/>
      </c>
      <c r="V992">
        <f>HYPERLINK("https://klasma.github.io/Logging_2303/klagomål/A 62927-2025 FSC-klagomål.docx", "A 62927-2025")</f>
        <v/>
      </c>
      <c r="W992">
        <f>HYPERLINK("https://klasma.github.io/Logging_2303/klagomålsmail/A 62927-2025 FSC-klagomål mail.docx", "A 62927-2025")</f>
        <v/>
      </c>
      <c r="X992">
        <f>HYPERLINK("https://klasma.github.io/Logging_2303/tillsyn/A 62927-2025 tillsynsbegäran.docx", "A 62927-2025")</f>
        <v/>
      </c>
      <c r="Y992">
        <f>HYPERLINK("https://klasma.github.io/Logging_2303/tillsynsmail/A 62927-2025 tillsynsbegäran mail.docx", "A 62927-2025")</f>
        <v/>
      </c>
    </row>
    <row r="993" ht="15" customHeight="1">
      <c r="A993" t="inlineStr">
        <is>
          <t>A 21083-2024</t>
        </is>
      </c>
      <c r="B993" s="1" t="n">
        <v>45439.92752314815</v>
      </c>
      <c r="C993" s="1" t="n">
        <v>46010</v>
      </c>
      <c r="D993" t="inlineStr">
        <is>
          <t>JÄMTLANDS LÄN</t>
        </is>
      </c>
      <c r="E993" t="inlineStr">
        <is>
          <t>RAGUNDA</t>
        </is>
      </c>
      <c r="G993" t="n">
        <v>1.5</v>
      </c>
      <c r="H993" t="n">
        <v>0</v>
      </c>
      <c r="I993" t="n">
        <v>0</v>
      </c>
      <c r="J993" t="n">
        <v>0</v>
      </c>
      <c r="K993" t="n">
        <v>0</v>
      </c>
      <c r="L993" t="n">
        <v>0</v>
      </c>
      <c r="M993" t="n">
        <v>0</v>
      </c>
      <c r="N993" t="n">
        <v>0</v>
      </c>
      <c r="O993" t="n">
        <v>0</v>
      </c>
      <c r="P993" t="n">
        <v>0</v>
      </c>
      <c r="Q993" t="n">
        <v>0</v>
      </c>
      <c r="R993" s="2" t="inlineStr"/>
    </row>
    <row r="994" ht="15" customHeight="1">
      <c r="A994" t="inlineStr">
        <is>
          <t>A 462-2023</t>
        </is>
      </c>
      <c r="B994" s="1" t="n">
        <v>44929</v>
      </c>
      <c r="C994" s="1" t="n">
        <v>46010</v>
      </c>
      <c r="D994" t="inlineStr">
        <is>
          <t>JÄMTLANDS LÄN</t>
        </is>
      </c>
      <c r="E994" t="inlineStr">
        <is>
          <t>RAGUNDA</t>
        </is>
      </c>
      <c r="G994" t="n">
        <v>4.5</v>
      </c>
      <c r="H994" t="n">
        <v>0</v>
      </c>
      <c r="I994" t="n">
        <v>0</v>
      </c>
      <c r="J994" t="n">
        <v>0</v>
      </c>
      <c r="K994" t="n">
        <v>0</v>
      </c>
      <c r="L994" t="n">
        <v>0</v>
      </c>
      <c r="M994" t="n">
        <v>0</v>
      </c>
      <c r="N994" t="n">
        <v>0</v>
      </c>
      <c r="O994" t="n">
        <v>0</v>
      </c>
      <c r="P994" t="n">
        <v>0</v>
      </c>
      <c r="Q994" t="n">
        <v>0</v>
      </c>
      <c r="R994" s="2" t="inlineStr"/>
    </row>
    <row r="995" ht="15" customHeight="1">
      <c r="A995" t="inlineStr">
        <is>
          <t>A 62819-2025</t>
        </is>
      </c>
      <c r="B995" s="1" t="n">
        <v>46008</v>
      </c>
      <c r="C995" s="1" t="n">
        <v>46010</v>
      </c>
      <c r="D995" t="inlineStr">
        <is>
          <t>JÄMTLANDS LÄN</t>
        </is>
      </c>
      <c r="E995" t="inlineStr">
        <is>
          <t>RAGUNDA</t>
        </is>
      </c>
      <c r="G995" t="n">
        <v>3.5</v>
      </c>
      <c r="H995" t="n">
        <v>0</v>
      </c>
      <c r="I995" t="n">
        <v>0</v>
      </c>
      <c r="J995" t="n">
        <v>0</v>
      </c>
      <c r="K995" t="n">
        <v>0</v>
      </c>
      <c r="L995" t="n">
        <v>0</v>
      </c>
      <c r="M995" t="n">
        <v>0</v>
      </c>
      <c r="N995" t="n">
        <v>0</v>
      </c>
      <c r="O995" t="n">
        <v>0</v>
      </c>
      <c r="P995" t="n">
        <v>0</v>
      </c>
      <c r="Q995" t="n">
        <v>0</v>
      </c>
      <c r="R995" s="2" t="inlineStr"/>
    </row>
    <row r="996" ht="15" customHeight="1">
      <c r="A996" t="inlineStr">
        <is>
          <t>A 12050-2023</t>
        </is>
      </c>
      <c r="B996" s="1" t="n">
        <v>44995.98644675926</v>
      </c>
      <c r="C996" s="1" t="n">
        <v>46010</v>
      </c>
      <c r="D996" t="inlineStr">
        <is>
          <t>JÄMTLANDS LÄN</t>
        </is>
      </c>
      <c r="E996" t="inlineStr">
        <is>
          <t>RAGUNDA</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54820-2025</t>
        </is>
      </c>
      <c r="B997" s="1" t="n">
        <v>45966.65728009259</v>
      </c>
      <c r="C997" s="1" t="n">
        <v>46010</v>
      </c>
      <c r="D997" t="inlineStr">
        <is>
          <t>JÄMTLANDS LÄN</t>
        </is>
      </c>
      <c r="E997" t="inlineStr">
        <is>
          <t>RAGUNDA</t>
        </is>
      </c>
      <c r="G997" t="n">
        <v>15.3</v>
      </c>
      <c r="H997" t="n">
        <v>0</v>
      </c>
      <c r="I997" t="n">
        <v>0</v>
      </c>
      <c r="J997" t="n">
        <v>0</v>
      </c>
      <c r="K997" t="n">
        <v>0</v>
      </c>
      <c r="L997" t="n">
        <v>0</v>
      </c>
      <c r="M997" t="n">
        <v>0</v>
      </c>
      <c r="N997" t="n">
        <v>0</v>
      </c>
      <c r="O997" t="n">
        <v>0</v>
      </c>
      <c r="P997" t="n">
        <v>0</v>
      </c>
      <c r="Q997" t="n">
        <v>0</v>
      </c>
      <c r="R997" s="2" t="inlineStr"/>
    </row>
    <row r="998" ht="15" customHeight="1">
      <c r="A998" t="inlineStr">
        <is>
          <t>A 58909-2025</t>
        </is>
      </c>
      <c r="B998" s="1" t="n">
        <v>45987</v>
      </c>
      <c r="C998" s="1" t="n">
        <v>46010</v>
      </c>
      <c r="D998" t="inlineStr">
        <is>
          <t>JÄMTLANDS LÄN</t>
        </is>
      </c>
      <c r="E998" t="inlineStr">
        <is>
          <t>RAGUNDA</t>
        </is>
      </c>
      <c r="G998" t="n">
        <v>9.5</v>
      </c>
      <c r="H998" t="n">
        <v>0</v>
      </c>
      <c r="I998" t="n">
        <v>0</v>
      </c>
      <c r="J998" t="n">
        <v>0</v>
      </c>
      <c r="K998" t="n">
        <v>0</v>
      </c>
      <c r="L998" t="n">
        <v>0</v>
      </c>
      <c r="M998" t="n">
        <v>0</v>
      </c>
      <c r="N998" t="n">
        <v>0</v>
      </c>
      <c r="O998" t="n">
        <v>0</v>
      </c>
      <c r="P998" t="n">
        <v>0</v>
      </c>
      <c r="Q998" t="n">
        <v>0</v>
      </c>
      <c r="R998" s="2" t="inlineStr"/>
    </row>
    <row r="999" ht="15" customHeight="1">
      <c r="A999" t="inlineStr">
        <is>
          <t>A 62358-2023</t>
        </is>
      </c>
      <c r="B999" s="1" t="n">
        <v>45267</v>
      </c>
      <c r="C999" s="1" t="n">
        <v>46010</v>
      </c>
      <c r="D999" t="inlineStr">
        <is>
          <t>JÄMTLANDS LÄN</t>
        </is>
      </c>
      <c r="E999" t="inlineStr">
        <is>
          <t>RAGUNDA</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18820-2023</t>
        </is>
      </c>
      <c r="B1000" s="1" t="n">
        <v>45042</v>
      </c>
      <c r="C1000" s="1" t="n">
        <v>46010</v>
      </c>
      <c r="D1000" t="inlineStr">
        <is>
          <t>JÄMTLANDS LÄN</t>
        </is>
      </c>
      <c r="E1000" t="inlineStr">
        <is>
          <t>RAGUNDA</t>
        </is>
      </c>
      <c r="G1000" t="n">
        <v>18.8</v>
      </c>
      <c r="H1000" t="n">
        <v>0</v>
      </c>
      <c r="I1000" t="n">
        <v>0</v>
      </c>
      <c r="J1000" t="n">
        <v>0</v>
      </c>
      <c r="K1000" t="n">
        <v>0</v>
      </c>
      <c r="L1000" t="n">
        <v>0</v>
      </c>
      <c r="M1000" t="n">
        <v>0</v>
      </c>
      <c r="N1000" t="n">
        <v>0</v>
      </c>
      <c r="O1000" t="n">
        <v>0</v>
      </c>
      <c r="P1000" t="n">
        <v>0</v>
      </c>
      <c r="Q1000" t="n">
        <v>0</v>
      </c>
      <c r="R1000" s="2" t="inlineStr"/>
    </row>
    <row r="1001" ht="15" customHeight="1">
      <c r="A1001" t="inlineStr">
        <is>
          <t>A 63057-2025</t>
        </is>
      </c>
      <c r="B1001" s="1" t="n">
        <v>46009.63837962963</v>
      </c>
      <c r="C1001" s="1" t="n">
        <v>46010</v>
      </c>
      <c r="D1001" t="inlineStr">
        <is>
          <t>JÄMTLANDS LÄN</t>
        </is>
      </c>
      <c r="E1001" t="inlineStr">
        <is>
          <t>RAGUNDA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49648-2023</t>
        </is>
      </c>
      <c r="B1002" s="1" t="n">
        <v>45211.95061342593</v>
      </c>
      <c r="C1002" s="1" t="n">
        <v>46010</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51537-2022</t>
        </is>
      </c>
      <c r="B1003" s="1" t="n">
        <v>44869</v>
      </c>
      <c r="C1003" s="1" t="n">
        <v>46010</v>
      </c>
      <c r="D1003" t="inlineStr">
        <is>
          <t>JÄMTLANDS LÄN</t>
        </is>
      </c>
      <c r="E1003" t="inlineStr">
        <is>
          <t>RAGUNDA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59044-2022</t>
        </is>
      </c>
      <c r="B1004" s="1" t="n">
        <v>44903</v>
      </c>
      <c r="C1004" s="1" t="n">
        <v>46010</v>
      </c>
      <c r="D1004" t="inlineStr">
        <is>
          <t>JÄMTLANDS LÄN</t>
        </is>
      </c>
      <c r="E1004" t="inlineStr">
        <is>
          <t>RAGUNDA</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46010</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8779-2025</t>
        </is>
      </c>
      <c r="B1006" s="1" t="n">
        <v>45712.61552083334</v>
      </c>
      <c r="C1006" s="1" t="n">
        <v>46010</v>
      </c>
      <c r="D1006" t="inlineStr">
        <is>
          <t>JÄMTLANDS LÄN</t>
        </is>
      </c>
      <c r="E1006" t="inlineStr">
        <is>
          <t>RAGUNDA</t>
        </is>
      </c>
      <c r="F1006" t="inlineStr">
        <is>
          <t>SCA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61400-2022</t>
        </is>
      </c>
      <c r="B1007" s="1" t="n">
        <v>44915</v>
      </c>
      <c r="C1007" s="1" t="n">
        <v>46010</v>
      </c>
      <c r="D1007" t="inlineStr">
        <is>
          <t>JÄMTLANDS LÄN</t>
        </is>
      </c>
      <c r="E1007" t="inlineStr">
        <is>
          <t>RAGUNDA</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4348-2023</t>
        </is>
      </c>
      <c r="B1008" s="1" t="n">
        <v>44953</v>
      </c>
      <c r="C1008" s="1" t="n">
        <v>46010</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56286-2023</t>
        </is>
      </c>
      <c r="B1009" s="1" t="n">
        <v>45241.95741898148</v>
      </c>
      <c r="C1009" s="1" t="n">
        <v>46010</v>
      </c>
      <c r="D1009" t="inlineStr">
        <is>
          <t>JÄMTLANDS LÄN</t>
        </is>
      </c>
      <c r="E1009" t="inlineStr">
        <is>
          <t>RAGUNDA</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56287-2023</t>
        </is>
      </c>
      <c r="B1010" s="1" t="n">
        <v>45241</v>
      </c>
      <c r="C1010" s="1" t="n">
        <v>46010</v>
      </c>
      <c r="D1010" t="inlineStr">
        <is>
          <t>JÄMTLANDS LÄN</t>
        </is>
      </c>
      <c r="E1010" t="inlineStr">
        <is>
          <t>RAGUNDA</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62135-2024</t>
        </is>
      </c>
      <c r="B1011" s="1" t="n">
        <v>45656.64223379629</v>
      </c>
      <c r="C1011" s="1" t="n">
        <v>46010</v>
      </c>
      <c r="D1011" t="inlineStr">
        <is>
          <t>JÄMTLANDS LÄN</t>
        </is>
      </c>
      <c r="E1011" t="inlineStr">
        <is>
          <t>RAGUNDA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18248-2023</t>
        </is>
      </c>
      <c r="B1012" s="1" t="n">
        <v>45040</v>
      </c>
      <c r="C1012" s="1" t="n">
        <v>46010</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8802-2022</t>
        </is>
      </c>
      <c r="B1013" s="1" t="n">
        <v>44614</v>
      </c>
      <c r="C1013" s="1" t="n">
        <v>46010</v>
      </c>
      <c r="D1013" t="inlineStr">
        <is>
          <t>JÄMTLANDS LÄN</t>
        </is>
      </c>
      <c r="E1013" t="inlineStr">
        <is>
          <t>RAGUNDA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39489-2023</t>
        </is>
      </c>
      <c r="B1014" s="1" t="n">
        <v>45166</v>
      </c>
      <c r="C1014" s="1" t="n">
        <v>46010</v>
      </c>
      <c r="D1014" t="inlineStr">
        <is>
          <t>JÄMTLANDS LÄN</t>
        </is>
      </c>
      <c r="E1014" t="inlineStr">
        <is>
          <t>RAGUNDA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55214-2022</t>
        </is>
      </c>
      <c r="B1015" s="1" t="n">
        <v>44886</v>
      </c>
      <c r="C1015" s="1" t="n">
        <v>46010</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44972.94140046297</v>
      </c>
      <c r="C1016" s="1" t="n">
        <v>46010</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12204-2025</t>
        </is>
      </c>
      <c r="B1017" s="1" t="n">
        <v>45729.51074074074</v>
      </c>
      <c r="C1017" s="1" t="n">
        <v>46010</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13299-2024</t>
        </is>
      </c>
      <c r="B1018" s="1" t="n">
        <v>45386.68003472222</v>
      </c>
      <c r="C1018" s="1" t="n">
        <v>46010</v>
      </c>
      <c r="D1018" t="inlineStr">
        <is>
          <t>JÄMTLANDS LÄN</t>
        </is>
      </c>
      <c r="E1018" t="inlineStr">
        <is>
          <t>RAGUNDA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15024-2022</t>
        </is>
      </c>
      <c r="B1019" s="1" t="n">
        <v>44657</v>
      </c>
      <c r="C1019" s="1" t="n">
        <v>46010</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891-2022</t>
        </is>
      </c>
      <c r="B1020" s="1" t="n">
        <v>44571</v>
      </c>
      <c r="C1020" s="1" t="n">
        <v>46010</v>
      </c>
      <c r="D1020" t="inlineStr">
        <is>
          <t>JÄMTLANDS LÄN</t>
        </is>
      </c>
      <c r="E1020" t="inlineStr">
        <is>
          <t>RAGUNDA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36371-2023</t>
        </is>
      </c>
      <c r="B1021" s="1" t="n">
        <v>45149</v>
      </c>
      <c r="C1021" s="1" t="n">
        <v>46010</v>
      </c>
      <c r="D1021" t="inlineStr">
        <is>
          <t>JÄMTLANDS LÄN</t>
        </is>
      </c>
      <c r="E1021" t="inlineStr">
        <is>
          <t>RAGUNDA</t>
        </is>
      </c>
      <c r="G1021" t="n">
        <v>25.7</v>
      </c>
      <c r="H1021" t="n">
        <v>0</v>
      </c>
      <c r="I1021" t="n">
        <v>0</v>
      </c>
      <c r="J1021" t="n">
        <v>0</v>
      </c>
      <c r="K1021" t="n">
        <v>0</v>
      </c>
      <c r="L1021" t="n">
        <v>0</v>
      </c>
      <c r="M1021" t="n">
        <v>0</v>
      </c>
      <c r="N1021" t="n">
        <v>0</v>
      </c>
      <c r="O1021" t="n">
        <v>0</v>
      </c>
      <c r="P1021" t="n">
        <v>0</v>
      </c>
      <c r="Q1021" t="n">
        <v>0</v>
      </c>
      <c r="R1021" s="2" t="inlineStr"/>
    </row>
    <row r="1022" ht="15" customHeight="1">
      <c r="A1022" t="inlineStr">
        <is>
          <t>A 56702-2023</t>
        </is>
      </c>
      <c r="B1022" s="1" t="n">
        <v>45243</v>
      </c>
      <c r="C1022" s="1" t="n">
        <v>46010</v>
      </c>
      <c r="D1022" t="inlineStr">
        <is>
          <t>JÄMTLANDS LÄN</t>
        </is>
      </c>
      <c r="E1022" t="inlineStr">
        <is>
          <t>RAGUNDA</t>
        </is>
      </c>
      <c r="F1022" t="inlineStr">
        <is>
          <t>SCA</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32259-2024</t>
        </is>
      </c>
      <c r="B1023" s="1" t="n">
        <v>45511</v>
      </c>
      <c r="C1023" s="1" t="n">
        <v>46010</v>
      </c>
      <c r="D1023" t="inlineStr">
        <is>
          <t>JÄMTLANDS LÄN</t>
        </is>
      </c>
      <c r="E1023" t="inlineStr">
        <is>
          <t>RAGUNDA</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5313-2025</t>
        </is>
      </c>
      <c r="B1024" s="1" t="n">
        <v>45692.51069444444</v>
      </c>
      <c r="C1024" s="1" t="n">
        <v>46010</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5357-2025</t>
        </is>
      </c>
      <c r="B1025" s="1" t="n">
        <v>45692.57326388889</v>
      </c>
      <c r="C1025" s="1" t="n">
        <v>46010</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3018-2024</t>
        </is>
      </c>
      <c r="B1026" s="1" t="n">
        <v>45315.9492824074</v>
      </c>
      <c r="C1026" s="1" t="n">
        <v>46010</v>
      </c>
      <c r="D1026" t="inlineStr">
        <is>
          <t>JÄMTLANDS LÄN</t>
        </is>
      </c>
      <c r="E1026" t="inlineStr">
        <is>
          <t>RAGUNDA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44605-2024</t>
        </is>
      </c>
      <c r="B1027" s="1" t="n">
        <v>45574.51185185185</v>
      </c>
      <c r="C1027" s="1" t="n">
        <v>46010</v>
      </c>
      <c r="D1027" t="inlineStr">
        <is>
          <t>JÄMTLANDS LÄN</t>
        </is>
      </c>
      <c r="E1027" t="inlineStr">
        <is>
          <t>RAGUNDA</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20773-2024</t>
        </is>
      </c>
      <c r="B1028" s="1" t="n">
        <v>45436.94636574074</v>
      </c>
      <c r="C1028" s="1" t="n">
        <v>46010</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34323-2023</t>
        </is>
      </c>
      <c r="B1029" s="1" t="n">
        <v>45138.94925925926</v>
      </c>
      <c r="C1029" s="1" t="n">
        <v>46010</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50486-2023</t>
        </is>
      </c>
      <c r="B1030" s="1" t="n">
        <v>45216.92424768519</v>
      </c>
      <c r="C1030" s="1" t="n">
        <v>46010</v>
      </c>
      <c r="D1030" t="inlineStr">
        <is>
          <t>JÄMTLANDS LÄN</t>
        </is>
      </c>
      <c r="E1030" t="inlineStr">
        <is>
          <t>RAGUNDA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51538-2022</t>
        </is>
      </c>
      <c r="B1031" s="1" t="n">
        <v>44869</v>
      </c>
      <c r="C1031" s="1" t="n">
        <v>46010</v>
      </c>
      <c r="D1031" t="inlineStr">
        <is>
          <t>JÄMTLANDS LÄN</t>
        </is>
      </c>
      <c r="E1031" t="inlineStr">
        <is>
          <t>RAGUNDA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19854-2025</t>
        </is>
      </c>
      <c r="B1032" s="1" t="n">
        <v>45771.51074074074</v>
      </c>
      <c r="C1032" s="1" t="n">
        <v>46010</v>
      </c>
      <c r="D1032" t="inlineStr">
        <is>
          <t>JÄMTLANDS LÄN</t>
        </is>
      </c>
      <c r="E1032" t="inlineStr">
        <is>
          <t>RAGUNDA</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50503-2024</t>
        </is>
      </c>
      <c r="B1033" s="1" t="n">
        <v>45601.5315625</v>
      </c>
      <c r="C1033" s="1" t="n">
        <v>46010</v>
      </c>
      <c r="D1033" t="inlineStr">
        <is>
          <t>JÄMTLANDS LÄN</t>
        </is>
      </c>
      <c r="E1033" t="inlineStr">
        <is>
          <t>RAGUNDA</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10610-2024</t>
        </is>
      </c>
      <c r="B1034" s="1" t="n">
        <v>45367.04693287037</v>
      </c>
      <c r="C1034" s="1" t="n">
        <v>46010</v>
      </c>
      <c r="D1034" t="inlineStr">
        <is>
          <t>JÄMTLANDS LÄN</t>
        </is>
      </c>
      <c r="E1034" t="inlineStr">
        <is>
          <t>RAGUNDA</t>
        </is>
      </c>
      <c r="F1034" t="inlineStr">
        <is>
          <t>SCA</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10706-2023</t>
        </is>
      </c>
      <c r="B1035" s="1" t="n">
        <v>44984</v>
      </c>
      <c r="C1035" s="1" t="n">
        <v>46010</v>
      </c>
      <c r="D1035" t="inlineStr">
        <is>
          <t>JÄMTLANDS LÄN</t>
        </is>
      </c>
      <c r="E1035" t="inlineStr">
        <is>
          <t>RAGUNDA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63708-2023</t>
        </is>
      </c>
      <c r="B1036" s="1" t="n">
        <v>45275.95060185185</v>
      </c>
      <c r="C1036" s="1" t="n">
        <v>46010</v>
      </c>
      <c r="D1036" t="inlineStr">
        <is>
          <t>JÄMTLANDS LÄN</t>
        </is>
      </c>
      <c r="E1036" t="inlineStr">
        <is>
          <t>RAGUNDA</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16250-2022</t>
        </is>
      </c>
      <c r="B1037" s="1" t="n">
        <v>44670</v>
      </c>
      <c r="C1037" s="1" t="n">
        <v>46010</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60663-2022</t>
        </is>
      </c>
      <c r="B1038" s="1" t="n">
        <v>44911.93846064815</v>
      </c>
      <c r="C1038" s="1" t="n">
        <v>46010</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58847-2024</t>
        </is>
      </c>
      <c r="B1039" s="1" t="n">
        <v>45636.3864699074</v>
      </c>
      <c r="C1039" s="1" t="n">
        <v>46010</v>
      </c>
      <c r="D1039" t="inlineStr">
        <is>
          <t>JÄMTLANDS LÄN</t>
        </is>
      </c>
      <c r="E1039" t="inlineStr">
        <is>
          <t>RAGUNDA</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27777-2022</t>
        </is>
      </c>
      <c r="B1040" s="1" t="n">
        <v>44743</v>
      </c>
      <c r="C1040" s="1" t="n">
        <v>46010</v>
      </c>
      <c r="D1040" t="inlineStr">
        <is>
          <t>JÄMTLANDS LÄN</t>
        </is>
      </c>
      <c r="E1040" t="inlineStr">
        <is>
          <t>RAGUNDA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42875-2024</t>
        </is>
      </c>
      <c r="B1041" s="1" t="n">
        <v>45566.68125</v>
      </c>
      <c r="C1041" s="1" t="n">
        <v>46010</v>
      </c>
      <c r="D1041" t="inlineStr">
        <is>
          <t>JÄMTLANDS LÄN</t>
        </is>
      </c>
      <c r="E1041" t="inlineStr">
        <is>
          <t>RAGUNDA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53935-2022</t>
        </is>
      </c>
      <c r="B1042" s="1" t="n">
        <v>44880</v>
      </c>
      <c r="C1042" s="1" t="n">
        <v>46010</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41262-2021</t>
        </is>
      </c>
      <c r="B1043" s="1" t="n">
        <v>44424</v>
      </c>
      <c r="C1043" s="1" t="n">
        <v>46010</v>
      </c>
      <c r="D1043" t="inlineStr">
        <is>
          <t>JÄMTLANDS LÄN</t>
        </is>
      </c>
      <c r="E1043" t="inlineStr">
        <is>
          <t>RAGUNDA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20221-2025</t>
        </is>
      </c>
      <c r="B1044" s="1" t="n">
        <v>45772.6565625</v>
      </c>
      <c r="C1044" s="1" t="n">
        <v>46010</v>
      </c>
      <c r="D1044" t="inlineStr">
        <is>
          <t>JÄMTLANDS LÄN</t>
        </is>
      </c>
      <c r="E1044" t="inlineStr">
        <is>
          <t>RAGUNDA</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4015-2022</t>
        </is>
      </c>
      <c r="B1045" s="1" t="n">
        <v>44587.92149305555</v>
      </c>
      <c r="C1045" s="1" t="n">
        <v>46010</v>
      </c>
      <c r="D1045" t="inlineStr">
        <is>
          <t>JÄMTLANDS LÄN</t>
        </is>
      </c>
      <c r="E1045" t="inlineStr">
        <is>
          <t>RAGUNDA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8416-2023</t>
        </is>
      </c>
      <c r="B1046" s="1" t="n">
        <v>44977.44373842593</v>
      </c>
      <c r="C1046" s="1" t="n">
        <v>46010</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45253-2023</t>
        </is>
      </c>
      <c r="B1047" s="1" t="n">
        <v>45187</v>
      </c>
      <c r="C1047" s="1" t="n">
        <v>46010</v>
      </c>
      <c r="D1047" t="inlineStr">
        <is>
          <t>JÄMTLANDS LÄN</t>
        </is>
      </c>
      <c r="E1047" t="inlineStr">
        <is>
          <t>RAGUNDA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14369-2024</t>
        </is>
      </c>
      <c r="B1048" s="1" t="n">
        <v>45393.94459490741</v>
      </c>
      <c r="C1048" s="1" t="n">
        <v>46010</v>
      </c>
      <c r="D1048" t="inlineStr">
        <is>
          <t>JÄMTLANDS LÄN</t>
        </is>
      </c>
      <c r="E1048" t="inlineStr">
        <is>
          <t>RAGUNDA</t>
        </is>
      </c>
      <c r="F1048" t="inlineStr">
        <is>
          <t>Naturvårdsverket</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182-2023</t>
        </is>
      </c>
      <c r="B1049" s="1" t="n">
        <v>44922</v>
      </c>
      <c r="C1049" s="1" t="n">
        <v>46010</v>
      </c>
      <c r="D1049" t="inlineStr">
        <is>
          <t>JÄMTLANDS LÄN</t>
        </is>
      </c>
      <c r="E1049" t="inlineStr">
        <is>
          <t>RAGUNDA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6490-2022</t>
        </is>
      </c>
      <c r="B1050" s="1" t="n">
        <v>44601</v>
      </c>
      <c r="C1050" s="1" t="n">
        <v>46010</v>
      </c>
      <c r="D1050" t="inlineStr">
        <is>
          <t>JÄMTLANDS LÄN</t>
        </is>
      </c>
      <c r="E1050" t="inlineStr">
        <is>
          <t>RAGUNDA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6802-2021</t>
        </is>
      </c>
      <c r="B1051" s="1" t="n">
        <v>44236</v>
      </c>
      <c r="C1051" s="1" t="n">
        <v>46010</v>
      </c>
      <c r="D1051" t="inlineStr">
        <is>
          <t>JÄMTLANDS LÄN</t>
        </is>
      </c>
      <c r="E1051" t="inlineStr">
        <is>
          <t>RAGUNDA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6477-2024</t>
        </is>
      </c>
      <c r="B1052" s="1" t="n">
        <v>45338.95405092592</v>
      </c>
      <c r="C1052" s="1" t="n">
        <v>46010</v>
      </c>
      <c r="D1052" t="inlineStr">
        <is>
          <t>JÄMTLANDS LÄN</t>
        </is>
      </c>
      <c r="E1052" t="inlineStr">
        <is>
          <t>RAGUNDA</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18193-2022</t>
        </is>
      </c>
      <c r="B1053" s="1" t="n">
        <v>44684.94032407407</v>
      </c>
      <c r="C1053" s="1" t="n">
        <v>46010</v>
      </c>
      <c r="D1053" t="inlineStr">
        <is>
          <t>JÄMTLANDS LÄN</t>
        </is>
      </c>
      <c r="E1053" t="inlineStr">
        <is>
          <t>RAGUNDA</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11551-2024</t>
        </is>
      </c>
      <c r="B1054" s="1" t="n">
        <v>45372.95762731481</v>
      </c>
      <c r="C1054" s="1" t="n">
        <v>46010</v>
      </c>
      <c r="D1054" t="inlineStr">
        <is>
          <t>JÄMTLANDS LÄN</t>
        </is>
      </c>
      <c r="E1054" t="inlineStr">
        <is>
          <t>RAGUNDA</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49647-2024</t>
        </is>
      </c>
      <c r="B1055" s="1" t="n">
        <v>45596.61533564814</v>
      </c>
      <c r="C1055" s="1" t="n">
        <v>46010</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53264-2024</t>
        </is>
      </c>
      <c r="B1056" s="1" t="n">
        <v>45614.34545138889</v>
      </c>
      <c r="C1056" s="1" t="n">
        <v>46010</v>
      </c>
      <c r="D1056" t="inlineStr">
        <is>
          <t>JÄMTLANDS LÄN</t>
        </is>
      </c>
      <c r="E1056" t="inlineStr">
        <is>
          <t>RAGUNDA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13389-2025</t>
        </is>
      </c>
      <c r="B1057" s="1" t="n">
        <v>45735.69842592593</v>
      </c>
      <c r="C1057" s="1" t="n">
        <v>46010</v>
      </c>
      <c r="D1057" t="inlineStr">
        <is>
          <t>JÄMTLANDS LÄN</t>
        </is>
      </c>
      <c r="E1057" t="inlineStr">
        <is>
          <t>RAGUNDA</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45631-2024</t>
        </is>
      </c>
      <c r="B1058" s="1" t="n">
        <v>45579.47052083333</v>
      </c>
      <c r="C1058" s="1" t="n">
        <v>46010</v>
      </c>
      <c r="D1058" t="inlineStr">
        <is>
          <t>JÄMTLANDS LÄN</t>
        </is>
      </c>
      <c r="E1058" t="inlineStr">
        <is>
          <t>RAGUNDA</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55701-2021</t>
        </is>
      </c>
      <c r="B1059" s="1" t="n">
        <v>44475</v>
      </c>
      <c r="C1059" s="1" t="n">
        <v>46010</v>
      </c>
      <c r="D1059" t="inlineStr">
        <is>
          <t>JÄMTLANDS LÄN</t>
        </is>
      </c>
      <c r="E1059" t="inlineStr">
        <is>
          <t>RAGUNDA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30484-2024</t>
        </is>
      </c>
      <c r="B1060" s="1" t="n">
        <v>45491</v>
      </c>
      <c r="C1060" s="1" t="n">
        <v>46010</v>
      </c>
      <c r="D1060" t="inlineStr">
        <is>
          <t>JÄMTLANDS LÄN</t>
        </is>
      </c>
      <c r="E1060" t="inlineStr">
        <is>
          <t>RAGUNDA</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14513-2025</t>
        </is>
      </c>
      <c r="B1061" s="1" t="n">
        <v>45741.63675925926</v>
      </c>
      <c r="C1061" s="1" t="n">
        <v>46010</v>
      </c>
      <c r="D1061" t="inlineStr">
        <is>
          <t>JÄMTLANDS LÄN</t>
        </is>
      </c>
      <c r="E1061" t="inlineStr">
        <is>
          <t>RAGUNDA</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55904-2022</t>
        </is>
      </c>
      <c r="B1062" s="1" t="n">
        <v>44888</v>
      </c>
      <c r="C1062" s="1" t="n">
        <v>46010</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7281-2025</t>
        </is>
      </c>
      <c r="B1063" s="1" t="n">
        <v>45702.63572916666</v>
      </c>
      <c r="C1063" s="1" t="n">
        <v>46010</v>
      </c>
      <c r="D1063" t="inlineStr">
        <is>
          <t>JÄMTLANDS LÄN</t>
        </is>
      </c>
      <c r="E1063" t="inlineStr">
        <is>
          <t>RAGUNDA</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48192-2024</t>
        </is>
      </c>
      <c r="B1064" s="1" t="n">
        <v>45590</v>
      </c>
      <c r="C1064" s="1" t="n">
        <v>46010</v>
      </c>
      <c r="D1064" t="inlineStr">
        <is>
          <t>JÄMTLANDS LÄN</t>
        </is>
      </c>
      <c r="E1064" t="inlineStr">
        <is>
          <t>RAGUNDA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2599-2023</t>
        </is>
      </c>
      <c r="B1065" s="1" t="n">
        <v>44943.94802083333</v>
      </c>
      <c r="C1065" s="1" t="n">
        <v>46010</v>
      </c>
      <c r="D1065" t="inlineStr">
        <is>
          <t>JÄMTLANDS LÄN</t>
        </is>
      </c>
      <c r="E1065" t="inlineStr">
        <is>
          <t>RAGUNDA</t>
        </is>
      </c>
      <c r="F1065" t="inlineStr">
        <is>
          <t>SCA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48249-2024</t>
        </is>
      </c>
      <c r="B1066" s="1" t="n">
        <v>45590.40675925926</v>
      </c>
      <c r="C1066" s="1" t="n">
        <v>46010</v>
      </c>
      <c r="D1066" t="inlineStr">
        <is>
          <t>JÄMTLANDS LÄN</t>
        </is>
      </c>
      <c r="E1066" t="inlineStr">
        <is>
          <t>RAGUNDA</t>
        </is>
      </c>
      <c r="F1066" t="inlineStr">
        <is>
          <t>SCA</t>
        </is>
      </c>
      <c r="G1066" t="n">
        <v>14.4</v>
      </c>
      <c r="H1066" t="n">
        <v>0</v>
      </c>
      <c r="I1066" t="n">
        <v>0</v>
      </c>
      <c r="J1066" t="n">
        <v>0</v>
      </c>
      <c r="K1066" t="n">
        <v>0</v>
      </c>
      <c r="L1066" t="n">
        <v>0</v>
      </c>
      <c r="M1066" t="n">
        <v>0</v>
      </c>
      <c r="N1066" t="n">
        <v>0</v>
      </c>
      <c r="O1066" t="n">
        <v>0</v>
      </c>
      <c r="P1066" t="n">
        <v>0</v>
      </c>
      <c r="Q1066" t="n">
        <v>0</v>
      </c>
      <c r="R1066" s="2" t="inlineStr"/>
    </row>
    <row r="1067" ht="15" customHeight="1">
      <c r="A1067" t="inlineStr">
        <is>
          <t>A 64265-2023</t>
        </is>
      </c>
      <c r="B1067" s="1" t="n">
        <v>45279.94572916667</v>
      </c>
      <c r="C1067" s="1" t="n">
        <v>46010</v>
      </c>
      <c r="D1067" t="inlineStr">
        <is>
          <t>JÄMTLANDS LÄN</t>
        </is>
      </c>
      <c r="E1067" t="inlineStr">
        <is>
          <t>RAGUNDA</t>
        </is>
      </c>
      <c r="F1067" t="inlineStr">
        <is>
          <t>SCA</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66706-2021</t>
        </is>
      </c>
      <c r="B1068" s="1" t="n">
        <v>44519.94440972222</v>
      </c>
      <c r="C1068" s="1" t="n">
        <v>46010</v>
      </c>
      <c r="D1068" t="inlineStr">
        <is>
          <t>JÄMTLANDS LÄN</t>
        </is>
      </c>
      <c r="E1068" t="inlineStr">
        <is>
          <t>RAGUNDA</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55222-2024</t>
        </is>
      </c>
      <c r="B1069" s="1" t="n">
        <v>45621.57395833333</v>
      </c>
      <c r="C1069" s="1" t="n">
        <v>46010</v>
      </c>
      <c r="D1069" t="inlineStr">
        <is>
          <t>JÄMTLANDS LÄN</t>
        </is>
      </c>
      <c r="E1069" t="inlineStr">
        <is>
          <t>RAGUNDA</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46211-2024</t>
        </is>
      </c>
      <c r="B1070" s="1" t="n">
        <v>45581.55260416667</v>
      </c>
      <c r="C1070" s="1" t="n">
        <v>46010</v>
      </c>
      <c r="D1070" t="inlineStr">
        <is>
          <t>JÄMTLANDS LÄN</t>
        </is>
      </c>
      <c r="E1070" t="inlineStr">
        <is>
          <t>RAGUNDA</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31435-2022</t>
        </is>
      </c>
      <c r="B1071" s="1" t="n">
        <v>44774</v>
      </c>
      <c r="C1071" s="1" t="n">
        <v>46010</v>
      </c>
      <c r="D1071" t="inlineStr">
        <is>
          <t>JÄMTLANDS LÄN</t>
        </is>
      </c>
      <c r="E1071" t="inlineStr">
        <is>
          <t>RAGUNDA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39608-2024</t>
        </is>
      </c>
      <c r="B1072" s="1" t="n">
        <v>45552.39113425926</v>
      </c>
      <c r="C1072" s="1" t="n">
        <v>46010</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39626-2024</t>
        </is>
      </c>
      <c r="B1073" s="1" t="n">
        <v>45552.44096064815</v>
      </c>
      <c r="C1073" s="1" t="n">
        <v>46010</v>
      </c>
      <c r="D1073" t="inlineStr">
        <is>
          <t>JÄMTLANDS LÄN</t>
        </is>
      </c>
      <c r="E1073" t="inlineStr">
        <is>
          <t>RAGUNDA</t>
        </is>
      </c>
      <c r="G1073" t="n">
        <v>23.5</v>
      </c>
      <c r="H1073" t="n">
        <v>0</v>
      </c>
      <c r="I1073" t="n">
        <v>0</v>
      </c>
      <c r="J1073" t="n">
        <v>0</v>
      </c>
      <c r="K1073" t="n">
        <v>0</v>
      </c>
      <c r="L1073" t="n">
        <v>0</v>
      </c>
      <c r="M1073" t="n">
        <v>0</v>
      </c>
      <c r="N1073" t="n">
        <v>0</v>
      </c>
      <c r="O1073" t="n">
        <v>0</v>
      </c>
      <c r="P1073" t="n">
        <v>0</v>
      </c>
      <c r="Q1073" t="n">
        <v>0</v>
      </c>
      <c r="R1073" s="2" t="inlineStr"/>
    </row>
    <row r="1074" ht="15" customHeight="1">
      <c r="A1074" t="inlineStr">
        <is>
          <t>A 56984-2022</t>
        </is>
      </c>
      <c r="B1074" s="1" t="n">
        <v>44894.79018518519</v>
      </c>
      <c r="C1074" s="1" t="n">
        <v>46010</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13264-2025</t>
        </is>
      </c>
      <c r="B1075" s="1" t="n">
        <v>45735</v>
      </c>
      <c r="C1075" s="1" t="n">
        <v>46010</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5307-2025</t>
        </is>
      </c>
      <c r="B1076" s="1" t="n">
        <v>45692.48993055556</v>
      </c>
      <c r="C1076" s="1" t="n">
        <v>46010</v>
      </c>
      <c r="D1076" t="inlineStr">
        <is>
          <t>JÄMTLANDS LÄN</t>
        </is>
      </c>
      <c r="E1076" t="inlineStr">
        <is>
          <t>RAGUNDA</t>
        </is>
      </c>
      <c r="F1076" t="inlineStr">
        <is>
          <t>SCA</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38548-2024</t>
        </is>
      </c>
      <c r="B1077" s="1" t="n">
        <v>45546</v>
      </c>
      <c r="C1077" s="1" t="n">
        <v>46010</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2411-2023</t>
        </is>
      </c>
      <c r="B1078" s="1" t="n">
        <v>44942</v>
      </c>
      <c r="C1078" s="1" t="n">
        <v>46010</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13935-2024</t>
        </is>
      </c>
      <c r="B1079" s="1" t="n">
        <v>45391.95329861111</v>
      </c>
      <c r="C1079" s="1" t="n">
        <v>46010</v>
      </c>
      <c r="D1079" t="inlineStr">
        <is>
          <t>JÄMTLANDS LÄN</t>
        </is>
      </c>
      <c r="E1079" t="inlineStr">
        <is>
          <t>RAGUNDA</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5308-2025</t>
        </is>
      </c>
      <c r="B1080" s="1" t="n">
        <v>45692.49008101852</v>
      </c>
      <c r="C1080" s="1" t="n">
        <v>46010</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58194-2022</t>
        </is>
      </c>
      <c r="B1081" s="1" t="n">
        <v>44900</v>
      </c>
      <c r="C1081" s="1" t="n">
        <v>46010</v>
      </c>
      <c r="D1081" t="inlineStr">
        <is>
          <t>JÄMTLANDS LÄN</t>
        </is>
      </c>
      <c r="E1081" t="inlineStr">
        <is>
          <t>RAGUNDA</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24171-2021</t>
        </is>
      </c>
      <c r="B1082" s="1" t="n">
        <v>44336</v>
      </c>
      <c r="C1082" s="1" t="n">
        <v>46010</v>
      </c>
      <c r="D1082" t="inlineStr">
        <is>
          <t>JÄMTLANDS LÄN</t>
        </is>
      </c>
      <c r="E1082" t="inlineStr">
        <is>
          <t>RAGUNDA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58843-2024</t>
        </is>
      </c>
      <c r="B1083" s="1" t="n">
        <v>45636.38599537037</v>
      </c>
      <c r="C1083" s="1" t="n">
        <v>46010</v>
      </c>
      <c r="D1083" t="inlineStr">
        <is>
          <t>JÄMTLANDS LÄN</t>
        </is>
      </c>
      <c r="E1083" t="inlineStr">
        <is>
          <t>RAGUNDA</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53287-2022</t>
        </is>
      </c>
      <c r="B1084" s="1" t="n">
        <v>44876</v>
      </c>
      <c r="C1084" s="1" t="n">
        <v>46010</v>
      </c>
      <c r="D1084" t="inlineStr">
        <is>
          <t>JÄMTLANDS LÄN</t>
        </is>
      </c>
      <c r="E1084" t="inlineStr">
        <is>
          <t>RAGUNDA</t>
        </is>
      </c>
      <c r="F1084" t="inlineStr">
        <is>
          <t>SCA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16320-2025</t>
        </is>
      </c>
      <c r="B1085" s="1" t="n">
        <v>45751.34859953704</v>
      </c>
      <c r="C1085" s="1" t="n">
        <v>46010</v>
      </c>
      <c r="D1085" t="inlineStr">
        <is>
          <t>JÄMTLANDS LÄN</t>
        </is>
      </c>
      <c r="E1085" t="inlineStr">
        <is>
          <t>RAGUNDA</t>
        </is>
      </c>
      <c r="F1085" t="inlineStr">
        <is>
          <t>SCA</t>
        </is>
      </c>
      <c r="G1085" t="n">
        <v>16.2</v>
      </c>
      <c r="H1085" t="n">
        <v>0</v>
      </c>
      <c r="I1085" t="n">
        <v>0</v>
      </c>
      <c r="J1085" t="n">
        <v>0</v>
      </c>
      <c r="K1085" t="n">
        <v>0</v>
      </c>
      <c r="L1085" t="n">
        <v>0</v>
      </c>
      <c r="M1085" t="n">
        <v>0</v>
      </c>
      <c r="N1085" t="n">
        <v>0</v>
      </c>
      <c r="O1085" t="n">
        <v>0</v>
      </c>
      <c r="P1085" t="n">
        <v>0</v>
      </c>
      <c r="Q1085" t="n">
        <v>0</v>
      </c>
      <c r="R1085" s="2" t="inlineStr"/>
    </row>
    <row r="1086" ht="15" customHeight="1">
      <c r="A1086" t="inlineStr">
        <is>
          <t>A 16321-2025</t>
        </is>
      </c>
      <c r="B1086" s="1" t="n">
        <v>45751.34873842593</v>
      </c>
      <c r="C1086" s="1" t="n">
        <v>46010</v>
      </c>
      <c r="D1086" t="inlineStr">
        <is>
          <t>JÄMTLANDS LÄN</t>
        </is>
      </c>
      <c r="E1086" t="inlineStr">
        <is>
          <t>RAGUNDA</t>
        </is>
      </c>
      <c r="F1086" t="inlineStr">
        <is>
          <t>SCA</t>
        </is>
      </c>
      <c r="G1086" t="n">
        <v>63.3</v>
      </c>
      <c r="H1086" t="n">
        <v>0</v>
      </c>
      <c r="I1086" t="n">
        <v>0</v>
      </c>
      <c r="J1086" t="n">
        <v>0</v>
      </c>
      <c r="K1086" t="n">
        <v>0</v>
      </c>
      <c r="L1086" t="n">
        <v>0</v>
      </c>
      <c r="M1086" t="n">
        <v>0</v>
      </c>
      <c r="N1086" t="n">
        <v>0</v>
      </c>
      <c r="O1086" t="n">
        <v>0</v>
      </c>
      <c r="P1086" t="n">
        <v>0</v>
      </c>
      <c r="Q1086" t="n">
        <v>0</v>
      </c>
      <c r="R1086" s="2" t="inlineStr"/>
    </row>
    <row r="1087" ht="15" customHeight="1">
      <c r="A1087" t="inlineStr">
        <is>
          <t>A 14696-2022</t>
        </is>
      </c>
      <c r="B1087" s="1" t="n">
        <v>44655</v>
      </c>
      <c r="C1087" s="1" t="n">
        <v>46010</v>
      </c>
      <c r="D1087" t="inlineStr">
        <is>
          <t>JÄMTLANDS LÄN</t>
        </is>
      </c>
      <c r="E1087" t="inlineStr">
        <is>
          <t>RAGUNDA</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55514-2024</t>
        </is>
      </c>
      <c r="B1088" s="1" t="n">
        <v>45622.46910879629</v>
      </c>
      <c r="C1088" s="1" t="n">
        <v>46010</v>
      </c>
      <c r="D1088" t="inlineStr">
        <is>
          <t>JÄMTLANDS LÄN</t>
        </is>
      </c>
      <c r="E1088" t="inlineStr">
        <is>
          <t>RAGUNDA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18375-2022</t>
        </is>
      </c>
      <c r="B1089" s="1" t="n">
        <v>44685</v>
      </c>
      <c r="C1089" s="1" t="n">
        <v>46010</v>
      </c>
      <c r="D1089" t="inlineStr">
        <is>
          <t>JÄMTLANDS LÄN</t>
        </is>
      </c>
      <c r="E1089" t="inlineStr">
        <is>
          <t>RAGUNDA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17248-2023</t>
        </is>
      </c>
      <c r="B1090" s="1" t="n">
        <v>45033</v>
      </c>
      <c r="C1090" s="1" t="n">
        <v>46010</v>
      </c>
      <c r="D1090" t="inlineStr">
        <is>
          <t>JÄMTLANDS LÄN</t>
        </is>
      </c>
      <c r="E1090" t="inlineStr">
        <is>
          <t>RAGUNDA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62011-2022</t>
        </is>
      </c>
      <c r="B1091" s="1" t="n">
        <v>44914</v>
      </c>
      <c r="C1091" s="1" t="n">
        <v>46010</v>
      </c>
      <c r="D1091" t="inlineStr">
        <is>
          <t>JÄMTLANDS LÄN</t>
        </is>
      </c>
      <c r="E1091" t="inlineStr">
        <is>
          <t>RAGUNDA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11557-2023</t>
        </is>
      </c>
      <c r="B1092" s="1" t="n">
        <v>44993.94950231481</v>
      </c>
      <c r="C1092" s="1" t="n">
        <v>46010</v>
      </c>
      <c r="D1092" t="inlineStr">
        <is>
          <t>JÄMTLANDS LÄN</t>
        </is>
      </c>
      <c r="E1092" t="inlineStr">
        <is>
          <t>RAGUNDA</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11562-2023</t>
        </is>
      </c>
      <c r="B1093" s="1" t="n">
        <v>44993</v>
      </c>
      <c r="C1093" s="1" t="n">
        <v>46010</v>
      </c>
      <c r="D1093" t="inlineStr">
        <is>
          <t>JÄMTLANDS LÄN</t>
        </is>
      </c>
      <c r="E1093" t="inlineStr">
        <is>
          <t>RAGUNDA</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22131-2021</t>
        </is>
      </c>
      <c r="B1094" s="1" t="n">
        <v>44323</v>
      </c>
      <c r="C1094" s="1" t="n">
        <v>46010</v>
      </c>
      <c r="D1094" t="inlineStr">
        <is>
          <t>JÄMTLANDS LÄN</t>
        </is>
      </c>
      <c r="E1094" t="inlineStr">
        <is>
          <t>RAGUNDA</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5971-2025</t>
        </is>
      </c>
      <c r="B1095" s="1" t="n">
        <v>45695.51070601852</v>
      </c>
      <c r="C1095" s="1" t="n">
        <v>46010</v>
      </c>
      <c r="D1095" t="inlineStr">
        <is>
          <t>JÄMTLANDS LÄN</t>
        </is>
      </c>
      <c r="E1095" t="inlineStr">
        <is>
          <t>RAGUNDA</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30563-2023</t>
        </is>
      </c>
      <c r="B1096" s="1" t="n">
        <v>45111.92793981481</v>
      </c>
      <c r="C1096" s="1" t="n">
        <v>46010</v>
      </c>
      <c r="D1096" t="inlineStr">
        <is>
          <t>JÄMTLANDS LÄN</t>
        </is>
      </c>
      <c r="E1096" t="inlineStr">
        <is>
          <t>RAGUNDA</t>
        </is>
      </c>
      <c r="F1096" t="inlineStr">
        <is>
          <t>Övriga Aktiebolag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36212-2023</t>
        </is>
      </c>
      <c r="B1097" s="1" t="n">
        <v>45149.95241898148</v>
      </c>
      <c r="C1097" s="1" t="n">
        <v>46010</v>
      </c>
      <c r="D1097" t="inlineStr">
        <is>
          <t>JÄMTLANDS LÄN</t>
        </is>
      </c>
      <c r="E1097" t="inlineStr">
        <is>
          <t>RAGUNDA</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12768-2022</t>
        </is>
      </c>
      <c r="B1098" s="1" t="n">
        <v>44641</v>
      </c>
      <c r="C1098" s="1" t="n">
        <v>46010</v>
      </c>
      <c r="D1098" t="inlineStr">
        <is>
          <t>JÄMTLANDS LÄN</t>
        </is>
      </c>
      <c r="E1098" t="inlineStr">
        <is>
          <t>RAGUNDA</t>
        </is>
      </c>
      <c r="F1098" t="inlineStr">
        <is>
          <t>SCA</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12773-2022</t>
        </is>
      </c>
      <c r="B1099" s="1" t="n">
        <v>44641</v>
      </c>
      <c r="C1099" s="1" t="n">
        <v>46010</v>
      </c>
      <c r="D1099" t="inlineStr">
        <is>
          <t>JÄMTLANDS LÄN</t>
        </is>
      </c>
      <c r="E1099" t="inlineStr">
        <is>
          <t>RAGUNDA</t>
        </is>
      </c>
      <c r="F1099" t="inlineStr">
        <is>
          <t>SCA</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5067-2024</t>
        </is>
      </c>
      <c r="B1100" s="1" t="n">
        <v>45329.95806712963</v>
      </c>
      <c r="C1100" s="1" t="n">
        <v>46010</v>
      </c>
      <c r="D1100" t="inlineStr">
        <is>
          <t>JÄMTLANDS LÄN</t>
        </is>
      </c>
      <c r="E1100" t="inlineStr">
        <is>
          <t>RAGUNDA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14905-2022</t>
        </is>
      </c>
      <c r="B1101" s="1" t="n">
        <v>44656.94708333333</v>
      </c>
      <c r="C1101" s="1" t="n">
        <v>46010</v>
      </c>
      <c r="D1101" t="inlineStr">
        <is>
          <t>JÄMTLANDS LÄN</t>
        </is>
      </c>
      <c r="E1101" t="inlineStr">
        <is>
          <t>RAGUNDA</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29766-2023</t>
        </is>
      </c>
      <c r="B1102" s="1" t="n">
        <v>45098</v>
      </c>
      <c r="C1102" s="1" t="n">
        <v>46010</v>
      </c>
      <c r="D1102" t="inlineStr">
        <is>
          <t>JÄMTLANDS LÄN</t>
        </is>
      </c>
      <c r="E1102" t="inlineStr">
        <is>
          <t>RAGUNDA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61107-2024</t>
        </is>
      </c>
      <c r="B1103" s="1" t="n">
        <v>45645.55665509259</v>
      </c>
      <c r="C1103" s="1" t="n">
        <v>46010</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23287-2024</t>
        </is>
      </c>
      <c r="B1104" s="1" t="n">
        <v>45453.42041666667</v>
      </c>
      <c r="C1104" s="1" t="n">
        <v>46010</v>
      </c>
      <c r="D1104" t="inlineStr">
        <is>
          <t>JÄMTLANDS LÄN</t>
        </is>
      </c>
      <c r="E1104" t="inlineStr">
        <is>
          <t>RAGUNDA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36922-2022</t>
        </is>
      </c>
      <c r="B1105" s="1" t="n">
        <v>44805.94592592592</v>
      </c>
      <c r="C1105" s="1" t="n">
        <v>46010</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26347-2023</t>
        </is>
      </c>
      <c r="B1106" s="1" t="n">
        <v>45091</v>
      </c>
      <c r="C1106" s="1" t="n">
        <v>46010</v>
      </c>
      <c r="D1106" t="inlineStr">
        <is>
          <t>JÄMTLANDS LÄN</t>
        </is>
      </c>
      <c r="E1106" t="inlineStr">
        <is>
          <t>RAGUNDA</t>
        </is>
      </c>
      <c r="F1106" t="inlineStr">
        <is>
          <t>SCA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34483-2023</t>
        </is>
      </c>
      <c r="B1107" s="1" t="n">
        <v>45139.94681712963</v>
      </c>
      <c r="C1107" s="1" t="n">
        <v>46010</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22948-2024</t>
        </is>
      </c>
      <c r="B1108" s="1" t="n">
        <v>45448.94600694445</v>
      </c>
      <c r="C1108" s="1" t="n">
        <v>46010</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45075.945</v>
      </c>
      <c r="C1109" s="1" t="n">
        <v>46010</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36226-2023</t>
        </is>
      </c>
      <c r="B1110" s="1" t="n">
        <v>45149.95372685185</v>
      </c>
      <c r="C1110" s="1" t="n">
        <v>46010</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18615-2024</t>
        </is>
      </c>
      <c r="B1111" s="1" t="n">
        <v>45425.96275462963</v>
      </c>
      <c r="C1111" s="1" t="n">
        <v>46010</v>
      </c>
      <c r="D1111" t="inlineStr">
        <is>
          <t>JÄMTLANDS LÄN</t>
        </is>
      </c>
      <c r="E1111" t="inlineStr">
        <is>
          <t>RAGUNDA</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40269-2022</t>
        </is>
      </c>
      <c r="B1112" s="1" t="n">
        <v>44820</v>
      </c>
      <c r="C1112" s="1" t="n">
        <v>46010</v>
      </c>
      <c r="D1112" t="inlineStr">
        <is>
          <t>JÄMTLANDS LÄN</t>
        </is>
      </c>
      <c r="E1112" t="inlineStr">
        <is>
          <t>RAGUNDA</t>
        </is>
      </c>
      <c r="F1112" t="inlineStr">
        <is>
          <t>SCA</t>
        </is>
      </c>
      <c r="G1112" t="n">
        <v>77.8</v>
      </c>
      <c r="H1112" t="n">
        <v>0</v>
      </c>
      <c r="I1112" t="n">
        <v>0</v>
      </c>
      <c r="J1112" t="n">
        <v>0</v>
      </c>
      <c r="K1112" t="n">
        <v>0</v>
      </c>
      <c r="L1112" t="n">
        <v>0</v>
      </c>
      <c r="M1112" t="n">
        <v>0</v>
      </c>
      <c r="N1112" t="n">
        <v>0</v>
      </c>
      <c r="O1112" t="n">
        <v>0</v>
      </c>
      <c r="P1112" t="n">
        <v>0</v>
      </c>
      <c r="Q1112" t="n">
        <v>0</v>
      </c>
      <c r="R1112" s="2" t="inlineStr"/>
    </row>
    <row r="1113" ht="15" customHeight="1">
      <c r="A1113" t="inlineStr">
        <is>
          <t>A 37242-2024</t>
        </is>
      </c>
      <c r="B1113" s="1" t="n">
        <v>45540.34428240741</v>
      </c>
      <c r="C1113" s="1" t="n">
        <v>46010</v>
      </c>
      <c r="D1113" t="inlineStr">
        <is>
          <t>JÄMTLANDS LÄN</t>
        </is>
      </c>
      <c r="E1113" t="inlineStr">
        <is>
          <t>RAGUNDA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45438-2022</t>
        </is>
      </c>
      <c r="B1114" s="1" t="n">
        <v>44844.95368055555</v>
      </c>
      <c r="C1114" s="1" t="n">
        <v>46010</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56191-2022</t>
        </is>
      </c>
      <c r="B1115" s="1" t="n">
        <v>44889.95015046297</v>
      </c>
      <c r="C1115" s="1" t="n">
        <v>46010</v>
      </c>
      <c r="D1115" t="inlineStr">
        <is>
          <t>JÄMTLANDS LÄN</t>
        </is>
      </c>
      <c r="E1115" t="inlineStr">
        <is>
          <t>RAGUNDA</t>
        </is>
      </c>
      <c r="F1115" t="inlineStr">
        <is>
          <t>Sveaskog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30823-2023</t>
        </is>
      </c>
      <c r="B1116" s="1" t="n">
        <v>45112</v>
      </c>
      <c r="C1116" s="1" t="n">
        <v>46010</v>
      </c>
      <c r="D1116" t="inlineStr">
        <is>
          <t>JÄMTLANDS LÄN</t>
        </is>
      </c>
      <c r="E1116" t="inlineStr">
        <is>
          <t>RAGUNDA</t>
        </is>
      </c>
      <c r="F1116" t="inlineStr">
        <is>
          <t>SCA</t>
        </is>
      </c>
      <c r="G1116" t="n">
        <v>9</v>
      </c>
      <c r="H1116" t="n">
        <v>0</v>
      </c>
      <c r="I1116" t="n">
        <v>0</v>
      </c>
      <c r="J1116" t="n">
        <v>0</v>
      </c>
      <c r="K1116" t="n">
        <v>0</v>
      </c>
      <c r="L1116" t="n">
        <v>0</v>
      </c>
      <c r="M1116" t="n">
        <v>0</v>
      </c>
      <c r="N1116" t="n">
        <v>0</v>
      </c>
      <c r="O1116" t="n">
        <v>0</v>
      </c>
      <c r="P1116" t="n">
        <v>0</v>
      </c>
      <c r="Q1116" t="n">
        <v>0</v>
      </c>
      <c r="R1116" s="2" t="inlineStr"/>
    </row>
    <row r="1117" ht="15" customHeight="1">
      <c r="A1117" t="inlineStr">
        <is>
          <t>A 43339-2024</t>
        </is>
      </c>
      <c r="B1117" s="1" t="n">
        <v>45568.51075231482</v>
      </c>
      <c r="C1117" s="1" t="n">
        <v>46010</v>
      </c>
      <c r="D1117" t="inlineStr">
        <is>
          <t>JÄMTLANDS LÄN</t>
        </is>
      </c>
      <c r="E1117" t="inlineStr">
        <is>
          <t>RAGUNDA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43102-2023</t>
        </is>
      </c>
      <c r="B1118" s="1" t="n">
        <v>45182</v>
      </c>
      <c r="C1118" s="1" t="n">
        <v>46010</v>
      </c>
      <c r="D1118" t="inlineStr">
        <is>
          <t>JÄMTLANDS LÄN</t>
        </is>
      </c>
      <c r="E1118" t="inlineStr">
        <is>
          <t>RAGUNDA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9823-2025</t>
        </is>
      </c>
      <c r="B1119" s="1" t="n">
        <v>45716</v>
      </c>
      <c r="C1119" s="1" t="n">
        <v>46010</v>
      </c>
      <c r="D1119" t="inlineStr">
        <is>
          <t>JÄMTLANDS LÄN</t>
        </is>
      </c>
      <c r="E1119" t="inlineStr">
        <is>
          <t>RAGUNDA</t>
        </is>
      </c>
      <c r="F1119" t="inlineStr">
        <is>
          <t>SCA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13917-2023</t>
        </is>
      </c>
      <c r="B1120" s="1" t="n">
        <v>45007</v>
      </c>
      <c r="C1120" s="1" t="n">
        <v>46010</v>
      </c>
      <c r="D1120" t="inlineStr">
        <is>
          <t>JÄMTLANDS LÄN</t>
        </is>
      </c>
      <c r="E1120" t="inlineStr">
        <is>
          <t>RAGUNDA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53019-2023</t>
        </is>
      </c>
      <c r="B1121" s="1" t="n">
        <v>45222</v>
      </c>
      <c r="C1121" s="1" t="n">
        <v>46010</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14212-2023</t>
        </is>
      </c>
      <c r="B1122" s="1" t="n">
        <v>45009</v>
      </c>
      <c r="C1122" s="1" t="n">
        <v>46010</v>
      </c>
      <c r="D1122" t="inlineStr">
        <is>
          <t>JÄMTLANDS LÄN</t>
        </is>
      </c>
      <c r="E1122" t="inlineStr">
        <is>
          <t>RAGUNDA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59996-2023</t>
        </is>
      </c>
      <c r="B1123" s="1" t="n">
        <v>45257.92826388889</v>
      </c>
      <c r="C1123" s="1" t="n">
        <v>46010</v>
      </c>
      <c r="D1123" t="inlineStr">
        <is>
          <t>JÄMTLANDS LÄN</t>
        </is>
      </c>
      <c r="E1123" t="inlineStr">
        <is>
          <t>RAGUNDA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44980-2023</t>
        </is>
      </c>
      <c r="B1124" s="1" t="n">
        <v>45190</v>
      </c>
      <c r="C1124" s="1" t="n">
        <v>46010</v>
      </c>
      <c r="D1124" t="inlineStr">
        <is>
          <t>JÄMTLANDS LÄN</t>
        </is>
      </c>
      <c r="E1124" t="inlineStr">
        <is>
          <t>RAGUNDA</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14076-2023</t>
        </is>
      </c>
      <c r="B1125" s="1" t="n">
        <v>45009.0897337963</v>
      </c>
      <c r="C1125" s="1" t="n">
        <v>46010</v>
      </c>
      <c r="D1125" t="inlineStr">
        <is>
          <t>JÄMTLANDS LÄN</t>
        </is>
      </c>
      <c r="E1125" t="inlineStr">
        <is>
          <t>RAGUNDA</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12805-2025</t>
        </is>
      </c>
      <c r="B1126" s="1" t="n">
        <v>45733.61497685185</v>
      </c>
      <c r="C1126" s="1" t="n">
        <v>46010</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12808-2025</t>
        </is>
      </c>
      <c r="B1127" s="1" t="n">
        <v>45733.61554398148</v>
      </c>
      <c r="C1127" s="1" t="n">
        <v>46010</v>
      </c>
      <c r="D1127" t="inlineStr">
        <is>
          <t>JÄMTLANDS LÄN</t>
        </is>
      </c>
      <c r="E1127" t="inlineStr">
        <is>
          <t>RAGUNDA</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4615-2023</t>
        </is>
      </c>
      <c r="B1128" s="1" t="n">
        <v>44956.93924768519</v>
      </c>
      <c r="C1128" s="1" t="n">
        <v>46010</v>
      </c>
      <c r="D1128" t="inlineStr">
        <is>
          <t>JÄMTLANDS LÄN</t>
        </is>
      </c>
      <c r="E1128" t="inlineStr">
        <is>
          <t>RAGUNDA</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5938-2025</t>
        </is>
      </c>
      <c r="B1129" s="1" t="n">
        <v>45695.45868055556</v>
      </c>
      <c r="C1129" s="1" t="n">
        <v>46010</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4125-2024</t>
        </is>
      </c>
      <c r="B1130" s="1" t="n">
        <v>45323</v>
      </c>
      <c r="C1130" s="1" t="n">
        <v>46010</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53549-2024</t>
        </is>
      </c>
      <c r="B1131" s="1" t="n">
        <v>45614.63869212963</v>
      </c>
      <c r="C1131" s="1" t="n">
        <v>46010</v>
      </c>
      <c r="D1131" t="inlineStr">
        <is>
          <t>JÄMTLANDS LÄN</t>
        </is>
      </c>
      <c r="E1131" t="inlineStr">
        <is>
          <t>RAGUNDA</t>
        </is>
      </c>
      <c r="F1131" t="inlineStr">
        <is>
          <t>Kyrkan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7284-2025</t>
        </is>
      </c>
      <c r="B1132" s="1" t="n">
        <v>45702.63604166666</v>
      </c>
      <c r="C1132" s="1" t="n">
        <v>46010</v>
      </c>
      <c r="D1132" t="inlineStr">
        <is>
          <t>JÄMTLANDS LÄN</t>
        </is>
      </c>
      <c r="E1132" t="inlineStr">
        <is>
          <t>RAGUNDA</t>
        </is>
      </c>
      <c r="F1132" t="inlineStr">
        <is>
          <t>SCA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31506-2024</t>
        </is>
      </c>
      <c r="B1133" s="1" t="n">
        <v>45505</v>
      </c>
      <c r="C1133" s="1" t="n">
        <v>46010</v>
      </c>
      <c r="D1133" t="inlineStr">
        <is>
          <t>JÄMTLANDS LÄN</t>
        </is>
      </c>
      <c r="E1133" t="inlineStr">
        <is>
          <t>RAGUNDA</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19382-2025</t>
        </is>
      </c>
      <c r="B1134" s="1" t="n">
        <v>45769.65659722222</v>
      </c>
      <c r="C1134" s="1" t="n">
        <v>46010</v>
      </c>
      <c r="D1134" t="inlineStr">
        <is>
          <t>JÄMTLANDS LÄN</t>
        </is>
      </c>
      <c r="E1134" t="inlineStr">
        <is>
          <t>RAGUNDA</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37479-2023</t>
        </is>
      </c>
      <c r="B1135" s="1" t="n">
        <v>45156</v>
      </c>
      <c r="C1135" s="1" t="n">
        <v>46010</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5958-2021</t>
        </is>
      </c>
      <c r="B1136" s="1" t="n">
        <v>44231</v>
      </c>
      <c r="C1136" s="1" t="n">
        <v>46010</v>
      </c>
      <c r="D1136" t="inlineStr">
        <is>
          <t>JÄMTLANDS LÄN</t>
        </is>
      </c>
      <c r="E1136" t="inlineStr">
        <is>
          <t>RAGUNDA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4866-2025</t>
        </is>
      </c>
      <c r="B1137" s="1" t="n">
        <v>45688.67542824074</v>
      </c>
      <c r="C1137" s="1" t="n">
        <v>46010</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11780-2024</t>
        </is>
      </c>
      <c r="B1138" s="1" t="n">
        <v>45374</v>
      </c>
      <c r="C1138" s="1" t="n">
        <v>46010</v>
      </c>
      <c r="D1138" t="inlineStr">
        <is>
          <t>JÄMTLANDS LÄN</t>
        </is>
      </c>
      <c r="E1138" t="inlineStr">
        <is>
          <t>RAGUNDA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11288-2022</t>
        </is>
      </c>
      <c r="B1139" s="1" t="n">
        <v>44629</v>
      </c>
      <c r="C1139" s="1" t="n">
        <v>46010</v>
      </c>
      <c r="D1139" t="inlineStr">
        <is>
          <t>JÄMTLANDS LÄN</t>
        </is>
      </c>
      <c r="E1139" t="inlineStr">
        <is>
          <t>RAGUNDA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18984-2023</t>
        </is>
      </c>
      <c r="B1140" s="1" t="n">
        <v>45044</v>
      </c>
      <c r="C1140" s="1" t="n">
        <v>46010</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66011-2021</t>
        </is>
      </c>
      <c r="B1141" s="1" t="n">
        <v>44517.58137731482</v>
      </c>
      <c r="C1141" s="1" t="n">
        <v>46010</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42509-2023</t>
        </is>
      </c>
      <c r="B1142" s="1" t="n">
        <v>45180</v>
      </c>
      <c r="C1142" s="1" t="n">
        <v>46010</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33615-2023</t>
        </is>
      </c>
      <c r="B1143" s="1" t="n">
        <v>45119</v>
      </c>
      <c r="C1143" s="1" t="n">
        <v>46010</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42510-2023</t>
        </is>
      </c>
      <c r="B1144" s="1" t="n">
        <v>45180.95927083334</v>
      </c>
      <c r="C1144" s="1" t="n">
        <v>46010</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53860-2023</t>
        </is>
      </c>
      <c r="B1145" s="1" t="n">
        <v>45224</v>
      </c>
      <c r="C1145" s="1" t="n">
        <v>46010</v>
      </c>
      <c r="D1145" t="inlineStr">
        <is>
          <t>JÄMTLANDS LÄN</t>
        </is>
      </c>
      <c r="E1145" t="inlineStr">
        <is>
          <t>RAGUNDA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12039-2023</t>
        </is>
      </c>
      <c r="B1146" s="1" t="n">
        <v>44995.98341435185</v>
      </c>
      <c r="C1146" s="1" t="n">
        <v>46010</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26991-2023</t>
        </is>
      </c>
      <c r="B1147" s="1" t="n">
        <v>45093.92207175926</v>
      </c>
      <c r="C1147" s="1" t="n">
        <v>46010</v>
      </c>
      <c r="D1147" t="inlineStr">
        <is>
          <t>JÄMTLANDS LÄN</t>
        </is>
      </c>
      <c r="E1147" t="inlineStr">
        <is>
          <t>RAGUNDA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13302-2022</t>
        </is>
      </c>
      <c r="B1148" s="1" t="n">
        <v>44644</v>
      </c>
      <c r="C1148" s="1" t="n">
        <v>46010</v>
      </c>
      <c r="D1148" t="inlineStr">
        <is>
          <t>JÄMTLANDS LÄN</t>
        </is>
      </c>
      <c r="E1148" t="inlineStr">
        <is>
          <t>RAGUNDA</t>
        </is>
      </c>
      <c r="F1148" t="inlineStr">
        <is>
          <t>SCA</t>
        </is>
      </c>
      <c r="G1148" t="n">
        <v>35.6</v>
      </c>
      <c r="H1148" t="n">
        <v>0</v>
      </c>
      <c r="I1148" t="n">
        <v>0</v>
      </c>
      <c r="J1148" t="n">
        <v>0</v>
      </c>
      <c r="K1148" t="n">
        <v>0</v>
      </c>
      <c r="L1148" t="n">
        <v>0</v>
      </c>
      <c r="M1148" t="n">
        <v>0</v>
      </c>
      <c r="N1148" t="n">
        <v>0</v>
      </c>
      <c r="O1148" t="n">
        <v>0</v>
      </c>
      <c r="P1148" t="n">
        <v>0</v>
      </c>
      <c r="Q1148" t="n">
        <v>0</v>
      </c>
      <c r="R1148" s="2" t="inlineStr"/>
    </row>
    <row r="1149" ht="15" customHeight="1">
      <c r="A1149" t="inlineStr">
        <is>
          <t>A 26651-2024</t>
        </is>
      </c>
      <c r="B1149" s="1" t="n">
        <v>45469.94876157407</v>
      </c>
      <c r="C1149" s="1" t="n">
        <v>46010</v>
      </c>
      <c r="D1149" t="inlineStr">
        <is>
          <t>JÄMTLANDS LÄN</t>
        </is>
      </c>
      <c r="E1149" t="inlineStr">
        <is>
          <t>RAGUNDA</t>
        </is>
      </c>
      <c r="F1149" t="inlineStr">
        <is>
          <t>SCA</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40919-2024</t>
        </is>
      </c>
      <c r="B1150" s="1" t="n">
        <v>45558.63575231482</v>
      </c>
      <c r="C1150" s="1" t="n">
        <v>46010</v>
      </c>
      <c r="D1150" t="inlineStr">
        <is>
          <t>JÄMTLANDS LÄN</t>
        </is>
      </c>
      <c r="E1150" t="inlineStr">
        <is>
          <t>RAGUNDA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3186-2025</t>
        </is>
      </c>
      <c r="B1151" s="1" t="n">
        <v>45679.40362268518</v>
      </c>
      <c r="C1151" s="1" t="n">
        <v>46010</v>
      </c>
      <c r="D1151" t="inlineStr">
        <is>
          <t>JÄMTLANDS LÄN</t>
        </is>
      </c>
      <c r="E1151" t="inlineStr">
        <is>
          <t>RAGUNDA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465-2023</t>
        </is>
      </c>
      <c r="B1152" s="1" t="n">
        <v>44929</v>
      </c>
      <c r="C1152" s="1" t="n">
        <v>46010</v>
      </c>
      <c r="D1152" t="inlineStr">
        <is>
          <t>JÄMTLANDS LÄN</t>
        </is>
      </c>
      <c r="E1152" t="inlineStr">
        <is>
          <t>RAGUNDA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26455-2023</t>
        </is>
      </c>
      <c r="B1153" s="1" t="n">
        <v>45092</v>
      </c>
      <c r="C1153" s="1" t="n">
        <v>46010</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10639-2024</t>
        </is>
      </c>
      <c r="B1154" s="1" t="n">
        <v>45367.67256944445</v>
      </c>
      <c r="C1154" s="1" t="n">
        <v>46010</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2751-2024</t>
        </is>
      </c>
      <c r="B1155" s="1" t="n">
        <v>45314</v>
      </c>
      <c r="C1155" s="1" t="n">
        <v>46010</v>
      </c>
      <c r="D1155" t="inlineStr">
        <is>
          <t>JÄMTLANDS LÄN</t>
        </is>
      </c>
      <c r="E1155" t="inlineStr">
        <is>
          <t>RAGUNDA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36317-2024</t>
        </is>
      </c>
      <c r="B1156" s="1" t="n">
        <v>45534.63537037037</v>
      </c>
      <c r="C1156" s="1" t="n">
        <v>46010</v>
      </c>
      <c r="D1156" t="inlineStr">
        <is>
          <t>JÄMTLANDS LÄN</t>
        </is>
      </c>
      <c r="E1156" t="inlineStr">
        <is>
          <t>RAGUNDA</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18614-2024</t>
        </is>
      </c>
      <c r="B1157" s="1" t="n">
        <v>45425.96263888889</v>
      </c>
      <c r="C1157" s="1" t="n">
        <v>46010</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8787-2022</t>
        </is>
      </c>
      <c r="B1158" s="1" t="n">
        <v>44614</v>
      </c>
      <c r="C1158" s="1" t="n">
        <v>46010</v>
      </c>
      <c r="D1158" t="inlineStr">
        <is>
          <t>JÄMTLANDS LÄN</t>
        </is>
      </c>
      <c r="E1158" t="inlineStr">
        <is>
          <t>RAGUNDA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5967-2021</t>
        </is>
      </c>
      <c r="B1159" s="1" t="n">
        <v>44231</v>
      </c>
      <c r="C1159" s="1" t="n">
        <v>46010</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50431-2024</t>
        </is>
      </c>
      <c r="B1160" s="1" t="n">
        <v>45601.40686342592</v>
      </c>
      <c r="C1160" s="1" t="n">
        <v>46010</v>
      </c>
      <c r="D1160" t="inlineStr">
        <is>
          <t>JÄMTLANDS LÄN</t>
        </is>
      </c>
      <c r="E1160" t="inlineStr">
        <is>
          <t>RAGUNDA</t>
        </is>
      </c>
      <c r="F1160" t="inlineStr">
        <is>
          <t>SCA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60936-2024</t>
        </is>
      </c>
      <c r="B1161" s="1" t="n">
        <v>45645.36743055555</v>
      </c>
      <c r="C1161" s="1" t="n">
        <v>46010</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4212-2024</t>
        </is>
      </c>
      <c r="B1162" s="1" t="n">
        <v>45324</v>
      </c>
      <c r="C1162" s="1" t="n">
        <v>46010</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9262-2025</t>
        </is>
      </c>
      <c r="B1163" s="1" t="n">
        <v>45714.60649305556</v>
      </c>
      <c r="C1163" s="1" t="n">
        <v>46010</v>
      </c>
      <c r="D1163" t="inlineStr">
        <is>
          <t>JÄMTLANDS LÄN</t>
        </is>
      </c>
      <c r="E1163" t="inlineStr">
        <is>
          <t>RAGUNDA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60012-2023</t>
        </is>
      </c>
      <c r="B1164" s="1" t="n">
        <v>45257</v>
      </c>
      <c r="C1164" s="1" t="n">
        <v>46010</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53676-2022</t>
        </is>
      </c>
      <c r="B1165" s="1" t="n">
        <v>44879</v>
      </c>
      <c r="C1165" s="1" t="n">
        <v>46010</v>
      </c>
      <c r="D1165" t="inlineStr">
        <is>
          <t>JÄMTLANDS LÄN</t>
        </is>
      </c>
      <c r="E1165" t="inlineStr">
        <is>
          <t>RAGUNDA</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56504-2024</t>
        </is>
      </c>
      <c r="B1166" s="1" t="n">
        <v>45625.51068287037</v>
      </c>
      <c r="C1166" s="1" t="n">
        <v>46010</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934-2023</t>
        </is>
      </c>
      <c r="B1167" s="1" t="n">
        <v>44932.93927083333</v>
      </c>
      <c r="C1167" s="1" t="n">
        <v>46010</v>
      </c>
      <c r="D1167" t="inlineStr">
        <is>
          <t>JÄMTLANDS LÄN</t>
        </is>
      </c>
      <c r="E1167" t="inlineStr">
        <is>
          <t>RAGUNDA</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36106-2022</t>
        </is>
      </c>
      <c r="B1168" s="1" t="n">
        <v>44802.94811342593</v>
      </c>
      <c r="C1168" s="1" t="n">
        <v>46010</v>
      </c>
      <c r="D1168" t="inlineStr">
        <is>
          <t>JÄMTLANDS LÄN</t>
        </is>
      </c>
      <c r="E1168" t="inlineStr">
        <is>
          <t>RAGUNDA</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57839-2022</t>
        </is>
      </c>
      <c r="B1169" s="1" t="n">
        <v>44897</v>
      </c>
      <c r="C1169" s="1" t="n">
        <v>46010</v>
      </c>
      <c r="D1169" t="inlineStr">
        <is>
          <t>JÄMTLANDS LÄN</t>
        </is>
      </c>
      <c r="E1169" t="inlineStr">
        <is>
          <t>RAGUNDA</t>
        </is>
      </c>
      <c r="F1169" t="inlineStr">
        <is>
          <t>SCA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41693-2023</t>
        </is>
      </c>
      <c r="B1170" s="1" t="n">
        <v>45176</v>
      </c>
      <c r="C1170" s="1" t="n">
        <v>46010</v>
      </c>
      <c r="D1170" t="inlineStr">
        <is>
          <t>JÄMTLANDS LÄN</t>
        </is>
      </c>
      <c r="E1170" t="inlineStr">
        <is>
          <t>RAGUNDA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53678-2022</t>
        </is>
      </c>
      <c r="B1171" s="1" t="n">
        <v>44879.95768518518</v>
      </c>
      <c r="C1171" s="1" t="n">
        <v>46010</v>
      </c>
      <c r="D1171" t="inlineStr">
        <is>
          <t>JÄMTLANDS LÄN</t>
        </is>
      </c>
      <c r="E1171" t="inlineStr">
        <is>
          <t>RAGUNDA</t>
        </is>
      </c>
      <c r="F1171" t="inlineStr">
        <is>
          <t>Sveaskog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23305-2023</t>
        </is>
      </c>
      <c r="B1172" s="1" t="n">
        <v>45075.94506944445</v>
      </c>
      <c r="C1172" s="1" t="n">
        <v>46010</v>
      </c>
      <c r="D1172" t="inlineStr">
        <is>
          <t>JÄMTLANDS LÄN</t>
        </is>
      </c>
      <c r="E1172" t="inlineStr">
        <is>
          <t>RAGUNDA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18194-2025</t>
        </is>
      </c>
      <c r="B1173" s="1" t="n">
        <v>45761.67744212963</v>
      </c>
      <c r="C1173" s="1" t="n">
        <v>46010</v>
      </c>
      <c r="D1173" t="inlineStr">
        <is>
          <t>JÄMTLANDS LÄN</t>
        </is>
      </c>
      <c r="E1173" t="inlineStr">
        <is>
          <t>RAGUNDA</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18225-2024</t>
        </is>
      </c>
      <c r="B1174" s="1" t="n">
        <v>45420</v>
      </c>
      <c r="C1174" s="1" t="n">
        <v>46010</v>
      </c>
      <c r="D1174" t="inlineStr">
        <is>
          <t>JÄMTLANDS LÄN</t>
        </is>
      </c>
      <c r="E1174" t="inlineStr">
        <is>
          <t>RAGUNDA</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54764-2024</t>
        </is>
      </c>
      <c r="B1175" s="1" t="n">
        <v>45618.46921296296</v>
      </c>
      <c r="C1175" s="1" t="n">
        <v>46010</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32904-2024</t>
        </is>
      </c>
      <c r="B1176" s="1" t="n">
        <v>45516.94732638889</v>
      </c>
      <c r="C1176" s="1" t="n">
        <v>46010</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12976-2025</t>
        </is>
      </c>
      <c r="B1177" s="1" t="n">
        <v>45734.45268518518</v>
      </c>
      <c r="C1177" s="1" t="n">
        <v>46010</v>
      </c>
      <c r="D1177" t="inlineStr">
        <is>
          <t>JÄMTLANDS LÄN</t>
        </is>
      </c>
      <c r="E1177" t="inlineStr">
        <is>
          <t>RAGUNDA</t>
        </is>
      </c>
      <c r="G1177" t="n">
        <v>24.2</v>
      </c>
      <c r="H1177" t="n">
        <v>0</v>
      </c>
      <c r="I1177" t="n">
        <v>0</v>
      </c>
      <c r="J1177" t="n">
        <v>0</v>
      </c>
      <c r="K1177" t="n">
        <v>0</v>
      </c>
      <c r="L1177" t="n">
        <v>0</v>
      </c>
      <c r="M1177" t="n">
        <v>0</v>
      </c>
      <c r="N1177" t="n">
        <v>0</v>
      </c>
      <c r="O1177" t="n">
        <v>0</v>
      </c>
      <c r="P1177" t="n">
        <v>0</v>
      </c>
      <c r="Q1177" t="n">
        <v>0</v>
      </c>
      <c r="R1177" s="2" t="inlineStr"/>
    </row>
    <row r="1178" ht="15" customHeight="1">
      <c r="A1178" t="inlineStr">
        <is>
          <t>A 59286-2023</t>
        </is>
      </c>
      <c r="B1178" s="1" t="n">
        <v>45253</v>
      </c>
      <c r="C1178" s="1" t="n">
        <v>46010</v>
      </c>
      <c r="D1178" t="inlineStr">
        <is>
          <t>JÄMTLANDS LÄN</t>
        </is>
      </c>
      <c r="E1178" t="inlineStr">
        <is>
          <t>RAGUNDA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15672-2021</t>
        </is>
      </c>
      <c r="B1179" s="1" t="n">
        <v>44286</v>
      </c>
      <c r="C1179" s="1" t="n">
        <v>46010</v>
      </c>
      <c r="D1179" t="inlineStr">
        <is>
          <t>JÄMTLANDS LÄN</t>
        </is>
      </c>
      <c r="E1179" t="inlineStr">
        <is>
          <t>RAGUNDA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6688-2024</t>
        </is>
      </c>
      <c r="B1180" s="1" t="n">
        <v>45341</v>
      </c>
      <c r="C1180" s="1" t="n">
        <v>46010</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50650-2023</t>
        </is>
      </c>
      <c r="B1181" s="1" t="n">
        <v>45210</v>
      </c>
      <c r="C1181" s="1" t="n">
        <v>46010</v>
      </c>
      <c r="D1181" t="inlineStr">
        <is>
          <t>JÄMTLANDS LÄN</t>
        </is>
      </c>
      <c r="E1181" t="inlineStr">
        <is>
          <t>RAGUNDA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41344-2024</t>
        </is>
      </c>
      <c r="B1182" s="1" t="n">
        <v>45559.67759259259</v>
      </c>
      <c r="C1182" s="1" t="n">
        <v>46010</v>
      </c>
      <c r="D1182" t="inlineStr">
        <is>
          <t>JÄMTLANDS LÄN</t>
        </is>
      </c>
      <c r="E1182" t="inlineStr">
        <is>
          <t>RAGUNDA</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59670-2023</t>
        </is>
      </c>
      <c r="B1183" s="1" t="n">
        <v>45254.96516203704</v>
      </c>
      <c r="C1183" s="1" t="n">
        <v>46010</v>
      </c>
      <c r="D1183" t="inlineStr">
        <is>
          <t>JÄMTLANDS LÄN</t>
        </is>
      </c>
      <c r="E1183" t="inlineStr">
        <is>
          <t>RAGUNDA</t>
        </is>
      </c>
      <c r="F1183" t="inlineStr">
        <is>
          <t>SCA</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55508-2024</t>
        </is>
      </c>
      <c r="B1184" s="1" t="n">
        <v>45622.46200231482</v>
      </c>
      <c r="C1184" s="1" t="n">
        <v>46010</v>
      </c>
      <c r="D1184" t="inlineStr">
        <is>
          <t>JÄMTLANDS LÄN</t>
        </is>
      </c>
      <c r="E1184" t="inlineStr">
        <is>
          <t>RAGUNDA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59492-2024</t>
        </is>
      </c>
      <c r="B1185" s="1" t="n">
        <v>45638</v>
      </c>
      <c r="C1185" s="1" t="n">
        <v>46010</v>
      </c>
      <c r="D1185" t="inlineStr">
        <is>
          <t>JÄMTLANDS LÄN</t>
        </is>
      </c>
      <c r="E1185" t="inlineStr">
        <is>
          <t>RAGUNDA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20772-2024</t>
        </is>
      </c>
      <c r="B1186" s="1" t="n">
        <v>45436.94628472222</v>
      </c>
      <c r="C1186" s="1" t="n">
        <v>46010</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53757-2024</t>
        </is>
      </c>
      <c r="B1187" s="1" t="n">
        <v>45615.50034722222</v>
      </c>
      <c r="C1187" s="1" t="n">
        <v>46010</v>
      </c>
      <c r="D1187" t="inlineStr">
        <is>
          <t>JÄMTLANDS LÄN</t>
        </is>
      </c>
      <c r="E1187" t="inlineStr">
        <is>
          <t>RAGUNDA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6716-2025</t>
        </is>
      </c>
      <c r="B1188" s="1" t="n">
        <v>45700.57324074074</v>
      </c>
      <c r="C1188" s="1" t="n">
        <v>46010</v>
      </c>
      <c r="D1188" t="inlineStr">
        <is>
          <t>JÄMTLANDS LÄN</t>
        </is>
      </c>
      <c r="E1188" t="inlineStr">
        <is>
          <t>RAGUNDA</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19866-2023</t>
        </is>
      </c>
      <c r="B1189" s="1" t="n">
        <v>45053.94313657407</v>
      </c>
      <c r="C1189" s="1" t="n">
        <v>46010</v>
      </c>
      <c r="D1189" t="inlineStr">
        <is>
          <t>JÄMTLANDS LÄN</t>
        </is>
      </c>
      <c r="E1189" t="inlineStr">
        <is>
          <t>RAGUNDA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21853-2024</t>
        </is>
      </c>
      <c r="B1190" s="1" t="n">
        <v>45442.96296296296</v>
      </c>
      <c r="C1190" s="1" t="n">
        <v>46010</v>
      </c>
      <c r="D1190" t="inlineStr">
        <is>
          <t>JÄMTLANDS LÄN</t>
        </is>
      </c>
      <c r="E1190" t="inlineStr">
        <is>
          <t>RAGUNDA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8241-2024</t>
        </is>
      </c>
      <c r="B1191" s="1" t="n">
        <v>45351.98496527778</v>
      </c>
      <c r="C1191" s="1" t="n">
        <v>46010</v>
      </c>
      <c r="D1191" t="inlineStr">
        <is>
          <t>JÄMTLANDS LÄN</t>
        </is>
      </c>
      <c r="E1191" t="inlineStr">
        <is>
          <t>RAGUNDA</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40365-2024</t>
        </is>
      </c>
      <c r="B1192" s="1" t="n">
        <v>45555.38509259259</v>
      </c>
      <c r="C1192" s="1" t="n">
        <v>46010</v>
      </c>
      <c r="D1192" t="inlineStr">
        <is>
          <t>JÄMTLANDS LÄN</t>
        </is>
      </c>
      <c r="E1192" t="inlineStr">
        <is>
          <t>RAGUNDA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20770-2024</t>
        </is>
      </c>
      <c r="B1193" s="1" t="n">
        <v>45436.94613425926</v>
      </c>
      <c r="C1193" s="1" t="n">
        <v>46010</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7281-2024</t>
        </is>
      </c>
      <c r="B1194" s="1" t="n">
        <v>45344</v>
      </c>
      <c r="C1194" s="1" t="n">
        <v>46010</v>
      </c>
      <c r="D1194" t="inlineStr">
        <is>
          <t>JÄMTLANDS LÄN</t>
        </is>
      </c>
      <c r="E1194" t="inlineStr">
        <is>
          <t>RAGUNDA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7284-2024</t>
        </is>
      </c>
      <c r="B1195" s="1" t="n">
        <v>45344.92865740741</v>
      </c>
      <c r="C1195" s="1" t="n">
        <v>46010</v>
      </c>
      <c r="D1195" t="inlineStr">
        <is>
          <t>JÄMTLANDS LÄN</t>
        </is>
      </c>
      <c r="E1195" t="inlineStr">
        <is>
          <t>RAGUNDA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7285-2024</t>
        </is>
      </c>
      <c r="B1196" s="1" t="n">
        <v>45344.92873842592</v>
      </c>
      <c r="C1196" s="1" t="n">
        <v>46010</v>
      </c>
      <c r="D1196" t="inlineStr">
        <is>
          <t>JÄMTLANDS LÄN</t>
        </is>
      </c>
      <c r="E1196" t="inlineStr">
        <is>
          <t>RAGUNDA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53347-2023</t>
        </is>
      </c>
      <c r="B1197" s="1" t="n">
        <v>45223</v>
      </c>
      <c r="C1197" s="1" t="n">
        <v>46010</v>
      </c>
      <c r="D1197" t="inlineStr">
        <is>
          <t>JÄMTLANDS LÄN</t>
        </is>
      </c>
      <c r="E1197" t="inlineStr">
        <is>
          <t>RAGUNDA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60838-2023</t>
        </is>
      </c>
      <c r="B1198" s="1" t="n">
        <v>45260.92561342593</v>
      </c>
      <c r="C1198" s="1" t="n">
        <v>46010</v>
      </c>
      <c r="D1198" t="inlineStr">
        <is>
          <t>JÄMTLANDS LÄN</t>
        </is>
      </c>
      <c r="E1198" t="inlineStr">
        <is>
          <t>RAGUNDA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9548-2025</t>
        </is>
      </c>
      <c r="B1199" s="1" t="n">
        <v>45715.59405092592</v>
      </c>
      <c r="C1199" s="1" t="n">
        <v>46010</v>
      </c>
      <c r="D1199" t="inlineStr">
        <is>
          <t>JÄMTLANDS LÄN</t>
        </is>
      </c>
      <c r="E1199" t="inlineStr">
        <is>
          <t>RAGUNDA</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53989-2024</t>
        </is>
      </c>
      <c r="B1200" s="1" t="n">
        <v>45616.34479166667</v>
      </c>
      <c r="C1200" s="1" t="n">
        <v>46010</v>
      </c>
      <c r="D1200" t="inlineStr">
        <is>
          <t>JÄMTLANDS LÄN</t>
        </is>
      </c>
      <c r="E1200" t="inlineStr">
        <is>
          <t>RAGUNDA</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15581-2024</t>
        </is>
      </c>
      <c r="B1201" s="1" t="n">
        <v>45401</v>
      </c>
      <c r="C1201" s="1" t="n">
        <v>46010</v>
      </c>
      <c r="D1201" t="inlineStr">
        <is>
          <t>JÄMTLANDS LÄN</t>
        </is>
      </c>
      <c r="E1201" t="inlineStr">
        <is>
          <t>RAGUNDA</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15611-2024</t>
        </is>
      </c>
      <c r="B1202" s="1" t="n">
        <v>45401</v>
      </c>
      <c r="C1202" s="1" t="n">
        <v>46010</v>
      </c>
      <c r="D1202" t="inlineStr">
        <is>
          <t>JÄMTLANDS LÄN</t>
        </is>
      </c>
      <c r="E1202" t="inlineStr">
        <is>
          <t>RAGUNDA</t>
        </is>
      </c>
      <c r="F1202" t="inlineStr">
        <is>
          <t>SCA</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23528-2024</t>
        </is>
      </c>
      <c r="B1203" s="1" t="n">
        <v>45453.95016203704</v>
      </c>
      <c r="C1203" s="1" t="n">
        <v>46010</v>
      </c>
      <c r="D1203" t="inlineStr">
        <is>
          <t>JÄMTLANDS LÄN</t>
        </is>
      </c>
      <c r="E1203" t="inlineStr">
        <is>
          <t>RAGUNDA</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4594-2024</t>
        </is>
      </c>
      <c r="B1204" s="1" t="n">
        <v>45327.94459490741</v>
      </c>
      <c r="C1204" s="1" t="n">
        <v>46010</v>
      </c>
      <c r="D1204" t="inlineStr">
        <is>
          <t>JÄMTLANDS LÄN</t>
        </is>
      </c>
      <c r="E1204" t="inlineStr">
        <is>
          <t>RAGUNDA</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30824-2023</t>
        </is>
      </c>
      <c r="B1205" s="1" t="n">
        <v>45112.94303240741</v>
      </c>
      <c r="C1205" s="1" t="n">
        <v>46010</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16635-2025</t>
        </is>
      </c>
      <c r="B1206" s="1" t="n">
        <v>45754</v>
      </c>
      <c r="C1206" s="1" t="n">
        <v>46010</v>
      </c>
      <c r="D1206" t="inlineStr">
        <is>
          <t>JÄMTLANDS LÄN</t>
        </is>
      </c>
      <c r="E1206" t="inlineStr">
        <is>
          <t>RAGUNDA</t>
        </is>
      </c>
      <c r="F1206" t="inlineStr">
        <is>
          <t>SCA</t>
        </is>
      </c>
      <c r="G1206" t="n">
        <v>55.4</v>
      </c>
      <c r="H1206" t="n">
        <v>0</v>
      </c>
      <c r="I1206" t="n">
        <v>0</v>
      </c>
      <c r="J1206" t="n">
        <v>0</v>
      </c>
      <c r="K1206" t="n">
        <v>0</v>
      </c>
      <c r="L1206" t="n">
        <v>0</v>
      </c>
      <c r="M1206" t="n">
        <v>0</v>
      </c>
      <c r="N1206" t="n">
        <v>0</v>
      </c>
      <c r="O1206" t="n">
        <v>0</v>
      </c>
      <c r="P1206" t="n">
        <v>0</v>
      </c>
      <c r="Q1206" t="n">
        <v>0</v>
      </c>
      <c r="R1206" s="2" t="inlineStr"/>
    </row>
    <row r="1207" ht="15" customHeight="1">
      <c r="A1207" t="inlineStr">
        <is>
          <t>A 4014-2022</t>
        </is>
      </c>
      <c r="B1207" s="1" t="n">
        <v>44587.92144675926</v>
      </c>
      <c r="C1207" s="1" t="n">
        <v>46010</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1554-2024</t>
        </is>
      </c>
      <c r="B1208" s="1" t="n">
        <v>45306</v>
      </c>
      <c r="C1208" s="1" t="n">
        <v>46010</v>
      </c>
      <c r="D1208" t="inlineStr">
        <is>
          <t>JÄMTLANDS LÄN</t>
        </is>
      </c>
      <c r="E1208" t="inlineStr">
        <is>
          <t>RAGUNDA</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38782-2021</t>
        </is>
      </c>
      <c r="B1209" s="1" t="n">
        <v>44410</v>
      </c>
      <c r="C1209" s="1" t="n">
        <v>46010</v>
      </c>
      <c r="D1209" t="inlineStr">
        <is>
          <t>JÄMTLANDS LÄN</t>
        </is>
      </c>
      <c r="E1209" t="inlineStr">
        <is>
          <t>RAGUNDA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20728-2025</t>
        </is>
      </c>
      <c r="B1210" s="1" t="n">
        <v>45776.51130787037</v>
      </c>
      <c r="C1210" s="1" t="n">
        <v>46010</v>
      </c>
      <c r="D1210" t="inlineStr">
        <is>
          <t>JÄMTLANDS LÄN</t>
        </is>
      </c>
      <c r="E1210" t="inlineStr">
        <is>
          <t>RAGUNDA</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20653-2025</t>
        </is>
      </c>
      <c r="B1211" s="1" t="n">
        <v>45776.40311342593</v>
      </c>
      <c r="C1211" s="1" t="n">
        <v>46010</v>
      </c>
      <c r="D1211" t="inlineStr">
        <is>
          <t>JÄMTLANDS LÄN</t>
        </is>
      </c>
      <c r="E1211" t="inlineStr">
        <is>
          <t>RAGUNDA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20722-2025</t>
        </is>
      </c>
      <c r="B1212" s="1" t="n">
        <v>45776.50651620371</v>
      </c>
      <c r="C1212" s="1" t="n">
        <v>46010</v>
      </c>
      <c r="D1212" t="inlineStr">
        <is>
          <t>JÄMTLANDS LÄN</t>
        </is>
      </c>
      <c r="E1212" t="inlineStr">
        <is>
          <t>RAGUNDA</t>
        </is>
      </c>
      <c r="F1212" t="inlineStr">
        <is>
          <t>Kommuner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20777-2025</t>
        </is>
      </c>
      <c r="B1213" s="1" t="n">
        <v>45776.59422453704</v>
      </c>
      <c r="C1213" s="1" t="n">
        <v>46010</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21150-2025</t>
        </is>
      </c>
      <c r="B1214" s="1" t="n">
        <v>45779.34417824074</v>
      </c>
      <c r="C1214" s="1" t="n">
        <v>46010</v>
      </c>
      <c r="D1214" t="inlineStr">
        <is>
          <t>JÄMTLANDS LÄN</t>
        </is>
      </c>
      <c r="E1214" t="inlineStr">
        <is>
          <t>RAGUNDA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21214-2025</t>
        </is>
      </c>
      <c r="B1215" s="1" t="n">
        <v>45779.49025462963</v>
      </c>
      <c r="C1215" s="1" t="n">
        <v>46010</v>
      </c>
      <c r="D1215" t="inlineStr">
        <is>
          <t>JÄMTLANDS LÄN</t>
        </is>
      </c>
      <c r="E1215" t="inlineStr">
        <is>
          <t>RAGUNDA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22941-2024</t>
        </is>
      </c>
      <c r="B1216" s="1" t="n">
        <v>45448.94520833333</v>
      </c>
      <c r="C1216" s="1" t="n">
        <v>46010</v>
      </c>
      <c r="D1216" t="inlineStr">
        <is>
          <t>JÄMTLANDS LÄN</t>
        </is>
      </c>
      <c r="E1216" t="inlineStr">
        <is>
          <t>RAGUNDA</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21430-2025</t>
        </is>
      </c>
      <c r="B1217" s="1" t="n">
        <v>45782.51099537037</v>
      </c>
      <c r="C1217" s="1" t="n">
        <v>46010</v>
      </c>
      <c r="D1217" t="inlineStr">
        <is>
          <t>JÄMTLANDS LÄN</t>
        </is>
      </c>
      <c r="E1217" t="inlineStr">
        <is>
          <t>RAGUNDA</t>
        </is>
      </c>
      <c r="F1217" t="inlineStr">
        <is>
          <t>SCA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44881-2023</t>
        </is>
      </c>
      <c r="B1218" s="1" t="n">
        <v>45187</v>
      </c>
      <c r="C1218" s="1" t="n">
        <v>46010</v>
      </c>
      <c r="D1218" t="inlineStr">
        <is>
          <t>JÄMTLANDS LÄN</t>
        </is>
      </c>
      <c r="E1218" t="inlineStr">
        <is>
          <t>RAGUNDA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21451-2025</t>
        </is>
      </c>
      <c r="B1219" s="1" t="n">
        <v>45782.55287037037</v>
      </c>
      <c r="C1219" s="1" t="n">
        <v>46010</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21432-2025</t>
        </is>
      </c>
      <c r="B1220" s="1" t="n">
        <v>45782.51109953703</v>
      </c>
      <c r="C1220" s="1" t="n">
        <v>46010</v>
      </c>
      <c r="D1220" t="inlineStr">
        <is>
          <t>JÄMTLANDS LÄN</t>
        </is>
      </c>
      <c r="E1220" t="inlineStr">
        <is>
          <t>RAGUNDA</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21331-2025</t>
        </is>
      </c>
      <c r="B1221" s="1" t="n">
        <v>45782.36494212963</v>
      </c>
      <c r="C1221" s="1" t="n">
        <v>46010</v>
      </c>
      <c r="D1221" t="inlineStr">
        <is>
          <t>JÄMTLANDS LÄN</t>
        </is>
      </c>
      <c r="E1221" t="inlineStr">
        <is>
          <t>RAGUNDA</t>
        </is>
      </c>
      <c r="F1221" t="inlineStr">
        <is>
          <t>SCA</t>
        </is>
      </c>
      <c r="G1221" t="n">
        <v>23.1</v>
      </c>
      <c r="H1221" t="n">
        <v>0</v>
      </c>
      <c r="I1221" t="n">
        <v>0</v>
      </c>
      <c r="J1221" t="n">
        <v>0</v>
      </c>
      <c r="K1221" t="n">
        <v>0</v>
      </c>
      <c r="L1221" t="n">
        <v>0</v>
      </c>
      <c r="M1221" t="n">
        <v>0</v>
      </c>
      <c r="N1221" t="n">
        <v>0</v>
      </c>
      <c r="O1221" t="n">
        <v>0</v>
      </c>
      <c r="P1221" t="n">
        <v>0</v>
      </c>
      <c r="Q1221" t="n">
        <v>0</v>
      </c>
      <c r="R1221" s="2" t="inlineStr"/>
      <c r="U1221">
        <f>HYPERLINK("https://klasma.github.io/Logging_2303/knärot/A 21331-2025 karta knärot.png", "A 21331-2025")</f>
        <v/>
      </c>
      <c r="V1221">
        <f>HYPERLINK("https://klasma.github.io/Logging_2303/klagomål/A 21331-2025 FSC-klagomål.docx", "A 21331-2025")</f>
        <v/>
      </c>
      <c r="W1221">
        <f>HYPERLINK("https://klasma.github.io/Logging_2303/klagomålsmail/A 21331-2025 FSC-klagomål mail.docx", "A 21331-2025")</f>
        <v/>
      </c>
      <c r="X1221">
        <f>HYPERLINK("https://klasma.github.io/Logging_2303/tillsyn/A 21331-2025 tillsynsbegäran.docx", "A 21331-2025")</f>
        <v/>
      </c>
      <c r="Y1221">
        <f>HYPERLINK("https://klasma.github.io/Logging_2303/tillsynsmail/A 21331-2025 tillsynsbegäran mail.docx", "A 21331-2025")</f>
        <v/>
      </c>
    </row>
    <row r="1222" ht="15" customHeight="1">
      <c r="A1222" t="inlineStr">
        <is>
          <t>A 21550-2025</t>
        </is>
      </c>
      <c r="B1222" s="1" t="n">
        <v>45782.67758101852</v>
      </c>
      <c r="C1222" s="1" t="n">
        <v>46010</v>
      </c>
      <c r="D1222" t="inlineStr">
        <is>
          <t>JÄMTLANDS LÄN</t>
        </is>
      </c>
      <c r="E1222" t="inlineStr">
        <is>
          <t>RAGUNDA</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57889-2024</t>
        </is>
      </c>
      <c r="B1223" s="1" t="n">
        <v>45631.46665509259</v>
      </c>
      <c r="C1223" s="1" t="n">
        <v>46010</v>
      </c>
      <c r="D1223" t="inlineStr">
        <is>
          <t>JÄMTLANDS LÄN</t>
        </is>
      </c>
      <c r="E1223" t="inlineStr">
        <is>
          <t>RAGUNDA</t>
        </is>
      </c>
      <c r="G1223" t="n">
        <v>11.1</v>
      </c>
      <c r="H1223" t="n">
        <v>0</v>
      </c>
      <c r="I1223" t="n">
        <v>0</v>
      </c>
      <c r="J1223" t="n">
        <v>0</v>
      </c>
      <c r="K1223" t="n">
        <v>0</v>
      </c>
      <c r="L1223" t="n">
        <v>0</v>
      </c>
      <c r="M1223" t="n">
        <v>0</v>
      </c>
      <c r="N1223" t="n">
        <v>0</v>
      </c>
      <c r="O1223" t="n">
        <v>0</v>
      </c>
      <c r="P1223" t="n">
        <v>0</v>
      </c>
      <c r="Q1223" t="n">
        <v>0</v>
      </c>
      <c r="R1223" s="2" t="inlineStr"/>
    </row>
    <row r="1224" ht="15" customHeight="1">
      <c r="A1224" t="inlineStr">
        <is>
          <t>A 60629-2023</t>
        </is>
      </c>
      <c r="B1224" s="1" t="n">
        <v>45259</v>
      </c>
      <c r="C1224" s="1" t="n">
        <v>46010</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c r="A1225" t="inlineStr">
        <is>
          <t>A 22388-2025</t>
        </is>
      </c>
      <c r="B1225" s="1" t="n">
        <v>45786.51077546296</v>
      </c>
      <c r="C1225" s="1" t="n">
        <v>46010</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2025-12-19T10:37:27Z</dcterms:created>
  <dcterms:modified xmlns:dcterms="http://purl.org/dc/terms/" xmlns:xsi="http://www.w3.org/2001/XMLSchema-instance" xsi:type="dcterms:W3CDTF">2025-12-19T10:37:28Z</dcterms:modified>
</cp:coreProperties>
</file>