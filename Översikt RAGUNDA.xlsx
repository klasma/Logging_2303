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46004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46004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46004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46004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46004</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46004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46004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46004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46004</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29068-2023</t>
        </is>
      </c>
      <c r="B11" s="1" t="n">
        <v>45104</v>
      </c>
      <c r="C11" s="1" t="n">
        <v>46004</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46004</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46004</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46004</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46004</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46004</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46004</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46004</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46004</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46004</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46004</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19727-2025</t>
        </is>
      </c>
      <c r="B22" s="1" t="n">
        <v>45771.36538194444</v>
      </c>
      <c r="C22" s="1" t="n">
        <v>46004</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29209-2024</t>
        </is>
      </c>
      <c r="B23" s="1" t="n">
        <v>45482.63819444444</v>
      </c>
      <c r="C23" s="1" t="n">
        <v>46004</v>
      </c>
      <c r="D23" t="inlineStr">
        <is>
          <t>JÄMTLANDS LÄN</t>
        </is>
      </c>
      <c r="E23" t="inlineStr">
        <is>
          <t>RAGUNDA</t>
        </is>
      </c>
      <c r="G23" t="n">
        <v>8.5</v>
      </c>
      <c r="H23" t="n">
        <v>4</v>
      </c>
      <c r="I23" t="n">
        <v>4</v>
      </c>
      <c r="J23" t="n">
        <v>6</v>
      </c>
      <c r="K23" t="n">
        <v>2</v>
      </c>
      <c r="L23" t="n">
        <v>0</v>
      </c>
      <c r="M23" t="n">
        <v>0</v>
      </c>
      <c r="N23" t="n">
        <v>0</v>
      </c>
      <c r="O23" t="n">
        <v>8</v>
      </c>
      <c r="P23" t="n">
        <v>2</v>
      </c>
      <c r="Q23" t="n">
        <v>12</v>
      </c>
      <c r="R23" s="2" t="inlineStr">
        <is>
          <t>Knärot
Rynkskinn
Garnlav
Kolflarnlav
Lunglav
Rosenticka
Talltita
Ullticka
Bårdlav
Korallblylav
Plattlummer
Spindelblomster</t>
        </is>
      </c>
      <c r="S23">
        <f>HYPERLINK("https://klasma.github.io/Logging_2303/artfynd/A 29209-2024 artfynd.xlsx", "A 29209-2024")</f>
        <v/>
      </c>
      <c r="T23">
        <f>HYPERLINK("https://klasma.github.io/Logging_2303/kartor/A 29209-2024 karta.png", "A 29209-2024")</f>
        <v/>
      </c>
      <c r="U23">
        <f>HYPERLINK("https://klasma.github.io/Logging_2303/knärot/A 29209-2024 karta knärot.png", "A 29209-2024")</f>
        <v/>
      </c>
      <c r="V23">
        <f>HYPERLINK("https://klasma.github.io/Logging_2303/klagomål/A 29209-2024 FSC-klagomål.docx", "A 29209-2024")</f>
        <v/>
      </c>
      <c r="W23">
        <f>HYPERLINK("https://klasma.github.io/Logging_2303/klagomålsmail/A 29209-2024 FSC-klagomål mail.docx", "A 29209-2024")</f>
        <v/>
      </c>
      <c r="X23">
        <f>HYPERLINK("https://klasma.github.io/Logging_2303/tillsyn/A 29209-2024 tillsynsbegäran.docx", "A 29209-2024")</f>
        <v/>
      </c>
      <c r="Y23">
        <f>HYPERLINK("https://klasma.github.io/Logging_2303/tillsynsmail/A 29209-2024 tillsynsbegäran mail.docx", "A 29209-2024")</f>
        <v/>
      </c>
      <c r="Z23">
        <f>HYPERLINK("https://klasma.github.io/Logging_2303/fåglar/A 29209-2024 prioriterade fågelarter.docx", "A 29209-2024")</f>
        <v/>
      </c>
    </row>
    <row r="24" ht="15" customHeight="1">
      <c r="A24" t="inlineStr">
        <is>
          <t>A 43107-2023</t>
        </is>
      </c>
      <c r="B24" s="1" t="n">
        <v>45182</v>
      </c>
      <c r="C24" s="1" t="n">
        <v>46004</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31197-2023</t>
        </is>
      </c>
      <c r="B25" s="1" t="n">
        <v>45113</v>
      </c>
      <c r="C25" s="1" t="n">
        <v>46004</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9347-2024</t>
        </is>
      </c>
      <c r="B26" s="1" t="n">
        <v>45358.99375</v>
      </c>
      <c r="C26" s="1" t="n">
        <v>46004</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46004</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46004</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46004</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36943-2022</t>
        </is>
      </c>
      <c r="B30" s="1" t="n">
        <v>44805</v>
      </c>
      <c r="C30" s="1" t="n">
        <v>46004</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10982-2025</t>
        </is>
      </c>
      <c r="B31" s="1" t="n">
        <v>45723.40688657408</v>
      </c>
      <c r="C31" s="1" t="n">
        <v>46004</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55894-2022</t>
        </is>
      </c>
      <c r="B32" s="1" t="n">
        <v>44888</v>
      </c>
      <c r="C32" s="1" t="n">
        <v>46004</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41412-2024</t>
        </is>
      </c>
      <c r="B33" s="1" t="n">
        <v>45560.34484953704</v>
      </c>
      <c r="C33" s="1" t="n">
        <v>46004</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46004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46004</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33822-2023</t>
        </is>
      </c>
      <c r="B36" s="1" t="n">
        <v>45121</v>
      </c>
      <c r="C36" s="1" t="n">
        <v>46004</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32068-2024</t>
        </is>
      </c>
      <c r="B37" s="1" t="n">
        <v>45510</v>
      </c>
      <c r="C37" s="1" t="n">
        <v>46004</v>
      </c>
      <c r="D37" t="inlineStr">
        <is>
          <t>JÄMTLANDS LÄN</t>
        </is>
      </c>
      <c r="E37" t="inlineStr">
        <is>
          <t>RAGUNDA</t>
        </is>
      </c>
      <c r="F37" t="inlineStr">
        <is>
          <t>SCA</t>
        </is>
      </c>
      <c r="G37" t="n">
        <v>5.2</v>
      </c>
      <c r="H37" t="n">
        <v>2</v>
      </c>
      <c r="I37" t="n">
        <v>2</v>
      </c>
      <c r="J37" t="n">
        <v>6</v>
      </c>
      <c r="K37" t="n">
        <v>1</v>
      </c>
      <c r="L37" t="n">
        <v>0</v>
      </c>
      <c r="M37" t="n">
        <v>0</v>
      </c>
      <c r="N37" t="n">
        <v>0</v>
      </c>
      <c r="O37" t="n">
        <v>7</v>
      </c>
      <c r="P37" t="n">
        <v>1</v>
      </c>
      <c r="Q37" t="n">
        <v>9</v>
      </c>
      <c r="R37" s="2" t="inlineStr">
        <is>
          <t>Knärot
Garnlav
Gränsticka
Kolflarnlav
Lunglav
Vedflikmossa
Vedtrappmossa
Plattlummer
Stor aspticka</t>
        </is>
      </c>
      <c r="S37">
        <f>HYPERLINK("https://klasma.github.io/Logging_2303/artfynd/A 32068-2024 artfynd.xlsx", "A 32068-2024")</f>
        <v/>
      </c>
      <c r="T37">
        <f>HYPERLINK("https://klasma.github.io/Logging_2303/kartor/A 32068-2024 karta.png", "A 32068-2024")</f>
        <v/>
      </c>
      <c r="U37">
        <f>HYPERLINK("https://klasma.github.io/Logging_2303/knärot/A 32068-2024 karta knärot.png", "A 32068-2024")</f>
        <v/>
      </c>
      <c r="V37">
        <f>HYPERLINK("https://klasma.github.io/Logging_2303/klagomål/A 32068-2024 FSC-klagomål.docx", "A 32068-2024")</f>
        <v/>
      </c>
      <c r="W37">
        <f>HYPERLINK("https://klasma.github.io/Logging_2303/klagomålsmail/A 32068-2024 FSC-klagomål mail.docx", "A 32068-2024")</f>
        <v/>
      </c>
      <c r="X37">
        <f>HYPERLINK("https://klasma.github.io/Logging_2303/tillsyn/A 32068-2024 tillsynsbegäran.docx", "A 32068-2024")</f>
        <v/>
      </c>
      <c r="Y37">
        <f>HYPERLINK("https://klasma.github.io/Logging_2303/tillsynsmail/A 32068-2024 tillsynsbegäran mail.docx", "A 32068-2024")</f>
        <v/>
      </c>
    </row>
    <row r="38" ht="15" customHeight="1">
      <c r="A38" t="inlineStr">
        <is>
          <t>A 41406-2023</t>
        </is>
      </c>
      <c r="B38" s="1" t="n">
        <v>45174</v>
      </c>
      <c r="C38" s="1" t="n">
        <v>46004</v>
      </c>
      <c r="D38" t="inlineStr">
        <is>
          <t>JÄMTLANDS LÄN</t>
        </is>
      </c>
      <c r="E38" t="inlineStr">
        <is>
          <t>RAGUNDA</t>
        </is>
      </c>
      <c r="F38" t="inlineStr">
        <is>
          <t>SCA</t>
        </is>
      </c>
      <c r="G38" t="n">
        <v>8</v>
      </c>
      <c r="H38" t="n">
        <v>0</v>
      </c>
      <c r="I38" t="n">
        <v>1</v>
      </c>
      <c r="J38" t="n">
        <v>8</v>
      </c>
      <c r="K38" t="n">
        <v>0</v>
      </c>
      <c r="L38" t="n">
        <v>0</v>
      </c>
      <c r="M38" t="n">
        <v>0</v>
      </c>
      <c r="N38" t="n">
        <v>0</v>
      </c>
      <c r="O38" t="n">
        <v>8</v>
      </c>
      <c r="P38" t="n">
        <v>0</v>
      </c>
      <c r="Q38" t="n">
        <v>9</v>
      </c>
      <c r="R38" s="2" t="inlineStr">
        <is>
          <t>Dvärgbägarlav
Grönhjon
Lunglav
Nordtagging
Rosa skärelav
Rosenticka
Ullticka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45008-2023</t>
        </is>
      </c>
      <c r="B39" s="1" t="n">
        <v>45190.96092592592</v>
      </c>
      <c r="C39" s="1" t="n">
        <v>46004</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62948-2021</t>
        </is>
      </c>
      <c r="B40" s="1" t="n">
        <v>44504</v>
      </c>
      <c r="C40" s="1" t="n">
        <v>46004</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46004</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46004</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46004</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46004</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42393-2025</t>
        </is>
      </c>
      <c r="B45" s="1" t="n">
        <v>45905</v>
      </c>
      <c r="C45" s="1" t="n">
        <v>46004</v>
      </c>
      <c r="D45" t="inlineStr">
        <is>
          <t>JÄMTLANDS LÄN</t>
        </is>
      </c>
      <c r="E45" t="inlineStr">
        <is>
          <t>RAGUNDA</t>
        </is>
      </c>
      <c r="G45" t="n">
        <v>8.800000000000001</v>
      </c>
      <c r="H45" t="n">
        <v>6</v>
      </c>
      <c r="I45" t="n">
        <v>0</v>
      </c>
      <c r="J45" t="n">
        <v>4</v>
      </c>
      <c r="K45" t="n">
        <v>2</v>
      </c>
      <c r="L45" t="n">
        <v>0</v>
      </c>
      <c r="M45" t="n">
        <v>0</v>
      </c>
      <c r="N45" t="n">
        <v>0</v>
      </c>
      <c r="O45" t="n">
        <v>6</v>
      </c>
      <c r="P45" t="n">
        <v>2</v>
      </c>
      <c r="Q45" t="n">
        <v>9</v>
      </c>
      <c r="R45" s="2" t="inlineStr">
        <is>
          <t>Doftticka
Knärot
Garnlav
Lunglav
Tallticka
Tretåig hackspett
Lavskrika
Fläcknycklar
Blåsippa</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58876-2025</t>
        </is>
      </c>
      <c r="B46" s="1" t="n">
        <v>45987.46929398148</v>
      </c>
      <c r="C46" s="1" t="n">
        <v>46004</v>
      </c>
      <c r="D46" t="inlineStr">
        <is>
          <t>JÄMTLANDS LÄN</t>
        </is>
      </c>
      <c r="E46" t="inlineStr">
        <is>
          <t>RAGUNDA</t>
        </is>
      </c>
      <c r="F46" t="inlineStr">
        <is>
          <t>SCA</t>
        </is>
      </c>
      <c r="G46" t="n">
        <v>6.3</v>
      </c>
      <c r="H46" t="n">
        <v>2</v>
      </c>
      <c r="I46" t="n">
        <v>0</v>
      </c>
      <c r="J46" t="n">
        <v>7</v>
      </c>
      <c r="K46" t="n">
        <v>1</v>
      </c>
      <c r="L46" t="n">
        <v>0</v>
      </c>
      <c r="M46" t="n">
        <v>0</v>
      </c>
      <c r="N46" t="n">
        <v>0</v>
      </c>
      <c r="O46" t="n">
        <v>8</v>
      </c>
      <c r="P46" t="n">
        <v>1</v>
      </c>
      <c r="Q46" t="n">
        <v>9</v>
      </c>
      <c r="R46" s="2" t="inlineStr">
        <is>
          <t>Knärot
Gammelgransskål
Garnlav
Granticka
Lunglav
Rosenticka
Ullticka
Vitgrynig nållav
Fläcknycklar</t>
        </is>
      </c>
      <c r="S46">
        <f>HYPERLINK("https://klasma.github.io/Logging_2303/artfynd/A 58876-2025 artfynd.xlsx", "A 58876-2025")</f>
        <v/>
      </c>
      <c r="T46">
        <f>HYPERLINK("https://klasma.github.io/Logging_2303/kartor/A 58876-2025 karta.png", "A 58876-2025")</f>
        <v/>
      </c>
      <c r="U46">
        <f>HYPERLINK("https://klasma.github.io/Logging_2303/knärot/A 58876-2025 karta knärot.png", "A 58876-2025")</f>
        <v/>
      </c>
      <c r="V46">
        <f>HYPERLINK("https://klasma.github.io/Logging_2303/klagomål/A 58876-2025 FSC-klagomål.docx", "A 58876-2025")</f>
        <v/>
      </c>
      <c r="W46">
        <f>HYPERLINK("https://klasma.github.io/Logging_2303/klagomålsmail/A 58876-2025 FSC-klagomål mail.docx", "A 58876-2025")</f>
        <v/>
      </c>
      <c r="X46">
        <f>HYPERLINK("https://klasma.github.io/Logging_2303/tillsyn/A 58876-2025 tillsynsbegäran.docx", "A 58876-2025")</f>
        <v/>
      </c>
      <c r="Y46">
        <f>HYPERLINK("https://klasma.github.io/Logging_2303/tillsynsmail/A 58876-2025 tillsynsbegäran mail.docx", "A 58876-2025")</f>
        <v/>
      </c>
    </row>
    <row r="47" ht="15" customHeight="1">
      <c r="A47" t="inlineStr">
        <is>
          <t>A 30876-2025</t>
        </is>
      </c>
      <c r="B47" s="1" t="n">
        <v>45832.34461805555</v>
      </c>
      <c r="C47" s="1" t="n">
        <v>46004</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3634-2024</t>
        </is>
      </c>
      <c r="B48" s="1" t="n">
        <v>45320</v>
      </c>
      <c r="C48" s="1" t="n">
        <v>46004</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46004</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46004</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59107-2025</t>
        </is>
      </c>
      <c r="B51" s="1" t="n">
        <v>45988.46924768519</v>
      </c>
      <c r="C51" s="1" t="n">
        <v>46004</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46004</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30335-2025</t>
        </is>
      </c>
      <c r="B53" s="1" t="n">
        <v>45827.5110300926</v>
      </c>
      <c r="C53" s="1" t="n">
        <v>46004</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60129-2025</t>
        </is>
      </c>
      <c r="B54" s="1" t="n">
        <v>45994.34461805555</v>
      </c>
      <c r="C54" s="1" t="n">
        <v>46004</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15665-2022</t>
        </is>
      </c>
      <c r="B55" s="1" t="n">
        <v>44662</v>
      </c>
      <c r="C55" s="1" t="n">
        <v>46004</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46004</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33806-2023</t>
        </is>
      </c>
      <c r="B57" s="1" t="n">
        <v>45121</v>
      </c>
      <c r="C57" s="1" t="n">
        <v>46004</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20397-2024</t>
        </is>
      </c>
      <c r="B58" s="1" t="n">
        <v>45435.54734953704</v>
      </c>
      <c r="C58" s="1" t="n">
        <v>46004</v>
      </c>
      <c r="D58" t="inlineStr">
        <is>
          <t>JÄMTLANDS LÄN</t>
        </is>
      </c>
      <c r="E58" t="inlineStr">
        <is>
          <t>RAGUNDA</t>
        </is>
      </c>
      <c r="G58" t="n">
        <v>18.5</v>
      </c>
      <c r="H58" t="n">
        <v>1</v>
      </c>
      <c r="I58" t="n">
        <v>4</v>
      </c>
      <c r="J58" t="n">
        <v>2</v>
      </c>
      <c r="K58" t="n">
        <v>1</v>
      </c>
      <c r="L58" t="n">
        <v>0</v>
      </c>
      <c r="M58" t="n">
        <v>0</v>
      </c>
      <c r="N58" t="n">
        <v>0</v>
      </c>
      <c r="O58" t="n">
        <v>3</v>
      </c>
      <c r="P58" t="n">
        <v>1</v>
      </c>
      <c r="Q58" t="n">
        <v>7</v>
      </c>
      <c r="R58" s="2" t="inlineStr">
        <is>
          <t>Lateritticka
Lunglav
Tallticka
Dropptaggsvamp
Finbräken
Guckusko
Svart trolldruva</t>
        </is>
      </c>
      <c r="S58">
        <f>HYPERLINK("https://klasma.github.io/Logging_2303/artfynd/A 20397-2024 artfynd.xlsx", "A 20397-2024")</f>
        <v/>
      </c>
      <c r="T58">
        <f>HYPERLINK("https://klasma.github.io/Logging_2303/kartor/A 20397-2024 karta.png", "A 20397-2024")</f>
        <v/>
      </c>
      <c r="V58">
        <f>HYPERLINK("https://klasma.github.io/Logging_2303/klagomål/A 20397-2024 FSC-klagomål.docx", "A 20397-2024")</f>
        <v/>
      </c>
      <c r="W58">
        <f>HYPERLINK("https://klasma.github.io/Logging_2303/klagomålsmail/A 20397-2024 FSC-klagomål mail.docx", "A 20397-2024")</f>
        <v/>
      </c>
      <c r="X58">
        <f>HYPERLINK("https://klasma.github.io/Logging_2303/tillsyn/A 20397-2024 tillsynsbegäran.docx", "A 20397-2024")</f>
        <v/>
      </c>
      <c r="Y58">
        <f>HYPERLINK("https://klasma.github.io/Logging_2303/tillsynsmail/A 20397-2024 tillsynsbegäran mail.docx", "A 20397-2024")</f>
        <v/>
      </c>
    </row>
    <row r="59" ht="15" customHeight="1">
      <c r="A59" t="inlineStr">
        <is>
          <t>A 27913-2024</t>
        </is>
      </c>
      <c r="B59" s="1" t="n">
        <v>45475.94796296296</v>
      </c>
      <c r="C59" s="1" t="n">
        <v>46004</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11829-2023</t>
        </is>
      </c>
      <c r="B60" s="1" t="n">
        <v>44994</v>
      </c>
      <c r="C60" s="1" t="n">
        <v>46004</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24169-2021</t>
        </is>
      </c>
      <c r="B61" s="1" t="n">
        <v>44336</v>
      </c>
      <c r="C61" s="1" t="n">
        <v>46004</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61386-2022</t>
        </is>
      </c>
      <c r="B62" s="1" t="n">
        <v>44915</v>
      </c>
      <c r="C62" s="1" t="n">
        <v>46004</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15977-2024</t>
        </is>
      </c>
      <c r="B63" s="1" t="n">
        <v>45405.57392361111</v>
      </c>
      <c r="C63" s="1" t="n">
        <v>46004</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41929-2023</t>
        </is>
      </c>
      <c r="B64" s="1" t="n">
        <v>45176</v>
      </c>
      <c r="C64" s="1" t="n">
        <v>46004</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37237-2023</t>
        </is>
      </c>
      <c r="B65" s="1" t="n">
        <v>45155</v>
      </c>
      <c r="C65" s="1" t="n">
        <v>46004</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26750-2025</t>
        </is>
      </c>
      <c r="B66" s="1" t="n">
        <v>45810.55061342593</v>
      </c>
      <c r="C66" s="1" t="n">
        <v>46004</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19399-2025</t>
        </is>
      </c>
      <c r="B67" s="1" t="n">
        <v>45769.67740740741</v>
      </c>
      <c r="C67" s="1" t="n">
        <v>46004</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1762-2021</t>
        </is>
      </c>
      <c r="B68" s="1" t="n">
        <v>44209</v>
      </c>
      <c r="C68" s="1" t="n">
        <v>46004</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55646-2023</t>
        </is>
      </c>
      <c r="B69" s="1" t="n">
        <v>45238</v>
      </c>
      <c r="C69" s="1" t="n">
        <v>46004</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933-2023</t>
        </is>
      </c>
      <c r="B70" s="1" t="n">
        <v>44932</v>
      </c>
      <c r="C70" s="1" t="n">
        <v>46004</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11828-2023</t>
        </is>
      </c>
      <c r="B71" s="1" t="n">
        <v>44994</v>
      </c>
      <c r="C71" s="1" t="n">
        <v>46004</v>
      </c>
      <c r="D71" t="inlineStr">
        <is>
          <t>JÄMTLANDS LÄN</t>
        </is>
      </c>
      <c r="E71" t="inlineStr">
        <is>
          <t>RAGUNDA</t>
        </is>
      </c>
      <c r="F71" t="inlineStr">
        <is>
          <t>SCA</t>
        </is>
      </c>
      <c r="G71" t="n">
        <v>2.7</v>
      </c>
      <c r="H71" t="n">
        <v>0</v>
      </c>
      <c r="I71" t="n">
        <v>0</v>
      </c>
      <c r="J71" t="n">
        <v>6</v>
      </c>
      <c r="K71" t="n">
        <v>0</v>
      </c>
      <c r="L71" t="n">
        <v>0</v>
      </c>
      <c r="M71" t="n">
        <v>0</v>
      </c>
      <c r="N71" t="n">
        <v>0</v>
      </c>
      <c r="O71" t="n">
        <v>6</v>
      </c>
      <c r="P71" t="n">
        <v>0</v>
      </c>
      <c r="Q71" t="n">
        <v>6</v>
      </c>
      <c r="R71" s="2" t="inlineStr">
        <is>
          <t>Dvärgbägarlav
Garnlav
Kolflarnlav
Mörk kolflarnlav
Vedskivlav
Vedtrappmossa</t>
        </is>
      </c>
      <c r="S71">
        <f>HYPERLINK("https://klasma.github.io/Logging_2303/artfynd/A 11828-2023 artfynd.xlsx", "A 11828-2023")</f>
        <v/>
      </c>
      <c r="T71">
        <f>HYPERLINK("https://klasma.github.io/Logging_2303/kartor/A 11828-2023 karta.png", "A 11828-2023")</f>
        <v/>
      </c>
      <c r="V71">
        <f>HYPERLINK("https://klasma.github.io/Logging_2303/klagomål/A 11828-2023 FSC-klagomål.docx", "A 11828-2023")</f>
        <v/>
      </c>
      <c r="W71">
        <f>HYPERLINK("https://klasma.github.io/Logging_2303/klagomålsmail/A 11828-2023 FSC-klagomål mail.docx", "A 11828-2023")</f>
        <v/>
      </c>
      <c r="X71">
        <f>HYPERLINK("https://klasma.github.io/Logging_2303/tillsyn/A 11828-2023 tillsynsbegäran.docx", "A 11828-2023")</f>
        <v/>
      </c>
      <c r="Y71">
        <f>HYPERLINK("https://klasma.github.io/Logging_2303/tillsynsmail/A 11828-2023 tillsynsbegäran mail.docx", "A 11828-2023")</f>
        <v/>
      </c>
    </row>
    <row r="72" ht="15" customHeight="1">
      <c r="A72" t="inlineStr">
        <is>
          <t>A 53021-2022</t>
        </is>
      </c>
      <c r="B72" s="1" t="n">
        <v>44875</v>
      </c>
      <c r="C72" s="1" t="n">
        <v>46004</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24431-2024</t>
        </is>
      </c>
      <c r="B73" s="1" t="n">
        <v>45457</v>
      </c>
      <c r="C73" s="1" t="n">
        <v>46004</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26326-2024</t>
        </is>
      </c>
      <c r="B74" s="1" t="n">
        <v>45468.97528935185</v>
      </c>
      <c r="C74" s="1" t="n">
        <v>46004</v>
      </c>
      <c r="D74" t="inlineStr">
        <is>
          <t>JÄMTLANDS LÄN</t>
        </is>
      </c>
      <c r="E74" t="inlineStr">
        <is>
          <t>RAGUNDA</t>
        </is>
      </c>
      <c r="F74" t="inlineStr">
        <is>
          <t>SCA</t>
        </is>
      </c>
      <c r="G74" t="n">
        <v>1.8</v>
      </c>
      <c r="H74" t="n">
        <v>1</v>
      </c>
      <c r="I74" t="n">
        <v>1</v>
      </c>
      <c r="J74" t="n">
        <v>4</v>
      </c>
      <c r="K74" t="n">
        <v>1</v>
      </c>
      <c r="L74" t="n">
        <v>0</v>
      </c>
      <c r="M74" t="n">
        <v>0</v>
      </c>
      <c r="N74" t="n">
        <v>0</v>
      </c>
      <c r="O74" t="n">
        <v>5</v>
      </c>
      <c r="P74" t="n">
        <v>1</v>
      </c>
      <c r="Q74" t="n">
        <v>6</v>
      </c>
      <c r="R74" s="2" t="inlineStr">
        <is>
          <t>Knärot
Gammelgransskål
Kortskaftad ärgspik
Mörk kolflarnlav
Vedtrappmossa
Gytterlav</t>
        </is>
      </c>
      <c r="S74">
        <f>HYPERLINK("https://klasma.github.io/Logging_2303/artfynd/A 26326-2024 artfynd.xlsx", "A 26326-2024")</f>
        <v/>
      </c>
      <c r="T74">
        <f>HYPERLINK("https://klasma.github.io/Logging_2303/kartor/A 26326-2024 karta.png", "A 26326-2024")</f>
        <v/>
      </c>
      <c r="U74">
        <f>HYPERLINK("https://klasma.github.io/Logging_2303/knärot/A 26326-2024 karta knärot.png", "A 26326-2024")</f>
        <v/>
      </c>
      <c r="V74">
        <f>HYPERLINK("https://klasma.github.io/Logging_2303/klagomål/A 26326-2024 FSC-klagomål.docx", "A 26326-2024")</f>
        <v/>
      </c>
      <c r="W74">
        <f>HYPERLINK("https://klasma.github.io/Logging_2303/klagomålsmail/A 26326-2024 FSC-klagomål mail.docx", "A 26326-2024")</f>
        <v/>
      </c>
      <c r="X74">
        <f>HYPERLINK("https://klasma.github.io/Logging_2303/tillsyn/A 26326-2024 tillsynsbegäran.docx", "A 26326-2024")</f>
        <v/>
      </c>
      <c r="Y74">
        <f>HYPERLINK("https://klasma.github.io/Logging_2303/tillsynsmail/A 26326-2024 tillsynsbegäran mail.docx", "A 26326-2024")</f>
        <v/>
      </c>
    </row>
    <row r="75" ht="15" customHeight="1">
      <c r="A75" t="inlineStr">
        <is>
          <t>A 27322-2024</t>
        </is>
      </c>
      <c r="B75" s="1" t="n">
        <v>45471.94783564815</v>
      </c>
      <c r="C75" s="1" t="n">
        <v>46004</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39973-2025</t>
        </is>
      </c>
      <c r="B76" s="1" t="n">
        <v>45893.38584490741</v>
      </c>
      <c r="C76" s="1" t="n">
        <v>46004</v>
      </c>
      <c r="D76" t="inlineStr">
        <is>
          <t>JÄMTLANDS LÄN</t>
        </is>
      </c>
      <c r="E76" t="inlineStr">
        <is>
          <t>RAGUNDA</t>
        </is>
      </c>
      <c r="F76" t="inlineStr">
        <is>
          <t>Naturvårdsverket</t>
        </is>
      </c>
      <c r="G76" t="n">
        <v>8</v>
      </c>
      <c r="H76" t="n">
        <v>0</v>
      </c>
      <c r="I76" t="n">
        <v>1</v>
      </c>
      <c r="J76" t="n">
        <v>5</v>
      </c>
      <c r="K76" t="n">
        <v>0</v>
      </c>
      <c r="L76" t="n">
        <v>0</v>
      </c>
      <c r="M76" t="n">
        <v>0</v>
      </c>
      <c r="N76" t="n">
        <v>0</v>
      </c>
      <c r="O76" t="n">
        <v>5</v>
      </c>
      <c r="P76" t="n">
        <v>0</v>
      </c>
      <c r="Q76" t="n">
        <v>6</v>
      </c>
      <c r="R76" s="2" t="inlineStr">
        <is>
          <t>Granticka
Lunglav
Mörk kolflarnlav
Tallticka
Vedskivlav
Skinnlav</t>
        </is>
      </c>
      <c r="S76">
        <f>HYPERLINK("https://klasma.github.io/Logging_2303/artfynd/A 39973-2025 artfynd.xlsx", "A 39973-2025")</f>
        <v/>
      </c>
      <c r="T76">
        <f>HYPERLINK("https://klasma.github.io/Logging_2303/kartor/A 39973-2025 karta.png", "A 39973-2025")</f>
        <v/>
      </c>
      <c r="V76">
        <f>HYPERLINK("https://klasma.github.io/Logging_2303/klagomål/A 39973-2025 FSC-klagomål.docx", "A 39973-2025")</f>
        <v/>
      </c>
      <c r="W76">
        <f>HYPERLINK("https://klasma.github.io/Logging_2303/klagomålsmail/A 39973-2025 FSC-klagomål mail.docx", "A 39973-2025")</f>
        <v/>
      </c>
      <c r="X76">
        <f>HYPERLINK("https://klasma.github.io/Logging_2303/tillsyn/A 39973-2025 tillsynsbegäran.docx", "A 39973-2025")</f>
        <v/>
      </c>
      <c r="Y76">
        <f>HYPERLINK("https://klasma.github.io/Logging_2303/tillsynsmail/A 39973-2025 tillsynsbegäran mail.docx", "A 39973-2025")</f>
        <v/>
      </c>
    </row>
    <row r="77" ht="15" customHeight="1">
      <c r="A77" t="inlineStr">
        <is>
          <t>A 34317-2025</t>
        </is>
      </c>
      <c r="B77" s="1" t="n">
        <v>45846.41361111111</v>
      </c>
      <c r="C77" s="1" t="n">
        <v>46004</v>
      </c>
      <c r="D77" t="inlineStr">
        <is>
          <t>JÄMTLANDS LÄN</t>
        </is>
      </c>
      <c r="E77" t="inlineStr">
        <is>
          <t>RAGUNDA</t>
        </is>
      </c>
      <c r="G77" t="n">
        <v>8.300000000000001</v>
      </c>
      <c r="H77" t="n">
        <v>2</v>
      </c>
      <c r="I77" t="n">
        <v>1</v>
      </c>
      <c r="J77" t="n">
        <v>4</v>
      </c>
      <c r="K77" t="n">
        <v>1</v>
      </c>
      <c r="L77" t="n">
        <v>0</v>
      </c>
      <c r="M77" t="n">
        <v>0</v>
      </c>
      <c r="N77" t="n">
        <v>0</v>
      </c>
      <c r="O77" t="n">
        <v>5</v>
      </c>
      <c r="P77" t="n">
        <v>1</v>
      </c>
      <c r="Q77" t="n">
        <v>6</v>
      </c>
      <c r="R77" s="2" t="inlineStr">
        <is>
          <t>Knärot
Garnlav
Lunglav
Nordtagging
Talltita
Skinnlav</t>
        </is>
      </c>
      <c r="S77">
        <f>HYPERLINK("https://klasma.github.io/Logging_2303/artfynd/A 34317-2025 artfynd.xlsx", "A 34317-2025")</f>
        <v/>
      </c>
      <c r="T77">
        <f>HYPERLINK("https://klasma.github.io/Logging_2303/kartor/A 34317-2025 karta.png", "A 34317-2025")</f>
        <v/>
      </c>
      <c r="U77">
        <f>HYPERLINK("https://klasma.github.io/Logging_2303/knärot/A 34317-2025 karta knärot.png", "A 34317-2025")</f>
        <v/>
      </c>
      <c r="V77">
        <f>HYPERLINK("https://klasma.github.io/Logging_2303/klagomål/A 34317-2025 FSC-klagomål.docx", "A 34317-2025")</f>
        <v/>
      </c>
      <c r="W77">
        <f>HYPERLINK("https://klasma.github.io/Logging_2303/klagomålsmail/A 34317-2025 FSC-klagomål mail.docx", "A 34317-2025")</f>
        <v/>
      </c>
      <c r="X77">
        <f>HYPERLINK("https://klasma.github.io/Logging_2303/tillsyn/A 34317-2025 tillsynsbegäran.docx", "A 34317-2025")</f>
        <v/>
      </c>
      <c r="Y77">
        <f>HYPERLINK("https://klasma.github.io/Logging_2303/tillsynsmail/A 34317-2025 tillsynsbegäran mail.docx", "A 34317-2025")</f>
        <v/>
      </c>
      <c r="Z77">
        <f>HYPERLINK("https://klasma.github.io/Logging_2303/fåglar/A 34317-2025 prioriterade fågelarter.docx", "A 34317-2025")</f>
        <v/>
      </c>
    </row>
    <row r="78" ht="15" customHeight="1">
      <c r="A78" t="inlineStr">
        <is>
          <t>A 49291-2025</t>
        </is>
      </c>
      <c r="B78" s="1" t="n">
        <v>45938.53188657408</v>
      </c>
      <c r="C78" s="1" t="n">
        <v>46004</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30637-2024</t>
        </is>
      </c>
      <c r="B79" s="1" t="n">
        <v>45495.56244212963</v>
      </c>
      <c r="C79" s="1" t="n">
        <v>46004</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47115-2025</t>
        </is>
      </c>
      <c r="B80" s="1" t="n">
        <v>45929.67459490741</v>
      </c>
      <c r="C80" s="1" t="n">
        <v>46004</v>
      </c>
      <c r="D80" t="inlineStr">
        <is>
          <t>JÄMTLANDS LÄN</t>
        </is>
      </c>
      <c r="E80" t="inlineStr">
        <is>
          <t>RAGUNDA</t>
        </is>
      </c>
      <c r="G80" t="n">
        <v>6.4</v>
      </c>
      <c r="H80" t="n">
        <v>4</v>
      </c>
      <c r="I80" t="n">
        <v>0</v>
      </c>
      <c r="J80" t="n">
        <v>3</v>
      </c>
      <c r="K80" t="n">
        <v>2</v>
      </c>
      <c r="L80" t="n">
        <v>0</v>
      </c>
      <c r="M80" t="n">
        <v>0</v>
      </c>
      <c r="N80" t="n">
        <v>0</v>
      </c>
      <c r="O80" t="n">
        <v>5</v>
      </c>
      <c r="P80" t="n">
        <v>2</v>
      </c>
      <c r="Q80" t="n">
        <v>6</v>
      </c>
      <c r="R80" s="2" t="inlineStr">
        <is>
          <t>Doftticka
Knärot
Garnlav
Lunglav
Tretåig hackspett
Lavskrika</t>
        </is>
      </c>
      <c r="S80">
        <f>HYPERLINK("https://klasma.github.io/Logging_2303/artfynd/A 47115-2025 artfynd.xlsx", "A 47115-2025")</f>
        <v/>
      </c>
      <c r="T80">
        <f>HYPERLINK("https://klasma.github.io/Logging_2303/kartor/A 47115-2025 karta.png", "A 47115-2025")</f>
        <v/>
      </c>
      <c r="U80">
        <f>HYPERLINK("https://klasma.github.io/Logging_2303/knärot/A 47115-2025 karta knärot.png", "A 47115-2025")</f>
        <v/>
      </c>
      <c r="V80">
        <f>HYPERLINK("https://klasma.github.io/Logging_2303/klagomål/A 47115-2025 FSC-klagomål.docx", "A 47115-2025")</f>
        <v/>
      </c>
      <c r="W80">
        <f>HYPERLINK("https://klasma.github.io/Logging_2303/klagomålsmail/A 47115-2025 FSC-klagomål mail.docx", "A 47115-2025")</f>
        <v/>
      </c>
      <c r="X80">
        <f>HYPERLINK("https://klasma.github.io/Logging_2303/tillsyn/A 47115-2025 tillsynsbegäran.docx", "A 47115-2025")</f>
        <v/>
      </c>
      <c r="Y80">
        <f>HYPERLINK("https://klasma.github.io/Logging_2303/tillsynsmail/A 47115-2025 tillsynsbegäran mail.docx", "A 47115-2025")</f>
        <v/>
      </c>
      <c r="Z80">
        <f>HYPERLINK("https://klasma.github.io/Logging_2303/fåglar/A 47115-2025 prioriterade fågelarter.docx", "A 47115-2025")</f>
        <v/>
      </c>
    </row>
    <row r="81" ht="15" customHeight="1">
      <c r="A81" t="inlineStr">
        <is>
          <t>A 19402-2025</t>
        </is>
      </c>
      <c r="B81" s="1" t="n">
        <v>45769.67778935185</v>
      </c>
      <c r="C81" s="1" t="n">
        <v>46004</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30884-2025</t>
        </is>
      </c>
      <c r="B82" s="1" t="n">
        <v>45832.34564814815</v>
      </c>
      <c r="C82" s="1" t="n">
        <v>46004</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36276-2025</t>
        </is>
      </c>
      <c r="B83" s="1" t="n">
        <v>45867.63619212963</v>
      </c>
      <c r="C83" s="1" t="n">
        <v>46004</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14908-2022</t>
        </is>
      </c>
      <c r="B84" s="1" t="n">
        <v>44656</v>
      </c>
      <c r="C84" s="1" t="n">
        <v>46004</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Garnlav
Skrovellav
Bårdlav
Källmossa
Ögonpyrola</t>
        </is>
      </c>
      <c r="S84">
        <f>HYPERLINK("https://klasma.github.io/Logging_2303/artfynd/A 14908-2022 artfynd.xlsx", "A 14908-2022")</f>
        <v/>
      </c>
      <c r="T84">
        <f>HYPERLINK("https://klasma.github.io/Logging_2303/kartor/A 14908-2022 karta.png", "A 14908-2022")</f>
        <v/>
      </c>
      <c r="V84">
        <f>HYPERLINK("https://klasma.github.io/Logging_2303/klagomål/A 14908-2022 FSC-klagomål.docx", "A 14908-2022")</f>
        <v/>
      </c>
      <c r="W84">
        <f>HYPERLINK("https://klasma.github.io/Logging_2303/klagomålsmail/A 14908-2022 FSC-klagomål mail.docx", "A 14908-2022")</f>
        <v/>
      </c>
      <c r="X84">
        <f>HYPERLINK("https://klasma.github.io/Logging_2303/tillsyn/A 14908-2022 tillsynsbegäran.docx", "A 14908-2022")</f>
        <v/>
      </c>
      <c r="Y84">
        <f>HYPERLINK("https://klasma.github.io/Logging_2303/tillsynsmail/A 14908-2022 tillsynsbegäran mail.docx", "A 14908-2022")</f>
        <v/>
      </c>
    </row>
    <row r="85" ht="15" customHeight="1">
      <c r="A85" t="inlineStr">
        <is>
          <t>A 15379-2024</t>
        </is>
      </c>
      <c r="B85" s="1" t="n">
        <v>45400.94002314815</v>
      </c>
      <c r="C85" s="1" t="n">
        <v>46004</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27313-2024</t>
        </is>
      </c>
      <c r="B86" s="1" t="n">
        <v>45471.94623842592</v>
      </c>
      <c r="C86" s="1" t="n">
        <v>46004</v>
      </c>
      <c r="D86" t="inlineStr">
        <is>
          <t>JÄMTLANDS LÄN</t>
        </is>
      </c>
      <c r="E86" t="inlineStr">
        <is>
          <t>RAGUNDA</t>
        </is>
      </c>
      <c r="G86" t="n">
        <v>2.1</v>
      </c>
      <c r="H86" t="n">
        <v>2</v>
      </c>
      <c r="I86" t="n">
        <v>0</v>
      </c>
      <c r="J86" t="n">
        <v>3</v>
      </c>
      <c r="K86" t="n">
        <v>1</v>
      </c>
      <c r="L86" t="n">
        <v>0</v>
      </c>
      <c r="M86" t="n">
        <v>0</v>
      </c>
      <c r="N86" t="n">
        <v>0</v>
      </c>
      <c r="O86" t="n">
        <v>4</v>
      </c>
      <c r="P86" t="n">
        <v>1</v>
      </c>
      <c r="Q86" t="n">
        <v>5</v>
      </c>
      <c r="R86" s="2" t="inlineStr">
        <is>
          <t>Knärot
Gammelgransskål
Garnlav
Lunglav
Nattviol</t>
        </is>
      </c>
      <c r="S86">
        <f>HYPERLINK("https://klasma.github.io/Logging_2303/artfynd/A 27313-2024 artfynd.xlsx", "A 27313-2024")</f>
        <v/>
      </c>
      <c r="T86">
        <f>HYPERLINK("https://klasma.github.io/Logging_2303/kartor/A 27313-2024 karta.png", "A 27313-2024")</f>
        <v/>
      </c>
      <c r="U86">
        <f>HYPERLINK("https://klasma.github.io/Logging_2303/knärot/A 27313-2024 karta knärot.png", "A 27313-2024")</f>
        <v/>
      </c>
      <c r="V86">
        <f>HYPERLINK("https://klasma.github.io/Logging_2303/klagomål/A 27313-2024 FSC-klagomål.docx", "A 27313-2024")</f>
        <v/>
      </c>
      <c r="W86">
        <f>HYPERLINK("https://klasma.github.io/Logging_2303/klagomålsmail/A 27313-2024 FSC-klagomål mail.docx", "A 27313-2024")</f>
        <v/>
      </c>
      <c r="X86">
        <f>HYPERLINK("https://klasma.github.io/Logging_2303/tillsyn/A 27313-2024 tillsynsbegäran.docx", "A 27313-2024")</f>
        <v/>
      </c>
      <c r="Y86">
        <f>HYPERLINK("https://klasma.github.io/Logging_2303/tillsynsmail/A 27313-2024 tillsynsbegäran mail.docx", "A 27313-2024")</f>
        <v/>
      </c>
    </row>
    <row r="87" ht="15" customHeight="1">
      <c r="A87" t="inlineStr">
        <is>
          <t>A 45969-2023</t>
        </is>
      </c>
      <c r="B87" s="1" t="n">
        <v>45195</v>
      </c>
      <c r="C87" s="1" t="n">
        <v>46004</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13266-2023</t>
        </is>
      </c>
      <c r="B88" s="1" t="n">
        <v>45002.94356481481</v>
      </c>
      <c r="C88" s="1" t="n">
        <v>46004</v>
      </c>
      <c r="D88" t="inlineStr">
        <is>
          <t>JÄMTLANDS LÄN</t>
        </is>
      </c>
      <c r="E88" t="inlineStr">
        <is>
          <t>RAGUNDA</t>
        </is>
      </c>
      <c r="F88" t="inlineStr">
        <is>
          <t>SCA</t>
        </is>
      </c>
      <c r="G88" t="n">
        <v>4.1</v>
      </c>
      <c r="H88" t="n">
        <v>1</v>
      </c>
      <c r="I88" t="n">
        <v>0</v>
      </c>
      <c r="J88" t="n">
        <v>4</v>
      </c>
      <c r="K88" t="n">
        <v>0</v>
      </c>
      <c r="L88" t="n">
        <v>0</v>
      </c>
      <c r="M88" t="n">
        <v>0</v>
      </c>
      <c r="N88" t="n">
        <v>0</v>
      </c>
      <c r="O88" t="n">
        <v>4</v>
      </c>
      <c r="P88" t="n">
        <v>0</v>
      </c>
      <c r="Q88" t="n">
        <v>5</v>
      </c>
      <c r="R88" s="2" t="inlineStr">
        <is>
          <t>Gammelgransskål
Garnlav
Granticka
Lunglav
Revlummer</t>
        </is>
      </c>
      <c r="S88">
        <f>HYPERLINK("https://klasma.github.io/Logging_2303/artfynd/A 13266-2023 artfynd.xlsx", "A 13266-2023")</f>
        <v/>
      </c>
      <c r="T88">
        <f>HYPERLINK("https://klasma.github.io/Logging_2303/kartor/A 13266-2023 karta.png", "A 13266-2023")</f>
        <v/>
      </c>
      <c r="V88">
        <f>HYPERLINK("https://klasma.github.io/Logging_2303/klagomål/A 13266-2023 FSC-klagomål.docx", "A 13266-2023")</f>
        <v/>
      </c>
      <c r="W88">
        <f>HYPERLINK("https://klasma.github.io/Logging_2303/klagomålsmail/A 13266-2023 FSC-klagomål mail.docx", "A 13266-2023")</f>
        <v/>
      </c>
      <c r="X88">
        <f>HYPERLINK("https://klasma.github.io/Logging_2303/tillsyn/A 13266-2023 tillsynsbegäran.docx", "A 13266-2023")</f>
        <v/>
      </c>
      <c r="Y88">
        <f>HYPERLINK("https://klasma.github.io/Logging_2303/tillsynsmail/A 13266-2023 tillsynsbegäran mail.docx", "A 13266-2023")</f>
        <v/>
      </c>
    </row>
    <row r="89" ht="15" customHeight="1">
      <c r="A89" t="inlineStr">
        <is>
          <t>A 39365-2024</t>
        </is>
      </c>
      <c r="B89" s="1" t="n">
        <v>45551.46912037037</v>
      </c>
      <c r="C89" s="1" t="n">
        <v>46004</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57073-2023</t>
        </is>
      </c>
      <c r="B90" s="1" t="n">
        <v>45244</v>
      </c>
      <c r="C90" s="1" t="n">
        <v>46004</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Aspgelélav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15244-2025</t>
        </is>
      </c>
      <c r="B91" s="1" t="n">
        <v>45744.61550925926</v>
      </c>
      <c r="C91" s="1" t="n">
        <v>46004</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43106-2023</t>
        </is>
      </c>
      <c r="B92" s="1" t="n">
        <v>45182</v>
      </c>
      <c r="C92" s="1" t="n">
        <v>46004</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38169-2024</t>
        </is>
      </c>
      <c r="B93" s="1" t="n">
        <v>45545.45748842593</v>
      </c>
      <c r="C93" s="1" t="n">
        <v>46004</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12024-2022</t>
        </is>
      </c>
      <c r="B94" s="1" t="n">
        <v>44635</v>
      </c>
      <c r="C94" s="1" t="n">
        <v>46004</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18629-2024</t>
        </is>
      </c>
      <c r="B95" s="1" t="n">
        <v>45425.96472222222</v>
      </c>
      <c r="C95" s="1" t="n">
        <v>46004</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39974-2025</t>
        </is>
      </c>
      <c r="B96" s="1" t="n">
        <v>45893.38599537037</v>
      </c>
      <c r="C96" s="1" t="n">
        <v>46004</v>
      </c>
      <c r="D96" t="inlineStr">
        <is>
          <t>JÄMTLANDS LÄN</t>
        </is>
      </c>
      <c r="E96" t="inlineStr">
        <is>
          <t>RAGUNDA</t>
        </is>
      </c>
      <c r="F96" t="inlineStr">
        <is>
          <t>SCA</t>
        </is>
      </c>
      <c r="G96" t="n">
        <v>2.5</v>
      </c>
      <c r="H96" t="n">
        <v>0</v>
      </c>
      <c r="I96" t="n">
        <v>2</v>
      </c>
      <c r="J96" t="n">
        <v>3</v>
      </c>
      <c r="K96" t="n">
        <v>0</v>
      </c>
      <c r="L96" t="n">
        <v>0</v>
      </c>
      <c r="M96" t="n">
        <v>0</v>
      </c>
      <c r="N96" t="n">
        <v>0</v>
      </c>
      <c r="O96" t="n">
        <v>3</v>
      </c>
      <c r="P96" t="n">
        <v>0</v>
      </c>
      <c r="Q96" t="n">
        <v>5</v>
      </c>
      <c r="R96" s="2" t="inlineStr">
        <is>
          <t>Garnlav
Lunglav
Skrovellav
Dropptaggsvamp
Luddlav</t>
        </is>
      </c>
      <c r="S96">
        <f>HYPERLINK("https://klasma.github.io/Logging_2303/artfynd/A 39974-2025 artfynd.xlsx", "A 39974-2025")</f>
        <v/>
      </c>
      <c r="T96">
        <f>HYPERLINK("https://klasma.github.io/Logging_2303/kartor/A 39974-2025 karta.png", "A 39974-2025")</f>
        <v/>
      </c>
      <c r="V96">
        <f>HYPERLINK("https://klasma.github.io/Logging_2303/klagomål/A 39974-2025 FSC-klagomål.docx", "A 39974-2025")</f>
        <v/>
      </c>
      <c r="W96">
        <f>HYPERLINK("https://klasma.github.io/Logging_2303/klagomålsmail/A 39974-2025 FSC-klagomål mail.docx", "A 39974-2025")</f>
        <v/>
      </c>
      <c r="X96">
        <f>HYPERLINK("https://klasma.github.io/Logging_2303/tillsyn/A 39974-2025 tillsynsbegäran.docx", "A 39974-2025")</f>
        <v/>
      </c>
      <c r="Y96">
        <f>HYPERLINK("https://klasma.github.io/Logging_2303/tillsynsmail/A 39974-2025 tillsynsbegäran mail.docx", "A 39974-2025")</f>
        <v/>
      </c>
    </row>
    <row r="97" ht="15" customHeight="1">
      <c r="A97" t="inlineStr">
        <is>
          <t>A 60683-2022</t>
        </is>
      </c>
      <c r="B97" s="1" t="n">
        <v>44911</v>
      </c>
      <c r="C97" s="1" t="n">
        <v>46004</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22469-2024</t>
        </is>
      </c>
      <c r="B98" s="1" t="n">
        <v>45446.95087962963</v>
      </c>
      <c r="C98" s="1" t="n">
        <v>46004</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30886-2025</t>
        </is>
      </c>
      <c r="B99" s="1" t="n">
        <v>45832.34578703704</v>
      </c>
      <c r="C99" s="1" t="n">
        <v>46004</v>
      </c>
      <c r="D99" t="inlineStr">
        <is>
          <t>JÄMTLANDS LÄN</t>
        </is>
      </c>
      <c r="E99" t="inlineStr">
        <is>
          <t>RAGUNDA</t>
        </is>
      </c>
      <c r="F99" t="inlineStr">
        <is>
          <t>SCA</t>
        </is>
      </c>
      <c r="G99" t="n">
        <v>4.4</v>
      </c>
      <c r="H99" t="n">
        <v>3</v>
      </c>
      <c r="I99" t="n">
        <v>1</v>
      </c>
      <c r="J99" t="n">
        <v>2</v>
      </c>
      <c r="K99" t="n">
        <v>1</v>
      </c>
      <c r="L99" t="n">
        <v>0</v>
      </c>
      <c r="M99" t="n">
        <v>0</v>
      </c>
      <c r="N99" t="n">
        <v>0</v>
      </c>
      <c r="O99" t="n">
        <v>3</v>
      </c>
      <c r="P99" t="n">
        <v>1</v>
      </c>
      <c r="Q99" t="n">
        <v>5</v>
      </c>
      <c r="R99" s="2" t="inlineStr">
        <is>
          <t>Knärot
Järpe
Lunglav
Ögonpyrola
Nattviol</t>
        </is>
      </c>
      <c r="S99">
        <f>HYPERLINK("https://klasma.github.io/Logging_2303/artfynd/A 30886-2025 artfynd.xlsx", "A 30886-2025")</f>
        <v/>
      </c>
      <c r="T99">
        <f>HYPERLINK("https://klasma.github.io/Logging_2303/kartor/A 30886-2025 karta.png", "A 30886-2025")</f>
        <v/>
      </c>
      <c r="U99">
        <f>HYPERLINK("https://klasma.github.io/Logging_2303/knärot/A 30886-2025 karta knärot.png", "A 30886-2025")</f>
        <v/>
      </c>
      <c r="V99">
        <f>HYPERLINK("https://klasma.github.io/Logging_2303/klagomål/A 30886-2025 FSC-klagomål.docx", "A 30886-2025")</f>
        <v/>
      </c>
      <c r="W99">
        <f>HYPERLINK("https://klasma.github.io/Logging_2303/klagomålsmail/A 30886-2025 FSC-klagomål mail.docx", "A 30886-2025")</f>
        <v/>
      </c>
      <c r="X99">
        <f>HYPERLINK("https://klasma.github.io/Logging_2303/tillsyn/A 30886-2025 tillsynsbegäran.docx", "A 30886-2025")</f>
        <v/>
      </c>
      <c r="Y99">
        <f>HYPERLINK("https://klasma.github.io/Logging_2303/tillsynsmail/A 30886-2025 tillsynsbegäran mail.docx", "A 30886-2025")</f>
        <v/>
      </c>
      <c r="Z99">
        <f>HYPERLINK("https://klasma.github.io/Logging_2303/fåglar/A 30886-2025 prioriterade fågelarter.docx", "A 30886-2025")</f>
        <v/>
      </c>
    </row>
    <row r="100" ht="15" customHeight="1">
      <c r="A100" t="inlineStr">
        <is>
          <t>A 35344-2025</t>
        </is>
      </c>
      <c r="B100" s="1" t="n">
        <v>45854.61494212963</v>
      </c>
      <c r="C100" s="1" t="n">
        <v>46004</v>
      </c>
      <c r="D100" t="inlineStr">
        <is>
          <t>JÄMTLANDS LÄN</t>
        </is>
      </c>
      <c r="E100" t="inlineStr">
        <is>
          <t>RAGUNDA</t>
        </is>
      </c>
      <c r="F100" t="inlineStr">
        <is>
          <t>SCA</t>
        </is>
      </c>
      <c r="G100" t="n">
        <v>6.1</v>
      </c>
      <c r="H100" t="n">
        <v>0</v>
      </c>
      <c r="I100" t="n">
        <v>0</v>
      </c>
      <c r="J100" t="n">
        <v>5</v>
      </c>
      <c r="K100" t="n">
        <v>0</v>
      </c>
      <c r="L100" t="n">
        <v>0</v>
      </c>
      <c r="M100" t="n">
        <v>0</v>
      </c>
      <c r="N100" t="n">
        <v>0</v>
      </c>
      <c r="O100" t="n">
        <v>5</v>
      </c>
      <c r="P100" t="n">
        <v>0</v>
      </c>
      <c r="Q100" t="n">
        <v>5</v>
      </c>
      <c r="R100" s="2" t="inlineStr">
        <is>
          <t>Blå taggsvamp
Garnlav
Lunglav
Svart taggsvamp
Vedtrappmossa</t>
        </is>
      </c>
      <c r="S100">
        <f>HYPERLINK("https://klasma.github.io/Logging_2303/artfynd/A 35344-2025 artfynd.xlsx", "A 35344-2025")</f>
        <v/>
      </c>
      <c r="T100">
        <f>HYPERLINK("https://klasma.github.io/Logging_2303/kartor/A 35344-2025 karta.png", "A 35344-2025")</f>
        <v/>
      </c>
      <c r="V100">
        <f>HYPERLINK("https://klasma.github.io/Logging_2303/klagomål/A 35344-2025 FSC-klagomål.docx", "A 35344-2025")</f>
        <v/>
      </c>
      <c r="W100">
        <f>HYPERLINK("https://klasma.github.io/Logging_2303/klagomålsmail/A 35344-2025 FSC-klagomål mail.docx", "A 35344-2025")</f>
        <v/>
      </c>
      <c r="X100">
        <f>HYPERLINK("https://klasma.github.io/Logging_2303/tillsyn/A 35344-2025 tillsynsbegäran.docx", "A 35344-2025")</f>
        <v/>
      </c>
      <c r="Y100">
        <f>HYPERLINK("https://klasma.github.io/Logging_2303/tillsynsmail/A 35344-2025 tillsynsbegäran mail.docx", "A 35344-2025")</f>
        <v/>
      </c>
    </row>
    <row r="101" ht="15" customHeight="1">
      <c r="A101" t="inlineStr">
        <is>
          <t>A 2579-2025</t>
        </is>
      </c>
      <c r="B101" s="1" t="n">
        <v>45674.67744212963</v>
      </c>
      <c r="C101" s="1" t="n">
        <v>46004</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8636-2021</t>
        </is>
      </c>
      <c r="B102" s="1" t="n">
        <v>44245</v>
      </c>
      <c r="C102" s="1" t="n">
        <v>46004</v>
      </c>
      <c r="D102" t="inlineStr">
        <is>
          <t>JÄMTLANDS LÄN</t>
        </is>
      </c>
      <c r="E102" t="inlineStr">
        <is>
          <t>RAGUNDA</t>
        </is>
      </c>
      <c r="F102" t="inlineStr">
        <is>
          <t>SCA</t>
        </is>
      </c>
      <c r="G102" t="n">
        <v>6.9</v>
      </c>
      <c r="H102" t="n">
        <v>0</v>
      </c>
      <c r="I102" t="n">
        <v>3</v>
      </c>
      <c r="J102" t="n">
        <v>1</v>
      </c>
      <c r="K102" t="n">
        <v>0</v>
      </c>
      <c r="L102" t="n">
        <v>0</v>
      </c>
      <c r="M102" t="n">
        <v>0</v>
      </c>
      <c r="N102" t="n">
        <v>0</v>
      </c>
      <c r="O102" t="n">
        <v>1</v>
      </c>
      <c r="P102" t="n">
        <v>0</v>
      </c>
      <c r="Q102" t="n">
        <v>4</v>
      </c>
      <c r="R102" s="2" t="inlineStr">
        <is>
          <t>Lunglav
Luddlav
Skinnlav
Stuplav</t>
        </is>
      </c>
      <c r="S102">
        <f>HYPERLINK("https://klasma.github.io/Logging_2303/artfynd/A 8636-2021 artfynd.xlsx", "A 8636-2021")</f>
        <v/>
      </c>
      <c r="T102">
        <f>HYPERLINK("https://klasma.github.io/Logging_2303/kartor/A 8636-2021 karta.png", "A 8636-2021")</f>
        <v/>
      </c>
      <c r="V102">
        <f>HYPERLINK("https://klasma.github.io/Logging_2303/klagomål/A 8636-2021 FSC-klagomål.docx", "A 8636-2021")</f>
        <v/>
      </c>
      <c r="W102">
        <f>HYPERLINK("https://klasma.github.io/Logging_2303/klagomålsmail/A 8636-2021 FSC-klagomål mail.docx", "A 8636-2021")</f>
        <v/>
      </c>
      <c r="X102">
        <f>HYPERLINK("https://klasma.github.io/Logging_2303/tillsyn/A 8636-2021 tillsynsbegäran.docx", "A 8636-2021")</f>
        <v/>
      </c>
      <c r="Y102">
        <f>HYPERLINK("https://klasma.github.io/Logging_2303/tillsynsmail/A 8636-2021 tillsynsbegäran mail.docx", "A 8636-2021")</f>
        <v/>
      </c>
    </row>
    <row r="103" ht="15" customHeight="1">
      <c r="A103" t="inlineStr">
        <is>
          <t>A 19851-2022</t>
        </is>
      </c>
      <c r="B103" s="1" t="n">
        <v>44696</v>
      </c>
      <c r="C103" s="1" t="n">
        <v>46004</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15667-2022</t>
        </is>
      </c>
      <c r="B104" s="1" t="n">
        <v>44662</v>
      </c>
      <c r="C104" s="1" t="n">
        <v>46004</v>
      </c>
      <c r="D104" t="inlineStr">
        <is>
          <t>JÄMTLANDS LÄN</t>
        </is>
      </c>
      <c r="E104" t="inlineStr">
        <is>
          <t>RAGUNDA</t>
        </is>
      </c>
      <c r="F104" t="inlineStr">
        <is>
          <t>SCA</t>
        </is>
      </c>
      <c r="G104" t="n">
        <v>2.9</v>
      </c>
      <c r="H104" t="n">
        <v>0</v>
      </c>
      <c r="I104" t="n">
        <v>2</v>
      </c>
      <c r="J104" t="n">
        <v>2</v>
      </c>
      <c r="K104" t="n">
        <v>0</v>
      </c>
      <c r="L104" t="n">
        <v>0</v>
      </c>
      <c r="M104" t="n">
        <v>0</v>
      </c>
      <c r="N104" t="n">
        <v>0</v>
      </c>
      <c r="O104" t="n">
        <v>2</v>
      </c>
      <c r="P104" t="n">
        <v>0</v>
      </c>
      <c r="Q104" t="n">
        <v>4</v>
      </c>
      <c r="R104" s="2" t="inlineStr">
        <is>
          <t>Garnlav
Lunglav
Källmossa
Ögonpyrola</t>
        </is>
      </c>
      <c r="S104">
        <f>HYPERLINK("https://klasma.github.io/Logging_2303/artfynd/A 15667-2022 artfynd.xlsx", "A 15667-2022")</f>
        <v/>
      </c>
      <c r="T104">
        <f>HYPERLINK("https://klasma.github.io/Logging_2303/kartor/A 15667-2022 karta.png", "A 15667-2022")</f>
        <v/>
      </c>
      <c r="V104">
        <f>HYPERLINK("https://klasma.github.io/Logging_2303/klagomål/A 15667-2022 FSC-klagomål.docx", "A 15667-2022")</f>
        <v/>
      </c>
      <c r="W104">
        <f>HYPERLINK("https://klasma.github.io/Logging_2303/klagomålsmail/A 15667-2022 FSC-klagomål mail.docx", "A 15667-2022")</f>
        <v/>
      </c>
      <c r="X104">
        <f>HYPERLINK("https://klasma.github.io/Logging_2303/tillsyn/A 15667-2022 tillsynsbegäran.docx", "A 15667-2022")</f>
        <v/>
      </c>
      <c r="Y104">
        <f>HYPERLINK("https://klasma.github.io/Logging_2303/tillsynsmail/A 15667-2022 tillsynsbegäran mail.docx", "A 15667-2022")</f>
        <v/>
      </c>
    </row>
    <row r="105" ht="15" customHeight="1">
      <c r="A105" t="inlineStr">
        <is>
          <t>A 60670-2022</t>
        </is>
      </c>
      <c r="B105" s="1" t="n">
        <v>44911</v>
      </c>
      <c r="C105" s="1" t="n">
        <v>46004</v>
      </c>
      <c r="D105" t="inlineStr">
        <is>
          <t>JÄMTLANDS LÄN</t>
        </is>
      </c>
      <c r="E105" t="inlineStr">
        <is>
          <t>RAGUNDA</t>
        </is>
      </c>
      <c r="F105" t="inlineStr">
        <is>
          <t>SCA</t>
        </is>
      </c>
      <c r="G105" t="n">
        <v>5.1</v>
      </c>
      <c r="H105" t="n">
        <v>0</v>
      </c>
      <c r="I105" t="n">
        <v>0</v>
      </c>
      <c r="J105" t="n">
        <v>4</v>
      </c>
      <c r="K105" t="n">
        <v>0</v>
      </c>
      <c r="L105" t="n">
        <v>0</v>
      </c>
      <c r="M105" t="n">
        <v>0</v>
      </c>
      <c r="N105" t="n">
        <v>0</v>
      </c>
      <c r="O105" t="n">
        <v>4</v>
      </c>
      <c r="P105" t="n">
        <v>0</v>
      </c>
      <c r="Q105" t="n">
        <v>4</v>
      </c>
      <c r="R105" s="2" t="inlineStr">
        <is>
          <t>Doftskinn
Gammelgransskål
Lunglav
Ullticka</t>
        </is>
      </c>
      <c r="S105">
        <f>HYPERLINK("https://klasma.github.io/Logging_2303/artfynd/A 60670-2022 artfynd.xlsx", "A 60670-2022")</f>
        <v/>
      </c>
      <c r="T105">
        <f>HYPERLINK("https://klasma.github.io/Logging_2303/kartor/A 60670-2022 karta.png", "A 60670-2022")</f>
        <v/>
      </c>
      <c r="V105">
        <f>HYPERLINK("https://klasma.github.io/Logging_2303/klagomål/A 60670-2022 FSC-klagomål.docx", "A 60670-2022")</f>
        <v/>
      </c>
      <c r="W105">
        <f>HYPERLINK("https://klasma.github.io/Logging_2303/klagomålsmail/A 60670-2022 FSC-klagomål mail.docx", "A 60670-2022")</f>
        <v/>
      </c>
      <c r="X105">
        <f>HYPERLINK("https://klasma.github.io/Logging_2303/tillsyn/A 60670-2022 tillsynsbegäran.docx", "A 60670-2022")</f>
        <v/>
      </c>
      <c r="Y105">
        <f>HYPERLINK("https://klasma.github.io/Logging_2303/tillsynsmail/A 60670-2022 tillsynsbegäran mail.docx", "A 60670-2022")</f>
        <v/>
      </c>
    </row>
    <row r="106" ht="15" customHeight="1">
      <c r="A106" t="inlineStr">
        <is>
          <t>A 32903-2024</t>
        </is>
      </c>
      <c r="B106" s="1" t="n">
        <v>45516.94723379629</v>
      </c>
      <c r="C106" s="1" t="n">
        <v>46004</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32067-2024</t>
        </is>
      </c>
      <c r="B107" s="1" t="n">
        <v>45510</v>
      </c>
      <c r="C107" s="1" t="n">
        <v>46004</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52644-2024</t>
        </is>
      </c>
      <c r="B108" s="1" t="n">
        <v>45610.34415509259</v>
      </c>
      <c r="C108" s="1" t="n">
        <v>46004</v>
      </c>
      <c r="D108" t="inlineStr">
        <is>
          <t>JÄMTLANDS LÄN</t>
        </is>
      </c>
      <c r="E108" t="inlineStr">
        <is>
          <t>RAGUNDA</t>
        </is>
      </c>
      <c r="F108" t="inlineStr">
        <is>
          <t>SCA</t>
        </is>
      </c>
      <c r="G108" t="n">
        <v>6.6</v>
      </c>
      <c r="H108" t="n">
        <v>2</v>
      </c>
      <c r="I108" t="n">
        <v>1</v>
      </c>
      <c r="J108" t="n">
        <v>2</v>
      </c>
      <c r="K108" t="n">
        <v>1</v>
      </c>
      <c r="L108" t="n">
        <v>0</v>
      </c>
      <c r="M108" t="n">
        <v>0</v>
      </c>
      <c r="N108" t="n">
        <v>0</v>
      </c>
      <c r="O108" t="n">
        <v>3</v>
      </c>
      <c r="P108" t="n">
        <v>1</v>
      </c>
      <c r="Q108" t="n">
        <v>4</v>
      </c>
      <c r="R108" s="2" t="inlineStr">
        <is>
          <t>Doftticka
Gammelgransskål
Lunglav
Guckusko</t>
        </is>
      </c>
      <c r="S108">
        <f>HYPERLINK("https://klasma.github.io/Logging_2303/artfynd/A 52644-2024 artfynd.xlsx", "A 52644-2024")</f>
        <v/>
      </c>
      <c r="T108">
        <f>HYPERLINK("https://klasma.github.io/Logging_2303/kartor/A 52644-2024 karta.png", "A 52644-2024")</f>
        <v/>
      </c>
      <c r="V108">
        <f>HYPERLINK("https://klasma.github.io/Logging_2303/klagomål/A 52644-2024 FSC-klagomål.docx", "A 52644-2024")</f>
        <v/>
      </c>
      <c r="W108">
        <f>HYPERLINK("https://klasma.github.io/Logging_2303/klagomålsmail/A 52644-2024 FSC-klagomål mail.docx", "A 52644-2024")</f>
        <v/>
      </c>
      <c r="X108">
        <f>HYPERLINK("https://klasma.github.io/Logging_2303/tillsyn/A 52644-2024 tillsynsbegäran.docx", "A 52644-2024")</f>
        <v/>
      </c>
      <c r="Y108">
        <f>HYPERLINK("https://klasma.github.io/Logging_2303/tillsynsmail/A 52644-2024 tillsynsbegäran mail.docx", "A 52644-2024")</f>
        <v/>
      </c>
    </row>
    <row r="109" ht="15" customHeight="1">
      <c r="A109" t="inlineStr">
        <is>
          <t>A 43960-2023</t>
        </is>
      </c>
      <c r="B109" s="1" t="n">
        <v>45187</v>
      </c>
      <c r="C109" s="1" t="n">
        <v>46004</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30483-2024</t>
        </is>
      </c>
      <c r="B110" s="1" t="n">
        <v>45491</v>
      </c>
      <c r="C110" s="1" t="n">
        <v>46004</v>
      </c>
      <c r="D110" t="inlineStr">
        <is>
          <t>JÄMTLANDS LÄN</t>
        </is>
      </c>
      <c r="E110" t="inlineStr">
        <is>
          <t>RAGUNDA</t>
        </is>
      </c>
      <c r="F110" t="inlineStr">
        <is>
          <t>SCA</t>
        </is>
      </c>
      <c r="G110" t="n">
        <v>1.6</v>
      </c>
      <c r="H110" t="n">
        <v>1</v>
      </c>
      <c r="I110" t="n">
        <v>0</v>
      </c>
      <c r="J110" t="n">
        <v>4</v>
      </c>
      <c r="K110" t="n">
        <v>0</v>
      </c>
      <c r="L110" t="n">
        <v>0</v>
      </c>
      <c r="M110" t="n">
        <v>0</v>
      </c>
      <c r="N110" t="n">
        <v>0</v>
      </c>
      <c r="O110" t="n">
        <v>4</v>
      </c>
      <c r="P110" t="n">
        <v>0</v>
      </c>
      <c r="Q110" t="n">
        <v>4</v>
      </c>
      <c r="R110" s="2" t="inlineStr">
        <is>
          <t>Dvärgbägarlav
Järpe
Kolflarnlav
Vedskivlav</t>
        </is>
      </c>
      <c r="S110">
        <f>HYPERLINK("https://klasma.github.io/Logging_2303/artfynd/A 30483-2024 artfynd.xlsx", "A 30483-2024")</f>
        <v/>
      </c>
      <c r="T110">
        <f>HYPERLINK("https://klasma.github.io/Logging_2303/kartor/A 30483-2024 karta.png", "A 30483-2024")</f>
        <v/>
      </c>
      <c r="V110">
        <f>HYPERLINK("https://klasma.github.io/Logging_2303/klagomål/A 30483-2024 FSC-klagomål.docx", "A 30483-2024")</f>
        <v/>
      </c>
      <c r="W110">
        <f>HYPERLINK("https://klasma.github.io/Logging_2303/klagomålsmail/A 30483-2024 FSC-klagomål mail.docx", "A 30483-2024")</f>
        <v/>
      </c>
      <c r="X110">
        <f>HYPERLINK("https://klasma.github.io/Logging_2303/tillsyn/A 30483-2024 tillsynsbegäran.docx", "A 30483-2024")</f>
        <v/>
      </c>
      <c r="Y110">
        <f>HYPERLINK("https://klasma.github.io/Logging_2303/tillsynsmail/A 30483-2024 tillsynsbegäran mail.docx", "A 30483-2024")</f>
        <v/>
      </c>
      <c r="Z110">
        <f>HYPERLINK("https://klasma.github.io/Logging_2303/fåglar/A 30483-2024 prioriterade fågelarter.docx", "A 30483-2024")</f>
        <v/>
      </c>
    </row>
    <row r="111" ht="15" customHeight="1">
      <c r="A111" t="inlineStr">
        <is>
          <t>A 15836-2024</t>
        </is>
      </c>
      <c r="B111" s="1" t="n">
        <v>45404</v>
      </c>
      <c r="C111" s="1" t="n">
        <v>46004</v>
      </c>
      <c r="D111" t="inlineStr">
        <is>
          <t>JÄMTLANDS LÄN</t>
        </is>
      </c>
      <c r="E111" t="inlineStr">
        <is>
          <t>RAGUNDA</t>
        </is>
      </c>
      <c r="F111" t="inlineStr">
        <is>
          <t>Kommuner</t>
        </is>
      </c>
      <c r="G111" t="n">
        <v>3.1</v>
      </c>
      <c r="H111" t="n">
        <v>0</v>
      </c>
      <c r="I111" t="n">
        <v>2</v>
      </c>
      <c r="J111" t="n">
        <v>1</v>
      </c>
      <c r="K111" t="n">
        <v>0</v>
      </c>
      <c r="L111" t="n">
        <v>1</v>
      </c>
      <c r="M111" t="n">
        <v>0</v>
      </c>
      <c r="N111" t="n">
        <v>0</v>
      </c>
      <c r="O111" t="n">
        <v>2</v>
      </c>
      <c r="P111" t="n">
        <v>1</v>
      </c>
      <c r="Q111" t="n">
        <v>4</v>
      </c>
      <c r="R111" s="2" t="inlineStr">
        <is>
          <t>Trolldruvemätare
Lunglav
Stor aspticka
Svart trolldruva</t>
        </is>
      </c>
      <c r="S111">
        <f>HYPERLINK("https://klasma.github.io/Logging_2303/artfynd/A 15836-2024 artfynd.xlsx", "A 15836-2024")</f>
        <v/>
      </c>
      <c r="T111">
        <f>HYPERLINK("https://klasma.github.io/Logging_2303/kartor/A 15836-2024 karta.png", "A 15836-2024")</f>
        <v/>
      </c>
      <c r="V111">
        <f>HYPERLINK("https://klasma.github.io/Logging_2303/klagomål/A 15836-2024 FSC-klagomål.docx", "A 15836-2024")</f>
        <v/>
      </c>
      <c r="W111">
        <f>HYPERLINK("https://klasma.github.io/Logging_2303/klagomålsmail/A 15836-2024 FSC-klagomål mail.docx", "A 15836-2024")</f>
        <v/>
      </c>
      <c r="X111">
        <f>HYPERLINK("https://klasma.github.io/Logging_2303/tillsyn/A 15836-2024 tillsynsbegäran.docx", "A 15836-2024")</f>
        <v/>
      </c>
      <c r="Y111">
        <f>HYPERLINK("https://klasma.github.io/Logging_2303/tillsynsmail/A 15836-2024 tillsynsbegäran mail.docx", "A 15836-2024")</f>
        <v/>
      </c>
    </row>
    <row r="112" ht="15" customHeight="1">
      <c r="A112" t="inlineStr">
        <is>
          <t>A 23931-2024</t>
        </is>
      </c>
      <c r="B112" s="1" t="n">
        <v>45455.96195601852</v>
      </c>
      <c r="C112" s="1" t="n">
        <v>46004</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19401-2025</t>
        </is>
      </c>
      <c r="B113" s="1" t="n">
        <v>45769.67767361111</v>
      </c>
      <c r="C113" s="1" t="n">
        <v>46004</v>
      </c>
      <c r="D113" t="inlineStr">
        <is>
          <t>JÄMTLANDS LÄN</t>
        </is>
      </c>
      <c r="E113" t="inlineStr">
        <is>
          <t>RAGUNDA</t>
        </is>
      </c>
      <c r="F113" t="inlineStr">
        <is>
          <t>SCA</t>
        </is>
      </c>
      <c r="G113" t="n">
        <v>4.3</v>
      </c>
      <c r="H113" t="n">
        <v>1</v>
      </c>
      <c r="I113" t="n">
        <v>0</v>
      </c>
      <c r="J113" t="n">
        <v>2</v>
      </c>
      <c r="K113" t="n">
        <v>2</v>
      </c>
      <c r="L113" t="n">
        <v>0</v>
      </c>
      <c r="M113" t="n">
        <v>0</v>
      </c>
      <c r="N113" t="n">
        <v>0</v>
      </c>
      <c r="O113" t="n">
        <v>4</v>
      </c>
      <c r="P113" t="n">
        <v>2</v>
      </c>
      <c r="Q113" t="n">
        <v>4</v>
      </c>
      <c r="R113" s="2" t="inlineStr">
        <is>
          <t>Knärot
Rynkskinn
Rosenticka
Vitgrynig nållav</t>
        </is>
      </c>
      <c r="S113">
        <f>HYPERLINK("https://klasma.github.io/Logging_2303/artfynd/A 19401-2025 artfynd.xlsx", "A 19401-2025")</f>
        <v/>
      </c>
      <c r="T113">
        <f>HYPERLINK("https://klasma.github.io/Logging_2303/kartor/A 19401-2025 karta.png", "A 19401-2025")</f>
        <v/>
      </c>
      <c r="U113">
        <f>HYPERLINK("https://klasma.github.io/Logging_2303/knärot/A 19401-2025 karta knärot.png", "A 19401-2025")</f>
        <v/>
      </c>
      <c r="V113">
        <f>HYPERLINK("https://klasma.github.io/Logging_2303/klagomål/A 19401-2025 FSC-klagomål.docx", "A 19401-2025")</f>
        <v/>
      </c>
      <c r="W113">
        <f>HYPERLINK("https://klasma.github.io/Logging_2303/klagomålsmail/A 19401-2025 FSC-klagomål mail.docx", "A 19401-2025")</f>
        <v/>
      </c>
      <c r="X113">
        <f>HYPERLINK("https://klasma.github.io/Logging_2303/tillsyn/A 19401-2025 tillsynsbegäran.docx", "A 19401-2025")</f>
        <v/>
      </c>
      <c r="Y113">
        <f>HYPERLINK("https://klasma.github.io/Logging_2303/tillsynsmail/A 19401-2025 tillsynsbegäran mail.docx", "A 19401-2025")</f>
        <v/>
      </c>
    </row>
    <row r="114" ht="15" customHeight="1">
      <c r="A114" t="inlineStr">
        <is>
          <t>A 23682-2021</t>
        </is>
      </c>
      <c r="B114" s="1" t="n">
        <v>44334</v>
      </c>
      <c r="C114" s="1" t="n">
        <v>46004</v>
      </c>
      <c r="D114" t="inlineStr">
        <is>
          <t>JÄMTLANDS LÄN</t>
        </is>
      </c>
      <c r="E114" t="inlineStr">
        <is>
          <t>RAGUNDA</t>
        </is>
      </c>
      <c r="G114" t="n">
        <v>9.199999999999999</v>
      </c>
      <c r="H114" t="n">
        <v>1</v>
      </c>
      <c r="I114" t="n">
        <v>0</v>
      </c>
      <c r="J114" t="n">
        <v>3</v>
      </c>
      <c r="K114" t="n">
        <v>1</v>
      </c>
      <c r="L114" t="n">
        <v>0</v>
      </c>
      <c r="M114" t="n">
        <v>0</v>
      </c>
      <c r="N114" t="n">
        <v>0</v>
      </c>
      <c r="O114" t="n">
        <v>4</v>
      </c>
      <c r="P114" t="n">
        <v>1</v>
      </c>
      <c r="Q114" t="n">
        <v>4</v>
      </c>
      <c r="R114" s="2" t="inlineStr">
        <is>
          <t>Knärot
Garnlav
Lunglav
Rosenticka</t>
        </is>
      </c>
      <c r="S114">
        <f>HYPERLINK("https://klasma.github.io/Logging_2303/artfynd/A 23682-2021 artfynd.xlsx", "A 23682-2021")</f>
        <v/>
      </c>
      <c r="T114">
        <f>HYPERLINK("https://klasma.github.io/Logging_2303/kartor/A 23682-2021 karta.png", "A 23682-2021")</f>
        <v/>
      </c>
      <c r="U114">
        <f>HYPERLINK("https://klasma.github.io/Logging_2303/knärot/A 23682-2021 karta knärot.png", "A 23682-2021")</f>
        <v/>
      </c>
      <c r="V114">
        <f>HYPERLINK("https://klasma.github.io/Logging_2303/klagomål/A 23682-2021 FSC-klagomål.docx", "A 23682-2021")</f>
        <v/>
      </c>
      <c r="W114">
        <f>HYPERLINK("https://klasma.github.io/Logging_2303/klagomålsmail/A 23682-2021 FSC-klagomål mail.docx", "A 23682-2021")</f>
        <v/>
      </c>
      <c r="X114">
        <f>HYPERLINK("https://klasma.github.io/Logging_2303/tillsyn/A 23682-2021 tillsynsbegäran.docx", "A 23682-2021")</f>
        <v/>
      </c>
      <c r="Y114">
        <f>HYPERLINK("https://klasma.github.io/Logging_2303/tillsynsmail/A 23682-2021 tillsynsbegäran mail.docx", "A 23682-2021")</f>
        <v/>
      </c>
    </row>
    <row r="115" ht="15" customHeight="1">
      <c r="A115" t="inlineStr">
        <is>
          <t>A 23676-2021</t>
        </is>
      </c>
      <c r="B115" s="1" t="n">
        <v>44334.62565972222</v>
      </c>
      <c r="C115" s="1" t="n">
        <v>46004</v>
      </c>
      <c r="D115" t="inlineStr">
        <is>
          <t>JÄMTLANDS LÄN</t>
        </is>
      </c>
      <c r="E115" t="inlineStr">
        <is>
          <t>RAGUNDA</t>
        </is>
      </c>
      <c r="G115" t="n">
        <v>8.5</v>
      </c>
      <c r="H115" t="n">
        <v>1</v>
      </c>
      <c r="I115" t="n">
        <v>1</v>
      </c>
      <c r="J115" t="n">
        <v>3</v>
      </c>
      <c r="K115" t="n">
        <v>0</v>
      </c>
      <c r="L115" t="n">
        <v>0</v>
      </c>
      <c r="M115" t="n">
        <v>0</v>
      </c>
      <c r="N115" t="n">
        <v>0</v>
      </c>
      <c r="O115" t="n">
        <v>3</v>
      </c>
      <c r="P115" t="n">
        <v>0</v>
      </c>
      <c r="Q115" t="n">
        <v>4</v>
      </c>
      <c r="R115" s="2" t="inlineStr">
        <is>
          <t>Lunglav
Rosenticka
Tretåig hackspett
Strutbräken</t>
        </is>
      </c>
      <c r="S115">
        <f>HYPERLINK("https://klasma.github.io/Logging_2303/artfynd/A 23676-2021 artfynd.xlsx", "A 23676-2021")</f>
        <v/>
      </c>
      <c r="T115">
        <f>HYPERLINK("https://klasma.github.io/Logging_2303/kartor/A 23676-2021 karta.png", "A 23676-2021")</f>
        <v/>
      </c>
      <c r="V115">
        <f>HYPERLINK("https://klasma.github.io/Logging_2303/klagomål/A 23676-2021 FSC-klagomål.docx", "A 23676-2021")</f>
        <v/>
      </c>
      <c r="W115">
        <f>HYPERLINK("https://klasma.github.io/Logging_2303/klagomålsmail/A 23676-2021 FSC-klagomål mail.docx", "A 23676-2021")</f>
        <v/>
      </c>
      <c r="X115">
        <f>HYPERLINK("https://klasma.github.io/Logging_2303/tillsyn/A 23676-2021 tillsynsbegäran.docx", "A 23676-2021")</f>
        <v/>
      </c>
      <c r="Y115">
        <f>HYPERLINK("https://klasma.github.io/Logging_2303/tillsynsmail/A 23676-2021 tillsynsbegäran mail.docx", "A 23676-2021")</f>
        <v/>
      </c>
      <c r="Z115">
        <f>HYPERLINK("https://klasma.github.io/Logging_2303/fåglar/A 23676-2021 prioriterade fågelarter.docx", "A 23676-2021")</f>
        <v/>
      </c>
    </row>
    <row r="116" ht="15" customHeight="1">
      <c r="A116" t="inlineStr">
        <is>
          <t>A 17092-2022</t>
        </is>
      </c>
      <c r="B116" s="1" t="n">
        <v>44677</v>
      </c>
      <c r="C116" s="1" t="n">
        <v>46004</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40653-2025</t>
        </is>
      </c>
      <c r="B117" s="1" t="n">
        <v>45896.63618055556</v>
      </c>
      <c r="C117" s="1" t="n">
        <v>46004</v>
      </c>
      <c r="D117" t="inlineStr">
        <is>
          <t>JÄMTLANDS LÄN</t>
        </is>
      </c>
      <c r="E117" t="inlineStr">
        <is>
          <t>RAGUNDA</t>
        </is>
      </c>
      <c r="F117" t="inlineStr">
        <is>
          <t>SCA</t>
        </is>
      </c>
      <c r="G117" t="n">
        <v>3.9</v>
      </c>
      <c r="H117" t="n">
        <v>0</v>
      </c>
      <c r="I117" t="n">
        <v>1</v>
      </c>
      <c r="J117" t="n">
        <v>3</v>
      </c>
      <c r="K117" t="n">
        <v>0</v>
      </c>
      <c r="L117" t="n">
        <v>0</v>
      </c>
      <c r="M117" t="n">
        <v>0</v>
      </c>
      <c r="N117" t="n">
        <v>0</v>
      </c>
      <c r="O117" t="n">
        <v>3</v>
      </c>
      <c r="P117" t="n">
        <v>0</v>
      </c>
      <c r="Q117" t="n">
        <v>4</v>
      </c>
      <c r="R117" s="2" t="inlineStr">
        <is>
          <t>Blå taggsvamp
Garnlav
Mörk kolflarnlav
Dropptaggsvamp</t>
        </is>
      </c>
      <c r="S117">
        <f>HYPERLINK("https://klasma.github.io/Logging_2303/artfynd/A 40653-2025 artfynd.xlsx", "A 40653-2025")</f>
        <v/>
      </c>
      <c r="T117">
        <f>HYPERLINK("https://klasma.github.io/Logging_2303/kartor/A 40653-2025 karta.png", "A 40653-2025")</f>
        <v/>
      </c>
      <c r="V117">
        <f>HYPERLINK("https://klasma.github.io/Logging_2303/klagomål/A 40653-2025 FSC-klagomål.docx", "A 40653-2025")</f>
        <v/>
      </c>
      <c r="W117">
        <f>HYPERLINK("https://klasma.github.io/Logging_2303/klagomålsmail/A 40653-2025 FSC-klagomål mail.docx", "A 40653-2025")</f>
        <v/>
      </c>
      <c r="X117">
        <f>HYPERLINK("https://klasma.github.io/Logging_2303/tillsyn/A 40653-2025 tillsynsbegäran.docx", "A 40653-2025")</f>
        <v/>
      </c>
      <c r="Y117">
        <f>HYPERLINK("https://klasma.github.io/Logging_2303/tillsynsmail/A 40653-2025 tillsynsbegäran mail.docx", "A 40653-2025")</f>
        <v/>
      </c>
    </row>
    <row r="118" ht="15" customHeight="1">
      <c r="A118" t="inlineStr">
        <is>
          <t>A 21372-2025</t>
        </is>
      </c>
      <c r="B118" s="1" t="n">
        <v>45782.44871527778</v>
      </c>
      <c r="C118" s="1" t="n">
        <v>46004</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12640-2024</t>
        </is>
      </c>
      <c r="B119" s="1" t="n">
        <v>45384</v>
      </c>
      <c r="C119" s="1" t="n">
        <v>46004</v>
      </c>
      <c r="D119" t="inlineStr">
        <is>
          <t>JÄMTLANDS LÄN</t>
        </is>
      </c>
      <c r="E119" t="inlineStr">
        <is>
          <t>RAGUNDA</t>
        </is>
      </c>
      <c r="G119" t="n">
        <v>3.3</v>
      </c>
      <c r="H119" t="n">
        <v>0</v>
      </c>
      <c r="I119" t="n">
        <v>2</v>
      </c>
      <c r="J119" t="n">
        <v>1</v>
      </c>
      <c r="K119" t="n">
        <v>1</v>
      </c>
      <c r="L119" t="n">
        <v>0</v>
      </c>
      <c r="M119" t="n">
        <v>0</v>
      </c>
      <c r="N119" t="n">
        <v>0</v>
      </c>
      <c r="O119" t="n">
        <v>2</v>
      </c>
      <c r="P119" t="n">
        <v>1</v>
      </c>
      <c r="Q119" t="n">
        <v>4</v>
      </c>
      <c r="R119" s="2" t="inlineStr">
        <is>
          <t>Spadskinn
Vedskivlav
Dropptaggsvamp
Skarp dropptaggsvamp</t>
        </is>
      </c>
      <c r="S119">
        <f>HYPERLINK("https://klasma.github.io/Logging_2303/artfynd/A 12640-2024 artfynd.xlsx", "A 12640-2024")</f>
        <v/>
      </c>
      <c r="T119">
        <f>HYPERLINK("https://klasma.github.io/Logging_2303/kartor/A 12640-2024 karta.png", "A 12640-2024")</f>
        <v/>
      </c>
      <c r="V119">
        <f>HYPERLINK("https://klasma.github.io/Logging_2303/klagomål/A 12640-2024 FSC-klagomål.docx", "A 12640-2024")</f>
        <v/>
      </c>
      <c r="W119">
        <f>HYPERLINK("https://klasma.github.io/Logging_2303/klagomålsmail/A 12640-2024 FSC-klagomål mail.docx", "A 12640-2024")</f>
        <v/>
      </c>
      <c r="X119">
        <f>HYPERLINK("https://klasma.github.io/Logging_2303/tillsyn/A 12640-2024 tillsynsbegäran.docx", "A 12640-2024")</f>
        <v/>
      </c>
      <c r="Y119">
        <f>HYPERLINK("https://klasma.github.io/Logging_2303/tillsynsmail/A 12640-2024 tillsynsbegäran mail.docx", "A 12640-2024")</f>
        <v/>
      </c>
    </row>
    <row r="120" ht="15" customHeight="1">
      <c r="A120" t="inlineStr">
        <is>
          <t>A 12268-2024</t>
        </is>
      </c>
      <c r="B120" s="1" t="n">
        <v>45378</v>
      </c>
      <c r="C120" s="1" t="n">
        <v>46004</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26082-2025</t>
        </is>
      </c>
      <c r="B121" s="1" t="n">
        <v>45805.34415509259</v>
      </c>
      <c r="C121" s="1" t="n">
        <v>46004</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52168-2025</t>
        </is>
      </c>
      <c r="B122" s="1" t="n">
        <v>45953.365625</v>
      </c>
      <c r="C122" s="1" t="n">
        <v>46004</v>
      </c>
      <c r="D122" t="inlineStr">
        <is>
          <t>JÄMTLANDS LÄN</t>
        </is>
      </c>
      <c r="E122" t="inlineStr">
        <is>
          <t>RAGUNDA</t>
        </is>
      </c>
      <c r="F122" t="inlineStr">
        <is>
          <t>SCA</t>
        </is>
      </c>
      <c r="G122" t="n">
        <v>19.5</v>
      </c>
      <c r="H122" t="n">
        <v>0</v>
      </c>
      <c r="I122" t="n">
        <v>1</v>
      </c>
      <c r="J122" t="n">
        <v>3</v>
      </c>
      <c r="K122" t="n">
        <v>0</v>
      </c>
      <c r="L122" t="n">
        <v>0</v>
      </c>
      <c r="M122" t="n">
        <v>0</v>
      </c>
      <c r="N122" t="n">
        <v>0</v>
      </c>
      <c r="O122" t="n">
        <v>3</v>
      </c>
      <c r="P122" t="n">
        <v>0</v>
      </c>
      <c r="Q122" t="n">
        <v>4</v>
      </c>
      <c r="R122" s="2" t="inlineStr">
        <is>
          <t>Garnlav
Granticka
Vitgrynig nållav
Källmossa</t>
        </is>
      </c>
      <c r="S122">
        <f>HYPERLINK("https://klasma.github.io/Logging_2303/artfynd/A 52168-2025 artfynd.xlsx", "A 52168-2025")</f>
        <v/>
      </c>
      <c r="T122">
        <f>HYPERLINK("https://klasma.github.io/Logging_2303/kartor/A 52168-2025 karta.png", "A 52168-2025")</f>
        <v/>
      </c>
      <c r="V122">
        <f>HYPERLINK("https://klasma.github.io/Logging_2303/klagomål/A 52168-2025 FSC-klagomål.docx", "A 52168-2025")</f>
        <v/>
      </c>
      <c r="W122">
        <f>HYPERLINK("https://klasma.github.io/Logging_2303/klagomålsmail/A 52168-2025 FSC-klagomål mail.docx", "A 52168-2025")</f>
        <v/>
      </c>
      <c r="X122">
        <f>HYPERLINK("https://klasma.github.io/Logging_2303/tillsyn/A 52168-2025 tillsynsbegäran.docx", "A 52168-2025")</f>
        <v/>
      </c>
      <c r="Y122">
        <f>HYPERLINK("https://klasma.github.io/Logging_2303/tillsynsmail/A 52168-2025 tillsynsbegäran mail.docx", "A 52168-2025")</f>
        <v/>
      </c>
    </row>
    <row r="123" ht="15" customHeight="1">
      <c r="A123" t="inlineStr">
        <is>
          <t>A 50342-2025</t>
        </is>
      </c>
      <c r="B123" s="1" t="n">
        <v>45944.53186342592</v>
      </c>
      <c r="C123" s="1" t="n">
        <v>46004</v>
      </c>
      <c r="D123" t="inlineStr">
        <is>
          <t>JÄMTLANDS LÄN</t>
        </is>
      </c>
      <c r="E123" t="inlineStr">
        <is>
          <t>RAGUNDA</t>
        </is>
      </c>
      <c r="F123" t="inlineStr">
        <is>
          <t>SCA</t>
        </is>
      </c>
      <c r="G123" t="n">
        <v>20.7</v>
      </c>
      <c r="H123" t="n">
        <v>1</v>
      </c>
      <c r="I123" t="n">
        <v>1</v>
      </c>
      <c r="J123" t="n">
        <v>3</v>
      </c>
      <c r="K123" t="n">
        <v>0</v>
      </c>
      <c r="L123" t="n">
        <v>0</v>
      </c>
      <c r="M123" t="n">
        <v>0</v>
      </c>
      <c r="N123" t="n">
        <v>0</v>
      </c>
      <c r="O123" t="n">
        <v>3</v>
      </c>
      <c r="P123" t="n">
        <v>0</v>
      </c>
      <c r="Q123" t="n">
        <v>4</v>
      </c>
      <c r="R123" s="2" t="inlineStr">
        <is>
          <t>Garnlav
Granticka
Tretåig hackspett
Trådticka</t>
        </is>
      </c>
      <c r="S123">
        <f>HYPERLINK("https://klasma.github.io/Logging_2303/artfynd/A 50342-2025 artfynd.xlsx", "A 50342-2025")</f>
        <v/>
      </c>
      <c r="T123">
        <f>HYPERLINK("https://klasma.github.io/Logging_2303/kartor/A 50342-2025 karta.png", "A 50342-2025")</f>
        <v/>
      </c>
      <c r="V123">
        <f>HYPERLINK("https://klasma.github.io/Logging_2303/klagomål/A 50342-2025 FSC-klagomål.docx", "A 50342-2025")</f>
        <v/>
      </c>
      <c r="W123">
        <f>HYPERLINK("https://klasma.github.io/Logging_2303/klagomålsmail/A 50342-2025 FSC-klagomål mail.docx", "A 50342-2025")</f>
        <v/>
      </c>
      <c r="X123">
        <f>HYPERLINK("https://klasma.github.io/Logging_2303/tillsyn/A 50342-2025 tillsynsbegäran.docx", "A 50342-2025")</f>
        <v/>
      </c>
      <c r="Y123">
        <f>HYPERLINK("https://klasma.github.io/Logging_2303/tillsynsmail/A 50342-2025 tillsynsbegäran mail.docx", "A 50342-2025")</f>
        <v/>
      </c>
      <c r="Z123">
        <f>HYPERLINK("https://klasma.github.io/Logging_2303/fåglar/A 50342-2025 prioriterade fågelarter.docx", "A 50342-2025")</f>
        <v/>
      </c>
    </row>
    <row r="124" ht="15" customHeight="1">
      <c r="A124" t="inlineStr">
        <is>
          <t>A 30465-2024</t>
        </is>
      </c>
      <c r="B124" s="1" t="n">
        <v>45491</v>
      </c>
      <c r="C124" s="1" t="n">
        <v>46004</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48052-2022</t>
        </is>
      </c>
      <c r="B125" s="1" t="n">
        <v>44855</v>
      </c>
      <c r="C125" s="1" t="n">
        <v>46004</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46004</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58737-2022</t>
        </is>
      </c>
      <c r="B127" s="1" t="n">
        <v>44902</v>
      </c>
      <c r="C127" s="1" t="n">
        <v>46004</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58368-2024</t>
        </is>
      </c>
      <c r="B128" s="1" t="n">
        <v>45632.69822916666</v>
      </c>
      <c r="C128" s="1" t="n">
        <v>46004</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46004</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46004</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14814-2024</t>
        </is>
      </c>
      <c r="B131" s="1" t="n">
        <v>45397.95748842593</v>
      </c>
      <c r="C131" s="1" t="n">
        <v>46004</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33278-2022</t>
        </is>
      </c>
      <c r="B132" s="1" t="n">
        <v>44788</v>
      </c>
      <c r="C132" s="1" t="n">
        <v>46004</v>
      </c>
      <c r="D132" t="inlineStr">
        <is>
          <t>JÄMTLANDS LÄN</t>
        </is>
      </c>
      <c r="E132" t="inlineStr">
        <is>
          <t>RAGUNDA</t>
        </is>
      </c>
      <c r="G132" t="n">
        <v>3.2</v>
      </c>
      <c r="H132" t="n">
        <v>2</v>
      </c>
      <c r="I132" t="n">
        <v>0</v>
      </c>
      <c r="J132" t="n">
        <v>2</v>
      </c>
      <c r="K132" t="n">
        <v>1</v>
      </c>
      <c r="L132" t="n">
        <v>0</v>
      </c>
      <c r="M132" t="n">
        <v>0</v>
      </c>
      <c r="N132" t="n">
        <v>0</v>
      </c>
      <c r="O132" t="n">
        <v>3</v>
      </c>
      <c r="P132" t="n">
        <v>1</v>
      </c>
      <c r="Q132" t="n">
        <v>3</v>
      </c>
      <c r="R132" s="2" t="inlineStr">
        <is>
          <t>Knärot
Tretåig hackspett
Ullticka</t>
        </is>
      </c>
      <c r="S132">
        <f>HYPERLINK("https://klasma.github.io/Logging_2303/artfynd/A 33278-2022 artfynd.xlsx", "A 33278-2022")</f>
        <v/>
      </c>
      <c r="T132">
        <f>HYPERLINK("https://klasma.github.io/Logging_2303/kartor/A 33278-2022 karta.png", "A 33278-2022")</f>
        <v/>
      </c>
      <c r="U132">
        <f>HYPERLINK("https://klasma.github.io/Logging_2303/knärot/A 33278-2022 karta knärot.png", "A 33278-2022")</f>
        <v/>
      </c>
      <c r="V132">
        <f>HYPERLINK("https://klasma.github.io/Logging_2303/klagomål/A 33278-2022 FSC-klagomål.docx", "A 33278-2022")</f>
        <v/>
      </c>
      <c r="W132">
        <f>HYPERLINK("https://klasma.github.io/Logging_2303/klagomålsmail/A 33278-2022 FSC-klagomål mail.docx", "A 33278-2022")</f>
        <v/>
      </c>
      <c r="X132">
        <f>HYPERLINK("https://klasma.github.io/Logging_2303/tillsyn/A 33278-2022 tillsynsbegäran.docx", "A 33278-2022")</f>
        <v/>
      </c>
      <c r="Y132">
        <f>HYPERLINK("https://klasma.github.io/Logging_2303/tillsynsmail/A 33278-2022 tillsynsbegäran mail.docx", "A 33278-2022")</f>
        <v/>
      </c>
      <c r="Z132">
        <f>HYPERLINK("https://klasma.github.io/Logging_2303/fåglar/A 33278-2022 prioriterade fågelarter.docx", "A 33278-2022")</f>
        <v/>
      </c>
    </row>
    <row r="133" ht="15" customHeight="1">
      <c r="A133" t="inlineStr">
        <is>
          <t>A 61790-2023</t>
        </is>
      </c>
      <c r="B133" s="1" t="n">
        <v>45265</v>
      </c>
      <c r="C133" s="1" t="n">
        <v>46004</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28178-2023</t>
        </is>
      </c>
      <c r="B134" s="1" t="n">
        <v>45093</v>
      </c>
      <c r="C134" s="1" t="n">
        <v>46004</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53022-2022</t>
        </is>
      </c>
      <c r="B135" s="1" t="n">
        <v>44875</v>
      </c>
      <c r="C135" s="1" t="n">
        <v>46004</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7519-2023</t>
        </is>
      </c>
      <c r="B136" s="1" t="n">
        <v>44971</v>
      </c>
      <c r="C136" s="1" t="n">
        <v>46004</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49047-2023</t>
        </is>
      </c>
      <c r="B137" s="1" t="n">
        <v>45209</v>
      </c>
      <c r="C137" s="1" t="n">
        <v>46004</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30470-2024</t>
        </is>
      </c>
      <c r="B138" s="1" t="n">
        <v>45491.94715277778</v>
      </c>
      <c r="C138" s="1" t="n">
        <v>46004</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48054-2022</t>
        </is>
      </c>
      <c r="B139" s="1" t="n">
        <v>44855</v>
      </c>
      <c r="C139" s="1" t="n">
        <v>46004</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20776-2024</t>
        </is>
      </c>
      <c r="B140" s="1" t="n">
        <v>45436.94686342592</v>
      </c>
      <c r="C140" s="1" t="n">
        <v>46004</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12737-2025</t>
        </is>
      </c>
      <c r="B141" s="1" t="n">
        <v>45733</v>
      </c>
      <c r="C141" s="1" t="n">
        <v>46004</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36504-2023</t>
        </is>
      </c>
      <c r="B142" s="1" t="n">
        <v>45152</v>
      </c>
      <c r="C142" s="1" t="n">
        <v>46004</v>
      </c>
      <c r="D142" t="inlineStr">
        <is>
          <t>JÄMTLANDS LÄN</t>
        </is>
      </c>
      <c r="E142" t="inlineStr">
        <is>
          <t>RAGUNDA</t>
        </is>
      </c>
      <c r="F142" t="inlineStr">
        <is>
          <t>SCA</t>
        </is>
      </c>
      <c r="G142" t="n">
        <v>2</v>
      </c>
      <c r="H142" t="n">
        <v>0</v>
      </c>
      <c r="I142" t="n">
        <v>0</v>
      </c>
      <c r="J142" t="n">
        <v>3</v>
      </c>
      <c r="K142" t="n">
        <v>0</v>
      </c>
      <c r="L142" t="n">
        <v>0</v>
      </c>
      <c r="M142" t="n">
        <v>0</v>
      </c>
      <c r="N142" t="n">
        <v>0</v>
      </c>
      <c r="O142" t="n">
        <v>3</v>
      </c>
      <c r="P142" t="n">
        <v>0</v>
      </c>
      <c r="Q142" t="n">
        <v>3</v>
      </c>
      <c r="R142" s="2" t="inlineStr">
        <is>
          <t>Gammelgransskål
Garnlav
Granticka</t>
        </is>
      </c>
      <c r="S142">
        <f>HYPERLINK("https://klasma.github.io/Logging_2303/artfynd/A 36504-2023 artfynd.xlsx", "A 36504-2023")</f>
        <v/>
      </c>
      <c r="T142">
        <f>HYPERLINK("https://klasma.github.io/Logging_2303/kartor/A 36504-2023 karta.png", "A 36504-2023")</f>
        <v/>
      </c>
      <c r="V142">
        <f>HYPERLINK("https://klasma.github.io/Logging_2303/klagomål/A 36504-2023 FSC-klagomål.docx", "A 36504-2023")</f>
        <v/>
      </c>
      <c r="W142">
        <f>HYPERLINK("https://klasma.github.io/Logging_2303/klagomålsmail/A 36504-2023 FSC-klagomål mail.docx", "A 36504-2023")</f>
        <v/>
      </c>
      <c r="X142">
        <f>HYPERLINK("https://klasma.github.io/Logging_2303/tillsyn/A 36504-2023 tillsynsbegäran.docx", "A 36504-2023")</f>
        <v/>
      </c>
      <c r="Y142">
        <f>HYPERLINK("https://klasma.github.io/Logging_2303/tillsynsmail/A 36504-2023 tillsynsbegäran mail.docx", "A 36504-2023")</f>
        <v/>
      </c>
    </row>
    <row r="143" ht="15" customHeight="1">
      <c r="A143" t="inlineStr">
        <is>
          <t>A 5048-2025</t>
        </is>
      </c>
      <c r="B143" s="1" t="n">
        <v>45691.44769675926</v>
      </c>
      <c r="C143" s="1" t="n">
        <v>46004</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16305-2025</t>
        </is>
      </c>
      <c r="B144" s="1" t="n">
        <v>45751.34650462963</v>
      </c>
      <c r="C144" s="1" t="n">
        <v>46004</v>
      </c>
      <c r="D144" t="inlineStr">
        <is>
          <t>JÄMTLANDS LÄN</t>
        </is>
      </c>
      <c r="E144" t="inlineStr">
        <is>
          <t>RAGUNDA</t>
        </is>
      </c>
      <c r="F144" t="inlineStr">
        <is>
          <t>SCA</t>
        </is>
      </c>
      <c r="G144" t="n">
        <v>2.5</v>
      </c>
      <c r="H144" t="n">
        <v>0</v>
      </c>
      <c r="I144" t="n">
        <v>2</v>
      </c>
      <c r="J144" t="n">
        <v>1</v>
      </c>
      <c r="K144" t="n">
        <v>0</v>
      </c>
      <c r="L144" t="n">
        <v>0</v>
      </c>
      <c r="M144" t="n">
        <v>0</v>
      </c>
      <c r="N144" t="n">
        <v>0</v>
      </c>
      <c r="O144" t="n">
        <v>1</v>
      </c>
      <c r="P144" t="n">
        <v>0</v>
      </c>
      <c r="Q144" t="n">
        <v>3</v>
      </c>
      <c r="R144" s="2" t="inlineStr">
        <is>
          <t>Lunglav
Bollvitmossa
Källmossa</t>
        </is>
      </c>
      <c r="S144">
        <f>HYPERLINK("https://klasma.github.io/Logging_2303/artfynd/A 16305-2025 artfynd.xlsx", "A 16305-2025")</f>
        <v/>
      </c>
      <c r="T144">
        <f>HYPERLINK("https://klasma.github.io/Logging_2303/kartor/A 16305-2025 karta.png", "A 16305-2025")</f>
        <v/>
      </c>
      <c r="V144">
        <f>HYPERLINK("https://klasma.github.io/Logging_2303/klagomål/A 16305-2025 FSC-klagomål.docx", "A 16305-2025")</f>
        <v/>
      </c>
      <c r="W144">
        <f>HYPERLINK("https://klasma.github.io/Logging_2303/klagomålsmail/A 16305-2025 FSC-klagomål mail.docx", "A 16305-2025")</f>
        <v/>
      </c>
      <c r="X144">
        <f>HYPERLINK("https://klasma.github.io/Logging_2303/tillsyn/A 16305-2025 tillsynsbegäran.docx", "A 16305-2025")</f>
        <v/>
      </c>
      <c r="Y144">
        <f>HYPERLINK("https://klasma.github.io/Logging_2303/tillsynsmail/A 16305-2025 tillsynsbegäran mail.docx", "A 16305-2025")</f>
        <v/>
      </c>
    </row>
    <row r="145" ht="15" customHeight="1">
      <c r="A145" t="inlineStr">
        <is>
          <t>A 22730-2023</t>
        </is>
      </c>
      <c r="B145" s="1" t="n">
        <v>45071</v>
      </c>
      <c r="C145" s="1" t="n">
        <v>46004</v>
      </c>
      <c r="D145" t="inlineStr">
        <is>
          <t>JÄMTLANDS LÄN</t>
        </is>
      </c>
      <c r="E145" t="inlineStr">
        <is>
          <t>RAGUNDA</t>
        </is>
      </c>
      <c r="G145" t="n">
        <v>3.6</v>
      </c>
      <c r="H145" t="n">
        <v>0</v>
      </c>
      <c r="I145" t="n">
        <v>0</v>
      </c>
      <c r="J145" t="n">
        <v>3</v>
      </c>
      <c r="K145" t="n">
        <v>0</v>
      </c>
      <c r="L145" t="n">
        <v>0</v>
      </c>
      <c r="M145" t="n">
        <v>0</v>
      </c>
      <c r="N145" t="n">
        <v>0</v>
      </c>
      <c r="O145" t="n">
        <v>3</v>
      </c>
      <c r="P145" t="n">
        <v>0</v>
      </c>
      <c r="Q145" t="n">
        <v>3</v>
      </c>
      <c r="R145" s="2" t="inlineStr">
        <is>
          <t>Garnlav
Lunglav
Vitgrynig nållav</t>
        </is>
      </c>
      <c r="S145">
        <f>HYPERLINK("https://klasma.github.io/Logging_2303/artfynd/A 22730-2023 artfynd.xlsx", "A 22730-2023")</f>
        <v/>
      </c>
      <c r="T145">
        <f>HYPERLINK("https://klasma.github.io/Logging_2303/kartor/A 22730-2023 karta.png", "A 22730-2023")</f>
        <v/>
      </c>
      <c r="V145">
        <f>HYPERLINK("https://klasma.github.io/Logging_2303/klagomål/A 22730-2023 FSC-klagomål.docx", "A 22730-2023")</f>
        <v/>
      </c>
      <c r="W145">
        <f>HYPERLINK("https://klasma.github.io/Logging_2303/klagomålsmail/A 22730-2023 FSC-klagomål mail.docx", "A 22730-2023")</f>
        <v/>
      </c>
      <c r="X145">
        <f>HYPERLINK("https://klasma.github.io/Logging_2303/tillsyn/A 22730-2023 tillsynsbegäran.docx", "A 22730-2023")</f>
        <v/>
      </c>
      <c r="Y145">
        <f>HYPERLINK("https://klasma.github.io/Logging_2303/tillsynsmail/A 22730-2023 tillsynsbegäran mail.docx", "A 22730-2023")</f>
        <v/>
      </c>
    </row>
    <row r="146" ht="15" customHeight="1">
      <c r="A146" t="inlineStr">
        <is>
          <t>A 33432-2023</t>
        </is>
      </c>
      <c r="B146" s="1" t="n">
        <v>45128</v>
      </c>
      <c r="C146" s="1" t="n">
        <v>46004</v>
      </c>
      <c r="D146" t="inlineStr">
        <is>
          <t>JÄMTLANDS LÄN</t>
        </is>
      </c>
      <c r="E146" t="inlineStr">
        <is>
          <t>RAGUNDA</t>
        </is>
      </c>
      <c r="F146" t="inlineStr">
        <is>
          <t>SCA</t>
        </is>
      </c>
      <c r="G146" t="n">
        <v>10</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33432-2023 artfynd.xlsx", "A 33432-2023")</f>
        <v/>
      </c>
      <c r="T146">
        <f>HYPERLINK("https://klasma.github.io/Logging_2303/kartor/A 33432-2023 karta.png", "A 33432-2023")</f>
        <v/>
      </c>
      <c r="V146">
        <f>HYPERLINK("https://klasma.github.io/Logging_2303/klagomål/A 33432-2023 FSC-klagomål.docx", "A 33432-2023")</f>
        <v/>
      </c>
      <c r="W146">
        <f>HYPERLINK("https://klasma.github.io/Logging_2303/klagomålsmail/A 33432-2023 FSC-klagomål mail.docx", "A 33432-2023")</f>
        <v/>
      </c>
      <c r="X146">
        <f>HYPERLINK("https://klasma.github.io/Logging_2303/tillsyn/A 33432-2023 tillsynsbegäran.docx", "A 33432-2023")</f>
        <v/>
      </c>
      <c r="Y146">
        <f>HYPERLINK("https://klasma.github.io/Logging_2303/tillsynsmail/A 33432-2023 tillsynsbegäran mail.docx", "A 33432-2023")</f>
        <v/>
      </c>
      <c r="Z146">
        <f>HYPERLINK("https://klasma.github.io/Logging_2303/fåglar/A 33432-2023 prioriterade fågelarter.docx", "A 33432-2023")</f>
        <v/>
      </c>
    </row>
    <row r="147" ht="15" customHeight="1">
      <c r="A147" t="inlineStr">
        <is>
          <t>A 21248-2025</t>
        </is>
      </c>
      <c r="B147" s="1" t="n">
        <v>45779.57392361111</v>
      </c>
      <c r="C147" s="1" t="n">
        <v>46004</v>
      </c>
      <c r="D147" t="inlineStr">
        <is>
          <t>JÄMTLANDS LÄN</t>
        </is>
      </c>
      <c r="E147" t="inlineStr">
        <is>
          <t>RAGUNDA</t>
        </is>
      </c>
      <c r="F147" t="inlineStr">
        <is>
          <t>SCA</t>
        </is>
      </c>
      <c r="G147" t="n">
        <v>2.9</v>
      </c>
      <c r="H147" t="n">
        <v>1</v>
      </c>
      <c r="I147" t="n">
        <v>1</v>
      </c>
      <c r="J147" t="n">
        <v>2</v>
      </c>
      <c r="K147" t="n">
        <v>0</v>
      </c>
      <c r="L147" t="n">
        <v>0</v>
      </c>
      <c r="M147" t="n">
        <v>0</v>
      </c>
      <c r="N147" t="n">
        <v>0</v>
      </c>
      <c r="O147" t="n">
        <v>2</v>
      </c>
      <c r="P147" t="n">
        <v>0</v>
      </c>
      <c r="Q147" t="n">
        <v>3</v>
      </c>
      <c r="R147" s="2" t="inlineStr">
        <is>
          <t>Garnlav
Tretåig hackspett
Vedticka</t>
        </is>
      </c>
      <c r="S147">
        <f>HYPERLINK("https://klasma.github.io/Logging_2303/artfynd/A 21248-2025 artfynd.xlsx", "A 21248-2025")</f>
        <v/>
      </c>
      <c r="T147">
        <f>HYPERLINK("https://klasma.github.io/Logging_2303/kartor/A 21248-2025 karta.png", "A 21248-2025")</f>
        <v/>
      </c>
      <c r="V147">
        <f>HYPERLINK("https://klasma.github.io/Logging_2303/klagomål/A 21248-2025 FSC-klagomål.docx", "A 21248-2025")</f>
        <v/>
      </c>
      <c r="W147">
        <f>HYPERLINK("https://klasma.github.io/Logging_2303/klagomålsmail/A 21248-2025 FSC-klagomål mail.docx", "A 21248-2025")</f>
        <v/>
      </c>
      <c r="X147">
        <f>HYPERLINK("https://klasma.github.io/Logging_2303/tillsyn/A 21248-2025 tillsynsbegäran.docx", "A 21248-2025")</f>
        <v/>
      </c>
      <c r="Y147">
        <f>HYPERLINK("https://klasma.github.io/Logging_2303/tillsynsmail/A 21248-2025 tillsynsbegäran mail.docx", "A 21248-2025")</f>
        <v/>
      </c>
      <c r="Z147">
        <f>HYPERLINK("https://klasma.github.io/Logging_2303/fåglar/A 21248-2025 prioriterade fågelarter.docx", "A 21248-2025")</f>
        <v/>
      </c>
    </row>
    <row r="148" ht="15" customHeight="1">
      <c r="A148" t="inlineStr">
        <is>
          <t>A 25769-2025</t>
        </is>
      </c>
      <c r="B148" s="1" t="n">
        <v>45804.34474537037</v>
      </c>
      <c r="C148" s="1" t="n">
        <v>46004</v>
      </c>
      <c r="D148" t="inlineStr">
        <is>
          <t>JÄMTLANDS LÄN</t>
        </is>
      </c>
      <c r="E148" t="inlineStr">
        <is>
          <t>RAGUNDA</t>
        </is>
      </c>
      <c r="F148" t="inlineStr">
        <is>
          <t>SCA</t>
        </is>
      </c>
      <c r="G148" t="n">
        <v>5.3</v>
      </c>
      <c r="H148" t="n">
        <v>2</v>
      </c>
      <c r="I148" t="n">
        <v>0</v>
      </c>
      <c r="J148" t="n">
        <v>3</v>
      </c>
      <c r="K148" t="n">
        <v>0</v>
      </c>
      <c r="L148" t="n">
        <v>0</v>
      </c>
      <c r="M148" t="n">
        <v>0</v>
      </c>
      <c r="N148" t="n">
        <v>0</v>
      </c>
      <c r="O148" t="n">
        <v>3</v>
      </c>
      <c r="P148" t="n">
        <v>0</v>
      </c>
      <c r="Q148" t="n">
        <v>3</v>
      </c>
      <c r="R148" s="2" t="inlineStr">
        <is>
          <t>Garnlav
Rödvingetrast
Tretåig hackspett</t>
        </is>
      </c>
      <c r="S148">
        <f>HYPERLINK("https://klasma.github.io/Logging_2303/artfynd/A 25769-2025 artfynd.xlsx", "A 25769-2025")</f>
        <v/>
      </c>
      <c r="T148">
        <f>HYPERLINK("https://klasma.github.io/Logging_2303/kartor/A 25769-2025 karta.png", "A 25769-2025")</f>
        <v/>
      </c>
      <c r="V148">
        <f>HYPERLINK("https://klasma.github.io/Logging_2303/klagomål/A 25769-2025 FSC-klagomål.docx", "A 25769-2025")</f>
        <v/>
      </c>
      <c r="W148">
        <f>HYPERLINK("https://klasma.github.io/Logging_2303/klagomålsmail/A 25769-2025 FSC-klagomål mail.docx", "A 25769-2025")</f>
        <v/>
      </c>
      <c r="X148">
        <f>HYPERLINK("https://klasma.github.io/Logging_2303/tillsyn/A 25769-2025 tillsynsbegäran.docx", "A 25769-2025")</f>
        <v/>
      </c>
      <c r="Y148">
        <f>HYPERLINK("https://klasma.github.io/Logging_2303/tillsynsmail/A 25769-2025 tillsynsbegäran mail.docx", "A 25769-2025")</f>
        <v/>
      </c>
      <c r="Z148">
        <f>HYPERLINK("https://klasma.github.io/Logging_2303/fåglar/A 25769-2025 prioriterade fågelarter.docx", "A 25769-2025")</f>
        <v/>
      </c>
    </row>
    <row r="149" ht="15" customHeight="1">
      <c r="A149" t="inlineStr">
        <is>
          <t>A 57667-2025</t>
        </is>
      </c>
      <c r="B149" s="1" t="n">
        <v>45981.42767361111</v>
      </c>
      <c r="C149" s="1" t="n">
        <v>46004</v>
      </c>
      <c r="D149" t="inlineStr">
        <is>
          <t>JÄMTLANDS LÄN</t>
        </is>
      </c>
      <c r="E149" t="inlineStr">
        <is>
          <t>RAGUNDA</t>
        </is>
      </c>
      <c r="F149" t="inlineStr">
        <is>
          <t>SCA</t>
        </is>
      </c>
      <c r="G149" t="n">
        <v>1.7</v>
      </c>
      <c r="H149" t="n">
        <v>0</v>
      </c>
      <c r="I149" t="n">
        <v>2</v>
      </c>
      <c r="J149" t="n">
        <v>1</v>
      </c>
      <c r="K149" t="n">
        <v>0</v>
      </c>
      <c r="L149" t="n">
        <v>0</v>
      </c>
      <c r="M149" t="n">
        <v>0</v>
      </c>
      <c r="N149" t="n">
        <v>0</v>
      </c>
      <c r="O149" t="n">
        <v>1</v>
      </c>
      <c r="P149" t="n">
        <v>0</v>
      </c>
      <c r="Q149" t="n">
        <v>3</v>
      </c>
      <c r="R149" s="2" t="inlineStr">
        <is>
          <t>Lunglav
Korallblylav
Luddlav</t>
        </is>
      </c>
      <c r="S149">
        <f>HYPERLINK("https://klasma.github.io/Logging_2303/artfynd/A 57667-2025 artfynd.xlsx", "A 57667-2025")</f>
        <v/>
      </c>
      <c r="T149">
        <f>HYPERLINK("https://klasma.github.io/Logging_2303/kartor/A 57667-2025 karta.png", "A 57667-2025")</f>
        <v/>
      </c>
      <c r="V149">
        <f>HYPERLINK("https://klasma.github.io/Logging_2303/klagomål/A 57667-2025 FSC-klagomål.docx", "A 57667-2025")</f>
        <v/>
      </c>
      <c r="W149">
        <f>HYPERLINK("https://klasma.github.io/Logging_2303/klagomålsmail/A 57667-2025 FSC-klagomål mail.docx", "A 57667-2025")</f>
        <v/>
      </c>
      <c r="X149">
        <f>HYPERLINK("https://klasma.github.io/Logging_2303/tillsyn/A 57667-2025 tillsynsbegäran.docx", "A 57667-2025")</f>
        <v/>
      </c>
      <c r="Y149">
        <f>HYPERLINK("https://klasma.github.io/Logging_2303/tillsynsmail/A 57667-2025 tillsynsbegäran mail.docx", "A 57667-2025")</f>
        <v/>
      </c>
    </row>
    <row r="150" ht="15" customHeight="1">
      <c r="A150" t="inlineStr">
        <is>
          <t>A 59179-2025</t>
        </is>
      </c>
      <c r="B150" s="1" t="n">
        <v>45988.57350694444</v>
      </c>
      <c r="C150" s="1" t="n">
        <v>46004</v>
      </c>
      <c r="D150" t="inlineStr">
        <is>
          <t>JÄMTLANDS LÄN</t>
        </is>
      </c>
      <c r="E150" t="inlineStr">
        <is>
          <t>RAGUNDA</t>
        </is>
      </c>
      <c r="F150" t="inlineStr">
        <is>
          <t>SCA</t>
        </is>
      </c>
      <c r="G150" t="n">
        <v>2.3</v>
      </c>
      <c r="H150" t="n">
        <v>0</v>
      </c>
      <c r="I150" t="n">
        <v>0</v>
      </c>
      <c r="J150" t="n">
        <v>3</v>
      </c>
      <c r="K150" t="n">
        <v>0</v>
      </c>
      <c r="L150" t="n">
        <v>0</v>
      </c>
      <c r="M150" t="n">
        <v>0</v>
      </c>
      <c r="N150" t="n">
        <v>0</v>
      </c>
      <c r="O150" t="n">
        <v>3</v>
      </c>
      <c r="P150" t="n">
        <v>0</v>
      </c>
      <c r="Q150" t="n">
        <v>3</v>
      </c>
      <c r="R150" s="2" t="inlineStr">
        <is>
          <t>Garnlav
Kolflarnlav
Lunglav</t>
        </is>
      </c>
      <c r="S150">
        <f>HYPERLINK("https://klasma.github.io/Logging_2303/artfynd/A 59179-2025 artfynd.xlsx", "A 59179-2025")</f>
        <v/>
      </c>
      <c r="T150">
        <f>HYPERLINK("https://klasma.github.io/Logging_2303/kartor/A 59179-2025 karta.png", "A 59179-2025")</f>
        <v/>
      </c>
      <c r="V150">
        <f>HYPERLINK("https://klasma.github.io/Logging_2303/klagomål/A 59179-2025 FSC-klagomål.docx", "A 59179-2025")</f>
        <v/>
      </c>
      <c r="W150">
        <f>HYPERLINK("https://klasma.github.io/Logging_2303/klagomålsmail/A 59179-2025 FSC-klagomål mail.docx", "A 59179-2025")</f>
        <v/>
      </c>
      <c r="X150">
        <f>HYPERLINK("https://klasma.github.io/Logging_2303/tillsyn/A 59179-2025 tillsynsbegäran.docx", "A 59179-2025")</f>
        <v/>
      </c>
      <c r="Y150">
        <f>HYPERLINK("https://klasma.github.io/Logging_2303/tillsynsmail/A 59179-2025 tillsynsbegäran mail.docx", "A 59179-2025")</f>
        <v/>
      </c>
    </row>
    <row r="151" ht="15" customHeight="1">
      <c r="A151" t="inlineStr">
        <is>
          <t>A 22571-2025</t>
        </is>
      </c>
      <c r="B151" s="1" t="n">
        <v>45789.36503472222</v>
      </c>
      <c r="C151" s="1" t="n">
        <v>46004</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46004</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32416-2025</t>
        </is>
      </c>
      <c r="B153" s="1" t="n">
        <v>45838</v>
      </c>
      <c r="C153" s="1" t="n">
        <v>46004</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32416-2025 artfynd.xlsx", "A 32416-2025")</f>
        <v/>
      </c>
      <c r="T153">
        <f>HYPERLINK("https://klasma.github.io/Logging_2303/kartor/A 32416-2025 karta.png", "A 32416-2025")</f>
        <v/>
      </c>
      <c r="V153">
        <f>HYPERLINK("https://klasma.github.io/Logging_2303/klagomål/A 32416-2025 FSC-klagomål.docx", "A 32416-2025")</f>
        <v/>
      </c>
      <c r="W153">
        <f>HYPERLINK("https://klasma.github.io/Logging_2303/klagomålsmail/A 32416-2025 FSC-klagomål mail.docx", "A 32416-2025")</f>
        <v/>
      </c>
      <c r="X153">
        <f>HYPERLINK("https://klasma.github.io/Logging_2303/tillsyn/A 32416-2025 tillsynsbegäran.docx", "A 32416-2025")</f>
        <v/>
      </c>
      <c r="Y153">
        <f>HYPERLINK("https://klasma.github.io/Logging_2303/tillsynsmail/A 32416-2025 tillsynsbegäran mail.docx", "A 32416-2025")</f>
        <v/>
      </c>
    </row>
    <row r="154" ht="15" customHeight="1">
      <c r="A154" t="inlineStr">
        <is>
          <t>A 61954-2025</t>
        </is>
      </c>
      <c r="B154" s="1" t="n">
        <v>46003.57381944444</v>
      </c>
      <c r="C154" s="1" t="n">
        <v>46004</v>
      </c>
      <c r="D154" t="inlineStr">
        <is>
          <t>JÄMTLANDS LÄN</t>
        </is>
      </c>
      <c r="E154" t="inlineStr">
        <is>
          <t>RAGUNDA</t>
        </is>
      </c>
      <c r="F154" t="inlineStr">
        <is>
          <t>SCA</t>
        </is>
      </c>
      <c r="G154" t="n">
        <v>6.5</v>
      </c>
      <c r="H154" t="n">
        <v>0</v>
      </c>
      <c r="I154" t="n">
        <v>1</v>
      </c>
      <c r="J154" t="n">
        <v>2</v>
      </c>
      <c r="K154" t="n">
        <v>0</v>
      </c>
      <c r="L154" t="n">
        <v>0</v>
      </c>
      <c r="M154" t="n">
        <v>0</v>
      </c>
      <c r="N154" t="n">
        <v>0</v>
      </c>
      <c r="O154" t="n">
        <v>2</v>
      </c>
      <c r="P154" t="n">
        <v>0</v>
      </c>
      <c r="Q154" t="n">
        <v>3</v>
      </c>
      <c r="R154" s="2" t="inlineStr">
        <is>
          <t>Garnlav
Lunglav
Trådticka</t>
        </is>
      </c>
      <c r="S154">
        <f>HYPERLINK("https://klasma.github.io/Logging_2303/artfynd/A 61954-2025 artfynd.xlsx", "A 61954-2025")</f>
        <v/>
      </c>
      <c r="T154">
        <f>HYPERLINK("https://klasma.github.io/Logging_2303/kartor/A 61954-2025 karta.png", "A 61954-2025")</f>
        <v/>
      </c>
      <c r="V154">
        <f>HYPERLINK("https://klasma.github.io/Logging_2303/klagomål/A 61954-2025 FSC-klagomål.docx", "A 61954-2025")</f>
        <v/>
      </c>
      <c r="W154">
        <f>HYPERLINK("https://klasma.github.io/Logging_2303/klagomålsmail/A 61954-2025 FSC-klagomål mail.docx", "A 61954-2025")</f>
        <v/>
      </c>
      <c r="X154">
        <f>HYPERLINK("https://klasma.github.io/Logging_2303/tillsyn/A 61954-2025 tillsynsbegäran.docx", "A 61954-2025")</f>
        <v/>
      </c>
      <c r="Y154">
        <f>HYPERLINK("https://klasma.github.io/Logging_2303/tillsynsmail/A 61954-2025 tillsynsbegäran mail.docx", "A 61954-2025")</f>
        <v/>
      </c>
    </row>
    <row r="155" ht="15" customHeight="1">
      <c r="A155" t="inlineStr">
        <is>
          <t>A 57941-2024</t>
        </is>
      </c>
      <c r="B155" s="1" t="n">
        <v>45631</v>
      </c>
      <c r="C155" s="1" t="n">
        <v>46004</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17043-2022</t>
        </is>
      </c>
      <c r="B156" s="1" t="n">
        <v>44676</v>
      </c>
      <c r="C156" s="1" t="n">
        <v>46004</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46004</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21037-2021</t>
        </is>
      </c>
      <c r="B158" s="1" t="n">
        <v>44319</v>
      </c>
      <c r="C158" s="1" t="n">
        <v>46004</v>
      </c>
      <c r="D158" t="inlineStr">
        <is>
          <t>JÄMTLANDS LÄN</t>
        </is>
      </c>
      <c r="E158" t="inlineStr">
        <is>
          <t>RAGUNDA</t>
        </is>
      </c>
      <c r="F158" t="inlineStr">
        <is>
          <t>Kyrkan</t>
        </is>
      </c>
      <c r="G158" t="n">
        <v>0.8</v>
      </c>
      <c r="H158" t="n">
        <v>0</v>
      </c>
      <c r="I158" t="n">
        <v>0</v>
      </c>
      <c r="J158" t="n">
        <v>2</v>
      </c>
      <c r="K158" t="n">
        <v>0</v>
      </c>
      <c r="L158" t="n">
        <v>0</v>
      </c>
      <c r="M158" t="n">
        <v>0</v>
      </c>
      <c r="N158" t="n">
        <v>0</v>
      </c>
      <c r="O158" t="n">
        <v>2</v>
      </c>
      <c r="P158" t="n">
        <v>0</v>
      </c>
      <c r="Q158" t="n">
        <v>2</v>
      </c>
      <c r="R158" s="2" t="inlineStr">
        <is>
          <t>Olivbrun gytterlav
Persiljespindling</t>
        </is>
      </c>
      <c r="S158">
        <f>HYPERLINK("https://klasma.github.io/Logging_2303/artfynd/A 21037-2021 artfynd.xlsx", "A 21037-2021")</f>
        <v/>
      </c>
      <c r="T158">
        <f>HYPERLINK("https://klasma.github.io/Logging_2303/kartor/A 21037-2021 karta.png", "A 21037-2021")</f>
        <v/>
      </c>
      <c r="V158">
        <f>HYPERLINK("https://klasma.github.io/Logging_2303/klagomål/A 21037-2021 FSC-klagomål.docx", "A 21037-2021")</f>
        <v/>
      </c>
      <c r="W158">
        <f>HYPERLINK("https://klasma.github.io/Logging_2303/klagomålsmail/A 21037-2021 FSC-klagomål mail.docx", "A 21037-2021")</f>
        <v/>
      </c>
      <c r="X158">
        <f>HYPERLINK("https://klasma.github.io/Logging_2303/tillsyn/A 21037-2021 tillsynsbegäran.docx", "A 21037-2021")</f>
        <v/>
      </c>
      <c r="Y158">
        <f>HYPERLINK("https://klasma.github.io/Logging_2303/tillsynsmail/A 21037-2021 tillsynsbegäran mail.docx", "A 21037-2021")</f>
        <v/>
      </c>
    </row>
    <row r="159" ht="15" customHeight="1">
      <c r="A159" t="inlineStr">
        <is>
          <t>A 55647-2023</t>
        </is>
      </c>
      <c r="B159" s="1" t="n">
        <v>45238</v>
      </c>
      <c r="C159" s="1" t="n">
        <v>46004</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47267-2022</t>
        </is>
      </c>
      <c r="B160" s="1" t="n">
        <v>44852</v>
      </c>
      <c r="C160" s="1" t="n">
        <v>46004</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19384-2025</t>
        </is>
      </c>
      <c r="B161" s="1" t="n">
        <v>45769.65692129629</v>
      </c>
      <c r="C161" s="1" t="n">
        <v>46004</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45021-2023</t>
        </is>
      </c>
      <c r="B162" s="1" t="n">
        <v>45190</v>
      </c>
      <c r="C162" s="1" t="n">
        <v>46004</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10866-2025</t>
        </is>
      </c>
      <c r="B163" s="1" t="n">
        <v>45722.61543981481</v>
      </c>
      <c r="C163" s="1" t="n">
        <v>46004</v>
      </c>
      <c r="D163" t="inlineStr">
        <is>
          <t>JÄMTLANDS LÄN</t>
        </is>
      </c>
      <c r="E163" t="inlineStr">
        <is>
          <t>RAGUNDA</t>
        </is>
      </c>
      <c r="F163" t="inlineStr">
        <is>
          <t>SCA</t>
        </is>
      </c>
      <c r="G163" t="n">
        <v>15.9</v>
      </c>
      <c r="H163" t="n">
        <v>0</v>
      </c>
      <c r="I163" t="n">
        <v>1</v>
      </c>
      <c r="J163" t="n">
        <v>1</v>
      </c>
      <c r="K163" t="n">
        <v>0</v>
      </c>
      <c r="L163" t="n">
        <v>0</v>
      </c>
      <c r="M163" t="n">
        <v>0</v>
      </c>
      <c r="N163" t="n">
        <v>0</v>
      </c>
      <c r="O163" t="n">
        <v>1</v>
      </c>
      <c r="P163" t="n">
        <v>0</v>
      </c>
      <c r="Q163" t="n">
        <v>2</v>
      </c>
      <c r="R163" s="2" t="inlineStr">
        <is>
          <t>Garnlav
Norrlandslav</t>
        </is>
      </c>
      <c r="S163">
        <f>HYPERLINK("https://klasma.github.io/Logging_2303/artfynd/A 10866-2025 artfynd.xlsx", "A 10866-2025")</f>
        <v/>
      </c>
      <c r="T163">
        <f>HYPERLINK("https://klasma.github.io/Logging_2303/kartor/A 10866-2025 karta.png", "A 10866-2025")</f>
        <v/>
      </c>
      <c r="V163">
        <f>HYPERLINK("https://klasma.github.io/Logging_2303/klagomål/A 10866-2025 FSC-klagomål.docx", "A 10866-2025")</f>
        <v/>
      </c>
      <c r="W163">
        <f>HYPERLINK("https://klasma.github.io/Logging_2303/klagomålsmail/A 10866-2025 FSC-klagomål mail.docx", "A 10866-2025")</f>
        <v/>
      </c>
      <c r="X163">
        <f>HYPERLINK("https://klasma.github.io/Logging_2303/tillsyn/A 10866-2025 tillsynsbegäran.docx", "A 10866-2025")</f>
        <v/>
      </c>
      <c r="Y163">
        <f>HYPERLINK("https://klasma.github.io/Logging_2303/tillsynsmail/A 10866-2025 tillsynsbegäran mail.docx", "A 10866-2025")</f>
        <v/>
      </c>
    </row>
    <row r="164" ht="15" customHeight="1">
      <c r="A164" t="inlineStr">
        <is>
          <t>A 10884-2025</t>
        </is>
      </c>
      <c r="B164" s="1" t="n">
        <v>45722.65670138889</v>
      </c>
      <c r="C164" s="1" t="n">
        <v>46004</v>
      </c>
      <c r="D164" t="inlineStr">
        <is>
          <t>JÄMTLANDS LÄN</t>
        </is>
      </c>
      <c r="E164" t="inlineStr">
        <is>
          <t>RAGUNDA</t>
        </is>
      </c>
      <c r="F164" t="inlineStr">
        <is>
          <t>SCA</t>
        </is>
      </c>
      <c r="G164" t="n">
        <v>5.4</v>
      </c>
      <c r="H164" t="n">
        <v>0</v>
      </c>
      <c r="I164" t="n">
        <v>1</v>
      </c>
      <c r="J164" t="n">
        <v>1</v>
      </c>
      <c r="K164" t="n">
        <v>0</v>
      </c>
      <c r="L164" t="n">
        <v>0</v>
      </c>
      <c r="M164" t="n">
        <v>0</v>
      </c>
      <c r="N164" t="n">
        <v>0</v>
      </c>
      <c r="O164" t="n">
        <v>1</v>
      </c>
      <c r="P164" t="n">
        <v>0</v>
      </c>
      <c r="Q164" t="n">
        <v>2</v>
      </c>
      <c r="R164" s="2" t="inlineStr">
        <is>
          <t>Vitgrynig nållav
Dropptaggsvamp</t>
        </is>
      </c>
      <c r="S164">
        <f>HYPERLINK("https://klasma.github.io/Logging_2303/artfynd/A 10884-2025 artfynd.xlsx", "A 10884-2025")</f>
        <v/>
      </c>
      <c r="T164">
        <f>HYPERLINK("https://klasma.github.io/Logging_2303/kartor/A 10884-2025 karta.png", "A 10884-2025")</f>
        <v/>
      </c>
      <c r="V164">
        <f>HYPERLINK("https://klasma.github.io/Logging_2303/klagomål/A 10884-2025 FSC-klagomål.docx", "A 10884-2025")</f>
        <v/>
      </c>
      <c r="W164">
        <f>HYPERLINK("https://klasma.github.io/Logging_2303/klagomålsmail/A 10884-2025 FSC-klagomål mail.docx", "A 10884-2025")</f>
        <v/>
      </c>
      <c r="X164">
        <f>HYPERLINK("https://klasma.github.io/Logging_2303/tillsyn/A 10884-2025 tillsynsbegäran.docx", "A 10884-2025")</f>
        <v/>
      </c>
      <c r="Y164">
        <f>HYPERLINK("https://klasma.github.io/Logging_2303/tillsynsmail/A 10884-2025 tillsynsbegäran mail.docx", "A 10884-2025")</f>
        <v/>
      </c>
    </row>
    <row r="165" ht="15" customHeight="1">
      <c r="A165" t="inlineStr">
        <is>
          <t>A 11086-2025</t>
        </is>
      </c>
      <c r="B165" s="1" t="n">
        <v>45723.57329861111</v>
      </c>
      <c r="C165" s="1" t="n">
        <v>46004</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40826-2023</t>
        </is>
      </c>
      <c r="B166" s="1" t="n">
        <v>45171</v>
      </c>
      <c r="C166" s="1" t="n">
        <v>46004</v>
      </c>
      <c r="D166" t="inlineStr">
        <is>
          <t>JÄMTLANDS LÄN</t>
        </is>
      </c>
      <c r="E166" t="inlineStr">
        <is>
          <t>RAGUNDA</t>
        </is>
      </c>
      <c r="F166" t="inlineStr">
        <is>
          <t>SCA</t>
        </is>
      </c>
      <c r="G166" t="n">
        <v>4.5</v>
      </c>
      <c r="H166" t="n">
        <v>0</v>
      </c>
      <c r="I166" t="n">
        <v>1</v>
      </c>
      <c r="J166" t="n">
        <v>1</v>
      </c>
      <c r="K166" t="n">
        <v>0</v>
      </c>
      <c r="L166" t="n">
        <v>0</v>
      </c>
      <c r="M166" t="n">
        <v>0</v>
      </c>
      <c r="N166" t="n">
        <v>0</v>
      </c>
      <c r="O166" t="n">
        <v>1</v>
      </c>
      <c r="P166" t="n">
        <v>0</v>
      </c>
      <c r="Q166" t="n">
        <v>2</v>
      </c>
      <c r="R166" s="2" t="inlineStr">
        <is>
          <t>Lunglav
Stuplav</t>
        </is>
      </c>
      <c r="S166">
        <f>HYPERLINK("https://klasma.github.io/Logging_2303/artfynd/A 40826-2023 artfynd.xlsx", "A 40826-2023")</f>
        <v/>
      </c>
      <c r="T166">
        <f>HYPERLINK("https://klasma.github.io/Logging_2303/kartor/A 40826-2023 karta.png", "A 40826-2023")</f>
        <v/>
      </c>
      <c r="V166">
        <f>HYPERLINK("https://klasma.github.io/Logging_2303/klagomål/A 40826-2023 FSC-klagomål.docx", "A 40826-2023")</f>
        <v/>
      </c>
      <c r="W166">
        <f>HYPERLINK("https://klasma.github.io/Logging_2303/klagomålsmail/A 40826-2023 FSC-klagomål mail.docx", "A 40826-2023")</f>
        <v/>
      </c>
      <c r="X166">
        <f>HYPERLINK("https://klasma.github.io/Logging_2303/tillsyn/A 40826-2023 tillsynsbegäran.docx", "A 40826-2023")</f>
        <v/>
      </c>
      <c r="Y166">
        <f>HYPERLINK("https://klasma.github.io/Logging_2303/tillsynsmail/A 40826-2023 tillsynsbegäran mail.docx", "A 40826-2023")</f>
        <v/>
      </c>
    </row>
    <row r="167" ht="15" customHeight="1">
      <c r="A167" t="inlineStr">
        <is>
          <t>A 30053-2024</t>
        </is>
      </c>
      <c r="B167" s="1" t="n">
        <v>45488.94747685185</v>
      </c>
      <c r="C167" s="1" t="n">
        <v>46004</v>
      </c>
      <c r="D167" t="inlineStr">
        <is>
          <t>JÄMTLANDS LÄN</t>
        </is>
      </c>
      <c r="E167" t="inlineStr">
        <is>
          <t>RAGUNDA</t>
        </is>
      </c>
      <c r="F167" t="inlineStr">
        <is>
          <t>SCA</t>
        </is>
      </c>
      <c r="G167" t="n">
        <v>9.6</v>
      </c>
      <c r="H167" t="n">
        <v>0</v>
      </c>
      <c r="I167" t="n">
        <v>1</v>
      </c>
      <c r="J167" t="n">
        <v>1</v>
      </c>
      <c r="K167" t="n">
        <v>0</v>
      </c>
      <c r="L167" t="n">
        <v>0</v>
      </c>
      <c r="M167" t="n">
        <v>0</v>
      </c>
      <c r="N167" t="n">
        <v>0</v>
      </c>
      <c r="O167" t="n">
        <v>1</v>
      </c>
      <c r="P167" t="n">
        <v>0</v>
      </c>
      <c r="Q167" t="n">
        <v>2</v>
      </c>
      <c r="R167" s="2" t="inlineStr">
        <is>
          <t>Lunglav
Korallblylav</t>
        </is>
      </c>
      <c r="S167">
        <f>HYPERLINK("https://klasma.github.io/Logging_2303/artfynd/A 30053-2024 artfynd.xlsx", "A 30053-2024")</f>
        <v/>
      </c>
      <c r="T167">
        <f>HYPERLINK("https://klasma.github.io/Logging_2303/kartor/A 30053-2024 karta.png", "A 30053-2024")</f>
        <v/>
      </c>
      <c r="V167">
        <f>HYPERLINK("https://klasma.github.io/Logging_2303/klagomål/A 30053-2024 FSC-klagomål.docx", "A 30053-2024")</f>
        <v/>
      </c>
      <c r="W167">
        <f>HYPERLINK("https://klasma.github.io/Logging_2303/klagomålsmail/A 30053-2024 FSC-klagomål mail.docx", "A 30053-2024")</f>
        <v/>
      </c>
      <c r="X167">
        <f>HYPERLINK("https://klasma.github.io/Logging_2303/tillsyn/A 30053-2024 tillsynsbegäran.docx", "A 30053-2024")</f>
        <v/>
      </c>
      <c r="Y167">
        <f>HYPERLINK("https://klasma.github.io/Logging_2303/tillsynsmail/A 30053-2024 tillsynsbegäran mail.docx", "A 30053-2024")</f>
        <v/>
      </c>
    </row>
    <row r="168" ht="15" customHeight="1">
      <c r="A168" t="inlineStr">
        <is>
          <t>A 50089-2022</t>
        </is>
      </c>
      <c r="B168" s="1" t="n">
        <v>44865</v>
      </c>
      <c r="C168" s="1" t="n">
        <v>46004</v>
      </c>
      <c r="D168" t="inlineStr">
        <is>
          <t>JÄMTLANDS LÄN</t>
        </is>
      </c>
      <c r="E168" t="inlineStr">
        <is>
          <t>RAGUNDA</t>
        </is>
      </c>
      <c r="G168" t="n">
        <v>5.7</v>
      </c>
      <c r="H168" t="n">
        <v>2</v>
      </c>
      <c r="I168" t="n">
        <v>0</v>
      </c>
      <c r="J168" t="n">
        <v>2</v>
      </c>
      <c r="K168" t="n">
        <v>0</v>
      </c>
      <c r="L168" t="n">
        <v>0</v>
      </c>
      <c r="M168" t="n">
        <v>0</v>
      </c>
      <c r="N168" t="n">
        <v>0</v>
      </c>
      <c r="O168" t="n">
        <v>2</v>
      </c>
      <c r="P168" t="n">
        <v>0</v>
      </c>
      <c r="Q168" t="n">
        <v>2</v>
      </c>
      <c r="R168" s="2" t="inlineStr">
        <is>
          <t>Björktrast
Drillsnäppa</t>
        </is>
      </c>
      <c r="S168">
        <f>HYPERLINK("https://klasma.github.io/Logging_2303/artfynd/A 50089-2022 artfynd.xlsx", "A 50089-2022")</f>
        <v/>
      </c>
      <c r="T168">
        <f>HYPERLINK("https://klasma.github.io/Logging_2303/kartor/A 50089-2022 karta.png", "A 50089-2022")</f>
        <v/>
      </c>
      <c r="V168">
        <f>HYPERLINK("https://klasma.github.io/Logging_2303/klagomål/A 50089-2022 FSC-klagomål.docx", "A 50089-2022")</f>
        <v/>
      </c>
      <c r="W168">
        <f>HYPERLINK("https://klasma.github.io/Logging_2303/klagomålsmail/A 50089-2022 FSC-klagomål mail.docx", "A 50089-2022")</f>
        <v/>
      </c>
      <c r="X168">
        <f>HYPERLINK("https://klasma.github.io/Logging_2303/tillsyn/A 50089-2022 tillsynsbegäran.docx", "A 50089-2022")</f>
        <v/>
      </c>
      <c r="Y168">
        <f>HYPERLINK("https://klasma.github.io/Logging_2303/tillsynsmail/A 50089-2022 tillsynsbegäran mail.docx", "A 50089-2022")</f>
        <v/>
      </c>
      <c r="Z168">
        <f>HYPERLINK("https://klasma.github.io/Logging_2303/fåglar/A 50089-2022 prioriterade fågelarter.docx", "A 50089-2022")</f>
        <v/>
      </c>
    </row>
    <row r="169" ht="15" customHeight="1">
      <c r="A169" t="inlineStr">
        <is>
          <t>A 3838-2024</t>
        </is>
      </c>
      <c r="B169" s="1" t="n">
        <v>45321</v>
      </c>
      <c r="C169" s="1" t="n">
        <v>46004</v>
      </c>
      <c r="D169" t="inlineStr">
        <is>
          <t>JÄMTLANDS LÄN</t>
        </is>
      </c>
      <c r="E169" t="inlineStr">
        <is>
          <t>RAGUNDA</t>
        </is>
      </c>
      <c r="F169" t="inlineStr">
        <is>
          <t>SCA</t>
        </is>
      </c>
      <c r="G169" t="n">
        <v>2</v>
      </c>
      <c r="H169" t="n">
        <v>1</v>
      </c>
      <c r="I169" t="n">
        <v>1</v>
      </c>
      <c r="J169" t="n">
        <v>1</v>
      </c>
      <c r="K169" t="n">
        <v>0</v>
      </c>
      <c r="L169" t="n">
        <v>0</v>
      </c>
      <c r="M169" t="n">
        <v>0</v>
      </c>
      <c r="N169" t="n">
        <v>0</v>
      </c>
      <c r="O169" t="n">
        <v>1</v>
      </c>
      <c r="P169" t="n">
        <v>0</v>
      </c>
      <c r="Q169" t="n">
        <v>2</v>
      </c>
      <c r="R169" s="2" t="inlineStr">
        <is>
          <t>Garnlav
Guckusko</t>
        </is>
      </c>
      <c r="S169">
        <f>HYPERLINK("https://klasma.github.io/Logging_2303/artfynd/A 3838-2024 artfynd.xlsx", "A 3838-2024")</f>
        <v/>
      </c>
      <c r="T169">
        <f>HYPERLINK("https://klasma.github.io/Logging_2303/kartor/A 3838-2024 karta.png", "A 3838-2024")</f>
        <v/>
      </c>
      <c r="V169">
        <f>HYPERLINK("https://klasma.github.io/Logging_2303/klagomål/A 3838-2024 FSC-klagomål.docx", "A 3838-2024")</f>
        <v/>
      </c>
      <c r="W169">
        <f>HYPERLINK("https://klasma.github.io/Logging_2303/klagomålsmail/A 3838-2024 FSC-klagomål mail.docx", "A 3838-2024")</f>
        <v/>
      </c>
      <c r="X169">
        <f>HYPERLINK("https://klasma.github.io/Logging_2303/tillsyn/A 3838-2024 tillsynsbegäran.docx", "A 3838-2024")</f>
        <v/>
      </c>
      <c r="Y169">
        <f>HYPERLINK("https://klasma.github.io/Logging_2303/tillsynsmail/A 3838-2024 tillsynsbegäran mail.docx", "A 3838-2024")</f>
        <v/>
      </c>
    </row>
    <row r="170" ht="15" customHeight="1">
      <c r="A170" t="inlineStr">
        <is>
          <t>A 41490-2022</t>
        </is>
      </c>
      <c r="B170" s="1" t="n">
        <v>44826.94976851852</v>
      </c>
      <c r="C170" s="1" t="n">
        <v>46004</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32736-2023</t>
        </is>
      </c>
      <c r="B171" s="1" t="n">
        <v>45121</v>
      </c>
      <c r="C171" s="1" t="n">
        <v>46004</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Vedtrappmossa
Stor aspticka</t>
        </is>
      </c>
      <c r="S171">
        <f>HYPERLINK("https://klasma.github.io/Logging_2303/artfynd/A 32736-2023 artfynd.xlsx", "A 32736-2023")</f>
        <v/>
      </c>
      <c r="T171">
        <f>HYPERLINK("https://klasma.github.io/Logging_2303/kartor/A 32736-2023 karta.png", "A 32736-2023")</f>
        <v/>
      </c>
      <c r="V171">
        <f>HYPERLINK("https://klasma.github.io/Logging_2303/klagomål/A 32736-2023 FSC-klagomål.docx", "A 32736-2023")</f>
        <v/>
      </c>
      <c r="W171">
        <f>HYPERLINK("https://klasma.github.io/Logging_2303/klagomålsmail/A 32736-2023 FSC-klagomål mail.docx", "A 32736-2023")</f>
        <v/>
      </c>
      <c r="X171">
        <f>HYPERLINK("https://klasma.github.io/Logging_2303/tillsyn/A 32736-2023 tillsynsbegäran.docx", "A 32736-2023")</f>
        <v/>
      </c>
      <c r="Y171">
        <f>HYPERLINK("https://klasma.github.io/Logging_2303/tillsynsmail/A 32736-2023 tillsynsbegäran mail.docx", "A 32736-2023")</f>
        <v/>
      </c>
    </row>
    <row r="172" ht="15" customHeight="1">
      <c r="A172" t="inlineStr">
        <is>
          <t>A 36756-2023</t>
        </is>
      </c>
      <c r="B172" s="1" t="n">
        <v>45153</v>
      </c>
      <c r="C172" s="1" t="n">
        <v>46004</v>
      </c>
      <c r="D172" t="inlineStr">
        <is>
          <t>JÄMTLANDS LÄN</t>
        </is>
      </c>
      <c r="E172" t="inlineStr">
        <is>
          <t>RAGUNDA</t>
        </is>
      </c>
      <c r="G172" t="n">
        <v>3.5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14502-2024</t>
        </is>
      </c>
      <c r="B173" s="1" t="n">
        <v>45394</v>
      </c>
      <c r="C173" s="1" t="n">
        <v>46004</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56285-2023</t>
        </is>
      </c>
      <c r="B174" s="1" t="n">
        <v>45241</v>
      </c>
      <c r="C174" s="1" t="n">
        <v>46004</v>
      </c>
      <c r="D174" t="inlineStr">
        <is>
          <t>JÄMTLANDS LÄN</t>
        </is>
      </c>
      <c r="E174" t="inlineStr">
        <is>
          <t>RAGUNDA</t>
        </is>
      </c>
      <c r="F174" t="inlineStr">
        <is>
          <t>SCA</t>
        </is>
      </c>
      <c r="G174" t="n">
        <v>5.5</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56285-2023 artfynd.xlsx", "A 56285-2023")</f>
        <v/>
      </c>
      <c r="T174">
        <f>HYPERLINK("https://klasma.github.io/Logging_2303/kartor/A 56285-2023 karta.png", "A 56285-2023")</f>
        <v/>
      </c>
      <c r="V174">
        <f>HYPERLINK("https://klasma.github.io/Logging_2303/klagomål/A 56285-2023 FSC-klagomål.docx", "A 56285-2023")</f>
        <v/>
      </c>
      <c r="W174">
        <f>HYPERLINK("https://klasma.github.io/Logging_2303/klagomålsmail/A 56285-2023 FSC-klagomål mail.docx", "A 56285-2023")</f>
        <v/>
      </c>
      <c r="X174">
        <f>HYPERLINK("https://klasma.github.io/Logging_2303/tillsyn/A 56285-2023 tillsynsbegäran.docx", "A 56285-2023")</f>
        <v/>
      </c>
      <c r="Y174">
        <f>HYPERLINK("https://klasma.github.io/Logging_2303/tillsynsmail/A 56285-2023 tillsynsbegäran mail.docx", "A 56285-2023")</f>
        <v/>
      </c>
    </row>
    <row r="175" ht="15" customHeight="1">
      <c r="A175" t="inlineStr">
        <is>
          <t>A 19728-2025</t>
        </is>
      </c>
      <c r="B175" s="1" t="n">
        <v>45771.36548611111</v>
      </c>
      <c r="C175" s="1" t="n">
        <v>46004</v>
      </c>
      <c r="D175" t="inlineStr">
        <is>
          <t>JÄMTLANDS LÄN</t>
        </is>
      </c>
      <c r="E175" t="inlineStr">
        <is>
          <t>RAGUNDA</t>
        </is>
      </c>
      <c r="F175" t="inlineStr">
        <is>
          <t>SCA</t>
        </is>
      </c>
      <c r="G175" t="n">
        <v>6.2</v>
      </c>
      <c r="H175" t="n">
        <v>1</v>
      </c>
      <c r="I175" t="n">
        <v>0</v>
      </c>
      <c r="J175" t="n">
        <v>2</v>
      </c>
      <c r="K175" t="n">
        <v>0</v>
      </c>
      <c r="L175" t="n">
        <v>0</v>
      </c>
      <c r="M175" t="n">
        <v>0</v>
      </c>
      <c r="N175" t="n">
        <v>0</v>
      </c>
      <c r="O175" t="n">
        <v>2</v>
      </c>
      <c r="P175" t="n">
        <v>0</v>
      </c>
      <c r="Q175" t="n">
        <v>2</v>
      </c>
      <c r="R175" s="2" t="inlineStr">
        <is>
          <t>Stjärntagging
Tretåig hackspett</t>
        </is>
      </c>
      <c r="S175">
        <f>HYPERLINK("https://klasma.github.io/Logging_2303/artfynd/A 19728-2025 artfynd.xlsx", "A 19728-2025")</f>
        <v/>
      </c>
      <c r="T175">
        <f>HYPERLINK("https://klasma.github.io/Logging_2303/kartor/A 19728-2025 karta.png", "A 19728-2025")</f>
        <v/>
      </c>
      <c r="V175">
        <f>HYPERLINK("https://klasma.github.io/Logging_2303/klagomål/A 19728-2025 FSC-klagomål.docx", "A 19728-2025")</f>
        <v/>
      </c>
      <c r="W175">
        <f>HYPERLINK("https://klasma.github.io/Logging_2303/klagomålsmail/A 19728-2025 FSC-klagomål mail.docx", "A 19728-2025")</f>
        <v/>
      </c>
      <c r="X175">
        <f>HYPERLINK("https://klasma.github.io/Logging_2303/tillsyn/A 19728-2025 tillsynsbegäran.docx", "A 19728-2025")</f>
        <v/>
      </c>
      <c r="Y175">
        <f>HYPERLINK("https://klasma.github.io/Logging_2303/tillsynsmail/A 19728-2025 tillsynsbegäran mail.docx", "A 19728-2025")</f>
        <v/>
      </c>
      <c r="Z175">
        <f>HYPERLINK("https://klasma.github.io/Logging_2303/fåglar/A 19728-2025 prioriterade fågelarter.docx", "A 19728-2025")</f>
        <v/>
      </c>
    </row>
    <row r="176" ht="15" customHeight="1">
      <c r="A176" t="inlineStr">
        <is>
          <t>A 39495-2024</t>
        </is>
      </c>
      <c r="B176" s="1" t="n">
        <v>45551.65726851852</v>
      </c>
      <c r="C176" s="1" t="n">
        <v>46004</v>
      </c>
      <c r="D176" t="inlineStr">
        <is>
          <t>JÄMTLANDS LÄN</t>
        </is>
      </c>
      <c r="E176" t="inlineStr">
        <is>
          <t>RAGUNDA</t>
        </is>
      </c>
      <c r="F176" t="inlineStr">
        <is>
          <t>SCA</t>
        </is>
      </c>
      <c r="G176" t="n">
        <v>6.6</v>
      </c>
      <c r="H176" t="n">
        <v>0</v>
      </c>
      <c r="I176" t="n">
        <v>0</v>
      </c>
      <c r="J176" t="n">
        <v>2</v>
      </c>
      <c r="K176" t="n">
        <v>0</v>
      </c>
      <c r="L176" t="n">
        <v>0</v>
      </c>
      <c r="M176" t="n">
        <v>0</v>
      </c>
      <c r="N176" t="n">
        <v>0</v>
      </c>
      <c r="O176" t="n">
        <v>2</v>
      </c>
      <c r="P176" t="n">
        <v>0</v>
      </c>
      <c r="Q176" t="n">
        <v>2</v>
      </c>
      <c r="R176" s="2" t="inlineStr">
        <is>
          <t>Garnlav
Ullticka</t>
        </is>
      </c>
      <c r="S176">
        <f>HYPERLINK("https://klasma.github.io/Logging_2303/artfynd/A 39495-2024 artfynd.xlsx", "A 39495-2024")</f>
        <v/>
      </c>
      <c r="T176">
        <f>HYPERLINK("https://klasma.github.io/Logging_2303/kartor/A 39495-2024 karta.png", "A 39495-2024")</f>
        <v/>
      </c>
      <c r="V176">
        <f>HYPERLINK("https://klasma.github.io/Logging_2303/klagomål/A 39495-2024 FSC-klagomål.docx", "A 39495-2024")</f>
        <v/>
      </c>
      <c r="W176">
        <f>HYPERLINK("https://klasma.github.io/Logging_2303/klagomålsmail/A 39495-2024 FSC-klagomål mail.docx", "A 39495-2024")</f>
        <v/>
      </c>
      <c r="X176">
        <f>HYPERLINK("https://klasma.github.io/Logging_2303/tillsyn/A 39495-2024 tillsynsbegäran.docx", "A 39495-2024")</f>
        <v/>
      </c>
      <c r="Y176">
        <f>HYPERLINK("https://klasma.github.io/Logging_2303/tillsynsmail/A 39495-2024 tillsynsbegäran mail.docx", "A 39495-2024")</f>
        <v/>
      </c>
    </row>
    <row r="177" ht="15" customHeight="1">
      <c r="A177" t="inlineStr">
        <is>
          <t>A 45035-2023</t>
        </is>
      </c>
      <c r="B177" s="1" t="n">
        <v>45191</v>
      </c>
      <c r="C177" s="1" t="n">
        <v>46004</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11544-2024</t>
        </is>
      </c>
      <c r="B178" s="1" t="n">
        <v>45372.95680555556</v>
      </c>
      <c r="C178" s="1" t="n">
        <v>46004</v>
      </c>
      <c r="D178" t="inlineStr">
        <is>
          <t>JÄMTLANDS LÄN</t>
        </is>
      </c>
      <c r="E178" t="inlineStr">
        <is>
          <t>RAGUNDA</t>
        </is>
      </c>
      <c r="F178" t="inlineStr">
        <is>
          <t>SCA</t>
        </is>
      </c>
      <c r="G178" t="n">
        <v>15.5</v>
      </c>
      <c r="H178" t="n">
        <v>0</v>
      </c>
      <c r="I178" t="n">
        <v>0</v>
      </c>
      <c r="J178" t="n">
        <v>2</v>
      </c>
      <c r="K178" t="n">
        <v>0</v>
      </c>
      <c r="L178" t="n">
        <v>0</v>
      </c>
      <c r="M178" t="n">
        <v>0</v>
      </c>
      <c r="N178" t="n">
        <v>0</v>
      </c>
      <c r="O178" t="n">
        <v>2</v>
      </c>
      <c r="P178" t="n">
        <v>0</v>
      </c>
      <c r="Q178" t="n">
        <v>2</v>
      </c>
      <c r="R178" s="2" t="inlineStr">
        <is>
          <t>Granticka
Mörk kolflarnlav</t>
        </is>
      </c>
      <c r="S178">
        <f>HYPERLINK("https://klasma.github.io/Logging_2303/artfynd/A 11544-2024 artfynd.xlsx", "A 11544-2024")</f>
        <v/>
      </c>
      <c r="T178">
        <f>HYPERLINK("https://klasma.github.io/Logging_2303/kartor/A 11544-2024 karta.png", "A 11544-2024")</f>
        <v/>
      </c>
      <c r="V178">
        <f>HYPERLINK("https://klasma.github.io/Logging_2303/klagomål/A 11544-2024 FSC-klagomål.docx", "A 11544-2024")</f>
        <v/>
      </c>
      <c r="W178">
        <f>HYPERLINK("https://klasma.github.io/Logging_2303/klagomålsmail/A 11544-2024 FSC-klagomål mail.docx", "A 11544-2024")</f>
        <v/>
      </c>
      <c r="X178">
        <f>HYPERLINK("https://klasma.github.io/Logging_2303/tillsyn/A 11544-2024 tillsynsbegäran.docx", "A 11544-2024")</f>
        <v/>
      </c>
      <c r="Y178">
        <f>HYPERLINK("https://klasma.github.io/Logging_2303/tillsynsmail/A 11544-2024 tillsynsbegäran mail.docx", "A 11544-2024")</f>
        <v/>
      </c>
    </row>
    <row r="179" ht="15" customHeight="1">
      <c r="A179" t="inlineStr">
        <is>
          <t>A 46771-2024</t>
        </is>
      </c>
      <c r="B179" s="1" t="n">
        <v>45583.49642361111</v>
      </c>
      <c r="C179" s="1" t="n">
        <v>46004</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26482-2023</t>
        </is>
      </c>
      <c r="B180" s="1" t="n">
        <v>45089</v>
      </c>
      <c r="C180" s="1" t="n">
        <v>46004</v>
      </c>
      <c r="D180" t="inlineStr">
        <is>
          <t>JÄMTLANDS LÄN</t>
        </is>
      </c>
      <c r="E180" t="inlineStr">
        <is>
          <t>RAGUNDA</t>
        </is>
      </c>
      <c r="G180" t="n">
        <v>2</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c r="Z180">
        <f>HYPERLINK("https://klasma.github.io/Logging_2303/fåglar/A 26482-2023 prioriterade fågelarter.docx", "A 26482-2023")</f>
        <v/>
      </c>
    </row>
    <row r="181" ht="15" customHeight="1">
      <c r="A181" t="inlineStr">
        <is>
          <t>A 44409-2023</t>
        </is>
      </c>
      <c r="B181" s="1" t="n">
        <v>45188</v>
      </c>
      <c r="C181" s="1" t="n">
        <v>46004</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44409-2023 artfynd.xlsx", "A 44409-2023")</f>
        <v/>
      </c>
      <c r="T181">
        <f>HYPERLINK("https://klasma.github.io/Logging_2303/kartor/A 44409-2023 karta.png", "A 44409-2023")</f>
        <v/>
      </c>
      <c r="V181">
        <f>HYPERLINK("https://klasma.github.io/Logging_2303/klagomål/A 44409-2023 FSC-klagomål.docx", "A 44409-2023")</f>
        <v/>
      </c>
      <c r="W181">
        <f>HYPERLINK("https://klasma.github.io/Logging_2303/klagomålsmail/A 44409-2023 FSC-klagomål mail.docx", "A 44409-2023")</f>
        <v/>
      </c>
      <c r="X181">
        <f>HYPERLINK("https://klasma.github.io/Logging_2303/tillsyn/A 44409-2023 tillsynsbegäran.docx", "A 44409-2023")</f>
        <v/>
      </c>
      <c r="Y181">
        <f>HYPERLINK("https://klasma.github.io/Logging_2303/tillsynsmail/A 44409-2023 tillsynsbegäran mail.docx", "A 44409-2023")</f>
        <v/>
      </c>
    </row>
    <row r="182" ht="15" customHeight="1">
      <c r="A182" t="inlineStr">
        <is>
          <t>A 11843-2023</t>
        </is>
      </c>
      <c r="B182" s="1" t="n">
        <v>44993</v>
      </c>
      <c r="C182" s="1" t="n">
        <v>46004</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17733-2022</t>
        </is>
      </c>
      <c r="B183" s="1" t="n">
        <v>44680</v>
      </c>
      <c r="C183" s="1" t="n">
        <v>46004</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12271-2024</t>
        </is>
      </c>
      <c r="B184" s="1" t="n">
        <v>45378</v>
      </c>
      <c r="C184" s="1" t="n">
        <v>46004</v>
      </c>
      <c r="D184" t="inlineStr">
        <is>
          <t>JÄMTLANDS LÄN</t>
        </is>
      </c>
      <c r="E184" t="inlineStr">
        <is>
          <t>RAGUNDA</t>
        </is>
      </c>
      <c r="F184" t="inlineStr">
        <is>
          <t>Kommuner</t>
        </is>
      </c>
      <c r="G184" t="n">
        <v>6.1</v>
      </c>
      <c r="H184" t="n">
        <v>0</v>
      </c>
      <c r="I184" t="n">
        <v>0</v>
      </c>
      <c r="J184" t="n">
        <v>2</v>
      </c>
      <c r="K184" t="n">
        <v>0</v>
      </c>
      <c r="L184" t="n">
        <v>0</v>
      </c>
      <c r="M184" t="n">
        <v>0</v>
      </c>
      <c r="N184" t="n">
        <v>0</v>
      </c>
      <c r="O184" t="n">
        <v>2</v>
      </c>
      <c r="P184" t="n">
        <v>0</v>
      </c>
      <c r="Q184" t="n">
        <v>2</v>
      </c>
      <c r="R184" s="2" t="inlineStr">
        <is>
          <t>Garnlav
Lunglav</t>
        </is>
      </c>
      <c r="S184">
        <f>HYPERLINK("https://klasma.github.io/Logging_2303/artfynd/A 12271-2024 artfynd.xlsx", "A 12271-2024")</f>
        <v/>
      </c>
      <c r="T184">
        <f>HYPERLINK("https://klasma.github.io/Logging_2303/kartor/A 12271-2024 karta.png", "A 12271-2024")</f>
        <v/>
      </c>
      <c r="V184">
        <f>HYPERLINK("https://klasma.github.io/Logging_2303/klagomål/A 12271-2024 FSC-klagomål.docx", "A 12271-2024")</f>
        <v/>
      </c>
      <c r="W184">
        <f>HYPERLINK("https://klasma.github.io/Logging_2303/klagomålsmail/A 12271-2024 FSC-klagomål mail.docx", "A 12271-2024")</f>
        <v/>
      </c>
      <c r="X184">
        <f>HYPERLINK("https://klasma.github.io/Logging_2303/tillsyn/A 12271-2024 tillsynsbegäran.docx", "A 12271-2024")</f>
        <v/>
      </c>
      <c r="Y184">
        <f>HYPERLINK("https://klasma.github.io/Logging_2303/tillsynsmail/A 12271-2024 tillsynsbegäran mail.docx", "A 12271-2024")</f>
        <v/>
      </c>
    </row>
    <row r="185" ht="15" customHeight="1">
      <c r="A185" t="inlineStr">
        <is>
          <t>A 34715-2024</t>
        </is>
      </c>
      <c r="B185" s="1" t="n">
        <v>45526.56393518519</v>
      </c>
      <c r="C185" s="1" t="n">
        <v>46004</v>
      </c>
      <c r="D185" t="inlineStr">
        <is>
          <t>JÄMTLANDS LÄN</t>
        </is>
      </c>
      <c r="E185" t="inlineStr">
        <is>
          <t>RAGUNDA</t>
        </is>
      </c>
      <c r="F185" t="inlineStr">
        <is>
          <t>SCA</t>
        </is>
      </c>
      <c r="G185" t="n">
        <v>3</v>
      </c>
      <c r="H185" t="n">
        <v>0</v>
      </c>
      <c r="I185" t="n">
        <v>1</v>
      </c>
      <c r="J185" t="n">
        <v>1</v>
      </c>
      <c r="K185" t="n">
        <v>0</v>
      </c>
      <c r="L185" t="n">
        <v>0</v>
      </c>
      <c r="M185" t="n">
        <v>0</v>
      </c>
      <c r="N185" t="n">
        <v>0</v>
      </c>
      <c r="O185" t="n">
        <v>1</v>
      </c>
      <c r="P185" t="n">
        <v>0</v>
      </c>
      <c r="Q185" t="n">
        <v>2</v>
      </c>
      <c r="R185" s="2" t="inlineStr">
        <is>
          <t>Garnlav
Vedticka</t>
        </is>
      </c>
      <c r="S185">
        <f>HYPERLINK("https://klasma.github.io/Logging_2303/artfynd/A 34715-2024 artfynd.xlsx", "A 34715-2024")</f>
        <v/>
      </c>
      <c r="T185">
        <f>HYPERLINK("https://klasma.github.io/Logging_2303/kartor/A 34715-2024 karta.png", "A 34715-2024")</f>
        <v/>
      </c>
      <c r="V185">
        <f>HYPERLINK("https://klasma.github.io/Logging_2303/klagomål/A 34715-2024 FSC-klagomål.docx", "A 34715-2024")</f>
        <v/>
      </c>
      <c r="W185">
        <f>HYPERLINK("https://klasma.github.io/Logging_2303/klagomålsmail/A 34715-2024 FSC-klagomål mail.docx", "A 34715-2024")</f>
        <v/>
      </c>
      <c r="X185">
        <f>HYPERLINK("https://klasma.github.io/Logging_2303/tillsyn/A 34715-2024 tillsynsbegäran.docx", "A 34715-2024")</f>
        <v/>
      </c>
      <c r="Y185">
        <f>HYPERLINK("https://klasma.github.io/Logging_2303/tillsynsmail/A 34715-2024 tillsynsbegäran mail.docx", "A 34715-2024")</f>
        <v/>
      </c>
    </row>
    <row r="186" ht="15" customHeight="1">
      <c r="A186" t="inlineStr">
        <is>
          <t>A 48084-2022</t>
        </is>
      </c>
      <c r="B186" s="1" t="n">
        <v>44855</v>
      </c>
      <c r="C186" s="1" t="n">
        <v>46004</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26324-2024</t>
        </is>
      </c>
      <c r="B187" s="1" t="n">
        <v>45468.97495370371</v>
      </c>
      <c r="C187" s="1" t="n">
        <v>46004</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21245-2025</t>
        </is>
      </c>
      <c r="B188" s="1" t="n">
        <v>45779.57350694444</v>
      </c>
      <c r="C188" s="1" t="n">
        <v>46004</v>
      </c>
      <c r="D188" t="inlineStr">
        <is>
          <t>JÄMTLANDS LÄN</t>
        </is>
      </c>
      <c r="E188" t="inlineStr">
        <is>
          <t>RAGUNDA</t>
        </is>
      </c>
      <c r="F188" t="inlineStr">
        <is>
          <t>SCA</t>
        </is>
      </c>
      <c r="G188" t="n">
        <v>3.7</v>
      </c>
      <c r="H188" t="n">
        <v>1</v>
      </c>
      <c r="I188" t="n">
        <v>0</v>
      </c>
      <c r="J188" t="n">
        <v>1</v>
      </c>
      <c r="K188" t="n">
        <v>0</v>
      </c>
      <c r="L188" t="n">
        <v>0</v>
      </c>
      <c r="M188" t="n">
        <v>0</v>
      </c>
      <c r="N188" t="n">
        <v>0</v>
      </c>
      <c r="O188" t="n">
        <v>1</v>
      </c>
      <c r="P188" t="n">
        <v>0</v>
      </c>
      <c r="Q188" t="n">
        <v>2</v>
      </c>
      <c r="R188" s="2" t="inlineStr">
        <is>
          <t>Garnlav
Tjäder</t>
        </is>
      </c>
      <c r="S188">
        <f>HYPERLINK("https://klasma.github.io/Logging_2303/artfynd/A 21245-2025 artfynd.xlsx", "A 21245-2025")</f>
        <v/>
      </c>
      <c r="T188">
        <f>HYPERLINK("https://klasma.github.io/Logging_2303/kartor/A 21245-2025 karta.png", "A 21245-2025")</f>
        <v/>
      </c>
      <c r="V188">
        <f>HYPERLINK("https://klasma.github.io/Logging_2303/klagomål/A 21245-2025 FSC-klagomål.docx", "A 21245-2025")</f>
        <v/>
      </c>
      <c r="W188">
        <f>HYPERLINK("https://klasma.github.io/Logging_2303/klagomålsmail/A 21245-2025 FSC-klagomål mail.docx", "A 21245-2025")</f>
        <v/>
      </c>
      <c r="X188">
        <f>HYPERLINK("https://klasma.github.io/Logging_2303/tillsyn/A 21245-2025 tillsynsbegäran.docx", "A 21245-2025")</f>
        <v/>
      </c>
      <c r="Y188">
        <f>HYPERLINK("https://klasma.github.io/Logging_2303/tillsynsmail/A 21245-2025 tillsynsbegäran mail.docx", "A 21245-2025")</f>
        <v/>
      </c>
      <c r="Z188">
        <f>HYPERLINK("https://klasma.github.io/Logging_2303/fåglar/A 21245-2025 prioriterade fågelarter.docx", "A 21245-2025")</f>
        <v/>
      </c>
    </row>
    <row r="189" ht="15" customHeight="1">
      <c r="A189" t="inlineStr">
        <is>
          <t>A 47850-2025</t>
        </is>
      </c>
      <c r="B189" s="1" t="n">
        <v>45932.38626157407</v>
      </c>
      <c r="C189" s="1" t="n">
        <v>46004</v>
      </c>
      <c r="D189" t="inlineStr">
        <is>
          <t>JÄMTLANDS LÄN</t>
        </is>
      </c>
      <c r="E189" t="inlineStr">
        <is>
          <t>RAGUNDA</t>
        </is>
      </c>
      <c r="F189" t="inlineStr">
        <is>
          <t>SCA</t>
        </is>
      </c>
      <c r="G189" t="n">
        <v>2.4</v>
      </c>
      <c r="H189" t="n">
        <v>1</v>
      </c>
      <c r="I189" t="n">
        <v>0</v>
      </c>
      <c r="J189" t="n">
        <v>1</v>
      </c>
      <c r="K189" t="n">
        <v>0</v>
      </c>
      <c r="L189" t="n">
        <v>0</v>
      </c>
      <c r="M189" t="n">
        <v>0</v>
      </c>
      <c r="N189" t="n">
        <v>0</v>
      </c>
      <c r="O189" t="n">
        <v>1</v>
      </c>
      <c r="P189" t="n">
        <v>0</v>
      </c>
      <c r="Q189" t="n">
        <v>2</v>
      </c>
      <c r="R189" s="2" t="inlineStr">
        <is>
          <t>Kolflarnlav
Blåsippa</t>
        </is>
      </c>
      <c r="S189">
        <f>HYPERLINK("https://klasma.github.io/Logging_2303/artfynd/A 47850-2025 artfynd.xlsx", "A 47850-2025")</f>
        <v/>
      </c>
      <c r="T189">
        <f>HYPERLINK("https://klasma.github.io/Logging_2303/kartor/A 47850-2025 karta.png", "A 47850-2025")</f>
        <v/>
      </c>
      <c r="V189">
        <f>HYPERLINK("https://klasma.github.io/Logging_2303/klagomål/A 47850-2025 FSC-klagomål.docx", "A 47850-2025")</f>
        <v/>
      </c>
      <c r="W189">
        <f>HYPERLINK("https://klasma.github.io/Logging_2303/klagomålsmail/A 47850-2025 FSC-klagomål mail.docx", "A 47850-2025")</f>
        <v/>
      </c>
      <c r="X189">
        <f>HYPERLINK("https://klasma.github.io/Logging_2303/tillsyn/A 47850-2025 tillsynsbegäran.docx", "A 47850-2025")</f>
        <v/>
      </c>
      <c r="Y189">
        <f>HYPERLINK("https://klasma.github.io/Logging_2303/tillsynsmail/A 47850-2025 tillsynsbegäran mail.docx", "A 47850-2025")</f>
        <v/>
      </c>
    </row>
    <row r="190" ht="15" customHeight="1">
      <c r="A190" t="inlineStr">
        <is>
          <t>A 56634-2025</t>
        </is>
      </c>
      <c r="B190" s="1" t="n">
        <v>45975.61619212963</v>
      </c>
      <c r="C190" s="1" t="n">
        <v>46004</v>
      </c>
      <c r="D190" t="inlineStr">
        <is>
          <t>JÄMTLANDS LÄN</t>
        </is>
      </c>
      <c r="E190" t="inlineStr">
        <is>
          <t>RAGUNDA</t>
        </is>
      </c>
      <c r="F190" t="inlineStr">
        <is>
          <t>SCA</t>
        </is>
      </c>
      <c r="G190" t="n">
        <v>86.59999999999999</v>
      </c>
      <c r="H190" t="n">
        <v>0</v>
      </c>
      <c r="I190" t="n">
        <v>1</v>
      </c>
      <c r="J190" t="n">
        <v>1</v>
      </c>
      <c r="K190" t="n">
        <v>0</v>
      </c>
      <c r="L190" t="n">
        <v>0</v>
      </c>
      <c r="M190" t="n">
        <v>0</v>
      </c>
      <c r="N190" t="n">
        <v>0</v>
      </c>
      <c r="O190" t="n">
        <v>1</v>
      </c>
      <c r="P190" t="n">
        <v>0</v>
      </c>
      <c r="Q190" t="n">
        <v>2</v>
      </c>
      <c r="R190" s="2" t="inlineStr">
        <is>
          <t>Garnlav
Skuggblåslav</t>
        </is>
      </c>
      <c r="S190">
        <f>HYPERLINK("https://klasma.github.io/Logging_2303/artfynd/A 56634-2025 artfynd.xlsx", "A 56634-2025")</f>
        <v/>
      </c>
      <c r="T190">
        <f>HYPERLINK("https://klasma.github.io/Logging_2303/kartor/A 56634-2025 karta.png", "A 56634-2025")</f>
        <v/>
      </c>
      <c r="V190">
        <f>HYPERLINK("https://klasma.github.io/Logging_2303/klagomål/A 56634-2025 FSC-klagomål.docx", "A 56634-2025")</f>
        <v/>
      </c>
      <c r="W190">
        <f>HYPERLINK("https://klasma.github.io/Logging_2303/klagomålsmail/A 56634-2025 FSC-klagomål mail.docx", "A 56634-2025")</f>
        <v/>
      </c>
      <c r="X190">
        <f>HYPERLINK("https://klasma.github.io/Logging_2303/tillsyn/A 56634-2025 tillsynsbegäran.docx", "A 56634-2025")</f>
        <v/>
      </c>
      <c r="Y190">
        <f>HYPERLINK("https://klasma.github.io/Logging_2303/tillsynsmail/A 56634-2025 tillsynsbegäran mail.docx", "A 56634-2025")</f>
        <v/>
      </c>
    </row>
    <row r="191" ht="15" customHeight="1">
      <c r="A191" t="inlineStr">
        <is>
          <t>A 25155-2025</t>
        </is>
      </c>
      <c r="B191" s="1" t="n">
        <v>45800.42782407408</v>
      </c>
      <c r="C191" s="1" t="n">
        <v>46004</v>
      </c>
      <c r="D191" t="inlineStr">
        <is>
          <t>JÄMTLANDS LÄN</t>
        </is>
      </c>
      <c r="E191" t="inlineStr">
        <is>
          <t>RAGUNDA</t>
        </is>
      </c>
      <c r="F191" t="inlineStr">
        <is>
          <t>SCA</t>
        </is>
      </c>
      <c r="G191" t="n">
        <v>1.7</v>
      </c>
      <c r="H191" t="n">
        <v>1</v>
      </c>
      <c r="I191" t="n">
        <v>0</v>
      </c>
      <c r="J191" t="n">
        <v>1</v>
      </c>
      <c r="K191" t="n">
        <v>0</v>
      </c>
      <c r="L191" t="n">
        <v>0</v>
      </c>
      <c r="M191" t="n">
        <v>0</v>
      </c>
      <c r="N191" t="n">
        <v>0</v>
      </c>
      <c r="O191" t="n">
        <v>1</v>
      </c>
      <c r="P191" t="n">
        <v>0</v>
      </c>
      <c r="Q191" t="n">
        <v>2</v>
      </c>
      <c r="R191" s="2" t="inlineStr">
        <is>
          <t>Leptoporus mollis
Fläcknycklar</t>
        </is>
      </c>
      <c r="S191">
        <f>HYPERLINK("https://klasma.github.io/Logging_2303/artfynd/A 25155-2025 artfynd.xlsx", "A 25155-2025")</f>
        <v/>
      </c>
      <c r="T191">
        <f>HYPERLINK("https://klasma.github.io/Logging_2303/kartor/A 25155-2025 karta.png", "A 25155-2025")</f>
        <v/>
      </c>
      <c r="V191">
        <f>HYPERLINK("https://klasma.github.io/Logging_2303/klagomål/A 25155-2025 FSC-klagomål.docx", "A 25155-2025")</f>
        <v/>
      </c>
      <c r="W191">
        <f>HYPERLINK("https://klasma.github.io/Logging_2303/klagomålsmail/A 25155-2025 FSC-klagomål mail.docx", "A 25155-2025")</f>
        <v/>
      </c>
      <c r="X191">
        <f>HYPERLINK("https://klasma.github.io/Logging_2303/tillsyn/A 25155-2025 tillsynsbegäran.docx", "A 25155-2025")</f>
        <v/>
      </c>
      <c r="Y191">
        <f>HYPERLINK("https://klasma.github.io/Logging_2303/tillsynsmail/A 25155-2025 tillsynsbegäran mail.docx", "A 25155-2025")</f>
        <v/>
      </c>
    </row>
    <row r="192" ht="15" customHeight="1">
      <c r="A192" t="inlineStr">
        <is>
          <t>A 48427-2023</t>
        </is>
      </c>
      <c r="B192" s="1" t="n">
        <v>45205</v>
      </c>
      <c r="C192" s="1" t="n">
        <v>46004</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31960-2025</t>
        </is>
      </c>
      <c r="B193" s="1" t="n">
        <v>45835.344375</v>
      </c>
      <c r="C193" s="1" t="n">
        <v>46004</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35131-2025</t>
        </is>
      </c>
      <c r="B194" s="1" t="n">
        <v>45852.63597222222</v>
      </c>
      <c r="C194" s="1" t="n">
        <v>46004</v>
      </c>
      <c r="D194" t="inlineStr">
        <is>
          <t>JÄMTLANDS LÄN</t>
        </is>
      </c>
      <c r="E194" t="inlineStr">
        <is>
          <t>RAGUNDA</t>
        </is>
      </c>
      <c r="F194" t="inlineStr">
        <is>
          <t>SCA</t>
        </is>
      </c>
      <c r="G194" t="n">
        <v>6.9</v>
      </c>
      <c r="H194" t="n">
        <v>1</v>
      </c>
      <c r="I194" t="n">
        <v>1</v>
      </c>
      <c r="J194" t="n">
        <v>0</v>
      </c>
      <c r="K194" t="n">
        <v>0</v>
      </c>
      <c r="L194" t="n">
        <v>0</v>
      </c>
      <c r="M194" t="n">
        <v>0</v>
      </c>
      <c r="N194" t="n">
        <v>0</v>
      </c>
      <c r="O194" t="n">
        <v>0</v>
      </c>
      <c r="P194" t="n">
        <v>0</v>
      </c>
      <c r="Q194" t="n">
        <v>2</v>
      </c>
      <c r="R194" s="2" t="inlineStr">
        <is>
          <t>Ögonpyrola
Nattviol</t>
        </is>
      </c>
      <c r="S194">
        <f>HYPERLINK("https://klasma.github.io/Logging_2303/artfynd/A 35131-2025 artfynd.xlsx", "A 35131-2025")</f>
        <v/>
      </c>
      <c r="T194">
        <f>HYPERLINK("https://klasma.github.io/Logging_2303/kartor/A 35131-2025 karta.png", "A 35131-2025")</f>
        <v/>
      </c>
      <c r="V194">
        <f>HYPERLINK("https://klasma.github.io/Logging_2303/klagomål/A 35131-2025 FSC-klagomål.docx", "A 35131-2025")</f>
        <v/>
      </c>
      <c r="W194">
        <f>HYPERLINK("https://klasma.github.io/Logging_2303/klagomålsmail/A 35131-2025 FSC-klagomål mail.docx", "A 35131-2025")</f>
        <v/>
      </c>
      <c r="X194">
        <f>HYPERLINK("https://klasma.github.io/Logging_2303/tillsyn/A 35131-2025 tillsynsbegäran.docx", "A 35131-2025")</f>
        <v/>
      </c>
      <c r="Y194">
        <f>HYPERLINK("https://klasma.github.io/Logging_2303/tillsynsmail/A 35131-2025 tillsynsbegäran mail.docx", "A 35131-2025")</f>
        <v/>
      </c>
    </row>
    <row r="195" ht="15" customHeight="1">
      <c r="A195" t="inlineStr">
        <is>
          <t>A 57940-2024</t>
        </is>
      </c>
      <c r="B195" s="1" t="n">
        <v>45631</v>
      </c>
      <c r="C195" s="1" t="n">
        <v>46004</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51916-2021</t>
        </is>
      </c>
      <c r="B196" s="1" t="n">
        <v>44462</v>
      </c>
      <c r="C196" s="1" t="n">
        <v>46004</v>
      </c>
      <c r="D196" t="inlineStr">
        <is>
          <t>JÄMTLANDS LÄN</t>
        </is>
      </c>
      <c r="E196" t="inlineStr">
        <is>
          <t>RAGUNDA</t>
        </is>
      </c>
      <c r="F196" t="inlineStr">
        <is>
          <t>SCA</t>
        </is>
      </c>
      <c r="G196" t="n">
        <v>3</v>
      </c>
      <c r="H196" t="n">
        <v>1</v>
      </c>
      <c r="I196" t="n">
        <v>0</v>
      </c>
      <c r="J196" t="n">
        <v>1</v>
      </c>
      <c r="K196" t="n">
        <v>0</v>
      </c>
      <c r="L196" t="n">
        <v>0</v>
      </c>
      <c r="M196" t="n">
        <v>0</v>
      </c>
      <c r="N196" t="n">
        <v>0</v>
      </c>
      <c r="O196" t="n">
        <v>1</v>
      </c>
      <c r="P196" t="n">
        <v>0</v>
      </c>
      <c r="Q196" t="n">
        <v>1</v>
      </c>
      <c r="R196" s="2" t="inlineStr">
        <is>
          <t>Varglav</t>
        </is>
      </c>
      <c r="S196">
        <f>HYPERLINK("https://klasma.github.io/Logging_2303/artfynd/A 51916-2021 artfynd.xlsx", "A 51916-2021")</f>
        <v/>
      </c>
      <c r="T196">
        <f>HYPERLINK("https://klasma.github.io/Logging_2303/kartor/A 51916-2021 karta.png", "A 51916-2021")</f>
        <v/>
      </c>
      <c r="V196">
        <f>HYPERLINK("https://klasma.github.io/Logging_2303/klagomål/A 51916-2021 FSC-klagomål.docx", "A 51916-2021")</f>
        <v/>
      </c>
      <c r="W196">
        <f>HYPERLINK("https://klasma.github.io/Logging_2303/klagomålsmail/A 51916-2021 FSC-klagomål mail.docx", "A 51916-2021")</f>
        <v/>
      </c>
      <c r="X196">
        <f>HYPERLINK("https://klasma.github.io/Logging_2303/tillsyn/A 51916-2021 tillsynsbegäran.docx", "A 51916-2021")</f>
        <v/>
      </c>
      <c r="Y196">
        <f>HYPERLINK("https://klasma.github.io/Logging_2303/tillsynsmail/A 51916-2021 tillsynsbegäran mail.docx", "A 51916-2021")</f>
        <v/>
      </c>
    </row>
    <row r="197" ht="15" customHeight="1">
      <c r="A197" t="inlineStr">
        <is>
          <t>A 21275-2022</t>
        </is>
      </c>
      <c r="B197" s="1" t="n">
        <v>44705</v>
      </c>
      <c r="C197" s="1" t="n">
        <v>46004</v>
      </c>
      <c r="D197" t="inlineStr">
        <is>
          <t>JÄMTLANDS LÄN</t>
        </is>
      </c>
      <c r="E197" t="inlineStr">
        <is>
          <t>RAGUNDA</t>
        </is>
      </c>
      <c r="G197" t="n">
        <v>2.2</v>
      </c>
      <c r="H197" t="n">
        <v>0</v>
      </c>
      <c r="I197" t="n">
        <v>1</v>
      </c>
      <c r="J197" t="n">
        <v>0</v>
      </c>
      <c r="K197" t="n">
        <v>0</v>
      </c>
      <c r="L197" t="n">
        <v>0</v>
      </c>
      <c r="M197" t="n">
        <v>0</v>
      </c>
      <c r="N197" t="n">
        <v>0</v>
      </c>
      <c r="O197" t="n">
        <v>0</v>
      </c>
      <c r="P197" t="n">
        <v>0</v>
      </c>
      <c r="Q197" t="n">
        <v>1</v>
      </c>
      <c r="R197" s="2" t="inlineStr">
        <is>
          <t>Kransrams</t>
        </is>
      </c>
      <c r="S197">
        <f>HYPERLINK("https://klasma.github.io/Logging_2303/artfynd/A 21275-2022 artfynd.xlsx", "A 21275-2022")</f>
        <v/>
      </c>
      <c r="T197">
        <f>HYPERLINK("https://klasma.github.io/Logging_2303/kartor/A 21275-2022 karta.png", "A 21275-2022")</f>
        <v/>
      </c>
      <c r="V197">
        <f>HYPERLINK("https://klasma.github.io/Logging_2303/klagomål/A 21275-2022 FSC-klagomål.docx", "A 21275-2022")</f>
        <v/>
      </c>
      <c r="W197">
        <f>HYPERLINK("https://klasma.github.io/Logging_2303/klagomålsmail/A 21275-2022 FSC-klagomål mail.docx", "A 21275-2022")</f>
        <v/>
      </c>
      <c r="X197">
        <f>HYPERLINK("https://klasma.github.io/Logging_2303/tillsyn/A 21275-2022 tillsynsbegäran.docx", "A 21275-2022")</f>
        <v/>
      </c>
      <c r="Y197">
        <f>HYPERLINK("https://klasma.github.io/Logging_2303/tillsynsmail/A 21275-2022 tillsynsbegäran mail.docx", "A 21275-2022")</f>
        <v/>
      </c>
    </row>
    <row r="198" ht="15" customHeight="1">
      <c r="A198" t="inlineStr">
        <is>
          <t>A 27273-2022</t>
        </is>
      </c>
      <c r="B198" s="1" t="n">
        <v>44741</v>
      </c>
      <c r="C198" s="1" t="n">
        <v>46004</v>
      </c>
      <c r="D198" t="inlineStr">
        <is>
          <t>JÄMTLANDS LÄN</t>
        </is>
      </c>
      <c r="E198" t="inlineStr">
        <is>
          <t>RAGUNDA</t>
        </is>
      </c>
      <c r="G198" t="n">
        <v>1.2</v>
      </c>
      <c r="H198" t="n">
        <v>0</v>
      </c>
      <c r="I198" t="n">
        <v>1</v>
      </c>
      <c r="J198" t="n">
        <v>0</v>
      </c>
      <c r="K198" t="n">
        <v>0</v>
      </c>
      <c r="L198" t="n">
        <v>0</v>
      </c>
      <c r="M198" t="n">
        <v>0</v>
      </c>
      <c r="N198" t="n">
        <v>0</v>
      </c>
      <c r="O198" t="n">
        <v>0</v>
      </c>
      <c r="P198" t="n">
        <v>0</v>
      </c>
      <c r="Q198" t="n">
        <v>1</v>
      </c>
      <c r="R198" s="2" t="inlineStr">
        <is>
          <t>Svart trolldruva</t>
        </is>
      </c>
      <c r="S198">
        <f>HYPERLINK("https://klasma.github.io/Logging_2303/artfynd/A 27273-2022 artfynd.xlsx", "A 27273-2022")</f>
        <v/>
      </c>
      <c r="T198">
        <f>HYPERLINK("https://klasma.github.io/Logging_2303/kartor/A 27273-2022 karta.png", "A 27273-2022")</f>
        <v/>
      </c>
      <c r="V198">
        <f>HYPERLINK("https://klasma.github.io/Logging_2303/klagomål/A 27273-2022 FSC-klagomål.docx", "A 27273-2022")</f>
        <v/>
      </c>
      <c r="W198">
        <f>HYPERLINK("https://klasma.github.io/Logging_2303/klagomålsmail/A 27273-2022 FSC-klagomål mail.docx", "A 27273-2022")</f>
        <v/>
      </c>
      <c r="X198">
        <f>HYPERLINK("https://klasma.github.io/Logging_2303/tillsyn/A 27273-2022 tillsynsbegäran.docx", "A 27273-2022")</f>
        <v/>
      </c>
      <c r="Y198">
        <f>HYPERLINK("https://klasma.github.io/Logging_2303/tillsynsmail/A 27273-2022 tillsynsbegäran mail.docx", "A 27273-2022")</f>
        <v/>
      </c>
    </row>
    <row r="199" ht="15" customHeight="1">
      <c r="A199" t="inlineStr">
        <is>
          <t>A 31477-2022</t>
        </is>
      </c>
      <c r="B199" s="1" t="n">
        <v>44774.94347222222</v>
      </c>
      <c r="C199" s="1" t="n">
        <v>46004</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27286-2022</t>
        </is>
      </c>
      <c r="B200" s="1" t="n">
        <v>44741</v>
      </c>
      <c r="C200" s="1" t="n">
        <v>46004</v>
      </c>
      <c r="D200" t="inlineStr">
        <is>
          <t>JÄMTLANDS LÄN</t>
        </is>
      </c>
      <c r="E200" t="inlineStr">
        <is>
          <t>RAGUNDA</t>
        </is>
      </c>
      <c r="F200" t="inlineStr">
        <is>
          <t>SCA</t>
        </is>
      </c>
      <c r="G200" t="n">
        <v>3.1</v>
      </c>
      <c r="H200" t="n">
        <v>0</v>
      </c>
      <c r="I200" t="n">
        <v>0</v>
      </c>
      <c r="J200" t="n">
        <v>1</v>
      </c>
      <c r="K200" t="n">
        <v>0</v>
      </c>
      <c r="L200" t="n">
        <v>0</v>
      </c>
      <c r="M200" t="n">
        <v>0</v>
      </c>
      <c r="N200" t="n">
        <v>0</v>
      </c>
      <c r="O200" t="n">
        <v>1</v>
      </c>
      <c r="P200" t="n">
        <v>0</v>
      </c>
      <c r="Q200" t="n">
        <v>1</v>
      </c>
      <c r="R200" s="2" t="inlineStr">
        <is>
          <t>Harticka</t>
        </is>
      </c>
      <c r="S200">
        <f>HYPERLINK("https://klasma.github.io/Logging_2303/artfynd/A 27286-2022 artfynd.xlsx", "A 27286-2022")</f>
        <v/>
      </c>
      <c r="T200">
        <f>HYPERLINK("https://klasma.github.io/Logging_2303/kartor/A 27286-2022 karta.png", "A 27286-2022")</f>
        <v/>
      </c>
      <c r="V200">
        <f>HYPERLINK("https://klasma.github.io/Logging_2303/klagomål/A 27286-2022 FSC-klagomål.docx", "A 27286-2022")</f>
        <v/>
      </c>
      <c r="W200">
        <f>HYPERLINK("https://klasma.github.io/Logging_2303/klagomålsmail/A 27286-2022 FSC-klagomål mail.docx", "A 27286-2022")</f>
        <v/>
      </c>
      <c r="X200">
        <f>HYPERLINK("https://klasma.github.io/Logging_2303/tillsyn/A 27286-2022 tillsynsbegäran.docx", "A 27286-2022")</f>
        <v/>
      </c>
      <c r="Y200">
        <f>HYPERLINK("https://klasma.github.io/Logging_2303/tillsynsmail/A 27286-2022 tillsynsbegäran mail.docx", "A 27286-2022")</f>
        <v/>
      </c>
    </row>
    <row r="201" ht="15" customHeight="1">
      <c r="A201" t="inlineStr">
        <is>
          <t>A 42899-2022</t>
        </is>
      </c>
      <c r="B201" s="1" t="n">
        <v>44832</v>
      </c>
      <c r="C201" s="1" t="n">
        <v>46004</v>
      </c>
      <c r="D201" t="inlineStr">
        <is>
          <t>JÄMTLANDS LÄN</t>
        </is>
      </c>
      <c r="E201" t="inlineStr">
        <is>
          <t>RAGUNDA</t>
        </is>
      </c>
      <c r="F201" t="inlineStr">
        <is>
          <t>SCA</t>
        </is>
      </c>
      <c r="G201" t="n">
        <v>2.3</v>
      </c>
      <c r="H201" t="n">
        <v>0</v>
      </c>
      <c r="I201" t="n">
        <v>0</v>
      </c>
      <c r="J201" t="n">
        <v>1</v>
      </c>
      <c r="K201" t="n">
        <v>0</v>
      </c>
      <c r="L201" t="n">
        <v>0</v>
      </c>
      <c r="M201" t="n">
        <v>0</v>
      </c>
      <c r="N201" t="n">
        <v>0</v>
      </c>
      <c r="O201" t="n">
        <v>1</v>
      </c>
      <c r="P201" t="n">
        <v>0</v>
      </c>
      <c r="Q201" t="n">
        <v>1</v>
      </c>
      <c r="R201" s="2" t="inlineStr">
        <is>
          <t>Ullticka</t>
        </is>
      </c>
      <c r="S201">
        <f>HYPERLINK("https://klasma.github.io/Logging_2303/artfynd/A 42899-2022 artfynd.xlsx", "A 42899-2022")</f>
        <v/>
      </c>
      <c r="T201">
        <f>HYPERLINK("https://klasma.github.io/Logging_2303/kartor/A 42899-2022 karta.png", "A 42899-2022")</f>
        <v/>
      </c>
      <c r="V201">
        <f>HYPERLINK("https://klasma.github.io/Logging_2303/klagomål/A 42899-2022 FSC-klagomål.docx", "A 42899-2022")</f>
        <v/>
      </c>
      <c r="W201">
        <f>HYPERLINK("https://klasma.github.io/Logging_2303/klagomålsmail/A 42899-2022 FSC-klagomål mail.docx", "A 42899-2022")</f>
        <v/>
      </c>
      <c r="X201">
        <f>HYPERLINK("https://klasma.github.io/Logging_2303/tillsyn/A 42899-2022 tillsynsbegäran.docx", "A 42899-2022")</f>
        <v/>
      </c>
      <c r="Y201">
        <f>HYPERLINK("https://klasma.github.io/Logging_2303/tillsynsmail/A 42899-2022 tillsynsbegäran mail.docx", "A 42899-2022")</f>
        <v/>
      </c>
    </row>
    <row r="202" ht="15" customHeight="1">
      <c r="A202" t="inlineStr">
        <is>
          <t>A 25694-2023</t>
        </is>
      </c>
      <c r="B202" s="1" t="n">
        <v>45089</v>
      </c>
      <c r="C202" s="1" t="n">
        <v>46004</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6703-2024</t>
        </is>
      </c>
      <c r="B203" s="1" t="n">
        <v>45341</v>
      </c>
      <c r="C203" s="1" t="n">
        <v>46004</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16316-2025</t>
        </is>
      </c>
      <c r="B204" s="1" t="n">
        <v>45751.34795138889</v>
      </c>
      <c r="C204" s="1" t="n">
        <v>46004</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20575-2025</t>
        </is>
      </c>
      <c r="B205" s="1" t="n">
        <v>45775.67769675926</v>
      </c>
      <c r="C205" s="1" t="n">
        <v>46004</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11040-2023</t>
        </is>
      </c>
      <c r="B206" s="1" t="n">
        <v>44991</v>
      </c>
      <c r="C206" s="1" t="n">
        <v>46004</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59104-2023</t>
        </is>
      </c>
      <c r="B207" s="1" t="n">
        <v>45252</v>
      </c>
      <c r="C207" s="1" t="n">
        <v>46004</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29921-2024</t>
        </is>
      </c>
      <c r="B208" s="1" t="n">
        <v>45487.92863425926</v>
      </c>
      <c r="C208" s="1" t="n">
        <v>46004</v>
      </c>
      <c r="D208" t="inlineStr">
        <is>
          <t>JÄMTLANDS LÄN</t>
        </is>
      </c>
      <c r="E208" t="inlineStr">
        <is>
          <t>RAGUNDA</t>
        </is>
      </c>
      <c r="G208" t="n">
        <v>1.6</v>
      </c>
      <c r="H208" t="n">
        <v>1</v>
      </c>
      <c r="I208" t="n">
        <v>0</v>
      </c>
      <c r="J208" t="n">
        <v>0</v>
      </c>
      <c r="K208" t="n">
        <v>1</v>
      </c>
      <c r="L208" t="n">
        <v>0</v>
      </c>
      <c r="M208" t="n">
        <v>0</v>
      </c>
      <c r="N208" t="n">
        <v>0</v>
      </c>
      <c r="O208" t="n">
        <v>1</v>
      </c>
      <c r="P208" t="n">
        <v>1</v>
      </c>
      <c r="Q208" t="n">
        <v>1</v>
      </c>
      <c r="R208" s="2" t="inlineStr">
        <is>
          <t>Knärot</t>
        </is>
      </c>
      <c r="S208">
        <f>HYPERLINK("https://klasma.github.io/Logging_2303/artfynd/A 29921-2024 artfynd.xlsx", "A 29921-2024")</f>
        <v/>
      </c>
      <c r="T208">
        <f>HYPERLINK("https://klasma.github.io/Logging_2303/kartor/A 29921-2024 karta.png", "A 29921-2024")</f>
        <v/>
      </c>
      <c r="U208">
        <f>HYPERLINK("https://klasma.github.io/Logging_2303/knärot/A 29921-2024 karta knärot.png", "A 29921-2024")</f>
        <v/>
      </c>
      <c r="V208">
        <f>HYPERLINK("https://klasma.github.io/Logging_2303/klagomål/A 29921-2024 FSC-klagomål.docx", "A 29921-2024")</f>
        <v/>
      </c>
      <c r="W208">
        <f>HYPERLINK("https://klasma.github.io/Logging_2303/klagomålsmail/A 29921-2024 FSC-klagomål mail.docx", "A 29921-2024")</f>
        <v/>
      </c>
      <c r="X208">
        <f>HYPERLINK("https://klasma.github.io/Logging_2303/tillsyn/A 29921-2024 tillsynsbegäran.docx", "A 29921-2024")</f>
        <v/>
      </c>
      <c r="Y208">
        <f>HYPERLINK("https://klasma.github.io/Logging_2303/tillsynsmail/A 29921-2024 tillsynsbegäran mail.docx", "A 29921-2024")</f>
        <v/>
      </c>
    </row>
    <row r="209" ht="15" customHeight="1">
      <c r="A209" t="inlineStr">
        <is>
          <t>A 36975-2023</t>
        </is>
      </c>
      <c r="B209" s="1" t="n">
        <v>45154</v>
      </c>
      <c r="C209" s="1" t="n">
        <v>46004</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978-2024</t>
        </is>
      </c>
      <c r="B210" s="1" t="n">
        <v>45301</v>
      </c>
      <c r="C210" s="1" t="n">
        <v>46004</v>
      </c>
      <c r="D210" t="inlineStr">
        <is>
          <t>JÄMTLANDS LÄN</t>
        </is>
      </c>
      <c r="E210" t="inlineStr">
        <is>
          <t>RAGUNDA</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978-2024 artfynd.xlsx", "A 978-2024")</f>
        <v/>
      </c>
      <c r="T210">
        <f>HYPERLINK("https://klasma.github.io/Logging_2303/kartor/A 978-2024 karta.png", "A 978-2024")</f>
        <v/>
      </c>
      <c r="V210">
        <f>HYPERLINK("https://klasma.github.io/Logging_2303/klagomål/A 978-2024 FSC-klagomål.docx", "A 978-2024")</f>
        <v/>
      </c>
      <c r="W210">
        <f>HYPERLINK("https://klasma.github.io/Logging_2303/klagomålsmail/A 978-2024 FSC-klagomål mail.docx", "A 978-2024")</f>
        <v/>
      </c>
      <c r="X210">
        <f>HYPERLINK("https://klasma.github.io/Logging_2303/tillsyn/A 978-2024 tillsynsbegäran.docx", "A 978-2024")</f>
        <v/>
      </c>
      <c r="Y210">
        <f>HYPERLINK("https://klasma.github.io/Logging_2303/tillsynsmail/A 978-2024 tillsynsbegäran mail.docx", "A 978-2024")</f>
        <v/>
      </c>
      <c r="Z210">
        <f>HYPERLINK("https://klasma.github.io/Logging_2303/fåglar/A 978-2024 prioriterade fågelarter.docx", "A 978-2024")</f>
        <v/>
      </c>
    </row>
    <row r="211" ht="15" customHeight="1">
      <c r="A211" t="inlineStr">
        <is>
          <t>A 1057-2024</t>
        </is>
      </c>
      <c r="B211" s="1" t="n">
        <v>45301</v>
      </c>
      <c r="C211" s="1" t="n">
        <v>46004</v>
      </c>
      <c r="D211" t="inlineStr">
        <is>
          <t>JÄMTLANDS LÄN</t>
        </is>
      </c>
      <c r="E211" t="inlineStr">
        <is>
          <t>RAGUNDA</t>
        </is>
      </c>
      <c r="F211" t="inlineStr">
        <is>
          <t>SCA</t>
        </is>
      </c>
      <c r="G211" t="n">
        <v>6.8</v>
      </c>
      <c r="H211" t="n">
        <v>0</v>
      </c>
      <c r="I211" t="n">
        <v>1</v>
      </c>
      <c r="J211" t="n">
        <v>0</v>
      </c>
      <c r="K211" t="n">
        <v>0</v>
      </c>
      <c r="L211" t="n">
        <v>0</v>
      </c>
      <c r="M211" t="n">
        <v>0</v>
      </c>
      <c r="N211" t="n">
        <v>0</v>
      </c>
      <c r="O211" t="n">
        <v>0</v>
      </c>
      <c r="P211" t="n">
        <v>0</v>
      </c>
      <c r="Q211" t="n">
        <v>1</v>
      </c>
      <c r="R211" s="2" t="inlineStr">
        <is>
          <t>Stor aspticka</t>
        </is>
      </c>
      <c r="S211">
        <f>HYPERLINK("https://klasma.github.io/Logging_2303/artfynd/A 1057-2024 artfynd.xlsx", "A 1057-2024")</f>
        <v/>
      </c>
      <c r="T211">
        <f>HYPERLINK("https://klasma.github.io/Logging_2303/kartor/A 1057-2024 karta.png", "A 1057-2024")</f>
        <v/>
      </c>
      <c r="V211">
        <f>HYPERLINK("https://klasma.github.io/Logging_2303/klagomål/A 1057-2024 FSC-klagomål.docx", "A 1057-2024")</f>
        <v/>
      </c>
      <c r="W211">
        <f>HYPERLINK("https://klasma.github.io/Logging_2303/klagomålsmail/A 1057-2024 FSC-klagomål mail.docx", "A 1057-2024")</f>
        <v/>
      </c>
      <c r="X211">
        <f>HYPERLINK("https://klasma.github.io/Logging_2303/tillsyn/A 1057-2024 tillsynsbegäran.docx", "A 1057-2024")</f>
        <v/>
      </c>
      <c r="Y211">
        <f>HYPERLINK("https://klasma.github.io/Logging_2303/tillsynsmail/A 1057-2024 tillsynsbegäran mail.docx", "A 1057-2024")</f>
        <v/>
      </c>
    </row>
    <row r="212" ht="15" customHeight="1">
      <c r="A212" t="inlineStr">
        <is>
          <t>A 50233-2024</t>
        </is>
      </c>
      <c r="B212" s="1" t="n">
        <v>45600.55265046296</v>
      </c>
      <c r="C212" s="1" t="n">
        <v>46004</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50164-2023</t>
        </is>
      </c>
      <c r="B213" s="1" t="n">
        <v>45208</v>
      </c>
      <c r="C213" s="1" t="n">
        <v>46004</v>
      </c>
      <c r="D213" t="inlineStr">
        <is>
          <t>JÄMTLANDS LÄN</t>
        </is>
      </c>
      <c r="E213" t="inlineStr">
        <is>
          <t>RAGUNDA</t>
        </is>
      </c>
      <c r="G213" t="n">
        <v>2.9</v>
      </c>
      <c r="H213" t="n">
        <v>0</v>
      </c>
      <c r="I213" t="n">
        <v>0</v>
      </c>
      <c r="J213" t="n">
        <v>0</v>
      </c>
      <c r="K213" t="n">
        <v>1</v>
      </c>
      <c r="L213" t="n">
        <v>0</v>
      </c>
      <c r="M213" t="n">
        <v>0</v>
      </c>
      <c r="N213" t="n">
        <v>0</v>
      </c>
      <c r="O213" t="n">
        <v>1</v>
      </c>
      <c r="P213" t="n">
        <v>1</v>
      </c>
      <c r="Q213" t="n">
        <v>1</v>
      </c>
      <c r="R213" s="2" t="inlineStr">
        <is>
          <t>Mindre barkplattbagge</t>
        </is>
      </c>
      <c r="S213">
        <f>HYPERLINK("https://klasma.github.io/Logging_2303/artfynd/A 50164-2023 artfynd.xlsx", "A 50164-2023")</f>
        <v/>
      </c>
      <c r="T213">
        <f>HYPERLINK("https://klasma.github.io/Logging_2303/kartor/A 50164-2023 karta.png", "A 50164-2023")</f>
        <v/>
      </c>
      <c r="V213">
        <f>HYPERLINK("https://klasma.github.io/Logging_2303/klagomål/A 50164-2023 FSC-klagomål.docx", "A 50164-2023")</f>
        <v/>
      </c>
      <c r="W213">
        <f>HYPERLINK("https://klasma.github.io/Logging_2303/klagomålsmail/A 50164-2023 FSC-klagomål mail.docx", "A 50164-2023")</f>
        <v/>
      </c>
      <c r="X213">
        <f>HYPERLINK("https://klasma.github.io/Logging_2303/tillsyn/A 50164-2023 tillsynsbegäran.docx", "A 50164-2023")</f>
        <v/>
      </c>
      <c r="Y213">
        <f>HYPERLINK("https://klasma.github.io/Logging_2303/tillsynsmail/A 50164-2023 tillsynsbegäran mail.docx", "A 50164-2023")</f>
        <v/>
      </c>
    </row>
    <row r="214" ht="15" customHeight="1">
      <c r="A214" t="inlineStr">
        <is>
          <t>A 48429-2023</t>
        </is>
      </c>
      <c r="B214" s="1" t="n">
        <v>45205</v>
      </c>
      <c r="C214" s="1" t="n">
        <v>46004</v>
      </c>
      <c r="D214" t="inlineStr">
        <is>
          <t>JÄMTLANDS LÄN</t>
        </is>
      </c>
      <c r="E214" t="inlineStr">
        <is>
          <t>RAGUNDA</t>
        </is>
      </c>
      <c r="F214" t="inlineStr">
        <is>
          <t>SCA</t>
        </is>
      </c>
      <c r="G214" t="n">
        <v>1.8</v>
      </c>
      <c r="H214" t="n">
        <v>0</v>
      </c>
      <c r="I214" t="n">
        <v>1</v>
      </c>
      <c r="J214" t="n">
        <v>0</v>
      </c>
      <c r="K214" t="n">
        <v>0</v>
      </c>
      <c r="L214" t="n">
        <v>0</v>
      </c>
      <c r="M214" t="n">
        <v>0</v>
      </c>
      <c r="N214" t="n">
        <v>0</v>
      </c>
      <c r="O214" t="n">
        <v>0</v>
      </c>
      <c r="P214" t="n">
        <v>0</v>
      </c>
      <c r="Q214" t="n">
        <v>1</v>
      </c>
      <c r="R214" s="2" t="inlineStr">
        <is>
          <t>Dropptaggsvamp</t>
        </is>
      </c>
      <c r="S214">
        <f>HYPERLINK("https://klasma.github.io/Logging_2303/artfynd/A 48429-2023 artfynd.xlsx", "A 48429-2023")</f>
        <v/>
      </c>
      <c r="T214">
        <f>HYPERLINK("https://klasma.github.io/Logging_2303/kartor/A 48429-2023 karta.png", "A 48429-2023")</f>
        <v/>
      </c>
      <c r="V214">
        <f>HYPERLINK("https://klasma.github.io/Logging_2303/klagomål/A 48429-2023 FSC-klagomål.docx", "A 48429-2023")</f>
        <v/>
      </c>
      <c r="W214">
        <f>HYPERLINK("https://klasma.github.io/Logging_2303/klagomålsmail/A 48429-2023 FSC-klagomål mail.docx", "A 48429-2023")</f>
        <v/>
      </c>
      <c r="X214">
        <f>HYPERLINK("https://klasma.github.io/Logging_2303/tillsyn/A 48429-2023 tillsynsbegäran.docx", "A 48429-2023")</f>
        <v/>
      </c>
      <c r="Y214">
        <f>HYPERLINK("https://klasma.github.io/Logging_2303/tillsynsmail/A 48429-2023 tillsynsbegäran mail.docx", "A 48429-2023")</f>
        <v/>
      </c>
    </row>
    <row r="215" ht="15" customHeight="1">
      <c r="A215" t="inlineStr">
        <is>
          <t>A 61324-2024</t>
        </is>
      </c>
      <c r="B215" s="1" t="n">
        <v>45646.34438657408</v>
      </c>
      <c r="C215" s="1" t="n">
        <v>46004</v>
      </c>
      <c r="D215" t="inlineStr">
        <is>
          <t>JÄMTLANDS LÄN</t>
        </is>
      </c>
      <c r="E215" t="inlineStr">
        <is>
          <t>RAGUNDA</t>
        </is>
      </c>
      <c r="F215" t="inlineStr">
        <is>
          <t>SCA</t>
        </is>
      </c>
      <c r="G215" t="n">
        <v>11.2</v>
      </c>
      <c r="H215" t="n">
        <v>1</v>
      </c>
      <c r="I215" t="n">
        <v>0</v>
      </c>
      <c r="J215" t="n">
        <v>0</v>
      </c>
      <c r="K215" t="n">
        <v>0</v>
      </c>
      <c r="L215" t="n">
        <v>0</v>
      </c>
      <c r="M215" t="n">
        <v>0</v>
      </c>
      <c r="N215" t="n">
        <v>0</v>
      </c>
      <c r="O215" t="n">
        <v>0</v>
      </c>
      <c r="P215" t="n">
        <v>0</v>
      </c>
      <c r="Q215" t="n">
        <v>1</v>
      </c>
      <c r="R215" s="2" t="inlineStr">
        <is>
          <t>Trana</t>
        </is>
      </c>
      <c r="S215">
        <f>HYPERLINK("https://klasma.github.io/Logging_2303/artfynd/A 61324-2024 artfynd.xlsx", "A 61324-2024")</f>
        <v/>
      </c>
      <c r="T215">
        <f>HYPERLINK("https://klasma.github.io/Logging_2303/kartor/A 61324-2024 karta.png", "A 61324-2024")</f>
        <v/>
      </c>
      <c r="V215">
        <f>HYPERLINK("https://klasma.github.io/Logging_2303/klagomål/A 61324-2024 FSC-klagomål.docx", "A 61324-2024")</f>
        <v/>
      </c>
      <c r="W215">
        <f>HYPERLINK("https://klasma.github.io/Logging_2303/klagomålsmail/A 61324-2024 FSC-klagomål mail.docx", "A 61324-2024")</f>
        <v/>
      </c>
      <c r="X215">
        <f>HYPERLINK("https://klasma.github.io/Logging_2303/tillsyn/A 61324-2024 tillsynsbegäran.docx", "A 61324-2024")</f>
        <v/>
      </c>
      <c r="Y215">
        <f>HYPERLINK("https://klasma.github.io/Logging_2303/tillsynsmail/A 61324-2024 tillsynsbegäran mail.docx", "A 61324-2024")</f>
        <v/>
      </c>
      <c r="Z215">
        <f>HYPERLINK("https://klasma.github.io/Logging_2303/fåglar/A 61324-2024 prioriterade fågelarter.docx", "A 61324-2024")</f>
        <v/>
      </c>
    </row>
    <row r="216" ht="15" customHeight="1">
      <c r="A216" t="inlineStr">
        <is>
          <t>A 31773-2021</t>
        </is>
      </c>
      <c r="B216" s="1" t="n">
        <v>44369</v>
      </c>
      <c r="C216" s="1" t="n">
        <v>46004</v>
      </c>
      <c r="D216" t="inlineStr">
        <is>
          <t>JÄMTLANDS LÄN</t>
        </is>
      </c>
      <c r="E216" t="inlineStr">
        <is>
          <t>RAGUNDA</t>
        </is>
      </c>
      <c r="G216" t="n">
        <v>0.8</v>
      </c>
      <c r="H216" t="n">
        <v>0</v>
      </c>
      <c r="I216" t="n">
        <v>0</v>
      </c>
      <c r="J216" t="n">
        <v>0</v>
      </c>
      <c r="K216" t="n">
        <v>1</v>
      </c>
      <c r="L216" t="n">
        <v>0</v>
      </c>
      <c r="M216" t="n">
        <v>0</v>
      </c>
      <c r="N216" t="n">
        <v>0</v>
      </c>
      <c r="O216" t="n">
        <v>1</v>
      </c>
      <c r="P216" t="n">
        <v>1</v>
      </c>
      <c r="Q216" t="n">
        <v>1</v>
      </c>
      <c r="R216" s="2" t="inlineStr">
        <is>
          <t>Strandsandjägare</t>
        </is>
      </c>
      <c r="S216">
        <f>HYPERLINK("https://klasma.github.io/Logging_2303/artfynd/A 31773-2021 artfynd.xlsx", "A 31773-2021")</f>
        <v/>
      </c>
      <c r="T216">
        <f>HYPERLINK("https://klasma.github.io/Logging_2303/kartor/A 31773-2021 karta.png", "A 31773-2021")</f>
        <v/>
      </c>
      <c r="V216">
        <f>HYPERLINK("https://klasma.github.io/Logging_2303/klagomål/A 31773-2021 FSC-klagomål.docx", "A 31773-2021")</f>
        <v/>
      </c>
      <c r="W216">
        <f>HYPERLINK("https://klasma.github.io/Logging_2303/klagomålsmail/A 31773-2021 FSC-klagomål mail.docx", "A 31773-2021")</f>
        <v/>
      </c>
      <c r="X216">
        <f>HYPERLINK("https://klasma.github.io/Logging_2303/tillsyn/A 31773-2021 tillsynsbegäran.docx", "A 31773-2021")</f>
        <v/>
      </c>
      <c r="Y216">
        <f>HYPERLINK("https://klasma.github.io/Logging_2303/tillsynsmail/A 31773-2021 tillsynsbegäran mail.docx", "A 31773-2021")</f>
        <v/>
      </c>
    </row>
    <row r="217" ht="15" customHeight="1">
      <c r="A217" t="inlineStr">
        <is>
          <t>A 36224-2023</t>
        </is>
      </c>
      <c r="B217" s="1" t="n">
        <v>45149</v>
      </c>
      <c r="C217" s="1" t="n">
        <v>46004</v>
      </c>
      <c r="D217" t="inlineStr">
        <is>
          <t>JÄMTLANDS LÄN</t>
        </is>
      </c>
      <c r="E217" t="inlineStr">
        <is>
          <t>RAGUNDA</t>
        </is>
      </c>
      <c r="F217" t="inlineStr">
        <is>
          <t>SCA</t>
        </is>
      </c>
      <c r="G217" t="n">
        <v>8.1</v>
      </c>
      <c r="H217" t="n">
        <v>0</v>
      </c>
      <c r="I217" t="n">
        <v>0</v>
      </c>
      <c r="J217" t="n">
        <v>1</v>
      </c>
      <c r="K217" t="n">
        <v>0</v>
      </c>
      <c r="L217" t="n">
        <v>0</v>
      </c>
      <c r="M217" t="n">
        <v>0</v>
      </c>
      <c r="N217" t="n">
        <v>0</v>
      </c>
      <c r="O217" t="n">
        <v>1</v>
      </c>
      <c r="P217" t="n">
        <v>0</v>
      </c>
      <c r="Q217" t="n">
        <v>1</v>
      </c>
      <c r="R217" s="2" t="inlineStr">
        <is>
          <t>Garnlav</t>
        </is>
      </c>
      <c r="S217">
        <f>HYPERLINK("https://klasma.github.io/Logging_2303/artfynd/A 36224-2023 artfynd.xlsx", "A 36224-2023")</f>
        <v/>
      </c>
      <c r="T217">
        <f>HYPERLINK("https://klasma.github.io/Logging_2303/kartor/A 36224-2023 karta.png", "A 36224-2023")</f>
        <v/>
      </c>
      <c r="V217">
        <f>HYPERLINK("https://klasma.github.io/Logging_2303/klagomål/A 36224-2023 FSC-klagomål.docx", "A 36224-2023")</f>
        <v/>
      </c>
      <c r="W217">
        <f>HYPERLINK("https://klasma.github.io/Logging_2303/klagomålsmail/A 36224-2023 FSC-klagomål mail.docx", "A 36224-2023")</f>
        <v/>
      </c>
      <c r="X217">
        <f>HYPERLINK("https://klasma.github.io/Logging_2303/tillsyn/A 36224-2023 tillsynsbegäran.docx", "A 36224-2023")</f>
        <v/>
      </c>
      <c r="Y217">
        <f>HYPERLINK("https://klasma.github.io/Logging_2303/tillsynsmail/A 36224-2023 tillsynsbegäran mail.docx", "A 36224-2023")</f>
        <v/>
      </c>
    </row>
    <row r="218" ht="15" customHeight="1">
      <c r="A218" t="inlineStr">
        <is>
          <t>A 26317-2024</t>
        </is>
      </c>
      <c r="B218" s="1" t="n">
        <v>45468</v>
      </c>
      <c r="C218" s="1" t="n">
        <v>46004</v>
      </c>
      <c r="D218" t="inlineStr">
        <is>
          <t>JÄMTLANDS LÄN</t>
        </is>
      </c>
      <c r="E218" t="inlineStr">
        <is>
          <t>RAGUNDA</t>
        </is>
      </c>
      <c r="F218" t="inlineStr">
        <is>
          <t>SCA</t>
        </is>
      </c>
      <c r="G218" t="n">
        <v>3.8</v>
      </c>
      <c r="H218" t="n">
        <v>0</v>
      </c>
      <c r="I218" t="n">
        <v>0</v>
      </c>
      <c r="J218" t="n">
        <v>1</v>
      </c>
      <c r="K218" t="n">
        <v>0</v>
      </c>
      <c r="L218" t="n">
        <v>0</v>
      </c>
      <c r="M218" t="n">
        <v>0</v>
      </c>
      <c r="N218" t="n">
        <v>0</v>
      </c>
      <c r="O218" t="n">
        <v>1</v>
      </c>
      <c r="P218" t="n">
        <v>0</v>
      </c>
      <c r="Q218" t="n">
        <v>1</v>
      </c>
      <c r="R218" s="2" t="inlineStr">
        <is>
          <t>Kortskaftad ärgspik</t>
        </is>
      </c>
      <c r="S218">
        <f>HYPERLINK("https://klasma.github.io/Logging_2303/artfynd/A 26317-2024 artfynd.xlsx", "A 26317-2024")</f>
        <v/>
      </c>
      <c r="T218">
        <f>HYPERLINK("https://klasma.github.io/Logging_2303/kartor/A 26317-2024 karta.png", "A 26317-2024")</f>
        <v/>
      </c>
      <c r="V218">
        <f>HYPERLINK("https://klasma.github.io/Logging_2303/klagomål/A 26317-2024 FSC-klagomål.docx", "A 26317-2024")</f>
        <v/>
      </c>
      <c r="W218">
        <f>HYPERLINK("https://klasma.github.io/Logging_2303/klagomålsmail/A 26317-2024 FSC-klagomål mail.docx", "A 26317-2024")</f>
        <v/>
      </c>
      <c r="X218">
        <f>HYPERLINK("https://klasma.github.io/Logging_2303/tillsyn/A 26317-2024 tillsynsbegäran.docx", "A 26317-2024")</f>
        <v/>
      </c>
      <c r="Y218">
        <f>HYPERLINK("https://klasma.github.io/Logging_2303/tillsynsmail/A 26317-2024 tillsynsbegäran mail.docx", "A 26317-2024")</f>
        <v/>
      </c>
    </row>
    <row r="219" ht="15" customHeight="1">
      <c r="A219" t="inlineStr">
        <is>
          <t>A 32069-2024</t>
        </is>
      </c>
      <c r="B219" s="1" t="n">
        <v>45510</v>
      </c>
      <c r="C219" s="1" t="n">
        <v>46004</v>
      </c>
      <c r="D219" t="inlineStr">
        <is>
          <t>JÄMTLANDS LÄN</t>
        </is>
      </c>
      <c r="E219" t="inlineStr">
        <is>
          <t>RAGUNDA</t>
        </is>
      </c>
      <c r="F219" t="inlineStr">
        <is>
          <t>SCA</t>
        </is>
      </c>
      <c r="G219" t="n">
        <v>1.8</v>
      </c>
      <c r="H219" t="n">
        <v>0</v>
      </c>
      <c r="I219" t="n">
        <v>0</v>
      </c>
      <c r="J219" t="n">
        <v>1</v>
      </c>
      <c r="K219" t="n">
        <v>0</v>
      </c>
      <c r="L219" t="n">
        <v>0</v>
      </c>
      <c r="M219" t="n">
        <v>0</v>
      </c>
      <c r="N219" t="n">
        <v>0</v>
      </c>
      <c r="O219" t="n">
        <v>1</v>
      </c>
      <c r="P219" t="n">
        <v>0</v>
      </c>
      <c r="Q219" t="n">
        <v>1</v>
      </c>
      <c r="R219" s="2" t="inlineStr">
        <is>
          <t>Lunglav</t>
        </is>
      </c>
      <c r="S219">
        <f>HYPERLINK("https://klasma.github.io/Logging_2303/artfynd/A 32069-2024 artfynd.xlsx", "A 32069-2024")</f>
        <v/>
      </c>
      <c r="T219">
        <f>HYPERLINK("https://klasma.github.io/Logging_2303/kartor/A 32069-2024 karta.png", "A 32069-2024")</f>
        <v/>
      </c>
      <c r="V219">
        <f>HYPERLINK("https://klasma.github.io/Logging_2303/klagomål/A 32069-2024 FSC-klagomål.docx", "A 32069-2024")</f>
        <v/>
      </c>
      <c r="W219">
        <f>HYPERLINK("https://klasma.github.io/Logging_2303/klagomålsmail/A 32069-2024 FSC-klagomål mail.docx", "A 32069-2024")</f>
        <v/>
      </c>
      <c r="X219">
        <f>HYPERLINK("https://klasma.github.io/Logging_2303/tillsyn/A 32069-2024 tillsynsbegäran.docx", "A 32069-2024")</f>
        <v/>
      </c>
      <c r="Y219">
        <f>HYPERLINK("https://klasma.github.io/Logging_2303/tillsynsmail/A 32069-2024 tillsynsbegäran mail.docx", "A 32069-2024")</f>
        <v/>
      </c>
    </row>
    <row r="220" ht="15" customHeight="1">
      <c r="A220" t="inlineStr">
        <is>
          <t>A 17340-2023</t>
        </is>
      </c>
      <c r="B220" s="1" t="n">
        <v>45033</v>
      </c>
      <c r="C220" s="1" t="n">
        <v>46004</v>
      </c>
      <c r="D220" t="inlineStr">
        <is>
          <t>JÄMTLANDS LÄN</t>
        </is>
      </c>
      <c r="E220" t="inlineStr">
        <is>
          <t>RAGUNDA</t>
        </is>
      </c>
      <c r="G220" t="n">
        <v>1.6</v>
      </c>
      <c r="H220" t="n">
        <v>0</v>
      </c>
      <c r="I220" t="n">
        <v>0</v>
      </c>
      <c r="J220" t="n">
        <v>1</v>
      </c>
      <c r="K220" t="n">
        <v>0</v>
      </c>
      <c r="L220" t="n">
        <v>0</v>
      </c>
      <c r="M220" t="n">
        <v>0</v>
      </c>
      <c r="N220" t="n">
        <v>0</v>
      </c>
      <c r="O220" t="n">
        <v>1</v>
      </c>
      <c r="P220" t="n">
        <v>0</v>
      </c>
      <c r="Q220" t="n">
        <v>1</v>
      </c>
      <c r="R220" s="2" t="inlineStr">
        <is>
          <t>Vedtrappmossa</t>
        </is>
      </c>
      <c r="S220">
        <f>HYPERLINK("https://klasma.github.io/Logging_2303/artfynd/A 17340-2023 artfynd.xlsx", "A 17340-2023")</f>
        <v/>
      </c>
      <c r="T220">
        <f>HYPERLINK("https://klasma.github.io/Logging_2303/kartor/A 17340-2023 karta.png", "A 17340-2023")</f>
        <v/>
      </c>
      <c r="U220">
        <f>HYPERLINK("https://klasma.github.io/Logging_2303/knärot/A 17340-2023 karta knärot.png", "A 17340-2023")</f>
        <v/>
      </c>
      <c r="V220">
        <f>HYPERLINK("https://klasma.github.io/Logging_2303/klagomål/A 17340-2023 FSC-klagomål.docx", "A 17340-2023")</f>
        <v/>
      </c>
      <c r="W220">
        <f>HYPERLINK("https://klasma.github.io/Logging_2303/klagomålsmail/A 17340-2023 FSC-klagomål mail.docx", "A 17340-2023")</f>
        <v/>
      </c>
      <c r="X220">
        <f>HYPERLINK("https://klasma.github.io/Logging_2303/tillsyn/A 17340-2023 tillsynsbegäran.docx", "A 17340-2023")</f>
        <v/>
      </c>
      <c r="Y220">
        <f>HYPERLINK("https://klasma.github.io/Logging_2303/tillsynsmail/A 17340-2023 tillsynsbegäran mail.docx", "A 17340-2023")</f>
        <v/>
      </c>
    </row>
    <row r="221" ht="15" customHeight="1">
      <c r="A221" t="inlineStr">
        <is>
          <t>A 19751-2025</t>
        </is>
      </c>
      <c r="B221" s="1" t="n">
        <v>45771.3859837963</v>
      </c>
      <c r="C221" s="1" t="n">
        <v>46004</v>
      </c>
      <c r="D221" t="inlineStr">
        <is>
          <t>JÄMTLANDS LÄN</t>
        </is>
      </c>
      <c r="E221" t="inlineStr">
        <is>
          <t>RAGUNDA</t>
        </is>
      </c>
      <c r="F221" t="inlineStr">
        <is>
          <t>SCA</t>
        </is>
      </c>
      <c r="G221" t="n">
        <v>1.1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19751-2025 artfynd.xlsx", "A 19751-2025")</f>
        <v/>
      </c>
      <c r="T221">
        <f>HYPERLINK("https://klasma.github.io/Logging_2303/kartor/A 19751-2025 karta.png", "A 19751-2025")</f>
        <v/>
      </c>
      <c r="V221">
        <f>HYPERLINK("https://klasma.github.io/Logging_2303/klagomål/A 19751-2025 FSC-klagomål.docx", "A 19751-2025")</f>
        <v/>
      </c>
      <c r="W221">
        <f>HYPERLINK("https://klasma.github.io/Logging_2303/klagomålsmail/A 19751-2025 FSC-klagomål mail.docx", "A 19751-2025")</f>
        <v/>
      </c>
      <c r="X221">
        <f>HYPERLINK("https://klasma.github.io/Logging_2303/tillsyn/A 19751-2025 tillsynsbegäran.docx", "A 19751-2025")</f>
        <v/>
      </c>
      <c r="Y221">
        <f>HYPERLINK("https://klasma.github.io/Logging_2303/tillsynsmail/A 19751-2025 tillsynsbegäran mail.docx", "A 19751-2025")</f>
        <v/>
      </c>
      <c r="Z221">
        <f>HYPERLINK("https://klasma.github.io/Logging_2303/fåglar/A 19751-2025 prioriterade fågelarter.docx", "A 19751-2025")</f>
        <v/>
      </c>
    </row>
    <row r="222" ht="15" customHeight="1">
      <c r="A222" t="inlineStr">
        <is>
          <t>A 43404-2023</t>
        </is>
      </c>
      <c r="B222" s="1" t="n">
        <v>45183</v>
      </c>
      <c r="C222" s="1" t="n">
        <v>46004</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49091-2022</t>
        </is>
      </c>
      <c r="B223" s="1" t="n">
        <v>44860</v>
      </c>
      <c r="C223" s="1" t="n">
        <v>46004</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26322-2024</t>
        </is>
      </c>
      <c r="B224" s="1" t="n">
        <v>45468.97461805555</v>
      </c>
      <c r="C224" s="1" t="n">
        <v>46004</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24443-2024</t>
        </is>
      </c>
      <c r="B225" s="1" t="n">
        <v>45457.9640625</v>
      </c>
      <c r="C225" s="1" t="n">
        <v>46004</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46004</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19387-2025</t>
        </is>
      </c>
      <c r="B227" s="1" t="n">
        <v>45769.65736111111</v>
      </c>
      <c r="C227" s="1" t="n">
        <v>46004</v>
      </c>
      <c r="D227" t="inlineStr">
        <is>
          <t>JÄMTLANDS LÄN</t>
        </is>
      </c>
      <c r="E227" t="inlineStr">
        <is>
          <t>RAGUNDA</t>
        </is>
      </c>
      <c r="F227" t="inlineStr">
        <is>
          <t>SCA</t>
        </is>
      </c>
      <c r="G227" t="n">
        <v>16.4</v>
      </c>
      <c r="H227" t="n">
        <v>1</v>
      </c>
      <c r="I227" t="n">
        <v>0</v>
      </c>
      <c r="J227" t="n">
        <v>0</v>
      </c>
      <c r="K227" t="n">
        <v>1</v>
      </c>
      <c r="L227" t="n">
        <v>0</v>
      </c>
      <c r="M227" t="n">
        <v>0</v>
      </c>
      <c r="N227" t="n">
        <v>0</v>
      </c>
      <c r="O227" t="n">
        <v>1</v>
      </c>
      <c r="P227" t="n">
        <v>1</v>
      </c>
      <c r="Q227" t="n">
        <v>1</v>
      </c>
      <c r="R227" s="2" t="inlineStr">
        <is>
          <t>Norna</t>
        </is>
      </c>
      <c r="S227">
        <f>HYPERLINK("https://klasma.github.io/Logging_2303/artfynd/A 19387-2025 artfynd.xlsx", "A 19387-2025")</f>
        <v/>
      </c>
      <c r="T227">
        <f>HYPERLINK("https://klasma.github.io/Logging_2303/kartor/A 19387-2025 karta.png", "A 19387-2025")</f>
        <v/>
      </c>
      <c r="V227">
        <f>HYPERLINK("https://klasma.github.io/Logging_2303/klagomål/A 19387-2025 FSC-klagomål.docx", "A 19387-2025")</f>
        <v/>
      </c>
      <c r="W227">
        <f>HYPERLINK("https://klasma.github.io/Logging_2303/klagomålsmail/A 19387-2025 FSC-klagomål mail.docx", "A 19387-2025")</f>
        <v/>
      </c>
      <c r="X227">
        <f>HYPERLINK("https://klasma.github.io/Logging_2303/tillsyn/A 19387-2025 tillsynsbegäran.docx", "A 19387-2025")</f>
        <v/>
      </c>
      <c r="Y227">
        <f>HYPERLINK("https://klasma.github.io/Logging_2303/tillsynsmail/A 19387-2025 tillsynsbegäran mail.docx", "A 19387-2025")</f>
        <v/>
      </c>
    </row>
    <row r="228" ht="15" customHeight="1">
      <c r="A228" t="inlineStr">
        <is>
          <t>A 58846-2024</t>
        </is>
      </c>
      <c r="B228" s="1" t="n">
        <v>45636.3863425926</v>
      </c>
      <c r="C228" s="1" t="n">
        <v>46004</v>
      </c>
      <c r="D228" t="inlineStr">
        <is>
          <t>JÄMTLANDS LÄN</t>
        </is>
      </c>
      <c r="E228" t="inlineStr">
        <is>
          <t>RAGUNDA</t>
        </is>
      </c>
      <c r="F228" t="inlineStr">
        <is>
          <t>SCA</t>
        </is>
      </c>
      <c r="G228" t="n">
        <v>1.5</v>
      </c>
      <c r="H228" t="n">
        <v>0</v>
      </c>
      <c r="I228" t="n">
        <v>0</v>
      </c>
      <c r="J228" t="n">
        <v>0</v>
      </c>
      <c r="K228" t="n">
        <v>1</v>
      </c>
      <c r="L228" t="n">
        <v>0</v>
      </c>
      <c r="M228" t="n">
        <v>0</v>
      </c>
      <c r="N228" t="n">
        <v>0</v>
      </c>
      <c r="O228" t="n">
        <v>1</v>
      </c>
      <c r="P228" t="n">
        <v>1</v>
      </c>
      <c r="Q228" t="n">
        <v>1</v>
      </c>
      <c r="R228" s="2" t="inlineStr">
        <is>
          <t>Rynkskinn</t>
        </is>
      </c>
      <c r="S228">
        <f>HYPERLINK("https://klasma.github.io/Logging_2303/artfynd/A 58846-2024 artfynd.xlsx", "A 58846-2024")</f>
        <v/>
      </c>
      <c r="T228">
        <f>HYPERLINK("https://klasma.github.io/Logging_2303/kartor/A 58846-2024 karta.png", "A 58846-2024")</f>
        <v/>
      </c>
      <c r="V228">
        <f>HYPERLINK("https://klasma.github.io/Logging_2303/klagomål/A 58846-2024 FSC-klagomål.docx", "A 58846-2024")</f>
        <v/>
      </c>
      <c r="W228">
        <f>HYPERLINK("https://klasma.github.io/Logging_2303/klagomålsmail/A 58846-2024 FSC-klagomål mail.docx", "A 58846-2024")</f>
        <v/>
      </c>
      <c r="X228">
        <f>HYPERLINK("https://klasma.github.io/Logging_2303/tillsyn/A 58846-2024 tillsynsbegäran.docx", "A 58846-2024")</f>
        <v/>
      </c>
      <c r="Y228">
        <f>HYPERLINK("https://klasma.github.io/Logging_2303/tillsynsmail/A 58846-2024 tillsynsbegäran mail.docx", "A 58846-2024")</f>
        <v/>
      </c>
    </row>
    <row r="229" ht="15" customHeight="1">
      <c r="A229" t="inlineStr">
        <is>
          <t>A 36854-2023</t>
        </is>
      </c>
      <c r="B229" s="1" t="n">
        <v>45153</v>
      </c>
      <c r="C229" s="1" t="n">
        <v>46004</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2929-2024</t>
        </is>
      </c>
      <c r="B230" s="1" t="n">
        <v>45315</v>
      </c>
      <c r="C230" s="1" t="n">
        <v>46004</v>
      </c>
      <c r="D230" t="inlineStr">
        <is>
          <t>JÄMTLANDS LÄN</t>
        </is>
      </c>
      <c r="E230" t="inlineStr">
        <is>
          <t>RAGUNDA</t>
        </is>
      </c>
      <c r="G230" t="n">
        <v>1</v>
      </c>
      <c r="H230" t="n">
        <v>0</v>
      </c>
      <c r="I230" t="n">
        <v>0</v>
      </c>
      <c r="J230" t="n">
        <v>1</v>
      </c>
      <c r="K230" t="n">
        <v>0</v>
      </c>
      <c r="L230" t="n">
        <v>0</v>
      </c>
      <c r="M230" t="n">
        <v>0</v>
      </c>
      <c r="N230" t="n">
        <v>0</v>
      </c>
      <c r="O230" t="n">
        <v>1</v>
      </c>
      <c r="P230" t="n">
        <v>0</v>
      </c>
      <c r="Q230" t="n">
        <v>1</v>
      </c>
      <c r="R230" s="2" t="inlineStr">
        <is>
          <t>Klådris</t>
        </is>
      </c>
      <c r="S230">
        <f>HYPERLINK("https://klasma.github.io/Logging_2303/artfynd/A 2929-2024 artfynd.xlsx", "A 2929-2024")</f>
        <v/>
      </c>
      <c r="T230">
        <f>HYPERLINK("https://klasma.github.io/Logging_2303/kartor/A 2929-2024 karta.png", "A 2929-2024")</f>
        <v/>
      </c>
      <c r="V230">
        <f>HYPERLINK("https://klasma.github.io/Logging_2303/klagomål/A 2929-2024 FSC-klagomål.docx", "A 2929-2024")</f>
        <v/>
      </c>
      <c r="W230">
        <f>HYPERLINK("https://klasma.github.io/Logging_2303/klagomålsmail/A 2929-2024 FSC-klagomål mail.docx", "A 2929-2024")</f>
        <v/>
      </c>
      <c r="X230">
        <f>HYPERLINK("https://klasma.github.io/Logging_2303/tillsyn/A 2929-2024 tillsynsbegäran.docx", "A 2929-2024")</f>
        <v/>
      </c>
      <c r="Y230">
        <f>HYPERLINK("https://klasma.github.io/Logging_2303/tillsynsmail/A 2929-2024 tillsynsbegäran mail.docx", "A 2929-2024")</f>
        <v/>
      </c>
    </row>
    <row r="231" ht="15" customHeight="1">
      <c r="A231" t="inlineStr">
        <is>
          <t>A 18985-2023</t>
        </is>
      </c>
      <c r="B231" s="1" t="n">
        <v>45044</v>
      </c>
      <c r="C231" s="1" t="n">
        <v>46004</v>
      </c>
      <c r="D231" t="inlineStr">
        <is>
          <t>JÄMTLANDS LÄN</t>
        </is>
      </c>
      <c r="E231" t="inlineStr">
        <is>
          <t>RAGUNDA</t>
        </is>
      </c>
      <c r="F231" t="inlineStr">
        <is>
          <t>SCA</t>
        </is>
      </c>
      <c r="G231" t="n">
        <v>2.6</v>
      </c>
      <c r="H231" t="n">
        <v>0</v>
      </c>
      <c r="I231" t="n">
        <v>0</v>
      </c>
      <c r="J231" t="n">
        <v>1</v>
      </c>
      <c r="K231" t="n">
        <v>0</v>
      </c>
      <c r="L231" t="n">
        <v>0</v>
      </c>
      <c r="M231" t="n">
        <v>0</v>
      </c>
      <c r="N231" t="n">
        <v>0</v>
      </c>
      <c r="O231" t="n">
        <v>1</v>
      </c>
      <c r="P231" t="n">
        <v>0</v>
      </c>
      <c r="Q231" t="n">
        <v>1</v>
      </c>
      <c r="R231" s="2" t="inlineStr">
        <is>
          <t>Doftskinn</t>
        </is>
      </c>
      <c r="S231">
        <f>HYPERLINK("https://klasma.github.io/Logging_2303/artfynd/A 18985-2023 artfynd.xlsx", "A 18985-2023")</f>
        <v/>
      </c>
      <c r="T231">
        <f>HYPERLINK("https://klasma.github.io/Logging_2303/kartor/A 18985-2023 karta.png", "A 18985-2023")</f>
        <v/>
      </c>
      <c r="V231">
        <f>HYPERLINK("https://klasma.github.io/Logging_2303/klagomål/A 18985-2023 FSC-klagomål.docx", "A 18985-2023")</f>
        <v/>
      </c>
      <c r="W231">
        <f>HYPERLINK("https://klasma.github.io/Logging_2303/klagomålsmail/A 18985-2023 FSC-klagomål mail.docx", "A 18985-2023")</f>
        <v/>
      </c>
      <c r="X231">
        <f>HYPERLINK("https://klasma.github.io/Logging_2303/tillsyn/A 18985-2023 tillsynsbegäran.docx", "A 18985-2023")</f>
        <v/>
      </c>
      <c r="Y231">
        <f>HYPERLINK("https://klasma.github.io/Logging_2303/tillsynsmail/A 18985-2023 tillsynsbegäran mail.docx", "A 18985-2023")</f>
        <v/>
      </c>
    </row>
    <row r="232" ht="15" customHeight="1">
      <c r="A232" t="inlineStr">
        <is>
          <t>A 30485-2024</t>
        </is>
      </c>
      <c r="B232" s="1" t="n">
        <v>45491.95008101852</v>
      </c>
      <c r="C232" s="1" t="n">
        <v>46004</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48477-2023</t>
        </is>
      </c>
      <c r="B233" s="1" t="n">
        <v>45206</v>
      </c>
      <c r="C233" s="1" t="n">
        <v>46004</v>
      </c>
      <c r="D233" t="inlineStr">
        <is>
          <t>JÄMTLANDS LÄN</t>
        </is>
      </c>
      <c r="E233" t="inlineStr">
        <is>
          <t>RAGUNDA</t>
        </is>
      </c>
      <c r="F233" t="inlineStr">
        <is>
          <t>SCA</t>
        </is>
      </c>
      <c r="G233" t="n">
        <v>1.8</v>
      </c>
      <c r="H233" t="n">
        <v>0</v>
      </c>
      <c r="I233" t="n">
        <v>1</v>
      </c>
      <c r="J233" t="n">
        <v>0</v>
      </c>
      <c r="K233" t="n">
        <v>0</v>
      </c>
      <c r="L233" t="n">
        <v>0</v>
      </c>
      <c r="M233" t="n">
        <v>0</v>
      </c>
      <c r="N233" t="n">
        <v>0</v>
      </c>
      <c r="O233" t="n">
        <v>0</v>
      </c>
      <c r="P233" t="n">
        <v>0</v>
      </c>
      <c r="Q233" t="n">
        <v>1</v>
      </c>
      <c r="R233" s="2" t="inlineStr">
        <is>
          <t>Dropptaggsvamp</t>
        </is>
      </c>
      <c r="S233">
        <f>HYPERLINK("https://klasma.github.io/Logging_2303/artfynd/A 48477-2023 artfynd.xlsx", "A 48477-2023")</f>
        <v/>
      </c>
      <c r="T233">
        <f>HYPERLINK("https://klasma.github.io/Logging_2303/kartor/A 48477-2023 karta.png", "A 48477-2023")</f>
        <v/>
      </c>
      <c r="V233">
        <f>HYPERLINK("https://klasma.github.io/Logging_2303/klagomål/A 48477-2023 FSC-klagomål.docx", "A 48477-2023")</f>
        <v/>
      </c>
      <c r="W233">
        <f>HYPERLINK("https://klasma.github.io/Logging_2303/klagomålsmail/A 48477-2023 FSC-klagomål mail.docx", "A 48477-2023")</f>
        <v/>
      </c>
      <c r="X233">
        <f>HYPERLINK("https://klasma.github.io/Logging_2303/tillsyn/A 48477-2023 tillsynsbegäran.docx", "A 48477-2023")</f>
        <v/>
      </c>
      <c r="Y233">
        <f>HYPERLINK("https://klasma.github.io/Logging_2303/tillsynsmail/A 48477-2023 tillsynsbegäran mail.docx", "A 48477-2023")</f>
        <v/>
      </c>
    </row>
    <row r="234" ht="15" customHeight="1">
      <c r="A234" t="inlineStr">
        <is>
          <t>A 16724-2025</t>
        </is>
      </c>
      <c r="B234" s="1" t="n">
        <v>45754.51064814815</v>
      </c>
      <c r="C234" s="1" t="n">
        <v>46004</v>
      </c>
      <c r="D234" t="inlineStr">
        <is>
          <t>JÄMTLANDS LÄN</t>
        </is>
      </c>
      <c r="E234" t="inlineStr">
        <is>
          <t>RAGUNDA</t>
        </is>
      </c>
      <c r="G234" t="n">
        <v>3.5</v>
      </c>
      <c r="H234" t="n">
        <v>0</v>
      </c>
      <c r="I234" t="n">
        <v>0</v>
      </c>
      <c r="J234" t="n">
        <v>1</v>
      </c>
      <c r="K234" t="n">
        <v>0</v>
      </c>
      <c r="L234" t="n">
        <v>0</v>
      </c>
      <c r="M234" t="n">
        <v>0</v>
      </c>
      <c r="N234" t="n">
        <v>0</v>
      </c>
      <c r="O234" t="n">
        <v>1</v>
      </c>
      <c r="P234" t="n">
        <v>0</v>
      </c>
      <c r="Q234" t="n">
        <v>1</v>
      </c>
      <c r="R234" s="2" t="inlineStr">
        <is>
          <t>Kolflarnlav</t>
        </is>
      </c>
      <c r="S234">
        <f>HYPERLINK("https://klasma.github.io/Logging_2303/artfynd/A 16724-2025 artfynd.xlsx", "A 16724-2025")</f>
        <v/>
      </c>
      <c r="T234">
        <f>HYPERLINK("https://klasma.github.io/Logging_2303/kartor/A 16724-2025 karta.png", "A 16724-2025")</f>
        <v/>
      </c>
      <c r="V234">
        <f>HYPERLINK("https://klasma.github.io/Logging_2303/klagomål/A 16724-2025 FSC-klagomål.docx", "A 16724-2025")</f>
        <v/>
      </c>
      <c r="W234">
        <f>HYPERLINK("https://klasma.github.io/Logging_2303/klagomålsmail/A 16724-2025 FSC-klagomål mail.docx", "A 16724-2025")</f>
        <v/>
      </c>
      <c r="X234">
        <f>HYPERLINK("https://klasma.github.io/Logging_2303/tillsyn/A 16724-2025 tillsynsbegäran.docx", "A 16724-2025")</f>
        <v/>
      </c>
      <c r="Y234">
        <f>HYPERLINK("https://klasma.github.io/Logging_2303/tillsynsmail/A 16724-2025 tillsynsbegäran mail.docx", "A 16724-2025")</f>
        <v/>
      </c>
    </row>
    <row r="235" ht="15" customHeight="1">
      <c r="A235" t="inlineStr">
        <is>
          <t>A 49770-2024</t>
        </is>
      </c>
      <c r="B235" s="1" t="n">
        <v>45597.34461805555</v>
      </c>
      <c r="C235" s="1" t="n">
        <v>46004</v>
      </c>
      <c r="D235" t="inlineStr">
        <is>
          <t>JÄMTLANDS LÄN</t>
        </is>
      </c>
      <c r="E235" t="inlineStr">
        <is>
          <t>RAGUNDA</t>
        </is>
      </c>
      <c r="F235" t="inlineStr">
        <is>
          <t>Naturvårdsverket</t>
        </is>
      </c>
      <c r="G235" t="n">
        <v>8.9</v>
      </c>
      <c r="H235" t="n">
        <v>1</v>
      </c>
      <c r="I235" t="n">
        <v>0</v>
      </c>
      <c r="J235" t="n">
        <v>0</v>
      </c>
      <c r="K235" t="n">
        <v>1</v>
      </c>
      <c r="L235" t="n">
        <v>0</v>
      </c>
      <c r="M235" t="n">
        <v>0</v>
      </c>
      <c r="N235" t="n">
        <v>0</v>
      </c>
      <c r="O235" t="n">
        <v>1</v>
      </c>
      <c r="P235" t="n">
        <v>1</v>
      </c>
      <c r="Q235" t="n">
        <v>1</v>
      </c>
      <c r="R235" s="2" t="inlineStr">
        <is>
          <t>Doftticka</t>
        </is>
      </c>
      <c r="S235">
        <f>HYPERLINK("https://klasma.github.io/Logging_2303/artfynd/A 49770-2024 artfynd.xlsx", "A 49770-2024")</f>
        <v/>
      </c>
      <c r="T235">
        <f>HYPERLINK("https://klasma.github.io/Logging_2303/kartor/A 49770-2024 karta.png", "A 49770-2024")</f>
        <v/>
      </c>
      <c r="V235">
        <f>HYPERLINK("https://klasma.github.io/Logging_2303/klagomål/A 49770-2024 FSC-klagomål.docx", "A 49770-2024")</f>
        <v/>
      </c>
      <c r="W235">
        <f>HYPERLINK("https://klasma.github.io/Logging_2303/klagomålsmail/A 49770-2024 FSC-klagomål mail.docx", "A 49770-2024")</f>
        <v/>
      </c>
      <c r="X235">
        <f>HYPERLINK("https://klasma.github.io/Logging_2303/tillsyn/A 49770-2024 tillsynsbegäran.docx", "A 49770-2024")</f>
        <v/>
      </c>
      <c r="Y235">
        <f>HYPERLINK("https://klasma.github.io/Logging_2303/tillsynsmail/A 49770-2024 tillsynsbegäran mail.docx", "A 49770-2024")</f>
        <v/>
      </c>
    </row>
    <row r="236" ht="15" customHeight="1">
      <c r="A236" t="inlineStr">
        <is>
          <t>A 35750-2023</t>
        </is>
      </c>
      <c r="B236" s="1" t="n">
        <v>45147</v>
      </c>
      <c r="C236" s="1" t="n">
        <v>46004</v>
      </c>
      <c r="D236" t="inlineStr">
        <is>
          <t>JÄMTLANDS LÄN</t>
        </is>
      </c>
      <c r="E236" t="inlineStr">
        <is>
          <t>RAGUNDA</t>
        </is>
      </c>
      <c r="F236" t="inlineStr">
        <is>
          <t>SCA</t>
        </is>
      </c>
      <c r="G236" t="n">
        <v>4.8</v>
      </c>
      <c r="H236" t="n">
        <v>0</v>
      </c>
      <c r="I236" t="n">
        <v>0</v>
      </c>
      <c r="J236" t="n">
        <v>1</v>
      </c>
      <c r="K236" t="n">
        <v>0</v>
      </c>
      <c r="L236" t="n">
        <v>0</v>
      </c>
      <c r="M236" t="n">
        <v>0</v>
      </c>
      <c r="N236" t="n">
        <v>0</v>
      </c>
      <c r="O236" t="n">
        <v>1</v>
      </c>
      <c r="P236" t="n">
        <v>0</v>
      </c>
      <c r="Q236" t="n">
        <v>1</v>
      </c>
      <c r="R236" s="2" t="inlineStr">
        <is>
          <t>Grantaggsvamp</t>
        </is>
      </c>
      <c r="S236">
        <f>HYPERLINK("https://klasma.github.io/Logging_2303/artfynd/A 35750-2023 artfynd.xlsx", "A 35750-2023")</f>
        <v/>
      </c>
      <c r="T236">
        <f>HYPERLINK("https://klasma.github.io/Logging_2303/kartor/A 35750-2023 karta.png", "A 35750-2023")</f>
        <v/>
      </c>
      <c r="V236">
        <f>HYPERLINK("https://klasma.github.io/Logging_2303/klagomål/A 35750-2023 FSC-klagomål.docx", "A 35750-2023")</f>
        <v/>
      </c>
      <c r="W236">
        <f>HYPERLINK("https://klasma.github.io/Logging_2303/klagomålsmail/A 35750-2023 FSC-klagomål mail.docx", "A 35750-2023")</f>
        <v/>
      </c>
      <c r="X236">
        <f>HYPERLINK("https://klasma.github.io/Logging_2303/tillsyn/A 35750-2023 tillsynsbegäran.docx", "A 35750-2023")</f>
        <v/>
      </c>
      <c r="Y236">
        <f>HYPERLINK("https://klasma.github.io/Logging_2303/tillsynsmail/A 35750-2023 tillsynsbegäran mail.docx", "A 35750-2023")</f>
        <v/>
      </c>
    </row>
    <row r="237" ht="15" customHeight="1">
      <c r="A237" t="inlineStr">
        <is>
          <t>A 62072-2023</t>
        </is>
      </c>
      <c r="B237" s="1" t="n">
        <v>45266</v>
      </c>
      <c r="C237" s="1" t="n">
        <v>46004</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40841-2025</t>
        </is>
      </c>
      <c r="B238" s="1" t="n">
        <v>45897.531875</v>
      </c>
      <c r="C238" s="1" t="n">
        <v>46004</v>
      </c>
      <c r="D238" t="inlineStr">
        <is>
          <t>JÄMTLANDS LÄN</t>
        </is>
      </c>
      <c r="E238" t="inlineStr">
        <is>
          <t>RAGUNDA</t>
        </is>
      </c>
      <c r="F238" t="inlineStr">
        <is>
          <t>SCA</t>
        </is>
      </c>
      <c r="G238" t="n">
        <v>1.1</v>
      </c>
      <c r="H238" t="n">
        <v>0</v>
      </c>
      <c r="I238" t="n">
        <v>0</v>
      </c>
      <c r="J238" t="n">
        <v>1</v>
      </c>
      <c r="K238" t="n">
        <v>0</v>
      </c>
      <c r="L238" t="n">
        <v>0</v>
      </c>
      <c r="M238" t="n">
        <v>0</v>
      </c>
      <c r="N238" t="n">
        <v>0</v>
      </c>
      <c r="O238" t="n">
        <v>1</v>
      </c>
      <c r="P238" t="n">
        <v>0</v>
      </c>
      <c r="Q238" t="n">
        <v>1</v>
      </c>
      <c r="R238" s="2" t="inlineStr">
        <is>
          <t>Garnlav</t>
        </is>
      </c>
      <c r="S238">
        <f>HYPERLINK("https://klasma.github.io/Logging_2303/artfynd/A 40841-2025 artfynd.xlsx", "A 40841-2025")</f>
        <v/>
      </c>
      <c r="T238">
        <f>HYPERLINK("https://klasma.github.io/Logging_2303/kartor/A 40841-2025 karta.png", "A 40841-2025")</f>
        <v/>
      </c>
      <c r="V238">
        <f>HYPERLINK("https://klasma.github.io/Logging_2303/klagomål/A 40841-2025 FSC-klagomål.docx", "A 40841-2025")</f>
        <v/>
      </c>
      <c r="W238">
        <f>HYPERLINK("https://klasma.github.io/Logging_2303/klagomålsmail/A 40841-2025 FSC-klagomål mail.docx", "A 40841-2025")</f>
        <v/>
      </c>
      <c r="X238">
        <f>HYPERLINK("https://klasma.github.io/Logging_2303/tillsyn/A 40841-2025 tillsynsbegäran.docx", "A 40841-2025")</f>
        <v/>
      </c>
      <c r="Y238">
        <f>HYPERLINK("https://klasma.github.io/Logging_2303/tillsynsmail/A 40841-2025 tillsynsbegäran mail.docx", "A 40841-2025")</f>
        <v/>
      </c>
    </row>
    <row r="239" ht="15" customHeight="1">
      <c r="A239" t="inlineStr">
        <is>
          <t>A 20774-2024</t>
        </is>
      </c>
      <c r="B239" s="1" t="n">
        <v>45436.94644675926</v>
      </c>
      <c r="C239" s="1" t="n">
        <v>46004</v>
      </c>
      <c r="D239" t="inlineStr">
        <is>
          <t>JÄMTLANDS LÄN</t>
        </is>
      </c>
      <c r="E239" t="inlineStr">
        <is>
          <t>RAGUNDA</t>
        </is>
      </c>
      <c r="F239" t="inlineStr">
        <is>
          <t>SCA</t>
        </is>
      </c>
      <c r="G239" t="n">
        <v>2.3</v>
      </c>
      <c r="H239" t="n">
        <v>0</v>
      </c>
      <c r="I239" t="n">
        <v>1</v>
      </c>
      <c r="J239" t="n">
        <v>0</v>
      </c>
      <c r="K239" t="n">
        <v>0</v>
      </c>
      <c r="L239" t="n">
        <v>0</v>
      </c>
      <c r="M239" t="n">
        <v>0</v>
      </c>
      <c r="N239" t="n">
        <v>0</v>
      </c>
      <c r="O239" t="n">
        <v>0</v>
      </c>
      <c r="P239" t="n">
        <v>0</v>
      </c>
      <c r="Q239" t="n">
        <v>1</v>
      </c>
      <c r="R239" s="2" t="inlineStr">
        <is>
          <t>Fjällig taggsvamp s.str.</t>
        </is>
      </c>
      <c r="S239">
        <f>HYPERLINK("https://klasma.github.io/Logging_2303/artfynd/A 20774-2024 artfynd.xlsx", "A 20774-2024")</f>
        <v/>
      </c>
      <c r="T239">
        <f>HYPERLINK("https://klasma.github.io/Logging_2303/kartor/A 20774-2024 karta.png", "A 20774-2024")</f>
        <v/>
      </c>
      <c r="V239">
        <f>HYPERLINK("https://klasma.github.io/Logging_2303/klagomål/A 20774-2024 FSC-klagomål.docx", "A 20774-2024")</f>
        <v/>
      </c>
      <c r="W239">
        <f>HYPERLINK("https://klasma.github.io/Logging_2303/klagomålsmail/A 20774-2024 FSC-klagomål mail.docx", "A 20774-2024")</f>
        <v/>
      </c>
      <c r="X239">
        <f>HYPERLINK("https://klasma.github.io/Logging_2303/tillsyn/A 20774-2024 tillsynsbegäran.docx", "A 20774-2024")</f>
        <v/>
      </c>
      <c r="Y239">
        <f>HYPERLINK("https://klasma.github.io/Logging_2303/tillsynsmail/A 20774-2024 tillsynsbegäran mail.docx", "A 20774-2024")</f>
        <v/>
      </c>
    </row>
    <row r="240" ht="15" customHeight="1">
      <c r="A240" t="inlineStr">
        <is>
          <t>A 43526-2025</t>
        </is>
      </c>
      <c r="B240" s="1" t="n">
        <v>45911</v>
      </c>
      <c r="C240" s="1" t="n">
        <v>46004</v>
      </c>
      <c r="D240" t="inlineStr">
        <is>
          <t>JÄMTLANDS LÄN</t>
        </is>
      </c>
      <c r="E240" t="inlineStr">
        <is>
          <t>RAGUNDA</t>
        </is>
      </c>
      <c r="G240" t="n">
        <v>5.5</v>
      </c>
      <c r="H240" t="n">
        <v>0</v>
      </c>
      <c r="I240" t="n">
        <v>0</v>
      </c>
      <c r="J240" t="n">
        <v>1</v>
      </c>
      <c r="K240" t="n">
        <v>0</v>
      </c>
      <c r="L240" t="n">
        <v>0</v>
      </c>
      <c r="M240" t="n">
        <v>0</v>
      </c>
      <c r="N240" t="n">
        <v>0</v>
      </c>
      <c r="O240" t="n">
        <v>1</v>
      </c>
      <c r="P240" t="n">
        <v>0</v>
      </c>
      <c r="Q240" t="n">
        <v>1</v>
      </c>
      <c r="R240" s="2" t="inlineStr">
        <is>
          <t>Lunglav</t>
        </is>
      </c>
      <c r="S240">
        <f>HYPERLINK("https://klasma.github.io/Logging_2303/artfynd/A 43526-2025 artfynd.xlsx", "A 43526-2025")</f>
        <v/>
      </c>
      <c r="T240">
        <f>HYPERLINK("https://klasma.github.io/Logging_2303/kartor/A 43526-2025 karta.png", "A 43526-2025")</f>
        <v/>
      </c>
      <c r="V240">
        <f>HYPERLINK("https://klasma.github.io/Logging_2303/klagomål/A 43526-2025 FSC-klagomål.docx", "A 43526-2025")</f>
        <v/>
      </c>
      <c r="W240">
        <f>HYPERLINK("https://klasma.github.io/Logging_2303/klagomålsmail/A 43526-2025 FSC-klagomål mail.docx", "A 43526-2025")</f>
        <v/>
      </c>
      <c r="X240">
        <f>HYPERLINK("https://klasma.github.io/Logging_2303/tillsyn/A 43526-2025 tillsynsbegäran.docx", "A 43526-2025")</f>
        <v/>
      </c>
      <c r="Y240">
        <f>HYPERLINK("https://klasma.github.io/Logging_2303/tillsynsmail/A 43526-2025 tillsynsbegäran mail.docx", "A 43526-2025")</f>
        <v/>
      </c>
    </row>
    <row r="241" ht="15" customHeight="1">
      <c r="A241" t="inlineStr">
        <is>
          <t>A 36757-2023</t>
        </is>
      </c>
      <c r="B241" s="1" t="n">
        <v>45153</v>
      </c>
      <c r="C241" s="1" t="n">
        <v>46004</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21212-2025</t>
        </is>
      </c>
      <c r="B242" s="1" t="n">
        <v>45779.48993055556</v>
      </c>
      <c r="C242" s="1" t="n">
        <v>46004</v>
      </c>
      <c r="D242" t="inlineStr">
        <is>
          <t>JÄMTLANDS LÄN</t>
        </is>
      </c>
      <c r="E242" t="inlineStr">
        <is>
          <t>RAGUNDA</t>
        </is>
      </c>
      <c r="F242" t="inlineStr">
        <is>
          <t>SCA</t>
        </is>
      </c>
      <c r="G242" t="n">
        <v>2.6</v>
      </c>
      <c r="H242" t="n">
        <v>0</v>
      </c>
      <c r="I242" t="n">
        <v>0</v>
      </c>
      <c r="J242" t="n">
        <v>1</v>
      </c>
      <c r="K242" t="n">
        <v>0</v>
      </c>
      <c r="L242" t="n">
        <v>0</v>
      </c>
      <c r="M242" t="n">
        <v>0</v>
      </c>
      <c r="N242" t="n">
        <v>0</v>
      </c>
      <c r="O242" t="n">
        <v>1</v>
      </c>
      <c r="P242" t="n">
        <v>0</v>
      </c>
      <c r="Q242" t="n">
        <v>1</v>
      </c>
      <c r="R242" s="2" t="inlineStr">
        <is>
          <t>Garnlav</t>
        </is>
      </c>
      <c r="S242">
        <f>HYPERLINK("https://klasma.github.io/Logging_2303/artfynd/A 21212-2025 artfynd.xlsx", "A 21212-2025")</f>
        <v/>
      </c>
      <c r="T242">
        <f>HYPERLINK("https://klasma.github.io/Logging_2303/kartor/A 21212-2025 karta.png", "A 21212-2025")</f>
        <v/>
      </c>
      <c r="V242">
        <f>HYPERLINK("https://klasma.github.io/Logging_2303/klagomål/A 21212-2025 FSC-klagomål.docx", "A 21212-2025")</f>
        <v/>
      </c>
      <c r="W242">
        <f>HYPERLINK("https://klasma.github.io/Logging_2303/klagomålsmail/A 21212-2025 FSC-klagomål mail.docx", "A 21212-2025")</f>
        <v/>
      </c>
      <c r="X242">
        <f>HYPERLINK("https://klasma.github.io/Logging_2303/tillsyn/A 21212-2025 tillsynsbegäran.docx", "A 21212-2025")</f>
        <v/>
      </c>
      <c r="Y242">
        <f>HYPERLINK("https://klasma.github.io/Logging_2303/tillsynsmail/A 21212-2025 tillsynsbegäran mail.docx", "A 21212-2025")</f>
        <v/>
      </c>
    </row>
    <row r="243" ht="15" customHeight="1">
      <c r="A243" t="inlineStr">
        <is>
          <t>A 44066-2024</t>
        </is>
      </c>
      <c r="B243" s="1" t="n">
        <v>45572.60363425926</v>
      </c>
      <c r="C243" s="1" t="n">
        <v>46004</v>
      </c>
      <c r="D243" t="inlineStr">
        <is>
          <t>JÄMTLANDS LÄN</t>
        </is>
      </c>
      <c r="E243" t="inlineStr">
        <is>
          <t>RAGUNDA</t>
        </is>
      </c>
      <c r="G243" t="n">
        <v>6.4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44066-2024 artfynd.xlsx", "A 44066-2024")</f>
        <v/>
      </c>
      <c r="T243">
        <f>HYPERLINK("https://klasma.github.io/Logging_2303/kartor/A 44066-2024 karta.png", "A 44066-2024")</f>
        <v/>
      </c>
      <c r="V243">
        <f>HYPERLINK("https://klasma.github.io/Logging_2303/klagomål/A 44066-2024 FSC-klagomål.docx", "A 44066-2024")</f>
        <v/>
      </c>
      <c r="W243">
        <f>HYPERLINK("https://klasma.github.io/Logging_2303/klagomålsmail/A 44066-2024 FSC-klagomål mail.docx", "A 44066-2024")</f>
        <v/>
      </c>
      <c r="X243">
        <f>HYPERLINK("https://klasma.github.io/Logging_2303/tillsyn/A 44066-2024 tillsynsbegäran.docx", "A 44066-2024")</f>
        <v/>
      </c>
      <c r="Y243">
        <f>HYPERLINK("https://klasma.github.io/Logging_2303/tillsynsmail/A 44066-2024 tillsynsbegäran mail.docx", "A 44066-2024")</f>
        <v/>
      </c>
      <c r="Z243">
        <f>HYPERLINK("https://klasma.github.io/Logging_2303/fåglar/A 44066-2024 prioriterade fågelarter.docx", "A 44066-2024")</f>
        <v/>
      </c>
    </row>
    <row r="244" ht="15" customHeight="1">
      <c r="A244" t="inlineStr">
        <is>
          <t>A 55756-2025</t>
        </is>
      </c>
      <c r="B244" s="1" t="n">
        <v>45972.59438657408</v>
      </c>
      <c r="C244" s="1" t="n">
        <v>46004</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Garnlav</t>
        </is>
      </c>
      <c r="S244">
        <f>HYPERLINK("https://klasma.github.io/Logging_2303/artfynd/A 55756-2025 artfynd.xlsx", "A 55756-2025")</f>
        <v/>
      </c>
      <c r="T244">
        <f>HYPERLINK("https://klasma.github.io/Logging_2303/kartor/A 55756-2025 karta.png", "A 55756-2025")</f>
        <v/>
      </c>
      <c r="V244">
        <f>HYPERLINK("https://klasma.github.io/Logging_2303/klagomål/A 55756-2025 FSC-klagomål.docx", "A 55756-2025")</f>
        <v/>
      </c>
      <c r="W244">
        <f>HYPERLINK("https://klasma.github.io/Logging_2303/klagomålsmail/A 55756-2025 FSC-klagomål mail.docx", "A 55756-2025")</f>
        <v/>
      </c>
      <c r="X244">
        <f>HYPERLINK("https://klasma.github.io/Logging_2303/tillsyn/A 55756-2025 tillsynsbegäran.docx", "A 55756-2025")</f>
        <v/>
      </c>
      <c r="Y244">
        <f>HYPERLINK("https://klasma.github.io/Logging_2303/tillsynsmail/A 55756-2025 tillsynsbegäran mail.docx", "A 55756-2025")</f>
        <v/>
      </c>
    </row>
    <row r="245" ht="15" customHeight="1">
      <c r="A245" t="inlineStr">
        <is>
          <t>A 56599-2025</t>
        </is>
      </c>
      <c r="B245" s="1" t="n">
        <v>45975.5734837963</v>
      </c>
      <c r="C245" s="1" t="n">
        <v>46004</v>
      </c>
      <c r="D245" t="inlineStr">
        <is>
          <t>JÄMTLANDS LÄN</t>
        </is>
      </c>
      <c r="E245" t="inlineStr">
        <is>
          <t>RAGUNDA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HYPERLINK("https://klasma.github.io/Logging_2303/artfynd/A 56599-2025 artfynd.xlsx", "A 56599-2025")</f>
        <v/>
      </c>
      <c r="T245">
        <f>HYPERLINK("https://klasma.github.io/Logging_2303/kartor/A 56599-2025 karta.png", "A 56599-2025")</f>
        <v/>
      </c>
      <c r="V245">
        <f>HYPERLINK("https://klasma.github.io/Logging_2303/klagomål/A 56599-2025 FSC-klagomål.docx", "A 56599-2025")</f>
        <v/>
      </c>
      <c r="W245">
        <f>HYPERLINK("https://klasma.github.io/Logging_2303/klagomålsmail/A 56599-2025 FSC-klagomål mail.docx", "A 56599-2025")</f>
        <v/>
      </c>
      <c r="X245">
        <f>HYPERLINK("https://klasma.github.io/Logging_2303/tillsyn/A 56599-2025 tillsynsbegäran.docx", "A 56599-2025")</f>
        <v/>
      </c>
      <c r="Y245">
        <f>HYPERLINK("https://klasma.github.io/Logging_2303/tillsynsmail/A 56599-2025 tillsynsbegäran mail.docx", "A 56599-2025")</f>
        <v/>
      </c>
    </row>
    <row r="246" ht="15" customHeight="1">
      <c r="A246" t="inlineStr">
        <is>
          <t>A 57253-2025</t>
        </is>
      </c>
      <c r="B246" s="1" t="n">
        <v>45979.64381944444</v>
      </c>
      <c r="C246" s="1" t="n">
        <v>46004</v>
      </c>
      <c r="D246" t="inlineStr">
        <is>
          <t>JÄMTLANDS LÄN</t>
        </is>
      </c>
      <c r="E246" t="inlineStr">
        <is>
          <t>RAGUNDA</t>
        </is>
      </c>
      <c r="G246" t="n">
        <v>1.2</v>
      </c>
      <c r="H246" t="n">
        <v>0</v>
      </c>
      <c r="I246" t="n">
        <v>1</v>
      </c>
      <c r="J246" t="n">
        <v>0</v>
      </c>
      <c r="K246" t="n">
        <v>0</v>
      </c>
      <c r="L246" t="n">
        <v>0</v>
      </c>
      <c r="M246" t="n">
        <v>0</v>
      </c>
      <c r="N246" t="n">
        <v>0</v>
      </c>
      <c r="O246" t="n">
        <v>0</v>
      </c>
      <c r="P246" t="n">
        <v>0</v>
      </c>
      <c r="Q246" t="n">
        <v>1</v>
      </c>
      <c r="R246" s="2" t="inlineStr">
        <is>
          <t>Skinnlav</t>
        </is>
      </c>
      <c r="S246">
        <f>HYPERLINK("https://klasma.github.io/Logging_2303/artfynd/A 57253-2025 artfynd.xlsx", "A 57253-2025")</f>
        <v/>
      </c>
      <c r="T246">
        <f>HYPERLINK("https://klasma.github.io/Logging_2303/kartor/A 57253-2025 karta.png", "A 57253-2025")</f>
        <v/>
      </c>
      <c r="V246">
        <f>HYPERLINK("https://klasma.github.io/Logging_2303/klagomål/A 57253-2025 FSC-klagomål.docx", "A 57253-2025")</f>
        <v/>
      </c>
      <c r="W246">
        <f>HYPERLINK("https://klasma.github.io/Logging_2303/klagomålsmail/A 57253-2025 FSC-klagomål mail.docx", "A 57253-2025")</f>
        <v/>
      </c>
      <c r="X246">
        <f>HYPERLINK("https://klasma.github.io/Logging_2303/tillsyn/A 57253-2025 tillsynsbegäran.docx", "A 57253-2025")</f>
        <v/>
      </c>
      <c r="Y246">
        <f>HYPERLINK("https://klasma.github.io/Logging_2303/tillsynsmail/A 57253-2025 tillsynsbegäran mail.docx", "A 57253-2025")</f>
        <v/>
      </c>
    </row>
    <row r="247" ht="15" customHeight="1">
      <c r="A247" t="inlineStr">
        <is>
          <t>A 57479-2025</t>
        </is>
      </c>
      <c r="B247" s="1" t="n">
        <v>45980.5737037037</v>
      </c>
      <c r="C247" s="1" t="n">
        <v>46004</v>
      </c>
      <c r="D247" t="inlineStr">
        <is>
          <t>JÄMTLANDS LÄN</t>
        </is>
      </c>
      <c r="E247" t="inlineStr">
        <is>
          <t>RAGUNDA</t>
        </is>
      </c>
      <c r="F247" t="inlineStr">
        <is>
          <t>SCA</t>
        </is>
      </c>
      <c r="G247" t="n">
        <v>12</v>
      </c>
      <c r="H247" t="n">
        <v>0</v>
      </c>
      <c r="I247" t="n">
        <v>0</v>
      </c>
      <c r="J247" t="n">
        <v>1</v>
      </c>
      <c r="K247" t="n">
        <v>0</v>
      </c>
      <c r="L247" t="n">
        <v>0</v>
      </c>
      <c r="M247" t="n">
        <v>0</v>
      </c>
      <c r="N247" t="n">
        <v>0</v>
      </c>
      <c r="O247" t="n">
        <v>1</v>
      </c>
      <c r="P247" t="n">
        <v>0</v>
      </c>
      <c r="Q247" t="n">
        <v>1</v>
      </c>
      <c r="R247" s="2" t="inlineStr">
        <is>
          <t>Kolflarnlav</t>
        </is>
      </c>
      <c r="S247">
        <f>HYPERLINK("https://klasma.github.io/Logging_2303/artfynd/A 57479-2025 artfynd.xlsx", "A 57479-2025")</f>
        <v/>
      </c>
      <c r="T247">
        <f>HYPERLINK("https://klasma.github.io/Logging_2303/kartor/A 57479-2025 karta.png", "A 57479-2025")</f>
        <v/>
      </c>
      <c r="V247">
        <f>HYPERLINK("https://klasma.github.io/Logging_2303/klagomål/A 57479-2025 FSC-klagomål.docx", "A 57479-2025")</f>
        <v/>
      </c>
      <c r="W247">
        <f>HYPERLINK("https://klasma.github.io/Logging_2303/klagomålsmail/A 57479-2025 FSC-klagomål mail.docx", "A 57479-2025")</f>
        <v/>
      </c>
      <c r="X247">
        <f>HYPERLINK("https://klasma.github.io/Logging_2303/tillsyn/A 57479-2025 tillsynsbegäran.docx", "A 57479-2025")</f>
        <v/>
      </c>
      <c r="Y247">
        <f>HYPERLINK("https://klasma.github.io/Logging_2303/tillsynsmail/A 57479-2025 tillsynsbegäran mail.docx", "A 57479-2025")</f>
        <v/>
      </c>
    </row>
    <row r="248" ht="15" customHeight="1">
      <c r="A248" t="inlineStr">
        <is>
          <t>A 57478-2025</t>
        </is>
      </c>
      <c r="B248" s="1" t="n">
        <v>45980.57349537037</v>
      </c>
      <c r="C248" s="1" t="n">
        <v>46004</v>
      </c>
      <c r="D248" t="inlineStr">
        <is>
          <t>JÄMTLANDS LÄN</t>
        </is>
      </c>
      <c r="E248" t="inlineStr">
        <is>
          <t>RAGUNDA</t>
        </is>
      </c>
      <c r="F248" t="inlineStr">
        <is>
          <t>SCA</t>
        </is>
      </c>
      <c r="G248" t="n">
        <v>3.3</v>
      </c>
      <c r="H248" t="n">
        <v>0</v>
      </c>
      <c r="I248" t="n">
        <v>0</v>
      </c>
      <c r="J248" t="n">
        <v>1</v>
      </c>
      <c r="K248" t="n">
        <v>0</v>
      </c>
      <c r="L248" t="n">
        <v>0</v>
      </c>
      <c r="M248" t="n">
        <v>0</v>
      </c>
      <c r="N248" t="n">
        <v>0</v>
      </c>
      <c r="O248" t="n">
        <v>1</v>
      </c>
      <c r="P248" t="n">
        <v>0</v>
      </c>
      <c r="Q248" t="n">
        <v>1</v>
      </c>
      <c r="R248" s="2" t="inlineStr">
        <is>
          <t>Lunglav</t>
        </is>
      </c>
      <c r="S248">
        <f>HYPERLINK("https://klasma.github.io/Logging_2303/artfynd/A 57478-2025 artfynd.xlsx", "A 57478-2025")</f>
        <v/>
      </c>
      <c r="T248">
        <f>HYPERLINK("https://klasma.github.io/Logging_2303/kartor/A 57478-2025 karta.png", "A 57478-2025")</f>
        <v/>
      </c>
      <c r="V248">
        <f>HYPERLINK("https://klasma.github.io/Logging_2303/klagomål/A 57478-2025 FSC-klagomål.docx", "A 57478-2025")</f>
        <v/>
      </c>
      <c r="W248">
        <f>HYPERLINK("https://klasma.github.io/Logging_2303/klagomålsmail/A 57478-2025 FSC-klagomål mail.docx", "A 57478-2025")</f>
        <v/>
      </c>
      <c r="X248">
        <f>HYPERLINK("https://klasma.github.io/Logging_2303/tillsyn/A 57478-2025 tillsynsbegäran.docx", "A 57478-2025")</f>
        <v/>
      </c>
      <c r="Y248">
        <f>HYPERLINK("https://klasma.github.io/Logging_2303/tillsynsmail/A 57478-2025 tillsynsbegäran mail.docx", "A 57478-2025")</f>
        <v/>
      </c>
    </row>
    <row r="249" ht="15" customHeight="1">
      <c r="A249" t="inlineStr">
        <is>
          <t>A 49053-2025</t>
        </is>
      </c>
      <c r="B249" s="1" t="n">
        <v>45937.64009259259</v>
      </c>
      <c r="C249" s="1" t="n">
        <v>46004</v>
      </c>
      <c r="D249" t="inlineStr">
        <is>
          <t>JÄMTLANDS LÄN</t>
        </is>
      </c>
      <c r="E249" t="inlineStr">
        <is>
          <t>RAGUNDA</t>
        </is>
      </c>
      <c r="F249" t="inlineStr">
        <is>
          <t>SCA</t>
        </is>
      </c>
      <c r="G249" t="n">
        <v>7</v>
      </c>
      <c r="H249" t="n">
        <v>1</v>
      </c>
      <c r="I249" t="n">
        <v>1</v>
      </c>
      <c r="J249" t="n">
        <v>0</v>
      </c>
      <c r="K249" t="n">
        <v>0</v>
      </c>
      <c r="L249" t="n">
        <v>0</v>
      </c>
      <c r="M249" t="n">
        <v>0</v>
      </c>
      <c r="N249" t="n">
        <v>0</v>
      </c>
      <c r="O249" t="n">
        <v>0</v>
      </c>
      <c r="P249" t="n">
        <v>0</v>
      </c>
      <c r="Q249" t="n">
        <v>1</v>
      </c>
      <c r="R249" s="2" t="inlineStr">
        <is>
          <t>Guckusko</t>
        </is>
      </c>
      <c r="S249">
        <f>HYPERLINK("https://klasma.github.io/Logging_2303/artfynd/A 49053-2025 artfynd.xlsx", "A 49053-2025")</f>
        <v/>
      </c>
      <c r="T249">
        <f>HYPERLINK("https://klasma.github.io/Logging_2303/kartor/A 49053-2025 karta.png", "A 49053-2025")</f>
        <v/>
      </c>
      <c r="V249">
        <f>HYPERLINK("https://klasma.github.io/Logging_2303/klagomål/A 49053-2025 FSC-klagomål.docx", "A 49053-2025")</f>
        <v/>
      </c>
      <c r="W249">
        <f>HYPERLINK("https://klasma.github.io/Logging_2303/klagomålsmail/A 49053-2025 FSC-klagomål mail.docx", "A 49053-2025")</f>
        <v/>
      </c>
      <c r="X249">
        <f>HYPERLINK("https://klasma.github.io/Logging_2303/tillsyn/A 49053-2025 tillsynsbegäran.docx", "A 49053-2025")</f>
        <v/>
      </c>
      <c r="Y249">
        <f>HYPERLINK("https://klasma.github.io/Logging_2303/tillsynsmail/A 49053-2025 tillsynsbegäran mail.docx", "A 49053-2025")</f>
        <v/>
      </c>
    </row>
    <row r="250" ht="15" customHeight="1">
      <c r="A250" t="inlineStr">
        <is>
          <t>A 27573-2025</t>
        </is>
      </c>
      <c r="B250" s="1" t="n">
        <v>45813.49061342593</v>
      </c>
      <c r="C250" s="1" t="n">
        <v>46004</v>
      </c>
      <c r="D250" t="inlineStr">
        <is>
          <t>JÄMTLANDS LÄN</t>
        </is>
      </c>
      <c r="E250" t="inlineStr">
        <is>
          <t>RAGUNDA</t>
        </is>
      </c>
      <c r="F250" t="inlineStr">
        <is>
          <t>SCA</t>
        </is>
      </c>
      <c r="G250" t="n">
        <v>14.9</v>
      </c>
      <c r="H250" t="n">
        <v>0</v>
      </c>
      <c r="I250" t="n">
        <v>1</v>
      </c>
      <c r="J250" t="n">
        <v>0</v>
      </c>
      <c r="K250" t="n">
        <v>0</v>
      </c>
      <c r="L250" t="n">
        <v>0</v>
      </c>
      <c r="M250" t="n">
        <v>0</v>
      </c>
      <c r="N250" t="n">
        <v>0</v>
      </c>
      <c r="O250" t="n">
        <v>0</v>
      </c>
      <c r="P250" t="n">
        <v>0</v>
      </c>
      <c r="Q250" t="n">
        <v>1</v>
      </c>
      <c r="R250" s="2" t="inlineStr">
        <is>
          <t>Skinnlav</t>
        </is>
      </c>
      <c r="S250">
        <f>HYPERLINK("https://klasma.github.io/Logging_2303/artfynd/A 27573-2025 artfynd.xlsx", "A 27573-2025")</f>
        <v/>
      </c>
      <c r="T250">
        <f>HYPERLINK("https://klasma.github.io/Logging_2303/kartor/A 27573-2025 karta.png", "A 27573-2025")</f>
        <v/>
      </c>
      <c r="U250">
        <f>HYPERLINK("https://klasma.github.io/Logging_2303/knärot/A 27573-2025 karta knärot.png", "A 27573-2025")</f>
        <v/>
      </c>
      <c r="V250">
        <f>HYPERLINK("https://klasma.github.io/Logging_2303/klagomål/A 27573-2025 FSC-klagomål.docx", "A 27573-2025")</f>
        <v/>
      </c>
      <c r="W250">
        <f>HYPERLINK("https://klasma.github.io/Logging_2303/klagomålsmail/A 27573-2025 FSC-klagomål mail.docx", "A 27573-2025")</f>
        <v/>
      </c>
      <c r="X250">
        <f>HYPERLINK("https://klasma.github.io/Logging_2303/tillsyn/A 27573-2025 tillsynsbegäran.docx", "A 27573-2025")</f>
        <v/>
      </c>
      <c r="Y250">
        <f>HYPERLINK("https://klasma.github.io/Logging_2303/tillsynsmail/A 27573-2025 tillsynsbegäran mail.docx", "A 27573-2025")</f>
        <v/>
      </c>
    </row>
    <row r="251" ht="15" customHeight="1">
      <c r="A251" t="inlineStr">
        <is>
          <t>A 58990-2025</t>
        </is>
      </c>
      <c r="B251" s="1" t="n">
        <v>45987</v>
      </c>
      <c r="C251" s="1" t="n">
        <v>46004</v>
      </c>
      <c r="D251" t="inlineStr">
        <is>
          <t>JÄMTLANDS LÄN</t>
        </is>
      </c>
      <c r="E251" t="inlineStr">
        <is>
          <t>RAGUNDA</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58990-2025 artfynd.xlsx", "A 58990-2025")</f>
        <v/>
      </c>
      <c r="T251">
        <f>HYPERLINK("https://klasma.github.io/Logging_2303/kartor/A 58990-2025 karta.png", "A 58990-2025")</f>
        <v/>
      </c>
      <c r="V251">
        <f>HYPERLINK("https://klasma.github.io/Logging_2303/klagomål/A 58990-2025 FSC-klagomål.docx", "A 58990-2025")</f>
        <v/>
      </c>
      <c r="W251">
        <f>HYPERLINK("https://klasma.github.io/Logging_2303/klagomålsmail/A 58990-2025 FSC-klagomål mail.docx", "A 58990-2025")</f>
        <v/>
      </c>
      <c r="X251">
        <f>HYPERLINK("https://klasma.github.io/Logging_2303/tillsyn/A 58990-2025 tillsynsbegäran.docx", "A 58990-2025")</f>
        <v/>
      </c>
      <c r="Y251">
        <f>HYPERLINK("https://klasma.github.io/Logging_2303/tillsynsmail/A 58990-2025 tillsynsbegäran mail.docx", "A 58990-2025")</f>
        <v/>
      </c>
      <c r="Z251">
        <f>HYPERLINK("https://klasma.github.io/Logging_2303/fåglar/A 58990-2025 prioriterade fågelarter.docx", "A 58990-2025")</f>
        <v/>
      </c>
    </row>
    <row r="252" ht="15" customHeight="1">
      <c r="A252" t="inlineStr">
        <is>
          <t>A 30390-2025</t>
        </is>
      </c>
      <c r="B252" s="1" t="n">
        <v>45827.57371527778</v>
      </c>
      <c r="C252" s="1" t="n">
        <v>46004</v>
      </c>
      <c r="D252" t="inlineStr">
        <is>
          <t>JÄMTLANDS LÄN</t>
        </is>
      </c>
      <c r="E252" t="inlineStr">
        <is>
          <t>RAGUNDA</t>
        </is>
      </c>
      <c r="F252" t="inlineStr">
        <is>
          <t>SCA</t>
        </is>
      </c>
      <c r="G252" t="n">
        <v>11.2</v>
      </c>
      <c r="H252" t="n">
        <v>0</v>
      </c>
      <c r="I252" t="n">
        <v>0</v>
      </c>
      <c r="J252" t="n">
        <v>1</v>
      </c>
      <c r="K252" t="n">
        <v>0</v>
      </c>
      <c r="L252" t="n">
        <v>0</v>
      </c>
      <c r="M252" t="n">
        <v>0</v>
      </c>
      <c r="N252" t="n">
        <v>0</v>
      </c>
      <c r="O252" t="n">
        <v>1</v>
      </c>
      <c r="P252" t="n">
        <v>0</v>
      </c>
      <c r="Q252" t="n">
        <v>1</v>
      </c>
      <c r="R252" s="2" t="inlineStr">
        <is>
          <t>Lunglav</t>
        </is>
      </c>
      <c r="S252">
        <f>HYPERLINK("https://klasma.github.io/Logging_2303/artfynd/A 30390-2025 artfynd.xlsx", "A 30390-2025")</f>
        <v/>
      </c>
      <c r="T252">
        <f>HYPERLINK("https://klasma.github.io/Logging_2303/kartor/A 30390-2025 karta.png", "A 30390-2025")</f>
        <v/>
      </c>
      <c r="U252">
        <f>HYPERLINK("https://klasma.github.io/Logging_2303/knärot/A 30390-2025 karta knärot.png", "A 30390-2025")</f>
        <v/>
      </c>
      <c r="V252">
        <f>HYPERLINK("https://klasma.github.io/Logging_2303/klagomål/A 30390-2025 FSC-klagomål.docx", "A 30390-2025")</f>
        <v/>
      </c>
      <c r="W252">
        <f>HYPERLINK("https://klasma.github.io/Logging_2303/klagomålsmail/A 30390-2025 FSC-klagomål mail.docx", "A 30390-2025")</f>
        <v/>
      </c>
      <c r="X252">
        <f>HYPERLINK("https://klasma.github.io/Logging_2303/tillsyn/A 30390-2025 tillsynsbegäran.docx", "A 30390-2025")</f>
        <v/>
      </c>
      <c r="Y252">
        <f>HYPERLINK("https://klasma.github.io/Logging_2303/tillsynsmail/A 30390-2025 tillsynsbegäran mail.docx", "A 30390-2025")</f>
        <v/>
      </c>
    </row>
    <row r="253" ht="15" customHeight="1">
      <c r="A253" t="inlineStr">
        <is>
          <t>A 22054-2025</t>
        </is>
      </c>
      <c r="B253" s="1" t="n">
        <v>45785.36525462963</v>
      </c>
      <c r="C253" s="1" t="n">
        <v>46004</v>
      </c>
      <c r="D253" t="inlineStr">
        <is>
          <t>JÄMTLANDS LÄN</t>
        </is>
      </c>
      <c r="E253" t="inlineStr">
        <is>
          <t>RAGUNDA</t>
        </is>
      </c>
      <c r="F253" t="inlineStr">
        <is>
          <t>SCA</t>
        </is>
      </c>
      <c r="G253" t="n">
        <v>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22054-2025 artfynd.xlsx", "A 22054-2025")</f>
        <v/>
      </c>
      <c r="T253">
        <f>HYPERLINK("https://klasma.github.io/Logging_2303/kartor/A 22054-2025 karta.png", "A 22054-2025")</f>
        <v/>
      </c>
      <c r="V253">
        <f>HYPERLINK("https://klasma.github.io/Logging_2303/klagomål/A 22054-2025 FSC-klagomål.docx", "A 22054-2025")</f>
        <v/>
      </c>
      <c r="W253">
        <f>HYPERLINK("https://klasma.github.io/Logging_2303/klagomålsmail/A 22054-2025 FSC-klagomål mail.docx", "A 22054-2025")</f>
        <v/>
      </c>
      <c r="X253">
        <f>HYPERLINK("https://klasma.github.io/Logging_2303/tillsyn/A 22054-2025 tillsynsbegäran.docx", "A 22054-2025")</f>
        <v/>
      </c>
      <c r="Y253">
        <f>HYPERLINK("https://klasma.github.io/Logging_2303/tillsynsmail/A 22054-2025 tillsynsbegäran mail.docx", "A 22054-2025")</f>
        <v/>
      </c>
      <c r="Z253">
        <f>HYPERLINK("https://klasma.github.io/Logging_2303/fåglar/A 22054-2025 prioriterade fågelarter.docx", "A 22054-2025")</f>
        <v/>
      </c>
    </row>
    <row r="254" ht="15" customHeight="1">
      <c r="A254" t="inlineStr">
        <is>
          <t>A 51912-2025</t>
        </is>
      </c>
      <c r="B254" s="1" t="n">
        <v>45952.46939814815</v>
      </c>
      <c r="C254" s="1" t="n">
        <v>46004</v>
      </c>
      <c r="D254" t="inlineStr">
        <is>
          <t>JÄMTLANDS LÄN</t>
        </is>
      </c>
      <c r="E254" t="inlineStr">
        <is>
          <t>RAGUNDA</t>
        </is>
      </c>
      <c r="F254" t="inlineStr">
        <is>
          <t>SCA</t>
        </is>
      </c>
      <c r="G254" t="n">
        <v>24.2</v>
      </c>
      <c r="H254" t="n">
        <v>1</v>
      </c>
      <c r="I254" t="n">
        <v>0</v>
      </c>
      <c r="J254" t="n">
        <v>0</v>
      </c>
      <c r="K254" t="n">
        <v>1</v>
      </c>
      <c r="L254" t="n">
        <v>0</v>
      </c>
      <c r="M254" t="n">
        <v>0</v>
      </c>
      <c r="N254" t="n">
        <v>0</v>
      </c>
      <c r="O254" t="n">
        <v>1</v>
      </c>
      <c r="P254" t="n">
        <v>1</v>
      </c>
      <c r="Q254" t="n">
        <v>1</v>
      </c>
      <c r="R254" s="2" t="inlineStr">
        <is>
          <t>Norna</t>
        </is>
      </c>
      <c r="S254">
        <f>HYPERLINK("https://klasma.github.io/Logging_2303/artfynd/A 51912-2025 artfynd.xlsx", "A 51912-2025")</f>
        <v/>
      </c>
      <c r="T254">
        <f>HYPERLINK("https://klasma.github.io/Logging_2303/kartor/A 51912-2025 karta.png", "A 51912-2025")</f>
        <v/>
      </c>
      <c r="V254">
        <f>HYPERLINK("https://klasma.github.io/Logging_2303/klagomål/A 51912-2025 FSC-klagomål.docx", "A 51912-2025")</f>
        <v/>
      </c>
      <c r="W254">
        <f>HYPERLINK("https://klasma.github.io/Logging_2303/klagomålsmail/A 51912-2025 FSC-klagomål mail.docx", "A 51912-2025")</f>
        <v/>
      </c>
      <c r="X254">
        <f>HYPERLINK("https://klasma.github.io/Logging_2303/tillsyn/A 51912-2025 tillsynsbegäran.docx", "A 51912-2025")</f>
        <v/>
      </c>
      <c r="Y254">
        <f>HYPERLINK("https://klasma.github.io/Logging_2303/tillsynsmail/A 51912-2025 tillsynsbegäran mail.docx", "A 51912-2025")</f>
        <v/>
      </c>
    </row>
    <row r="255" ht="15" customHeight="1">
      <c r="A255" t="inlineStr">
        <is>
          <t>A 32445-2025</t>
        </is>
      </c>
      <c r="B255" s="1" t="n">
        <v>45838.38627314815</v>
      </c>
      <c r="C255" s="1" t="n">
        <v>46004</v>
      </c>
      <c r="D255" t="inlineStr">
        <is>
          <t>JÄMTLANDS LÄN</t>
        </is>
      </c>
      <c r="E255" t="inlineStr">
        <is>
          <t>RAGUNDA</t>
        </is>
      </c>
      <c r="F255" t="inlineStr">
        <is>
          <t>SCA</t>
        </is>
      </c>
      <c r="G255" t="n">
        <v>1.6</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32445-2025 artfynd.xlsx", "A 32445-2025")</f>
        <v/>
      </c>
      <c r="T255">
        <f>HYPERLINK("https://klasma.github.io/Logging_2303/kartor/A 32445-2025 karta.png", "A 32445-2025")</f>
        <v/>
      </c>
      <c r="V255">
        <f>HYPERLINK("https://klasma.github.io/Logging_2303/klagomål/A 32445-2025 FSC-klagomål.docx", "A 32445-2025")</f>
        <v/>
      </c>
      <c r="W255">
        <f>HYPERLINK("https://klasma.github.io/Logging_2303/klagomålsmail/A 32445-2025 FSC-klagomål mail.docx", "A 32445-2025")</f>
        <v/>
      </c>
      <c r="X255">
        <f>HYPERLINK("https://klasma.github.io/Logging_2303/tillsyn/A 32445-2025 tillsynsbegäran.docx", "A 32445-2025")</f>
        <v/>
      </c>
      <c r="Y255">
        <f>HYPERLINK("https://klasma.github.io/Logging_2303/tillsynsmail/A 32445-2025 tillsynsbegäran mail.docx", "A 32445-2025")</f>
        <v/>
      </c>
      <c r="Z255">
        <f>HYPERLINK("https://klasma.github.io/Logging_2303/fåglar/A 32445-2025 prioriterade fågelarter.docx", "A 32445-2025")</f>
        <v/>
      </c>
    </row>
    <row r="256" ht="15" customHeight="1">
      <c r="A256" t="inlineStr">
        <is>
          <t>A 34474-2025</t>
        </is>
      </c>
      <c r="B256" s="1" t="n">
        <v>45847.36528935185</v>
      </c>
      <c r="C256" s="1" t="n">
        <v>46004</v>
      </c>
      <c r="D256" t="inlineStr">
        <is>
          <t>JÄMTLANDS LÄN</t>
        </is>
      </c>
      <c r="E256" t="inlineStr">
        <is>
          <t>RAGUNDA</t>
        </is>
      </c>
      <c r="F256" t="inlineStr">
        <is>
          <t>SCA</t>
        </is>
      </c>
      <c r="G256" t="n">
        <v>9.699999999999999</v>
      </c>
      <c r="H256" t="n">
        <v>1</v>
      </c>
      <c r="I256" t="n">
        <v>0</v>
      </c>
      <c r="J256" t="n">
        <v>1</v>
      </c>
      <c r="K256" t="n">
        <v>0</v>
      </c>
      <c r="L256" t="n">
        <v>0</v>
      </c>
      <c r="M256" t="n">
        <v>0</v>
      </c>
      <c r="N256" t="n">
        <v>0</v>
      </c>
      <c r="O256" t="n">
        <v>1</v>
      </c>
      <c r="P256" t="n">
        <v>0</v>
      </c>
      <c r="Q256" t="n">
        <v>1</v>
      </c>
      <c r="R256" s="2" t="inlineStr">
        <is>
          <t>Fjällvråk</t>
        </is>
      </c>
      <c r="S256">
        <f>HYPERLINK("https://klasma.github.io/Logging_2303/artfynd/A 34474-2025 artfynd.xlsx", "A 34474-2025")</f>
        <v/>
      </c>
      <c r="T256">
        <f>HYPERLINK("https://klasma.github.io/Logging_2303/kartor/A 34474-2025 karta.png", "A 34474-2025")</f>
        <v/>
      </c>
      <c r="V256">
        <f>HYPERLINK("https://klasma.github.io/Logging_2303/klagomål/A 34474-2025 FSC-klagomål.docx", "A 34474-2025")</f>
        <v/>
      </c>
      <c r="W256">
        <f>HYPERLINK("https://klasma.github.io/Logging_2303/klagomålsmail/A 34474-2025 FSC-klagomål mail.docx", "A 34474-2025")</f>
        <v/>
      </c>
      <c r="X256">
        <f>HYPERLINK("https://klasma.github.io/Logging_2303/tillsyn/A 34474-2025 tillsynsbegäran.docx", "A 34474-2025")</f>
        <v/>
      </c>
      <c r="Y256">
        <f>HYPERLINK("https://klasma.github.io/Logging_2303/tillsynsmail/A 34474-2025 tillsynsbegäran mail.docx", "A 34474-2025")</f>
        <v/>
      </c>
      <c r="Z256">
        <f>HYPERLINK("https://klasma.github.io/Logging_2303/fåglar/A 34474-2025 prioriterade fågelarter.docx", "A 34474-2025")</f>
        <v/>
      </c>
    </row>
    <row r="257" ht="15" customHeight="1">
      <c r="A257" t="inlineStr">
        <is>
          <t>A 69618-2020</t>
        </is>
      </c>
      <c r="B257" s="1" t="n">
        <v>44195</v>
      </c>
      <c r="C257" s="1" t="n">
        <v>46004</v>
      </c>
      <c r="D257" t="inlineStr">
        <is>
          <t>JÄMTLANDS LÄN</t>
        </is>
      </c>
      <c r="E257" t="inlineStr">
        <is>
          <t>RAGUNDA</t>
        </is>
      </c>
      <c r="G257" t="n">
        <v>2.4</v>
      </c>
      <c r="H257" t="n">
        <v>0</v>
      </c>
      <c r="I257" t="n">
        <v>0</v>
      </c>
      <c r="J257" t="n">
        <v>0</v>
      </c>
      <c r="K257" t="n">
        <v>0</v>
      </c>
      <c r="L257" t="n">
        <v>0</v>
      </c>
      <c r="M257" t="n">
        <v>0</v>
      </c>
      <c r="N257" t="n">
        <v>0</v>
      </c>
      <c r="O257" t="n">
        <v>0</v>
      </c>
      <c r="P257" t="n">
        <v>0</v>
      </c>
      <c r="Q257" t="n">
        <v>0</v>
      </c>
      <c r="R257" s="2" t="inlineStr"/>
    </row>
    <row r="258" ht="15" customHeight="1">
      <c r="A258" t="inlineStr">
        <is>
          <t>A 2469-2021</t>
        </is>
      </c>
      <c r="B258" s="1" t="n">
        <v>44214</v>
      </c>
      <c r="C258" s="1" t="n">
        <v>46004</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46004</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46004</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46004</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46004</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46004</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46004</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46004</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46004</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46004</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46004</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46004</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46004</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46004</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46004</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46004</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46004</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46004</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46004</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46004</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46004</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22695-2022</t>
        </is>
      </c>
      <c r="B279" s="1" t="n">
        <v>44714</v>
      </c>
      <c r="C279" s="1" t="n">
        <v>46004</v>
      </c>
      <c r="D279" t="inlineStr">
        <is>
          <t>JÄMTLANDS LÄN</t>
        </is>
      </c>
      <c r="E279" t="inlineStr">
        <is>
          <t>RAGUNDA</t>
        </is>
      </c>
      <c r="G279" t="n">
        <v>1.8</v>
      </c>
      <c r="H279" t="n">
        <v>0</v>
      </c>
      <c r="I279" t="n">
        <v>0</v>
      </c>
      <c r="J279" t="n">
        <v>0</v>
      </c>
      <c r="K279" t="n">
        <v>0</v>
      </c>
      <c r="L279" t="n">
        <v>0</v>
      </c>
      <c r="M279" t="n">
        <v>0</v>
      </c>
      <c r="N279" t="n">
        <v>0</v>
      </c>
      <c r="O279" t="n">
        <v>0</v>
      </c>
      <c r="P279" t="n">
        <v>0</v>
      </c>
      <c r="Q279" t="n">
        <v>0</v>
      </c>
      <c r="R279" s="2" t="inlineStr"/>
    </row>
    <row r="280" ht="15" customHeight="1">
      <c r="A280" t="inlineStr">
        <is>
          <t>A 16246-2022</t>
        </is>
      </c>
      <c r="B280" s="1" t="n">
        <v>44670</v>
      </c>
      <c r="C280" s="1" t="n">
        <v>46004</v>
      </c>
      <c r="D280" t="inlineStr">
        <is>
          <t>JÄMTLANDS LÄN</t>
        </is>
      </c>
      <c r="E280" t="inlineStr">
        <is>
          <t>RAGUNDA</t>
        </is>
      </c>
      <c r="G280" t="n">
        <v>4.1</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46004</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46004</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13571-2021</t>
        </is>
      </c>
      <c r="B283" s="1" t="n">
        <v>44273.92081018518</v>
      </c>
      <c r="C283" s="1" t="n">
        <v>46004</v>
      </c>
      <c r="D283" t="inlineStr">
        <is>
          <t>JÄMTLANDS LÄN</t>
        </is>
      </c>
      <c r="E283" t="inlineStr">
        <is>
          <t>RAGUNDA</t>
        </is>
      </c>
      <c r="G283" t="n">
        <v>1.9</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46004</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48075-2022</t>
        </is>
      </c>
      <c r="B285" s="1" t="n">
        <v>44855</v>
      </c>
      <c r="C285" s="1" t="n">
        <v>46004</v>
      </c>
      <c r="D285" t="inlineStr">
        <is>
          <t>JÄMTLANDS LÄN</t>
        </is>
      </c>
      <c r="E285" t="inlineStr">
        <is>
          <t>RAGUNDA</t>
        </is>
      </c>
      <c r="F285" t="inlineStr">
        <is>
          <t>SCA</t>
        </is>
      </c>
      <c r="G285" t="n">
        <v>7.5</v>
      </c>
      <c r="H285" t="n">
        <v>0</v>
      </c>
      <c r="I285" t="n">
        <v>0</v>
      </c>
      <c r="J285" t="n">
        <v>0</v>
      </c>
      <c r="K285" t="n">
        <v>0</v>
      </c>
      <c r="L285" t="n">
        <v>0</v>
      </c>
      <c r="M285" t="n">
        <v>0</v>
      </c>
      <c r="N285" t="n">
        <v>0</v>
      </c>
      <c r="O285" t="n">
        <v>0</v>
      </c>
      <c r="P285" t="n">
        <v>0</v>
      </c>
      <c r="Q285" t="n">
        <v>0</v>
      </c>
      <c r="R285" s="2" t="inlineStr"/>
    </row>
    <row r="286" ht="15" customHeight="1">
      <c r="A286" t="inlineStr">
        <is>
          <t>A 48538-2022</t>
        </is>
      </c>
      <c r="B286" s="1" t="n">
        <v>44858</v>
      </c>
      <c r="C286" s="1" t="n">
        <v>46004</v>
      </c>
      <c r="D286" t="inlineStr">
        <is>
          <t>JÄMTLANDS LÄN</t>
        </is>
      </c>
      <c r="E286" t="inlineStr">
        <is>
          <t>RAGUNDA</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46004</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39693-2022</t>
        </is>
      </c>
      <c r="B288" s="1" t="n">
        <v>44818.94929398148</v>
      </c>
      <c r="C288" s="1" t="n">
        <v>46004</v>
      </c>
      <c r="D288" t="inlineStr">
        <is>
          <t>JÄMTLANDS LÄN</t>
        </is>
      </c>
      <c r="E288" t="inlineStr">
        <is>
          <t>RAGUNDA</t>
        </is>
      </c>
      <c r="F288" t="inlineStr">
        <is>
          <t>SCA</t>
        </is>
      </c>
      <c r="G288" t="n">
        <v>0.3</v>
      </c>
      <c r="H288" t="n">
        <v>0</v>
      </c>
      <c r="I288" t="n">
        <v>0</v>
      </c>
      <c r="J288" t="n">
        <v>0</v>
      </c>
      <c r="K288" t="n">
        <v>0</v>
      </c>
      <c r="L288" t="n">
        <v>0</v>
      </c>
      <c r="M288" t="n">
        <v>0</v>
      </c>
      <c r="N288" t="n">
        <v>0</v>
      </c>
      <c r="O288" t="n">
        <v>0</v>
      </c>
      <c r="P288" t="n">
        <v>0</v>
      </c>
      <c r="Q288" t="n">
        <v>0</v>
      </c>
      <c r="R288" s="2" t="inlineStr"/>
    </row>
    <row r="289" ht="15" customHeight="1">
      <c r="A289" t="inlineStr">
        <is>
          <t>A 27302-2022</t>
        </is>
      </c>
      <c r="B289" s="1" t="n">
        <v>44741</v>
      </c>
      <c r="C289" s="1" t="n">
        <v>46004</v>
      </c>
      <c r="D289" t="inlineStr">
        <is>
          <t>JÄMTLANDS LÄN</t>
        </is>
      </c>
      <c r="E289" t="inlineStr">
        <is>
          <t>RAGUNDA</t>
        </is>
      </c>
      <c r="G289" t="n">
        <v>1.6</v>
      </c>
      <c r="H289" t="n">
        <v>0</v>
      </c>
      <c r="I289" t="n">
        <v>0</v>
      </c>
      <c r="J289" t="n">
        <v>0</v>
      </c>
      <c r="K289" t="n">
        <v>0</v>
      </c>
      <c r="L289" t="n">
        <v>0</v>
      </c>
      <c r="M289" t="n">
        <v>0</v>
      </c>
      <c r="N289" t="n">
        <v>0</v>
      </c>
      <c r="O289" t="n">
        <v>0</v>
      </c>
      <c r="P289" t="n">
        <v>0</v>
      </c>
      <c r="Q289" t="n">
        <v>0</v>
      </c>
      <c r="R289" s="2" t="inlineStr"/>
    </row>
    <row r="290" ht="15" customHeight="1">
      <c r="A290" t="inlineStr">
        <is>
          <t>A 60312-2021</t>
        </is>
      </c>
      <c r="B290" s="1" t="n">
        <v>44495.93966435185</v>
      </c>
      <c r="C290" s="1" t="n">
        <v>46004</v>
      </c>
      <c r="D290" t="inlineStr">
        <is>
          <t>JÄMTLANDS LÄN</t>
        </is>
      </c>
      <c r="E290" t="inlineStr">
        <is>
          <t>RAGUNDA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49197-2022</t>
        </is>
      </c>
      <c r="B291" s="1" t="n">
        <v>44860</v>
      </c>
      <c r="C291" s="1" t="n">
        <v>46004</v>
      </c>
      <c r="D291" t="inlineStr">
        <is>
          <t>JÄMTLANDS LÄN</t>
        </is>
      </c>
      <c r="E291" t="inlineStr">
        <is>
          <t>RAGUNDA</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47801-2022</t>
        </is>
      </c>
      <c r="B292" s="1" t="n">
        <v>44854</v>
      </c>
      <c r="C292" s="1" t="n">
        <v>46004</v>
      </c>
      <c r="D292" t="inlineStr">
        <is>
          <t>JÄMTLANDS LÄN</t>
        </is>
      </c>
      <c r="E292" t="inlineStr">
        <is>
          <t>RAGUNDA</t>
        </is>
      </c>
      <c r="F292" t="inlineStr">
        <is>
          <t>SCA</t>
        </is>
      </c>
      <c r="G292" t="n">
        <v>3.9</v>
      </c>
      <c r="H292" t="n">
        <v>0</v>
      </c>
      <c r="I292" t="n">
        <v>0</v>
      </c>
      <c r="J292" t="n">
        <v>0</v>
      </c>
      <c r="K292" t="n">
        <v>0</v>
      </c>
      <c r="L292" t="n">
        <v>0</v>
      </c>
      <c r="M292" t="n">
        <v>0</v>
      </c>
      <c r="N292" t="n">
        <v>0</v>
      </c>
      <c r="O292" t="n">
        <v>0</v>
      </c>
      <c r="P292" t="n">
        <v>0</v>
      </c>
      <c r="Q292" t="n">
        <v>0</v>
      </c>
      <c r="R292" s="2" t="inlineStr"/>
    </row>
    <row r="293" ht="15" customHeight="1">
      <c r="A293" t="inlineStr">
        <is>
          <t>A 48938-2022</t>
        </is>
      </c>
      <c r="B293" s="1" t="n">
        <v>44859.95710648148</v>
      </c>
      <c r="C293" s="1" t="n">
        <v>46004</v>
      </c>
      <c r="D293" t="inlineStr">
        <is>
          <t>JÄMTLANDS LÄN</t>
        </is>
      </c>
      <c r="E293" t="inlineStr">
        <is>
          <t>RAGUNDA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46004</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46004</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31484-2022</t>
        </is>
      </c>
      <c r="B296" s="1" t="n">
        <v>44774.94414351852</v>
      </c>
      <c r="C296" s="1" t="n">
        <v>46004</v>
      </c>
      <c r="D296" t="inlineStr">
        <is>
          <t>JÄMTLANDS LÄN</t>
        </is>
      </c>
      <c r="E296" t="inlineStr">
        <is>
          <t>RAGUNDA</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46004</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46004</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46004</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7575-2021</t>
        </is>
      </c>
      <c r="B300" s="1" t="n">
        <v>44239</v>
      </c>
      <c r="C300" s="1" t="n">
        <v>46004</v>
      </c>
      <c r="D300" t="inlineStr">
        <is>
          <t>JÄMTLANDS LÄN</t>
        </is>
      </c>
      <c r="E300" t="inlineStr">
        <is>
          <t>RAGUNDA</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46401-2021</t>
        </is>
      </c>
      <c r="B301" s="1" t="n">
        <v>44443</v>
      </c>
      <c r="C301" s="1" t="n">
        <v>46004</v>
      </c>
      <c r="D301" t="inlineStr">
        <is>
          <t>JÄMTLANDS LÄN</t>
        </is>
      </c>
      <c r="E301" t="inlineStr">
        <is>
          <t>RAGUNDA</t>
        </is>
      </c>
      <c r="G301" t="n">
        <v>7</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46004</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41609-2021</t>
        </is>
      </c>
      <c r="B303" s="1" t="n">
        <v>44425</v>
      </c>
      <c r="C303" s="1" t="n">
        <v>46004</v>
      </c>
      <c r="D303" t="inlineStr">
        <is>
          <t>JÄMTLANDS LÄN</t>
        </is>
      </c>
      <c r="E303" t="inlineStr">
        <is>
          <t>RAGUNDA</t>
        </is>
      </c>
      <c r="F303" t="inlineStr">
        <is>
          <t>Kommuner</t>
        </is>
      </c>
      <c r="G303" t="n">
        <v>2.8</v>
      </c>
      <c r="H303" t="n">
        <v>0</v>
      </c>
      <c r="I303" t="n">
        <v>0</v>
      </c>
      <c r="J303" t="n">
        <v>0</v>
      </c>
      <c r="K303" t="n">
        <v>0</v>
      </c>
      <c r="L303" t="n">
        <v>0</v>
      </c>
      <c r="M303" t="n">
        <v>0</v>
      </c>
      <c r="N303" t="n">
        <v>0</v>
      </c>
      <c r="O303" t="n">
        <v>0</v>
      </c>
      <c r="P303" t="n">
        <v>0</v>
      </c>
      <c r="Q303" t="n">
        <v>0</v>
      </c>
      <c r="R303" s="2" t="inlineStr"/>
    </row>
    <row r="304" ht="15" customHeight="1">
      <c r="A304" t="inlineStr">
        <is>
          <t>A 52720-2022</t>
        </is>
      </c>
      <c r="B304" s="1" t="n">
        <v>44874.95553240741</v>
      </c>
      <c r="C304" s="1" t="n">
        <v>46004</v>
      </c>
      <c r="D304" t="inlineStr">
        <is>
          <t>JÄMTLANDS LÄN</t>
        </is>
      </c>
      <c r="E304" t="inlineStr">
        <is>
          <t>RAGUNDA</t>
        </is>
      </c>
      <c r="F304" t="inlineStr">
        <is>
          <t>SCA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32979-2022</t>
        </is>
      </c>
      <c r="B305" s="1" t="n">
        <v>44784.9408912037</v>
      </c>
      <c r="C305" s="1" t="n">
        <v>46004</v>
      </c>
      <c r="D305" t="inlineStr">
        <is>
          <t>JÄMTLANDS LÄN</t>
        </is>
      </c>
      <c r="E305" t="inlineStr">
        <is>
          <t>RAGUNDA</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40436-2022</t>
        </is>
      </c>
      <c r="B306" s="1" t="n">
        <v>44823.48666666666</v>
      </c>
      <c r="C306" s="1" t="n">
        <v>46004</v>
      </c>
      <c r="D306" t="inlineStr">
        <is>
          <t>JÄMTLANDS LÄN</t>
        </is>
      </c>
      <c r="E306" t="inlineStr">
        <is>
          <t>RAGUNDA</t>
        </is>
      </c>
      <c r="G306" t="n">
        <v>3</v>
      </c>
      <c r="H306" t="n">
        <v>0</v>
      </c>
      <c r="I306" t="n">
        <v>0</v>
      </c>
      <c r="J306" t="n">
        <v>0</v>
      </c>
      <c r="K306" t="n">
        <v>0</v>
      </c>
      <c r="L306" t="n">
        <v>0</v>
      </c>
      <c r="M306" t="n">
        <v>0</v>
      </c>
      <c r="N306" t="n">
        <v>0</v>
      </c>
      <c r="O306" t="n">
        <v>0</v>
      </c>
      <c r="P306" t="n">
        <v>0</v>
      </c>
      <c r="Q306" t="n">
        <v>0</v>
      </c>
      <c r="R306" s="2" t="inlineStr"/>
    </row>
    <row r="307" ht="15" customHeight="1">
      <c r="A307" t="inlineStr">
        <is>
          <t>A 15808-2022</t>
        </is>
      </c>
      <c r="B307" s="1" t="n">
        <v>44663</v>
      </c>
      <c r="C307" s="1" t="n">
        <v>46004</v>
      </c>
      <c r="D307" t="inlineStr">
        <is>
          <t>JÄMTLANDS LÄN</t>
        </is>
      </c>
      <c r="E307" t="inlineStr">
        <is>
          <t>RAGUNDA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27399-2021</t>
        </is>
      </c>
      <c r="B308" s="1" t="n">
        <v>44351</v>
      </c>
      <c r="C308" s="1" t="n">
        <v>46004</v>
      </c>
      <c r="D308" t="inlineStr">
        <is>
          <t>JÄMTLANDS LÄN</t>
        </is>
      </c>
      <c r="E308" t="inlineStr">
        <is>
          <t>RAGUNDA</t>
        </is>
      </c>
      <c r="F308" t="inlineStr">
        <is>
          <t>Kommuner</t>
        </is>
      </c>
      <c r="G308" t="n">
        <v>3.1</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46004</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46004</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46004</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46004</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46004</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46004</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42900-2022</t>
        </is>
      </c>
      <c r="B315" s="1" t="n">
        <v>44832.95435185185</v>
      </c>
      <c r="C315" s="1" t="n">
        <v>46004</v>
      </c>
      <c r="D315" t="inlineStr">
        <is>
          <t>JÄMTLANDS LÄN</t>
        </is>
      </c>
      <c r="E315" t="inlineStr">
        <is>
          <t>RAGUNDA</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46004</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46004</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46004</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46004</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61442-2021</t>
        </is>
      </c>
      <c r="B320" s="1" t="n">
        <v>44500.93887731482</v>
      </c>
      <c r="C320" s="1" t="n">
        <v>46004</v>
      </c>
      <c r="D320" t="inlineStr">
        <is>
          <t>JÄMTLANDS LÄN</t>
        </is>
      </c>
      <c r="E320" t="inlineStr">
        <is>
          <t>RAGUNDA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46004</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6492-2022</t>
        </is>
      </c>
      <c r="B322" s="1" t="n">
        <v>44601</v>
      </c>
      <c r="C322" s="1" t="n">
        <v>46004</v>
      </c>
      <c r="D322" t="inlineStr">
        <is>
          <t>JÄMTLANDS LÄN</t>
        </is>
      </c>
      <c r="E322" t="inlineStr">
        <is>
          <t>RAGUNDA</t>
        </is>
      </c>
      <c r="G322" t="n">
        <v>0.8</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46004</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46004</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22772-2022</t>
        </is>
      </c>
      <c r="B325" s="1" t="n">
        <v>44714.94162037037</v>
      </c>
      <c r="C325" s="1" t="n">
        <v>46004</v>
      </c>
      <c r="D325" t="inlineStr">
        <is>
          <t>JÄMTLANDS LÄN</t>
        </is>
      </c>
      <c r="E325" t="inlineStr">
        <is>
          <t>RAGUNDA</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46004</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28887-2021</t>
        </is>
      </c>
      <c r="B327" s="1" t="n">
        <v>44357</v>
      </c>
      <c r="C327" s="1" t="n">
        <v>46004</v>
      </c>
      <c r="D327" t="inlineStr">
        <is>
          <t>JÄMTLANDS LÄN</t>
        </is>
      </c>
      <c r="E327" t="inlineStr">
        <is>
          <t>RAGUNDA</t>
        </is>
      </c>
      <c r="G327" t="n">
        <v>1.8</v>
      </c>
      <c r="H327" t="n">
        <v>0</v>
      </c>
      <c r="I327" t="n">
        <v>0</v>
      </c>
      <c r="J327" t="n">
        <v>0</v>
      </c>
      <c r="K327" t="n">
        <v>0</v>
      </c>
      <c r="L327" t="n">
        <v>0</v>
      </c>
      <c r="M327" t="n">
        <v>0</v>
      </c>
      <c r="N327" t="n">
        <v>0</v>
      </c>
      <c r="O327" t="n">
        <v>0</v>
      </c>
      <c r="P327" t="n">
        <v>0</v>
      </c>
      <c r="Q327" t="n">
        <v>0</v>
      </c>
      <c r="R327" s="2" t="inlineStr"/>
    </row>
    <row r="328" ht="15" customHeight="1">
      <c r="A328" t="inlineStr">
        <is>
          <t>A 51012-2022</t>
        </is>
      </c>
      <c r="B328" s="1" t="n">
        <v>44867</v>
      </c>
      <c r="C328" s="1" t="n">
        <v>46004</v>
      </c>
      <c r="D328" t="inlineStr">
        <is>
          <t>JÄMTLANDS LÄN</t>
        </is>
      </c>
      <c r="E328" t="inlineStr">
        <is>
          <t>RAGUNDA</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46004</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46004</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46004</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46004</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46004</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40829-2022</t>
        </is>
      </c>
      <c r="B334" s="1" t="n">
        <v>44824.94635416667</v>
      </c>
      <c r="C334" s="1" t="n">
        <v>46004</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46004</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46004</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46992-2022</t>
        </is>
      </c>
      <c r="B337" s="1" t="n">
        <v>44851.95488425926</v>
      </c>
      <c r="C337" s="1" t="n">
        <v>46004</v>
      </c>
      <c r="D337" t="inlineStr">
        <is>
          <t>JÄMTLANDS LÄN</t>
        </is>
      </c>
      <c r="E337" t="inlineStr">
        <is>
          <t>RAGUNDA</t>
        </is>
      </c>
      <c r="F337" t="inlineStr">
        <is>
          <t>SCA</t>
        </is>
      </c>
      <c r="G337" t="n">
        <v>26.4</v>
      </c>
      <c r="H337" t="n">
        <v>0</v>
      </c>
      <c r="I337" t="n">
        <v>0</v>
      </c>
      <c r="J337" t="n">
        <v>0</v>
      </c>
      <c r="K337" t="n">
        <v>0</v>
      </c>
      <c r="L337" t="n">
        <v>0</v>
      </c>
      <c r="M337" t="n">
        <v>0</v>
      </c>
      <c r="N337" t="n">
        <v>0</v>
      </c>
      <c r="O337" t="n">
        <v>0</v>
      </c>
      <c r="P337" t="n">
        <v>0</v>
      </c>
      <c r="Q337" t="n">
        <v>0</v>
      </c>
      <c r="R337" s="2" t="inlineStr"/>
    </row>
    <row r="338" ht="15" customHeight="1">
      <c r="A338" t="inlineStr">
        <is>
          <t>A 34348-2021</t>
        </is>
      </c>
      <c r="B338" s="1" t="n">
        <v>44379</v>
      </c>
      <c r="C338" s="1" t="n">
        <v>46004</v>
      </c>
      <c r="D338" t="inlineStr">
        <is>
          <t>JÄMTLANDS LÄN</t>
        </is>
      </c>
      <c r="E338" t="inlineStr">
        <is>
          <t>RAGUNDA</t>
        </is>
      </c>
      <c r="G338" t="n">
        <v>8.1</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46004</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46004</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40978-2022</t>
        </is>
      </c>
      <c r="B341" s="1" t="n">
        <v>44823</v>
      </c>
      <c r="C341" s="1" t="n">
        <v>46004</v>
      </c>
      <c r="D341" t="inlineStr">
        <is>
          <t>JÄMTLANDS LÄN</t>
        </is>
      </c>
      <c r="E341" t="inlineStr">
        <is>
          <t>RAGUNDA</t>
        </is>
      </c>
      <c r="G341" t="n">
        <v>1.5</v>
      </c>
      <c r="H341" t="n">
        <v>0</v>
      </c>
      <c r="I341" t="n">
        <v>0</v>
      </c>
      <c r="J341" t="n">
        <v>0</v>
      </c>
      <c r="K341" t="n">
        <v>0</v>
      </c>
      <c r="L341" t="n">
        <v>0</v>
      </c>
      <c r="M341" t="n">
        <v>0</v>
      </c>
      <c r="N341" t="n">
        <v>0</v>
      </c>
      <c r="O341" t="n">
        <v>0</v>
      </c>
      <c r="P341" t="n">
        <v>0</v>
      </c>
      <c r="Q341" t="n">
        <v>0</v>
      </c>
      <c r="R341" s="2" t="inlineStr"/>
    </row>
    <row r="342" ht="15" customHeight="1">
      <c r="A342" t="inlineStr">
        <is>
          <t>A 24741-2022</t>
        </is>
      </c>
      <c r="B342" s="1" t="n">
        <v>44727</v>
      </c>
      <c r="C342" s="1" t="n">
        <v>46004</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48536-2022</t>
        </is>
      </c>
      <c r="B343" s="1" t="n">
        <v>44858</v>
      </c>
      <c r="C343" s="1" t="n">
        <v>46004</v>
      </c>
      <c r="D343" t="inlineStr">
        <is>
          <t>JÄMTLANDS LÄN</t>
        </is>
      </c>
      <c r="E343" t="inlineStr">
        <is>
          <t>RAGUNDA</t>
        </is>
      </c>
      <c r="F343" t="inlineStr">
        <is>
          <t>SCA</t>
        </is>
      </c>
      <c r="G343" t="n">
        <v>9.5</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46004</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41613-2021</t>
        </is>
      </c>
      <c r="B345" s="1" t="n">
        <v>44425</v>
      </c>
      <c r="C345" s="1" t="n">
        <v>46004</v>
      </c>
      <c r="D345" t="inlineStr">
        <is>
          <t>JÄMTLANDS LÄN</t>
        </is>
      </c>
      <c r="E345" t="inlineStr">
        <is>
          <t>RAGUNDA</t>
        </is>
      </c>
      <c r="F345" t="inlineStr">
        <is>
          <t>Kommuner</t>
        </is>
      </c>
      <c r="G345" t="n">
        <v>1.5</v>
      </c>
      <c r="H345" t="n">
        <v>0</v>
      </c>
      <c r="I345" t="n">
        <v>0</v>
      </c>
      <c r="J345" t="n">
        <v>0</v>
      </c>
      <c r="K345" t="n">
        <v>0</v>
      </c>
      <c r="L345" t="n">
        <v>0</v>
      </c>
      <c r="M345" t="n">
        <v>0</v>
      </c>
      <c r="N345" t="n">
        <v>0</v>
      </c>
      <c r="O345" t="n">
        <v>0</v>
      </c>
      <c r="P345" t="n">
        <v>0</v>
      </c>
      <c r="Q345" t="n">
        <v>0</v>
      </c>
      <c r="R345" s="2" t="inlineStr"/>
    </row>
    <row r="346" ht="15" customHeight="1">
      <c r="A346" t="inlineStr">
        <is>
          <t>A 49904-2022</t>
        </is>
      </c>
      <c r="B346" s="1" t="n">
        <v>44864.94835648148</v>
      </c>
      <c r="C346" s="1" t="n">
        <v>46004</v>
      </c>
      <c r="D346" t="inlineStr">
        <is>
          <t>JÄMTLANDS LÄN</t>
        </is>
      </c>
      <c r="E346" t="inlineStr">
        <is>
          <t>RAGUNDA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43794-2022</t>
        </is>
      </c>
      <c r="B347" s="1" t="n">
        <v>44837</v>
      </c>
      <c r="C347" s="1" t="n">
        <v>46004</v>
      </c>
      <c r="D347" t="inlineStr">
        <is>
          <t>JÄMTLANDS LÄN</t>
        </is>
      </c>
      <c r="E347" t="inlineStr">
        <is>
          <t>RAGUNDA</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19595-2021</t>
        </is>
      </c>
      <c r="B348" s="1" t="n">
        <v>44308</v>
      </c>
      <c r="C348" s="1" t="n">
        <v>46004</v>
      </c>
      <c r="D348" t="inlineStr">
        <is>
          <t>JÄMTLANDS LÄN</t>
        </is>
      </c>
      <c r="E348" t="inlineStr">
        <is>
          <t>RAGUNDA</t>
        </is>
      </c>
      <c r="G348" t="n">
        <v>5.4</v>
      </c>
      <c r="H348" t="n">
        <v>0</v>
      </c>
      <c r="I348" t="n">
        <v>0</v>
      </c>
      <c r="J348" t="n">
        <v>0</v>
      </c>
      <c r="K348" t="n">
        <v>0</v>
      </c>
      <c r="L348" t="n">
        <v>0</v>
      </c>
      <c r="M348" t="n">
        <v>0</v>
      </c>
      <c r="N348" t="n">
        <v>0</v>
      </c>
      <c r="O348" t="n">
        <v>0</v>
      </c>
      <c r="P348" t="n">
        <v>0</v>
      </c>
      <c r="Q348" t="n">
        <v>0</v>
      </c>
      <c r="R348" s="2" t="inlineStr"/>
    </row>
    <row r="349" ht="15" customHeight="1">
      <c r="A349" t="inlineStr">
        <is>
          <t>A 25027-2022</t>
        </is>
      </c>
      <c r="B349" s="1" t="n">
        <v>44728.94392361111</v>
      </c>
      <c r="C349" s="1" t="n">
        <v>46004</v>
      </c>
      <c r="D349" t="inlineStr">
        <is>
          <t>JÄMTLANDS LÄN</t>
        </is>
      </c>
      <c r="E349" t="inlineStr">
        <is>
          <t>RAGUNDA</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46004</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57194-2021</t>
        </is>
      </c>
      <c r="B351" s="1" t="n">
        <v>44482.92271990741</v>
      </c>
      <c r="C351" s="1" t="n">
        <v>46004</v>
      </c>
      <c r="D351" t="inlineStr">
        <is>
          <t>JÄMTLANDS LÄN</t>
        </is>
      </c>
      <c r="E351" t="inlineStr">
        <is>
          <t>RAGUNDA</t>
        </is>
      </c>
      <c r="G351" t="n">
        <v>7.3</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46004</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35749-2022</t>
        </is>
      </c>
      <c r="B353" s="1" t="n">
        <v>44799.94394675926</v>
      </c>
      <c r="C353" s="1" t="n">
        <v>46004</v>
      </c>
      <c r="D353" t="inlineStr">
        <is>
          <t>JÄMTLANDS LÄN</t>
        </is>
      </c>
      <c r="E353" t="inlineStr">
        <is>
          <t>RAGUNDA</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1858-2022</t>
        </is>
      </c>
      <c r="B354" s="1" t="n">
        <v>44574</v>
      </c>
      <c r="C354" s="1" t="n">
        <v>46004</v>
      </c>
      <c r="D354" t="inlineStr">
        <is>
          <t>JÄMTLANDS LÄN</t>
        </is>
      </c>
      <c r="E354" t="inlineStr">
        <is>
          <t>RAGUNDA</t>
        </is>
      </c>
      <c r="G354" t="n">
        <v>5.7</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46004</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46004</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18341-2022</t>
        </is>
      </c>
      <c r="B357" s="1" t="n">
        <v>44685</v>
      </c>
      <c r="C357" s="1" t="n">
        <v>46004</v>
      </c>
      <c r="D357" t="inlineStr">
        <is>
          <t>JÄMTLANDS LÄN</t>
        </is>
      </c>
      <c r="E357" t="inlineStr">
        <is>
          <t>RAGUNDA</t>
        </is>
      </c>
      <c r="G357" t="n">
        <v>0.2</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46004</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46004</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32288-2022</t>
        </is>
      </c>
      <c r="B360" s="1" t="n">
        <v>44781</v>
      </c>
      <c r="C360" s="1" t="n">
        <v>46004</v>
      </c>
      <c r="D360" t="inlineStr">
        <is>
          <t>JÄMTLANDS LÄN</t>
        </is>
      </c>
      <c r="E360" t="inlineStr">
        <is>
          <t>RAGUNDA</t>
        </is>
      </c>
      <c r="G360" t="n">
        <v>0.8</v>
      </c>
      <c r="H360" t="n">
        <v>0</v>
      </c>
      <c r="I360" t="n">
        <v>0</v>
      </c>
      <c r="J360" t="n">
        <v>0</v>
      </c>
      <c r="K360" t="n">
        <v>0</v>
      </c>
      <c r="L360" t="n">
        <v>0</v>
      </c>
      <c r="M360" t="n">
        <v>0</v>
      </c>
      <c r="N360" t="n">
        <v>0</v>
      </c>
      <c r="O360" t="n">
        <v>0</v>
      </c>
      <c r="P360" t="n">
        <v>0</v>
      </c>
      <c r="Q360" t="n">
        <v>0</v>
      </c>
      <c r="R360" s="2" t="inlineStr"/>
    </row>
    <row r="361" ht="15" customHeight="1">
      <c r="A361" t="inlineStr">
        <is>
          <t>A 47803-2022</t>
        </is>
      </c>
      <c r="B361" s="1" t="n">
        <v>44854.95390046296</v>
      </c>
      <c r="C361" s="1" t="n">
        <v>46004</v>
      </c>
      <c r="D361" t="inlineStr">
        <is>
          <t>JÄMTLANDS LÄN</t>
        </is>
      </c>
      <c r="E361" t="inlineStr">
        <is>
          <t>RAGUNDA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42652-2022</t>
        </is>
      </c>
      <c r="B362" s="1" t="n">
        <v>44831.94846064815</v>
      </c>
      <c r="C362" s="1" t="n">
        <v>46004</v>
      </c>
      <c r="D362" t="inlineStr">
        <is>
          <t>JÄMTLANDS LÄN</t>
        </is>
      </c>
      <c r="E362" t="inlineStr">
        <is>
          <t>RAGUNDA</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42653-2022</t>
        </is>
      </c>
      <c r="B363" s="1" t="n">
        <v>44831.9485300926</v>
      </c>
      <c r="C363" s="1" t="n">
        <v>46004</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46004</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32986-2022</t>
        </is>
      </c>
      <c r="B365" s="1" t="n">
        <v>44784.94157407407</v>
      </c>
      <c r="C365" s="1" t="n">
        <v>46004</v>
      </c>
      <c r="D365" t="inlineStr">
        <is>
          <t>JÄMTLANDS LÄN</t>
        </is>
      </c>
      <c r="E365" t="inlineStr">
        <is>
          <t>RAGUNDA</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2336-2022</t>
        </is>
      </c>
      <c r="B366" s="1" t="n">
        <v>44578.92284722222</v>
      </c>
      <c r="C366" s="1" t="n">
        <v>46004</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36941-2022</t>
        </is>
      </c>
      <c r="B367" s="1" t="n">
        <v>44805</v>
      </c>
      <c r="C367" s="1" t="n">
        <v>46004</v>
      </c>
      <c r="D367" t="inlineStr">
        <is>
          <t>JÄMTLANDS LÄN</t>
        </is>
      </c>
      <c r="E367" t="inlineStr">
        <is>
          <t>RAGUNDA</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20548-2021</t>
        </is>
      </c>
      <c r="B368" s="1" t="n">
        <v>44315</v>
      </c>
      <c r="C368" s="1" t="n">
        <v>46004</v>
      </c>
      <c r="D368" t="inlineStr">
        <is>
          <t>JÄMTLANDS LÄN</t>
        </is>
      </c>
      <c r="E368" t="inlineStr">
        <is>
          <t>RAGUNDA</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49530-2022</t>
        </is>
      </c>
      <c r="B369" s="1" t="n">
        <v>44861</v>
      </c>
      <c r="C369" s="1" t="n">
        <v>46004</v>
      </c>
      <c r="D369" t="inlineStr">
        <is>
          <t>JÄMTLANDS LÄN</t>
        </is>
      </c>
      <c r="E369" t="inlineStr">
        <is>
          <t>RAGUNDA</t>
        </is>
      </c>
      <c r="F369" t="inlineStr">
        <is>
          <t>SCA</t>
        </is>
      </c>
      <c r="G369" t="n">
        <v>13.4</v>
      </c>
      <c r="H369" t="n">
        <v>0</v>
      </c>
      <c r="I369" t="n">
        <v>0</v>
      </c>
      <c r="J369" t="n">
        <v>0</v>
      </c>
      <c r="K369" t="n">
        <v>0</v>
      </c>
      <c r="L369" t="n">
        <v>0</v>
      </c>
      <c r="M369" t="n">
        <v>0</v>
      </c>
      <c r="N369" t="n">
        <v>0</v>
      </c>
      <c r="O369" t="n">
        <v>0</v>
      </c>
      <c r="P369" t="n">
        <v>0</v>
      </c>
      <c r="Q369" t="n">
        <v>0</v>
      </c>
      <c r="R369" s="2" t="inlineStr"/>
    </row>
    <row r="370" ht="15" customHeight="1">
      <c r="A370" t="inlineStr">
        <is>
          <t>A 42882-2022</t>
        </is>
      </c>
      <c r="B370" s="1" t="n">
        <v>44832.95300925926</v>
      </c>
      <c r="C370" s="1" t="n">
        <v>46004</v>
      </c>
      <c r="D370" t="inlineStr">
        <is>
          <t>JÄMTLANDS LÄN</t>
        </is>
      </c>
      <c r="E370" t="inlineStr">
        <is>
          <t>RAGUNDA</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42267-2022</t>
        </is>
      </c>
      <c r="B371" s="1" t="n">
        <v>44830</v>
      </c>
      <c r="C371" s="1" t="n">
        <v>46004</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31972-2022</t>
        </is>
      </c>
      <c r="B372" s="1" t="n">
        <v>44777.95504629629</v>
      </c>
      <c r="C372" s="1" t="n">
        <v>46004</v>
      </c>
      <c r="D372" t="inlineStr">
        <is>
          <t>JÄMTLANDS LÄN</t>
        </is>
      </c>
      <c r="E372" t="inlineStr">
        <is>
          <t>RAGUNDA</t>
        </is>
      </c>
      <c r="F372" t="inlineStr">
        <is>
          <t>Naturvårdsverket</t>
        </is>
      </c>
      <c r="G372" t="n">
        <v>0.8</v>
      </c>
      <c r="H372" t="n">
        <v>0</v>
      </c>
      <c r="I372" t="n">
        <v>0</v>
      </c>
      <c r="J372" t="n">
        <v>0</v>
      </c>
      <c r="K372" t="n">
        <v>0</v>
      </c>
      <c r="L372" t="n">
        <v>0</v>
      </c>
      <c r="M372" t="n">
        <v>0</v>
      </c>
      <c r="N372" t="n">
        <v>0</v>
      </c>
      <c r="O372" t="n">
        <v>0</v>
      </c>
      <c r="P372" t="n">
        <v>0</v>
      </c>
      <c r="Q372" t="n">
        <v>0</v>
      </c>
      <c r="R372" s="2" t="inlineStr"/>
    </row>
    <row r="373" ht="15" customHeight="1">
      <c r="A373" t="inlineStr">
        <is>
          <t>A 48086-2022</t>
        </is>
      </c>
      <c r="B373" s="1" t="n">
        <v>44855.9471875</v>
      </c>
      <c r="C373" s="1" t="n">
        <v>46004</v>
      </c>
      <c r="D373" t="inlineStr">
        <is>
          <t>JÄMTLANDS LÄN</t>
        </is>
      </c>
      <c r="E373" t="inlineStr">
        <is>
          <t>RAGUNDA</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46004</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46004</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47568-2022</t>
        </is>
      </c>
      <c r="B376" s="1" t="n">
        <v>44853.9499537037</v>
      </c>
      <c r="C376" s="1" t="n">
        <v>46004</v>
      </c>
      <c r="D376" t="inlineStr">
        <is>
          <t>JÄMTLANDS LÄN</t>
        </is>
      </c>
      <c r="E376" t="inlineStr">
        <is>
          <t>RAGUNDA</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33279-2022</t>
        </is>
      </c>
      <c r="B377" s="1" t="n">
        <v>44788</v>
      </c>
      <c r="C377" s="1" t="n">
        <v>46004</v>
      </c>
      <c r="D377" t="inlineStr">
        <is>
          <t>JÄMTLANDS LÄN</t>
        </is>
      </c>
      <c r="E377" t="inlineStr">
        <is>
          <t>RAGUNDA</t>
        </is>
      </c>
      <c r="G377" t="n">
        <v>17</v>
      </c>
      <c r="H377" t="n">
        <v>0</v>
      </c>
      <c r="I377" t="n">
        <v>0</v>
      </c>
      <c r="J377" t="n">
        <v>0</v>
      </c>
      <c r="K377" t="n">
        <v>0</v>
      </c>
      <c r="L377" t="n">
        <v>0</v>
      </c>
      <c r="M377" t="n">
        <v>0</v>
      </c>
      <c r="N377" t="n">
        <v>0</v>
      </c>
      <c r="O377" t="n">
        <v>0</v>
      </c>
      <c r="P377" t="n">
        <v>0</v>
      </c>
      <c r="Q377" t="n">
        <v>0</v>
      </c>
      <c r="R377" s="2" t="inlineStr"/>
    </row>
    <row r="378" ht="15" customHeight="1">
      <c r="A378" t="inlineStr">
        <is>
          <t>A 47567-2022</t>
        </is>
      </c>
      <c r="B378" s="1" t="n">
        <v>44853</v>
      </c>
      <c r="C378" s="1" t="n">
        <v>46004</v>
      </c>
      <c r="D378" t="inlineStr">
        <is>
          <t>JÄMTLANDS LÄN</t>
        </is>
      </c>
      <c r="E378" t="inlineStr">
        <is>
          <t>RAGUNDA</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46004</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46004</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46004</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46004</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26948-2021</t>
        </is>
      </c>
      <c r="B383" s="1" t="n">
        <v>44349.92013888889</v>
      </c>
      <c r="C383" s="1" t="n">
        <v>46004</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46004</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39698-2022</t>
        </is>
      </c>
      <c r="B385" s="1" t="n">
        <v>44818</v>
      </c>
      <c r="C385" s="1" t="n">
        <v>46004</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43147-2022</t>
        </is>
      </c>
      <c r="B386" s="1" t="n">
        <v>44833.9519212963</v>
      </c>
      <c r="C386" s="1" t="n">
        <v>46004</v>
      </c>
      <c r="D386" t="inlineStr">
        <is>
          <t>JÄMTLANDS LÄN</t>
        </is>
      </c>
      <c r="E386" t="inlineStr">
        <is>
          <t>RAGUNDA</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46004</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46004</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10120-2022</t>
        </is>
      </c>
      <c r="B389" s="1" t="n">
        <v>44621</v>
      </c>
      <c r="C389" s="1" t="n">
        <v>46004</v>
      </c>
      <c r="D389" t="inlineStr">
        <is>
          <t>JÄMTLANDS LÄN</t>
        </is>
      </c>
      <c r="E389" t="inlineStr">
        <is>
          <t>RAGUNDA</t>
        </is>
      </c>
      <c r="G389" t="n">
        <v>0.4</v>
      </c>
      <c r="H389" t="n">
        <v>0</v>
      </c>
      <c r="I389" t="n">
        <v>0</v>
      </c>
      <c r="J389" t="n">
        <v>0</v>
      </c>
      <c r="K389" t="n">
        <v>0</v>
      </c>
      <c r="L389" t="n">
        <v>0</v>
      </c>
      <c r="M389" t="n">
        <v>0</v>
      </c>
      <c r="N389" t="n">
        <v>0</v>
      </c>
      <c r="O389" t="n">
        <v>0</v>
      </c>
      <c r="P389" t="n">
        <v>0</v>
      </c>
      <c r="Q389" t="n">
        <v>0</v>
      </c>
      <c r="R389" s="2" t="inlineStr"/>
    </row>
    <row r="390" ht="15" customHeight="1">
      <c r="A390" t="inlineStr">
        <is>
          <t>A 13964-2022</t>
        </is>
      </c>
      <c r="B390" s="1" t="n">
        <v>44650</v>
      </c>
      <c r="C390" s="1" t="n">
        <v>46004</v>
      </c>
      <c r="D390" t="inlineStr">
        <is>
          <t>JÄMTLANDS LÄN</t>
        </is>
      </c>
      <c r="E390" t="inlineStr">
        <is>
          <t>RAGUNDA</t>
        </is>
      </c>
      <c r="G390" t="n">
        <v>2.6</v>
      </c>
      <c r="H390" t="n">
        <v>0</v>
      </c>
      <c r="I390" t="n">
        <v>0</v>
      </c>
      <c r="J390" t="n">
        <v>0</v>
      </c>
      <c r="K390" t="n">
        <v>0</v>
      </c>
      <c r="L390" t="n">
        <v>0</v>
      </c>
      <c r="M390" t="n">
        <v>0</v>
      </c>
      <c r="N390" t="n">
        <v>0</v>
      </c>
      <c r="O390" t="n">
        <v>0</v>
      </c>
      <c r="P390" t="n">
        <v>0</v>
      </c>
      <c r="Q390" t="n">
        <v>0</v>
      </c>
      <c r="R390" s="2" t="inlineStr"/>
    </row>
    <row r="391" ht="15" customHeight="1">
      <c r="A391" t="inlineStr">
        <is>
          <t>A 65017-2021</t>
        </is>
      </c>
      <c r="B391" s="1" t="n">
        <v>44512</v>
      </c>
      <c r="C391" s="1" t="n">
        <v>46004</v>
      </c>
      <c r="D391" t="inlineStr">
        <is>
          <t>JÄMTLANDS LÄN</t>
        </is>
      </c>
      <c r="E391" t="inlineStr">
        <is>
          <t>RAGUNDA</t>
        </is>
      </c>
      <c r="G391" t="n">
        <v>2.3</v>
      </c>
      <c r="H391" t="n">
        <v>0</v>
      </c>
      <c r="I391" t="n">
        <v>0</v>
      </c>
      <c r="J391" t="n">
        <v>0</v>
      </c>
      <c r="K391" t="n">
        <v>0</v>
      </c>
      <c r="L391" t="n">
        <v>0</v>
      </c>
      <c r="M391" t="n">
        <v>0</v>
      </c>
      <c r="N391" t="n">
        <v>0</v>
      </c>
      <c r="O391" t="n">
        <v>0</v>
      </c>
      <c r="P391" t="n">
        <v>0</v>
      </c>
      <c r="Q391" t="n">
        <v>0</v>
      </c>
      <c r="R391" s="2" t="inlineStr"/>
    </row>
    <row r="392" ht="15" customHeight="1">
      <c r="A392" t="inlineStr">
        <is>
          <t>A 16460-2022</t>
        </is>
      </c>
      <c r="B392" s="1" t="n">
        <v>44671</v>
      </c>
      <c r="C392" s="1" t="n">
        <v>46004</v>
      </c>
      <c r="D392" t="inlineStr">
        <is>
          <t>JÄMTLANDS LÄN</t>
        </is>
      </c>
      <c r="E392" t="inlineStr">
        <is>
          <t>RAGUNDA</t>
        </is>
      </c>
      <c r="G392" t="n">
        <v>1.7</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46004</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46004</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46004</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4882-2023</t>
        </is>
      </c>
      <c r="B396" s="1" t="n">
        <v>44957.94075231482</v>
      </c>
      <c r="C396" s="1" t="n">
        <v>46004</v>
      </c>
      <c r="D396" t="inlineStr">
        <is>
          <t>JÄMTLANDS LÄN</t>
        </is>
      </c>
      <c r="E396" t="inlineStr">
        <is>
          <t>RAGUNDA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46004</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15554-2025</t>
        </is>
      </c>
      <c r="B398" s="1" t="n">
        <v>45747.67739583334</v>
      </c>
      <c r="C398" s="1" t="n">
        <v>46004</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65216-2023</t>
        </is>
      </c>
      <c r="B399" s="1" t="n">
        <v>45289</v>
      </c>
      <c r="C399" s="1" t="n">
        <v>46004</v>
      </c>
      <c r="D399" t="inlineStr">
        <is>
          <t>JÄMTLANDS LÄN</t>
        </is>
      </c>
      <c r="E399" t="inlineStr">
        <is>
          <t>RAGUNDA</t>
        </is>
      </c>
      <c r="G399" t="n">
        <v>2.9</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46004</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52148-2024</t>
        </is>
      </c>
      <c r="B401" s="1" t="n">
        <v>45608.52354166667</v>
      </c>
      <c r="C401" s="1" t="n">
        <v>46004</v>
      </c>
      <c r="D401" t="inlineStr">
        <is>
          <t>JÄMTLANDS LÄN</t>
        </is>
      </c>
      <c r="E401" t="inlineStr">
        <is>
          <t>RAGUNDA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18159-2023</t>
        </is>
      </c>
      <c r="B402" s="1" t="n">
        <v>45040.94277777777</v>
      </c>
      <c r="C402" s="1" t="n">
        <v>46004</v>
      </c>
      <c r="D402" t="inlineStr">
        <is>
          <t>JÄMTLANDS LÄN</t>
        </is>
      </c>
      <c r="E402" t="inlineStr">
        <is>
          <t>RAGUNDA</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56193-2022</t>
        </is>
      </c>
      <c r="B403" s="1" t="n">
        <v>44889</v>
      </c>
      <c r="C403" s="1" t="n">
        <v>46004</v>
      </c>
      <c r="D403" t="inlineStr">
        <is>
          <t>JÄMTLANDS LÄN</t>
        </is>
      </c>
      <c r="E403" t="inlineStr">
        <is>
          <t>RAGUNDA</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19486-2024</t>
        </is>
      </c>
      <c r="B404" s="1" t="n">
        <v>45429</v>
      </c>
      <c r="C404" s="1" t="n">
        <v>46004</v>
      </c>
      <c r="D404" t="inlineStr">
        <is>
          <t>JÄMTLANDS LÄN</t>
        </is>
      </c>
      <c r="E404" t="inlineStr">
        <is>
          <t>RAGUNDA</t>
        </is>
      </c>
      <c r="G404" t="n">
        <v>2.3</v>
      </c>
      <c r="H404" t="n">
        <v>0</v>
      </c>
      <c r="I404" t="n">
        <v>0</v>
      </c>
      <c r="J404" t="n">
        <v>0</v>
      </c>
      <c r="K404" t="n">
        <v>0</v>
      </c>
      <c r="L404" t="n">
        <v>0</v>
      </c>
      <c r="M404" t="n">
        <v>0</v>
      </c>
      <c r="N404" t="n">
        <v>0</v>
      </c>
      <c r="O404" t="n">
        <v>0</v>
      </c>
      <c r="P404" t="n">
        <v>0</v>
      </c>
      <c r="Q404" t="n">
        <v>0</v>
      </c>
      <c r="R404" s="2" t="inlineStr"/>
    </row>
    <row r="405" ht="15" customHeight="1">
      <c r="A405" t="inlineStr">
        <is>
          <t>A 1326-2025</t>
        </is>
      </c>
      <c r="B405" s="1" t="n">
        <v>45667.57347222222</v>
      </c>
      <c r="C405" s="1" t="n">
        <v>46004</v>
      </c>
      <c r="D405" t="inlineStr">
        <is>
          <t>JÄMTLANDS LÄN</t>
        </is>
      </c>
      <c r="E405" t="inlineStr">
        <is>
          <t>RAGUNDA</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5515-2022</t>
        </is>
      </c>
      <c r="B406" s="1" t="n">
        <v>44595</v>
      </c>
      <c r="C406" s="1" t="n">
        <v>46004</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30642-2024</t>
        </is>
      </c>
      <c r="B407" s="1" t="n">
        <v>45495.57677083334</v>
      </c>
      <c r="C407" s="1" t="n">
        <v>46004</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993-2025</t>
        </is>
      </c>
      <c r="B408" s="1" t="n">
        <v>45666.44943287037</v>
      </c>
      <c r="C408" s="1" t="n">
        <v>46004</v>
      </c>
      <c r="D408" t="inlineStr">
        <is>
          <t>JÄMTLANDS LÄN</t>
        </is>
      </c>
      <c r="E408" t="inlineStr">
        <is>
          <t>RAGUNDA</t>
        </is>
      </c>
      <c r="G408" t="n">
        <v>11.3</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46004</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46004</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58193-2022</t>
        </is>
      </c>
      <c r="B411" s="1" t="n">
        <v>44900.95700231481</v>
      </c>
      <c r="C411" s="1" t="n">
        <v>46004</v>
      </c>
      <c r="D411" t="inlineStr">
        <is>
          <t>JÄMTLANDS LÄN</t>
        </is>
      </c>
      <c r="E411" t="inlineStr">
        <is>
          <t>RAGUNDA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13276-2025</t>
        </is>
      </c>
      <c r="B412" s="1" t="n">
        <v>45735.5517824074</v>
      </c>
      <c r="C412" s="1" t="n">
        <v>46004</v>
      </c>
      <c r="D412" t="inlineStr">
        <is>
          <t>JÄMTLANDS LÄN</t>
        </is>
      </c>
      <c r="E412" t="inlineStr">
        <is>
          <t>RAGUNDA</t>
        </is>
      </c>
      <c r="G412" t="n">
        <v>16.6</v>
      </c>
      <c r="H412" t="n">
        <v>0</v>
      </c>
      <c r="I412" t="n">
        <v>0</v>
      </c>
      <c r="J412" t="n">
        <v>0</v>
      </c>
      <c r="K412" t="n">
        <v>0</v>
      </c>
      <c r="L412" t="n">
        <v>0</v>
      </c>
      <c r="M412" t="n">
        <v>0</v>
      </c>
      <c r="N412" t="n">
        <v>0</v>
      </c>
      <c r="O412" t="n">
        <v>0</v>
      </c>
      <c r="P412" t="n">
        <v>0</v>
      </c>
      <c r="Q412" t="n">
        <v>0</v>
      </c>
      <c r="R412" s="2" t="inlineStr"/>
    </row>
    <row r="413" ht="15" customHeight="1">
      <c r="A413" t="inlineStr">
        <is>
          <t>A 21193-2022</t>
        </is>
      </c>
      <c r="B413" s="1" t="n">
        <v>44704.94217592593</v>
      </c>
      <c r="C413" s="1" t="n">
        <v>46004</v>
      </c>
      <c r="D413" t="inlineStr">
        <is>
          <t>JÄMTLANDS LÄN</t>
        </is>
      </c>
      <c r="E413" t="inlineStr">
        <is>
          <t>RAGUNDA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28081-2022</t>
        </is>
      </c>
      <c r="B414" s="1" t="n">
        <v>44746</v>
      </c>
      <c r="C414" s="1" t="n">
        <v>46004</v>
      </c>
      <c r="D414" t="inlineStr">
        <is>
          <t>JÄMTLANDS LÄN</t>
        </is>
      </c>
      <c r="E414" t="inlineStr">
        <is>
          <t>RAGUNDA</t>
        </is>
      </c>
      <c r="G414" t="n">
        <v>7.2</v>
      </c>
      <c r="H414" t="n">
        <v>0</v>
      </c>
      <c r="I414" t="n">
        <v>0</v>
      </c>
      <c r="J414" t="n">
        <v>0</v>
      </c>
      <c r="K414" t="n">
        <v>0</v>
      </c>
      <c r="L414" t="n">
        <v>0</v>
      </c>
      <c r="M414" t="n">
        <v>0</v>
      </c>
      <c r="N414" t="n">
        <v>0</v>
      </c>
      <c r="O414" t="n">
        <v>0</v>
      </c>
      <c r="P414" t="n">
        <v>0</v>
      </c>
      <c r="Q414" t="n">
        <v>0</v>
      </c>
      <c r="R414" s="2" t="inlineStr"/>
    </row>
    <row r="415" ht="15" customHeight="1">
      <c r="A415" t="inlineStr">
        <is>
          <t>A 45335-2023</t>
        </is>
      </c>
      <c r="B415" s="1" t="n">
        <v>45191</v>
      </c>
      <c r="C415" s="1" t="n">
        <v>46004</v>
      </c>
      <c r="D415" t="inlineStr">
        <is>
          <t>JÄMTLANDS LÄN</t>
        </is>
      </c>
      <c r="E415" t="inlineStr">
        <is>
          <t>RAGUNDA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55487-2023</t>
        </is>
      </c>
      <c r="B416" s="1" t="n">
        <v>45238</v>
      </c>
      <c r="C416" s="1" t="n">
        <v>46004</v>
      </c>
      <c r="D416" t="inlineStr">
        <is>
          <t>JÄMTLANDS LÄN</t>
        </is>
      </c>
      <c r="E416" t="inlineStr">
        <is>
          <t>RAGUNDA</t>
        </is>
      </c>
      <c r="G416" t="n">
        <v>3</v>
      </c>
      <c r="H416" t="n">
        <v>0</v>
      </c>
      <c r="I416" t="n">
        <v>0</v>
      </c>
      <c r="J416" t="n">
        <v>0</v>
      </c>
      <c r="K416" t="n">
        <v>0</v>
      </c>
      <c r="L416" t="n">
        <v>0</v>
      </c>
      <c r="M416" t="n">
        <v>0</v>
      </c>
      <c r="N416" t="n">
        <v>0</v>
      </c>
      <c r="O416" t="n">
        <v>0</v>
      </c>
      <c r="P416" t="n">
        <v>0</v>
      </c>
      <c r="Q416" t="n">
        <v>0</v>
      </c>
      <c r="R416" s="2" t="inlineStr"/>
    </row>
    <row r="417" ht="15" customHeight="1">
      <c r="A417" t="inlineStr">
        <is>
          <t>A 18454-2021</t>
        </is>
      </c>
      <c r="B417" s="1" t="n">
        <v>44305.92047453704</v>
      </c>
      <c r="C417" s="1" t="n">
        <v>46004</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24197-2024</t>
        </is>
      </c>
      <c r="B418" s="1" t="n">
        <v>45456.96601851852</v>
      </c>
      <c r="C418" s="1" t="n">
        <v>46004</v>
      </c>
      <c r="D418" t="inlineStr">
        <is>
          <t>JÄMTLANDS LÄN</t>
        </is>
      </c>
      <c r="E418" t="inlineStr">
        <is>
          <t>RAGUNDA</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51049-2024</t>
        </is>
      </c>
      <c r="B419" s="1" t="n">
        <v>45603.44644675926</v>
      </c>
      <c r="C419" s="1" t="n">
        <v>46004</v>
      </c>
      <c r="D419" t="inlineStr">
        <is>
          <t>JÄMTLANDS LÄN</t>
        </is>
      </c>
      <c r="E419" t="inlineStr">
        <is>
          <t>RAGUNDA</t>
        </is>
      </c>
      <c r="F419" t="inlineStr">
        <is>
          <t>SCA</t>
        </is>
      </c>
      <c r="G419" t="n">
        <v>6.9</v>
      </c>
      <c r="H419" t="n">
        <v>0</v>
      </c>
      <c r="I419" t="n">
        <v>0</v>
      </c>
      <c r="J419" t="n">
        <v>0</v>
      </c>
      <c r="K419" t="n">
        <v>0</v>
      </c>
      <c r="L419" t="n">
        <v>0</v>
      </c>
      <c r="M419" t="n">
        <v>0</v>
      </c>
      <c r="N419" t="n">
        <v>0</v>
      </c>
      <c r="O419" t="n">
        <v>0</v>
      </c>
      <c r="P419" t="n">
        <v>0</v>
      </c>
      <c r="Q419" t="n">
        <v>0</v>
      </c>
      <c r="R419" s="2" t="inlineStr"/>
    </row>
    <row r="420" ht="15" customHeight="1">
      <c r="A420" t="inlineStr">
        <is>
          <t>A 44759-2024</t>
        </is>
      </c>
      <c r="B420" s="1" t="n">
        <v>45574.61634259259</v>
      </c>
      <c r="C420" s="1" t="n">
        <v>46004</v>
      </c>
      <c r="D420" t="inlineStr">
        <is>
          <t>JÄMTLANDS LÄN</t>
        </is>
      </c>
      <c r="E420" t="inlineStr">
        <is>
          <t>RAGUNDA</t>
        </is>
      </c>
      <c r="G420" t="n">
        <v>1.9</v>
      </c>
      <c r="H420" t="n">
        <v>0</v>
      </c>
      <c r="I420" t="n">
        <v>0</v>
      </c>
      <c r="J420" t="n">
        <v>0</v>
      </c>
      <c r="K420" t="n">
        <v>0</v>
      </c>
      <c r="L420" t="n">
        <v>0</v>
      </c>
      <c r="M420" t="n">
        <v>0</v>
      </c>
      <c r="N420" t="n">
        <v>0</v>
      </c>
      <c r="O420" t="n">
        <v>0</v>
      </c>
      <c r="P420" t="n">
        <v>0</v>
      </c>
      <c r="Q420" t="n">
        <v>0</v>
      </c>
      <c r="R420" s="2" t="inlineStr"/>
    </row>
    <row r="421" ht="15" customHeight="1">
      <c r="A421" t="inlineStr">
        <is>
          <t>A 9360-2023</t>
        </is>
      </c>
      <c r="B421" s="1" t="n">
        <v>44980.93865740741</v>
      </c>
      <c r="C421" s="1" t="n">
        <v>46004</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5175-2023</t>
        </is>
      </c>
      <c r="B422" s="1" t="n">
        <v>44958.94298611111</v>
      </c>
      <c r="C422" s="1" t="n">
        <v>46004</v>
      </c>
      <c r="D422" t="inlineStr">
        <is>
          <t>JÄMTLANDS LÄN</t>
        </is>
      </c>
      <c r="E422" t="inlineStr">
        <is>
          <t>RAGUNDA</t>
        </is>
      </c>
      <c r="F422" t="inlineStr">
        <is>
          <t>SCA</t>
        </is>
      </c>
      <c r="G422" t="n">
        <v>17.9</v>
      </c>
      <c r="H422" t="n">
        <v>0</v>
      </c>
      <c r="I422" t="n">
        <v>0</v>
      </c>
      <c r="J422" t="n">
        <v>0</v>
      </c>
      <c r="K422" t="n">
        <v>0</v>
      </c>
      <c r="L422" t="n">
        <v>0</v>
      </c>
      <c r="M422" t="n">
        <v>0</v>
      </c>
      <c r="N422" t="n">
        <v>0</v>
      </c>
      <c r="O422" t="n">
        <v>0</v>
      </c>
      <c r="P422" t="n">
        <v>0</v>
      </c>
      <c r="Q422" t="n">
        <v>0</v>
      </c>
      <c r="R422" s="2" t="inlineStr"/>
    </row>
    <row r="423" ht="15" customHeight="1">
      <c r="A423" t="inlineStr">
        <is>
          <t>A 37324-2022</t>
        </is>
      </c>
      <c r="B423" s="1" t="n">
        <v>44806</v>
      </c>
      <c r="C423" s="1" t="n">
        <v>46004</v>
      </c>
      <c r="D423" t="inlineStr">
        <is>
          <t>JÄMTLANDS LÄN</t>
        </is>
      </c>
      <c r="E423" t="inlineStr">
        <is>
          <t>RAGUNDA</t>
        </is>
      </c>
      <c r="G423" t="n">
        <v>2.3</v>
      </c>
      <c r="H423" t="n">
        <v>0</v>
      </c>
      <c r="I423" t="n">
        <v>0</v>
      </c>
      <c r="J423" t="n">
        <v>0</v>
      </c>
      <c r="K423" t="n">
        <v>0</v>
      </c>
      <c r="L423" t="n">
        <v>0</v>
      </c>
      <c r="M423" t="n">
        <v>0</v>
      </c>
      <c r="N423" t="n">
        <v>0</v>
      </c>
      <c r="O423" t="n">
        <v>0</v>
      </c>
      <c r="P423" t="n">
        <v>0</v>
      </c>
      <c r="Q423" t="n">
        <v>0</v>
      </c>
      <c r="R423" s="2" t="inlineStr"/>
    </row>
    <row r="424" ht="15" customHeight="1">
      <c r="A424" t="inlineStr">
        <is>
          <t>A 14896-2022</t>
        </is>
      </c>
      <c r="B424" s="1" t="n">
        <v>44656</v>
      </c>
      <c r="C424" s="1" t="n">
        <v>46004</v>
      </c>
      <c r="D424" t="inlineStr">
        <is>
          <t>JÄMTLANDS LÄN</t>
        </is>
      </c>
      <c r="E424" t="inlineStr">
        <is>
          <t>RAGUNDA</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13767-2022</t>
        </is>
      </c>
      <c r="B425" s="1" t="n">
        <v>44649.47048611111</v>
      </c>
      <c r="C425" s="1" t="n">
        <v>46004</v>
      </c>
      <c r="D425" t="inlineStr">
        <is>
          <t>JÄMTLANDS LÄN</t>
        </is>
      </c>
      <c r="E425" t="inlineStr">
        <is>
          <t>RAGUNDA</t>
        </is>
      </c>
      <c r="F425" t="inlineStr">
        <is>
          <t>Kommuner</t>
        </is>
      </c>
      <c r="G425" t="n">
        <v>3.1</v>
      </c>
      <c r="H425" t="n">
        <v>0</v>
      </c>
      <c r="I425" t="n">
        <v>0</v>
      </c>
      <c r="J425" t="n">
        <v>0</v>
      </c>
      <c r="K425" t="n">
        <v>0</v>
      </c>
      <c r="L425" t="n">
        <v>0</v>
      </c>
      <c r="M425" t="n">
        <v>0</v>
      </c>
      <c r="N425" t="n">
        <v>0</v>
      </c>
      <c r="O425" t="n">
        <v>0</v>
      </c>
      <c r="P425" t="n">
        <v>0</v>
      </c>
      <c r="Q425" t="n">
        <v>0</v>
      </c>
      <c r="R425" s="2" t="inlineStr"/>
    </row>
    <row r="426" ht="15" customHeight="1">
      <c r="A426" t="inlineStr">
        <is>
          <t>A 21195-2022</t>
        </is>
      </c>
      <c r="B426" s="1" t="n">
        <v>44704.94229166667</v>
      </c>
      <c r="C426" s="1" t="n">
        <v>46004</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20574-2025</t>
        </is>
      </c>
      <c r="B427" s="1" t="n">
        <v>45775.67747685185</v>
      </c>
      <c r="C427" s="1" t="n">
        <v>46004</v>
      </c>
      <c r="D427" t="inlineStr">
        <is>
          <t>JÄMTLANDS LÄN</t>
        </is>
      </c>
      <c r="E427" t="inlineStr">
        <is>
          <t>RAGUNDA</t>
        </is>
      </c>
      <c r="F427" t="inlineStr">
        <is>
          <t>SCA</t>
        </is>
      </c>
      <c r="G427" t="n">
        <v>5.1</v>
      </c>
      <c r="H427" t="n">
        <v>0</v>
      </c>
      <c r="I427" t="n">
        <v>0</v>
      </c>
      <c r="J427" t="n">
        <v>0</v>
      </c>
      <c r="K427" t="n">
        <v>0</v>
      </c>
      <c r="L427" t="n">
        <v>0</v>
      </c>
      <c r="M427" t="n">
        <v>0</v>
      </c>
      <c r="N427" t="n">
        <v>0</v>
      </c>
      <c r="O427" t="n">
        <v>0</v>
      </c>
      <c r="P427" t="n">
        <v>0</v>
      </c>
      <c r="Q427" t="n">
        <v>0</v>
      </c>
      <c r="R427" s="2" t="inlineStr"/>
    </row>
    <row r="428" ht="15" customHeight="1">
      <c r="A428" t="inlineStr">
        <is>
          <t>A 41343-2024</t>
        </is>
      </c>
      <c r="B428" s="1" t="n">
        <v>45559.67745370371</v>
      </c>
      <c r="C428" s="1" t="n">
        <v>46004</v>
      </c>
      <c r="D428" t="inlineStr">
        <is>
          <t>JÄMTLANDS LÄN</t>
        </is>
      </c>
      <c r="E428" t="inlineStr">
        <is>
          <t>RAGUNDA</t>
        </is>
      </c>
      <c r="F428" t="inlineStr">
        <is>
          <t>SCA</t>
        </is>
      </c>
      <c r="G428" t="n">
        <v>25.1</v>
      </c>
      <c r="H428" t="n">
        <v>0</v>
      </c>
      <c r="I428" t="n">
        <v>0</v>
      </c>
      <c r="J428" t="n">
        <v>0</v>
      </c>
      <c r="K428" t="n">
        <v>0</v>
      </c>
      <c r="L428" t="n">
        <v>0</v>
      </c>
      <c r="M428" t="n">
        <v>0</v>
      </c>
      <c r="N428" t="n">
        <v>0</v>
      </c>
      <c r="O428" t="n">
        <v>0</v>
      </c>
      <c r="P428" t="n">
        <v>0</v>
      </c>
      <c r="Q428" t="n">
        <v>0</v>
      </c>
      <c r="R428" s="2" t="inlineStr"/>
    </row>
    <row r="429" ht="15" customHeight="1">
      <c r="A429" t="inlineStr">
        <is>
          <t>A 49531-2022</t>
        </is>
      </c>
      <c r="B429" s="1" t="n">
        <v>44861</v>
      </c>
      <c r="C429" s="1" t="n">
        <v>46004</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1308-2025</t>
        </is>
      </c>
      <c r="B430" s="1" t="n">
        <v>45667.55239583334</v>
      </c>
      <c r="C430" s="1" t="n">
        <v>46004</v>
      </c>
      <c r="D430" t="inlineStr">
        <is>
          <t>JÄMTLANDS LÄN</t>
        </is>
      </c>
      <c r="E430" t="inlineStr">
        <is>
          <t>RAGUNDA</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45953-2023</t>
        </is>
      </c>
      <c r="B431" s="1" t="n">
        <v>45195.94672453704</v>
      </c>
      <c r="C431" s="1" t="n">
        <v>46004</v>
      </c>
      <c r="D431" t="inlineStr">
        <is>
          <t>JÄMTLANDS LÄN</t>
        </is>
      </c>
      <c r="E431" t="inlineStr">
        <is>
          <t>RAGUNDA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11252-2025</t>
        </is>
      </c>
      <c r="B432" s="1" t="n">
        <v>45726.38615740741</v>
      </c>
      <c r="C432" s="1" t="n">
        <v>46004</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16982-2024</t>
        </is>
      </c>
      <c r="B433" s="1" t="n">
        <v>45412.02506944445</v>
      </c>
      <c r="C433" s="1" t="n">
        <v>46004</v>
      </c>
      <c r="D433" t="inlineStr">
        <is>
          <t>JÄMTLANDS LÄN</t>
        </is>
      </c>
      <c r="E433" t="inlineStr">
        <is>
          <t>RAGUNDA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22569-2023</t>
        </is>
      </c>
      <c r="B434" s="1" t="n">
        <v>45069</v>
      </c>
      <c r="C434" s="1" t="n">
        <v>46004</v>
      </c>
      <c r="D434" t="inlineStr">
        <is>
          <t>JÄMTLANDS LÄN</t>
        </is>
      </c>
      <c r="E434" t="inlineStr">
        <is>
          <t>RAGUNDA</t>
        </is>
      </c>
      <c r="G434" t="n">
        <v>6.6</v>
      </c>
      <c r="H434" t="n">
        <v>0</v>
      </c>
      <c r="I434" t="n">
        <v>0</v>
      </c>
      <c r="J434" t="n">
        <v>0</v>
      </c>
      <c r="K434" t="n">
        <v>0</v>
      </c>
      <c r="L434" t="n">
        <v>0</v>
      </c>
      <c r="M434" t="n">
        <v>0</v>
      </c>
      <c r="N434" t="n">
        <v>0</v>
      </c>
      <c r="O434" t="n">
        <v>0</v>
      </c>
      <c r="P434" t="n">
        <v>0</v>
      </c>
      <c r="Q434" t="n">
        <v>0</v>
      </c>
      <c r="R434" s="2" t="inlineStr"/>
    </row>
    <row r="435" ht="15" customHeight="1">
      <c r="A435" t="inlineStr">
        <is>
          <t>A 58537-2022</t>
        </is>
      </c>
      <c r="B435" s="1" t="n">
        <v>44894</v>
      </c>
      <c r="C435" s="1" t="n">
        <v>46004</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49650-2024</t>
        </is>
      </c>
      <c r="B436" s="1" t="n">
        <v>45596.61569444444</v>
      </c>
      <c r="C436" s="1" t="n">
        <v>46004</v>
      </c>
      <c r="D436" t="inlineStr">
        <is>
          <t>JÄMTLANDS LÄN</t>
        </is>
      </c>
      <c r="E436" t="inlineStr">
        <is>
          <t>RAGUNDA</t>
        </is>
      </c>
      <c r="F436" t="inlineStr">
        <is>
          <t>Naturvårdsverket</t>
        </is>
      </c>
      <c r="G436" t="n">
        <v>3</v>
      </c>
      <c r="H436" t="n">
        <v>0</v>
      </c>
      <c r="I436" t="n">
        <v>0</v>
      </c>
      <c r="J436" t="n">
        <v>0</v>
      </c>
      <c r="K436" t="n">
        <v>0</v>
      </c>
      <c r="L436" t="n">
        <v>0</v>
      </c>
      <c r="M436" t="n">
        <v>0</v>
      </c>
      <c r="N436" t="n">
        <v>0</v>
      </c>
      <c r="O436" t="n">
        <v>0</v>
      </c>
      <c r="P436" t="n">
        <v>0</v>
      </c>
      <c r="Q436" t="n">
        <v>0</v>
      </c>
      <c r="R436" s="2" t="inlineStr"/>
    </row>
    <row r="437" ht="15" customHeight="1">
      <c r="A437" t="inlineStr">
        <is>
          <t>A 49651-2024</t>
        </is>
      </c>
      <c r="B437" s="1" t="n">
        <v>45596.61582175926</v>
      </c>
      <c r="C437" s="1" t="n">
        <v>46004</v>
      </c>
      <c r="D437" t="inlineStr">
        <is>
          <t>JÄMTLANDS LÄN</t>
        </is>
      </c>
      <c r="E437" t="inlineStr">
        <is>
          <t>RAGUNDA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35153-2024</t>
        </is>
      </c>
      <c r="B438" s="1" t="n">
        <v>45530</v>
      </c>
      <c r="C438" s="1" t="n">
        <v>46004</v>
      </c>
      <c r="D438" t="inlineStr">
        <is>
          <t>JÄMTLANDS LÄN</t>
        </is>
      </c>
      <c r="E438" t="inlineStr">
        <is>
          <t>RAGUNDA</t>
        </is>
      </c>
      <c r="G438" t="n">
        <v>2.7</v>
      </c>
      <c r="H438" t="n">
        <v>0</v>
      </c>
      <c r="I438" t="n">
        <v>0</v>
      </c>
      <c r="J438" t="n">
        <v>0</v>
      </c>
      <c r="K438" t="n">
        <v>0</v>
      </c>
      <c r="L438" t="n">
        <v>0</v>
      </c>
      <c r="M438" t="n">
        <v>0</v>
      </c>
      <c r="N438" t="n">
        <v>0</v>
      </c>
      <c r="O438" t="n">
        <v>0</v>
      </c>
      <c r="P438" t="n">
        <v>0</v>
      </c>
      <c r="Q438" t="n">
        <v>0</v>
      </c>
      <c r="R438" s="2" t="inlineStr"/>
    </row>
    <row r="439" ht="15" customHeight="1">
      <c r="A439" t="inlineStr">
        <is>
          <t>A 11048-2023</t>
        </is>
      </c>
      <c r="B439" s="1" t="n">
        <v>44991</v>
      </c>
      <c r="C439" s="1" t="n">
        <v>46004</v>
      </c>
      <c r="D439" t="inlineStr">
        <is>
          <t>JÄMTLANDS LÄN</t>
        </is>
      </c>
      <c r="E439" t="inlineStr">
        <is>
          <t>RAGUNDA</t>
        </is>
      </c>
      <c r="F439" t="inlineStr">
        <is>
          <t>SCA</t>
        </is>
      </c>
      <c r="G439" t="n">
        <v>13.5</v>
      </c>
      <c r="H439" t="n">
        <v>0</v>
      </c>
      <c r="I439" t="n">
        <v>0</v>
      </c>
      <c r="J439" t="n">
        <v>0</v>
      </c>
      <c r="K439" t="n">
        <v>0</v>
      </c>
      <c r="L439" t="n">
        <v>0</v>
      </c>
      <c r="M439" t="n">
        <v>0</v>
      </c>
      <c r="N439" t="n">
        <v>0</v>
      </c>
      <c r="O439" t="n">
        <v>0</v>
      </c>
      <c r="P439" t="n">
        <v>0</v>
      </c>
      <c r="Q439" t="n">
        <v>0</v>
      </c>
      <c r="R439" s="2" t="inlineStr"/>
    </row>
    <row r="440" ht="15" customHeight="1">
      <c r="A440" t="inlineStr">
        <is>
          <t>A 11062-2023</t>
        </is>
      </c>
      <c r="B440" s="1" t="n">
        <v>44991</v>
      </c>
      <c r="C440" s="1" t="n">
        <v>46004</v>
      </c>
      <c r="D440" t="inlineStr">
        <is>
          <t>JÄMTLANDS LÄN</t>
        </is>
      </c>
      <c r="E440" t="inlineStr">
        <is>
          <t>RAGUNDA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36246-2024</t>
        </is>
      </c>
      <c r="B441" s="1" t="n">
        <v>45534</v>
      </c>
      <c r="C441" s="1" t="n">
        <v>46004</v>
      </c>
      <c r="D441" t="inlineStr">
        <is>
          <t>JÄMTLANDS LÄN</t>
        </is>
      </c>
      <c r="E441" t="inlineStr">
        <is>
          <t>RAGUNDA</t>
        </is>
      </c>
      <c r="G441" t="n">
        <v>1.6</v>
      </c>
      <c r="H441" t="n">
        <v>0</v>
      </c>
      <c r="I441" t="n">
        <v>0</v>
      </c>
      <c r="J441" t="n">
        <v>0</v>
      </c>
      <c r="K441" t="n">
        <v>0</v>
      </c>
      <c r="L441" t="n">
        <v>0</v>
      </c>
      <c r="M441" t="n">
        <v>0</v>
      </c>
      <c r="N441" t="n">
        <v>0</v>
      </c>
      <c r="O441" t="n">
        <v>0</v>
      </c>
      <c r="P441" t="n">
        <v>0</v>
      </c>
      <c r="Q441" t="n">
        <v>0</v>
      </c>
      <c r="R441" s="2" t="inlineStr"/>
    </row>
    <row r="442" ht="15" customHeight="1">
      <c r="A442" t="inlineStr">
        <is>
          <t>A 24196-2024</t>
        </is>
      </c>
      <c r="B442" s="1" t="n">
        <v>45456.96569444444</v>
      </c>
      <c r="C442" s="1" t="n">
        <v>46004</v>
      </c>
      <c r="D442" t="inlineStr">
        <is>
          <t>JÄMTLANDS LÄN</t>
        </is>
      </c>
      <c r="E442" t="inlineStr">
        <is>
          <t>RAGUNDA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57064-2024</t>
        </is>
      </c>
      <c r="B443" s="1" t="n">
        <v>45629.35326388889</v>
      </c>
      <c r="C443" s="1" t="n">
        <v>46004</v>
      </c>
      <c r="D443" t="inlineStr">
        <is>
          <t>JÄMTLANDS LÄN</t>
        </is>
      </c>
      <c r="E443" t="inlineStr">
        <is>
          <t>RAGUNDA</t>
        </is>
      </c>
      <c r="F443" t="inlineStr">
        <is>
          <t>Naturvårdsverket</t>
        </is>
      </c>
      <c r="G443" t="n">
        <v>0.5</v>
      </c>
      <c r="H443" t="n">
        <v>0</v>
      </c>
      <c r="I443" t="n">
        <v>0</v>
      </c>
      <c r="J443" t="n">
        <v>0</v>
      </c>
      <c r="K443" t="n">
        <v>0</v>
      </c>
      <c r="L443" t="n">
        <v>0</v>
      </c>
      <c r="M443" t="n">
        <v>0</v>
      </c>
      <c r="N443" t="n">
        <v>0</v>
      </c>
      <c r="O443" t="n">
        <v>0</v>
      </c>
      <c r="P443" t="n">
        <v>0</v>
      </c>
      <c r="Q443" t="n">
        <v>0</v>
      </c>
      <c r="R443" s="2" t="inlineStr"/>
    </row>
    <row r="444" ht="15" customHeight="1">
      <c r="A444" t="inlineStr">
        <is>
          <t>A 11558-2023</t>
        </is>
      </c>
      <c r="B444" s="1" t="n">
        <v>44993.94958333333</v>
      </c>
      <c r="C444" s="1" t="n">
        <v>46004</v>
      </c>
      <c r="D444" t="inlineStr">
        <is>
          <t>JÄMTLANDS LÄN</t>
        </is>
      </c>
      <c r="E444" t="inlineStr">
        <is>
          <t>RAGUNDA</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22731-2023</t>
        </is>
      </c>
      <c r="B445" s="1" t="n">
        <v>45071</v>
      </c>
      <c r="C445" s="1" t="n">
        <v>46004</v>
      </c>
      <c r="D445" t="inlineStr">
        <is>
          <t>JÄMTLANDS LÄN</t>
        </is>
      </c>
      <c r="E445" t="inlineStr">
        <is>
          <t>RAGUNDA</t>
        </is>
      </c>
      <c r="G445" t="n">
        <v>1.5</v>
      </c>
      <c r="H445" t="n">
        <v>0</v>
      </c>
      <c r="I445" t="n">
        <v>0</v>
      </c>
      <c r="J445" t="n">
        <v>0</v>
      </c>
      <c r="K445" t="n">
        <v>0</v>
      </c>
      <c r="L445" t="n">
        <v>0</v>
      </c>
      <c r="M445" t="n">
        <v>0</v>
      </c>
      <c r="N445" t="n">
        <v>0</v>
      </c>
      <c r="O445" t="n">
        <v>0</v>
      </c>
      <c r="P445" t="n">
        <v>0</v>
      </c>
      <c r="Q445" t="n">
        <v>0</v>
      </c>
      <c r="R445" s="2" t="inlineStr"/>
    </row>
    <row r="446" ht="15" customHeight="1">
      <c r="A446" t="inlineStr">
        <is>
          <t>A 64264-2023</t>
        </is>
      </c>
      <c r="B446" s="1" t="n">
        <v>45279.94564814815</v>
      </c>
      <c r="C446" s="1" t="n">
        <v>46004</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55524-2024</t>
        </is>
      </c>
      <c r="B447" s="1" t="n">
        <v>45622.47435185185</v>
      </c>
      <c r="C447" s="1" t="n">
        <v>46004</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25332-2023</t>
        </is>
      </c>
      <c r="B448" s="1" t="n">
        <v>45086.94010416666</v>
      </c>
      <c r="C448" s="1" t="n">
        <v>46004</v>
      </c>
      <c r="D448" t="inlineStr">
        <is>
          <t>JÄMTLANDS LÄN</t>
        </is>
      </c>
      <c r="E448" t="inlineStr">
        <is>
          <t>RAGUNDA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29920-2024</t>
        </is>
      </c>
      <c r="B449" s="1" t="n">
        <v>45487.92856481481</v>
      </c>
      <c r="C449" s="1" t="n">
        <v>46004</v>
      </c>
      <c r="D449" t="inlineStr">
        <is>
          <t>JÄMTLANDS LÄN</t>
        </is>
      </c>
      <c r="E449" t="inlineStr">
        <is>
          <t>RAGUNDA</t>
        </is>
      </c>
      <c r="G449" t="n">
        <v>3.4</v>
      </c>
      <c r="H449" t="n">
        <v>0</v>
      </c>
      <c r="I449" t="n">
        <v>0</v>
      </c>
      <c r="J449" t="n">
        <v>0</v>
      </c>
      <c r="K449" t="n">
        <v>0</v>
      </c>
      <c r="L449" t="n">
        <v>0</v>
      </c>
      <c r="M449" t="n">
        <v>0</v>
      </c>
      <c r="N449" t="n">
        <v>0</v>
      </c>
      <c r="O449" t="n">
        <v>0</v>
      </c>
      <c r="P449" t="n">
        <v>0</v>
      </c>
      <c r="Q449" t="n">
        <v>0</v>
      </c>
      <c r="R449" s="2" t="inlineStr"/>
    </row>
    <row r="450" ht="15" customHeight="1">
      <c r="A450" t="inlineStr">
        <is>
          <t>A 44630-2023</t>
        </is>
      </c>
      <c r="B450" s="1" t="n">
        <v>45184</v>
      </c>
      <c r="C450" s="1" t="n">
        <v>46004</v>
      </c>
      <c r="D450" t="inlineStr">
        <is>
          <t>JÄMTLANDS LÄN</t>
        </is>
      </c>
      <c r="E450" t="inlineStr">
        <is>
          <t>RAGUNDA</t>
        </is>
      </c>
      <c r="G450" t="n">
        <v>3.4</v>
      </c>
      <c r="H450" t="n">
        <v>0</v>
      </c>
      <c r="I450" t="n">
        <v>0</v>
      </c>
      <c r="J450" t="n">
        <v>0</v>
      </c>
      <c r="K450" t="n">
        <v>0</v>
      </c>
      <c r="L450" t="n">
        <v>0</v>
      </c>
      <c r="M450" t="n">
        <v>0</v>
      </c>
      <c r="N450" t="n">
        <v>0</v>
      </c>
      <c r="O450" t="n">
        <v>0</v>
      </c>
      <c r="P450" t="n">
        <v>0</v>
      </c>
      <c r="Q450" t="n">
        <v>0</v>
      </c>
      <c r="R450" s="2" t="inlineStr"/>
    </row>
    <row r="451" ht="15" customHeight="1">
      <c r="A451" t="inlineStr">
        <is>
          <t>A 11245-2025</t>
        </is>
      </c>
      <c r="B451" s="1" t="n">
        <v>45726.38575231482</v>
      </c>
      <c r="C451" s="1" t="n">
        <v>46004</v>
      </c>
      <c r="D451" t="inlineStr">
        <is>
          <t>JÄMTLANDS LÄN</t>
        </is>
      </c>
      <c r="E451" t="inlineStr">
        <is>
          <t>RAGUNDA</t>
        </is>
      </c>
      <c r="G451" t="n">
        <v>2.3</v>
      </c>
      <c r="H451" t="n">
        <v>0</v>
      </c>
      <c r="I451" t="n">
        <v>0</v>
      </c>
      <c r="J451" t="n">
        <v>0</v>
      </c>
      <c r="K451" t="n">
        <v>0</v>
      </c>
      <c r="L451" t="n">
        <v>0</v>
      </c>
      <c r="M451" t="n">
        <v>0</v>
      </c>
      <c r="N451" t="n">
        <v>0</v>
      </c>
      <c r="O451" t="n">
        <v>0</v>
      </c>
      <c r="P451" t="n">
        <v>0</v>
      </c>
      <c r="Q451" t="n">
        <v>0</v>
      </c>
      <c r="R451" s="2" t="inlineStr"/>
    </row>
    <row r="452" ht="15" customHeight="1">
      <c r="A452" t="inlineStr">
        <is>
          <t>A 3767-2025</t>
        </is>
      </c>
      <c r="B452" s="1" t="n">
        <v>45681.60203703704</v>
      </c>
      <c r="C452" s="1" t="n">
        <v>46004</v>
      </c>
      <c r="D452" t="inlineStr">
        <is>
          <t>JÄMTLANDS LÄN</t>
        </is>
      </c>
      <c r="E452" t="inlineStr">
        <is>
          <t>RAGUNDA</t>
        </is>
      </c>
      <c r="G452" t="n">
        <v>4.9</v>
      </c>
      <c r="H452" t="n">
        <v>0</v>
      </c>
      <c r="I452" t="n">
        <v>0</v>
      </c>
      <c r="J452" t="n">
        <v>0</v>
      </c>
      <c r="K452" t="n">
        <v>0</v>
      </c>
      <c r="L452" t="n">
        <v>0</v>
      </c>
      <c r="M452" t="n">
        <v>0</v>
      </c>
      <c r="N452" t="n">
        <v>0</v>
      </c>
      <c r="O452" t="n">
        <v>0</v>
      </c>
      <c r="P452" t="n">
        <v>0</v>
      </c>
      <c r="Q452" t="n">
        <v>0</v>
      </c>
      <c r="R452" s="2" t="inlineStr"/>
    </row>
    <row r="453" ht="15" customHeight="1">
      <c r="A453" t="inlineStr">
        <is>
          <t>A 61923-2024</t>
        </is>
      </c>
      <c r="B453" s="1" t="n">
        <v>45653.44836805556</v>
      </c>
      <c r="C453" s="1" t="n">
        <v>46004</v>
      </c>
      <c r="D453" t="inlineStr">
        <is>
          <t>JÄMTLANDS LÄN</t>
        </is>
      </c>
      <c r="E453" t="inlineStr">
        <is>
          <t>RAGUNDA</t>
        </is>
      </c>
      <c r="F453" t="inlineStr">
        <is>
          <t>SCA</t>
        </is>
      </c>
      <c r="G453" t="n">
        <v>11.1</v>
      </c>
      <c r="H453" t="n">
        <v>0</v>
      </c>
      <c r="I453" t="n">
        <v>0</v>
      </c>
      <c r="J453" t="n">
        <v>0</v>
      </c>
      <c r="K453" t="n">
        <v>0</v>
      </c>
      <c r="L453" t="n">
        <v>0</v>
      </c>
      <c r="M453" t="n">
        <v>0</v>
      </c>
      <c r="N453" t="n">
        <v>0</v>
      </c>
      <c r="O453" t="n">
        <v>0</v>
      </c>
      <c r="P453" t="n">
        <v>0</v>
      </c>
      <c r="Q453" t="n">
        <v>0</v>
      </c>
      <c r="R453" s="2" t="inlineStr"/>
    </row>
    <row r="454" ht="15" customHeight="1">
      <c r="A454" t="inlineStr">
        <is>
          <t>A 7280-2024</t>
        </is>
      </c>
      <c r="B454" s="1" t="n">
        <v>45344</v>
      </c>
      <c r="C454" s="1" t="n">
        <v>46004</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42893-2022</t>
        </is>
      </c>
      <c r="B455" s="1" t="n">
        <v>44832</v>
      </c>
      <c r="C455" s="1" t="n">
        <v>46004</v>
      </c>
      <c r="D455" t="inlineStr">
        <is>
          <t>JÄMTLANDS LÄN</t>
        </is>
      </c>
      <c r="E455" t="inlineStr">
        <is>
          <t>RAGUNDA</t>
        </is>
      </c>
      <c r="F455" t="inlineStr">
        <is>
          <t>SCA</t>
        </is>
      </c>
      <c r="G455" t="n">
        <v>28.4</v>
      </c>
      <c r="H455" t="n">
        <v>0</v>
      </c>
      <c r="I455" t="n">
        <v>0</v>
      </c>
      <c r="J455" t="n">
        <v>0</v>
      </c>
      <c r="K455" t="n">
        <v>0</v>
      </c>
      <c r="L455" t="n">
        <v>0</v>
      </c>
      <c r="M455" t="n">
        <v>0</v>
      </c>
      <c r="N455" t="n">
        <v>0</v>
      </c>
      <c r="O455" t="n">
        <v>0</v>
      </c>
      <c r="P455" t="n">
        <v>0</v>
      </c>
      <c r="Q455" t="n">
        <v>0</v>
      </c>
      <c r="R455" s="2" t="inlineStr"/>
    </row>
    <row r="456" ht="15" customHeight="1">
      <c r="A456" t="inlineStr">
        <is>
          <t>A 23567-2024</t>
        </is>
      </c>
      <c r="B456" s="1" t="n">
        <v>45453.95538194444</v>
      </c>
      <c r="C456" s="1" t="n">
        <v>46004</v>
      </c>
      <c r="D456" t="inlineStr">
        <is>
          <t>JÄMTLANDS LÄN</t>
        </is>
      </c>
      <c r="E456" t="inlineStr">
        <is>
          <t>RAGUNDA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19246-2023</t>
        </is>
      </c>
      <c r="B457" s="1" t="n">
        <v>45048.94340277778</v>
      </c>
      <c r="C457" s="1" t="n">
        <v>46004</v>
      </c>
      <c r="D457" t="inlineStr">
        <is>
          <t>JÄMTLANDS LÄN</t>
        </is>
      </c>
      <c r="E457" t="inlineStr">
        <is>
          <t>RAGUNDA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44778-2024</t>
        </is>
      </c>
      <c r="B458" s="1" t="n">
        <v>45574.63355324074</v>
      </c>
      <c r="C458" s="1" t="n">
        <v>46004</v>
      </c>
      <c r="D458" t="inlineStr">
        <is>
          <t>JÄMTLANDS LÄN</t>
        </is>
      </c>
      <c r="E458" t="inlineStr">
        <is>
          <t>RAGUNDA</t>
        </is>
      </c>
      <c r="G458" t="n">
        <v>5.5</v>
      </c>
      <c r="H458" t="n">
        <v>0</v>
      </c>
      <c r="I458" t="n">
        <v>0</v>
      </c>
      <c r="J458" t="n">
        <v>0</v>
      </c>
      <c r="K458" t="n">
        <v>0</v>
      </c>
      <c r="L458" t="n">
        <v>0</v>
      </c>
      <c r="M458" t="n">
        <v>0</v>
      </c>
      <c r="N458" t="n">
        <v>0</v>
      </c>
      <c r="O458" t="n">
        <v>0</v>
      </c>
      <c r="P458" t="n">
        <v>0</v>
      </c>
      <c r="Q458" t="n">
        <v>0</v>
      </c>
      <c r="R458" s="2" t="inlineStr"/>
    </row>
    <row r="459" ht="15" customHeight="1">
      <c r="A459" t="inlineStr">
        <is>
          <t>A 14156-2024</t>
        </is>
      </c>
      <c r="B459" s="1" t="n">
        <v>45392</v>
      </c>
      <c r="C459" s="1" t="n">
        <v>46004</v>
      </c>
      <c r="D459" t="inlineStr">
        <is>
          <t>JÄMTLANDS LÄN</t>
        </is>
      </c>
      <c r="E459" t="inlineStr">
        <is>
          <t>RAGUNDA</t>
        </is>
      </c>
      <c r="G459" t="n">
        <v>0.6</v>
      </c>
      <c r="H459" t="n">
        <v>0</v>
      </c>
      <c r="I459" t="n">
        <v>0</v>
      </c>
      <c r="J459" t="n">
        <v>0</v>
      </c>
      <c r="K459" t="n">
        <v>0</v>
      </c>
      <c r="L459" t="n">
        <v>0</v>
      </c>
      <c r="M459" t="n">
        <v>0</v>
      </c>
      <c r="N459" t="n">
        <v>0</v>
      </c>
      <c r="O459" t="n">
        <v>0</v>
      </c>
      <c r="P459" t="n">
        <v>0</v>
      </c>
      <c r="Q459" t="n">
        <v>0</v>
      </c>
      <c r="R459" s="2" t="inlineStr"/>
    </row>
    <row r="460" ht="15" customHeight="1">
      <c r="A460" t="inlineStr">
        <is>
          <t>A 14157-2024</t>
        </is>
      </c>
      <c r="B460" s="1" t="n">
        <v>45392.92903935185</v>
      </c>
      <c r="C460" s="1" t="n">
        <v>46004</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2673-2024</t>
        </is>
      </c>
      <c r="B461" s="1" t="n">
        <v>45314</v>
      </c>
      <c r="C461" s="1" t="n">
        <v>46004</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64492-2023</t>
        </is>
      </c>
      <c r="B462" s="1" t="n">
        <v>45280.92645833334</v>
      </c>
      <c r="C462" s="1" t="n">
        <v>46004</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61109-2024</t>
        </is>
      </c>
      <c r="B463" s="1" t="n">
        <v>45645.55672453704</v>
      </c>
      <c r="C463" s="1" t="n">
        <v>46004</v>
      </c>
      <c r="D463" t="inlineStr">
        <is>
          <t>JÄMTLANDS LÄN</t>
        </is>
      </c>
      <c r="E463" t="inlineStr">
        <is>
          <t>RAGUNDA</t>
        </is>
      </c>
      <c r="G463" t="n">
        <v>4</v>
      </c>
      <c r="H463" t="n">
        <v>0</v>
      </c>
      <c r="I463" t="n">
        <v>0</v>
      </c>
      <c r="J463" t="n">
        <v>0</v>
      </c>
      <c r="K463" t="n">
        <v>0</v>
      </c>
      <c r="L463" t="n">
        <v>0</v>
      </c>
      <c r="M463" t="n">
        <v>0</v>
      </c>
      <c r="N463" t="n">
        <v>0</v>
      </c>
      <c r="O463" t="n">
        <v>0</v>
      </c>
      <c r="P463" t="n">
        <v>0</v>
      </c>
      <c r="Q463" t="n">
        <v>0</v>
      </c>
      <c r="R463" s="2" t="inlineStr"/>
    </row>
    <row r="464" ht="15" customHeight="1">
      <c r="A464" t="inlineStr">
        <is>
          <t>A 29940-2023</t>
        </is>
      </c>
      <c r="B464" s="1" t="n">
        <v>45107</v>
      </c>
      <c r="C464" s="1" t="n">
        <v>46004</v>
      </c>
      <c r="D464" t="inlineStr">
        <is>
          <t>JÄMTLANDS LÄN</t>
        </is>
      </c>
      <c r="E464" t="inlineStr">
        <is>
          <t>RAGUNDA</t>
        </is>
      </c>
      <c r="G464" t="n">
        <v>13.5</v>
      </c>
      <c r="H464" t="n">
        <v>0</v>
      </c>
      <c r="I464" t="n">
        <v>0</v>
      </c>
      <c r="J464" t="n">
        <v>0</v>
      </c>
      <c r="K464" t="n">
        <v>0</v>
      </c>
      <c r="L464" t="n">
        <v>0</v>
      </c>
      <c r="M464" t="n">
        <v>0</v>
      </c>
      <c r="N464" t="n">
        <v>0</v>
      </c>
      <c r="O464" t="n">
        <v>0</v>
      </c>
      <c r="P464" t="n">
        <v>0</v>
      </c>
      <c r="Q464" t="n">
        <v>0</v>
      </c>
      <c r="R464" s="2" t="inlineStr"/>
    </row>
    <row r="465" ht="15" customHeight="1">
      <c r="A465" t="inlineStr">
        <is>
          <t>A 14368-2024</t>
        </is>
      </c>
      <c r="B465" s="1" t="n">
        <v>45393.94431712963</v>
      </c>
      <c r="C465" s="1" t="n">
        <v>46004</v>
      </c>
      <c r="D465" t="inlineStr">
        <is>
          <t>JÄMTLANDS LÄN</t>
        </is>
      </c>
      <c r="E465" t="inlineStr">
        <is>
          <t>RAGUNDA</t>
        </is>
      </c>
      <c r="F465" t="inlineStr">
        <is>
          <t>Naturvårdsverket</t>
        </is>
      </c>
      <c r="G465" t="n">
        <v>1.6</v>
      </c>
      <c r="H465" t="n">
        <v>0</v>
      </c>
      <c r="I465" t="n">
        <v>0</v>
      </c>
      <c r="J465" t="n">
        <v>0</v>
      </c>
      <c r="K465" t="n">
        <v>0</v>
      </c>
      <c r="L465" t="n">
        <v>0</v>
      </c>
      <c r="M465" t="n">
        <v>0</v>
      </c>
      <c r="N465" t="n">
        <v>0</v>
      </c>
      <c r="O465" t="n">
        <v>0</v>
      </c>
      <c r="P465" t="n">
        <v>0</v>
      </c>
      <c r="Q465" t="n">
        <v>0</v>
      </c>
      <c r="R465" s="2" t="inlineStr"/>
    </row>
    <row r="466" ht="15" customHeight="1">
      <c r="A466" t="inlineStr">
        <is>
          <t>A 58955-2024</t>
        </is>
      </c>
      <c r="B466" s="1" t="n">
        <v>45636.57329861111</v>
      </c>
      <c r="C466" s="1" t="n">
        <v>46004</v>
      </c>
      <c r="D466" t="inlineStr">
        <is>
          <t>JÄMTLANDS LÄN</t>
        </is>
      </c>
      <c r="E466" t="inlineStr">
        <is>
          <t>RAGUNDA</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23303-2024</t>
        </is>
      </c>
      <c r="B467" s="1" t="n">
        <v>45453.4444212963</v>
      </c>
      <c r="C467" s="1" t="n">
        <v>46004</v>
      </c>
      <c r="D467" t="inlineStr">
        <is>
          <t>JÄMTLANDS LÄN</t>
        </is>
      </c>
      <c r="E467" t="inlineStr">
        <is>
          <t>RAGUNDA</t>
        </is>
      </c>
      <c r="G467" t="n">
        <v>0.7</v>
      </c>
      <c r="H467" t="n">
        <v>0</v>
      </c>
      <c r="I467" t="n">
        <v>0</v>
      </c>
      <c r="J467" t="n">
        <v>0</v>
      </c>
      <c r="K467" t="n">
        <v>0</v>
      </c>
      <c r="L467" t="n">
        <v>0</v>
      </c>
      <c r="M467" t="n">
        <v>0</v>
      </c>
      <c r="N467" t="n">
        <v>0</v>
      </c>
      <c r="O467" t="n">
        <v>0</v>
      </c>
      <c r="P467" t="n">
        <v>0</v>
      </c>
      <c r="Q467" t="n">
        <v>0</v>
      </c>
      <c r="R467" s="2" t="inlineStr"/>
    </row>
    <row r="468" ht="15" customHeight="1">
      <c r="A468" t="inlineStr">
        <is>
          <t>A 12783-2023</t>
        </is>
      </c>
      <c r="B468" s="1" t="n">
        <v>45000</v>
      </c>
      <c r="C468" s="1" t="n">
        <v>46004</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20088-2023</t>
        </is>
      </c>
      <c r="B469" s="1" t="n">
        <v>45054</v>
      </c>
      <c r="C469" s="1" t="n">
        <v>46004</v>
      </c>
      <c r="D469" t="inlineStr">
        <is>
          <t>JÄMTLANDS LÄN</t>
        </is>
      </c>
      <c r="E469" t="inlineStr">
        <is>
          <t>RAGUNDA</t>
        </is>
      </c>
      <c r="F469" t="inlineStr">
        <is>
          <t>SCA</t>
        </is>
      </c>
      <c r="G469" t="n">
        <v>23.4</v>
      </c>
      <c r="H469" t="n">
        <v>0</v>
      </c>
      <c r="I469" t="n">
        <v>0</v>
      </c>
      <c r="J469" t="n">
        <v>0</v>
      </c>
      <c r="K469" t="n">
        <v>0</v>
      </c>
      <c r="L469" t="n">
        <v>0</v>
      </c>
      <c r="M469" t="n">
        <v>0</v>
      </c>
      <c r="N469" t="n">
        <v>0</v>
      </c>
      <c r="O469" t="n">
        <v>0</v>
      </c>
      <c r="P469" t="n">
        <v>0</v>
      </c>
      <c r="Q469" t="n">
        <v>0</v>
      </c>
      <c r="R469" s="2" t="inlineStr"/>
    </row>
    <row r="470" ht="15" customHeight="1">
      <c r="A470" t="inlineStr">
        <is>
          <t>A 179-2025</t>
        </is>
      </c>
      <c r="B470" s="1" t="n">
        <v>45659.69822916666</v>
      </c>
      <c r="C470" s="1" t="n">
        <v>46004</v>
      </c>
      <c r="D470" t="inlineStr">
        <is>
          <t>JÄMTLANDS LÄN</t>
        </is>
      </c>
      <c r="E470" t="inlineStr">
        <is>
          <t>RAGUNDA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53144-2024</t>
        </is>
      </c>
      <c r="B471" s="1" t="n">
        <v>45611</v>
      </c>
      <c r="C471" s="1" t="n">
        <v>46004</v>
      </c>
      <c r="D471" t="inlineStr">
        <is>
          <t>JÄMTLANDS LÄN</t>
        </is>
      </c>
      <c r="E471" t="inlineStr">
        <is>
          <t>RAGUNDA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53171-2024</t>
        </is>
      </c>
      <c r="B472" s="1" t="n">
        <v>45611.65679398148</v>
      </c>
      <c r="C472" s="1" t="n">
        <v>46004</v>
      </c>
      <c r="D472" t="inlineStr">
        <is>
          <t>JÄMTLANDS LÄN</t>
        </is>
      </c>
      <c r="E472" t="inlineStr">
        <is>
          <t>RAGUNDA</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7279-2024</t>
        </is>
      </c>
      <c r="B473" s="1" t="n">
        <v>45344.92822916667</v>
      </c>
      <c r="C473" s="1" t="n">
        <v>46004</v>
      </c>
      <c r="D473" t="inlineStr">
        <is>
          <t>JÄMTLANDS LÄN</t>
        </is>
      </c>
      <c r="E473" t="inlineStr">
        <is>
          <t>RAGUNDA</t>
        </is>
      </c>
      <c r="G473" t="n">
        <v>2.1</v>
      </c>
      <c r="H473" t="n">
        <v>0</v>
      </c>
      <c r="I473" t="n">
        <v>0</v>
      </c>
      <c r="J473" t="n">
        <v>0</v>
      </c>
      <c r="K473" t="n">
        <v>0</v>
      </c>
      <c r="L473" t="n">
        <v>0</v>
      </c>
      <c r="M473" t="n">
        <v>0</v>
      </c>
      <c r="N473" t="n">
        <v>0</v>
      </c>
      <c r="O473" t="n">
        <v>0</v>
      </c>
      <c r="P473" t="n">
        <v>0</v>
      </c>
      <c r="Q473" t="n">
        <v>0</v>
      </c>
      <c r="R473" s="2" t="inlineStr"/>
    </row>
    <row r="474" ht="15" customHeight="1">
      <c r="A474" t="inlineStr">
        <is>
          <t>A 22412-2024</t>
        </is>
      </c>
      <c r="B474" s="1" t="n">
        <v>45446.68947916666</v>
      </c>
      <c r="C474" s="1" t="n">
        <v>46004</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13334-2024</t>
        </is>
      </c>
      <c r="B475" s="1" t="n">
        <v>45386</v>
      </c>
      <c r="C475" s="1" t="n">
        <v>46004</v>
      </c>
      <c r="D475" t="inlineStr">
        <is>
          <t>JÄMTLANDS LÄN</t>
        </is>
      </c>
      <c r="E475" t="inlineStr">
        <is>
          <t>RAGUNDA</t>
        </is>
      </c>
      <c r="G475" t="n">
        <v>8.6</v>
      </c>
      <c r="H475" t="n">
        <v>0</v>
      </c>
      <c r="I475" t="n">
        <v>0</v>
      </c>
      <c r="J475" t="n">
        <v>0</v>
      </c>
      <c r="K475" t="n">
        <v>0</v>
      </c>
      <c r="L475" t="n">
        <v>0</v>
      </c>
      <c r="M475" t="n">
        <v>0</v>
      </c>
      <c r="N475" t="n">
        <v>0</v>
      </c>
      <c r="O475" t="n">
        <v>0</v>
      </c>
      <c r="P475" t="n">
        <v>0</v>
      </c>
      <c r="Q475" t="n">
        <v>0</v>
      </c>
      <c r="R475" s="2" t="inlineStr"/>
    </row>
    <row r="476" ht="15" customHeight="1">
      <c r="A476" t="inlineStr">
        <is>
          <t>A 60443-2023</t>
        </is>
      </c>
      <c r="B476" s="1" t="n">
        <v>45258</v>
      </c>
      <c r="C476" s="1" t="n">
        <v>46004</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21726-2023</t>
        </is>
      </c>
      <c r="B477" s="1" t="n">
        <v>45065.42894675926</v>
      </c>
      <c r="C477" s="1" t="n">
        <v>46004</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22311-2024</t>
        </is>
      </c>
      <c r="B478" s="1" t="n">
        <v>45446.57052083333</v>
      </c>
      <c r="C478" s="1" t="n">
        <v>46004</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54599-2023</t>
        </is>
      </c>
      <c r="B479" s="1" t="n">
        <v>45233.92591435185</v>
      </c>
      <c r="C479" s="1" t="n">
        <v>46004</v>
      </c>
      <c r="D479" t="inlineStr">
        <is>
          <t>JÄMTLANDS LÄN</t>
        </is>
      </c>
      <c r="E479" t="inlineStr">
        <is>
          <t>RAGUNDA</t>
        </is>
      </c>
      <c r="G479" t="n">
        <v>3.7</v>
      </c>
      <c r="H479" t="n">
        <v>0</v>
      </c>
      <c r="I479" t="n">
        <v>0</v>
      </c>
      <c r="J479" t="n">
        <v>0</v>
      </c>
      <c r="K479" t="n">
        <v>0</v>
      </c>
      <c r="L479" t="n">
        <v>0</v>
      </c>
      <c r="M479" t="n">
        <v>0</v>
      </c>
      <c r="N479" t="n">
        <v>0</v>
      </c>
      <c r="O479" t="n">
        <v>0</v>
      </c>
      <c r="P479" t="n">
        <v>0</v>
      </c>
      <c r="Q479" t="n">
        <v>0</v>
      </c>
      <c r="R479" s="2" t="inlineStr"/>
    </row>
    <row r="480" ht="15" customHeight="1">
      <c r="A480" t="inlineStr">
        <is>
          <t>A 45952-2023</t>
        </is>
      </c>
      <c r="B480" s="1" t="n">
        <v>45195</v>
      </c>
      <c r="C480" s="1" t="n">
        <v>46004</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45954-2023</t>
        </is>
      </c>
      <c r="B481" s="1" t="n">
        <v>45195.94679398148</v>
      </c>
      <c r="C481" s="1" t="n">
        <v>46004</v>
      </c>
      <c r="D481" t="inlineStr">
        <is>
          <t>JÄMTLANDS LÄN</t>
        </is>
      </c>
      <c r="E481" t="inlineStr">
        <is>
          <t>RAGUNDA</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45955-2023</t>
        </is>
      </c>
      <c r="B482" s="1" t="n">
        <v>45195.94685185186</v>
      </c>
      <c r="C482" s="1" t="n">
        <v>46004</v>
      </c>
      <c r="D482" t="inlineStr">
        <is>
          <t>JÄMTLANDS LÄN</t>
        </is>
      </c>
      <c r="E482" t="inlineStr">
        <is>
          <t>RAGUNDA</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60456-2023</t>
        </is>
      </c>
      <c r="B483" s="1" t="n">
        <v>45258</v>
      </c>
      <c r="C483" s="1" t="n">
        <v>46004</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16334-2025</t>
        </is>
      </c>
      <c r="B484" s="1" t="n">
        <v>45751.36490740741</v>
      </c>
      <c r="C484" s="1" t="n">
        <v>46004</v>
      </c>
      <c r="D484" t="inlineStr">
        <is>
          <t>JÄMTLANDS LÄN</t>
        </is>
      </c>
      <c r="E484" t="inlineStr">
        <is>
          <t>RAGUNDA</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58438-2022</t>
        </is>
      </c>
      <c r="B485" s="1" t="n">
        <v>44901</v>
      </c>
      <c r="C485" s="1" t="n">
        <v>46004</v>
      </c>
      <c r="D485" t="inlineStr">
        <is>
          <t>JÄMTLANDS LÄN</t>
        </is>
      </c>
      <c r="E485" t="inlineStr">
        <is>
          <t>RAGUNDA</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58442-2022</t>
        </is>
      </c>
      <c r="B486" s="1" t="n">
        <v>44901</v>
      </c>
      <c r="C486" s="1" t="n">
        <v>46004</v>
      </c>
      <c r="D486" t="inlineStr">
        <is>
          <t>JÄMTLANDS LÄN</t>
        </is>
      </c>
      <c r="E486" t="inlineStr">
        <is>
          <t>RAGUNDA</t>
        </is>
      </c>
      <c r="F486" t="inlineStr">
        <is>
          <t>SCA</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5806-2025</t>
        </is>
      </c>
      <c r="B487" s="1" t="n">
        <v>45694.69826388889</v>
      </c>
      <c r="C487" s="1" t="n">
        <v>46004</v>
      </c>
      <c r="D487" t="inlineStr">
        <is>
          <t>JÄMTLANDS LÄN</t>
        </is>
      </c>
      <c r="E487" t="inlineStr">
        <is>
          <t>RAGUNDA</t>
        </is>
      </c>
      <c r="F487" t="inlineStr">
        <is>
          <t>SCA</t>
        </is>
      </c>
      <c r="G487" t="n">
        <v>5.8</v>
      </c>
      <c r="H487" t="n">
        <v>0</v>
      </c>
      <c r="I487" t="n">
        <v>0</v>
      </c>
      <c r="J487" t="n">
        <v>0</v>
      </c>
      <c r="K487" t="n">
        <v>0</v>
      </c>
      <c r="L487" t="n">
        <v>0</v>
      </c>
      <c r="M487" t="n">
        <v>0</v>
      </c>
      <c r="N487" t="n">
        <v>0</v>
      </c>
      <c r="O487" t="n">
        <v>0</v>
      </c>
      <c r="P487" t="n">
        <v>0</v>
      </c>
      <c r="Q487" t="n">
        <v>0</v>
      </c>
      <c r="R487" s="2" t="inlineStr"/>
    </row>
    <row r="488" ht="15" customHeight="1">
      <c r="A488" t="inlineStr">
        <is>
          <t>A 12660-2024</t>
        </is>
      </c>
      <c r="B488" s="1" t="n">
        <v>45384</v>
      </c>
      <c r="C488" s="1" t="n">
        <v>46004</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33877-2023</t>
        </is>
      </c>
      <c r="B489" s="1" t="n">
        <v>45133</v>
      </c>
      <c r="C489" s="1" t="n">
        <v>46004</v>
      </c>
      <c r="D489" t="inlineStr">
        <is>
          <t>JÄMTLANDS LÄN</t>
        </is>
      </c>
      <c r="E489" t="inlineStr">
        <is>
          <t>RAGUNDA</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41179-2022</t>
        </is>
      </c>
      <c r="B490" s="1" t="n">
        <v>44825</v>
      </c>
      <c r="C490" s="1" t="n">
        <v>46004</v>
      </c>
      <c r="D490" t="inlineStr">
        <is>
          <t>JÄMTLANDS LÄN</t>
        </is>
      </c>
      <c r="E490" t="inlineStr">
        <is>
          <t>RAGUNDA</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62541-2022</t>
        </is>
      </c>
      <c r="B491" s="1" t="n">
        <v>44917</v>
      </c>
      <c r="C491" s="1" t="n">
        <v>46004</v>
      </c>
      <c r="D491" t="inlineStr">
        <is>
          <t>JÄMTLANDS LÄN</t>
        </is>
      </c>
      <c r="E491" t="inlineStr">
        <is>
          <t>RAGUNDA</t>
        </is>
      </c>
      <c r="G491" t="n">
        <v>2.6</v>
      </c>
      <c r="H491" t="n">
        <v>0</v>
      </c>
      <c r="I491" t="n">
        <v>0</v>
      </c>
      <c r="J491" t="n">
        <v>0</v>
      </c>
      <c r="K491" t="n">
        <v>0</v>
      </c>
      <c r="L491" t="n">
        <v>0</v>
      </c>
      <c r="M491" t="n">
        <v>0</v>
      </c>
      <c r="N491" t="n">
        <v>0</v>
      </c>
      <c r="O491" t="n">
        <v>0</v>
      </c>
      <c r="P491" t="n">
        <v>0</v>
      </c>
      <c r="Q491" t="n">
        <v>0</v>
      </c>
      <c r="R491" s="2" t="inlineStr"/>
    </row>
    <row r="492" ht="15" customHeight="1">
      <c r="A492" t="inlineStr">
        <is>
          <t>A 9567-2025</t>
        </is>
      </c>
      <c r="B492" s="1" t="n">
        <v>45715.61523148148</v>
      </c>
      <c r="C492" s="1" t="n">
        <v>46004</v>
      </c>
      <c r="D492" t="inlineStr">
        <is>
          <t>JÄMTLANDS LÄN</t>
        </is>
      </c>
      <c r="E492" t="inlineStr">
        <is>
          <t>RAGUNDA</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55649-2023</t>
        </is>
      </c>
      <c r="B493" s="1" t="n">
        <v>45238</v>
      </c>
      <c r="C493" s="1" t="n">
        <v>46004</v>
      </c>
      <c r="D493" t="inlineStr">
        <is>
          <t>JÄMTLANDS LÄN</t>
        </is>
      </c>
      <c r="E493" t="inlineStr">
        <is>
          <t>RAGUNDA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19403-2025</t>
        </is>
      </c>
      <c r="B494" s="1" t="n">
        <v>45769.67790509259</v>
      </c>
      <c r="C494" s="1" t="n">
        <v>46004</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21661-2023</t>
        </is>
      </c>
      <c r="B495" s="1" t="n">
        <v>45063</v>
      </c>
      <c r="C495" s="1" t="n">
        <v>46004</v>
      </c>
      <c r="D495" t="inlineStr">
        <is>
          <t>JÄMTLANDS LÄN</t>
        </is>
      </c>
      <c r="E495" t="inlineStr">
        <is>
          <t>RAGUNDA</t>
        </is>
      </c>
      <c r="G495" t="n">
        <v>1.5</v>
      </c>
      <c r="H495" t="n">
        <v>0</v>
      </c>
      <c r="I495" t="n">
        <v>0</v>
      </c>
      <c r="J495" t="n">
        <v>0</v>
      </c>
      <c r="K495" t="n">
        <v>0</v>
      </c>
      <c r="L495" t="n">
        <v>0</v>
      </c>
      <c r="M495" t="n">
        <v>0</v>
      </c>
      <c r="N495" t="n">
        <v>0</v>
      </c>
      <c r="O495" t="n">
        <v>0</v>
      </c>
      <c r="P495" t="n">
        <v>0</v>
      </c>
      <c r="Q495" t="n">
        <v>0</v>
      </c>
      <c r="R495" s="2" t="inlineStr"/>
    </row>
    <row r="496" ht="15" customHeight="1">
      <c r="A496" t="inlineStr">
        <is>
          <t>A 61598-2024</t>
        </is>
      </c>
      <c r="B496" s="1" t="n">
        <v>45646.63605324074</v>
      </c>
      <c r="C496" s="1" t="n">
        <v>46004</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69153-2021</t>
        </is>
      </c>
      <c r="B497" s="1" t="n">
        <v>44530.94694444445</v>
      </c>
      <c r="C497" s="1" t="n">
        <v>46004</v>
      </c>
      <c r="D497" t="inlineStr">
        <is>
          <t>JÄMTLANDS LÄN</t>
        </is>
      </c>
      <c r="E497" t="inlineStr">
        <is>
          <t>RAGUNDA</t>
        </is>
      </c>
      <c r="F497" t="inlineStr">
        <is>
          <t>SCA</t>
        </is>
      </c>
      <c r="G497" t="n">
        <v>5</v>
      </c>
      <c r="H497" t="n">
        <v>0</v>
      </c>
      <c r="I497" t="n">
        <v>0</v>
      </c>
      <c r="J497" t="n">
        <v>0</v>
      </c>
      <c r="K497" t="n">
        <v>0</v>
      </c>
      <c r="L497" t="n">
        <v>0</v>
      </c>
      <c r="M497" t="n">
        <v>0</v>
      </c>
      <c r="N497" t="n">
        <v>0</v>
      </c>
      <c r="O497" t="n">
        <v>0</v>
      </c>
      <c r="P497" t="n">
        <v>0</v>
      </c>
      <c r="Q497" t="n">
        <v>0</v>
      </c>
      <c r="R497" s="2" t="inlineStr"/>
    </row>
    <row r="498" ht="15" customHeight="1">
      <c r="A498" t="inlineStr">
        <is>
          <t>A 17667-2025</t>
        </is>
      </c>
      <c r="B498" s="1" t="n">
        <v>45758.36487268518</v>
      </c>
      <c r="C498" s="1" t="n">
        <v>46004</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12521-2023</t>
        </is>
      </c>
      <c r="B499" s="1" t="n">
        <v>45000</v>
      </c>
      <c r="C499" s="1" t="n">
        <v>46004</v>
      </c>
      <c r="D499" t="inlineStr">
        <is>
          <t>JÄMTLANDS LÄN</t>
        </is>
      </c>
      <c r="E499" t="inlineStr">
        <is>
          <t>RAGUNDA</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12585-2024</t>
        </is>
      </c>
      <c r="B500" s="1" t="n">
        <v>45379.93637731481</v>
      </c>
      <c r="C500" s="1" t="n">
        <v>46004</v>
      </c>
      <c r="D500" t="inlineStr">
        <is>
          <t>JÄMTLANDS LÄN</t>
        </is>
      </c>
      <c r="E500" t="inlineStr">
        <is>
          <t>RAGUNDA</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55489-2024</t>
        </is>
      </c>
      <c r="B501" s="1" t="n">
        <v>45622.44774305556</v>
      </c>
      <c r="C501" s="1" t="n">
        <v>46004</v>
      </c>
      <c r="D501" t="inlineStr">
        <is>
          <t>JÄMTLANDS LÄN</t>
        </is>
      </c>
      <c r="E501" t="inlineStr">
        <is>
          <t>RAGUNDA</t>
        </is>
      </c>
      <c r="G501" t="n">
        <v>1.6</v>
      </c>
      <c r="H501" t="n">
        <v>0</v>
      </c>
      <c r="I501" t="n">
        <v>0</v>
      </c>
      <c r="J501" t="n">
        <v>0</v>
      </c>
      <c r="K501" t="n">
        <v>0</v>
      </c>
      <c r="L501" t="n">
        <v>0</v>
      </c>
      <c r="M501" t="n">
        <v>0</v>
      </c>
      <c r="N501" t="n">
        <v>0</v>
      </c>
      <c r="O501" t="n">
        <v>0</v>
      </c>
      <c r="P501" t="n">
        <v>0</v>
      </c>
      <c r="Q501" t="n">
        <v>0</v>
      </c>
      <c r="R501" s="2" t="inlineStr"/>
    </row>
    <row r="502" ht="15" customHeight="1">
      <c r="A502" t="inlineStr">
        <is>
          <t>A 18631-2024</t>
        </is>
      </c>
      <c r="B502" s="1" t="n">
        <v>45425.96494212963</v>
      </c>
      <c r="C502" s="1" t="n">
        <v>46004</v>
      </c>
      <c r="D502" t="inlineStr">
        <is>
          <t>JÄMTLANDS LÄN</t>
        </is>
      </c>
      <c r="E502" t="inlineStr">
        <is>
          <t>RAGUNDA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50157-2023</t>
        </is>
      </c>
      <c r="B503" s="1" t="n">
        <v>45208</v>
      </c>
      <c r="C503" s="1" t="n">
        <v>46004</v>
      </c>
      <c r="D503" t="inlineStr">
        <is>
          <t>JÄMTLANDS LÄN</t>
        </is>
      </c>
      <c r="E503" t="inlineStr">
        <is>
          <t>RAGUNDA</t>
        </is>
      </c>
      <c r="G503" t="n">
        <v>0.9</v>
      </c>
      <c r="H503" t="n">
        <v>0</v>
      </c>
      <c r="I503" t="n">
        <v>0</v>
      </c>
      <c r="J503" t="n">
        <v>0</v>
      </c>
      <c r="K503" t="n">
        <v>0</v>
      </c>
      <c r="L503" t="n">
        <v>0</v>
      </c>
      <c r="M503" t="n">
        <v>0</v>
      </c>
      <c r="N503" t="n">
        <v>0</v>
      </c>
      <c r="O503" t="n">
        <v>0</v>
      </c>
      <c r="P503" t="n">
        <v>0</v>
      </c>
      <c r="Q503" t="n">
        <v>0</v>
      </c>
      <c r="R503" s="2" t="inlineStr"/>
    </row>
    <row r="504" ht="15" customHeight="1">
      <c r="A504" t="inlineStr">
        <is>
          <t>A 26646-2023</t>
        </is>
      </c>
      <c r="B504" s="1" t="n">
        <v>45092</v>
      </c>
      <c r="C504" s="1" t="n">
        <v>46004</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43405-2023</t>
        </is>
      </c>
      <c r="B505" s="1" t="n">
        <v>45183.95563657407</v>
      </c>
      <c r="C505" s="1" t="n">
        <v>46004</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59496-2024</t>
        </is>
      </c>
      <c r="B506" s="1" t="n">
        <v>45638</v>
      </c>
      <c r="C506" s="1" t="n">
        <v>46004</v>
      </c>
      <c r="D506" t="inlineStr">
        <is>
          <t>JÄMTLANDS LÄN</t>
        </is>
      </c>
      <c r="E506" t="inlineStr">
        <is>
          <t>RAGUNDA</t>
        </is>
      </c>
      <c r="G506" t="n">
        <v>13.1</v>
      </c>
      <c r="H506" t="n">
        <v>0</v>
      </c>
      <c r="I506" t="n">
        <v>0</v>
      </c>
      <c r="J506" t="n">
        <v>0</v>
      </c>
      <c r="K506" t="n">
        <v>0</v>
      </c>
      <c r="L506" t="n">
        <v>0</v>
      </c>
      <c r="M506" t="n">
        <v>0</v>
      </c>
      <c r="N506" t="n">
        <v>0</v>
      </c>
      <c r="O506" t="n">
        <v>0</v>
      </c>
      <c r="P506" t="n">
        <v>0</v>
      </c>
      <c r="Q506" t="n">
        <v>0</v>
      </c>
      <c r="R506" s="2" t="inlineStr"/>
    </row>
    <row r="507" ht="15" customHeight="1">
      <c r="A507" t="inlineStr">
        <is>
          <t>A 11147-2025</t>
        </is>
      </c>
      <c r="B507" s="1" t="n">
        <v>45723.67777777778</v>
      </c>
      <c r="C507" s="1" t="n">
        <v>46004</v>
      </c>
      <c r="D507" t="inlineStr">
        <is>
          <t>JÄMTLANDS LÄN</t>
        </is>
      </c>
      <c r="E507" t="inlineStr">
        <is>
          <t>RAGUNDA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12405-2025</t>
        </is>
      </c>
      <c r="B508" s="1" t="n">
        <v>45730.42738425926</v>
      </c>
      <c r="C508" s="1" t="n">
        <v>46004</v>
      </c>
      <c r="D508" t="inlineStr">
        <is>
          <t>JÄMTLANDS LÄN</t>
        </is>
      </c>
      <c r="E508" t="inlineStr">
        <is>
          <t>RAGUNDA</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62106-2023</t>
        </is>
      </c>
      <c r="B509" s="1" t="n">
        <v>45266.95082175926</v>
      </c>
      <c r="C509" s="1" t="n">
        <v>46004</v>
      </c>
      <c r="D509" t="inlineStr">
        <is>
          <t>JÄMTLANDS LÄN</t>
        </is>
      </c>
      <c r="E509" t="inlineStr">
        <is>
          <t>RAGUNDA</t>
        </is>
      </c>
      <c r="F509" t="inlineStr">
        <is>
          <t>SCA</t>
        </is>
      </c>
      <c r="G509" t="n">
        <v>6.6</v>
      </c>
      <c r="H509" t="n">
        <v>0</v>
      </c>
      <c r="I509" t="n">
        <v>0</v>
      </c>
      <c r="J509" t="n">
        <v>0</v>
      </c>
      <c r="K509" t="n">
        <v>0</v>
      </c>
      <c r="L509" t="n">
        <v>0</v>
      </c>
      <c r="M509" t="n">
        <v>0</v>
      </c>
      <c r="N509" t="n">
        <v>0</v>
      </c>
      <c r="O509" t="n">
        <v>0</v>
      </c>
      <c r="P509" t="n">
        <v>0</v>
      </c>
      <c r="Q509" t="n">
        <v>0</v>
      </c>
      <c r="R509" s="2" t="inlineStr"/>
    </row>
    <row r="510" ht="15" customHeight="1">
      <c r="A510" t="inlineStr">
        <is>
          <t>A 29319-2023</t>
        </is>
      </c>
      <c r="B510" s="1" t="n">
        <v>45105</v>
      </c>
      <c r="C510" s="1" t="n">
        <v>46004</v>
      </c>
      <c r="D510" t="inlineStr">
        <is>
          <t>JÄMTLANDS LÄN</t>
        </is>
      </c>
      <c r="E510" t="inlineStr">
        <is>
          <t>RAGUNDA</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18781-2024</t>
        </is>
      </c>
      <c r="B511" s="1" t="n">
        <v>45426</v>
      </c>
      <c r="C511" s="1" t="n">
        <v>46004</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62081-2022</t>
        </is>
      </c>
      <c r="B512" s="1" t="n">
        <v>44918</v>
      </c>
      <c r="C512" s="1" t="n">
        <v>46004</v>
      </c>
      <c r="D512" t="inlineStr">
        <is>
          <t>JÄMTLANDS LÄN</t>
        </is>
      </c>
      <c r="E512" t="inlineStr">
        <is>
          <t>RAGUNDA</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18612-2024</t>
        </is>
      </c>
      <c r="B513" s="1" t="n">
        <v>45425.96239583333</v>
      </c>
      <c r="C513" s="1" t="n">
        <v>46004</v>
      </c>
      <c r="D513" t="inlineStr">
        <is>
          <t>JÄMTLANDS LÄN</t>
        </is>
      </c>
      <c r="E513" t="inlineStr">
        <is>
          <t>RAGUNDA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36986-2023</t>
        </is>
      </c>
      <c r="B514" s="1" t="n">
        <v>45154.95525462963</v>
      </c>
      <c r="C514" s="1" t="n">
        <v>46004</v>
      </c>
      <c r="D514" t="inlineStr">
        <is>
          <t>JÄMTLANDS LÄN</t>
        </is>
      </c>
      <c r="E514" t="inlineStr">
        <is>
          <t>RAGUNDA</t>
        </is>
      </c>
      <c r="F514" t="inlineStr">
        <is>
          <t>SCA</t>
        </is>
      </c>
      <c r="G514" t="n">
        <v>0.2</v>
      </c>
      <c r="H514" t="n">
        <v>0</v>
      </c>
      <c r="I514" t="n">
        <v>0</v>
      </c>
      <c r="J514" t="n">
        <v>0</v>
      </c>
      <c r="K514" t="n">
        <v>0</v>
      </c>
      <c r="L514" t="n">
        <v>0</v>
      </c>
      <c r="M514" t="n">
        <v>0</v>
      </c>
      <c r="N514" t="n">
        <v>0</v>
      </c>
      <c r="O514" t="n">
        <v>0</v>
      </c>
      <c r="P514" t="n">
        <v>0</v>
      </c>
      <c r="Q514" t="n">
        <v>0</v>
      </c>
      <c r="R514" s="2" t="inlineStr"/>
    </row>
    <row r="515" ht="15" customHeight="1">
      <c r="A515" t="inlineStr">
        <is>
          <t>A 30826-2023</t>
        </is>
      </c>
      <c r="B515" s="1" t="n">
        <v>45112</v>
      </c>
      <c r="C515" s="1" t="n">
        <v>46004</v>
      </c>
      <c r="D515" t="inlineStr">
        <is>
          <t>JÄMTLANDS LÄN</t>
        </is>
      </c>
      <c r="E515" t="inlineStr">
        <is>
          <t>RAGUNDA</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9847-2025</t>
        </is>
      </c>
      <c r="B516" s="1" t="n">
        <v>45716.61487268518</v>
      </c>
      <c r="C516" s="1" t="n">
        <v>46004</v>
      </c>
      <c r="D516" t="inlineStr">
        <is>
          <t>JÄMTLANDS LÄN</t>
        </is>
      </c>
      <c r="E516" t="inlineStr">
        <is>
          <t>RAGUNDA</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53263-2024</t>
        </is>
      </c>
      <c r="B517" s="1" t="n">
        <v>45614.34541666666</v>
      </c>
      <c r="C517" s="1" t="n">
        <v>46004</v>
      </c>
      <c r="D517" t="inlineStr">
        <is>
          <t>JÄMTLANDS LÄN</t>
        </is>
      </c>
      <c r="E517" t="inlineStr">
        <is>
          <t>RAGUNDA</t>
        </is>
      </c>
      <c r="G517" t="n">
        <v>1.9</v>
      </c>
      <c r="H517" t="n">
        <v>0</v>
      </c>
      <c r="I517" t="n">
        <v>0</v>
      </c>
      <c r="J517" t="n">
        <v>0</v>
      </c>
      <c r="K517" t="n">
        <v>0</v>
      </c>
      <c r="L517" t="n">
        <v>0</v>
      </c>
      <c r="M517" t="n">
        <v>0</v>
      </c>
      <c r="N517" t="n">
        <v>0</v>
      </c>
      <c r="O517" t="n">
        <v>0</v>
      </c>
      <c r="P517" t="n">
        <v>0</v>
      </c>
      <c r="Q517" t="n">
        <v>0</v>
      </c>
      <c r="R517" s="2" t="inlineStr"/>
    </row>
    <row r="518" ht="15" customHeight="1">
      <c r="A518" t="inlineStr">
        <is>
          <t>A 464-2023</t>
        </is>
      </c>
      <c r="B518" s="1" t="n">
        <v>44929.92489583333</v>
      </c>
      <c r="C518" s="1" t="n">
        <v>46004</v>
      </c>
      <c r="D518" t="inlineStr">
        <is>
          <t>JÄMTLANDS LÄN</t>
        </is>
      </c>
      <c r="E518" t="inlineStr">
        <is>
          <t>RAGUNDA</t>
        </is>
      </c>
      <c r="G518" t="n">
        <v>1.4</v>
      </c>
      <c r="H518" t="n">
        <v>0</v>
      </c>
      <c r="I518" t="n">
        <v>0</v>
      </c>
      <c r="J518" t="n">
        <v>0</v>
      </c>
      <c r="K518" t="n">
        <v>0</v>
      </c>
      <c r="L518" t="n">
        <v>0</v>
      </c>
      <c r="M518" t="n">
        <v>0</v>
      </c>
      <c r="N518" t="n">
        <v>0</v>
      </c>
      <c r="O518" t="n">
        <v>0</v>
      </c>
      <c r="P518" t="n">
        <v>0</v>
      </c>
      <c r="Q518" t="n">
        <v>0</v>
      </c>
      <c r="R518" s="2" t="inlineStr"/>
    </row>
    <row r="519" ht="15" customHeight="1">
      <c r="A519" t="inlineStr">
        <is>
          <t>A 26645-2024</t>
        </is>
      </c>
      <c r="B519" s="1" t="n">
        <v>45469.94667824074</v>
      </c>
      <c r="C519" s="1" t="n">
        <v>46004</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893-2025</t>
        </is>
      </c>
      <c r="B520" s="1" t="n">
        <v>45665.65684027778</v>
      </c>
      <c r="C520" s="1" t="n">
        <v>46004</v>
      </c>
      <c r="D520" t="inlineStr">
        <is>
          <t>JÄMTLANDS LÄN</t>
        </is>
      </c>
      <c r="E520" t="inlineStr">
        <is>
          <t>RAGUNDA</t>
        </is>
      </c>
      <c r="F520" t="inlineStr">
        <is>
          <t>SCA</t>
        </is>
      </c>
      <c r="G520" t="n">
        <v>45.1</v>
      </c>
      <c r="H520" t="n">
        <v>0</v>
      </c>
      <c r="I520" t="n">
        <v>0</v>
      </c>
      <c r="J520" t="n">
        <v>0</v>
      </c>
      <c r="K520" t="n">
        <v>0</v>
      </c>
      <c r="L520" t="n">
        <v>0</v>
      </c>
      <c r="M520" t="n">
        <v>0</v>
      </c>
      <c r="N520" t="n">
        <v>0</v>
      </c>
      <c r="O520" t="n">
        <v>0</v>
      </c>
      <c r="P520" t="n">
        <v>0</v>
      </c>
      <c r="Q520" t="n">
        <v>0</v>
      </c>
      <c r="R520" s="2" t="inlineStr"/>
    </row>
    <row r="521" ht="15" customHeight="1">
      <c r="A521" t="inlineStr">
        <is>
          <t>A 31135-2023</t>
        </is>
      </c>
      <c r="B521" s="1" t="n">
        <v>45103</v>
      </c>
      <c r="C521" s="1" t="n">
        <v>46004</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53769-2023</t>
        </is>
      </c>
      <c r="B522" s="1" t="n">
        <v>45230</v>
      </c>
      <c r="C522" s="1" t="n">
        <v>46004</v>
      </c>
      <c r="D522" t="inlineStr">
        <is>
          <t>JÄMTLANDS LÄN</t>
        </is>
      </c>
      <c r="E522" t="inlineStr">
        <is>
          <t>RAGUNDA</t>
        </is>
      </c>
      <c r="F522" t="inlineStr">
        <is>
          <t>SCA</t>
        </is>
      </c>
      <c r="G522" t="n">
        <v>11.6</v>
      </c>
      <c r="H522" t="n">
        <v>0</v>
      </c>
      <c r="I522" t="n">
        <v>0</v>
      </c>
      <c r="J522" t="n">
        <v>0</v>
      </c>
      <c r="K522" t="n">
        <v>0</v>
      </c>
      <c r="L522" t="n">
        <v>0</v>
      </c>
      <c r="M522" t="n">
        <v>0</v>
      </c>
      <c r="N522" t="n">
        <v>0</v>
      </c>
      <c r="O522" t="n">
        <v>0</v>
      </c>
      <c r="P522" t="n">
        <v>0</v>
      </c>
      <c r="Q522" t="n">
        <v>0</v>
      </c>
      <c r="R522" s="2" t="inlineStr"/>
    </row>
    <row r="523" ht="15" customHeight="1">
      <c r="A523" t="inlineStr">
        <is>
          <t>A 52228-2024</t>
        </is>
      </c>
      <c r="B523" s="1" t="n">
        <v>45608.6078587963</v>
      </c>
      <c r="C523" s="1" t="n">
        <v>46004</v>
      </c>
      <c r="D523" t="inlineStr">
        <is>
          <t>JÄMTLANDS LÄN</t>
        </is>
      </c>
      <c r="E523" t="inlineStr">
        <is>
          <t>RAGUNDA</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28173-2024</t>
        </is>
      </c>
      <c r="B524" s="1" t="n">
        <v>45476.94533564815</v>
      </c>
      <c r="C524" s="1" t="n">
        <v>46004</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23734-2024</t>
        </is>
      </c>
      <c r="B525" s="1" t="n">
        <v>45454.95960648148</v>
      </c>
      <c r="C525" s="1" t="n">
        <v>46004</v>
      </c>
      <c r="D525" t="inlineStr">
        <is>
          <t>JÄMTLANDS LÄN</t>
        </is>
      </c>
      <c r="E525" t="inlineStr">
        <is>
          <t>RAGUNDA</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38425-2022</t>
        </is>
      </c>
      <c r="B526" s="1" t="n">
        <v>44812.94709490741</v>
      </c>
      <c r="C526" s="1" t="n">
        <v>46004</v>
      </c>
      <c r="D526" t="inlineStr">
        <is>
          <t>JÄMTLANDS LÄN</t>
        </is>
      </c>
      <c r="E526" t="inlineStr">
        <is>
          <t>RAGUNDA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2224-2024</t>
        </is>
      </c>
      <c r="B527" s="1" t="n">
        <v>45309.92524305556</v>
      </c>
      <c r="C527" s="1" t="n">
        <v>46004</v>
      </c>
      <c r="D527" t="inlineStr">
        <is>
          <t>JÄMTLANDS LÄN</t>
        </is>
      </c>
      <c r="E527" t="inlineStr">
        <is>
          <t>RAGUNDA</t>
        </is>
      </c>
      <c r="G527" t="n">
        <v>0.9</v>
      </c>
      <c r="H527" t="n">
        <v>0</v>
      </c>
      <c r="I527" t="n">
        <v>0</v>
      </c>
      <c r="J527" t="n">
        <v>0</v>
      </c>
      <c r="K527" t="n">
        <v>0</v>
      </c>
      <c r="L527" t="n">
        <v>0</v>
      </c>
      <c r="M527" t="n">
        <v>0</v>
      </c>
      <c r="N527" t="n">
        <v>0</v>
      </c>
      <c r="O527" t="n">
        <v>0</v>
      </c>
      <c r="P527" t="n">
        <v>0</v>
      </c>
      <c r="Q527" t="n">
        <v>0</v>
      </c>
      <c r="R527" s="2" t="inlineStr"/>
    </row>
    <row r="528" ht="15" customHeight="1">
      <c r="A528" t="inlineStr">
        <is>
          <t>A 1523-2024</t>
        </is>
      </c>
      <c r="B528" s="1" t="n">
        <v>45306</v>
      </c>
      <c r="C528" s="1" t="n">
        <v>46004</v>
      </c>
      <c r="D528" t="inlineStr">
        <is>
          <t>JÄMTLANDS LÄN</t>
        </is>
      </c>
      <c r="E528" t="inlineStr">
        <is>
          <t>RAGUNDA</t>
        </is>
      </c>
      <c r="G528" t="n">
        <v>4.1</v>
      </c>
      <c r="H528" t="n">
        <v>0</v>
      </c>
      <c r="I528" t="n">
        <v>0</v>
      </c>
      <c r="J528" t="n">
        <v>0</v>
      </c>
      <c r="K528" t="n">
        <v>0</v>
      </c>
      <c r="L528" t="n">
        <v>0</v>
      </c>
      <c r="M528" t="n">
        <v>0</v>
      </c>
      <c r="N528" t="n">
        <v>0</v>
      </c>
      <c r="O528" t="n">
        <v>0</v>
      </c>
      <c r="P528" t="n">
        <v>0</v>
      </c>
      <c r="Q528" t="n">
        <v>0</v>
      </c>
      <c r="R528" s="2" t="inlineStr"/>
    </row>
    <row r="529" ht="15" customHeight="1">
      <c r="A529" t="inlineStr">
        <is>
          <t>A 12995-2023</t>
        </is>
      </c>
      <c r="B529" s="1" t="n">
        <v>45002.0328125</v>
      </c>
      <c r="C529" s="1" t="n">
        <v>46004</v>
      </c>
      <c r="D529" t="inlineStr">
        <is>
          <t>JÄMTLANDS LÄN</t>
        </is>
      </c>
      <c r="E529" t="inlineStr">
        <is>
          <t>RAGUNDA</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2242-2024</t>
        </is>
      </c>
      <c r="B530" s="1" t="n">
        <v>45309</v>
      </c>
      <c r="C530" s="1" t="n">
        <v>46004</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2248-2024</t>
        </is>
      </c>
      <c r="B531" s="1" t="n">
        <v>45309</v>
      </c>
      <c r="C531" s="1" t="n">
        <v>46004</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44755-2024</t>
        </is>
      </c>
      <c r="B532" s="1" t="n">
        <v>45574.61184027778</v>
      </c>
      <c r="C532" s="1" t="n">
        <v>46004</v>
      </c>
      <c r="D532" t="inlineStr">
        <is>
          <t>JÄMTLANDS LÄN</t>
        </is>
      </c>
      <c r="E532" t="inlineStr">
        <is>
          <t>RAGUNDA</t>
        </is>
      </c>
      <c r="G532" t="n">
        <v>4.4</v>
      </c>
      <c r="H532" t="n">
        <v>0</v>
      </c>
      <c r="I532" t="n">
        <v>0</v>
      </c>
      <c r="J532" t="n">
        <v>0</v>
      </c>
      <c r="K532" t="n">
        <v>0</v>
      </c>
      <c r="L532" t="n">
        <v>0</v>
      </c>
      <c r="M532" t="n">
        <v>0</v>
      </c>
      <c r="N532" t="n">
        <v>0</v>
      </c>
      <c r="O532" t="n">
        <v>0</v>
      </c>
      <c r="P532" t="n">
        <v>0</v>
      </c>
      <c r="Q532" t="n">
        <v>0</v>
      </c>
      <c r="R532" s="2" t="inlineStr"/>
    </row>
    <row r="533" ht="15" customHeight="1">
      <c r="A533" t="inlineStr">
        <is>
          <t>A 44766-2024</t>
        </is>
      </c>
      <c r="B533" s="1" t="n">
        <v>45574.62297453704</v>
      </c>
      <c r="C533" s="1" t="n">
        <v>46004</v>
      </c>
      <c r="D533" t="inlineStr">
        <is>
          <t>JÄMTLANDS LÄN</t>
        </is>
      </c>
      <c r="E533" t="inlineStr">
        <is>
          <t>RAGUNDA</t>
        </is>
      </c>
      <c r="G533" t="n">
        <v>3.2</v>
      </c>
      <c r="H533" t="n">
        <v>0</v>
      </c>
      <c r="I533" t="n">
        <v>0</v>
      </c>
      <c r="J533" t="n">
        <v>0</v>
      </c>
      <c r="K533" t="n">
        <v>0</v>
      </c>
      <c r="L533" t="n">
        <v>0</v>
      </c>
      <c r="M533" t="n">
        <v>0</v>
      </c>
      <c r="N533" t="n">
        <v>0</v>
      </c>
      <c r="O533" t="n">
        <v>0</v>
      </c>
      <c r="P533" t="n">
        <v>0</v>
      </c>
      <c r="Q533" t="n">
        <v>0</v>
      </c>
      <c r="R533" s="2" t="inlineStr"/>
    </row>
    <row r="534" ht="15" customHeight="1">
      <c r="A534" t="inlineStr">
        <is>
          <t>A 58630-2024</t>
        </is>
      </c>
      <c r="B534" s="1" t="n">
        <v>45635.57331018519</v>
      </c>
      <c r="C534" s="1" t="n">
        <v>46004</v>
      </c>
      <c r="D534" t="inlineStr">
        <is>
          <t>JÄMTLANDS LÄN</t>
        </is>
      </c>
      <c r="E534" t="inlineStr">
        <is>
          <t>RAGUNDA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16676-2022</t>
        </is>
      </c>
      <c r="B535" s="1" t="n">
        <v>44672.94018518519</v>
      </c>
      <c r="C535" s="1" t="n">
        <v>46004</v>
      </c>
      <c r="D535" t="inlineStr">
        <is>
          <t>JÄMTLANDS LÄN</t>
        </is>
      </c>
      <c r="E535" t="inlineStr">
        <is>
          <t>RAGUNDA</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46549-2023</t>
        </is>
      </c>
      <c r="B536" s="1" t="n">
        <v>45197.94171296297</v>
      </c>
      <c r="C536" s="1" t="n">
        <v>46004</v>
      </c>
      <c r="D536" t="inlineStr">
        <is>
          <t>JÄMTLANDS LÄN</t>
        </is>
      </c>
      <c r="E536" t="inlineStr">
        <is>
          <t>RAGUNDA</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55536-2024</t>
        </is>
      </c>
      <c r="B537" s="1" t="n">
        <v>45622</v>
      </c>
      <c r="C537" s="1" t="n">
        <v>46004</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19264-2025</t>
        </is>
      </c>
      <c r="B538" s="1" t="n">
        <v>45769.51087962963</v>
      </c>
      <c r="C538" s="1" t="n">
        <v>46004</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44597-2024</t>
        </is>
      </c>
      <c r="B539" s="1" t="n">
        <v>45574.51087962963</v>
      </c>
      <c r="C539" s="1" t="n">
        <v>46004</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44598-2024</t>
        </is>
      </c>
      <c r="B540" s="1" t="n">
        <v>45574.51090277778</v>
      </c>
      <c r="C540" s="1" t="n">
        <v>46004</v>
      </c>
      <c r="D540" t="inlineStr">
        <is>
          <t>JÄMTLANDS LÄN</t>
        </is>
      </c>
      <c r="E540" t="inlineStr">
        <is>
          <t>RAGUNDA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32258-2024</t>
        </is>
      </c>
      <c r="B541" s="1" t="n">
        <v>45511</v>
      </c>
      <c r="C541" s="1" t="n">
        <v>46004</v>
      </c>
      <c r="D541" t="inlineStr">
        <is>
          <t>JÄMTLANDS LÄN</t>
        </is>
      </c>
      <c r="E541" t="inlineStr">
        <is>
          <t>RAGUNDA</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38270-2021</t>
        </is>
      </c>
      <c r="B542" s="1" t="n">
        <v>44405.92065972222</v>
      </c>
      <c r="C542" s="1" t="n">
        <v>46004</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29263-2024</t>
        </is>
      </c>
      <c r="B543" s="1" t="n">
        <v>45482.94891203703</v>
      </c>
      <c r="C543" s="1" t="n">
        <v>46004</v>
      </c>
      <c r="D543" t="inlineStr">
        <is>
          <t>JÄMTLANDS LÄN</t>
        </is>
      </c>
      <c r="E543" t="inlineStr">
        <is>
          <t>RAGUNDA</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29257-2024</t>
        </is>
      </c>
      <c r="B544" s="1" t="n">
        <v>45482.94815972223</v>
      </c>
      <c r="C544" s="1" t="n">
        <v>46004</v>
      </c>
      <c r="D544" t="inlineStr">
        <is>
          <t>JÄMTLANDS LÄN</t>
        </is>
      </c>
      <c r="E544" t="inlineStr">
        <is>
          <t>RAGUNDA</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27373-2023</t>
        </is>
      </c>
      <c r="B545" s="1" t="n">
        <v>45096.93866898148</v>
      </c>
      <c r="C545" s="1" t="n">
        <v>46004</v>
      </c>
      <c r="D545" t="inlineStr">
        <is>
          <t>JÄMTLANDS LÄN</t>
        </is>
      </c>
      <c r="E545" t="inlineStr">
        <is>
          <t>RAGUNDA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8800-2025</t>
        </is>
      </c>
      <c r="B546" s="1" t="n">
        <v>45712.65671296296</v>
      </c>
      <c r="C546" s="1" t="n">
        <v>46004</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62115-2024</t>
        </is>
      </c>
      <c r="B547" s="1" t="n">
        <v>45656</v>
      </c>
      <c r="C547" s="1" t="n">
        <v>46004</v>
      </c>
      <c r="D547" t="inlineStr">
        <is>
          <t>JÄMTLANDS LÄN</t>
        </is>
      </c>
      <c r="E547" t="inlineStr">
        <is>
          <t>RAGUNDA</t>
        </is>
      </c>
      <c r="G547" t="n">
        <v>3.3</v>
      </c>
      <c r="H547" t="n">
        <v>0</v>
      </c>
      <c r="I547" t="n">
        <v>0</v>
      </c>
      <c r="J547" t="n">
        <v>0</v>
      </c>
      <c r="K547" t="n">
        <v>0</v>
      </c>
      <c r="L547" t="n">
        <v>0</v>
      </c>
      <c r="M547" t="n">
        <v>0</v>
      </c>
      <c r="N547" t="n">
        <v>0</v>
      </c>
      <c r="O547" t="n">
        <v>0</v>
      </c>
      <c r="P547" t="n">
        <v>0</v>
      </c>
      <c r="Q547" t="n">
        <v>0</v>
      </c>
      <c r="R547" s="2" t="inlineStr"/>
    </row>
    <row r="548" ht="15" customHeight="1">
      <c r="A548" t="inlineStr">
        <is>
          <t>A 12653-2024</t>
        </is>
      </c>
      <c r="B548" s="1" t="n">
        <v>45384</v>
      </c>
      <c r="C548" s="1" t="n">
        <v>46004</v>
      </c>
      <c r="D548" t="inlineStr">
        <is>
          <t>JÄMTLANDS LÄN</t>
        </is>
      </c>
      <c r="E548" t="inlineStr">
        <is>
          <t>RAGUNDA</t>
        </is>
      </c>
      <c r="G548" t="n">
        <v>1.1</v>
      </c>
      <c r="H548" t="n">
        <v>0</v>
      </c>
      <c r="I548" t="n">
        <v>0</v>
      </c>
      <c r="J548" t="n">
        <v>0</v>
      </c>
      <c r="K548" t="n">
        <v>0</v>
      </c>
      <c r="L548" t="n">
        <v>0</v>
      </c>
      <c r="M548" t="n">
        <v>0</v>
      </c>
      <c r="N548" t="n">
        <v>0</v>
      </c>
      <c r="O548" t="n">
        <v>0</v>
      </c>
      <c r="P548" t="n">
        <v>0</v>
      </c>
      <c r="Q548" t="n">
        <v>0</v>
      </c>
      <c r="R548" s="2" t="inlineStr"/>
    </row>
    <row r="549" ht="15" customHeight="1">
      <c r="A549" t="inlineStr">
        <is>
          <t>A 50211-2023</t>
        </is>
      </c>
      <c r="B549" s="1" t="n">
        <v>45215.94657407407</v>
      </c>
      <c r="C549" s="1" t="n">
        <v>46004</v>
      </c>
      <c r="D549" t="inlineStr">
        <is>
          <t>JÄMTLANDS LÄN</t>
        </is>
      </c>
      <c r="E549" t="inlineStr">
        <is>
          <t>RAGUNDA</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29265-2024</t>
        </is>
      </c>
      <c r="B550" s="1" t="n">
        <v>45482.9491087963</v>
      </c>
      <c r="C550" s="1" t="n">
        <v>46004</v>
      </c>
      <c r="D550" t="inlineStr">
        <is>
          <t>JÄMTLANDS LÄN</t>
        </is>
      </c>
      <c r="E550" t="inlineStr">
        <is>
          <t>RAGUNDA</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27291-2022</t>
        </is>
      </c>
      <c r="B551" s="1" t="n">
        <v>44741.94070601852</v>
      </c>
      <c r="C551" s="1" t="n">
        <v>46004</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43132-2023</t>
        </is>
      </c>
      <c r="B552" s="1" t="n">
        <v>45182</v>
      </c>
      <c r="C552" s="1" t="n">
        <v>46004</v>
      </c>
      <c r="D552" t="inlineStr">
        <is>
          <t>JÄMTLANDS LÄN</t>
        </is>
      </c>
      <c r="E552" t="inlineStr">
        <is>
          <t>RAGUNDA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8776-2025</t>
        </is>
      </c>
      <c r="B553" s="1" t="n">
        <v>45712.61510416667</v>
      </c>
      <c r="C553" s="1" t="n">
        <v>46004</v>
      </c>
      <c r="D553" t="inlineStr">
        <is>
          <t>JÄMTLANDS LÄN</t>
        </is>
      </c>
      <c r="E553" t="inlineStr">
        <is>
          <t>RAGUNDA</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9232-2025</t>
        </is>
      </c>
      <c r="B554" s="1" t="n">
        <v>45714.55064814815</v>
      </c>
      <c r="C554" s="1" t="n">
        <v>46004</v>
      </c>
      <c r="D554" t="inlineStr">
        <is>
          <t>JÄMTLANDS LÄN</t>
        </is>
      </c>
      <c r="E554" t="inlineStr">
        <is>
          <t>RAGUNDA</t>
        </is>
      </c>
      <c r="G554" t="n">
        <v>1.9</v>
      </c>
      <c r="H554" t="n">
        <v>0</v>
      </c>
      <c r="I554" t="n">
        <v>0</v>
      </c>
      <c r="J554" t="n">
        <v>0</v>
      </c>
      <c r="K554" t="n">
        <v>0</v>
      </c>
      <c r="L554" t="n">
        <v>0</v>
      </c>
      <c r="M554" t="n">
        <v>0</v>
      </c>
      <c r="N554" t="n">
        <v>0</v>
      </c>
      <c r="O554" t="n">
        <v>0</v>
      </c>
      <c r="P554" t="n">
        <v>0</v>
      </c>
      <c r="Q554" t="n">
        <v>0</v>
      </c>
      <c r="R554" s="2" t="inlineStr"/>
    </row>
    <row r="555" ht="15" customHeight="1">
      <c r="A555" t="inlineStr">
        <is>
          <t>A 29775-2023</t>
        </is>
      </c>
      <c r="B555" s="1" t="n">
        <v>45098</v>
      </c>
      <c r="C555" s="1" t="n">
        <v>46004</v>
      </c>
      <c r="D555" t="inlineStr">
        <is>
          <t>JÄMTLANDS LÄN</t>
        </is>
      </c>
      <c r="E555" t="inlineStr">
        <is>
          <t>RAGUNDA</t>
        </is>
      </c>
      <c r="G555" t="n">
        <v>3.6</v>
      </c>
      <c r="H555" t="n">
        <v>0</v>
      </c>
      <c r="I555" t="n">
        <v>0</v>
      </c>
      <c r="J555" t="n">
        <v>0</v>
      </c>
      <c r="K555" t="n">
        <v>0</v>
      </c>
      <c r="L555" t="n">
        <v>0</v>
      </c>
      <c r="M555" t="n">
        <v>0</v>
      </c>
      <c r="N555" t="n">
        <v>0</v>
      </c>
      <c r="O555" t="n">
        <v>0</v>
      </c>
      <c r="P555" t="n">
        <v>0</v>
      </c>
      <c r="Q555" t="n">
        <v>0</v>
      </c>
      <c r="R555" s="2" t="inlineStr"/>
    </row>
    <row r="556" ht="15" customHeight="1">
      <c r="A556" t="inlineStr">
        <is>
          <t>A 14821-2025</t>
        </is>
      </c>
      <c r="B556" s="1" t="n">
        <v>45743.36</v>
      </c>
      <c r="C556" s="1" t="n">
        <v>46004</v>
      </c>
      <c r="D556" t="inlineStr">
        <is>
          <t>JÄMTLANDS LÄN</t>
        </is>
      </c>
      <c r="E556" t="inlineStr">
        <is>
          <t>RAGUNDA</t>
        </is>
      </c>
      <c r="F556" t="inlineStr">
        <is>
          <t>Kyrkan</t>
        </is>
      </c>
      <c r="G556" t="n">
        <v>6.4</v>
      </c>
      <c r="H556" t="n">
        <v>0</v>
      </c>
      <c r="I556" t="n">
        <v>0</v>
      </c>
      <c r="J556" t="n">
        <v>0</v>
      </c>
      <c r="K556" t="n">
        <v>0</v>
      </c>
      <c r="L556" t="n">
        <v>0</v>
      </c>
      <c r="M556" t="n">
        <v>0</v>
      </c>
      <c r="N556" t="n">
        <v>0</v>
      </c>
      <c r="O556" t="n">
        <v>0</v>
      </c>
      <c r="P556" t="n">
        <v>0</v>
      </c>
      <c r="Q556" t="n">
        <v>0</v>
      </c>
      <c r="R556" s="2" t="inlineStr"/>
    </row>
    <row r="557" ht="15" customHeight="1">
      <c r="A557" t="inlineStr">
        <is>
          <t>A 18610-2024</t>
        </is>
      </c>
      <c r="B557" s="1" t="n">
        <v>45425.96230324074</v>
      </c>
      <c r="C557" s="1" t="n">
        <v>46004</v>
      </c>
      <c r="D557" t="inlineStr">
        <is>
          <t>JÄMTLANDS LÄN</t>
        </is>
      </c>
      <c r="E557" t="inlineStr">
        <is>
          <t>RAGUNDA</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57116-2024</t>
        </is>
      </c>
      <c r="B558" s="1" t="n">
        <v>45629.36513888889</v>
      </c>
      <c r="C558" s="1" t="n">
        <v>46004</v>
      </c>
      <c r="D558" t="inlineStr">
        <is>
          <t>JÄMTLANDS LÄN</t>
        </is>
      </c>
      <c r="E558" t="inlineStr">
        <is>
          <t>RAGUNDA</t>
        </is>
      </c>
      <c r="G558" t="n">
        <v>0.6</v>
      </c>
      <c r="H558" t="n">
        <v>0</v>
      </c>
      <c r="I558" t="n">
        <v>0</v>
      </c>
      <c r="J558" t="n">
        <v>0</v>
      </c>
      <c r="K558" t="n">
        <v>0</v>
      </c>
      <c r="L558" t="n">
        <v>0</v>
      </c>
      <c r="M558" t="n">
        <v>0</v>
      </c>
      <c r="N558" t="n">
        <v>0</v>
      </c>
      <c r="O558" t="n">
        <v>0</v>
      </c>
      <c r="P558" t="n">
        <v>0</v>
      </c>
      <c r="Q558" t="n">
        <v>0</v>
      </c>
      <c r="R558" s="2" t="inlineStr"/>
    </row>
    <row r="559" ht="15" customHeight="1">
      <c r="A559" t="inlineStr">
        <is>
          <t>A 44494-2024</t>
        </is>
      </c>
      <c r="B559" s="1" t="n">
        <v>45574.39081018518</v>
      </c>
      <c r="C559" s="1" t="n">
        <v>46004</v>
      </c>
      <c r="D559" t="inlineStr">
        <is>
          <t>JÄMTLANDS LÄN</t>
        </is>
      </c>
      <c r="E559" t="inlineStr">
        <is>
          <t>RAGUNDA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3104-2025</t>
        </is>
      </c>
      <c r="B560" s="1" t="n">
        <v>45678.67761574074</v>
      </c>
      <c r="C560" s="1" t="n">
        <v>46004</v>
      </c>
      <c r="D560" t="inlineStr">
        <is>
          <t>JÄMTLANDS LÄN</t>
        </is>
      </c>
      <c r="E560" t="inlineStr">
        <is>
          <t>RAGUNDA</t>
        </is>
      </c>
      <c r="F560" t="inlineStr">
        <is>
          <t>SCA</t>
        </is>
      </c>
      <c r="G560" t="n">
        <v>46.2</v>
      </c>
      <c r="H560" t="n">
        <v>0</v>
      </c>
      <c r="I560" t="n">
        <v>0</v>
      </c>
      <c r="J560" t="n">
        <v>0</v>
      </c>
      <c r="K560" t="n">
        <v>0</v>
      </c>
      <c r="L560" t="n">
        <v>0</v>
      </c>
      <c r="M560" t="n">
        <v>0</v>
      </c>
      <c r="N560" t="n">
        <v>0</v>
      </c>
      <c r="O560" t="n">
        <v>0</v>
      </c>
      <c r="P560" t="n">
        <v>0</v>
      </c>
      <c r="Q560" t="n">
        <v>0</v>
      </c>
      <c r="R560" s="2" t="inlineStr"/>
    </row>
    <row r="561" ht="15" customHeight="1">
      <c r="A561" t="inlineStr">
        <is>
          <t>A 36375-2022</t>
        </is>
      </c>
      <c r="B561" s="1" t="n">
        <v>44803.94351851852</v>
      </c>
      <c r="C561" s="1" t="n">
        <v>46004</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13898-2023</t>
        </is>
      </c>
      <c r="B562" s="1" t="n">
        <v>45008.01408564814</v>
      </c>
      <c r="C562" s="1" t="n">
        <v>46004</v>
      </c>
      <c r="D562" t="inlineStr">
        <is>
          <t>JÄMTLANDS LÄN</t>
        </is>
      </c>
      <c r="E562" t="inlineStr">
        <is>
          <t>RAGUNDA</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8679-2023</t>
        </is>
      </c>
      <c r="B563" s="1" t="n">
        <v>44977.98670138889</v>
      </c>
      <c r="C563" s="1" t="n">
        <v>46004</v>
      </c>
      <c r="D563" t="inlineStr">
        <is>
          <t>JÄMTLANDS LÄN</t>
        </is>
      </c>
      <c r="E563" t="inlineStr">
        <is>
          <t>RAGUNDA</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40246-2024</t>
        </is>
      </c>
      <c r="B564" s="1" t="n">
        <v>45554.61583333334</v>
      </c>
      <c r="C564" s="1" t="n">
        <v>46004</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56284-2023</t>
        </is>
      </c>
      <c r="B565" s="1" t="n">
        <v>45241.95724537037</v>
      </c>
      <c r="C565" s="1" t="n">
        <v>46004</v>
      </c>
      <c r="D565" t="inlineStr">
        <is>
          <t>JÄMTLANDS LÄN</t>
        </is>
      </c>
      <c r="E565" t="inlineStr">
        <is>
          <t>RAGUNDA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9325-2024</t>
        </is>
      </c>
      <c r="B566" s="1" t="n">
        <v>45358.95813657407</v>
      </c>
      <c r="C566" s="1" t="n">
        <v>46004</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5930-2025</t>
        </is>
      </c>
      <c r="B567" s="1" t="n">
        <v>45695.44724537037</v>
      </c>
      <c r="C567" s="1" t="n">
        <v>46004</v>
      </c>
      <c r="D567" t="inlineStr">
        <is>
          <t>JÄMTLANDS LÄN</t>
        </is>
      </c>
      <c r="E567" t="inlineStr">
        <is>
          <t>RAGUNDA</t>
        </is>
      </c>
      <c r="G567" t="n">
        <v>0.7</v>
      </c>
      <c r="H567" t="n">
        <v>0</v>
      </c>
      <c r="I567" t="n">
        <v>0</v>
      </c>
      <c r="J567" t="n">
        <v>0</v>
      </c>
      <c r="K567" t="n">
        <v>0</v>
      </c>
      <c r="L567" t="n">
        <v>0</v>
      </c>
      <c r="M567" t="n">
        <v>0</v>
      </c>
      <c r="N567" t="n">
        <v>0</v>
      </c>
      <c r="O567" t="n">
        <v>0</v>
      </c>
      <c r="P567" t="n">
        <v>0</v>
      </c>
      <c r="Q567" t="n">
        <v>0</v>
      </c>
      <c r="R567" s="2" t="inlineStr"/>
    </row>
    <row r="568" ht="15" customHeight="1">
      <c r="A568" t="inlineStr">
        <is>
          <t>A 4878-2022</t>
        </is>
      </c>
      <c r="B568" s="1" t="n">
        <v>44593</v>
      </c>
      <c r="C568" s="1" t="n">
        <v>46004</v>
      </c>
      <c r="D568" t="inlineStr">
        <is>
          <t>JÄMTLANDS LÄN</t>
        </is>
      </c>
      <c r="E568" t="inlineStr">
        <is>
          <t>RAGUNDA</t>
        </is>
      </c>
      <c r="G568" t="n">
        <v>21.7</v>
      </c>
      <c r="H568" t="n">
        <v>0</v>
      </c>
      <c r="I568" t="n">
        <v>0</v>
      </c>
      <c r="J568" t="n">
        <v>0</v>
      </c>
      <c r="K568" t="n">
        <v>0</v>
      </c>
      <c r="L568" t="n">
        <v>0</v>
      </c>
      <c r="M568" t="n">
        <v>0</v>
      </c>
      <c r="N568" t="n">
        <v>0</v>
      </c>
      <c r="O568" t="n">
        <v>0</v>
      </c>
      <c r="P568" t="n">
        <v>0</v>
      </c>
      <c r="Q568" t="n">
        <v>0</v>
      </c>
      <c r="R568" s="2" t="inlineStr"/>
    </row>
    <row r="569" ht="15" customHeight="1">
      <c r="A569" t="inlineStr">
        <is>
          <t>A 57170-2024</t>
        </is>
      </c>
      <c r="B569" s="1" t="n">
        <v>45629.42759259259</v>
      </c>
      <c r="C569" s="1" t="n">
        <v>46004</v>
      </c>
      <c r="D569" t="inlineStr">
        <is>
          <t>JÄMTLANDS LÄN</t>
        </is>
      </c>
      <c r="E569" t="inlineStr">
        <is>
          <t>RAGUNDA</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57237-2022</t>
        </is>
      </c>
      <c r="B570" s="1" t="n">
        <v>44889</v>
      </c>
      <c r="C570" s="1" t="n">
        <v>46004</v>
      </c>
      <c r="D570" t="inlineStr">
        <is>
          <t>JÄMTLANDS LÄN</t>
        </is>
      </c>
      <c r="E570" t="inlineStr">
        <is>
          <t>RAGUNDA</t>
        </is>
      </c>
      <c r="G570" t="n">
        <v>2.2</v>
      </c>
      <c r="H570" t="n">
        <v>0</v>
      </c>
      <c r="I570" t="n">
        <v>0</v>
      </c>
      <c r="J570" t="n">
        <v>0</v>
      </c>
      <c r="K570" t="n">
        <v>0</v>
      </c>
      <c r="L570" t="n">
        <v>0</v>
      </c>
      <c r="M570" t="n">
        <v>0</v>
      </c>
      <c r="N570" t="n">
        <v>0</v>
      </c>
      <c r="O570" t="n">
        <v>0</v>
      </c>
      <c r="P570" t="n">
        <v>0</v>
      </c>
      <c r="Q570" t="n">
        <v>0</v>
      </c>
      <c r="R570" s="2" t="inlineStr"/>
    </row>
    <row r="571" ht="15" customHeight="1">
      <c r="A571" t="inlineStr">
        <is>
          <t>A 26026-2024</t>
        </is>
      </c>
      <c r="B571" s="1" t="n">
        <v>45467.96207175926</v>
      </c>
      <c r="C571" s="1" t="n">
        <v>46004</v>
      </c>
      <c r="D571" t="inlineStr">
        <is>
          <t>JÄMTLANDS LÄN</t>
        </is>
      </c>
      <c r="E571" t="inlineStr">
        <is>
          <t>RAGUNDA</t>
        </is>
      </c>
      <c r="F571" t="inlineStr">
        <is>
          <t>SCA</t>
        </is>
      </c>
      <c r="G571" t="n">
        <v>0.5</v>
      </c>
      <c r="H571" t="n">
        <v>0</v>
      </c>
      <c r="I571" t="n">
        <v>0</v>
      </c>
      <c r="J571" t="n">
        <v>0</v>
      </c>
      <c r="K571" t="n">
        <v>0</v>
      </c>
      <c r="L571" t="n">
        <v>0</v>
      </c>
      <c r="M571" t="n">
        <v>0</v>
      </c>
      <c r="N571" t="n">
        <v>0</v>
      </c>
      <c r="O571" t="n">
        <v>0</v>
      </c>
      <c r="P571" t="n">
        <v>0</v>
      </c>
      <c r="Q571" t="n">
        <v>0</v>
      </c>
      <c r="R571" s="2" t="inlineStr"/>
    </row>
    <row r="572" ht="15" customHeight="1">
      <c r="A572" t="inlineStr">
        <is>
          <t>A 5429-2024</t>
        </is>
      </c>
      <c r="B572" s="1" t="n">
        <v>45331.92746527777</v>
      </c>
      <c r="C572" s="1" t="n">
        <v>46004</v>
      </c>
      <c r="D572" t="inlineStr">
        <is>
          <t>JÄMTLANDS LÄN</t>
        </is>
      </c>
      <c r="E572" t="inlineStr">
        <is>
          <t>RAGUNDA</t>
        </is>
      </c>
      <c r="G572" t="n">
        <v>1.1</v>
      </c>
      <c r="H572" t="n">
        <v>0</v>
      </c>
      <c r="I572" t="n">
        <v>0</v>
      </c>
      <c r="J572" t="n">
        <v>0</v>
      </c>
      <c r="K572" t="n">
        <v>0</v>
      </c>
      <c r="L572" t="n">
        <v>0</v>
      </c>
      <c r="M572" t="n">
        <v>0</v>
      </c>
      <c r="N572" t="n">
        <v>0</v>
      </c>
      <c r="O572" t="n">
        <v>0</v>
      </c>
      <c r="P572" t="n">
        <v>0</v>
      </c>
      <c r="Q572" t="n">
        <v>0</v>
      </c>
      <c r="R572" s="2" t="inlineStr"/>
    </row>
    <row r="573" ht="15" customHeight="1">
      <c r="A573" t="inlineStr">
        <is>
          <t>A 2133-2023</t>
        </is>
      </c>
      <c r="B573" s="1" t="n">
        <v>44939</v>
      </c>
      <c r="C573" s="1" t="n">
        <v>46004</v>
      </c>
      <c r="D573" t="inlineStr">
        <is>
          <t>JÄMTLANDS LÄN</t>
        </is>
      </c>
      <c r="E573" t="inlineStr">
        <is>
          <t>RAGUNDA</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19419-2024</t>
        </is>
      </c>
      <c r="B574" s="1" t="n">
        <v>45429</v>
      </c>
      <c r="C574" s="1" t="n">
        <v>46004</v>
      </c>
      <c r="D574" t="inlineStr">
        <is>
          <t>JÄMTLANDS LÄN</t>
        </is>
      </c>
      <c r="E574" t="inlineStr">
        <is>
          <t>RAGUNDA</t>
        </is>
      </c>
      <c r="G574" t="n">
        <v>3.5</v>
      </c>
      <c r="H574" t="n">
        <v>0</v>
      </c>
      <c r="I574" t="n">
        <v>0</v>
      </c>
      <c r="J574" t="n">
        <v>0</v>
      </c>
      <c r="K574" t="n">
        <v>0</v>
      </c>
      <c r="L574" t="n">
        <v>0</v>
      </c>
      <c r="M574" t="n">
        <v>0</v>
      </c>
      <c r="N574" t="n">
        <v>0</v>
      </c>
      <c r="O574" t="n">
        <v>0</v>
      </c>
      <c r="P574" t="n">
        <v>0</v>
      </c>
      <c r="Q574" t="n">
        <v>0</v>
      </c>
      <c r="R574" s="2" t="inlineStr"/>
    </row>
    <row r="575" ht="15" customHeight="1">
      <c r="A575" t="inlineStr">
        <is>
          <t>A 3720-2025</t>
        </is>
      </c>
      <c r="B575" s="1" t="n">
        <v>45681.5315625</v>
      </c>
      <c r="C575" s="1" t="n">
        <v>46004</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3770-2025</t>
        </is>
      </c>
      <c r="B576" s="1" t="n">
        <v>45681.6050925926</v>
      </c>
      <c r="C576" s="1" t="n">
        <v>46004</v>
      </c>
      <c r="D576" t="inlineStr">
        <is>
          <t>JÄMTLANDS LÄN</t>
        </is>
      </c>
      <c r="E576" t="inlineStr">
        <is>
          <t>RAGUNDA</t>
        </is>
      </c>
      <c r="G576" t="n">
        <v>2.7</v>
      </c>
      <c r="H576" t="n">
        <v>0</v>
      </c>
      <c r="I576" t="n">
        <v>0</v>
      </c>
      <c r="J576" t="n">
        <v>0</v>
      </c>
      <c r="K576" t="n">
        <v>0</v>
      </c>
      <c r="L576" t="n">
        <v>0</v>
      </c>
      <c r="M576" t="n">
        <v>0</v>
      </c>
      <c r="N576" t="n">
        <v>0</v>
      </c>
      <c r="O576" t="n">
        <v>0</v>
      </c>
      <c r="P576" t="n">
        <v>0</v>
      </c>
      <c r="Q576" t="n">
        <v>0</v>
      </c>
      <c r="R576" s="2" t="inlineStr"/>
    </row>
    <row r="577" ht="15" customHeight="1">
      <c r="A577" t="inlineStr">
        <is>
          <t>A 8795-2022</t>
        </is>
      </c>
      <c r="B577" s="1" t="n">
        <v>44614</v>
      </c>
      <c r="C577" s="1" t="n">
        <v>46004</v>
      </c>
      <c r="D577" t="inlineStr">
        <is>
          <t>JÄMTLANDS LÄN</t>
        </is>
      </c>
      <c r="E577" t="inlineStr">
        <is>
          <t>RAGUNDA</t>
        </is>
      </c>
      <c r="G577" t="n">
        <v>3.9</v>
      </c>
      <c r="H577" t="n">
        <v>0</v>
      </c>
      <c r="I577" t="n">
        <v>0</v>
      </c>
      <c r="J577" t="n">
        <v>0</v>
      </c>
      <c r="K577" t="n">
        <v>0</v>
      </c>
      <c r="L577" t="n">
        <v>0</v>
      </c>
      <c r="M577" t="n">
        <v>0</v>
      </c>
      <c r="N577" t="n">
        <v>0</v>
      </c>
      <c r="O577" t="n">
        <v>0</v>
      </c>
      <c r="P577" t="n">
        <v>0</v>
      </c>
      <c r="Q577" t="n">
        <v>0</v>
      </c>
      <c r="R577" s="2" t="inlineStr"/>
    </row>
    <row r="578" ht="15" customHeight="1">
      <c r="A578" t="inlineStr">
        <is>
          <t>A 61045-2022</t>
        </is>
      </c>
      <c r="B578" s="1" t="n">
        <v>44914</v>
      </c>
      <c r="C578" s="1" t="n">
        <v>46004</v>
      </c>
      <c r="D578" t="inlineStr">
        <is>
          <t>JÄMTLANDS LÄN</t>
        </is>
      </c>
      <c r="E578" t="inlineStr">
        <is>
          <t>RAGUNDA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19383-2025</t>
        </is>
      </c>
      <c r="B579" s="1" t="n">
        <v>45769.65688657408</v>
      </c>
      <c r="C579" s="1" t="n">
        <v>46004</v>
      </c>
      <c r="D579" t="inlineStr">
        <is>
          <t>JÄMTLANDS LÄN</t>
        </is>
      </c>
      <c r="E579" t="inlineStr">
        <is>
          <t>RAGUNDA</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51579-2024</t>
        </is>
      </c>
      <c r="B580" s="1" t="n">
        <v>45604.63575231482</v>
      </c>
      <c r="C580" s="1" t="n">
        <v>46004</v>
      </c>
      <c r="D580" t="inlineStr">
        <is>
          <t>JÄMTLANDS LÄN</t>
        </is>
      </c>
      <c r="E580" t="inlineStr">
        <is>
          <t>RAGUNDA</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8775-2025</t>
        </is>
      </c>
      <c r="B581" s="1" t="n">
        <v>45712.61502314815</v>
      </c>
      <c r="C581" s="1" t="n">
        <v>46004</v>
      </c>
      <c r="D581" t="inlineStr">
        <is>
          <t>JÄMTLANDS LÄN</t>
        </is>
      </c>
      <c r="E581" t="inlineStr">
        <is>
          <t>RAGUNDA</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49229-2024</t>
        </is>
      </c>
      <c r="B582" s="1" t="n">
        <v>45595.42738425926</v>
      </c>
      <c r="C582" s="1" t="n">
        <v>46004</v>
      </c>
      <c r="D582" t="inlineStr">
        <is>
          <t>JÄMTLANDS LÄN</t>
        </is>
      </c>
      <c r="E582" t="inlineStr">
        <is>
          <t>RAGUNDA</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13700-2023</t>
        </is>
      </c>
      <c r="B583" s="1" t="n">
        <v>45006</v>
      </c>
      <c r="C583" s="1" t="n">
        <v>46004</v>
      </c>
      <c r="D583" t="inlineStr">
        <is>
          <t>JÄMTLANDS LÄN</t>
        </is>
      </c>
      <c r="E583" t="inlineStr">
        <is>
          <t>RAGUNDA</t>
        </is>
      </c>
      <c r="F583" t="inlineStr">
        <is>
          <t>SCA</t>
        </is>
      </c>
      <c r="G583" t="n">
        <v>50.3</v>
      </c>
      <c r="H583" t="n">
        <v>0</v>
      </c>
      <c r="I583" t="n">
        <v>0</v>
      </c>
      <c r="J583" t="n">
        <v>0</v>
      </c>
      <c r="K583" t="n">
        <v>0</v>
      </c>
      <c r="L583" t="n">
        <v>0</v>
      </c>
      <c r="M583" t="n">
        <v>0</v>
      </c>
      <c r="N583" t="n">
        <v>0</v>
      </c>
      <c r="O583" t="n">
        <v>0</v>
      </c>
      <c r="P583" t="n">
        <v>0</v>
      </c>
      <c r="Q583" t="n">
        <v>0</v>
      </c>
      <c r="R583" s="2" t="inlineStr"/>
    </row>
    <row r="584" ht="15" customHeight="1">
      <c r="A584" t="inlineStr">
        <is>
          <t>A 61197-2023</t>
        </is>
      </c>
      <c r="B584" s="1" t="n">
        <v>45260</v>
      </c>
      <c r="C584" s="1" t="n">
        <v>46004</v>
      </c>
      <c r="D584" t="inlineStr">
        <is>
          <t>JÄMTLANDS LÄN</t>
        </is>
      </c>
      <c r="E584" t="inlineStr">
        <is>
          <t>RAGUNDA</t>
        </is>
      </c>
      <c r="G584" t="n">
        <v>2.5</v>
      </c>
      <c r="H584" t="n">
        <v>0</v>
      </c>
      <c r="I584" t="n">
        <v>0</v>
      </c>
      <c r="J584" t="n">
        <v>0</v>
      </c>
      <c r="K584" t="n">
        <v>0</v>
      </c>
      <c r="L584" t="n">
        <v>0</v>
      </c>
      <c r="M584" t="n">
        <v>0</v>
      </c>
      <c r="N584" t="n">
        <v>0</v>
      </c>
      <c r="O584" t="n">
        <v>0</v>
      </c>
      <c r="P584" t="n">
        <v>0</v>
      </c>
      <c r="Q584" t="n">
        <v>0</v>
      </c>
      <c r="R584" s="2" t="inlineStr"/>
    </row>
    <row r="585" ht="15" customHeight="1">
      <c r="A585" t="inlineStr">
        <is>
          <t>A 51389-2024</t>
        </is>
      </c>
      <c r="B585" s="1" t="n">
        <v>45604.40540509259</v>
      </c>
      <c r="C585" s="1" t="n">
        <v>46004</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51393-2024</t>
        </is>
      </c>
      <c r="B586" s="1" t="n">
        <v>45604.41625</v>
      </c>
      <c r="C586" s="1" t="n">
        <v>46004</v>
      </c>
      <c r="D586" t="inlineStr">
        <is>
          <t>JÄMTLANDS LÄN</t>
        </is>
      </c>
      <c r="E586" t="inlineStr">
        <is>
          <t>RAGUNDA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35265-2023</t>
        </is>
      </c>
      <c r="B587" s="1" t="n">
        <v>45145.95326388889</v>
      </c>
      <c r="C587" s="1" t="n">
        <v>46004</v>
      </c>
      <c r="D587" t="inlineStr">
        <is>
          <t>JÄMTLANDS LÄN</t>
        </is>
      </c>
      <c r="E587" t="inlineStr">
        <is>
          <t>RAGUNDA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13263-2025</t>
        </is>
      </c>
      <c r="B588" s="1" t="n">
        <v>45735.53177083333</v>
      </c>
      <c r="C588" s="1" t="n">
        <v>46004</v>
      </c>
      <c r="D588" t="inlineStr">
        <is>
          <t>JÄMTLANDS LÄN</t>
        </is>
      </c>
      <c r="E588" t="inlineStr">
        <is>
          <t>RAGUNDA</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48066-2022</t>
        </is>
      </c>
      <c r="B589" s="1" t="n">
        <v>44855</v>
      </c>
      <c r="C589" s="1" t="n">
        <v>46004</v>
      </c>
      <c r="D589" t="inlineStr">
        <is>
          <t>JÄMTLANDS LÄN</t>
        </is>
      </c>
      <c r="E589" t="inlineStr">
        <is>
          <t>RAGUNDA</t>
        </is>
      </c>
      <c r="F589" t="inlineStr">
        <is>
          <t>SCA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5148-2023</t>
        </is>
      </c>
      <c r="B590" s="1" t="n">
        <v>44958</v>
      </c>
      <c r="C590" s="1" t="n">
        <v>46004</v>
      </c>
      <c r="D590" t="inlineStr">
        <is>
          <t>JÄMTLANDS LÄN</t>
        </is>
      </c>
      <c r="E590" t="inlineStr">
        <is>
          <t>RAGUNDA</t>
        </is>
      </c>
      <c r="G590" t="n">
        <v>2.9</v>
      </c>
      <c r="H590" t="n">
        <v>0</v>
      </c>
      <c r="I590" t="n">
        <v>0</v>
      </c>
      <c r="J590" t="n">
        <v>0</v>
      </c>
      <c r="K590" t="n">
        <v>0</v>
      </c>
      <c r="L590" t="n">
        <v>0</v>
      </c>
      <c r="M590" t="n">
        <v>0</v>
      </c>
      <c r="N590" t="n">
        <v>0</v>
      </c>
      <c r="O590" t="n">
        <v>0</v>
      </c>
      <c r="P590" t="n">
        <v>0</v>
      </c>
      <c r="Q590" t="n">
        <v>0</v>
      </c>
      <c r="R590" s="2" t="inlineStr"/>
    </row>
    <row r="591" ht="15" customHeight="1">
      <c r="A591" t="inlineStr">
        <is>
          <t>A 66471-2021</t>
        </is>
      </c>
      <c r="B591" s="1" t="n">
        <v>44518</v>
      </c>
      <c r="C591" s="1" t="n">
        <v>46004</v>
      </c>
      <c r="D591" t="inlineStr">
        <is>
          <t>JÄMTLANDS LÄN</t>
        </is>
      </c>
      <c r="E591" t="inlineStr">
        <is>
          <t>RAGUNDA</t>
        </is>
      </c>
      <c r="G591" t="n">
        <v>13.4</v>
      </c>
      <c r="H591" t="n">
        <v>0</v>
      </c>
      <c r="I591" t="n">
        <v>0</v>
      </c>
      <c r="J591" t="n">
        <v>0</v>
      </c>
      <c r="K591" t="n">
        <v>0</v>
      </c>
      <c r="L591" t="n">
        <v>0</v>
      </c>
      <c r="M591" t="n">
        <v>0</v>
      </c>
      <c r="N591" t="n">
        <v>0</v>
      </c>
      <c r="O591" t="n">
        <v>0</v>
      </c>
      <c r="P591" t="n">
        <v>0</v>
      </c>
      <c r="Q591" t="n">
        <v>0</v>
      </c>
      <c r="R591" s="2" t="inlineStr"/>
    </row>
    <row r="592" ht="15" customHeight="1">
      <c r="A592" t="inlineStr">
        <is>
          <t>A 18778-2024</t>
        </is>
      </c>
      <c r="B592" s="1" t="n">
        <v>45426</v>
      </c>
      <c r="C592" s="1" t="n">
        <v>46004</v>
      </c>
      <c r="D592" t="inlineStr">
        <is>
          <t>JÄMTLANDS LÄN</t>
        </is>
      </c>
      <c r="E592" t="inlineStr">
        <is>
          <t>RAGUNDA</t>
        </is>
      </c>
      <c r="G592" t="n">
        <v>0.9</v>
      </c>
      <c r="H592" t="n">
        <v>0</v>
      </c>
      <c r="I592" t="n">
        <v>0</v>
      </c>
      <c r="J592" t="n">
        <v>0</v>
      </c>
      <c r="K592" t="n">
        <v>0</v>
      </c>
      <c r="L592" t="n">
        <v>0</v>
      </c>
      <c r="M592" t="n">
        <v>0</v>
      </c>
      <c r="N592" t="n">
        <v>0</v>
      </c>
      <c r="O592" t="n">
        <v>0</v>
      </c>
      <c r="P592" t="n">
        <v>0</v>
      </c>
      <c r="Q592" t="n">
        <v>0</v>
      </c>
      <c r="R592" s="2" t="inlineStr"/>
    </row>
    <row r="593" ht="15" customHeight="1">
      <c r="A593" t="inlineStr">
        <is>
          <t>A 59556-2024</t>
        </is>
      </c>
      <c r="B593" s="1" t="n">
        <v>45638.63600694444</v>
      </c>
      <c r="C593" s="1" t="n">
        <v>46004</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2339-2025</t>
        </is>
      </c>
      <c r="B594" s="1" t="n">
        <v>45673.66358796296</v>
      </c>
      <c r="C594" s="1" t="n">
        <v>46004</v>
      </c>
      <c r="D594" t="inlineStr">
        <is>
          <t>JÄMTLANDS LÄN</t>
        </is>
      </c>
      <c r="E594" t="inlineStr">
        <is>
          <t>RAGUNDA</t>
        </is>
      </c>
      <c r="G594" t="n">
        <v>5</v>
      </c>
      <c r="H594" t="n">
        <v>0</v>
      </c>
      <c r="I594" t="n">
        <v>0</v>
      </c>
      <c r="J594" t="n">
        <v>0</v>
      </c>
      <c r="K594" t="n">
        <v>0</v>
      </c>
      <c r="L594" t="n">
        <v>0</v>
      </c>
      <c r="M594" t="n">
        <v>0</v>
      </c>
      <c r="N594" t="n">
        <v>0</v>
      </c>
      <c r="O594" t="n">
        <v>0</v>
      </c>
      <c r="P594" t="n">
        <v>0</v>
      </c>
      <c r="Q594" t="n">
        <v>0</v>
      </c>
      <c r="R594" s="2" t="inlineStr"/>
    </row>
    <row r="595" ht="15" customHeight="1">
      <c r="A595" t="inlineStr">
        <is>
          <t>A 27499-2024</t>
        </is>
      </c>
      <c r="B595" s="1" t="n">
        <v>45474.50608796296</v>
      </c>
      <c r="C595" s="1" t="n">
        <v>46004</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64415-2023</t>
        </is>
      </c>
      <c r="B596" s="1" t="n">
        <v>45280</v>
      </c>
      <c r="C596" s="1" t="n">
        <v>46004</v>
      </c>
      <c r="D596" t="inlineStr">
        <is>
          <t>JÄMTLANDS LÄN</t>
        </is>
      </c>
      <c r="E596" t="inlineStr">
        <is>
          <t>RAGUNDA</t>
        </is>
      </c>
      <c r="G596" t="n">
        <v>5.1</v>
      </c>
      <c r="H596" t="n">
        <v>0</v>
      </c>
      <c r="I596" t="n">
        <v>0</v>
      </c>
      <c r="J596" t="n">
        <v>0</v>
      </c>
      <c r="K596" t="n">
        <v>0</v>
      </c>
      <c r="L596" t="n">
        <v>0</v>
      </c>
      <c r="M596" t="n">
        <v>0</v>
      </c>
      <c r="N596" t="n">
        <v>0</v>
      </c>
      <c r="O596" t="n">
        <v>0</v>
      </c>
      <c r="P596" t="n">
        <v>0</v>
      </c>
      <c r="Q596" t="n">
        <v>0</v>
      </c>
      <c r="R596" s="2" t="inlineStr"/>
    </row>
    <row r="597" ht="15" customHeight="1">
      <c r="A597" t="inlineStr">
        <is>
          <t>A 57078-2023</t>
        </is>
      </c>
      <c r="B597" s="1" t="n">
        <v>45244.96774305555</v>
      </c>
      <c r="C597" s="1" t="n">
        <v>46004</v>
      </c>
      <c r="D597" t="inlineStr">
        <is>
          <t>JÄMTLANDS LÄN</t>
        </is>
      </c>
      <c r="E597" t="inlineStr">
        <is>
          <t>RAGUNDA</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59368-2022</t>
        </is>
      </c>
      <c r="B598" s="1" t="n">
        <v>44904.94824074074</v>
      </c>
      <c r="C598" s="1" t="n">
        <v>46004</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60225-2022</t>
        </is>
      </c>
      <c r="B599" s="1" t="n">
        <v>44903</v>
      </c>
      <c r="C599" s="1" t="n">
        <v>46004</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20987-2023</t>
        </is>
      </c>
      <c r="B600" s="1" t="n">
        <v>45056</v>
      </c>
      <c r="C600" s="1" t="n">
        <v>46004</v>
      </c>
      <c r="D600" t="inlineStr">
        <is>
          <t>JÄMTLANDS LÄN</t>
        </is>
      </c>
      <c r="E600" t="inlineStr">
        <is>
          <t>RAGUNDA</t>
        </is>
      </c>
      <c r="G600" t="n">
        <v>1.1</v>
      </c>
      <c r="H600" t="n">
        <v>0</v>
      </c>
      <c r="I600" t="n">
        <v>0</v>
      </c>
      <c r="J600" t="n">
        <v>0</v>
      </c>
      <c r="K600" t="n">
        <v>0</v>
      </c>
      <c r="L600" t="n">
        <v>0</v>
      </c>
      <c r="M600" t="n">
        <v>0</v>
      </c>
      <c r="N600" t="n">
        <v>0</v>
      </c>
      <c r="O600" t="n">
        <v>0</v>
      </c>
      <c r="P600" t="n">
        <v>0</v>
      </c>
      <c r="Q600" t="n">
        <v>0</v>
      </c>
      <c r="R600" s="2" t="inlineStr"/>
    </row>
    <row r="601" ht="15" customHeight="1">
      <c r="A601" t="inlineStr">
        <is>
          <t>A 20994-2023</t>
        </is>
      </c>
      <c r="B601" s="1" t="n">
        <v>45056</v>
      </c>
      <c r="C601" s="1" t="n">
        <v>46004</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6801-2023</t>
        </is>
      </c>
      <c r="B602" s="1" t="n">
        <v>44966.95328703704</v>
      </c>
      <c r="C602" s="1" t="n">
        <v>46004</v>
      </c>
      <c r="D602" t="inlineStr">
        <is>
          <t>JÄMTLANDS LÄN</t>
        </is>
      </c>
      <c r="E602" t="inlineStr">
        <is>
          <t>RAGUNDA</t>
        </is>
      </c>
      <c r="F602" t="inlineStr">
        <is>
          <t>SCA</t>
        </is>
      </c>
      <c r="G602" t="n">
        <v>10.6</v>
      </c>
      <c r="H602" t="n">
        <v>0</v>
      </c>
      <c r="I602" t="n">
        <v>0</v>
      </c>
      <c r="J602" t="n">
        <v>0</v>
      </c>
      <c r="K602" t="n">
        <v>0</v>
      </c>
      <c r="L602" t="n">
        <v>0</v>
      </c>
      <c r="M602" t="n">
        <v>0</v>
      </c>
      <c r="N602" t="n">
        <v>0</v>
      </c>
      <c r="O602" t="n">
        <v>0</v>
      </c>
      <c r="P602" t="n">
        <v>0</v>
      </c>
      <c r="Q602" t="n">
        <v>0</v>
      </c>
      <c r="R602" s="2" t="inlineStr"/>
    </row>
    <row r="603" ht="15" customHeight="1">
      <c r="A603" t="inlineStr">
        <is>
          <t>A 15864-2024</t>
        </is>
      </c>
      <c r="B603" s="1" t="n">
        <v>45404.99792824074</v>
      </c>
      <c r="C603" s="1" t="n">
        <v>46004</v>
      </c>
      <c r="D603" t="inlineStr">
        <is>
          <t>JÄMTLANDS LÄN</t>
        </is>
      </c>
      <c r="E603" t="inlineStr">
        <is>
          <t>RAGUNDA</t>
        </is>
      </c>
      <c r="F603" t="inlineStr">
        <is>
          <t>SCA</t>
        </is>
      </c>
      <c r="G603" t="n">
        <v>1.1</v>
      </c>
      <c r="H603" t="n">
        <v>0</v>
      </c>
      <c r="I603" t="n">
        <v>0</v>
      </c>
      <c r="J603" t="n">
        <v>0</v>
      </c>
      <c r="K603" t="n">
        <v>0</v>
      </c>
      <c r="L603" t="n">
        <v>0</v>
      </c>
      <c r="M603" t="n">
        <v>0</v>
      </c>
      <c r="N603" t="n">
        <v>0</v>
      </c>
      <c r="O603" t="n">
        <v>0</v>
      </c>
      <c r="P603" t="n">
        <v>0</v>
      </c>
      <c r="Q603" t="n">
        <v>0</v>
      </c>
      <c r="R603" s="2" t="inlineStr"/>
      <c r="U603">
        <f>HYPERLINK("https://klasma.github.io/Logging_2303/knärot/A 15864-2024 karta knärot.png", "A 15864-2024")</f>
        <v/>
      </c>
      <c r="V603">
        <f>HYPERLINK("https://klasma.github.io/Logging_2303/klagomål/A 15864-2024 FSC-klagomål.docx", "A 15864-2024")</f>
        <v/>
      </c>
      <c r="W603">
        <f>HYPERLINK("https://klasma.github.io/Logging_2303/klagomålsmail/A 15864-2024 FSC-klagomål mail.docx", "A 15864-2024")</f>
        <v/>
      </c>
      <c r="X603">
        <f>HYPERLINK("https://klasma.github.io/Logging_2303/tillsyn/A 15864-2024 tillsynsbegäran.docx", "A 15864-2024")</f>
        <v/>
      </c>
      <c r="Y603">
        <f>HYPERLINK("https://klasma.github.io/Logging_2303/tillsynsmail/A 15864-2024 tillsynsbegäran mail.docx", "A 15864-2024")</f>
        <v/>
      </c>
    </row>
    <row r="604" ht="15" customHeight="1">
      <c r="A604" t="inlineStr">
        <is>
          <t>A 55669-2023</t>
        </is>
      </c>
      <c r="B604" s="1" t="n">
        <v>45238.96797453704</v>
      </c>
      <c r="C604" s="1" t="n">
        <v>46004</v>
      </c>
      <c r="D604" t="inlineStr">
        <is>
          <t>JÄMTLANDS LÄN</t>
        </is>
      </c>
      <c r="E604" t="inlineStr">
        <is>
          <t>RAGUNDA</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41656-2023</t>
        </is>
      </c>
      <c r="B605" s="1" t="n">
        <v>45175</v>
      </c>
      <c r="C605" s="1" t="n">
        <v>46004</v>
      </c>
      <c r="D605" t="inlineStr">
        <is>
          <t>JÄMTLANDS LÄN</t>
        </is>
      </c>
      <c r="E605" t="inlineStr">
        <is>
          <t>RAGUNDA</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57749-2024</t>
        </is>
      </c>
      <c r="B606" s="1" t="n">
        <v>45630.7862037037</v>
      </c>
      <c r="C606" s="1" t="n">
        <v>46004</v>
      </c>
      <c r="D606" t="inlineStr">
        <is>
          <t>JÄMTLANDS LÄN</t>
        </is>
      </c>
      <c r="E606" t="inlineStr">
        <is>
          <t>RAGUNDA</t>
        </is>
      </c>
      <c r="G606" t="n">
        <v>1.3</v>
      </c>
      <c r="H606" t="n">
        <v>0</v>
      </c>
      <c r="I606" t="n">
        <v>0</v>
      </c>
      <c r="J606" t="n">
        <v>0</v>
      </c>
      <c r="K606" t="n">
        <v>0</v>
      </c>
      <c r="L606" t="n">
        <v>0</v>
      </c>
      <c r="M606" t="n">
        <v>0</v>
      </c>
      <c r="N606" t="n">
        <v>0</v>
      </c>
      <c r="O606" t="n">
        <v>0</v>
      </c>
      <c r="P606" t="n">
        <v>0</v>
      </c>
      <c r="Q606" t="n">
        <v>0</v>
      </c>
      <c r="R606" s="2" t="inlineStr"/>
    </row>
    <row r="607" ht="15" customHeight="1">
      <c r="A607" t="inlineStr">
        <is>
          <t>A 16529-2022</t>
        </is>
      </c>
      <c r="B607" s="1" t="n">
        <v>44671</v>
      </c>
      <c r="C607" s="1" t="n">
        <v>46004</v>
      </c>
      <c r="D607" t="inlineStr">
        <is>
          <t>JÄMTLANDS LÄN</t>
        </is>
      </c>
      <c r="E607" t="inlineStr">
        <is>
          <t>RAGUNDA</t>
        </is>
      </c>
      <c r="G607" t="n">
        <v>1.5</v>
      </c>
      <c r="H607" t="n">
        <v>0</v>
      </c>
      <c r="I607" t="n">
        <v>0</v>
      </c>
      <c r="J607" t="n">
        <v>0</v>
      </c>
      <c r="K607" t="n">
        <v>0</v>
      </c>
      <c r="L607" t="n">
        <v>0</v>
      </c>
      <c r="M607" t="n">
        <v>0</v>
      </c>
      <c r="N607" t="n">
        <v>0</v>
      </c>
      <c r="O607" t="n">
        <v>0</v>
      </c>
      <c r="P607" t="n">
        <v>0</v>
      </c>
      <c r="Q607" t="n">
        <v>0</v>
      </c>
      <c r="R607" s="2" t="inlineStr"/>
    </row>
    <row r="608" ht="15" customHeight="1">
      <c r="A608" t="inlineStr">
        <is>
          <t>A 32063-2024</t>
        </is>
      </c>
      <c r="B608" s="1" t="n">
        <v>45510</v>
      </c>
      <c r="C608" s="1" t="n">
        <v>46004</v>
      </c>
      <c r="D608" t="inlineStr">
        <is>
          <t>JÄMTLANDS LÄN</t>
        </is>
      </c>
      <c r="E608" t="inlineStr">
        <is>
          <t>RAGUNDA</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51646-2023</t>
        </is>
      </c>
      <c r="B609" s="1" t="n">
        <v>45215</v>
      </c>
      <c r="C609" s="1" t="n">
        <v>46004</v>
      </c>
      <c r="D609" t="inlineStr">
        <is>
          <t>JÄMTLANDS LÄN</t>
        </is>
      </c>
      <c r="E609" t="inlineStr">
        <is>
          <t>RAGUNDA</t>
        </is>
      </c>
      <c r="G609" t="n">
        <v>0.7</v>
      </c>
      <c r="H609" t="n">
        <v>0</v>
      </c>
      <c r="I609" t="n">
        <v>0</v>
      </c>
      <c r="J609" t="n">
        <v>0</v>
      </c>
      <c r="K609" t="n">
        <v>0</v>
      </c>
      <c r="L609" t="n">
        <v>0</v>
      </c>
      <c r="M609" t="n">
        <v>0</v>
      </c>
      <c r="N609" t="n">
        <v>0</v>
      </c>
      <c r="O609" t="n">
        <v>0</v>
      </c>
      <c r="P609" t="n">
        <v>0</v>
      </c>
      <c r="Q609" t="n">
        <v>0</v>
      </c>
      <c r="R609" s="2" t="inlineStr"/>
    </row>
    <row r="610" ht="15" customHeight="1">
      <c r="A610" t="inlineStr">
        <is>
          <t>A 10641-2024</t>
        </is>
      </c>
      <c r="B610" s="1" t="n">
        <v>45367.69850694444</v>
      </c>
      <c r="C610" s="1" t="n">
        <v>46004</v>
      </c>
      <c r="D610" t="inlineStr">
        <is>
          <t>JÄMTLANDS LÄN</t>
        </is>
      </c>
      <c r="E610" t="inlineStr">
        <is>
          <t>RAGUNDA</t>
        </is>
      </c>
      <c r="G610" t="n">
        <v>0.9</v>
      </c>
      <c r="H610" t="n">
        <v>0</v>
      </c>
      <c r="I610" t="n">
        <v>0</v>
      </c>
      <c r="J610" t="n">
        <v>0</v>
      </c>
      <c r="K610" t="n">
        <v>0</v>
      </c>
      <c r="L610" t="n">
        <v>0</v>
      </c>
      <c r="M610" t="n">
        <v>0</v>
      </c>
      <c r="N610" t="n">
        <v>0</v>
      </c>
      <c r="O610" t="n">
        <v>0</v>
      </c>
      <c r="P610" t="n">
        <v>0</v>
      </c>
      <c r="Q610" t="n">
        <v>0</v>
      </c>
      <c r="R610" s="2" t="inlineStr"/>
    </row>
    <row r="611" ht="15" customHeight="1">
      <c r="A611" t="inlineStr">
        <is>
          <t>A 10644-2024</t>
        </is>
      </c>
      <c r="B611" s="1" t="n">
        <v>45367.71348379629</v>
      </c>
      <c r="C611" s="1" t="n">
        <v>46004</v>
      </c>
      <c r="D611" t="inlineStr">
        <is>
          <t>JÄMTLANDS LÄN</t>
        </is>
      </c>
      <c r="E611" t="inlineStr">
        <is>
          <t>RAGUNDA</t>
        </is>
      </c>
      <c r="G611" t="n">
        <v>2</v>
      </c>
      <c r="H611" t="n">
        <v>0</v>
      </c>
      <c r="I611" t="n">
        <v>0</v>
      </c>
      <c r="J611" t="n">
        <v>0</v>
      </c>
      <c r="K611" t="n">
        <v>0</v>
      </c>
      <c r="L611" t="n">
        <v>0</v>
      </c>
      <c r="M611" t="n">
        <v>0</v>
      </c>
      <c r="N611" t="n">
        <v>0</v>
      </c>
      <c r="O611" t="n">
        <v>0</v>
      </c>
      <c r="P611" t="n">
        <v>0</v>
      </c>
      <c r="Q611" t="n">
        <v>0</v>
      </c>
      <c r="R611" s="2" t="inlineStr"/>
    </row>
    <row r="612" ht="15" customHeight="1">
      <c r="A612" t="inlineStr">
        <is>
          <t>A 37268-2024</t>
        </is>
      </c>
      <c r="B612" s="1" t="n">
        <v>45540.38586805556</v>
      </c>
      <c r="C612" s="1" t="n">
        <v>46004</v>
      </c>
      <c r="D612" t="inlineStr">
        <is>
          <t>JÄMTLANDS LÄN</t>
        </is>
      </c>
      <c r="E612" t="inlineStr">
        <is>
          <t>RAGUNDA</t>
        </is>
      </c>
      <c r="F612" t="inlineStr">
        <is>
          <t>SCA</t>
        </is>
      </c>
      <c r="G612" t="n">
        <v>6.3</v>
      </c>
      <c r="H612" t="n">
        <v>0</v>
      </c>
      <c r="I612" t="n">
        <v>0</v>
      </c>
      <c r="J612" t="n">
        <v>0</v>
      </c>
      <c r="K612" t="n">
        <v>0</v>
      </c>
      <c r="L612" t="n">
        <v>0</v>
      </c>
      <c r="M612" t="n">
        <v>0</v>
      </c>
      <c r="N612" t="n">
        <v>0</v>
      </c>
      <c r="O612" t="n">
        <v>0</v>
      </c>
      <c r="P612" t="n">
        <v>0</v>
      </c>
      <c r="Q612" t="n">
        <v>0</v>
      </c>
      <c r="R612" s="2" t="inlineStr"/>
    </row>
    <row r="613" ht="15" customHeight="1">
      <c r="A613" t="inlineStr">
        <is>
          <t>A 20426-2024</t>
        </is>
      </c>
      <c r="B613" s="1" t="n">
        <v>45435</v>
      </c>
      <c r="C613" s="1" t="n">
        <v>46004</v>
      </c>
      <c r="D613" t="inlineStr">
        <is>
          <t>JÄMTLANDS LÄN</t>
        </is>
      </c>
      <c r="E613" t="inlineStr">
        <is>
          <t>RAGUNDA</t>
        </is>
      </c>
      <c r="G613" t="n">
        <v>2.1</v>
      </c>
      <c r="H613" t="n">
        <v>0</v>
      </c>
      <c r="I613" t="n">
        <v>0</v>
      </c>
      <c r="J613" t="n">
        <v>0</v>
      </c>
      <c r="K613" t="n">
        <v>0</v>
      </c>
      <c r="L613" t="n">
        <v>0</v>
      </c>
      <c r="M613" t="n">
        <v>0</v>
      </c>
      <c r="N613" t="n">
        <v>0</v>
      </c>
      <c r="O613" t="n">
        <v>0</v>
      </c>
      <c r="P613" t="n">
        <v>0</v>
      </c>
      <c r="Q613" t="n">
        <v>0</v>
      </c>
      <c r="R613" s="2" t="inlineStr"/>
    </row>
    <row r="614" ht="15" customHeight="1">
      <c r="A614" t="inlineStr">
        <is>
          <t>A 17742-2022</t>
        </is>
      </c>
      <c r="B614" s="1" t="n">
        <v>44680.95246527778</v>
      </c>
      <c r="C614" s="1" t="n">
        <v>46004</v>
      </c>
      <c r="D614" t="inlineStr">
        <is>
          <t>JÄMTLANDS LÄN</t>
        </is>
      </c>
      <c r="E614" t="inlineStr">
        <is>
          <t>RAGUNDA</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14512-2025</t>
        </is>
      </c>
      <c r="B615" s="1" t="n">
        <v>45741.63659722222</v>
      </c>
      <c r="C615" s="1" t="n">
        <v>46004</v>
      </c>
      <c r="D615" t="inlineStr">
        <is>
          <t>JÄMTLANDS LÄN</t>
        </is>
      </c>
      <c r="E615" t="inlineStr">
        <is>
          <t>RAGUNDA</t>
        </is>
      </c>
      <c r="F615" t="inlineStr">
        <is>
          <t>SCA</t>
        </is>
      </c>
      <c r="G615" t="n">
        <v>8.9</v>
      </c>
      <c r="H615" t="n">
        <v>0</v>
      </c>
      <c r="I615" t="n">
        <v>0</v>
      </c>
      <c r="J615" t="n">
        <v>0</v>
      </c>
      <c r="K615" t="n">
        <v>0</v>
      </c>
      <c r="L615" t="n">
        <v>0</v>
      </c>
      <c r="M615" t="n">
        <v>0</v>
      </c>
      <c r="N615" t="n">
        <v>0</v>
      </c>
      <c r="O615" t="n">
        <v>0</v>
      </c>
      <c r="P615" t="n">
        <v>0</v>
      </c>
      <c r="Q615" t="n">
        <v>0</v>
      </c>
      <c r="R615" s="2" t="inlineStr"/>
    </row>
    <row r="616" ht="15" customHeight="1">
      <c r="A616" t="inlineStr">
        <is>
          <t>A 24280-2021</t>
        </is>
      </c>
      <c r="B616" s="1" t="n">
        <v>44336</v>
      </c>
      <c r="C616" s="1" t="n">
        <v>46004</v>
      </c>
      <c r="D616" t="inlineStr">
        <is>
          <t>JÄMTLANDS LÄN</t>
        </is>
      </c>
      <c r="E616" t="inlineStr">
        <is>
          <t>RAGUNDA</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8886-2024</t>
        </is>
      </c>
      <c r="B617" s="1" t="n">
        <v>45357.05300925926</v>
      </c>
      <c r="C617" s="1" t="n">
        <v>46004</v>
      </c>
      <c r="D617" t="inlineStr">
        <is>
          <t>JÄMTLANDS LÄN</t>
        </is>
      </c>
      <c r="E617" t="inlineStr">
        <is>
          <t>RAGUNDA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61934-2022</t>
        </is>
      </c>
      <c r="B618" s="1" t="n">
        <v>44917</v>
      </c>
      <c r="C618" s="1" t="n">
        <v>46004</v>
      </c>
      <c r="D618" t="inlineStr">
        <is>
          <t>JÄMTLANDS LÄN</t>
        </is>
      </c>
      <c r="E618" t="inlineStr">
        <is>
          <t>RAGUNDA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28596-2021</t>
        </is>
      </c>
      <c r="B619" s="1" t="n">
        <v>44356</v>
      </c>
      <c r="C619" s="1" t="n">
        <v>46004</v>
      </c>
      <c r="D619" t="inlineStr">
        <is>
          <t>JÄMTLANDS LÄN</t>
        </is>
      </c>
      <c r="E619" t="inlineStr">
        <is>
          <t>RAGUNDA</t>
        </is>
      </c>
      <c r="G619" t="n">
        <v>5.4</v>
      </c>
      <c r="H619" t="n">
        <v>0</v>
      </c>
      <c r="I619" t="n">
        <v>0</v>
      </c>
      <c r="J619" t="n">
        <v>0</v>
      </c>
      <c r="K619" t="n">
        <v>0</v>
      </c>
      <c r="L619" t="n">
        <v>0</v>
      </c>
      <c r="M619" t="n">
        <v>0</v>
      </c>
      <c r="N619" t="n">
        <v>0</v>
      </c>
      <c r="O619" t="n">
        <v>0</v>
      </c>
      <c r="P619" t="n">
        <v>0</v>
      </c>
      <c r="Q619" t="n">
        <v>0</v>
      </c>
      <c r="R619" s="2" t="inlineStr"/>
    </row>
    <row r="620" ht="15" customHeight="1">
      <c r="A620" t="inlineStr">
        <is>
          <t>A 8678-2023</t>
        </is>
      </c>
      <c r="B620" s="1" t="n">
        <v>44977.98660879629</v>
      </c>
      <c r="C620" s="1" t="n">
        <v>46004</v>
      </c>
      <c r="D620" t="inlineStr">
        <is>
          <t>JÄMTLANDS LÄN</t>
        </is>
      </c>
      <c r="E620" t="inlineStr">
        <is>
          <t>RAGUNDA</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30825-2023</t>
        </is>
      </c>
      <c r="B621" s="1" t="n">
        <v>45112.94310185185</v>
      </c>
      <c r="C621" s="1" t="n">
        <v>46004</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11058-2025</t>
        </is>
      </c>
      <c r="B622" s="1" t="n">
        <v>45723.51079861111</v>
      </c>
      <c r="C622" s="1" t="n">
        <v>46004</v>
      </c>
      <c r="D622" t="inlineStr">
        <is>
          <t>JÄMTLANDS LÄN</t>
        </is>
      </c>
      <c r="E622" t="inlineStr">
        <is>
          <t>RAGUNDA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50649-2022</t>
        </is>
      </c>
      <c r="B623" s="1" t="n">
        <v>44866</v>
      </c>
      <c r="C623" s="1" t="n">
        <v>46004</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28742-2023</t>
        </is>
      </c>
      <c r="B624" s="1" t="n">
        <v>45103</v>
      </c>
      <c r="C624" s="1" t="n">
        <v>46004</v>
      </c>
      <c r="D624" t="inlineStr">
        <is>
          <t>JÄMTLANDS LÄN</t>
        </is>
      </c>
      <c r="E624" t="inlineStr">
        <is>
          <t>RAGUNDA</t>
        </is>
      </c>
      <c r="G624" t="n">
        <v>1.8</v>
      </c>
      <c r="H624" t="n">
        <v>0</v>
      </c>
      <c r="I624" t="n">
        <v>0</v>
      </c>
      <c r="J624" t="n">
        <v>0</v>
      </c>
      <c r="K624" t="n">
        <v>0</v>
      </c>
      <c r="L624" t="n">
        <v>0</v>
      </c>
      <c r="M624" t="n">
        <v>0</v>
      </c>
      <c r="N624" t="n">
        <v>0</v>
      </c>
      <c r="O624" t="n">
        <v>0</v>
      </c>
      <c r="P624" t="n">
        <v>0</v>
      </c>
      <c r="Q624" t="n">
        <v>0</v>
      </c>
      <c r="R624" s="2" t="inlineStr"/>
    </row>
    <row r="625" ht="15" customHeight="1">
      <c r="A625" t="inlineStr">
        <is>
          <t>A 17323-2025</t>
        </is>
      </c>
      <c r="B625" s="1" t="n">
        <v>45756.63601851852</v>
      </c>
      <c r="C625" s="1" t="n">
        <v>46004</v>
      </c>
      <c r="D625" t="inlineStr">
        <is>
          <t>JÄMTLANDS LÄN</t>
        </is>
      </c>
      <c r="E625" t="inlineStr">
        <is>
          <t>RAGUNDA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59759-2024</t>
        </is>
      </c>
      <c r="B626" s="1" t="n">
        <v>45639.55240740741</v>
      </c>
      <c r="C626" s="1" t="n">
        <v>46004</v>
      </c>
      <c r="D626" t="inlineStr">
        <is>
          <t>JÄMTLANDS LÄN</t>
        </is>
      </c>
      <c r="E626" t="inlineStr">
        <is>
          <t>RAGUNDA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35537-2021</t>
        </is>
      </c>
      <c r="B627" s="1" t="n">
        <v>44384</v>
      </c>
      <c r="C627" s="1" t="n">
        <v>46004</v>
      </c>
      <c r="D627" t="inlineStr">
        <is>
          <t>JÄMTLANDS LÄN</t>
        </is>
      </c>
      <c r="E627" t="inlineStr">
        <is>
          <t>RAGUNDA</t>
        </is>
      </c>
      <c r="G627" t="n">
        <v>3.1</v>
      </c>
      <c r="H627" t="n">
        <v>0</v>
      </c>
      <c r="I627" t="n">
        <v>0</v>
      </c>
      <c r="J627" t="n">
        <v>0</v>
      </c>
      <c r="K627" t="n">
        <v>0</v>
      </c>
      <c r="L627" t="n">
        <v>0</v>
      </c>
      <c r="M627" t="n">
        <v>0</v>
      </c>
      <c r="N627" t="n">
        <v>0</v>
      </c>
      <c r="O627" t="n">
        <v>0</v>
      </c>
      <c r="P627" t="n">
        <v>0</v>
      </c>
      <c r="Q627" t="n">
        <v>0</v>
      </c>
      <c r="R627" s="2" t="inlineStr"/>
    </row>
    <row r="628" ht="15" customHeight="1">
      <c r="A628" t="inlineStr">
        <is>
          <t>A 2819-2023</t>
        </is>
      </c>
      <c r="B628" s="1" t="n">
        <v>44944</v>
      </c>
      <c r="C628" s="1" t="n">
        <v>46004</v>
      </c>
      <c r="D628" t="inlineStr">
        <is>
          <t>JÄMTLANDS LÄN</t>
        </is>
      </c>
      <c r="E628" t="inlineStr">
        <is>
          <t>RAGUNDA</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9084-2023</t>
        </is>
      </c>
      <c r="B629" s="1" t="n">
        <v>44979</v>
      </c>
      <c r="C629" s="1" t="n">
        <v>46004</v>
      </c>
      <c r="D629" t="inlineStr">
        <is>
          <t>JÄMTLANDS LÄN</t>
        </is>
      </c>
      <c r="E629" t="inlineStr">
        <is>
          <t>RAGUNDA</t>
        </is>
      </c>
      <c r="G629" t="n">
        <v>1.9</v>
      </c>
      <c r="H629" t="n">
        <v>0</v>
      </c>
      <c r="I629" t="n">
        <v>0</v>
      </c>
      <c r="J629" t="n">
        <v>0</v>
      </c>
      <c r="K629" t="n">
        <v>0</v>
      </c>
      <c r="L629" t="n">
        <v>0</v>
      </c>
      <c r="M629" t="n">
        <v>0</v>
      </c>
      <c r="N629" t="n">
        <v>0</v>
      </c>
      <c r="O629" t="n">
        <v>0</v>
      </c>
      <c r="P629" t="n">
        <v>0</v>
      </c>
      <c r="Q629" t="n">
        <v>0</v>
      </c>
      <c r="R629" s="2" t="inlineStr"/>
    </row>
    <row r="630" ht="15" customHeight="1">
      <c r="A630" t="inlineStr">
        <is>
          <t>A 16364-2023</t>
        </is>
      </c>
      <c r="B630" s="1" t="n">
        <v>45028</v>
      </c>
      <c r="C630" s="1" t="n">
        <v>46004</v>
      </c>
      <c r="D630" t="inlineStr">
        <is>
          <t>JÄMTLANDS LÄN</t>
        </is>
      </c>
      <c r="E630" t="inlineStr">
        <is>
          <t>RAGUNDA</t>
        </is>
      </c>
      <c r="G630" t="n">
        <v>0.5</v>
      </c>
      <c r="H630" t="n">
        <v>0</v>
      </c>
      <c r="I630" t="n">
        <v>0</v>
      </c>
      <c r="J630" t="n">
        <v>0</v>
      </c>
      <c r="K630" t="n">
        <v>0</v>
      </c>
      <c r="L630" t="n">
        <v>0</v>
      </c>
      <c r="M630" t="n">
        <v>0</v>
      </c>
      <c r="N630" t="n">
        <v>0</v>
      </c>
      <c r="O630" t="n">
        <v>0</v>
      </c>
      <c r="P630" t="n">
        <v>0</v>
      </c>
      <c r="Q630" t="n">
        <v>0</v>
      </c>
      <c r="R630" s="2" t="inlineStr"/>
    </row>
    <row r="631" ht="15" customHeight="1">
      <c r="A631" t="inlineStr">
        <is>
          <t>A 44536-2022</t>
        </is>
      </c>
      <c r="B631" s="1" t="n">
        <v>44839</v>
      </c>
      <c r="C631" s="1" t="n">
        <v>46004</v>
      </c>
      <c r="D631" t="inlineStr">
        <is>
          <t>JÄMTLANDS LÄN</t>
        </is>
      </c>
      <c r="E631" t="inlineStr">
        <is>
          <t>RAGUNDA</t>
        </is>
      </c>
      <c r="G631" t="n">
        <v>4</v>
      </c>
      <c r="H631" t="n">
        <v>0</v>
      </c>
      <c r="I631" t="n">
        <v>0</v>
      </c>
      <c r="J631" t="n">
        <v>0</v>
      </c>
      <c r="K631" t="n">
        <v>0</v>
      </c>
      <c r="L631" t="n">
        <v>0</v>
      </c>
      <c r="M631" t="n">
        <v>0</v>
      </c>
      <c r="N631" t="n">
        <v>0</v>
      </c>
      <c r="O631" t="n">
        <v>0</v>
      </c>
      <c r="P631" t="n">
        <v>0</v>
      </c>
      <c r="Q631" t="n">
        <v>0</v>
      </c>
      <c r="R631" s="2" t="inlineStr"/>
    </row>
    <row r="632" ht="15" customHeight="1">
      <c r="A632" t="inlineStr">
        <is>
          <t>A 38664-2022</t>
        </is>
      </c>
      <c r="B632" s="1" t="n">
        <v>44813</v>
      </c>
      <c r="C632" s="1" t="n">
        <v>46004</v>
      </c>
      <c r="D632" t="inlineStr">
        <is>
          <t>JÄMTLANDS LÄN</t>
        </is>
      </c>
      <c r="E632" t="inlineStr">
        <is>
          <t>RAGUNDA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59136-2023</t>
        </is>
      </c>
      <c r="B633" s="1" t="n">
        <v>45251</v>
      </c>
      <c r="C633" s="1" t="n">
        <v>46004</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9326-2024</t>
        </is>
      </c>
      <c r="B634" s="1" t="n">
        <v>45358.95818287037</v>
      </c>
      <c r="C634" s="1" t="n">
        <v>46004</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7520-2023</t>
        </is>
      </c>
      <c r="B635" s="1" t="n">
        <v>44971</v>
      </c>
      <c r="C635" s="1" t="n">
        <v>46004</v>
      </c>
      <c r="D635" t="inlineStr">
        <is>
          <t>JÄMTLANDS LÄN</t>
        </is>
      </c>
      <c r="E635" t="inlineStr">
        <is>
          <t>RAGUNDA</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21662-2023</t>
        </is>
      </c>
      <c r="B636" s="1" t="n">
        <v>45063</v>
      </c>
      <c r="C636" s="1" t="n">
        <v>46004</v>
      </c>
      <c r="D636" t="inlineStr">
        <is>
          <t>JÄMTLANDS LÄN</t>
        </is>
      </c>
      <c r="E636" t="inlineStr">
        <is>
          <t>RAGUNDA</t>
        </is>
      </c>
      <c r="G636" t="n">
        <v>1.8</v>
      </c>
      <c r="H636" t="n">
        <v>0</v>
      </c>
      <c r="I636" t="n">
        <v>0</v>
      </c>
      <c r="J636" t="n">
        <v>0</v>
      </c>
      <c r="K636" t="n">
        <v>0</v>
      </c>
      <c r="L636" t="n">
        <v>0</v>
      </c>
      <c r="M636" t="n">
        <v>0</v>
      </c>
      <c r="N636" t="n">
        <v>0</v>
      </c>
      <c r="O636" t="n">
        <v>0</v>
      </c>
      <c r="P636" t="n">
        <v>0</v>
      </c>
      <c r="Q636" t="n">
        <v>0</v>
      </c>
      <c r="R636" s="2" t="inlineStr"/>
    </row>
    <row r="637" ht="15" customHeight="1">
      <c r="A637" t="inlineStr">
        <is>
          <t>A 30459-2021</t>
        </is>
      </c>
      <c r="B637" s="1" t="n">
        <v>44362</v>
      </c>
      <c r="C637" s="1" t="n">
        <v>46004</v>
      </c>
      <c r="D637" t="inlineStr">
        <is>
          <t>JÄMTLANDS LÄN</t>
        </is>
      </c>
      <c r="E637" t="inlineStr">
        <is>
          <t>RAGUNDA</t>
        </is>
      </c>
      <c r="G637" t="n">
        <v>1</v>
      </c>
      <c r="H637" t="n">
        <v>0</v>
      </c>
      <c r="I637" t="n">
        <v>0</v>
      </c>
      <c r="J637" t="n">
        <v>0</v>
      </c>
      <c r="K637" t="n">
        <v>0</v>
      </c>
      <c r="L637" t="n">
        <v>0</v>
      </c>
      <c r="M637" t="n">
        <v>0</v>
      </c>
      <c r="N637" t="n">
        <v>0</v>
      </c>
      <c r="O637" t="n">
        <v>0</v>
      </c>
      <c r="P637" t="n">
        <v>0</v>
      </c>
      <c r="Q637" t="n">
        <v>0</v>
      </c>
      <c r="R637" s="2" t="inlineStr"/>
    </row>
    <row r="638" ht="15" customHeight="1">
      <c r="A638" t="inlineStr">
        <is>
          <t>A 49659-2023</t>
        </is>
      </c>
      <c r="B638" s="1" t="n">
        <v>45211.95134259259</v>
      </c>
      <c r="C638" s="1" t="n">
        <v>46004</v>
      </c>
      <c r="D638" t="inlineStr">
        <is>
          <t>JÄMTLANDS LÄN</t>
        </is>
      </c>
      <c r="E638" t="inlineStr">
        <is>
          <t>RAGUNDA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44727-2024</t>
        </is>
      </c>
      <c r="B639" s="1" t="n">
        <v>45574.57967592592</v>
      </c>
      <c r="C639" s="1" t="n">
        <v>46004</v>
      </c>
      <c r="D639" t="inlineStr">
        <is>
          <t>JÄMTLANDS LÄN</t>
        </is>
      </c>
      <c r="E639" t="inlineStr">
        <is>
          <t>RAGUNDA</t>
        </is>
      </c>
      <c r="G639" t="n">
        <v>4.7</v>
      </c>
      <c r="H639" t="n">
        <v>0</v>
      </c>
      <c r="I639" t="n">
        <v>0</v>
      </c>
      <c r="J639" t="n">
        <v>0</v>
      </c>
      <c r="K639" t="n">
        <v>0</v>
      </c>
      <c r="L639" t="n">
        <v>0</v>
      </c>
      <c r="M639" t="n">
        <v>0</v>
      </c>
      <c r="N639" t="n">
        <v>0</v>
      </c>
      <c r="O639" t="n">
        <v>0</v>
      </c>
      <c r="P639" t="n">
        <v>0</v>
      </c>
      <c r="Q639" t="n">
        <v>0</v>
      </c>
      <c r="R639" s="2" t="inlineStr"/>
    </row>
    <row r="640" ht="15" customHeight="1">
      <c r="A640" t="inlineStr">
        <is>
          <t>A 24441-2024</t>
        </is>
      </c>
      <c r="B640" s="1" t="n">
        <v>45457.96372685185</v>
      </c>
      <c r="C640" s="1" t="n">
        <v>46004</v>
      </c>
      <c r="D640" t="inlineStr">
        <is>
          <t>JÄMTLANDS LÄN</t>
        </is>
      </c>
      <c r="E640" t="inlineStr">
        <is>
          <t>RAGUNDA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50521-2024</t>
        </is>
      </c>
      <c r="B641" s="1" t="n">
        <v>45601.55331018518</v>
      </c>
      <c r="C641" s="1" t="n">
        <v>46004</v>
      </c>
      <c r="D641" t="inlineStr">
        <is>
          <t>JÄMTLANDS LÄN</t>
        </is>
      </c>
      <c r="E641" t="inlineStr">
        <is>
          <t>RAGUNDA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4916-2025</t>
        </is>
      </c>
      <c r="B642" s="1" t="n">
        <v>45688.68196759259</v>
      </c>
      <c r="C642" s="1" t="n">
        <v>46004</v>
      </c>
      <c r="D642" t="inlineStr">
        <is>
          <t>JÄMTLANDS LÄN</t>
        </is>
      </c>
      <c r="E642" t="inlineStr">
        <is>
          <t>RAGUNDA</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40801-2023</t>
        </is>
      </c>
      <c r="B643" s="1" t="n">
        <v>45170</v>
      </c>
      <c r="C643" s="1" t="n">
        <v>46004</v>
      </c>
      <c r="D643" t="inlineStr">
        <is>
          <t>JÄMTLANDS LÄN</t>
        </is>
      </c>
      <c r="E643" t="inlineStr">
        <is>
          <t>RAGUNDA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59557-2023</t>
        </is>
      </c>
      <c r="B644" s="1" t="n">
        <v>45253</v>
      </c>
      <c r="C644" s="1" t="n">
        <v>46004</v>
      </c>
      <c r="D644" t="inlineStr">
        <is>
          <t>JÄMTLANDS LÄN</t>
        </is>
      </c>
      <c r="E644" t="inlineStr">
        <is>
          <t>RAGUNDA</t>
        </is>
      </c>
      <c r="G644" t="n">
        <v>1</v>
      </c>
      <c r="H644" t="n">
        <v>0</v>
      </c>
      <c r="I644" t="n">
        <v>0</v>
      </c>
      <c r="J644" t="n">
        <v>0</v>
      </c>
      <c r="K644" t="n">
        <v>0</v>
      </c>
      <c r="L644" t="n">
        <v>0</v>
      </c>
      <c r="M644" t="n">
        <v>0</v>
      </c>
      <c r="N644" t="n">
        <v>0</v>
      </c>
      <c r="O644" t="n">
        <v>0</v>
      </c>
      <c r="P644" t="n">
        <v>0</v>
      </c>
      <c r="Q644" t="n">
        <v>0</v>
      </c>
      <c r="R644" s="2" t="inlineStr"/>
    </row>
    <row r="645" ht="15" customHeight="1">
      <c r="A645" t="inlineStr">
        <is>
          <t>A 37543-2023</t>
        </is>
      </c>
      <c r="B645" s="1" t="n">
        <v>45158.94231481481</v>
      </c>
      <c r="C645" s="1" t="n">
        <v>46004</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57112-2024</t>
        </is>
      </c>
      <c r="B646" s="1" t="n">
        <v>45629.36486111111</v>
      </c>
      <c r="C646" s="1" t="n">
        <v>46004</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53136-2024</t>
        </is>
      </c>
      <c r="B647" s="1" t="n">
        <v>45611.5953125</v>
      </c>
      <c r="C647" s="1" t="n">
        <v>46004</v>
      </c>
      <c r="D647" t="inlineStr">
        <is>
          <t>JÄMTLANDS LÄN</t>
        </is>
      </c>
      <c r="E647" t="inlineStr">
        <is>
          <t>RAGUNDA</t>
        </is>
      </c>
      <c r="G647" t="n">
        <v>3.8</v>
      </c>
      <c r="H647" t="n">
        <v>0</v>
      </c>
      <c r="I647" t="n">
        <v>0</v>
      </c>
      <c r="J647" t="n">
        <v>0</v>
      </c>
      <c r="K647" t="n">
        <v>0</v>
      </c>
      <c r="L647" t="n">
        <v>0</v>
      </c>
      <c r="M647" t="n">
        <v>0</v>
      </c>
      <c r="N647" t="n">
        <v>0</v>
      </c>
      <c r="O647" t="n">
        <v>0</v>
      </c>
      <c r="P647" t="n">
        <v>0</v>
      </c>
      <c r="Q647" t="n">
        <v>0</v>
      </c>
      <c r="R647" s="2" t="inlineStr"/>
    </row>
    <row r="648" ht="15" customHeight="1">
      <c r="A648" t="inlineStr">
        <is>
          <t>A 21083-2024</t>
        </is>
      </c>
      <c r="B648" s="1" t="n">
        <v>45439.92752314815</v>
      </c>
      <c r="C648" s="1" t="n">
        <v>46004</v>
      </c>
      <c r="D648" t="inlineStr">
        <is>
          <t>JÄMTLANDS LÄN</t>
        </is>
      </c>
      <c r="E648" t="inlineStr">
        <is>
          <t>RAGUNDA</t>
        </is>
      </c>
      <c r="G648" t="n">
        <v>1.5</v>
      </c>
      <c r="H648" t="n">
        <v>0</v>
      </c>
      <c r="I648" t="n">
        <v>0</v>
      </c>
      <c r="J648" t="n">
        <v>0</v>
      </c>
      <c r="K648" t="n">
        <v>0</v>
      </c>
      <c r="L648" t="n">
        <v>0</v>
      </c>
      <c r="M648" t="n">
        <v>0</v>
      </c>
      <c r="N648" t="n">
        <v>0</v>
      </c>
      <c r="O648" t="n">
        <v>0</v>
      </c>
      <c r="P648" t="n">
        <v>0</v>
      </c>
      <c r="Q648" t="n">
        <v>0</v>
      </c>
      <c r="R648" s="2" t="inlineStr"/>
    </row>
    <row r="649" ht="15" customHeight="1">
      <c r="A649" t="inlineStr">
        <is>
          <t>A 462-2023</t>
        </is>
      </c>
      <c r="B649" s="1" t="n">
        <v>44929</v>
      </c>
      <c r="C649" s="1" t="n">
        <v>46004</v>
      </c>
      <c r="D649" t="inlineStr">
        <is>
          <t>JÄMTLANDS LÄN</t>
        </is>
      </c>
      <c r="E649" t="inlineStr">
        <is>
          <t>RAGUNDA</t>
        </is>
      </c>
      <c r="G649" t="n">
        <v>4.5</v>
      </c>
      <c r="H649" t="n">
        <v>0</v>
      </c>
      <c r="I649" t="n">
        <v>0</v>
      </c>
      <c r="J649" t="n">
        <v>0</v>
      </c>
      <c r="K649" t="n">
        <v>0</v>
      </c>
      <c r="L649" t="n">
        <v>0</v>
      </c>
      <c r="M649" t="n">
        <v>0</v>
      </c>
      <c r="N649" t="n">
        <v>0</v>
      </c>
      <c r="O649" t="n">
        <v>0</v>
      </c>
      <c r="P649" t="n">
        <v>0</v>
      </c>
      <c r="Q649" t="n">
        <v>0</v>
      </c>
      <c r="R649" s="2" t="inlineStr"/>
    </row>
    <row r="650" ht="15" customHeight="1">
      <c r="A650" t="inlineStr">
        <is>
          <t>A 33621-2023</t>
        </is>
      </c>
      <c r="B650" s="1" t="n">
        <v>45119</v>
      </c>
      <c r="C650" s="1" t="n">
        <v>46004</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6694-2024</t>
        </is>
      </c>
      <c r="B651" s="1" t="n">
        <v>45341.95381944445</v>
      </c>
      <c r="C651" s="1" t="n">
        <v>46004</v>
      </c>
      <c r="D651" t="inlineStr">
        <is>
          <t>JÄMTLANDS LÄN</t>
        </is>
      </c>
      <c r="E651" t="inlineStr">
        <is>
          <t>RAGUNDA</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7668-2025</t>
        </is>
      </c>
      <c r="B652" s="1" t="n">
        <v>45706.34450231482</v>
      </c>
      <c r="C652" s="1" t="n">
        <v>46004</v>
      </c>
      <c r="D652" t="inlineStr">
        <is>
          <t>JÄMTLANDS LÄN</t>
        </is>
      </c>
      <c r="E652" t="inlineStr">
        <is>
          <t>RAGUNDA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12050-2023</t>
        </is>
      </c>
      <c r="B653" s="1" t="n">
        <v>44995.98644675926</v>
      </c>
      <c r="C653" s="1" t="n">
        <v>46004</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48065-2023</t>
        </is>
      </c>
      <c r="B654" s="1" t="n">
        <v>45204.94399305555</v>
      </c>
      <c r="C654" s="1" t="n">
        <v>46004</v>
      </c>
      <c r="D654" t="inlineStr">
        <is>
          <t>JÄMTLANDS LÄN</t>
        </is>
      </c>
      <c r="E654" t="inlineStr">
        <is>
          <t>RAGUNDA</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62358-2023</t>
        </is>
      </c>
      <c r="B655" s="1" t="n">
        <v>45267</v>
      </c>
      <c r="C655" s="1" t="n">
        <v>46004</v>
      </c>
      <c r="D655" t="inlineStr">
        <is>
          <t>JÄMTLANDS LÄN</t>
        </is>
      </c>
      <c r="E655" t="inlineStr">
        <is>
          <t>RAGUNDA</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1537-2024</t>
        </is>
      </c>
      <c r="B656" s="1" t="n">
        <v>45306</v>
      </c>
      <c r="C656" s="1" t="n">
        <v>46004</v>
      </c>
      <c r="D656" t="inlineStr">
        <is>
          <t>JÄMTLANDS LÄN</t>
        </is>
      </c>
      <c r="E656" t="inlineStr">
        <is>
          <t>RAGUNDA</t>
        </is>
      </c>
      <c r="G656" t="n">
        <v>0.2</v>
      </c>
      <c r="H656" t="n">
        <v>0</v>
      </c>
      <c r="I656" t="n">
        <v>0</v>
      </c>
      <c r="J656" t="n">
        <v>0</v>
      </c>
      <c r="K656" t="n">
        <v>0</v>
      </c>
      <c r="L656" t="n">
        <v>0</v>
      </c>
      <c r="M656" t="n">
        <v>0</v>
      </c>
      <c r="N656" t="n">
        <v>0</v>
      </c>
      <c r="O656" t="n">
        <v>0</v>
      </c>
      <c r="P656" t="n">
        <v>0</v>
      </c>
      <c r="Q656" t="n">
        <v>0</v>
      </c>
      <c r="R656" s="2" t="inlineStr"/>
    </row>
    <row r="657" ht="15" customHeight="1">
      <c r="A657" t="inlineStr">
        <is>
          <t>A 36046-2023</t>
        </is>
      </c>
      <c r="B657" s="1" t="n">
        <v>45148</v>
      </c>
      <c r="C657" s="1" t="n">
        <v>46004</v>
      </c>
      <c r="D657" t="inlineStr">
        <is>
          <t>JÄMTLANDS LÄN</t>
        </is>
      </c>
      <c r="E657" t="inlineStr">
        <is>
          <t>RAGUNDA</t>
        </is>
      </c>
      <c r="G657" t="n">
        <v>1.9</v>
      </c>
      <c r="H657" t="n">
        <v>0</v>
      </c>
      <c r="I657" t="n">
        <v>0</v>
      </c>
      <c r="J657" t="n">
        <v>0</v>
      </c>
      <c r="K657" t="n">
        <v>0</v>
      </c>
      <c r="L657" t="n">
        <v>0</v>
      </c>
      <c r="M657" t="n">
        <v>0</v>
      </c>
      <c r="N657" t="n">
        <v>0</v>
      </c>
      <c r="O657" t="n">
        <v>0</v>
      </c>
      <c r="P657" t="n">
        <v>0</v>
      </c>
      <c r="Q657" t="n">
        <v>0</v>
      </c>
      <c r="R657" s="2" t="inlineStr"/>
    </row>
    <row r="658" ht="15" customHeight="1">
      <c r="A658" t="inlineStr">
        <is>
          <t>A 4592-2024</t>
        </is>
      </c>
      <c r="B658" s="1" t="n">
        <v>45327.94443287037</v>
      </c>
      <c r="C658" s="1" t="n">
        <v>46004</v>
      </c>
      <c r="D658" t="inlineStr">
        <is>
          <t>JÄMTLANDS LÄN</t>
        </is>
      </c>
      <c r="E658" t="inlineStr">
        <is>
          <t>RAGUNDA</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60195-2023</t>
        </is>
      </c>
      <c r="B659" s="1" t="n">
        <v>45257</v>
      </c>
      <c r="C659" s="1" t="n">
        <v>46004</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18820-2023</t>
        </is>
      </c>
      <c r="B660" s="1" t="n">
        <v>45042</v>
      </c>
      <c r="C660" s="1" t="n">
        <v>46004</v>
      </c>
      <c r="D660" t="inlineStr">
        <is>
          <t>JÄMTLANDS LÄN</t>
        </is>
      </c>
      <c r="E660" t="inlineStr">
        <is>
          <t>RAGUNDA</t>
        </is>
      </c>
      <c r="G660" t="n">
        <v>18.8</v>
      </c>
      <c r="H660" t="n">
        <v>0</v>
      </c>
      <c r="I660" t="n">
        <v>0</v>
      </c>
      <c r="J660" t="n">
        <v>0</v>
      </c>
      <c r="K660" t="n">
        <v>0</v>
      </c>
      <c r="L660" t="n">
        <v>0</v>
      </c>
      <c r="M660" t="n">
        <v>0</v>
      </c>
      <c r="N660" t="n">
        <v>0</v>
      </c>
      <c r="O660" t="n">
        <v>0</v>
      </c>
      <c r="P660" t="n">
        <v>0</v>
      </c>
      <c r="Q660" t="n">
        <v>0</v>
      </c>
      <c r="R660" s="2" t="inlineStr"/>
    </row>
    <row r="661" ht="15" customHeight="1">
      <c r="A661" t="inlineStr">
        <is>
          <t>A 60935-2024</t>
        </is>
      </c>
      <c r="B661" s="1" t="n">
        <v>45645.36740740741</v>
      </c>
      <c r="C661" s="1" t="n">
        <v>46004</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22981-2023</t>
        </is>
      </c>
      <c r="B662" s="1" t="n">
        <v>45072.92737268518</v>
      </c>
      <c r="C662" s="1" t="n">
        <v>46004</v>
      </c>
      <c r="D662" t="inlineStr">
        <is>
          <t>JÄMTLANDS LÄN</t>
        </is>
      </c>
      <c r="E662" t="inlineStr">
        <is>
          <t>RAGUNDA</t>
        </is>
      </c>
      <c r="G662" t="n">
        <v>3.8</v>
      </c>
      <c r="H662" t="n">
        <v>0</v>
      </c>
      <c r="I662" t="n">
        <v>0</v>
      </c>
      <c r="J662" t="n">
        <v>0</v>
      </c>
      <c r="K662" t="n">
        <v>0</v>
      </c>
      <c r="L662" t="n">
        <v>0</v>
      </c>
      <c r="M662" t="n">
        <v>0</v>
      </c>
      <c r="N662" t="n">
        <v>0</v>
      </c>
      <c r="O662" t="n">
        <v>0</v>
      </c>
      <c r="P662" t="n">
        <v>0</v>
      </c>
      <c r="Q662" t="n">
        <v>0</v>
      </c>
      <c r="R662" s="2" t="inlineStr"/>
    </row>
    <row r="663" ht="15" customHeight="1">
      <c r="A663" t="inlineStr">
        <is>
          <t>A 49648-2023</t>
        </is>
      </c>
      <c r="B663" s="1" t="n">
        <v>45211.95061342593</v>
      </c>
      <c r="C663" s="1" t="n">
        <v>46004</v>
      </c>
      <c r="D663" t="inlineStr">
        <is>
          <t>JÄMTLANDS LÄN</t>
        </is>
      </c>
      <c r="E663" t="inlineStr">
        <is>
          <t>RAGUNDA</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6257-2025</t>
        </is>
      </c>
      <c r="B664" s="1" t="n">
        <v>45698.59409722222</v>
      </c>
      <c r="C664" s="1" t="n">
        <v>46004</v>
      </c>
      <c r="D664" t="inlineStr">
        <is>
          <t>JÄMTLANDS LÄN</t>
        </is>
      </c>
      <c r="E664" t="inlineStr">
        <is>
          <t>RAGUNDA</t>
        </is>
      </c>
      <c r="F664" t="inlineStr">
        <is>
          <t>SCA</t>
        </is>
      </c>
      <c r="G664" t="n">
        <v>7</v>
      </c>
      <c r="H664" t="n">
        <v>0</v>
      </c>
      <c r="I664" t="n">
        <v>0</v>
      </c>
      <c r="J664" t="n">
        <v>0</v>
      </c>
      <c r="K664" t="n">
        <v>0</v>
      </c>
      <c r="L664" t="n">
        <v>0</v>
      </c>
      <c r="M664" t="n">
        <v>0</v>
      </c>
      <c r="N664" t="n">
        <v>0</v>
      </c>
      <c r="O664" t="n">
        <v>0</v>
      </c>
      <c r="P664" t="n">
        <v>0</v>
      </c>
      <c r="Q664" t="n">
        <v>0</v>
      </c>
      <c r="R664" s="2" t="inlineStr"/>
    </row>
    <row r="665" ht="15" customHeight="1">
      <c r="A665" t="inlineStr">
        <is>
          <t>A 26942-2021</t>
        </is>
      </c>
      <c r="B665" s="1" t="n">
        <v>44349.91978009259</v>
      </c>
      <c r="C665" s="1" t="n">
        <v>46004</v>
      </c>
      <c r="D665" t="inlineStr">
        <is>
          <t>JÄMTLANDS LÄN</t>
        </is>
      </c>
      <c r="E665" t="inlineStr">
        <is>
          <t>RAGUNDA</t>
        </is>
      </c>
      <c r="G665" t="n">
        <v>6.2</v>
      </c>
      <c r="H665" t="n">
        <v>0</v>
      </c>
      <c r="I665" t="n">
        <v>0</v>
      </c>
      <c r="J665" t="n">
        <v>0</v>
      </c>
      <c r="K665" t="n">
        <v>0</v>
      </c>
      <c r="L665" t="n">
        <v>0</v>
      </c>
      <c r="M665" t="n">
        <v>0</v>
      </c>
      <c r="N665" t="n">
        <v>0</v>
      </c>
      <c r="O665" t="n">
        <v>0</v>
      </c>
      <c r="P665" t="n">
        <v>0</v>
      </c>
      <c r="Q665" t="n">
        <v>0</v>
      </c>
      <c r="R665" s="2" t="inlineStr"/>
    </row>
    <row r="666" ht="15" customHeight="1">
      <c r="A666" t="inlineStr">
        <is>
          <t>A 14074-2023</t>
        </is>
      </c>
      <c r="B666" s="1" t="n">
        <v>45009.089375</v>
      </c>
      <c r="C666" s="1" t="n">
        <v>46004</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37265-2024</t>
        </is>
      </c>
      <c r="B667" s="1" t="n">
        <v>45540.38564814815</v>
      </c>
      <c r="C667" s="1" t="n">
        <v>46004</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51537-2022</t>
        </is>
      </c>
      <c r="B668" s="1" t="n">
        <v>44869</v>
      </c>
      <c r="C668" s="1" t="n">
        <v>46004</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59044-2022</t>
        </is>
      </c>
      <c r="B669" s="1" t="n">
        <v>44903</v>
      </c>
      <c r="C669" s="1" t="n">
        <v>46004</v>
      </c>
      <c r="D669" t="inlineStr">
        <is>
          <t>JÄMTLANDS LÄN</t>
        </is>
      </c>
      <c r="E669" t="inlineStr">
        <is>
          <t>RAGUNDA</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46546-2023</t>
        </is>
      </c>
      <c r="B670" s="1" t="n">
        <v>45197.94152777778</v>
      </c>
      <c r="C670" s="1" t="n">
        <v>46004</v>
      </c>
      <c r="D670" t="inlineStr">
        <is>
          <t>JÄMTLANDS LÄN</t>
        </is>
      </c>
      <c r="E670" t="inlineStr">
        <is>
          <t>RAGUNDA</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19865-2023</t>
        </is>
      </c>
      <c r="B671" s="1" t="n">
        <v>45053.94305555556</v>
      </c>
      <c r="C671" s="1" t="n">
        <v>46004</v>
      </c>
      <c r="D671" t="inlineStr">
        <is>
          <t>JÄMTLANDS LÄN</t>
        </is>
      </c>
      <c r="E671" t="inlineStr">
        <is>
          <t>RAGUNDA</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5958-2023</t>
        </is>
      </c>
      <c r="B672" s="1" t="n">
        <v>44963</v>
      </c>
      <c r="C672" s="1" t="n">
        <v>46004</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8779-2025</t>
        </is>
      </c>
      <c r="B673" s="1" t="n">
        <v>45712.61552083334</v>
      </c>
      <c r="C673" s="1" t="n">
        <v>46004</v>
      </c>
      <c r="D673" t="inlineStr">
        <is>
          <t>JÄMTLANDS LÄN</t>
        </is>
      </c>
      <c r="E673" t="inlineStr">
        <is>
          <t>RAGUNDA</t>
        </is>
      </c>
      <c r="F673" t="inlineStr">
        <is>
          <t>SCA</t>
        </is>
      </c>
      <c r="G673" t="n">
        <v>4.9</v>
      </c>
      <c r="H673" t="n">
        <v>0</v>
      </c>
      <c r="I673" t="n">
        <v>0</v>
      </c>
      <c r="J673" t="n">
        <v>0</v>
      </c>
      <c r="K673" t="n">
        <v>0</v>
      </c>
      <c r="L673" t="n">
        <v>0</v>
      </c>
      <c r="M673" t="n">
        <v>0</v>
      </c>
      <c r="N673" t="n">
        <v>0</v>
      </c>
      <c r="O673" t="n">
        <v>0</v>
      </c>
      <c r="P673" t="n">
        <v>0</v>
      </c>
      <c r="Q673" t="n">
        <v>0</v>
      </c>
      <c r="R673" s="2" t="inlineStr"/>
    </row>
    <row r="674" ht="15" customHeight="1">
      <c r="A674" t="inlineStr">
        <is>
          <t>A 18777-2024</t>
        </is>
      </c>
      <c r="B674" s="1" t="n">
        <v>45426</v>
      </c>
      <c r="C674" s="1" t="n">
        <v>46004</v>
      </c>
      <c r="D674" t="inlineStr">
        <is>
          <t>JÄMTLANDS LÄN</t>
        </is>
      </c>
      <c r="E674" t="inlineStr">
        <is>
          <t>RAGUNDA</t>
        </is>
      </c>
      <c r="G674" t="n">
        <v>1.9</v>
      </c>
      <c r="H674" t="n">
        <v>0</v>
      </c>
      <c r="I674" t="n">
        <v>0</v>
      </c>
      <c r="J674" t="n">
        <v>0</v>
      </c>
      <c r="K674" t="n">
        <v>0</v>
      </c>
      <c r="L674" t="n">
        <v>0</v>
      </c>
      <c r="M674" t="n">
        <v>0</v>
      </c>
      <c r="N674" t="n">
        <v>0</v>
      </c>
      <c r="O674" t="n">
        <v>0</v>
      </c>
      <c r="P674" t="n">
        <v>0</v>
      </c>
      <c r="Q674" t="n">
        <v>0</v>
      </c>
      <c r="R674" s="2" t="inlineStr"/>
    </row>
    <row r="675" ht="15" customHeight="1">
      <c r="A675" t="inlineStr">
        <is>
          <t>A 564-2025</t>
        </is>
      </c>
      <c r="B675" s="1" t="n">
        <v>45664.55241898148</v>
      </c>
      <c r="C675" s="1" t="n">
        <v>46004</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8654-2024</t>
        </is>
      </c>
      <c r="B676" s="1" t="n">
        <v>45356.03784722222</v>
      </c>
      <c r="C676" s="1" t="n">
        <v>46004</v>
      </c>
      <c r="D676" t="inlineStr">
        <is>
          <t>JÄMTLANDS LÄN</t>
        </is>
      </c>
      <c r="E676" t="inlineStr">
        <is>
          <t>RAGUNDA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61400-2022</t>
        </is>
      </c>
      <c r="B677" s="1" t="n">
        <v>44915</v>
      </c>
      <c r="C677" s="1" t="n">
        <v>46004</v>
      </c>
      <c r="D677" t="inlineStr">
        <is>
          <t>JÄMTLANDS LÄN</t>
        </is>
      </c>
      <c r="E677" t="inlineStr">
        <is>
          <t>RAGUNDA</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6902-2024</t>
        </is>
      </c>
      <c r="B678" s="1" t="n">
        <v>45342</v>
      </c>
      <c r="C678" s="1" t="n">
        <v>46004</v>
      </c>
      <c r="D678" t="inlineStr">
        <is>
          <t>JÄMTLANDS LÄN</t>
        </is>
      </c>
      <c r="E678" t="inlineStr">
        <is>
          <t>RAGUNDA</t>
        </is>
      </c>
      <c r="F678" t="inlineStr">
        <is>
          <t>SCA</t>
        </is>
      </c>
      <c r="G678" t="n">
        <v>18.7</v>
      </c>
      <c r="H678" t="n">
        <v>0</v>
      </c>
      <c r="I678" t="n">
        <v>0</v>
      </c>
      <c r="J678" t="n">
        <v>0</v>
      </c>
      <c r="K678" t="n">
        <v>0</v>
      </c>
      <c r="L678" t="n">
        <v>0</v>
      </c>
      <c r="M678" t="n">
        <v>0</v>
      </c>
      <c r="N678" t="n">
        <v>0</v>
      </c>
      <c r="O678" t="n">
        <v>0</v>
      </c>
      <c r="P678" t="n">
        <v>0</v>
      </c>
      <c r="Q678" t="n">
        <v>0</v>
      </c>
      <c r="R678" s="2" t="inlineStr"/>
    </row>
    <row r="679" ht="15" customHeight="1">
      <c r="A679" t="inlineStr">
        <is>
          <t>A 6905-2024</t>
        </is>
      </c>
      <c r="B679" s="1" t="n">
        <v>45342.9462037037</v>
      </c>
      <c r="C679" s="1" t="n">
        <v>46004</v>
      </c>
      <c r="D679" t="inlineStr">
        <is>
          <t>JÄMTLANDS LÄN</t>
        </is>
      </c>
      <c r="E679" t="inlineStr">
        <is>
          <t>RAGUNDA</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20773-2024</t>
        </is>
      </c>
      <c r="B680" s="1" t="n">
        <v>45436.94636574074</v>
      </c>
      <c r="C680" s="1" t="n">
        <v>46004</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34323-2023</t>
        </is>
      </c>
      <c r="B681" s="1" t="n">
        <v>45138.94925925926</v>
      </c>
      <c r="C681" s="1" t="n">
        <v>46004</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50555-2024</t>
        </is>
      </c>
      <c r="B682" s="1" t="n">
        <v>45601.59518518519</v>
      </c>
      <c r="C682" s="1" t="n">
        <v>46004</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4348-2023</t>
        </is>
      </c>
      <c r="B683" s="1" t="n">
        <v>44953</v>
      </c>
      <c r="C683" s="1" t="n">
        <v>46004</v>
      </c>
      <c r="D683" t="inlineStr">
        <is>
          <t>JÄMTLANDS LÄN</t>
        </is>
      </c>
      <c r="E683" t="inlineStr">
        <is>
          <t>RAGUNDA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50486-2023</t>
        </is>
      </c>
      <c r="B684" s="1" t="n">
        <v>45216.92424768519</v>
      </c>
      <c r="C684" s="1" t="n">
        <v>46004</v>
      </c>
      <c r="D684" t="inlineStr">
        <is>
          <t>JÄMTLANDS LÄN</t>
        </is>
      </c>
      <c r="E684" t="inlineStr">
        <is>
          <t>RAGUNDA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59658-2023</t>
        </is>
      </c>
      <c r="B685" s="1" t="n">
        <v>45254.96402777778</v>
      </c>
      <c r="C685" s="1" t="n">
        <v>46004</v>
      </c>
      <c r="D685" t="inlineStr">
        <is>
          <t>JÄMTLANDS LÄN</t>
        </is>
      </c>
      <c r="E685" t="inlineStr">
        <is>
          <t>RAGUNDA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58564-2024</t>
        </is>
      </c>
      <c r="B686" s="1" t="n">
        <v>45635.47243055556</v>
      </c>
      <c r="C686" s="1" t="n">
        <v>46004</v>
      </c>
      <c r="D686" t="inlineStr">
        <is>
          <t>JÄMTLANDS LÄN</t>
        </is>
      </c>
      <c r="E686" t="inlineStr">
        <is>
          <t>RAGUNDA</t>
        </is>
      </c>
      <c r="G686" t="n">
        <v>2.6</v>
      </c>
      <c r="H686" t="n">
        <v>0</v>
      </c>
      <c r="I686" t="n">
        <v>0</v>
      </c>
      <c r="J686" t="n">
        <v>0</v>
      </c>
      <c r="K686" t="n">
        <v>0</v>
      </c>
      <c r="L686" t="n">
        <v>0</v>
      </c>
      <c r="M686" t="n">
        <v>0</v>
      </c>
      <c r="N686" t="n">
        <v>0</v>
      </c>
      <c r="O686" t="n">
        <v>0</v>
      </c>
      <c r="P686" t="n">
        <v>0</v>
      </c>
      <c r="Q686" t="n">
        <v>0</v>
      </c>
      <c r="R686" s="2" t="inlineStr"/>
    </row>
    <row r="687" ht="15" customHeight="1">
      <c r="A687" t="inlineStr">
        <is>
          <t>A 56286-2023</t>
        </is>
      </c>
      <c r="B687" s="1" t="n">
        <v>45241.95741898148</v>
      </c>
      <c r="C687" s="1" t="n">
        <v>46004</v>
      </c>
      <c r="D687" t="inlineStr">
        <is>
          <t>JÄMTLANDS LÄN</t>
        </is>
      </c>
      <c r="E687" t="inlineStr">
        <is>
          <t>RAGUNDA</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56287-2023</t>
        </is>
      </c>
      <c r="B688" s="1" t="n">
        <v>45241</v>
      </c>
      <c r="C688" s="1" t="n">
        <v>46004</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8243-2024</t>
        </is>
      </c>
      <c r="B689" s="1" t="n">
        <v>45351.98532407408</v>
      </c>
      <c r="C689" s="1" t="n">
        <v>46004</v>
      </c>
      <c r="D689" t="inlineStr">
        <is>
          <t>JÄMTLANDS LÄN</t>
        </is>
      </c>
      <c r="E689" t="inlineStr">
        <is>
          <t>RAGUNDA</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49649-2024</t>
        </is>
      </c>
      <c r="B690" s="1" t="n">
        <v>45596.61553240741</v>
      </c>
      <c r="C690" s="1" t="n">
        <v>46004</v>
      </c>
      <c r="D690" t="inlineStr">
        <is>
          <t>JÄMTLANDS LÄN</t>
        </is>
      </c>
      <c r="E690" t="inlineStr">
        <is>
          <t>RAGUNDA</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51538-2022</t>
        </is>
      </c>
      <c r="B691" s="1" t="n">
        <v>44869</v>
      </c>
      <c r="C691" s="1" t="n">
        <v>46004</v>
      </c>
      <c r="D691" t="inlineStr">
        <is>
          <t>JÄMTLANDS LÄN</t>
        </is>
      </c>
      <c r="E691" t="inlineStr">
        <is>
          <t>RAGUNDA</t>
        </is>
      </c>
      <c r="G691" t="n">
        <v>6.8</v>
      </c>
      <c r="H691" t="n">
        <v>0</v>
      </c>
      <c r="I691" t="n">
        <v>0</v>
      </c>
      <c r="J691" t="n">
        <v>0</v>
      </c>
      <c r="K691" t="n">
        <v>0</v>
      </c>
      <c r="L691" t="n">
        <v>0</v>
      </c>
      <c r="M691" t="n">
        <v>0</v>
      </c>
      <c r="N691" t="n">
        <v>0</v>
      </c>
      <c r="O691" t="n">
        <v>0</v>
      </c>
      <c r="P691" t="n">
        <v>0</v>
      </c>
      <c r="Q691" t="n">
        <v>0</v>
      </c>
      <c r="R691" s="2" t="inlineStr"/>
    </row>
    <row r="692" ht="15" customHeight="1">
      <c r="A692" t="inlineStr">
        <is>
          <t>A 1325-2025</t>
        </is>
      </c>
      <c r="B692" s="1" t="n">
        <v>45667.57342592593</v>
      </c>
      <c r="C692" s="1" t="n">
        <v>46004</v>
      </c>
      <c r="D692" t="inlineStr">
        <is>
          <t>JÄMTLANDS LÄN</t>
        </is>
      </c>
      <c r="E692" t="inlineStr">
        <is>
          <t>RAGUNDA</t>
        </is>
      </c>
      <c r="F692" t="inlineStr">
        <is>
          <t>SCA</t>
        </is>
      </c>
      <c r="G692" t="n">
        <v>20.2</v>
      </c>
      <c r="H692" t="n">
        <v>0</v>
      </c>
      <c r="I692" t="n">
        <v>0</v>
      </c>
      <c r="J692" t="n">
        <v>0</v>
      </c>
      <c r="K692" t="n">
        <v>0</v>
      </c>
      <c r="L692" t="n">
        <v>0</v>
      </c>
      <c r="M692" t="n">
        <v>0</v>
      </c>
      <c r="N692" t="n">
        <v>0</v>
      </c>
      <c r="O692" t="n">
        <v>0</v>
      </c>
      <c r="P692" t="n">
        <v>0</v>
      </c>
      <c r="Q692" t="n">
        <v>0</v>
      </c>
      <c r="R692" s="2" t="inlineStr"/>
    </row>
    <row r="693" ht="15" customHeight="1">
      <c r="A693" t="inlineStr">
        <is>
          <t>A 19854-2025</t>
        </is>
      </c>
      <c r="B693" s="1" t="n">
        <v>45771.51074074074</v>
      </c>
      <c r="C693" s="1" t="n">
        <v>46004</v>
      </c>
      <c r="D693" t="inlineStr">
        <is>
          <t>JÄMTLANDS LÄN</t>
        </is>
      </c>
      <c r="E693" t="inlineStr">
        <is>
          <t>RAGUNDA</t>
        </is>
      </c>
      <c r="F693" t="inlineStr">
        <is>
          <t>SCA</t>
        </is>
      </c>
      <c r="G693" t="n">
        <v>8.4</v>
      </c>
      <c r="H693" t="n">
        <v>0</v>
      </c>
      <c r="I693" t="n">
        <v>0</v>
      </c>
      <c r="J693" t="n">
        <v>0</v>
      </c>
      <c r="K693" t="n">
        <v>0</v>
      </c>
      <c r="L693" t="n">
        <v>0</v>
      </c>
      <c r="M693" t="n">
        <v>0</v>
      </c>
      <c r="N693" t="n">
        <v>0</v>
      </c>
      <c r="O693" t="n">
        <v>0</v>
      </c>
      <c r="P693" t="n">
        <v>0</v>
      </c>
      <c r="Q693" t="n">
        <v>0</v>
      </c>
      <c r="R693" s="2" t="inlineStr"/>
    </row>
    <row r="694" ht="15" customHeight="1">
      <c r="A694" t="inlineStr">
        <is>
          <t>A 62135-2024</t>
        </is>
      </c>
      <c r="B694" s="1" t="n">
        <v>45656.64223379629</v>
      </c>
      <c r="C694" s="1" t="n">
        <v>46004</v>
      </c>
      <c r="D694" t="inlineStr">
        <is>
          <t>JÄMTLANDS LÄN</t>
        </is>
      </c>
      <c r="E694" t="inlineStr">
        <is>
          <t>RAGUNDA</t>
        </is>
      </c>
      <c r="G694" t="n">
        <v>1.5</v>
      </c>
      <c r="H694" t="n">
        <v>0</v>
      </c>
      <c r="I694" t="n">
        <v>0</v>
      </c>
      <c r="J694" t="n">
        <v>0</v>
      </c>
      <c r="K694" t="n">
        <v>0</v>
      </c>
      <c r="L694" t="n">
        <v>0</v>
      </c>
      <c r="M694" t="n">
        <v>0</v>
      </c>
      <c r="N694" t="n">
        <v>0</v>
      </c>
      <c r="O694" t="n">
        <v>0</v>
      </c>
      <c r="P694" t="n">
        <v>0</v>
      </c>
      <c r="Q694" t="n">
        <v>0</v>
      </c>
      <c r="R694" s="2" t="inlineStr"/>
    </row>
    <row r="695" ht="15" customHeight="1">
      <c r="A695" t="inlineStr">
        <is>
          <t>A 50503-2024</t>
        </is>
      </c>
      <c r="B695" s="1" t="n">
        <v>45601.5315625</v>
      </c>
      <c r="C695" s="1" t="n">
        <v>46004</v>
      </c>
      <c r="D695" t="inlineStr">
        <is>
          <t>JÄMTLANDS LÄN</t>
        </is>
      </c>
      <c r="E695" t="inlineStr">
        <is>
          <t>RAGUNDA</t>
        </is>
      </c>
      <c r="F695" t="inlineStr">
        <is>
          <t>SCA</t>
        </is>
      </c>
      <c r="G695" t="n">
        <v>5.2</v>
      </c>
      <c r="H695" t="n">
        <v>0</v>
      </c>
      <c r="I695" t="n">
        <v>0</v>
      </c>
      <c r="J695" t="n">
        <v>0</v>
      </c>
      <c r="K695" t="n">
        <v>0</v>
      </c>
      <c r="L695" t="n">
        <v>0</v>
      </c>
      <c r="M695" t="n">
        <v>0</v>
      </c>
      <c r="N695" t="n">
        <v>0</v>
      </c>
      <c r="O695" t="n">
        <v>0</v>
      </c>
      <c r="P695" t="n">
        <v>0</v>
      </c>
      <c r="Q695" t="n">
        <v>0</v>
      </c>
      <c r="R695" s="2" t="inlineStr"/>
    </row>
    <row r="696" ht="15" customHeight="1">
      <c r="A696" t="inlineStr">
        <is>
          <t>A 10610-2024</t>
        </is>
      </c>
      <c r="B696" s="1" t="n">
        <v>45367.04693287037</v>
      </c>
      <c r="C696" s="1" t="n">
        <v>46004</v>
      </c>
      <c r="D696" t="inlineStr">
        <is>
          <t>JÄMTLANDS LÄN</t>
        </is>
      </c>
      <c r="E696" t="inlineStr">
        <is>
          <t>RAGUNDA</t>
        </is>
      </c>
      <c r="F696" t="inlineStr">
        <is>
          <t>SCA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23304-2023</t>
        </is>
      </c>
      <c r="B697" s="1" t="n">
        <v>45075.945</v>
      </c>
      <c r="C697" s="1" t="n">
        <v>46004</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18248-2023</t>
        </is>
      </c>
      <c r="B698" s="1" t="n">
        <v>45040</v>
      </c>
      <c r="C698" s="1" t="n">
        <v>46004</v>
      </c>
      <c r="D698" t="inlineStr">
        <is>
          <t>JÄMTLANDS LÄN</t>
        </is>
      </c>
      <c r="E698" t="inlineStr">
        <is>
          <t>RAGUNDA</t>
        </is>
      </c>
      <c r="G698" t="n">
        <v>4.3</v>
      </c>
      <c r="H698" t="n">
        <v>0</v>
      </c>
      <c r="I698" t="n">
        <v>0</v>
      </c>
      <c r="J698" t="n">
        <v>0</v>
      </c>
      <c r="K698" t="n">
        <v>0</v>
      </c>
      <c r="L698" t="n">
        <v>0</v>
      </c>
      <c r="M698" t="n">
        <v>0</v>
      </c>
      <c r="N698" t="n">
        <v>0</v>
      </c>
      <c r="O698" t="n">
        <v>0</v>
      </c>
      <c r="P698" t="n">
        <v>0</v>
      </c>
      <c r="Q698" t="n">
        <v>0</v>
      </c>
      <c r="R698" s="2" t="inlineStr"/>
    </row>
    <row r="699" ht="15" customHeight="1">
      <c r="A699" t="inlineStr">
        <is>
          <t>A 8802-2022</t>
        </is>
      </c>
      <c r="B699" s="1" t="n">
        <v>44614</v>
      </c>
      <c r="C699" s="1" t="n">
        <v>46004</v>
      </c>
      <c r="D699" t="inlineStr">
        <is>
          <t>JÄMTLANDS LÄN</t>
        </is>
      </c>
      <c r="E699" t="inlineStr">
        <is>
          <t>RAGUNDA</t>
        </is>
      </c>
      <c r="G699" t="n">
        <v>2.8</v>
      </c>
      <c r="H699" t="n">
        <v>0</v>
      </c>
      <c r="I699" t="n">
        <v>0</v>
      </c>
      <c r="J699" t="n">
        <v>0</v>
      </c>
      <c r="K699" t="n">
        <v>0</v>
      </c>
      <c r="L699" t="n">
        <v>0</v>
      </c>
      <c r="M699" t="n">
        <v>0</v>
      </c>
      <c r="N699" t="n">
        <v>0</v>
      </c>
      <c r="O699" t="n">
        <v>0</v>
      </c>
      <c r="P699" t="n">
        <v>0</v>
      </c>
      <c r="Q699" t="n">
        <v>0</v>
      </c>
      <c r="R699" s="2" t="inlineStr"/>
    </row>
    <row r="700" ht="15" customHeight="1">
      <c r="A700" t="inlineStr">
        <is>
          <t>A 39489-2023</t>
        </is>
      </c>
      <c r="B700" s="1" t="n">
        <v>45166</v>
      </c>
      <c r="C700" s="1" t="n">
        <v>46004</v>
      </c>
      <c r="D700" t="inlineStr">
        <is>
          <t>JÄMTLANDS LÄN</t>
        </is>
      </c>
      <c r="E700" t="inlineStr">
        <is>
          <t>RAGUNDA</t>
        </is>
      </c>
      <c r="G700" t="n">
        <v>5</v>
      </c>
      <c r="H700" t="n">
        <v>0</v>
      </c>
      <c r="I700" t="n">
        <v>0</v>
      </c>
      <c r="J700" t="n">
        <v>0</v>
      </c>
      <c r="K700" t="n">
        <v>0</v>
      </c>
      <c r="L700" t="n">
        <v>0</v>
      </c>
      <c r="M700" t="n">
        <v>0</v>
      </c>
      <c r="N700" t="n">
        <v>0</v>
      </c>
      <c r="O700" t="n">
        <v>0</v>
      </c>
      <c r="P700" t="n">
        <v>0</v>
      </c>
      <c r="Q700" t="n">
        <v>0</v>
      </c>
      <c r="R700" s="2" t="inlineStr"/>
    </row>
    <row r="701" ht="15" customHeight="1">
      <c r="A701" t="inlineStr">
        <is>
          <t>A 36226-2023</t>
        </is>
      </c>
      <c r="B701" s="1" t="n">
        <v>45149.95372685185</v>
      </c>
      <c r="C701" s="1" t="n">
        <v>46004</v>
      </c>
      <c r="D701" t="inlineStr">
        <is>
          <t>JÄMTLANDS LÄN</t>
        </is>
      </c>
      <c r="E701" t="inlineStr">
        <is>
          <t>RAGUNDA</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18615-2024</t>
        </is>
      </c>
      <c r="B702" s="1" t="n">
        <v>45425.96275462963</v>
      </c>
      <c r="C702" s="1" t="n">
        <v>46004</v>
      </c>
      <c r="D702" t="inlineStr">
        <is>
          <t>JÄMTLANDS LÄN</t>
        </is>
      </c>
      <c r="E702" t="inlineStr">
        <is>
          <t>RAGUNDA</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40269-2022</t>
        </is>
      </c>
      <c r="B703" s="1" t="n">
        <v>44820</v>
      </c>
      <c r="C703" s="1" t="n">
        <v>46004</v>
      </c>
      <c r="D703" t="inlineStr">
        <is>
          <t>JÄMTLANDS LÄN</t>
        </is>
      </c>
      <c r="E703" t="inlineStr">
        <is>
          <t>RAGUNDA</t>
        </is>
      </c>
      <c r="F703" t="inlineStr">
        <is>
          <t>SCA</t>
        </is>
      </c>
      <c r="G703" t="n">
        <v>77.8</v>
      </c>
      <c r="H703" t="n">
        <v>0</v>
      </c>
      <c r="I703" t="n">
        <v>0</v>
      </c>
      <c r="J703" t="n">
        <v>0</v>
      </c>
      <c r="K703" t="n">
        <v>0</v>
      </c>
      <c r="L703" t="n">
        <v>0</v>
      </c>
      <c r="M703" t="n">
        <v>0</v>
      </c>
      <c r="N703" t="n">
        <v>0</v>
      </c>
      <c r="O703" t="n">
        <v>0</v>
      </c>
      <c r="P703" t="n">
        <v>0</v>
      </c>
      <c r="Q703" t="n">
        <v>0</v>
      </c>
      <c r="R703" s="2" t="inlineStr"/>
    </row>
    <row r="704" ht="15" customHeight="1">
      <c r="A704" t="inlineStr">
        <is>
          <t>A 10706-2023</t>
        </is>
      </c>
      <c r="B704" s="1" t="n">
        <v>44984</v>
      </c>
      <c r="C704" s="1" t="n">
        <v>46004</v>
      </c>
      <c r="D704" t="inlineStr">
        <is>
          <t>JÄMTLANDS LÄN</t>
        </is>
      </c>
      <c r="E704" t="inlineStr">
        <is>
          <t>RAGUNDA</t>
        </is>
      </c>
      <c r="G704" t="n">
        <v>7.7</v>
      </c>
      <c r="H704" t="n">
        <v>0</v>
      </c>
      <c r="I704" t="n">
        <v>0</v>
      </c>
      <c r="J704" t="n">
        <v>0</v>
      </c>
      <c r="K704" t="n">
        <v>0</v>
      </c>
      <c r="L704" t="n">
        <v>0</v>
      </c>
      <c r="M704" t="n">
        <v>0</v>
      </c>
      <c r="N704" t="n">
        <v>0</v>
      </c>
      <c r="O704" t="n">
        <v>0</v>
      </c>
      <c r="P704" t="n">
        <v>0</v>
      </c>
      <c r="Q704" t="n">
        <v>0</v>
      </c>
      <c r="R704" s="2" t="inlineStr"/>
    </row>
    <row r="705" ht="15" customHeight="1">
      <c r="A705" t="inlineStr">
        <is>
          <t>A 37242-2024</t>
        </is>
      </c>
      <c r="B705" s="1" t="n">
        <v>45540.34428240741</v>
      </c>
      <c r="C705" s="1" t="n">
        <v>46004</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63708-2023</t>
        </is>
      </c>
      <c r="B706" s="1" t="n">
        <v>45275.95060185185</v>
      </c>
      <c r="C706" s="1" t="n">
        <v>46004</v>
      </c>
      <c r="D706" t="inlineStr">
        <is>
          <t>JÄMTLANDS LÄN</t>
        </is>
      </c>
      <c r="E706" t="inlineStr">
        <is>
          <t>RAGUNDA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46004</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55214-2022</t>
        </is>
      </c>
      <c r="B708" s="1" t="n">
        <v>44886</v>
      </c>
      <c r="C708" s="1" t="n">
        <v>46004</v>
      </c>
      <c r="D708" t="inlineStr">
        <is>
          <t>JÄMTLANDS LÄN</t>
        </is>
      </c>
      <c r="E708" t="inlineStr">
        <is>
          <t>RAGUNDA</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60663-2022</t>
        </is>
      </c>
      <c r="B709" s="1" t="n">
        <v>44911.93846064815</v>
      </c>
      <c r="C709" s="1" t="n">
        <v>46004</v>
      </c>
      <c r="D709" t="inlineStr">
        <is>
          <t>JÄMTLANDS LÄN</t>
        </is>
      </c>
      <c r="E709" t="inlineStr">
        <is>
          <t>RAGUNDA</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58847-2024</t>
        </is>
      </c>
      <c r="B710" s="1" t="n">
        <v>45636.3864699074</v>
      </c>
      <c r="C710" s="1" t="n">
        <v>46004</v>
      </c>
      <c r="D710" t="inlineStr">
        <is>
          <t>JÄMTLANDS LÄN</t>
        </is>
      </c>
      <c r="E710" t="inlineStr">
        <is>
          <t>RAGUNDA</t>
        </is>
      </c>
      <c r="F710" t="inlineStr">
        <is>
          <t>SCA</t>
        </is>
      </c>
      <c r="G710" t="n">
        <v>8</v>
      </c>
      <c r="H710" t="n">
        <v>0</v>
      </c>
      <c r="I710" t="n">
        <v>0</v>
      </c>
      <c r="J710" t="n">
        <v>0</v>
      </c>
      <c r="K710" t="n">
        <v>0</v>
      </c>
      <c r="L710" t="n">
        <v>0</v>
      </c>
      <c r="M710" t="n">
        <v>0</v>
      </c>
      <c r="N710" t="n">
        <v>0</v>
      </c>
      <c r="O710" t="n">
        <v>0</v>
      </c>
      <c r="P710" t="n">
        <v>0</v>
      </c>
      <c r="Q710" t="n">
        <v>0</v>
      </c>
      <c r="R710" s="2" t="inlineStr"/>
    </row>
    <row r="711" ht="15" customHeight="1">
      <c r="A711" t="inlineStr">
        <is>
          <t>A 27777-2022</t>
        </is>
      </c>
      <c r="B711" s="1" t="n">
        <v>44743</v>
      </c>
      <c r="C711" s="1" t="n">
        <v>46004</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45438-2022</t>
        </is>
      </c>
      <c r="B712" s="1" t="n">
        <v>44844.95368055555</v>
      </c>
      <c r="C712" s="1" t="n">
        <v>46004</v>
      </c>
      <c r="D712" t="inlineStr">
        <is>
          <t>JÄMTLANDS LÄN</t>
        </is>
      </c>
      <c r="E712" t="inlineStr">
        <is>
          <t>RAGUNDA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56191-2022</t>
        </is>
      </c>
      <c r="B713" s="1" t="n">
        <v>44889.95015046297</v>
      </c>
      <c r="C713" s="1" t="n">
        <v>46004</v>
      </c>
      <c r="D713" t="inlineStr">
        <is>
          <t>JÄMTLANDS LÄN</t>
        </is>
      </c>
      <c r="E713" t="inlineStr">
        <is>
          <t>RAGUNDA</t>
        </is>
      </c>
      <c r="F713" t="inlineStr">
        <is>
          <t>Sveaskog</t>
        </is>
      </c>
      <c r="G713" t="n">
        <v>3</v>
      </c>
      <c r="H713" t="n">
        <v>0</v>
      </c>
      <c r="I713" t="n">
        <v>0</v>
      </c>
      <c r="J713" t="n">
        <v>0</v>
      </c>
      <c r="K713" t="n">
        <v>0</v>
      </c>
      <c r="L713" t="n">
        <v>0</v>
      </c>
      <c r="M713" t="n">
        <v>0</v>
      </c>
      <c r="N713" t="n">
        <v>0</v>
      </c>
      <c r="O713" t="n">
        <v>0</v>
      </c>
      <c r="P713" t="n">
        <v>0</v>
      </c>
      <c r="Q713" t="n">
        <v>0</v>
      </c>
      <c r="R713" s="2" t="inlineStr"/>
    </row>
    <row r="714" ht="15" customHeight="1">
      <c r="A714" t="inlineStr">
        <is>
          <t>A 42875-2024</t>
        </is>
      </c>
      <c r="B714" s="1" t="n">
        <v>45566.68125</v>
      </c>
      <c r="C714" s="1" t="n">
        <v>46004</v>
      </c>
      <c r="D714" t="inlineStr">
        <is>
          <t>JÄMTLANDS LÄN</t>
        </is>
      </c>
      <c r="E714" t="inlineStr">
        <is>
          <t>RAGUNDA</t>
        </is>
      </c>
      <c r="G714" t="n">
        <v>0.5</v>
      </c>
      <c r="H714" t="n">
        <v>0</v>
      </c>
      <c r="I714" t="n">
        <v>0</v>
      </c>
      <c r="J714" t="n">
        <v>0</v>
      </c>
      <c r="K714" t="n">
        <v>0</v>
      </c>
      <c r="L714" t="n">
        <v>0</v>
      </c>
      <c r="M714" t="n">
        <v>0</v>
      </c>
      <c r="N714" t="n">
        <v>0</v>
      </c>
      <c r="O714" t="n">
        <v>0</v>
      </c>
      <c r="P714" t="n">
        <v>0</v>
      </c>
      <c r="Q714" t="n">
        <v>0</v>
      </c>
      <c r="R714" s="2" t="inlineStr"/>
    </row>
    <row r="715" ht="15" customHeight="1">
      <c r="A715" t="inlineStr">
        <is>
          <t>A 30823-2023</t>
        </is>
      </c>
      <c r="B715" s="1" t="n">
        <v>45112</v>
      </c>
      <c r="C715" s="1" t="n">
        <v>46004</v>
      </c>
      <c r="D715" t="inlineStr">
        <is>
          <t>JÄMTLANDS LÄN</t>
        </is>
      </c>
      <c r="E715" t="inlineStr">
        <is>
          <t>RAGUNDA</t>
        </is>
      </c>
      <c r="F715" t="inlineStr">
        <is>
          <t>SCA</t>
        </is>
      </c>
      <c r="G715" t="n">
        <v>9</v>
      </c>
      <c r="H715" t="n">
        <v>0</v>
      </c>
      <c r="I715" t="n">
        <v>0</v>
      </c>
      <c r="J715" t="n">
        <v>0</v>
      </c>
      <c r="K715" t="n">
        <v>0</v>
      </c>
      <c r="L715" t="n">
        <v>0</v>
      </c>
      <c r="M715" t="n">
        <v>0</v>
      </c>
      <c r="N715" t="n">
        <v>0</v>
      </c>
      <c r="O715" t="n">
        <v>0</v>
      </c>
      <c r="P715" t="n">
        <v>0</v>
      </c>
      <c r="Q715" t="n">
        <v>0</v>
      </c>
      <c r="R715" s="2" t="inlineStr"/>
    </row>
    <row r="716" ht="15" customHeight="1">
      <c r="A716" t="inlineStr">
        <is>
          <t>A 53935-2022</t>
        </is>
      </c>
      <c r="B716" s="1" t="n">
        <v>44880</v>
      </c>
      <c r="C716" s="1" t="n">
        <v>46004</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2831-2024</t>
        </is>
      </c>
      <c r="B717" s="1" t="n">
        <v>45314.92758101852</v>
      </c>
      <c r="C717" s="1" t="n">
        <v>46004</v>
      </c>
      <c r="D717" t="inlineStr">
        <is>
          <t>JÄMTLANDS LÄN</t>
        </is>
      </c>
      <c r="E717" t="inlineStr">
        <is>
          <t>RAGUNDA</t>
        </is>
      </c>
      <c r="G717" t="n">
        <v>0.6</v>
      </c>
      <c r="H717" t="n">
        <v>0</v>
      </c>
      <c r="I717" t="n">
        <v>0</v>
      </c>
      <c r="J717" t="n">
        <v>0</v>
      </c>
      <c r="K717" t="n">
        <v>0</v>
      </c>
      <c r="L717" t="n">
        <v>0</v>
      </c>
      <c r="M717" t="n">
        <v>0</v>
      </c>
      <c r="N717" t="n">
        <v>0</v>
      </c>
      <c r="O717" t="n">
        <v>0</v>
      </c>
      <c r="P717" t="n">
        <v>0</v>
      </c>
      <c r="Q717" t="n">
        <v>0</v>
      </c>
      <c r="R717" s="2" t="inlineStr"/>
    </row>
    <row r="718" ht="15" customHeight="1">
      <c r="A718" t="inlineStr">
        <is>
          <t>A 43339-2024</t>
        </is>
      </c>
      <c r="B718" s="1" t="n">
        <v>45568.51075231482</v>
      </c>
      <c r="C718" s="1" t="n">
        <v>46004</v>
      </c>
      <c r="D718" t="inlineStr">
        <is>
          <t>JÄMTLANDS LÄN</t>
        </is>
      </c>
      <c r="E718" t="inlineStr">
        <is>
          <t>RAGUNDA</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43102-2023</t>
        </is>
      </c>
      <c r="B719" s="1" t="n">
        <v>45182</v>
      </c>
      <c r="C719" s="1" t="n">
        <v>46004</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41262-2021</t>
        </is>
      </c>
      <c r="B720" s="1" t="n">
        <v>44424</v>
      </c>
      <c r="C720" s="1" t="n">
        <v>46004</v>
      </c>
      <c r="D720" t="inlineStr">
        <is>
          <t>JÄMTLANDS LÄN</t>
        </is>
      </c>
      <c r="E720" t="inlineStr">
        <is>
          <t>RAGUNDA</t>
        </is>
      </c>
      <c r="G720" t="n">
        <v>2.6</v>
      </c>
      <c r="H720" t="n">
        <v>0</v>
      </c>
      <c r="I720" t="n">
        <v>0</v>
      </c>
      <c r="J720" t="n">
        <v>0</v>
      </c>
      <c r="K720" t="n">
        <v>0</v>
      </c>
      <c r="L720" t="n">
        <v>0</v>
      </c>
      <c r="M720" t="n">
        <v>0</v>
      </c>
      <c r="N720" t="n">
        <v>0</v>
      </c>
      <c r="O720" t="n">
        <v>0</v>
      </c>
      <c r="P720" t="n">
        <v>0</v>
      </c>
      <c r="Q720" t="n">
        <v>0</v>
      </c>
      <c r="R720" s="2" t="inlineStr"/>
    </row>
    <row r="721" ht="15" customHeight="1">
      <c r="A721" t="inlineStr">
        <is>
          <t>A 7722-2023</t>
        </is>
      </c>
      <c r="B721" s="1" t="n">
        <v>44972.94140046297</v>
      </c>
      <c r="C721" s="1" t="n">
        <v>46004</v>
      </c>
      <c r="D721" t="inlineStr">
        <is>
          <t>JÄMTLANDS LÄN</t>
        </is>
      </c>
      <c r="E721" t="inlineStr">
        <is>
          <t>RAGUNDA</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12204-2025</t>
        </is>
      </c>
      <c r="B722" s="1" t="n">
        <v>45729.51074074074</v>
      </c>
      <c r="C722" s="1" t="n">
        <v>46004</v>
      </c>
      <c r="D722" t="inlineStr">
        <is>
          <t>JÄMTLANDS LÄN</t>
        </is>
      </c>
      <c r="E722" t="inlineStr">
        <is>
          <t>RAGUNDA</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20221-2025</t>
        </is>
      </c>
      <c r="B723" s="1" t="n">
        <v>45772.6565625</v>
      </c>
      <c r="C723" s="1" t="n">
        <v>46004</v>
      </c>
      <c r="D723" t="inlineStr">
        <is>
          <t>JÄMTLANDS LÄN</t>
        </is>
      </c>
      <c r="E723" t="inlineStr">
        <is>
          <t>RAGUNDA</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4015-2022</t>
        </is>
      </c>
      <c r="B724" s="1" t="n">
        <v>44587.92149305555</v>
      </c>
      <c r="C724" s="1" t="n">
        <v>46004</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9823-2025</t>
        </is>
      </c>
      <c r="B725" s="1" t="n">
        <v>45716</v>
      </c>
      <c r="C725" s="1" t="n">
        <v>46004</v>
      </c>
      <c r="D725" t="inlineStr">
        <is>
          <t>JÄMTLANDS LÄN</t>
        </is>
      </c>
      <c r="E725" t="inlineStr">
        <is>
          <t>RAGUNDA</t>
        </is>
      </c>
      <c r="F725" t="inlineStr">
        <is>
          <t>SCA</t>
        </is>
      </c>
      <c r="G725" t="n">
        <v>6.2</v>
      </c>
      <c r="H725" t="n">
        <v>0</v>
      </c>
      <c r="I725" t="n">
        <v>0</v>
      </c>
      <c r="J725" t="n">
        <v>0</v>
      </c>
      <c r="K725" t="n">
        <v>0</v>
      </c>
      <c r="L725" t="n">
        <v>0</v>
      </c>
      <c r="M725" t="n">
        <v>0</v>
      </c>
      <c r="N725" t="n">
        <v>0</v>
      </c>
      <c r="O725" t="n">
        <v>0</v>
      </c>
      <c r="P725" t="n">
        <v>0</v>
      </c>
      <c r="Q725" t="n">
        <v>0</v>
      </c>
      <c r="R725" s="2" t="inlineStr"/>
    </row>
    <row r="726" ht="15" customHeight="1">
      <c r="A726" t="inlineStr">
        <is>
          <t>A 8416-2023</t>
        </is>
      </c>
      <c r="B726" s="1" t="n">
        <v>44977.44373842593</v>
      </c>
      <c r="C726" s="1" t="n">
        <v>46004</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13299-2024</t>
        </is>
      </c>
      <c r="B727" s="1" t="n">
        <v>45386.68003472222</v>
      </c>
      <c r="C727" s="1" t="n">
        <v>46004</v>
      </c>
      <c r="D727" t="inlineStr">
        <is>
          <t>JÄMTLANDS LÄN</t>
        </is>
      </c>
      <c r="E727" t="inlineStr">
        <is>
          <t>RAGUNDA</t>
        </is>
      </c>
      <c r="G727" t="n">
        <v>1.9</v>
      </c>
      <c r="H727" t="n">
        <v>0</v>
      </c>
      <c r="I727" t="n">
        <v>0</v>
      </c>
      <c r="J727" t="n">
        <v>0</v>
      </c>
      <c r="K727" t="n">
        <v>0</v>
      </c>
      <c r="L727" t="n">
        <v>0</v>
      </c>
      <c r="M727" t="n">
        <v>0</v>
      </c>
      <c r="N727" t="n">
        <v>0</v>
      </c>
      <c r="O727" t="n">
        <v>0</v>
      </c>
      <c r="P727" t="n">
        <v>0</v>
      </c>
      <c r="Q727" t="n">
        <v>0</v>
      </c>
      <c r="R727" s="2" t="inlineStr"/>
    </row>
    <row r="728" ht="15" customHeight="1">
      <c r="A728" t="inlineStr">
        <is>
          <t>A 45253-2023</t>
        </is>
      </c>
      <c r="B728" s="1" t="n">
        <v>45187</v>
      </c>
      <c r="C728" s="1" t="n">
        <v>46004</v>
      </c>
      <c r="D728" t="inlineStr">
        <is>
          <t>JÄMTLANDS LÄN</t>
        </is>
      </c>
      <c r="E728" t="inlineStr">
        <is>
          <t>RAGUNDA</t>
        </is>
      </c>
      <c r="G728" t="n">
        <v>3.3</v>
      </c>
      <c r="H728" t="n">
        <v>0</v>
      </c>
      <c r="I728" t="n">
        <v>0</v>
      </c>
      <c r="J728" t="n">
        <v>0</v>
      </c>
      <c r="K728" t="n">
        <v>0</v>
      </c>
      <c r="L728" t="n">
        <v>0</v>
      </c>
      <c r="M728" t="n">
        <v>0</v>
      </c>
      <c r="N728" t="n">
        <v>0</v>
      </c>
      <c r="O728" t="n">
        <v>0</v>
      </c>
      <c r="P728" t="n">
        <v>0</v>
      </c>
      <c r="Q728" t="n">
        <v>0</v>
      </c>
      <c r="R728" s="2" t="inlineStr"/>
    </row>
    <row r="729" ht="15" customHeight="1">
      <c r="A729" t="inlineStr">
        <is>
          <t>A 13917-2023</t>
        </is>
      </c>
      <c r="B729" s="1" t="n">
        <v>45007</v>
      </c>
      <c r="C729" s="1" t="n">
        <v>46004</v>
      </c>
      <c r="D729" t="inlineStr">
        <is>
          <t>JÄMTLANDS LÄN</t>
        </is>
      </c>
      <c r="E729" t="inlineStr">
        <is>
          <t>RAGUNDA</t>
        </is>
      </c>
      <c r="G729" t="n">
        <v>1</v>
      </c>
      <c r="H729" t="n">
        <v>0</v>
      </c>
      <c r="I729" t="n">
        <v>0</v>
      </c>
      <c r="J729" t="n">
        <v>0</v>
      </c>
      <c r="K729" t="n">
        <v>0</v>
      </c>
      <c r="L729" t="n">
        <v>0</v>
      </c>
      <c r="M729" t="n">
        <v>0</v>
      </c>
      <c r="N729" t="n">
        <v>0</v>
      </c>
      <c r="O729" t="n">
        <v>0</v>
      </c>
      <c r="P729" t="n">
        <v>0</v>
      </c>
      <c r="Q729" t="n">
        <v>0</v>
      </c>
      <c r="R729" s="2" t="inlineStr"/>
    </row>
    <row r="730" ht="15" customHeight="1">
      <c r="A730" t="inlineStr">
        <is>
          <t>A 15024-2022</t>
        </is>
      </c>
      <c r="B730" s="1" t="n">
        <v>44657</v>
      </c>
      <c r="C730" s="1" t="n">
        <v>46004</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14369-2024</t>
        </is>
      </c>
      <c r="B731" s="1" t="n">
        <v>45393.94459490741</v>
      </c>
      <c r="C731" s="1" t="n">
        <v>46004</v>
      </c>
      <c r="D731" t="inlineStr">
        <is>
          <t>JÄMTLANDS LÄN</t>
        </is>
      </c>
      <c r="E731" t="inlineStr">
        <is>
          <t>RAGUNDA</t>
        </is>
      </c>
      <c r="F731" t="inlineStr">
        <is>
          <t>Naturvårdsverket</t>
        </is>
      </c>
      <c r="G731" t="n">
        <v>1.8</v>
      </c>
      <c r="H731" t="n">
        <v>0</v>
      </c>
      <c r="I731" t="n">
        <v>0</v>
      </c>
      <c r="J731" t="n">
        <v>0</v>
      </c>
      <c r="K731" t="n">
        <v>0</v>
      </c>
      <c r="L731" t="n">
        <v>0</v>
      </c>
      <c r="M731" t="n">
        <v>0</v>
      </c>
      <c r="N731" t="n">
        <v>0</v>
      </c>
      <c r="O731" t="n">
        <v>0</v>
      </c>
      <c r="P731" t="n">
        <v>0</v>
      </c>
      <c r="Q731" t="n">
        <v>0</v>
      </c>
      <c r="R731" s="2" t="inlineStr"/>
    </row>
    <row r="732" ht="15" customHeight="1">
      <c r="A732" t="inlineStr">
        <is>
          <t>A 891-2022</t>
        </is>
      </c>
      <c r="B732" s="1" t="n">
        <v>44571</v>
      </c>
      <c r="C732" s="1" t="n">
        <v>46004</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53019-2023</t>
        </is>
      </c>
      <c r="B733" s="1" t="n">
        <v>45222</v>
      </c>
      <c r="C733" s="1" t="n">
        <v>46004</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36371-2023</t>
        </is>
      </c>
      <c r="B734" s="1" t="n">
        <v>45149</v>
      </c>
      <c r="C734" s="1" t="n">
        <v>46004</v>
      </c>
      <c r="D734" t="inlineStr">
        <is>
          <t>JÄMTLANDS LÄN</t>
        </is>
      </c>
      <c r="E734" t="inlineStr">
        <is>
          <t>RAGUNDA</t>
        </is>
      </c>
      <c r="G734" t="n">
        <v>25.7</v>
      </c>
      <c r="H734" t="n">
        <v>0</v>
      </c>
      <c r="I734" t="n">
        <v>0</v>
      </c>
      <c r="J734" t="n">
        <v>0</v>
      </c>
      <c r="K734" t="n">
        <v>0</v>
      </c>
      <c r="L734" t="n">
        <v>0</v>
      </c>
      <c r="M734" t="n">
        <v>0</v>
      </c>
      <c r="N734" t="n">
        <v>0</v>
      </c>
      <c r="O734" t="n">
        <v>0</v>
      </c>
      <c r="P734" t="n">
        <v>0</v>
      </c>
      <c r="Q734" t="n">
        <v>0</v>
      </c>
      <c r="R734" s="2" t="inlineStr"/>
    </row>
    <row r="735" ht="15" customHeight="1">
      <c r="A735" t="inlineStr">
        <is>
          <t>A 56702-2023</t>
        </is>
      </c>
      <c r="B735" s="1" t="n">
        <v>45243</v>
      </c>
      <c r="C735" s="1" t="n">
        <v>46004</v>
      </c>
      <c r="D735" t="inlineStr">
        <is>
          <t>JÄMTLANDS LÄN</t>
        </is>
      </c>
      <c r="E735" t="inlineStr">
        <is>
          <t>RAGUNDA</t>
        </is>
      </c>
      <c r="F735" t="inlineStr">
        <is>
          <t>SCA</t>
        </is>
      </c>
      <c r="G735" t="n">
        <v>10.3</v>
      </c>
      <c r="H735" t="n">
        <v>0</v>
      </c>
      <c r="I735" t="n">
        <v>0</v>
      </c>
      <c r="J735" t="n">
        <v>0</v>
      </c>
      <c r="K735" t="n">
        <v>0</v>
      </c>
      <c r="L735" t="n">
        <v>0</v>
      </c>
      <c r="M735" t="n">
        <v>0</v>
      </c>
      <c r="N735" t="n">
        <v>0</v>
      </c>
      <c r="O735" t="n">
        <v>0</v>
      </c>
      <c r="P735" t="n">
        <v>0</v>
      </c>
      <c r="Q735" t="n">
        <v>0</v>
      </c>
      <c r="R735" s="2" t="inlineStr"/>
    </row>
    <row r="736" ht="15" customHeight="1">
      <c r="A736" t="inlineStr">
        <is>
          <t>A 53740-2024</t>
        </is>
      </c>
      <c r="B736" s="1" t="n">
        <v>45615.47091435185</v>
      </c>
      <c r="C736" s="1" t="n">
        <v>46004</v>
      </c>
      <c r="D736" t="inlineStr">
        <is>
          <t>JÄMTLANDS LÄN</t>
        </is>
      </c>
      <c r="E736" t="inlineStr">
        <is>
          <t>RAGUNDA</t>
        </is>
      </c>
      <c r="G736" t="n">
        <v>2.7</v>
      </c>
      <c r="H736" t="n">
        <v>0</v>
      </c>
      <c r="I736" t="n">
        <v>0</v>
      </c>
      <c r="J736" t="n">
        <v>0</v>
      </c>
      <c r="K736" t="n">
        <v>0</v>
      </c>
      <c r="L736" t="n">
        <v>0</v>
      </c>
      <c r="M736" t="n">
        <v>0</v>
      </c>
      <c r="N736" t="n">
        <v>0</v>
      </c>
      <c r="O736" t="n">
        <v>0</v>
      </c>
      <c r="P736" t="n">
        <v>0</v>
      </c>
      <c r="Q736" t="n">
        <v>0</v>
      </c>
      <c r="R736" s="2" t="inlineStr"/>
    </row>
    <row r="737" ht="15" customHeight="1">
      <c r="A737" t="inlineStr">
        <is>
          <t>A 14212-2023</t>
        </is>
      </c>
      <c r="B737" s="1" t="n">
        <v>45009</v>
      </c>
      <c r="C737" s="1" t="n">
        <v>46004</v>
      </c>
      <c r="D737" t="inlineStr">
        <is>
          <t>JÄMTLANDS LÄN</t>
        </is>
      </c>
      <c r="E737" t="inlineStr">
        <is>
          <t>RAGUNDA</t>
        </is>
      </c>
      <c r="G737" t="n">
        <v>0.8</v>
      </c>
      <c r="H737" t="n">
        <v>0</v>
      </c>
      <c r="I737" t="n">
        <v>0</v>
      </c>
      <c r="J737" t="n">
        <v>0</v>
      </c>
      <c r="K737" t="n">
        <v>0</v>
      </c>
      <c r="L737" t="n">
        <v>0</v>
      </c>
      <c r="M737" t="n">
        <v>0</v>
      </c>
      <c r="N737" t="n">
        <v>0</v>
      </c>
      <c r="O737" t="n">
        <v>0</v>
      </c>
      <c r="P737" t="n">
        <v>0</v>
      </c>
      <c r="Q737" t="n">
        <v>0</v>
      </c>
      <c r="R737" s="2" t="inlineStr"/>
    </row>
    <row r="738" ht="15" customHeight="1">
      <c r="A738" t="inlineStr">
        <is>
          <t>A 32259-2024</t>
        </is>
      </c>
      <c r="B738" s="1" t="n">
        <v>45511</v>
      </c>
      <c r="C738" s="1" t="n">
        <v>46004</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59372-2024</t>
        </is>
      </c>
      <c r="B739" s="1" t="n">
        <v>45638.34431712963</v>
      </c>
      <c r="C739" s="1" t="n">
        <v>46004</v>
      </c>
      <c r="D739" t="inlineStr">
        <is>
          <t>JÄMTLANDS LÄN</t>
        </is>
      </c>
      <c r="E739" t="inlineStr">
        <is>
          <t>RAGUNDA</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59996-2023</t>
        </is>
      </c>
      <c r="B740" s="1" t="n">
        <v>45257.92826388889</v>
      </c>
      <c r="C740" s="1" t="n">
        <v>46004</v>
      </c>
      <c r="D740" t="inlineStr">
        <is>
          <t>JÄMTLANDS LÄN</t>
        </is>
      </c>
      <c r="E740" t="inlineStr">
        <is>
          <t>RAGUNDA</t>
        </is>
      </c>
      <c r="G740" t="n">
        <v>2.7</v>
      </c>
      <c r="H740" t="n">
        <v>0</v>
      </c>
      <c r="I740" t="n">
        <v>0</v>
      </c>
      <c r="J740" t="n">
        <v>0</v>
      </c>
      <c r="K740" t="n">
        <v>0</v>
      </c>
      <c r="L740" t="n">
        <v>0</v>
      </c>
      <c r="M740" t="n">
        <v>0</v>
      </c>
      <c r="N740" t="n">
        <v>0</v>
      </c>
      <c r="O740" t="n">
        <v>0</v>
      </c>
      <c r="P740" t="n">
        <v>0</v>
      </c>
      <c r="Q740" t="n">
        <v>0</v>
      </c>
      <c r="R740" s="2" t="inlineStr"/>
    </row>
    <row r="741" ht="15" customHeight="1">
      <c r="A741" t="inlineStr">
        <is>
          <t>A 44980-2023</t>
        </is>
      </c>
      <c r="B741" s="1" t="n">
        <v>45190</v>
      </c>
      <c r="C741" s="1" t="n">
        <v>46004</v>
      </c>
      <c r="D741" t="inlineStr">
        <is>
          <t>JÄMTLANDS LÄN</t>
        </is>
      </c>
      <c r="E741" t="inlineStr">
        <is>
          <t>RAGUNDA</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182-2023</t>
        </is>
      </c>
      <c r="B742" s="1" t="n">
        <v>44922</v>
      </c>
      <c r="C742" s="1" t="n">
        <v>46004</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14076-2023</t>
        </is>
      </c>
      <c r="B743" s="1" t="n">
        <v>45009.0897337963</v>
      </c>
      <c r="C743" s="1" t="n">
        <v>46004</v>
      </c>
      <c r="D743" t="inlineStr">
        <is>
          <t>JÄMTLANDS LÄN</t>
        </is>
      </c>
      <c r="E743" t="inlineStr">
        <is>
          <t>RAGUNDA</t>
        </is>
      </c>
      <c r="F743" t="inlineStr">
        <is>
          <t>SCA</t>
        </is>
      </c>
      <c r="G743" t="n">
        <v>6.4</v>
      </c>
      <c r="H743" t="n">
        <v>0</v>
      </c>
      <c r="I743" t="n">
        <v>0</v>
      </c>
      <c r="J743" t="n">
        <v>0</v>
      </c>
      <c r="K743" t="n">
        <v>0</v>
      </c>
      <c r="L743" t="n">
        <v>0</v>
      </c>
      <c r="M743" t="n">
        <v>0</v>
      </c>
      <c r="N743" t="n">
        <v>0</v>
      </c>
      <c r="O743" t="n">
        <v>0</v>
      </c>
      <c r="P743" t="n">
        <v>0</v>
      </c>
      <c r="Q743" t="n">
        <v>0</v>
      </c>
      <c r="R743" s="2" t="inlineStr"/>
    </row>
    <row r="744" ht="15" customHeight="1">
      <c r="A744" t="inlineStr">
        <is>
          <t>A 6490-2022</t>
        </is>
      </c>
      <c r="B744" s="1" t="n">
        <v>44601</v>
      </c>
      <c r="C744" s="1" t="n">
        <v>46004</v>
      </c>
      <c r="D744" t="inlineStr">
        <is>
          <t>JÄMTLANDS LÄN</t>
        </is>
      </c>
      <c r="E744" t="inlineStr">
        <is>
          <t>RAGUNDA</t>
        </is>
      </c>
      <c r="G744" t="n">
        <v>3.8</v>
      </c>
      <c r="H744" t="n">
        <v>0</v>
      </c>
      <c r="I744" t="n">
        <v>0</v>
      </c>
      <c r="J744" t="n">
        <v>0</v>
      </c>
      <c r="K744" t="n">
        <v>0</v>
      </c>
      <c r="L744" t="n">
        <v>0</v>
      </c>
      <c r="M744" t="n">
        <v>0</v>
      </c>
      <c r="N744" t="n">
        <v>0</v>
      </c>
      <c r="O744" t="n">
        <v>0</v>
      </c>
      <c r="P744" t="n">
        <v>0</v>
      </c>
      <c r="Q744" t="n">
        <v>0</v>
      </c>
      <c r="R744" s="2" t="inlineStr"/>
    </row>
    <row r="745" ht="15" customHeight="1">
      <c r="A745" t="inlineStr">
        <is>
          <t>A 5313-2025</t>
        </is>
      </c>
      <c r="B745" s="1" t="n">
        <v>45692.51069444444</v>
      </c>
      <c r="C745" s="1" t="n">
        <v>46004</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5357-2025</t>
        </is>
      </c>
      <c r="B746" s="1" t="n">
        <v>45692.57326388889</v>
      </c>
      <c r="C746" s="1" t="n">
        <v>46004</v>
      </c>
      <c r="D746" t="inlineStr">
        <is>
          <t>JÄMTLANDS LÄN</t>
        </is>
      </c>
      <c r="E746" t="inlineStr">
        <is>
          <t>RAGUNDA</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3018-2024</t>
        </is>
      </c>
      <c r="B747" s="1" t="n">
        <v>45315.9492824074</v>
      </c>
      <c r="C747" s="1" t="n">
        <v>46004</v>
      </c>
      <c r="D747" t="inlineStr">
        <is>
          <t>JÄMTLANDS LÄN</t>
        </is>
      </c>
      <c r="E747" t="inlineStr">
        <is>
          <t>RAGUNDA</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6802-2021</t>
        </is>
      </c>
      <c r="B748" s="1" t="n">
        <v>44236</v>
      </c>
      <c r="C748" s="1" t="n">
        <v>46004</v>
      </c>
      <c r="D748" t="inlineStr">
        <is>
          <t>JÄMTLANDS LÄN</t>
        </is>
      </c>
      <c r="E748" t="inlineStr">
        <is>
          <t>RAGUNDA</t>
        </is>
      </c>
      <c r="G748" t="n">
        <v>11.2</v>
      </c>
      <c r="H748" t="n">
        <v>0</v>
      </c>
      <c r="I748" t="n">
        <v>0</v>
      </c>
      <c r="J748" t="n">
        <v>0</v>
      </c>
      <c r="K748" t="n">
        <v>0</v>
      </c>
      <c r="L748" t="n">
        <v>0</v>
      </c>
      <c r="M748" t="n">
        <v>0</v>
      </c>
      <c r="N748" t="n">
        <v>0</v>
      </c>
      <c r="O748" t="n">
        <v>0</v>
      </c>
      <c r="P748" t="n">
        <v>0</v>
      </c>
      <c r="Q748" t="n">
        <v>0</v>
      </c>
      <c r="R748" s="2" t="inlineStr"/>
    </row>
    <row r="749" ht="15" customHeight="1">
      <c r="A749" t="inlineStr">
        <is>
          <t>A 6477-2024</t>
        </is>
      </c>
      <c r="B749" s="1" t="n">
        <v>45338.95405092592</v>
      </c>
      <c r="C749" s="1" t="n">
        <v>46004</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44605-2024</t>
        </is>
      </c>
      <c r="B750" s="1" t="n">
        <v>45574.51185185185</v>
      </c>
      <c r="C750" s="1" t="n">
        <v>46004</v>
      </c>
      <c r="D750" t="inlineStr">
        <is>
          <t>JÄMTLANDS LÄN</t>
        </is>
      </c>
      <c r="E750" t="inlineStr">
        <is>
          <t>RAGUNDA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12805-2025</t>
        </is>
      </c>
      <c r="B751" s="1" t="n">
        <v>45733.61497685185</v>
      </c>
      <c r="C751" s="1" t="n">
        <v>46004</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12808-2025</t>
        </is>
      </c>
      <c r="B752" s="1" t="n">
        <v>45733.61554398148</v>
      </c>
      <c r="C752" s="1" t="n">
        <v>46004</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4615-2023</t>
        </is>
      </c>
      <c r="B753" s="1" t="n">
        <v>44956.93924768519</v>
      </c>
      <c r="C753" s="1" t="n">
        <v>46004</v>
      </c>
      <c r="D753" t="inlineStr">
        <is>
          <t>JÄMTLANDS LÄN</t>
        </is>
      </c>
      <c r="E753" t="inlineStr">
        <is>
          <t>RAGUNDA</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5938-2025</t>
        </is>
      </c>
      <c r="B754" s="1" t="n">
        <v>45695.45868055556</v>
      </c>
      <c r="C754" s="1" t="n">
        <v>46004</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4125-2024</t>
        </is>
      </c>
      <c r="B755" s="1" t="n">
        <v>45323</v>
      </c>
      <c r="C755" s="1" t="n">
        <v>46004</v>
      </c>
      <c r="D755" t="inlineStr">
        <is>
          <t>JÄMTLANDS LÄN</t>
        </is>
      </c>
      <c r="E755" t="inlineStr">
        <is>
          <t>RAGUNDA</t>
        </is>
      </c>
      <c r="G755" t="n">
        <v>1</v>
      </c>
      <c r="H755" t="n">
        <v>0</v>
      </c>
      <c r="I755" t="n">
        <v>0</v>
      </c>
      <c r="J755" t="n">
        <v>0</v>
      </c>
      <c r="K755" t="n">
        <v>0</v>
      </c>
      <c r="L755" t="n">
        <v>0</v>
      </c>
      <c r="M755" t="n">
        <v>0</v>
      </c>
      <c r="N755" t="n">
        <v>0</v>
      </c>
      <c r="O755" t="n">
        <v>0</v>
      </c>
      <c r="P755" t="n">
        <v>0</v>
      </c>
      <c r="Q755" t="n">
        <v>0</v>
      </c>
      <c r="R755" s="2" t="inlineStr"/>
    </row>
    <row r="756" ht="15" customHeight="1">
      <c r="A756" t="inlineStr">
        <is>
          <t>A 53549-2024</t>
        </is>
      </c>
      <c r="B756" s="1" t="n">
        <v>45614.63869212963</v>
      </c>
      <c r="C756" s="1" t="n">
        <v>46004</v>
      </c>
      <c r="D756" t="inlineStr">
        <is>
          <t>JÄMTLANDS LÄN</t>
        </is>
      </c>
      <c r="E756" t="inlineStr">
        <is>
          <t>RAGUNDA</t>
        </is>
      </c>
      <c r="F756" t="inlineStr">
        <is>
          <t>Kyrkan</t>
        </is>
      </c>
      <c r="G756" t="n">
        <v>1.7</v>
      </c>
      <c r="H756" t="n">
        <v>0</v>
      </c>
      <c r="I756" t="n">
        <v>0</v>
      </c>
      <c r="J756" t="n">
        <v>0</v>
      </c>
      <c r="K756" t="n">
        <v>0</v>
      </c>
      <c r="L756" t="n">
        <v>0</v>
      </c>
      <c r="M756" t="n">
        <v>0</v>
      </c>
      <c r="N756" t="n">
        <v>0</v>
      </c>
      <c r="O756" t="n">
        <v>0</v>
      </c>
      <c r="P756" t="n">
        <v>0</v>
      </c>
      <c r="Q756" t="n">
        <v>0</v>
      </c>
      <c r="R756" s="2" t="inlineStr"/>
    </row>
    <row r="757" ht="15" customHeight="1">
      <c r="A757" t="inlineStr">
        <is>
          <t>A 18193-2022</t>
        </is>
      </c>
      <c r="B757" s="1" t="n">
        <v>44684.94032407407</v>
      </c>
      <c r="C757" s="1" t="n">
        <v>46004</v>
      </c>
      <c r="D757" t="inlineStr">
        <is>
          <t>JÄMTLANDS LÄN</t>
        </is>
      </c>
      <c r="E757" t="inlineStr">
        <is>
          <t>RAGUNDA</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11551-2024</t>
        </is>
      </c>
      <c r="B758" s="1" t="n">
        <v>45372.95762731481</v>
      </c>
      <c r="C758" s="1" t="n">
        <v>46004</v>
      </c>
      <c r="D758" t="inlineStr">
        <is>
          <t>JÄMTLANDS LÄN</t>
        </is>
      </c>
      <c r="E758" t="inlineStr">
        <is>
          <t>RAGUNDA</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49647-2024</t>
        </is>
      </c>
      <c r="B759" s="1" t="n">
        <v>45596.61533564814</v>
      </c>
      <c r="C759" s="1" t="n">
        <v>46004</v>
      </c>
      <c r="D759" t="inlineStr">
        <is>
          <t>JÄMTLANDS LÄN</t>
        </is>
      </c>
      <c r="E759" t="inlineStr">
        <is>
          <t>RAGUNDA</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7284-2025</t>
        </is>
      </c>
      <c r="B760" s="1" t="n">
        <v>45702.63604166666</v>
      </c>
      <c r="C760" s="1" t="n">
        <v>46004</v>
      </c>
      <c r="D760" t="inlineStr">
        <is>
          <t>JÄMTLANDS LÄN</t>
        </is>
      </c>
      <c r="E760" t="inlineStr">
        <is>
          <t>RAGUNDA</t>
        </is>
      </c>
      <c r="F760" t="inlineStr">
        <is>
          <t>SCA</t>
        </is>
      </c>
      <c r="G760" t="n">
        <v>0.3</v>
      </c>
      <c r="H760" t="n">
        <v>0</v>
      </c>
      <c r="I760" t="n">
        <v>0</v>
      </c>
      <c r="J760" t="n">
        <v>0</v>
      </c>
      <c r="K760" t="n">
        <v>0</v>
      </c>
      <c r="L760" t="n">
        <v>0</v>
      </c>
      <c r="M760" t="n">
        <v>0</v>
      </c>
      <c r="N760" t="n">
        <v>0</v>
      </c>
      <c r="O760" t="n">
        <v>0</v>
      </c>
      <c r="P760" t="n">
        <v>0</v>
      </c>
      <c r="Q760" t="n">
        <v>0</v>
      </c>
      <c r="R760" s="2" t="inlineStr"/>
    </row>
    <row r="761" ht="15" customHeight="1">
      <c r="A761" t="inlineStr">
        <is>
          <t>A 31506-2024</t>
        </is>
      </c>
      <c r="B761" s="1" t="n">
        <v>45505</v>
      </c>
      <c r="C761" s="1" t="n">
        <v>46004</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53264-2024</t>
        </is>
      </c>
      <c r="B762" s="1" t="n">
        <v>45614.34545138889</v>
      </c>
      <c r="C762" s="1" t="n">
        <v>46004</v>
      </c>
      <c r="D762" t="inlineStr">
        <is>
          <t>JÄMTLANDS LÄN</t>
        </is>
      </c>
      <c r="E762" t="inlineStr">
        <is>
          <t>RAGUNDA</t>
        </is>
      </c>
      <c r="G762" t="n">
        <v>1.4</v>
      </c>
      <c r="H762" t="n">
        <v>0</v>
      </c>
      <c r="I762" t="n">
        <v>0</v>
      </c>
      <c r="J762" t="n">
        <v>0</v>
      </c>
      <c r="K762" t="n">
        <v>0</v>
      </c>
      <c r="L762" t="n">
        <v>0</v>
      </c>
      <c r="M762" t="n">
        <v>0</v>
      </c>
      <c r="N762" t="n">
        <v>0</v>
      </c>
      <c r="O762" t="n">
        <v>0</v>
      </c>
      <c r="P762" t="n">
        <v>0</v>
      </c>
      <c r="Q762" t="n">
        <v>0</v>
      </c>
      <c r="R762" s="2" t="inlineStr"/>
    </row>
    <row r="763" ht="15" customHeight="1">
      <c r="A763" t="inlineStr">
        <is>
          <t>A 13389-2025</t>
        </is>
      </c>
      <c r="B763" s="1" t="n">
        <v>45735.69842592593</v>
      </c>
      <c r="C763" s="1" t="n">
        <v>46004</v>
      </c>
      <c r="D763" t="inlineStr">
        <is>
          <t>JÄMTLANDS LÄN</t>
        </is>
      </c>
      <c r="E763" t="inlineStr">
        <is>
          <t>RAGUNDA</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19382-2025</t>
        </is>
      </c>
      <c r="B764" s="1" t="n">
        <v>45769.65659722222</v>
      </c>
      <c r="C764" s="1" t="n">
        <v>46004</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37479-2023</t>
        </is>
      </c>
      <c r="B765" s="1" t="n">
        <v>45156</v>
      </c>
      <c r="C765" s="1" t="n">
        <v>46004</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5958-2021</t>
        </is>
      </c>
      <c r="B766" s="1" t="n">
        <v>44231</v>
      </c>
      <c r="C766" s="1" t="n">
        <v>46004</v>
      </c>
      <c r="D766" t="inlineStr">
        <is>
          <t>JÄMTLANDS LÄN</t>
        </is>
      </c>
      <c r="E766" t="inlineStr">
        <is>
          <t>RAGUNDA</t>
        </is>
      </c>
      <c r="G766" t="n">
        <v>3.1</v>
      </c>
      <c r="H766" t="n">
        <v>0</v>
      </c>
      <c r="I766" t="n">
        <v>0</v>
      </c>
      <c r="J766" t="n">
        <v>0</v>
      </c>
      <c r="K766" t="n">
        <v>0</v>
      </c>
      <c r="L766" t="n">
        <v>0</v>
      </c>
      <c r="M766" t="n">
        <v>0</v>
      </c>
      <c r="N766" t="n">
        <v>0</v>
      </c>
      <c r="O766" t="n">
        <v>0</v>
      </c>
      <c r="P766" t="n">
        <v>0</v>
      </c>
      <c r="Q766" t="n">
        <v>0</v>
      </c>
      <c r="R766" s="2" t="inlineStr"/>
    </row>
    <row r="767" ht="15" customHeight="1">
      <c r="A767" t="inlineStr">
        <is>
          <t>A 12522-2023</t>
        </is>
      </c>
      <c r="B767" s="1" t="n">
        <v>45000</v>
      </c>
      <c r="C767" s="1" t="n">
        <v>46004</v>
      </c>
      <c r="D767" t="inlineStr">
        <is>
          <t>JÄMTLANDS LÄN</t>
        </is>
      </c>
      <c r="E767" t="inlineStr">
        <is>
          <t>RAGUNDA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12523-2023</t>
        </is>
      </c>
      <c r="B768" s="1" t="n">
        <v>45000</v>
      </c>
      <c r="C768" s="1" t="n">
        <v>46004</v>
      </c>
      <c r="D768" t="inlineStr">
        <is>
          <t>JÄMTLANDS LÄN</t>
        </is>
      </c>
      <c r="E768" t="inlineStr">
        <is>
          <t>RAGUNDA</t>
        </is>
      </c>
      <c r="F768" t="inlineStr">
        <is>
          <t>SCA</t>
        </is>
      </c>
      <c r="G768" t="n">
        <v>14.3</v>
      </c>
      <c r="H768" t="n">
        <v>0</v>
      </c>
      <c r="I768" t="n">
        <v>0</v>
      </c>
      <c r="J768" t="n">
        <v>0</v>
      </c>
      <c r="K768" t="n">
        <v>0</v>
      </c>
      <c r="L768" t="n">
        <v>0</v>
      </c>
      <c r="M768" t="n">
        <v>0</v>
      </c>
      <c r="N768" t="n">
        <v>0</v>
      </c>
      <c r="O768" t="n">
        <v>0</v>
      </c>
      <c r="P768" t="n">
        <v>0</v>
      </c>
      <c r="Q768" t="n">
        <v>0</v>
      </c>
      <c r="R768" s="2" t="inlineStr"/>
    </row>
    <row r="769" ht="15" customHeight="1">
      <c r="A769" t="inlineStr">
        <is>
          <t>A 45631-2024</t>
        </is>
      </c>
      <c r="B769" s="1" t="n">
        <v>45579.47052083333</v>
      </c>
      <c r="C769" s="1" t="n">
        <v>46004</v>
      </c>
      <c r="D769" t="inlineStr">
        <is>
          <t>JÄMTLANDS LÄN</t>
        </is>
      </c>
      <c r="E769" t="inlineStr">
        <is>
          <t>RAGUNDA</t>
        </is>
      </c>
      <c r="G769" t="n">
        <v>15.1</v>
      </c>
      <c r="H769" t="n">
        <v>0</v>
      </c>
      <c r="I769" t="n">
        <v>0</v>
      </c>
      <c r="J769" t="n">
        <v>0</v>
      </c>
      <c r="K769" t="n">
        <v>0</v>
      </c>
      <c r="L769" t="n">
        <v>0</v>
      </c>
      <c r="M769" t="n">
        <v>0</v>
      </c>
      <c r="N769" t="n">
        <v>0</v>
      </c>
      <c r="O769" t="n">
        <v>0</v>
      </c>
      <c r="P769" t="n">
        <v>0</v>
      </c>
      <c r="Q769" t="n">
        <v>0</v>
      </c>
      <c r="R769" s="2" t="inlineStr"/>
    </row>
    <row r="770" ht="15" customHeight="1">
      <c r="A770" t="inlineStr">
        <is>
          <t>A 24861-2023</t>
        </is>
      </c>
      <c r="B770" s="1" t="n">
        <v>45078</v>
      </c>
      <c r="C770" s="1" t="n">
        <v>46004</v>
      </c>
      <c r="D770" t="inlineStr">
        <is>
          <t>JÄMTLANDS LÄN</t>
        </is>
      </c>
      <c r="E770" t="inlineStr">
        <is>
          <t>RAGUNDA</t>
        </is>
      </c>
      <c r="G770" t="n">
        <v>1.3</v>
      </c>
      <c r="H770" t="n">
        <v>0</v>
      </c>
      <c r="I770" t="n">
        <v>0</v>
      </c>
      <c r="J770" t="n">
        <v>0</v>
      </c>
      <c r="K770" t="n">
        <v>0</v>
      </c>
      <c r="L770" t="n">
        <v>0</v>
      </c>
      <c r="M770" t="n">
        <v>0</v>
      </c>
      <c r="N770" t="n">
        <v>0</v>
      </c>
      <c r="O770" t="n">
        <v>0</v>
      </c>
      <c r="P770" t="n">
        <v>0</v>
      </c>
      <c r="Q770" t="n">
        <v>0</v>
      </c>
      <c r="R770" s="2" t="inlineStr"/>
    </row>
    <row r="771" ht="15" customHeight="1">
      <c r="A771" t="inlineStr">
        <is>
          <t>A 4866-2025</t>
        </is>
      </c>
      <c r="B771" s="1" t="n">
        <v>45688.67542824074</v>
      </c>
      <c r="C771" s="1" t="n">
        <v>46004</v>
      </c>
      <c r="D771" t="inlineStr">
        <is>
          <t>JÄMTLANDS LÄN</t>
        </is>
      </c>
      <c r="E771" t="inlineStr">
        <is>
          <t>RAGUNDA</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55701-2021</t>
        </is>
      </c>
      <c r="B772" s="1" t="n">
        <v>44475</v>
      </c>
      <c r="C772" s="1" t="n">
        <v>46004</v>
      </c>
      <c r="D772" t="inlineStr">
        <is>
          <t>JÄMTLANDS LÄN</t>
        </is>
      </c>
      <c r="E772" t="inlineStr">
        <is>
          <t>RAGUNDA</t>
        </is>
      </c>
      <c r="G772" t="n">
        <v>5.6</v>
      </c>
      <c r="H772" t="n">
        <v>0</v>
      </c>
      <c r="I772" t="n">
        <v>0</v>
      </c>
      <c r="J772" t="n">
        <v>0</v>
      </c>
      <c r="K772" t="n">
        <v>0</v>
      </c>
      <c r="L772" t="n">
        <v>0</v>
      </c>
      <c r="M772" t="n">
        <v>0</v>
      </c>
      <c r="N772" t="n">
        <v>0</v>
      </c>
      <c r="O772" t="n">
        <v>0</v>
      </c>
      <c r="P772" t="n">
        <v>0</v>
      </c>
      <c r="Q772" t="n">
        <v>0</v>
      </c>
      <c r="R772" s="2" t="inlineStr"/>
    </row>
    <row r="773" ht="15" customHeight="1">
      <c r="A773" t="inlineStr">
        <is>
          <t>A 11780-2024</t>
        </is>
      </c>
      <c r="B773" s="1" t="n">
        <v>45374</v>
      </c>
      <c r="C773" s="1" t="n">
        <v>46004</v>
      </c>
      <c r="D773" t="inlineStr">
        <is>
          <t>JÄMTLANDS LÄN</t>
        </is>
      </c>
      <c r="E773" t="inlineStr">
        <is>
          <t>RAGUNDA</t>
        </is>
      </c>
      <c r="G773" t="n">
        <v>14.6</v>
      </c>
      <c r="H773" t="n">
        <v>0</v>
      </c>
      <c r="I773" t="n">
        <v>0</v>
      </c>
      <c r="J773" t="n">
        <v>0</v>
      </c>
      <c r="K773" t="n">
        <v>0</v>
      </c>
      <c r="L773" t="n">
        <v>0</v>
      </c>
      <c r="M773" t="n">
        <v>0</v>
      </c>
      <c r="N773" t="n">
        <v>0</v>
      </c>
      <c r="O773" t="n">
        <v>0</v>
      </c>
      <c r="P773" t="n">
        <v>0</v>
      </c>
      <c r="Q773" t="n">
        <v>0</v>
      </c>
      <c r="R773" s="2" t="inlineStr"/>
    </row>
    <row r="774" ht="15" customHeight="1">
      <c r="A774" t="inlineStr">
        <is>
          <t>A 13905-2025</t>
        </is>
      </c>
      <c r="B774" s="1" t="n">
        <v>45737.63574074074</v>
      </c>
      <c r="C774" s="1" t="n">
        <v>46004</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13941-2025</t>
        </is>
      </c>
      <c r="B775" s="1" t="n">
        <v>45737.69822916666</v>
      </c>
      <c r="C775" s="1" t="n">
        <v>46004</v>
      </c>
      <c r="D775" t="inlineStr">
        <is>
          <t>JÄMTLANDS LÄN</t>
        </is>
      </c>
      <c r="E775" t="inlineStr">
        <is>
          <t>RAGUNDA</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11288-2022</t>
        </is>
      </c>
      <c r="B776" s="1" t="n">
        <v>44629</v>
      </c>
      <c r="C776" s="1" t="n">
        <v>46004</v>
      </c>
      <c r="D776" t="inlineStr">
        <is>
          <t>JÄMTLANDS LÄN</t>
        </is>
      </c>
      <c r="E776" t="inlineStr">
        <is>
          <t>RAGUNDA</t>
        </is>
      </c>
      <c r="G776" t="n">
        <v>4.9</v>
      </c>
      <c r="H776" t="n">
        <v>0</v>
      </c>
      <c r="I776" t="n">
        <v>0</v>
      </c>
      <c r="J776" t="n">
        <v>0</v>
      </c>
      <c r="K776" t="n">
        <v>0</v>
      </c>
      <c r="L776" t="n">
        <v>0</v>
      </c>
      <c r="M776" t="n">
        <v>0</v>
      </c>
      <c r="N776" t="n">
        <v>0</v>
      </c>
      <c r="O776" t="n">
        <v>0</v>
      </c>
      <c r="P776" t="n">
        <v>0</v>
      </c>
      <c r="Q776" t="n">
        <v>0</v>
      </c>
      <c r="R776" s="2" t="inlineStr"/>
    </row>
    <row r="777" ht="15" customHeight="1">
      <c r="A777" t="inlineStr">
        <is>
          <t>A 18984-2023</t>
        </is>
      </c>
      <c r="B777" s="1" t="n">
        <v>45044</v>
      </c>
      <c r="C777" s="1" t="n">
        <v>46004</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30484-2024</t>
        </is>
      </c>
      <c r="B778" s="1" t="n">
        <v>45491</v>
      </c>
      <c r="C778" s="1" t="n">
        <v>46004</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66011-2021</t>
        </is>
      </c>
      <c r="B779" s="1" t="n">
        <v>44517.58137731482</v>
      </c>
      <c r="C779" s="1" t="n">
        <v>46004</v>
      </c>
      <c r="D779" t="inlineStr">
        <is>
          <t>JÄMTLANDS LÄN</t>
        </is>
      </c>
      <c r="E779" t="inlineStr">
        <is>
          <t>RAGUNDA</t>
        </is>
      </c>
      <c r="G779" t="n">
        <v>1.1</v>
      </c>
      <c r="H779" t="n">
        <v>0</v>
      </c>
      <c r="I779" t="n">
        <v>0</v>
      </c>
      <c r="J779" t="n">
        <v>0</v>
      </c>
      <c r="K779" t="n">
        <v>0</v>
      </c>
      <c r="L779" t="n">
        <v>0</v>
      </c>
      <c r="M779" t="n">
        <v>0</v>
      </c>
      <c r="N779" t="n">
        <v>0</v>
      </c>
      <c r="O779" t="n">
        <v>0</v>
      </c>
      <c r="P779" t="n">
        <v>0</v>
      </c>
      <c r="Q779" t="n">
        <v>0</v>
      </c>
      <c r="R779" s="2" t="inlineStr"/>
    </row>
    <row r="780" ht="15" customHeight="1">
      <c r="A780" t="inlineStr">
        <is>
          <t>A 50160-2023</t>
        </is>
      </c>
      <c r="B780" s="1" t="n">
        <v>45208</v>
      </c>
      <c r="C780" s="1" t="n">
        <v>46004</v>
      </c>
      <c r="D780" t="inlineStr">
        <is>
          <t>JÄMTLANDS LÄN</t>
        </is>
      </c>
      <c r="E780" t="inlineStr">
        <is>
          <t>RAGUNDA</t>
        </is>
      </c>
      <c r="G780" t="n">
        <v>4.6</v>
      </c>
      <c r="H780" t="n">
        <v>0</v>
      </c>
      <c r="I780" t="n">
        <v>0</v>
      </c>
      <c r="J780" t="n">
        <v>0</v>
      </c>
      <c r="K780" t="n">
        <v>0</v>
      </c>
      <c r="L780" t="n">
        <v>0</v>
      </c>
      <c r="M780" t="n">
        <v>0</v>
      </c>
      <c r="N780" t="n">
        <v>0</v>
      </c>
      <c r="O780" t="n">
        <v>0</v>
      </c>
      <c r="P780" t="n">
        <v>0</v>
      </c>
      <c r="Q780" t="n">
        <v>0</v>
      </c>
      <c r="R780" s="2" t="inlineStr"/>
    </row>
    <row r="781" ht="15" customHeight="1">
      <c r="A781" t="inlineStr">
        <is>
          <t>A 42509-2023</t>
        </is>
      </c>
      <c r="B781" s="1" t="n">
        <v>45180</v>
      </c>
      <c r="C781" s="1" t="n">
        <v>46004</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33615-2023</t>
        </is>
      </c>
      <c r="B782" s="1" t="n">
        <v>45119</v>
      </c>
      <c r="C782" s="1" t="n">
        <v>46004</v>
      </c>
      <c r="D782" t="inlineStr">
        <is>
          <t>JÄMTLANDS LÄN</t>
        </is>
      </c>
      <c r="E782" t="inlineStr">
        <is>
          <t>RAGUNDA</t>
        </is>
      </c>
      <c r="G782" t="n">
        <v>0.9</v>
      </c>
      <c r="H782" t="n">
        <v>0</v>
      </c>
      <c r="I782" t="n">
        <v>0</v>
      </c>
      <c r="J782" t="n">
        <v>0</v>
      </c>
      <c r="K782" t="n">
        <v>0</v>
      </c>
      <c r="L782" t="n">
        <v>0</v>
      </c>
      <c r="M782" t="n">
        <v>0</v>
      </c>
      <c r="N782" t="n">
        <v>0</v>
      </c>
      <c r="O782" t="n">
        <v>0</v>
      </c>
      <c r="P782" t="n">
        <v>0</v>
      </c>
      <c r="Q782" t="n">
        <v>0</v>
      </c>
      <c r="R782" s="2" t="inlineStr"/>
    </row>
    <row r="783" ht="15" customHeight="1">
      <c r="A783" t="inlineStr">
        <is>
          <t>A 42510-2023</t>
        </is>
      </c>
      <c r="B783" s="1" t="n">
        <v>45180.95927083334</v>
      </c>
      <c r="C783" s="1" t="n">
        <v>46004</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14513-2025</t>
        </is>
      </c>
      <c r="B784" s="1" t="n">
        <v>45741.63675925926</v>
      </c>
      <c r="C784" s="1" t="n">
        <v>46004</v>
      </c>
      <c r="D784" t="inlineStr">
        <is>
          <t>JÄMTLANDS LÄN</t>
        </is>
      </c>
      <c r="E784" t="inlineStr">
        <is>
          <t>RAGUNDA</t>
        </is>
      </c>
      <c r="F784" t="inlineStr">
        <is>
          <t>SCA</t>
        </is>
      </c>
      <c r="G784" t="n">
        <v>6.8</v>
      </c>
      <c r="H784" t="n">
        <v>0</v>
      </c>
      <c r="I784" t="n">
        <v>0</v>
      </c>
      <c r="J784" t="n">
        <v>0</v>
      </c>
      <c r="K784" t="n">
        <v>0</v>
      </c>
      <c r="L784" t="n">
        <v>0</v>
      </c>
      <c r="M784" t="n">
        <v>0</v>
      </c>
      <c r="N784" t="n">
        <v>0</v>
      </c>
      <c r="O784" t="n">
        <v>0</v>
      </c>
      <c r="P784" t="n">
        <v>0</v>
      </c>
      <c r="Q784" t="n">
        <v>0</v>
      </c>
      <c r="R784" s="2" t="inlineStr"/>
    </row>
    <row r="785" ht="15" customHeight="1">
      <c r="A785" t="inlineStr">
        <is>
          <t>A 53860-2023</t>
        </is>
      </c>
      <c r="B785" s="1" t="n">
        <v>45224</v>
      </c>
      <c r="C785" s="1" t="n">
        <v>46004</v>
      </c>
      <c r="D785" t="inlineStr">
        <is>
          <t>JÄMTLANDS LÄN</t>
        </is>
      </c>
      <c r="E785" t="inlineStr">
        <is>
          <t>RAGUNDA</t>
        </is>
      </c>
      <c r="G785" t="n">
        <v>3.3</v>
      </c>
      <c r="H785" t="n">
        <v>0</v>
      </c>
      <c r="I785" t="n">
        <v>0</v>
      </c>
      <c r="J785" t="n">
        <v>0</v>
      </c>
      <c r="K785" t="n">
        <v>0</v>
      </c>
      <c r="L785" t="n">
        <v>0</v>
      </c>
      <c r="M785" t="n">
        <v>0</v>
      </c>
      <c r="N785" t="n">
        <v>0</v>
      </c>
      <c r="O785" t="n">
        <v>0</v>
      </c>
      <c r="P785" t="n">
        <v>0</v>
      </c>
      <c r="Q785" t="n">
        <v>0</v>
      </c>
      <c r="R785" s="2" t="inlineStr"/>
    </row>
    <row r="786" ht="15" customHeight="1">
      <c r="A786" t="inlineStr">
        <is>
          <t>A 12039-2023</t>
        </is>
      </c>
      <c r="B786" s="1" t="n">
        <v>44995.98341435185</v>
      </c>
      <c r="C786" s="1" t="n">
        <v>46004</v>
      </c>
      <c r="D786" t="inlineStr">
        <is>
          <t>JÄMTLANDS LÄN</t>
        </is>
      </c>
      <c r="E786" t="inlineStr">
        <is>
          <t>RAGUNDA</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55904-2022</t>
        </is>
      </c>
      <c r="B787" s="1" t="n">
        <v>44888</v>
      </c>
      <c r="C787" s="1" t="n">
        <v>46004</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26991-2023</t>
        </is>
      </c>
      <c r="B788" s="1" t="n">
        <v>45093.92207175926</v>
      </c>
      <c r="C788" s="1" t="n">
        <v>46004</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7281-2025</t>
        </is>
      </c>
      <c r="B789" s="1" t="n">
        <v>45702.63572916666</v>
      </c>
      <c r="C789" s="1" t="n">
        <v>46004</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48192-2024</t>
        </is>
      </c>
      <c r="B790" s="1" t="n">
        <v>45590</v>
      </c>
      <c r="C790" s="1" t="n">
        <v>46004</v>
      </c>
      <c r="D790" t="inlineStr">
        <is>
          <t>JÄMTLANDS LÄN</t>
        </is>
      </c>
      <c r="E790" t="inlineStr">
        <is>
          <t>RAGUNDA</t>
        </is>
      </c>
      <c r="G790" t="n">
        <v>2.3</v>
      </c>
      <c r="H790" t="n">
        <v>0</v>
      </c>
      <c r="I790" t="n">
        <v>0</v>
      </c>
      <c r="J790" t="n">
        <v>0</v>
      </c>
      <c r="K790" t="n">
        <v>0</v>
      </c>
      <c r="L790" t="n">
        <v>0</v>
      </c>
      <c r="M790" t="n">
        <v>0</v>
      </c>
      <c r="N790" t="n">
        <v>0</v>
      </c>
      <c r="O790" t="n">
        <v>0</v>
      </c>
      <c r="P790" t="n">
        <v>0</v>
      </c>
      <c r="Q790" t="n">
        <v>0</v>
      </c>
      <c r="R790" s="2" t="inlineStr"/>
    </row>
    <row r="791" ht="15" customHeight="1">
      <c r="A791" t="inlineStr">
        <is>
          <t>A 13302-2022</t>
        </is>
      </c>
      <c r="B791" s="1" t="n">
        <v>44644</v>
      </c>
      <c r="C791" s="1" t="n">
        <v>46004</v>
      </c>
      <c r="D791" t="inlineStr">
        <is>
          <t>JÄMTLANDS LÄN</t>
        </is>
      </c>
      <c r="E791" t="inlineStr">
        <is>
          <t>RAGUNDA</t>
        </is>
      </c>
      <c r="F791" t="inlineStr">
        <is>
          <t>SCA</t>
        </is>
      </c>
      <c r="G791" t="n">
        <v>35.6</v>
      </c>
      <c r="H791" t="n">
        <v>0</v>
      </c>
      <c r="I791" t="n">
        <v>0</v>
      </c>
      <c r="J791" t="n">
        <v>0</v>
      </c>
      <c r="K791" t="n">
        <v>0</v>
      </c>
      <c r="L791" t="n">
        <v>0</v>
      </c>
      <c r="M791" t="n">
        <v>0</v>
      </c>
      <c r="N791" t="n">
        <v>0</v>
      </c>
      <c r="O791" t="n">
        <v>0</v>
      </c>
      <c r="P791" t="n">
        <v>0</v>
      </c>
      <c r="Q791" t="n">
        <v>0</v>
      </c>
      <c r="R791" s="2" t="inlineStr"/>
    </row>
    <row r="792" ht="15" customHeight="1">
      <c r="A792" t="inlineStr">
        <is>
          <t>A 2599-2023</t>
        </is>
      </c>
      <c r="B792" s="1" t="n">
        <v>44943.94802083333</v>
      </c>
      <c r="C792" s="1" t="n">
        <v>46004</v>
      </c>
      <c r="D792" t="inlineStr">
        <is>
          <t>JÄMTLANDS LÄN</t>
        </is>
      </c>
      <c r="E792" t="inlineStr">
        <is>
          <t>RAGUNDA</t>
        </is>
      </c>
      <c r="F792" t="inlineStr">
        <is>
          <t>SCA</t>
        </is>
      </c>
      <c r="G792" t="n">
        <v>5.9</v>
      </c>
      <c r="H792" t="n">
        <v>0</v>
      </c>
      <c r="I792" t="n">
        <v>0</v>
      </c>
      <c r="J792" t="n">
        <v>0</v>
      </c>
      <c r="K792" t="n">
        <v>0</v>
      </c>
      <c r="L792" t="n">
        <v>0</v>
      </c>
      <c r="M792" t="n">
        <v>0</v>
      </c>
      <c r="N792" t="n">
        <v>0</v>
      </c>
      <c r="O792" t="n">
        <v>0</v>
      </c>
      <c r="P792" t="n">
        <v>0</v>
      </c>
      <c r="Q792" t="n">
        <v>0</v>
      </c>
      <c r="R792" s="2" t="inlineStr"/>
    </row>
    <row r="793" ht="15" customHeight="1">
      <c r="A793" t="inlineStr">
        <is>
          <t>A 26651-2024</t>
        </is>
      </c>
      <c r="B793" s="1" t="n">
        <v>45469.94876157407</v>
      </c>
      <c r="C793" s="1" t="n">
        <v>46004</v>
      </c>
      <c r="D793" t="inlineStr">
        <is>
          <t>JÄMTLANDS LÄN</t>
        </is>
      </c>
      <c r="E793" t="inlineStr">
        <is>
          <t>RAGUNDA</t>
        </is>
      </c>
      <c r="F793" t="inlineStr">
        <is>
          <t>SCA</t>
        </is>
      </c>
      <c r="G793" t="n">
        <v>10.4</v>
      </c>
      <c r="H793" t="n">
        <v>0</v>
      </c>
      <c r="I793" t="n">
        <v>0</v>
      </c>
      <c r="J793" t="n">
        <v>0</v>
      </c>
      <c r="K793" t="n">
        <v>0</v>
      </c>
      <c r="L793" t="n">
        <v>0</v>
      </c>
      <c r="M793" t="n">
        <v>0</v>
      </c>
      <c r="N793" t="n">
        <v>0</v>
      </c>
      <c r="O793" t="n">
        <v>0</v>
      </c>
      <c r="P793" t="n">
        <v>0</v>
      </c>
      <c r="Q793" t="n">
        <v>0</v>
      </c>
      <c r="R793" s="2" t="inlineStr"/>
    </row>
    <row r="794" ht="15" customHeight="1">
      <c r="A794" t="inlineStr">
        <is>
          <t>A 40919-2024</t>
        </is>
      </c>
      <c r="B794" s="1" t="n">
        <v>45558.63575231482</v>
      </c>
      <c r="C794" s="1" t="n">
        <v>46004</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3186-2025</t>
        </is>
      </c>
      <c r="B795" s="1" t="n">
        <v>45679.40362268518</v>
      </c>
      <c r="C795" s="1" t="n">
        <v>46004</v>
      </c>
      <c r="D795" t="inlineStr">
        <is>
          <t>JÄMTLANDS LÄN</t>
        </is>
      </c>
      <c r="E795" t="inlineStr">
        <is>
          <t>RAGUNDA</t>
        </is>
      </c>
      <c r="G795" t="n">
        <v>5.2</v>
      </c>
      <c r="H795" t="n">
        <v>0</v>
      </c>
      <c r="I795" t="n">
        <v>0</v>
      </c>
      <c r="J795" t="n">
        <v>0</v>
      </c>
      <c r="K795" t="n">
        <v>0</v>
      </c>
      <c r="L795" t="n">
        <v>0</v>
      </c>
      <c r="M795" t="n">
        <v>0</v>
      </c>
      <c r="N795" t="n">
        <v>0</v>
      </c>
      <c r="O795" t="n">
        <v>0</v>
      </c>
      <c r="P795" t="n">
        <v>0</v>
      </c>
      <c r="Q795" t="n">
        <v>0</v>
      </c>
      <c r="R795" s="2" t="inlineStr"/>
    </row>
    <row r="796" ht="15" customHeight="1">
      <c r="A796" t="inlineStr">
        <is>
          <t>A 48249-2024</t>
        </is>
      </c>
      <c r="B796" s="1" t="n">
        <v>45590.40675925926</v>
      </c>
      <c r="C796" s="1" t="n">
        <v>46004</v>
      </c>
      <c r="D796" t="inlineStr">
        <is>
          <t>JÄMTLANDS LÄN</t>
        </is>
      </c>
      <c r="E796" t="inlineStr">
        <is>
          <t>RAGUNDA</t>
        </is>
      </c>
      <c r="F796" t="inlineStr">
        <is>
          <t>SCA</t>
        </is>
      </c>
      <c r="G796" t="n">
        <v>14.4</v>
      </c>
      <c r="H796" t="n">
        <v>0</v>
      </c>
      <c r="I796" t="n">
        <v>0</v>
      </c>
      <c r="J796" t="n">
        <v>0</v>
      </c>
      <c r="K796" t="n">
        <v>0</v>
      </c>
      <c r="L796" t="n">
        <v>0</v>
      </c>
      <c r="M796" t="n">
        <v>0</v>
      </c>
      <c r="N796" t="n">
        <v>0</v>
      </c>
      <c r="O796" t="n">
        <v>0</v>
      </c>
      <c r="P796" t="n">
        <v>0</v>
      </c>
      <c r="Q796" t="n">
        <v>0</v>
      </c>
      <c r="R796" s="2" t="inlineStr"/>
    </row>
    <row r="797" ht="15" customHeight="1">
      <c r="A797" t="inlineStr">
        <is>
          <t>A 64265-2023</t>
        </is>
      </c>
      <c r="B797" s="1" t="n">
        <v>45279.94572916667</v>
      </c>
      <c r="C797" s="1" t="n">
        <v>46004</v>
      </c>
      <c r="D797" t="inlineStr">
        <is>
          <t>JÄMTLANDS LÄN</t>
        </is>
      </c>
      <c r="E797" t="inlineStr">
        <is>
          <t>RAGUNDA</t>
        </is>
      </c>
      <c r="F797" t="inlineStr">
        <is>
          <t>SCA</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465-2023</t>
        </is>
      </c>
      <c r="B798" s="1" t="n">
        <v>44929</v>
      </c>
      <c r="C798" s="1" t="n">
        <v>46004</v>
      </c>
      <c r="D798" t="inlineStr">
        <is>
          <t>JÄMTLANDS LÄN</t>
        </is>
      </c>
      <c r="E798" t="inlineStr">
        <is>
          <t>RAGUNDA</t>
        </is>
      </c>
      <c r="G798" t="n">
        <v>0.8</v>
      </c>
      <c r="H798" t="n">
        <v>0</v>
      </c>
      <c r="I798" t="n">
        <v>0</v>
      </c>
      <c r="J798" t="n">
        <v>0</v>
      </c>
      <c r="K798" t="n">
        <v>0</v>
      </c>
      <c r="L798" t="n">
        <v>0</v>
      </c>
      <c r="M798" t="n">
        <v>0</v>
      </c>
      <c r="N798" t="n">
        <v>0</v>
      </c>
      <c r="O798" t="n">
        <v>0</v>
      </c>
      <c r="P798" t="n">
        <v>0</v>
      </c>
      <c r="Q798" t="n">
        <v>0</v>
      </c>
      <c r="R798" s="2" t="inlineStr"/>
    </row>
    <row r="799" ht="15" customHeight="1">
      <c r="A799" t="inlineStr">
        <is>
          <t>A 26455-2023</t>
        </is>
      </c>
      <c r="B799" s="1" t="n">
        <v>45092</v>
      </c>
      <c r="C799" s="1" t="n">
        <v>46004</v>
      </c>
      <c r="D799" t="inlineStr">
        <is>
          <t>JÄMTLANDS LÄN</t>
        </is>
      </c>
      <c r="E799" t="inlineStr">
        <is>
          <t>RAGUNDA</t>
        </is>
      </c>
      <c r="G799" t="n">
        <v>3.8</v>
      </c>
      <c r="H799" t="n">
        <v>0</v>
      </c>
      <c r="I799" t="n">
        <v>0</v>
      </c>
      <c r="J799" t="n">
        <v>0</v>
      </c>
      <c r="K799" t="n">
        <v>0</v>
      </c>
      <c r="L799" t="n">
        <v>0</v>
      </c>
      <c r="M799" t="n">
        <v>0</v>
      </c>
      <c r="N799" t="n">
        <v>0</v>
      </c>
      <c r="O799" t="n">
        <v>0</v>
      </c>
      <c r="P799" t="n">
        <v>0</v>
      </c>
      <c r="Q799" t="n">
        <v>0</v>
      </c>
      <c r="R799" s="2" t="inlineStr"/>
    </row>
    <row r="800" ht="15" customHeight="1">
      <c r="A800" t="inlineStr">
        <is>
          <t>A 10639-2024</t>
        </is>
      </c>
      <c r="B800" s="1" t="n">
        <v>45367.67256944445</v>
      </c>
      <c r="C800" s="1" t="n">
        <v>46004</v>
      </c>
      <c r="D800" t="inlineStr">
        <is>
          <t>JÄMTLANDS LÄN</t>
        </is>
      </c>
      <c r="E800" t="inlineStr">
        <is>
          <t>RAGUNDA</t>
        </is>
      </c>
      <c r="G800" t="n">
        <v>2</v>
      </c>
      <c r="H800" t="n">
        <v>0</v>
      </c>
      <c r="I800" t="n">
        <v>0</v>
      </c>
      <c r="J800" t="n">
        <v>0</v>
      </c>
      <c r="K800" t="n">
        <v>0</v>
      </c>
      <c r="L800" t="n">
        <v>0</v>
      </c>
      <c r="M800" t="n">
        <v>0</v>
      </c>
      <c r="N800" t="n">
        <v>0</v>
      </c>
      <c r="O800" t="n">
        <v>0</v>
      </c>
      <c r="P800" t="n">
        <v>0</v>
      </c>
      <c r="Q800" t="n">
        <v>0</v>
      </c>
      <c r="R800" s="2" t="inlineStr"/>
    </row>
    <row r="801" ht="15" customHeight="1">
      <c r="A801" t="inlineStr">
        <is>
          <t>A 2751-2024</t>
        </is>
      </c>
      <c r="B801" s="1" t="n">
        <v>45314</v>
      </c>
      <c r="C801" s="1" t="n">
        <v>46004</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51245-2024</t>
        </is>
      </c>
      <c r="B802" s="1" t="n">
        <v>45603.67850694444</v>
      </c>
      <c r="C802" s="1" t="n">
        <v>46004</v>
      </c>
      <c r="D802" t="inlineStr">
        <is>
          <t>JÄMTLANDS LÄN</t>
        </is>
      </c>
      <c r="E802" t="inlineStr">
        <is>
          <t>RAGUNDA</t>
        </is>
      </c>
      <c r="G802" t="n">
        <v>0.9</v>
      </c>
      <c r="H802" t="n">
        <v>0</v>
      </c>
      <c r="I802" t="n">
        <v>0</v>
      </c>
      <c r="J802" t="n">
        <v>0</v>
      </c>
      <c r="K802" t="n">
        <v>0</v>
      </c>
      <c r="L802" t="n">
        <v>0</v>
      </c>
      <c r="M802" t="n">
        <v>0</v>
      </c>
      <c r="N802" t="n">
        <v>0</v>
      </c>
      <c r="O802" t="n">
        <v>0</v>
      </c>
      <c r="P802" t="n">
        <v>0</v>
      </c>
      <c r="Q802" t="n">
        <v>0</v>
      </c>
      <c r="R802" s="2" t="inlineStr"/>
    </row>
    <row r="803" ht="15" customHeight="1">
      <c r="A803" t="inlineStr">
        <is>
          <t>A 66706-2021</t>
        </is>
      </c>
      <c r="B803" s="1" t="n">
        <v>44519.94440972222</v>
      </c>
      <c r="C803" s="1" t="n">
        <v>46004</v>
      </c>
      <c r="D803" t="inlineStr">
        <is>
          <t>JÄMTLANDS LÄN</t>
        </is>
      </c>
      <c r="E803" t="inlineStr">
        <is>
          <t>RAGUNDA</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39192-2025</t>
        </is>
      </c>
      <c r="B804" s="1" t="n">
        <v>45888.6775</v>
      </c>
      <c r="C804" s="1" t="n">
        <v>46004</v>
      </c>
      <c r="D804" t="inlineStr">
        <is>
          <t>JÄMTLANDS LÄN</t>
        </is>
      </c>
      <c r="E804" t="inlineStr">
        <is>
          <t>RAGUNDA</t>
        </is>
      </c>
      <c r="F804" t="inlineStr">
        <is>
          <t>Naturvårdsverket</t>
        </is>
      </c>
      <c r="G804" t="n">
        <v>2.3</v>
      </c>
      <c r="H804" t="n">
        <v>0</v>
      </c>
      <c r="I804" t="n">
        <v>0</v>
      </c>
      <c r="J804" t="n">
        <v>0</v>
      </c>
      <c r="K804" t="n">
        <v>0</v>
      </c>
      <c r="L804" t="n">
        <v>0</v>
      </c>
      <c r="M804" t="n">
        <v>0</v>
      </c>
      <c r="N804" t="n">
        <v>0</v>
      </c>
      <c r="O804" t="n">
        <v>0</v>
      </c>
      <c r="P804" t="n">
        <v>0</v>
      </c>
      <c r="Q804" t="n">
        <v>0</v>
      </c>
      <c r="R804" s="2" t="inlineStr"/>
    </row>
    <row r="805" ht="15" customHeight="1">
      <c r="A805" t="inlineStr">
        <is>
          <t>A 36317-2024</t>
        </is>
      </c>
      <c r="B805" s="1" t="n">
        <v>45534.63537037037</v>
      </c>
      <c r="C805" s="1" t="n">
        <v>46004</v>
      </c>
      <c r="D805" t="inlineStr">
        <is>
          <t>JÄMTLANDS LÄN</t>
        </is>
      </c>
      <c r="E805" t="inlineStr">
        <is>
          <t>RAGUNDA</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18614-2024</t>
        </is>
      </c>
      <c r="B806" s="1" t="n">
        <v>45425.96263888889</v>
      </c>
      <c r="C806" s="1" t="n">
        <v>46004</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8787-2022</t>
        </is>
      </c>
      <c r="B807" s="1" t="n">
        <v>44614</v>
      </c>
      <c r="C807" s="1" t="n">
        <v>46004</v>
      </c>
      <c r="D807" t="inlineStr">
        <is>
          <t>JÄMTLANDS LÄN</t>
        </is>
      </c>
      <c r="E807" t="inlineStr">
        <is>
          <t>RAGUNDA</t>
        </is>
      </c>
      <c r="G807" t="n">
        <v>6.4</v>
      </c>
      <c r="H807" t="n">
        <v>0</v>
      </c>
      <c r="I807" t="n">
        <v>0</v>
      </c>
      <c r="J807" t="n">
        <v>0</v>
      </c>
      <c r="K807" t="n">
        <v>0</v>
      </c>
      <c r="L807" t="n">
        <v>0</v>
      </c>
      <c r="M807" t="n">
        <v>0</v>
      </c>
      <c r="N807" t="n">
        <v>0</v>
      </c>
      <c r="O807" t="n">
        <v>0</v>
      </c>
      <c r="P807" t="n">
        <v>0</v>
      </c>
      <c r="Q807" t="n">
        <v>0</v>
      </c>
      <c r="R807" s="2" t="inlineStr"/>
    </row>
    <row r="808" ht="15" customHeight="1">
      <c r="A808" t="inlineStr">
        <is>
          <t>A 5967-2021</t>
        </is>
      </c>
      <c r="B808" s="1" t="n">
        <v>44231</v>
      </c>
      <c r="C808" s="1" t="n">
        <v>46004</v>
      </c>
      <c r="D808" t="inlineStr">
        <is>
          <t>JÄMTLANDS LÄN</t>
        </is>
      </c>
      <c r="E808" t="inlineStr">
        <is>
          <t>RAGUNDA</t>
        </is>
      </c>
      <c r="G808" t="n">
        <v>3.6</v>
      </c>
      <c r="H808" t="n">
        <v>0</v>
      </c>
      <c r="I808" t="n">
        <v>0</v>
      </c>
      <c r="J808" t="n">
        <v>0</v>
      </c>
      <c r="K808" t="n">
        <v>0</v>
      </c>
      <c r="L808" t="n">
        <v>0</v>
      </c>
      <c r="M808" t="n">
        <v>0</v>
      </c>
      <c r="N808" t="n">
        <v>0</v>
      </c>
      <c r="O808" t="n">
        <v>0</v>
      </c>
      <c r="P808" t="n">
        <v>0</v>
      </c>
      <c r="Q808" t="n">
        <v>0</v>
      </c>
      <c r="R808" s="2" t="inlineStr"/>
    </row>
    <row r="809" ht="15" customHeight="1">
      <c r="A809" t="inlineStr">
        <is>
          <t>A 50431-2024</t>
        </is>
      </c>
      <c r="B809" s="1" t="n">
        <v>45601.40686342592</v>
      </c>
      <c r="C809" s="1" t="n">
        <v>46004</v>
      </c>
      <c r="D809" t="inlineStr">
        <is>
          <t>JÄMTLANDS LÄN</t>
        </is>
      </c>
      <c r="E809" t="inlineStr">
        <is>
          <t>RAGUNDA</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39384-2025</t>
        </is>
      </c>
      <c r="B810" s="1" t="n">
        <v>45889.61517361111</v>
      </c>
      <c r="C810" s="1" t="n">
        <v>46004</v>
      </c>
      <c r="D810" t="inlineStr">
        <is>
          <t>JÄMTLANDS LÄN</t>
        </is>
      </c>
      <c r="E810" t="inlineStr">
        <is>
          <t>RAGUNDA</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28216-2025</t>
        </is>
      </c>
      <c r="B811" s="1" t="n">
        <v>45818.46898148148</v>
      </c>
      <c r="C811" s="1" t="n">
        <v>46004</v>
      </c>
      <c r="D811" t="inlineStr">
        <is>
          <t>JÄMTLANDS LÄN</t>
        </is>
      </c>
      <c r="E811" t="inlineStr">
        <is>
          <t>RAGUNDA</t>
        </is>
      </c>
      <c r="G811" t="n">
        <v>6.6</v>
      </c>
      <c r="H811" t="n">
        <v>0</v>
      </c>
      <c r="I811" t="n">
        <v>0</v>
      </c>
      <c r="J811" t="n">
        <v>0</v>
      </c>
      <c r="K811" t="n">
        <v>0</v>
      </c>
      <c r="L811" t="n">
        <v>0</v>
      </c>
      <c r="M811" t="n">
        <v>0</v>
      </c>
      <c r="N811" t="n">
        <v>0</v>
      </c>
      <c r="O811" t="n">
        <v>0</v>
      </c>
      <c r="P811" t="n">
        <v>0</v>
      </c>
      <c r="Q811" t="n">
        <v>0</v>
      </c>
      <c r="R811" s="2" t="inlineStr"/>
    </row>
    <row r="812" ht="15" customHeight="1">
      <c r="A812" t="inlineStr">
        <is>
          <t>A 55222-2024</t>
        </is>
      </c>
      <c r="B812" s="1" t="n">
        <v>45621.57395833333</v>
      </c>
      <c r="C812" s="1" t="n">
        <v>46004</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46211-2024</t>
        </is>
      </c>
      <c r="B813" s="1" t="n">
        <v>45581.55260416667</v>
      </c>
      <c r="C813" s="1" t="n">
        <v>46004</v>
      </c>
      <c r="D813" t="inlineStr">
        <is>
          <t>JÄMTLANDS LÄN</t>
        </is>
      </c>
      <c r="E813" t="inlineStr">
        <is>
          <t>RAGUNDA</t>
        </is>
      </c>
      <c r="G813" t="n">
        <v>7.3</v>
      </c>
      <c r="H813" t="n">
        <v>0</v>
      </c>
      <c r="I813" t="n">
        <v>0</v>
      </c>
      <c r="J813" t="n">
        <v>0</v>
      </c>
      <c r="K813" t="n">
        <v>0</v>
      </c>
      <c r="L813" t="n">
        <v>0</v>
      </c>
      <c r="M813" t="n">
        <v>0</v>
      </c>
      <c r="N813" t="n">
        <v>0</v>
      </c>
      <c r="O813" t="n">
        <v>0</v>
      </c>
      <c r="P813" t="n">
        <v>0</v>
      </c>
      <c r="Q813" t="n">
        <v>0</v>
      </c>
      <c r="R813" s="2" t="inlineStr"/>
    </row>
    <row r="814" ht="15" customHeight="1">
      <c r="A814" t="inlineStr">
        <is>
          <t>A 31435-2022</t>
        </is>
      </c>
      <c r="B814" s="1" t="n">
        <v>44774</v>
      </c>
      <c r="C814" s="1" t="n">
        <v>46004</v>
      </c>
      <c r="D814" t="inlineStr">
        <is>
          <t>JÄMTLANDS LÄN</t>
        </is>
      </c>
      <c r="E814" t="inlineStr">
        <is>
          <t>RAGUNDA</t>
        </is>
      </c>
      <c r="G814" t="n">
        <v>1.6</v>
      </c>
      <c r="H814" t="n">
        <v>0</v>
      </c>
      <c r="I814" t="n">
        <v>0</v>
      </c>
      <c r="J814" t="n">
        <v>0</v>
      </c>
      <c r="K814" t="n">
        <v>0</v>
      </c>
      <c r="L814" t="n">
        <v>0</v>
      </c>
      <c r="M814" t="n">
        <v>0</v>
      </c>
      <c r="N814" t="n">
        <v>0</v>
      </c>
      <c r="O814" t="n">
        <v>0</v>
      </c>
      <c r="P814" t="n">
        <v>0</v>
      </c>
      <c r="Q814" t="n">
        <v>0</v>
      </c>
      <c r="R814" s="2" t="inlineStr"/>
    </row>
    <row r="815" ht="15" customHeight="1">
      <c r="A815" t="inlineStr">
        <is>
          <t>A 60936-2024</t>
        </is>
      </c>
      <c r="B815" s="1" t="n">
        <v>45645.36743055555</v>
      </c>
      <c r="C815" s="1" t="n">
        <v>46004</v>
      </c>
      <c r="D815" t="inlineStr">
        <is>
          <t>JÄMTLANDS LÄN</t>
        </is>
      </c>
      <c r="E815" t="inlineStr">
        <is>
          <t>RAGUNDA</t>
        </is>
      </c>
      <c r="G815" t="n">
        <v>1.2</v>
      </c>
      <c r="H815" t="n">
        <v>0</v>
      </c>
      <c r="I815" t="n">
        <v>0</v>
      </c>
      <c r="J815" t="n">
        <v>0</v>
      </c>
      <c r="K815" t="n">
        <v>0</v>
      </c>
      <c r="L815" t="n">
        <v>0</v>
      </c>
      <c r="M815" t="n">
        <v>0</v>
      </c>
      <c r="N815" t="n">
        <v>0</v>
      </c>
      <c r="O815" t="n">
        <v>0</v>
      </c>
      <c r="P815" t="n">
        <v>0</v>
      </c>
      <c r="Q815" t="n">
        <v>0</v>
      </c>
      <c r="R815" s="2" t="inlineStr"/>
    </row>
    <row r="816" ht="15" customHeight="1">
      <c r="A816" t="inlineStr">
        <is>
          <t>A 39608-2024</t>
        </is>
      </c>
      <c r="B816" s="1" t="n">
        <v>45552.39113425926</v>
      </c>
      <c r="C816" s="1" t="n">
        <v>46004</v>
      </c>
      <c r="D816" t="inlineStr">
        <is>
          <t>JÄMTLANDS LÄN</t>
        </is>
      </c>
      <c r="E816" t="inlineStr">
        <is>
          <t>RAGUNDA</t>
        </is>
      </c>
      <c r="G816" t="n">
        <v>3.2</v>
      </c>
      <c r="H816" t="n">
        <v>0</v>
      </c>
      <c r="I816" t="n">
        <v>0</v>
      </c>
      <c r="J816" t="n">
        <v>0</v>
      </c>
      <c r="K816" t="n">
        <v>0</v>
      </c>
      <c r="L816" t="n">
        <v>0</v>
      </c>
      <c r="M816" t="n">
        <v>0</v>
      </c>
      <c r="N816" t="n">
        <v>0</v>
      </c>
      <c r="O816" t="n">
        <v>0</v>
      </c>
      <c r="P816" t="n">
        <v>0</v>
      </c>
      <c r="Q816" t="n">
        <v>0</v>
      </c>
      <c r="R816" s="2" t="inlineStr"/>
    </row>
    <row r="817" ht="15" customHeight="1">
      <c r="A817" t="inlineStr">
        <is>
          <t>A 39626-2024</t>
        </is>
      </c>
      <c r="B817" s="1" t="n">
        <v>45552.44096064815</v>
      </c>
      <c r="C817" s="1" t="n">
        <v>46004</v>
      </c>
      <c r="D817" t="inlineStr">
        <is>
          <t>JÄMTLANDS LÄN</t>
        </is>
      </c>
      <c r="E817" t="inlineStr">
        <is>
          <t>RAGUNDA</t>
        </is>
      </c>
      <c r="G817" t="n">
        <v>23.5</v>
      </c>
      <c r="H817" t="n">
        <v>0</v>
      </c>
      <c r="I817" t="n">
        <v>0</v>
      </c>
      <c r="J817" t="n">
        <v>0</v>
      </c>
      <c r="K817" t="n">
        <v>0</v>
      </c>
      <c r="L817" t="n">
        <v>0</v>
      </c>
      <c r="M817" t="n">
        <v>0</v>
      </c>
      <c r="N817" t="n">
        <v>0</v>
      </c>
      <c r="O817" t="n">
        <v>0</v>
      </c>
      <c r="P817" t="n">
        <v>0</v>
      </c>
      <c r="Q817" t="n">
        <v>0</v>
      </c>
      <c r="R817" s="2" t="inlineStr"/>
    </row>
    <row r="818" ht="15" customHeight="1">
      <c r="A818" t="inlineStr">
        <is>
          <t>A 4212-2024</t>
        </is>
      </c>
      <c r="B818" s="1" t="n">
        <v>45324</v>
      </c>
      <c r="C818" s="1" t="n">
        <v>46004</v>
      </c>
      <c r="D818" t="inlineStr">
        <is>
          <t>JÄMTLANDS LÄN</t>
        </is>
      </c>
      <c r="E818" t="inlineStr">
        <is>
          <t>RAGUNDA</t>
        </is>
      </c>
      <c r="G818" t="n">
        <v>2</v>
      </c>
      <c r="H818" t="n">
        <v>0</v>
      </c>
      <c r="I818" t="n">
        <v>0</v>
      </c>
      <c r="J818" t="n">
        <v>0</v>
      </c>
      <c r="K818" t="n">
        <v>0</v>
      </c>
      <c r="L818" t="n">
        <v>0</v>
      </c>
      <c r="M818" t="n">
        <v>0</v>
      </c>
      <c r="N818" t="n">
        <v>0</v>
      </c>
      <c r="O818" t="n">
        <v>0</v>
      </c>
      <c r="P818" t="n">
        <v>0</v>
      </c>
      <c r="Q818" t="n">
        <v>0</v>
      </c>
      <c r="R818" s="2" t="inlineStr"/>
    </row>
    <row r="819" ht="15" customHeight="1">
      <c r="A819" t="inlineStr">
        <is>
          <t>A 9262-2025</t>
        </is>
      </c>
      <c r="B819" s="1" t="n">
        <v>45714.60649305556</v>
      </c>
      <c r="C819" s="1" t="n">
        <v>46004</v>
      </c>
      <c r="D819" t="inlineStr">
        <is>
          <t>JÄMTLANDS LÄN</t>
        </is>
      </c>
      <c r="E819" t="inlineStr">
        <is>
          <t>RAGUNDA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56984-2022</t>
        </is>
      </c>
      <c r="B820" s="1" t="n">
        <v>44894.79018518519</v>
      </c>
      <c r="C820" s="1" t="n">
        <v>46004</v>
      </c>
      <c r="D820" t="inlineStr">
        <is>
          <t>JÄMTLANDS LÄN</t>
        </is>
      </c>
      <c r="E820" t="inlineStr">
        <is>
          <t>RAGUNDA</t>
        </is>
      </c>
      <c r="G820" t="n">
        <v>1.4</v>
      </c>
      <c r="H820" t="n">
        <v>0</v>
      </c>
      <c r="I820" t="n">
        <v>0</v>
      </c>
      <c r="J820" t="n">
        <v>0</v>
      </c>
      <c r="K820" t="n">
        <v>0</v>
      </c>
      <c r="L820" t="n">
        <v>0</v>
      </c>
      <c r="M820" t="n">
        <v>0</v>
      </c>
      <c r="N820" t="n">
        <v>0</v>
      </c>
      <c r="O820" t="n">
        <v>0</v>
      </c>
      <c r="P820" t="n">
        <v>0</v>
      </c>
      <c r="Q820" t="n">
        <v>0</v>
      </c>
      <c r="R820" s="2" t="inlineStr"/>
    </row>
    <row r="821" ht="15" customHeight="1">
      <c r="A821" t="inlineStr">
        <is>
          <t>A 13264-2025</t>
        </is>
      </c>
      <c r="B821" s="1" t="n">
        <v>45735</v>
      </c>
      <c r="C821" s="1" t="n">
        <v>46004</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53955-2022</t>
        </is>
      </c>
      <c r="B822" s="1" t="n">
        <v>44880.95741898148</v>
      </c>
      <c r="C822" s="1" t="n">
        <v>46004</v>
      </c>
      <c r="D822" t="inlineStr">
        <is>
          <t>JÄMTLANDS LÄN</t>
        </is>
      </c>
      <c r="E822" t="inlineStr">
        <is>
          <t>RAGUNDA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60012-2023</t>
        </is>
      </c>
      <c r="B823" s="1" t="n">
        <v>45257</v>
      </c>
      <c r="C823" s="1" t="n">
        <v>46004</v>
      </c>
      <c r="D823" t="inlineStr">
        <is>
          <t>JÄMTLANDS LÄN</t>
        </is>
      </c>
      <c r="E823" t="inlineStr">
        <is>
          <t>RAGUNDA</t>
        </is>
      </c>
      <c r="F823" t="inlineStr">
        <is>
          <t>SCA</t>
        </is>
      </c>
      <c r="G823" t="n">
        <v>5</v>
      </c>
      <c r="H823" t="n">
        <v>0</v>
      </c>
      <c r="I823" t="n">
        <v>0</v>
      </c>
      <c r="J823" t="n">
        <v>0</v>
      </c>
      <c r="K823" t="n">
        <v>0</v>
      </c>
      <c r="L823" t="n">
        <v>0</v>
      </c>
      <c r="M823" t="n">
        <v>0</v>
      </c>
      <c r="N823" t="n">
        <v>0</v>
      </c>
      <c r="O823" t="n">
        <v>0</v>
      </c>
      <c r="P823" t="n">
        <v>0</v>
      </c>
      <c r="Q823" t="n">
        <v>0</v>
      </c>
      <c r="R823" s="2" t="inlineStr"/>
    </row>
    <row r="824" ht="15" customHeight="1">
      <c r="A824" t="inlineStr">
        <is>
          <t>A 53676-2022</t>
        </is>
      </c>
      <c r="B824" s="1" t="n">
        <v>44879</v>
      </c>
      <c r="C824" s="1" t="n">
        <v>46004</v>
      </c>
      <c r="D824" t="inlineStr">
        <is>
          <t>JÄMTLANDS LÄN</t>
        </is>
      </c>
      <c r="E824" t="inlineStr">
        <is>
          <t>RAGUNDA</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5307-2025</t>
        </is>
      </c>
      <c r="B825" s="1" t="n">
        <v>45692.48993055556</v>
      </c>
      <c r="C825" s="1" t="n">
        <v>46004</v>
      </c>
      <c r="D825" t="inlineStr">
        <is>
          <t>JÄMTLANDS LÄN</t>
        </is>
      </c>
      <c r="E825" t="inlineStr">
        <is>
          <t>RAGUNDA</t>
        </is>
      </c>
      <c r="F825" t="inlineStr">
        <is>
          <t>SCA</t>
        </is>
      </c>
      <c r="G825" t="n">
        <v>20.9</v>
      </c>
      <c r="H825" t="n">
        <v>0</v>
      </c>
      <c r="I825" t="n">
        <v>0</v>
      </c>
      <c r="J825" t="n">
        <v>0</v>
      </c>
      <c r="K825" t="n">
        <v>0</v>
      </c>
      <c r="L825" t="n">
        <v>0</v>
      </c>
      <c r="M825" t="n">
        <v>0</v>
      </c>
      <c r="N825" t="n">
        <v>0</v>
      </c>
      <c r="O825" t="n">
        <v>0</v>
      </c>
      <c r="P825" t="n">
        <v>0</v>
      </c>
      <c r="Q825" t="n">
        <v>0</v>
      </c>
      <c r="R825" s="2" t="inlineStr"/>
    </row>
    <row r="826" ht="15" customHeight="1">
      <c r="A826" t="inlineStr">
        <is>
          <t>A 39947-2025</t>
        </is>
      </c>
      <c r="B826" s="1" t="n">
        <v>45892.34438657408</v>
      </c>
      <c r="C826" s="1" t="n">
        <v>46004</v>
      </c>
      <c r="D826" t="inlineStr">
        <is>
          <t>JÄMTLANDS LÄN</t>
        </is>
      </c>
      <c r="E826" t="inlineStr">
        <is>
          <t>RAGUNDA</t>
        </is>
      </c>
      <c r="G826" t="n">
        <v>6.6</v>
      </c>
      <c r="H826" t="n">
        <v>0</v>
      </c>
      <c r="I826" t="n">
        <v>0</v>
      </c>
      <c r="J826" t="n">
        <v>0</v>
      </c>
      <c r="K826" t="n">
        <v>0</v>
      </c>
      <c r="L826" t="n">
        <v>0</v>
      </c>
      <c r="M826" t="n">
        <v>0</v>
      </c>
      <c r="N826" t="n">
        <v>0</v>
      </c>
      <c r="O826" t="n">
        <v>0</v>
      </c>
      <c r="P826" t="n">
        <v>0</v>
      </c>
      <c r="Q826" t="n">
        <v>0</v>
      </c>
      <c r="R826" s="2" t="inlineStr"/>
    </row>
    <row r="827" ht="15" customHeight="1">
      <c r="A827" t="inlineStr">
        <is>
          <t>A 39951-2025</t>
        </is>
      </c>
      <c r="B827" s="1" t="n">
        <v>45892.38657407407</v>
      </c>
      <c r="C827" s="1" t="n">
        <v>46004</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39948-2025</t>
        </is>
      </c>
      <c r="B828" s="1" t="n">
        <v>45892.38591435185</v>
      </c>
      <c r="C828" s="1" t="n">
        <v>46004</v>
      </c>
      <c r="D828" t="inlineStr">
        <is>
          <t>JÄMTLANDS LÄN</t>
        </is>
      </c>
      <c r="E828" t="inlineStr">
        <is>
          <t>RAGUNDA</t>
        </is>
      </c>
      <c r="G828" t="n">
        <v>5</v>
      </c>
      <c r="H828" t="n">
        <v>0</v>
      </c>
      <c r="I828" t="n">
        <v>0</v>
      </c>
      <c r="J828" t="n">
        <v>0</v>
      </c>
      <c r="K828" t="n">
        <v>0</v>
      </c>
      <c r="L828" t="n">
        <v>0</v>
      </c>
      <c r="M828" t="n">
        <v>0</v>
      </c>
      <c r="N828" t="n">
        <v>0</v>
      </c>
      <c r="O828" t="n">
        <v>0</v>
      </c>
      <c r="P828" t="n">
        <v>0</v>
      </c>
      <c r="Q828" t="n">
        <v>0</v>
      </c>
      <c r="R828" s="2" t="inlineStr"/>
    </row>
    <row r="829" ht="15" customHeight="1">
      <c r="A829" t="inlineStr">
        <is>
          <t>A 39946-2025</t>
        </is>
      </c>
      <c r="B829" s="1" t="n">
        <v>45892.34423611111</v>
      </c>
      <c r="C829" s="1" t="n">
        <v>46004</v>
      </c>
      <c r="D829" t="inlineStr">
        <is>
          <t>JÄMTLANDS LÄN</t>
        </is>
      </c>
      <c r="E829" t="inlineStr">
        <is>
          <t>RAGUNDA</t>
        </is>
      </c>
      <c r="G829" t="n">
        <v>4.7</v>
      </c>
      <c r="H829" t="n">
        <v>0</v>
      </c>
      <c r="I829" t="n">
        <v>0</v>
      </c>
      <c r="J829" t="n">
        <v>0</v>
      </c>
      <c r="K829" t="n">
        <v>0</v>
      </c>
      <c r="L829" t="n">
        <v>0</v>
      </c>
      <c r="M829" t="n">
        <v>0</v>
      </c>
      <c r="N829" t="n">
        <v>0</v>
      </c>
      <c r="O829" t="n">
        <v>0</v>
      </c>
      <c r="P829" t="n">
        <v>0</v>
      </c>
      <c r="Q829" t="n">
        <v>0</v>
      </c>
      <c r="R829" s="2" t="inlineStr"/>
    </row>
    <row r="830" ht="15" customHeight="1">
      <c r="A830" t="inlineStr">
        <is>
          <t>A 39950-2025</t>
        </is>
      </c>
      <c r="B830" s="1" t="n">
        <v>45892.38641203703</v>
      </c>
      <c r="C830" s="1" t="n">
        <v>46004</v>
      </c>
      <c r="D830" t="inlineStr">
        <is>
          <t>JÄMTLANDS LÄN</t>
        </is>
      </c>
      <c r="E830" t="inlineStr">
        <is>
          <t>RAGUNDA</t>
        </is>
      </c>
      <c r="G830" t="n">
        <v>1.1</v>
      </c>
      <c r="H830" t="n">
        <v>0</v>
      </c>
      <c r="I830" t="n">
        <v>0</v>
      </c>
      <c r="J830" t="n">
        <v>0</v>
      </c>
      <c r="K830" t="n">
        <v>0</v>
      </c>
      <c r="L830" t="n">
        <v>0</v>
      </c>
      <c r="M830" t="n">
        <v>0</v>
      </c>
      <c r="N830" t="n">
        <v>0</v>
      </c>
      <c r="O830" t="n">
        <v>0</v>
      </c>
      <c r="P830" t="n">
        <v>0</v>
      </c>
      <c r="Q830" t="n">
        <v>0</v>
      </c>
      <c r="R830" s="2" t="inlineStr"/>
    </row>
    <row r="831" ht="15" customHeight="1">
      <c r="A831" t="inlineStr">
        <is>
          <t>A 39955-2025</t>
        </is>
      </c>
      <c r="B831" s="1" t="n">
        <v>45892.44824074074</v>
      </c>
      <c r="C831" s="1" t="n">
        <v>46004</v>
      </c>
      <c r="D831" t="inlineStr">
        <is>
          <t>JÄMTLANDS LÄN</t>
        </is>
      </c>
      <c r="E831" t="inlineStr">
        <is>
          <t>RAGUNDA</t>
        </is>
      </c>
      <c r="G831" t="n">
        <v>1.4</v>
      </c>
      <c r="H831" t="n">
        <v>0</v>
      </c>
      <c r="I831" t="n">
        <v>0</v>
      </c>
      <c r="J831" t="n">
        <v>0</v>
      </c>
      <c r="K831" t="n">
        <v>0</v>
      </c>
      <c r="L831" t="n">
        <v>0</v>
      </c>
      <c r="M831" t="n">
        <v>0</v>
      </c>
      <c r="N831" t="n">
        <v>0</v>
      </c>
      <c r="O831" t="n">
        <v>0</v>
      </c>
      <c r="P831" t="n">
        <v>0</v>
      </c>
      <c r="Q831" t="n">
        <v>0</v>
      </c>
      <c r="R831" s="2" t="inlineStr"/>
    </row>
    <row r="832" ht="15" customHeight="1">
      <c r="A832" t="inlineStr">
        <is>
          <t>A 39956-2025</t>
        </is>
      </c>
      <c r="B832" s="1" t="n">
        <v>45892.44840277778</v>
      </c>
      <c r="C832" s="1" t="n">
        <v>46004</v>
      </c>
      <c r="D832" t="inlineStr">
        <is>
          <t>JÄMTLANDS LÄN</t>
        </is>
      </c>
      <c r="E832" t="inlineStr">
        <is>
          <t>RAGUNDA</t>
        </is>
      </c>
      <c r="G832" t="n">
        <v>3.6</v>
      </c>
      <c r="H832" t="n">
        <v>0</v>
      </c>
      <c r="I832" t="n">
        <v>0</v>
      </c>
      <c r="J832" t="n">
        <v>0</v>
      </c>
      <c r="K832" t="n">
        <v>0</v>
      </c>
      <c r="L832" t="n">
        <v>0</v>
      </c>
      <c r="M832" t="n">
        <v>0</v>
      </c>
      <c r="N832" t="n">
        <v>0</v>
      </c>
      <c r="O832" t="n">
        <v>0</v>
      </c>
      <c r="P832" t="n">
        <v>0</v>
      </c>
      <c r="Q832" t="n">
        <v>0</v>
      </c>
      <c r="R832" s="2" t="inlineStr"/>
    </row>
    <row r="833" ht="15" customHeight="1">
      <c r="A833" t="inlineStr">
        <is>
          <t>A 38548-2024</t>
        </is>
      </c>
      <c r="B833" s="1" t="n">
        <v>45546</v>
      </c>
      <c r="C833" s="1" t="n">
        <v>46004</v>
      </c>
      <c r="D833" t="inlineStr">
        <is>
          <t>JÄMTLANDS LÄN</t>
        </is>
      </c>
      <c r="E833" t="inlineStr">
        <is>
          <t>RAGUNDA</t>
        </is>
      </c>
      <c r="G833" t="n">
        <v>1.4</v>
      </c>
      <c r="H833" t="n">
        <v>0</v>
      </c>
      <c r="I833" t="n">
        <v>0</v>
      </c>
      <c r="J833" t="n">
        <v>0</v>
      </c>
      <c r="K833" t="n">
        <v>0</v>
      </c>
      <c r="L833" t="n">
        <v>0</v>
      </c>
      <c r="M833" t="n">
        <v>0</v>
      </c>
      <c r="N833" t="n">
        <v>0</v>
      </c>
      <c r="O833" t="n">
        <v>0</v>
      </c>
      <c r="P833" t="n">
        <v>0</v>
      </c>
      <c r="Q833" t="n">
        <v>0</v>
      </c>
      <c r="R833" s="2" t="inlineStr"/>
    </row>
    <row r="834" ht="15" customHeight="1">
      <c r="A834" t="inlineStr">
        <is>
          <t>A 56504-2024</t>
        </is>
      </c>
      <c r="B834" s="1" t="n">
        <v>45625.51068287037</v>
      </c>
      <c r="C834" s="1" t="n">
        <v>46004</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41772-2024</t>
        </is>
      </c>
      <c r="B835" s="1" t="n">
        <v>45561.34663194444</v>
      </c>
      <c r="C835" s="1" t="n">
        <v>46004</v>
      </c>
      <c r="D835" t="inlineStr">
        <is>
          <t>JÄMTLANDS LÄN</t>
        </is>
      </c>
      <c r="E835" t="inlineStr">
        <is>
          <t>RAGUNDA</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2411-2023</t>
        </is>
      </c>
      <c r="B836" s="1" t="n">
        <v>44942</v>
      </c>
      <c r="C836" s="1" t="n">
        <v>46004</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13935-2024</t>
        </is>
      </c>
      <c r="B837" s="1" t="n">
        <v>45391.95329861111</v>
      </c>
      <c r="C837" s="1" t="n">
        <v>46004</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39949-2025</t>
        </is>
      </c>
      <c r="B838" s="1" t="n">
        <v>45892.38619212963</v>
      </c>
      <c r="C838" s="1" t="n">
        <v>46004</v>
      </c>
      <c r="D838" t="inlineStr">
        <is>
          <t>JÄMTLANDS LÄN</t>
        </is>
      </c>
      <c r="E838" t="inlineStr">
        <is>
          <t>RAGUNDA</t>
        </is>
      </c>
      <c r="G838" t="n">
        <v>1.4</v>
      </c>
      <c r="H838" t="n">
        <v>0</v>
      </c>
      <c r="I838" t="n">
        <v>0</v>
      </c>
      <c r="J838" t="n">
        <v>0</v>
      </c>
      <c r="K838" t="n">
        <v>0</v>
      </c>
      <c r="L838" t="n">
        <v>0</v>
      </c>
      <c r="M838" t="n">
        <v>0</v>
      </c>
      <c r="N838" t="n">
        <v>0</v>
      </c>
      <c r="O838" t="n">
        <v>0</v>
      </c>
      <c r="P838" t="n">
        <v>0</v>
      </c>
      <c r="Q838" t="n">
        <v>0</v>
      </c>
      <c r="R838" s="2" t="inlineStr"/>
    </row>
    <row r="839" ht="15" customHeight="1">
      <c r="A839" t="inlineStr">
        <is>
          <t>A 934-2023</t>
        </is>
      </c>
      <c r="B839" s="1" t="n">
        <v>44932.93927083333</v>
      </c>
      <c r="C839" s="1" t="n">
        <v>46004</v>
      </c>
      <c r="D839" t="inlineStr">
        <is>
          <t>JÄMTLANDS LÄN</t>
        </is>
      </c>
      <c r="E839" t="inlineStr">
        <is>
          <t>RAGUNDA</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10972-2022</t>
        </is>
      </c>
      <c r="B840" s="1" t="n">
        <v>44628</v>
      </c>
      <c r="C840" s="1" t="n">
        <v>46004</v>
      </c>
      <c r="D840" t="inlineStr">
        <is>
          <t>JÄMTLANDS LÄN</t>
        </is>
      </c>
      <c r="E840" t="inlineStr">
        <is>
          <t>RAGUNDA</t>
        </is>
      </c>
      <c r="G840" t="n">
        <v>9.5</v>
      </c>
      <c r="H840" t="n">
        <v>0</v>
      </c>
      <c r="I840" t="n">
        <v>0</v>
      </c>
      <c r="J840" t="n">
        <v>0</v>
      </c>
      <c r="K840" t="n">
        <v>0</v>
      </c>
      <c r="L840" t="n">
        <v>0</v>
      </c>
      <c r="M840" t="n">
        <v>0</v>
      </c>
      <c r="N840" t="n">
        <v>0</v>
      </c>
      <c r="O840" t="n">
        <v>0</v>
      </c>
      <c r="P840" t="n">
        <v>0</v>
      </c>
      <c r="Q840" t="n">
        <v>0</v>
      </c>
      <c r="R840" s="2" t="inlineStr"/>
    </row>
    <row r="841" ht="15" customHeight="1">
      <c r="A841" t="inlineStr">
        <is>
          <t>A 5308-2025</t>
        </is>
      </c>
      <c r="B841" s="1" t="n">
        <v>45692.49008101852</v>
      </c>
      <c r="C841" s="1" t="n">
        <v>46004</v>
      </c>
      <c r="D841" t="inlineStr">
        <is>
          <t>JÄMTLANDS LÄN</t>
        </is>
      </c>
      <c r="E841" t="inlineStr">
        <is>
          <t>RAGUNDA</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36106-2022</t>
        </is>
      </c>
      <c r="B842" s="1" t="n">
        <v>44802.94811342593</v>
      </c>
      <c r="C842" s="1" t="n">
        <v>46004</v>
      </c>
      <c r="D842" t="inlineStr">
        <is>
          <t>JÄMTLANDS LÄN</t>
        </is>
      </c>
      <c r="E842" t="inlineStr">
        <is>
          <t>RAGUNDA</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57839-2022</t>
        </is>
      </c>
      <c r="B843" s="1" t="n">
        <v>44897</v>
      </c>
      <c r="C843" s="1" t="n">
        <v>46004</v>
      </c>
      <c r="D843" t="inlineStr">
        <is>
          <t>JÄMTLANDS LÄN</t>
        </is>
      </c>
      <c r="E843" t="inlineStr">
        <is>
          <t>RAGUNDA</t>
        </is>
      </c>
      <c r="F843" t="inlineStr">
        <is>
          <t>SCA</t>
        </is>
      </c>
      <c r="G843" t="n">
        <v>8.5</v>
      </c>
      <c r="H843" t="n">
        <v>0</v>
      </c>
      <c r="I843" t="n">
        <v>0</v>
      </c>
      <c r="J843" t="n">
        <v>0</v>
      </c>
      <c r="K843" t="n">
        <v>0</v>
      </c>
      <c r="L843" t="n">
        <v>0</v>
      </c>
      <c r="M843" t="n">
        <v>0</v>
      </c>
      <c r="N843" t="n">
        <v>0</v>
      </c>
      <c r="O843" t="n">
        <v>0</v>
      </c>
      <c r="P843" t="n">
        <v>0</v>
      </c>
      <c r="Q843" t="n">
        <v>0</v>
      </c>
      <c r="R843" s="2" t="inlineStr"/>
    </row>
    <row r="844" ht="15" customHeight="1">
      <c r="A844" t="inlineStr">
        <is>
          <t>A 11834-2023</t>
        </is>
      </c>
      <c r="B844" s="1" t="n">
        <v>44994.94296296296</v>
      </c>
      <c r="C844" s="1" t="n">
        <v>46004</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58194-2022</t>
        </is>
      </c>
      <c r="B845" s="1" t="n">
        <v>44900</v>
      </c>
      <c r="C845" s="1" t="n">
        <v>46004</v>
      </c>
      <c r="D845" t="inlineStr">
        <is>
          <t>JÄMTLANDS LÄN</t>
        </is>
      </c>
      <c r="E845" t="inlineStr">
        <is>
          <t>RAGUNDA</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41693-2023</t>
        </is>
      </c>
      <c r="B846" s="1" t="n">
        <v>45176</v>
      </c>
      <c r="C846" s="1" t="n">
        <v>46004</v>
      </c>
      <c r="D846" t="inlineStr">
        <is>
          <t>JÄMTLANDS LÄN</t>
        </is>
      </c>
      <c r="E846" t="inlineStr">
        <is>
          <t>RAGUNDA</t>
        </is>
      </c>
      <c r="G846" t="n">
        <v>5.5</v>
      </c>
      <c r="H846" t="n">
        <v>0</v>
      </c>
      <c r="I846" t="n">
        <v>0</v>
      </c>
      <c r="J846" t="n">
        <v>0</v>
      </c>
      <c r="K846" t="n">
        <v>0</v>
      </c>
      <c r="L846" t="n">
        <v>0</v>
      </c>
      <c r="M846" t="n">
        <v>0</v>
      </c>
      <c r="N846" t="n">
        <v>0</v>
      </c>
      <c r="O846" t="n">
        <v>0</v>
      </c>
      <c r="P846" t="n">
        <v>0</v>
      </c>
      <c r="Q846" t="n">
        <v>0</v>
      </c>
      <c r="R846" s="2" t="inlineStr"/>
    </row>
    <row r="847" ht="15" customHeight="1">
      <c r="A847" t="inlineStr">
        <is>
          <t>A 24171-2021</t>
        </is>
      </c>
      <c r="B847" s="1" t="n">
        <v>44336</v>
      </c>
      <c r="C847" s="1" t="n">
        <v>46004</v>
      </c>
      <c r="D847" t="inlineStr">
        <is>
          <t>JÄMTLANDS LÄN</t>
        </is>
      </c>
      <c r="E847" t="inlineStr">
        <is>
          <t>RAGUNDA</t>
        </is>
      </c>
      <c r="G847" t="n">
        <v>3.6</v>
      </c>
      <c r="H847" t="n">
        <v>0</v>
      </c>
      <c r="I847" t="n">
        <v>0</v>
      </c>
      <c r="J847" t="n">
        <v>0</v>
      </c>
      <c r="K847" t="n">
        <v>0</v>
      </c>
      <c r="L847" t="n">
        <v>0</v>
      </c>
      <c r="M847" t="n">
        <v>0</v>
      </c>
      <c r="N847" t="n">
        <v>0</v>
      </c>
      <c r="O847" t="n">
        <v>0</v>
      </c>
      <c r="P847" t="n">
        <v>0</v>
      </c>
      <c r="Q847" t="n">
        <v>0</v>
      </c>
      <c r="R847" s="2" t="inlineStr"/>
    </row>
    <row r="848" ht="15" customHeight="1">
      <c r="A848" t="inlineStr">
        <is>
          <t>A 58843-2024</t>
        </is>
      </c>
      <c r="B848" s="1" t="n">
        <v>45636.38599537037</v>
      </c>
      <c r="C848" s="1" t="n">
        <v>46004</v>
      </c>
      <c r="D848" t="inlineStr">
        <is>
          <t>JÄMTLANDS LÄN</t>
        </is>
      </c>
      <c r="E848" t="inlineStr">
        <is>
          <t>RAGUNDA</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53678-2022</t>
        </is>
      </c>
      <c r="B849" s="1" t="n">
        <v>44879.95768518518</v>
      </c>
      <c r="C849" s="1" t="n">
        <v>46004</v>
      </c>
      <c r="D849" t="inlineStr">
        <is>
          <t>JÄMTLANDS LÄN</t>
        </is>
      </c>
      <c r="E849" t="inlineStr">
        <is>
          <t>RAGUNDA</t>
        </is>
      </c>
      <c r="F849" t="inlineStr">
        <is>
          <t>Sveaskog</t>
        </is>
      </c>
      <c r="G849" t="n">
        <v>2.3</v>
      </c>
      <c r="H849" t="n">
        <v>0</v>
      </c>
      <c r="I849" t="n">
        <v>0</v>
      </c>
      <c r="J849" t="n">
        <v>0</v>
      </c>
      <c r="K849" t="n">
        <v>0</v>
      </c>
      <c r="L849" t="n">
        <v>0</v>
      </c>
      <c r="M849" t="n">
        <v>0</v>
      </c>
      <c r="N849" t="n">
        <v>0</v>
      </c>
      <c r="O849" t="n">
        <v>0</v>
      </c>
      <c r="P849" t="n">
        <v>0</v>
      </c>
      <c r="Q849" t="n">
        <v>0</v>
      </c>
      <c r="R849" s="2" t="inlineStr"/>
    </row>
    <row r="850" ht="15" customHeight="1">
      <c r="A850" t="inlineStr">
        <is>
          <t>A 40586-2025</t>
        </is>
      </c>
      <c r="B850" s="1" t="n">
        <v>45896.52478009259</v>
      </c>
      <c r="C850" s="1" t="n">
        <v>46004</v>
      </c>
      <c r="D850" t="inlineStr">
        <is>
          <t>JÄMTLANDS LÄN</t>
        </is>
      </c>
      <c r="E850" t="inlineStr">
        <is>
          <t>RAGUNDA</t>
        </is>
      </c>
      <c r="G850" t="n">
        <v>1.2</v>
      </c>
      <c r="H850" t="n">
        <v>0</v>
      </c>
      <c r="I850" t="n">
        <v>0</v>
      </c>
      <c r="J850" t="n">
        <v>0</v>
      </c>
      <c r="K850" t="n">
        <v>0</v>
      </c>
      <c r="L850" t="n">
        <v>0</v>
      </c>
      <c r="M850" t="n">
        <v>0</v>
      </c>
      <c r="N850" t="n">
        <v>0</v>
      </c>
      <c r="O850" t="n">
        <v>0</v>
      </c>
      <c r="P850" t="n">
        <v>0</v>
      </c>
      <c r="Q850" t="n">
        <v>0</v>
      </c>
      <c r="R850" s="2" t="inlineStr"/>
    </row>
    <row r="851" ht="15" customHeight="1">
      <c r="A851" t="inlineStr">
        <is>
          <t>A 53287-2022</t>
        </is>
      </c>
      <c r="B851" s="1" t="n">
        <v>44876</v>
      </c>
      <c r="C851" s="1" t="n">
        <v>46004</v>
      </c>
      <c r="D851" t="inlineStr">
        <is>
          <t>JÄMTLANDS LÄN</t>
        </is>
      </c>
      <c r="E851" t="inlineStr">
        <is>
          <t>RAGUNDA</t>
        </is>
      </c>
      <c r="F851" t="inlineStr">
        <is>
          <t>SCA</t>
        </is>
      </c>
      <c r="G851" t="n">
        <v>6.2</v>
      </c>
      <c r="H851" t="n">
        <v>0</v>
      </c>
      <c r="I851" t="n">
        <v>0</v>
      </c>
      <c r="J851" t="n">
        <v>0</v>
      </c>
      <c r="K851" t="n">
        <v>0</v>
      </c>
      <c r="L851" t="n">
        <v>0</v>
      </c>
      <c r="M851" t="n">
        <v>0</v>
      </c>
      <c r="N851" t="n">
        <v>0</v>
      </c>
      <c r="O851" t="n">
        <v>0</v>
      </c>
      <c r="P851" t="n">
        <v>0</v>
      </c>
      <c r="Q851" t="n">
        <v>0</v>
      </c>
      <c r="R851" s="2" t="inlineStr"/>
    </row>
    <row r="852" ht="15" customHeight="1">
      <c r="A852" t="inlineStr">
        <is>
          <t>A 23305-2023</t>
        </is>
      </c>
      <c r="B852" s="1" t="n">
        <v>45075.94506944445</v>
      </c>
      <c r="C852" s="1" t="n">
        <v>46004</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17559-2023</t>
        </is>
      </c>
      <c r="B853" s="1" t="n">
        <v>45034</v>
      </c>
      <c r="C853" s="1" t="n">
        <v>46004</v>
      </c>
      <c r="D853" t="inlineStr">
        <is>
          <t>JÄMTLANDS LÄN</t>
        </is>
      </c>
      <c r="E853" t="inlineStr">
        <is>
          <t>RAGUNDA</t>
        </is>
      </c>
      <c r="G853" t="n">
        <v>7.5</v>
      </c>
      <c r="H853" t="n">
        <v>0</v>
      </c>
      <c r="I853" t="n">
        <v>0</v>
      </c>
      <c r="J853" t="n">
        <v>0</v>
      </c>
      <c r="K853" t="n">
        <v>0</v>
      </c>
      <c r="L853" t="n">
        <v>0</v>
      </c>
      <c r="M853" t="n">
        <v>0</v>
      </c>
      <c r="N853" t="n">
        <v>0</v>
      </c>
      <c r="O853" t="n">
        <v>0</v>
      </c>
      <c r="P853" t="n">
        <v>0</v>
      </c>
      <c r="Q853" t="n">
        <v>0</v>
      </c>
      <c r="R853" s="2" t="inlineStr"/>
    </row>
    <row r="854" ht="15" customHeight="1">
      <c r="A854" t="inlineStr">
        <is>
          <t>A 38312-2024</t>
        </is>
      </c>
      <c r="B854" s="1" t="n">
        <v>45545.64957175926</v>
      </c>
      <c r="C854" s="1" t="n">
        <v>46004</v>
      </c>
      <c r="D854" t="inlineStr">
        <is>
          <t>JÄMTLANDS LÄN</t>
        </is>
      </c>
      <c r="E854" t="inlineStr">
        <is>
          <t>RAGUNDA</t>
        </is>
      </c>
      <c r="G854" t="n">
        <v>1.2</v>
      </c>
      <c r="H854" t="n">
        <v>0</v>
      </c>
      <c r="I854" t="n">
        <v>0</v>
      </c>
      <c r="J854" t="n">
        <v>0</v>
      </c>
      <c r="K854" t="n">
        <v>0</v>
      </c>
      <c r="L854" t="n">
        <v>0</v>
      </c>
      <c r="M854" t="n">
        <v>0</v>
      </c>
      <c r="N854" t="n">
        <v>0</v>
      </c>
      <c r="O854" t="n">
        <v>0</v>
      </c>
      <c r="P854" t="n">
        <v>0</v>
      </c>
      <c r="Q854" t="n">
        <v>0</v>
      </c>
      <c r="R854" s="2" t="inlineStr"/>
    </row>
    <row r="855" ht="15" customHeight="1">
      <c r="A855" t="inlineStr">
        <is>
          <t>A 41161-2025</t>
        </is>
      </c>
      <c r="B855" s="1" t="n">
        <v>45898.53193287037</v>
      </c>
      <c r="C855" s="1" t="n">
        <v>46004</v>
      </c>
      <c r="D855" t="inlineStr">
        <is>
          <t>JÄMTLANDS LÄN</t>
        </is>
      </c>
      <c r="E855" t="inlineStr">
        <is>
          <t>RAGUNDA</t>
        </is>
      </c>
      <c r="F855" t="inlineStr">
        <is>
          <t>SCA</t>
        </is>
      </c>
      <c r="G855" t="n">
        <v>4.4</v>
      </c>
      <c r="H855" t="n">
        <v>0</v>
      </c>
      <c r="I855" t="n">
        <v>0</v>
      </c>
      <c r="J855" t="n">
        <v>0</v>
      </c>
      <c r="K855" t="n">
        <v>0</v>
      </c>
      <c r="L855" t="n">
        <v>0</v>
      </c>
      <c r="M855" t="n">
        <v>0</v>
      </c>
      <c r="N855" t="n">
        <v>0</v>
      </c>
      <c r="O855" t="n">
        <v>0</v>
      </c>
      <c r="P855" t="n">
        <v>0</v>
      </c>
      <c r="Q855" t="n">
        <v>0</v>
      </c>
      <c r="R855" s="2" t="inlineStr"/>
    </row>
    <row r="856" ht="15" customHeight="1">
      <c r="A856" t="inlineStr">
        <is>
          <t>A 16320-2025</t>
        </is>
      </c>
      <c r="B856" s="1" t="n">
        <v>45751.34859953704</v>
      </c>
      <c r="C856" s="1" t="n">
        <v>46004</v>
      </c>
      <c r="D856" t="inlineStr">
        <is>
          <t>JÄMTLANDS LÄN</t>
        </is>
      </c>
      <c r="E856" t="inlineStr">
        <is>
          <t>RAGUNDA</t>
        </is>
      </c>
      <c r="F856" t="inlineStr">
        <is>
          <t>SCA</t>
        </is>
      </c>
      <c r="G856" t="n">
        <v>16.2</v>
      </c>
      <c r="H856" t="n">
        <v>0</v>
      </c>
      <c r="I856" t="n">
        <v>0</v>
      </c>
      <c r="J856" t="n">
        <v>0</v>
      </c>
      <c r="K856" t="n">
        <v>0</v>
      </c>
      <c r="L856" t="n">
        <v>0</v>
      </c>
      <c r="M856" t="n">
        <v>0</v>
      </c>
      <c r="N856" t="n">
        <v>0</v>
      </c>
      <c r="O856" t="n">
        <v>0</v>
      </c>
      <c r="P856" t="n">
        <v>0</v>
      </c>
      <c r="Q856" t="n">
        <v>0</v>
      </c>
      <c r="R856" s="2" t="inlineStr"/>
    </row>
    <row r="857" ht="15" customHeight="1">
      <c r="A857" t="inlineStr">
        <is>
          <t>A 16321-2025</t>
        </is>
      </c>
      <c r="B857" s="1" t="n">
        <v>45751.34873842593</v>
      </c>
      <c r="C857" s="1" t="n">
        <v>46004</v>
      </c>
      <c r="D857" t="inlineStr">
        <is>
          <t>JÄMTLANDS LÄN</t>
        </is>
      </c>
      <c r="E857" t="inlineStr">
        <is>
          <t>RAGUNDA</t>
        </is>
      </c>
      <c r="F857" t="inlineStr">
        <is>
          <t>SCA</t>
        </is>
      </c>
      <c r="G857" t="n">
        <v>63.3</v>
      </c>
      <c r="H857" t="n">
        <v>0</v>
      </c>
      <c r="I857" t="n">
        <v>0</v>
      </c>
      <c r="J857" t="n">
        <v>0</v>
      </c>
      <c r="K857" t="n">
        <v>0</v>
      </c>
      <c r="L857" t="n">
        <v>0</v>
      </c>
      <c r="M857" t="n">
        <v>0</v>
      </c>
      <c r="N857" t="n">
        <v>0</v>
      </c>
      <c r="O857" t="n">
        <v>0</v>
      </c>
      <c r="P857" t="n">
        <v>0</v>
      </c>
      <c r="Q857" t="n">
        <v>0</v>
      </c>
      <c r="R857" s="2" t="inlineStr"/>
    </row>
    <row r="858" ht="15" customHeight="1">
      <c r="A858" t="inlineStr">
        <is>
          <t>A 41233-2025</t>
        </is>
      </c>
      <c r="B858" s="1" t="n">
        <v>45898.59295138889</v>
      </c>
      <c r="C858" s="1" t="n">
        <v>46004</v>
      </c>
      <c r="D858" t="inlineStr">
        <is>
          <t>JÄMTLANDS LÄN</t>
        </is>
      </c>
      <c r="E858" t="inlineStr">
        <is>
          <t>RAGUNDA</t>
        </is>
      </c>
      <c r="G858" t="n">
        <v>1.7</v>
      </c>
      <c r="H858" t="n">
        <v>0</v>
      </c>
      <c r="I858" t="n">
        <v>0</v>
      </c>
      <c r="J858" t="n">
        <v>0</v>
      </c>
      <c r="K858" t="n">
        <v>0</v>
      </c>
      <c r="L858" t="n">
        <v>0</v>
      </c>
      <c r="M858" t="n">
        <v>0</v>
      </c>
      <c r="N858" t="n">
        <v>0</v>
      </c>
      <c r="O858" t="n">
        <v>0</v>
      </c>
      <c r="P858" t="n">
        <v>0</v>
      </c>
      <c r="Q858" t="n">
        <v>0</v>
      </c>
      <c r="R858" s="2" t="inlineStr"/>
    </row>
    <row r="859" ht="15" customHeight="1">
      <c r="A859" t="inlineStr">
        <is>
          <t>A 32832-2021</t>
        </is>
      </c>
      <c r="B859" s="1" t="n">
        <v>44375</v>
      </c>
      <c r="C859" s="1" t="n">
        <v>46004</v>
      </c>
      <c r="D859" t="inlineStr">
        <is>
          <t>JÄMTLANDS LÄN</t>
        </is>
      </c>
      <c r="E859" t="inlineStr">
        <is>
          <t>RAGUNDA</t>
        </is>
      </c>
      <c r="G859" t="n">
        <v>3</v>
      </c>
      <c r="H859" t="n">
        <v>0</v>
      </c>
      <c r="I859" t="n">
        <v>0</v>
      </c>
      <c r="J859" t="n">
        <v>0</v>
      </c>
      <c r="K859" t="n">
        <v>0</v>
      </c>
      <c r="L859" t="n">
        <v>0</v>
      </c>
      <c r="M859" t="n">
        <v>0</v>
      </c>
      <c r="N859" t="n">
        <v>0</v>
      </c>
      <c r="O859" t="n">
        <v>0</v>
      </c>
      <c r="P859" t="n">
        <v>0</v>
      </c>
      <c r="Q859" t="n">
        <v>0</v>
      </c>
      <c r="R859" s="2" t="inlineStr"/>
    </row>
    <row r="860" ht="15" customHeight="1">
      <c r="A860" t="inlineStr">
        <is>
          <t>A 18194-2025</t>
        </is>
      </c>
      <c r="B860" s="1" t="n">
        <v>45761.67744212963</v>
      </c>
      <c r="C860" s="1" t="n">
        <v>46004</v>
      </c>
      <c r="D860" t="inlineStr">
        <is>
          <t>JÄMTLANDS LÄN</t>
        </is>
      </c>
      <c r="E860" t="inlineStr">
        <is>
          <t>RAGUNDA</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14696-2022</t>
        </is>
      </c>
      <c r="B861" s="1" t="n">
        <v>44655</v>
      </c>
      <c r="C861" s="1" t="n">
        <v>46004</v>
      </c>
      <c r="D861" t="inlineStr">
        <is>
          <t>JÄMTLANDS LÄN</t>
        </is>
      </c>
      <c r="E861" t="inlineStr">
        <is>
          <t>RAGUNDA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22011-2023</t>
        </is>
      </c>
      <c r="B862" s="1" t="n">
        <v>45068</v>
      </c>
      <c r="C862" s="1" t="n">
        <v>46004</v>
      </c>
      <c r="D862" t="inlineStr">
        <is>
          <t>JÄMTLANDS LÄN</t>
        </is>
      </c>
      <c r="E862" t="inlineStr">
        <is>
          <t>RAGUNDA</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18225-2024</t>
        </is>
      </c>
      <c r="B863" s="1" t="n">
        <v>45420</v>
      </c>
      <c r="C863" s="1" t="n">
        <v>46004</v>
      </c>
      <c r="D863" t="inlineStr">
        <is>
          <t>JÄMTLANDS LÄN</t>
        </is>
      </c>
      <c r="E863" t="inlineStr">
        <is>
          <t>RAGUNDA</t>
        </is>
      </c>
      <c r="F863" t="inlineStr">
        <is>
          <t>SCA</t>
        </is>
      </c>
      <c r="G863" t="n">
        <v>4.8</v>
      </c>
      <c r="H863" t="n">
        <v>0</v>
      </c>
      <c r="I863" t="n">
        <v>0</v>
      </c>
      <c r="J863" t="n">
        <v>0</v>
      </c>
      <c r="K863" t="n">
        <v>0</v>
      </c>
      <c r="L863" t="n">
        <v>0</v>
      </c>
      <c r="M863" t="n">
        <v>0</v>
      </c>
      <c r="N863" t="n">
        <v>0</v>
      </c>
      <c r="O863" t="n">
        <v>0</v>
      </c>
      <c r="P863" t="n">
        <v>0</v>
      </c>
      <c r="Q863" t="n">
        <v>0</v>
      </c>
      <c r="R863" s="2" t="inlineStr"/>
    </row>
    <row r="864" ht="15" customHeight="1">
      <c r="A864" t="inlineStr">
        <is>
          <t>A 55514-2024</t>
        </is>
      </c>
      <c r="B864" s="1" t="n">
        <v>45622.46910879629</v>
      </c>
      <c r="C864" s="1" t="n">
        <v>46004</v>
      </c>
      <c r="D864" t="inlineStr">
        <is>
          <t>JÄMTLANDS LÄN</t>
        </is>
      </c>
      <c r="E864" t="inlineStr">
        <is>
          <t>RAGUNDA</t>
        </is>
      </c>
      <c r="G864" t="n">
        <v>0.9</v>
      </c>
      <c r="H864" t="n">
        <v>0</v>
      </c>
      <c r="I864" t="n">
        <v>0</v>
      </c>
      <c r="J864" t="n">
        <v>0</v>
      </c>
      <c r="K864" t="n">
        <v>0</v>
      </c>
      <c r="L864" t="n">
        <v>0</v>
      </c>
      <c r="M864" t="n">
        <v>0</v>
      </c>
      <c r="N864" t="n">
        <v>0</v>
      </c>
      <c r="O864" t="n">
        <v>0</v>
      </c>
      <c r="P864" t="n">
        <v>0</v>
      </c>
      <c r="Q864" t="n">
        <v>0</v>
      </c>
      <c r="R864" s="2" t="inlineStr"/>
    </row>
    <row r="865" ht="15" customHeight="1">
      <c r="A865" t="inlineStr">
        <is>
          <t>A 18375-2022</t>
        </is>
      </c>
      <c r="B865" s="1" t="n">
        <v>44685</v>
      </c>
      <c r="C865" s="1" t="n">
        <v>46004</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17248-2023</t>
        </is>
      </c>
      <c r="B866" s="1" t="n">
        <v>45033</v>
      </c>
      <c r="C866" s="1" t="n">
        <v>46004</v>
      </c>
      <c r="D866" t="inlineStr">
        <is>
          <t>JÄMTLANDS LÄN</t>
        </is>
      </c>
      <c r="E866" t="inlineStr">
        <is>
          <t>RAGUNDA</t>
        </is>
      </c>
      <c r="G866" t="n">
        <v>3</v>
      </c>
      <c r="H866" t="n">
        <v>0</v>
      </c>
      <c r="I866" t="n">
        <v>0</v>
      </c>
      <c r="J866" t="n">
        <v>0</v>
      </c>
      <c r="K866" t="n">
        <v>0</v>
      </c>
      <c r="L866" t="n">
        <v>0</v>
      </c>
      <c r="M866" t="n">
        <v>0</v>
      </c>
      <c r="N866" t="n">
        <v>0</v>
      </c>
      <c r="O866" t="n">
        <v>0</v>
      </c>
      <c r="P866" t="n">
        <v>0</v>
      </c>
      <c r="Q866" t="n">
        <v>0</v>
      </c>
      <c r="R866" s="2" t="inlineStr"/>
    </row>
    <row r="867" ht="15" customHeight="1">
      <c r="A867" t="inlineStr">
        <is>
          <t>A 54764-2024</t>
        </is>
      </c>
      <c r="B867" s="1" t="n">
        <v>45618.46921296296</v>
      </c>
      <c r="C867" s="1" t="n">
        <v>46004</v>
      </c>
      <c r="D867" t="inlineStr">
        <is>
          <t>JÄMTLANDS LÄN</t>
        </is>
      </c>
      <c r="E867" t="inlineStr">
        <is>
          <t>RAGUNDA</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62011-2022</t>
        </is>
      </c>
      <c r="B868" s="1" t="n">
        <v>44914</v>
      </c>
      <c r="C868" s="1" t="n">
        <v>46004</v>
      </c>
      <c r="D868" t="inlineStr">
        <is>
          <t>JÄMTLANDS LÄN</t>
        </is>
      </c>
      <c r="E868" t="inlineStr">
        <is>
          <t>RAGUNDA</t>
        </is>
      </c>
      <c r="G868" t="n">
        <v>0.3</v>
      </c>
      <c r="H868" t="n">
        <v>0</v>
      </c>
      <c r="I868" t="n">
        <v>0</v>
      </c>
      <c r="J868" t="n">
        <v>0</v>
      </c>
      <c r="K868" t="n">
        <v>0</v>
      </c>
      <c r="L868" t="n">
        <v>0</v>
      </c>
      <c r="M868" t="n">
        <v>0</v>
      </c>
      <c r="N868" t="n">
        <v>0</v>
      </c>
      <c r="O868" t="n">
        <v>0</v>
      </c>
      <c r="P868" t="n">
        <v>0</v>
      </c>
      <c r="Q868" t="n">
        <v>0</v>
      </c>
      <c r="R868" s="2" t="inlineStr"/>
    </row>
    <row r="869" ht="15" customHeight="1">
      <c r="A869" t="inlineStr">
        <is>
          <t>A 11557-2023</t>
        </is>
      </c>
      <c r="B869" s="1" t="n">
        <v>44993.94950231481</v>
      </c>
      <c r="C869" s="1" t="n">
        <v>46004</v>
      </c>
      <c r="D869" t="inlineStr">
        <is>
          <t>JÄMTLANDS LÄN</t>
        </is>
      </c>
      <c r="E869" t="inlineStr">
        <is>
          <t>RAGUNDA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11562-2023</t>
        </is>
      </c>
      <c r="B870" s="1" t="n">
        <v>44993</v>
      </c>
      <c r="C870" s="1" t="n">
        <v>46004</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41262-2025</t>
        </is>
      </c>
      <c r="B871" s="1" t="n">
        <v>45898.61502314815</v>
      </c>
      <c r="C871" s="1" t="n">
        <v>46004</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22131-2021</t>
        </is>
      </c>
      <c r="B872" s="1" t="n">
        <v>44323</v>
      </c>
      <c r="C872" s="1" t="n">
        <v>46004</v>
      </c>
      <c r="D872" t="inlineStr">
        <is>
          <t>JÄMTLANDS LÄN</t>
        </is>
      </c>
      <c r="E872" t="inlineStr">
        <is>
          <t>RAGUNDA</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5971-2025</t>
        </is>
      </c>
      <c r="B873" s="1" t="n">
        <v>45695.51070601852</v>
      </c>
      <c r="C873" s="1" t="n">
        <v>46004</v>
      </c>
      <c r="D873" t="inlineStr">
        <is>
          <t>JÄMTLANDS LÄN</t>
        </is>
      </c>
      <c r="E873" t="inlineStr">
        <is>
          <t>RAGUNDA</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30563-2023</t>
        </is>
      </c>
      <c r="B874" s="1" t="n">
        <v>45111.92793981481</v>
      </c>
      <c r="C874" s="1" t="n">
        <v>46004</v>
      </c>
      <c r="D874" t="inlineStr">
        <is>
          <t>JÄMTLANDS LÄN</t>
        </is>
      </c>
      <c r="E874" t="inlineStr">
        <is>
          <t>RAGUNDA</t>
        </is>
      </c>
      <c r="F874" t="inlineStr">
        <is>
          <t>Övriga Aktiebolag</t>
        </is>
      </c>
      <c r="G874" t="n">
        <v>2.3</v>
      </c>
      <c r="H874" t="n">
        <v>0</v>
      </c>
      <c r="I874" t="n">
        <v>0</v>
      </c>
      <c r="J874" t="n">
        <v>0</v>
      </c>
      <c r="K874" t="n">
        <v>0</v>
      </c>
      <c r="L874" t="n">
        <v>0</v>
      </c>
      <c r="M874" t="n">
        <v>0</v>
      </c>
      <c r="N874" t="n">
        <v>0</v>
      </c>
      <c r="O874" t="n">
        <v>0</v>
      </c>
      <c r="P874" t="n">
        <v>0</v>
      </c>
      <c r="Q874" t="n">
        <v>0</v>
      </c>
      <c r="R874" s="2" t="inlineStr"/>
    </row>
    <row r="875" ht="15" customHeight="1">
      <c r="A875" t="inlineStr">
        <is>
          <t>A 32904-2024</t>
        </is>
      </c>
      <c r="B875" s="1" t="n">
        <v>45516.94732638889</v>
      </c>
      <c r="C875" s="1" t="n">
        <v>46004</v>
      </c>
      <c r="D875" t="inlineStr">
        <is>
          <t>JÄMTLANDS LÄN</t>
        </is>
      </c>
      <c r="E875" t="inlineStr">
        <is>
          <t>RAGUNDA</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12976-2025</t>
        </is>
      </c>
      <c r="B876" s="1" t="n">
        <v>45734.45268518518</v>
      </c>
      <c r="C876" s="1" t="n">
        <v>46004</v>
      </c>
      <c r="D876" t="inlineStr">
        <is>
          <t>JÄMTLANDS LÄN</t>
        </is>
      </c>
      <c r="E876" t="inlineStr">
        <is>
          <t>RAGUNDA</t>
        </is>
      </c>
      <c r="G876" t="n">
        <v>24.2</v>
      </c>
      <c r="H876" t="n">
        <v>0</v>
      </c>
      <c r="I876" t="n">
        <v>0</v>
      </c>
      <c r="J876" t="n">
        <v>0</v>
      </c>
      <c r="K876" t="n">
        <v>0</v>
      </c>
      <c r="L876" t="n">
        <v>0</v>
      </c>
      <c r="M876" t="n">
        <v>0</v>
      </c>
      <c r="N876" t="n">
        <v>0</v>
      </c>
      <c r="O876" t="n">
        <v>0</v>
      </c>
      <c r="P876" t="n">
        <v>0</v>
      </c>
      <c r="Q876" t="n">
        <v>0</v>
      </c>
      <c r="R876" s="2" t="inlineStr"/>
    </row>
    <row r="877" ht="15" customHeight="1">
      <c r="A877" t="inlineStr">
        <is>
          <t>A 59286-2023</t>
        </is>
      </c>
      <c r="B877" s="1" t="n">
        <v>45253</v>
      </c>
      <c r="C877" s="1" t="n">
        <v>46004</v>
      </c>
      <c r="D877" t="inlineStr">
        <is>
          <t>JÄMTLANDS LÄN</t>
        </is>
      </c>
      <c r="E877" t="inlineStr">
        <is>
          <t>RAGUNDA</t>
        </is>
      </c>
      <c r="G877" t="n">
        <v>1</v>
      </c>
      <c r="H877" t="n">
        <v>0</v>
      </c>
      <c r="I877" t="n">
        <v>0</v>
      </c>
      <c r="J877" t="n">
        <v>0</v>
      </c>
      <c r="K877" t="n">
        <v>0</v>
      </c>
      <c r="L877" t="n">
        <v>0</v>
      </c>
      <c r="M877" t="n">
        <v>0</v>
      </c>
      <c r="N877" t="n">
        <v>0</v>
      </c>
      <c r="O877" t="n">
        <v>0</v>
      </c>
      <c r="P877" t="n">
        <v>0</v>
      </c>
      <c r="Q877" t="n">
        <v>0</v>
      </c>
      <c r="R877" s="2" t="inlineStr"/>
    </row>
    <row r="878" ht="15" customHeight="1">
      <c r="A878" t="inlineStr">
        <is>
          <t>A 15672-2021</t>
        </is>
      </c>
      <c r="B878" s="1" t="n">
        <v>44286</v>
      </c>
      <c r="C878" s="1" t="n">
        <v>46004</v>
      </c>
      <c r="D878" t="inlineStr">
        <is>
          <t>JÄMTLANDS LÄN</t>
        </is>
      </c>
      <c r="E878" t="inlineStr">
        <is>
          <t>RAGUNDA</t>
        </is>
      </c>
      <c r="G878" t="n">
        <v>1.7</v>
      </c>
      <c r="H878" t="n">
        <v>0</v>
      </c>
      <c r="I878" t="n">
        <v>0</v>
      </c>
      <c r="J878" t="n">
        <v>0</v>
      </c>
      <c r="K878" t="n">
        <v>0</v>
      </c>
      <c r="L878" t="n">
        <v>0</v>
      </c>
      <c r="M878" t="n">
        <v>0</v>
      </c>
      <c r="N878" t="n">
        <v>0</v>
      </c>
      <c r="O878" t="n">
        <v>0</v>
      </c>
      <c r="P878" t="n">
        <v>0</v>
      </c>
      <c r="Q878" t="n">
        <v>0</v>
      </c>
      <c r="R878" s="2" t="inlineStr"/>
    </row>
    <row r="879" ht="15" customHeight="1">
      <c r="A879" t="inlineStr">
        <is>
          <t>A 41423-2025</t>
        </is>
      </c>
      <c r="B879" s="1" t="n">
        <v>45901.38578703703</v>
      </c>
      <c r="C879" s="1" t="n">
        <v>46004</v>
      </c>
      <c r="D879" t="inlineStr">
        <is>
          <t>JÄMTLANDS LÄN</t>
        </is>
      </c>
      <c r="E879" t="inlineStr">
        <is>
          <t>RAGUNDA</t>
        </is>
      </c>
      <c r="G879" t="n">
        <v>0.7</v>
      </c>
      <c r="H879" t="n">
        <v>0</v>
      </c>
      <c r="I879" t="n">
        <v>0</v>
      </c>
      <c r="J879" t="n">
        <v>0</v>
      </c>
      <c r="K879" t="n">
        <v>0</v>
      </c>
      <c r="L879" t="n">
        <v>0</v>
      </c>
      <c r="M879" t="n">
        <v>0</v>
      </c>
      <c r="N879" t="n">
        <v>0</v>
      </c>
      <c r="O879" t="n">
        <v>0</v>
      </c>
      <c r="P879" t="n">
        <v>0</v>
      </c>
      <c r="Q879" t="n">
        <v>0</v>
      </c>
      <c r="R879" s="2" t="inlineStr"/>
    </row>
    <row r="880" ht="15" customHeight="1">
      <c r="A880" t="inlineStr">
        <is>
          <t>A 36212-2023</t>
        </is>
      </c>
      <c r="B880" s="1" t="n">
        <v>45149.95241898148</v>
      </c>
      <c r="C880" s="1" t="n">
        <v>46004</v>
      </c>
      <c r="D880" t="inlineStr">
        <is>
          <t>JÄMTLANDS LÄN</t>
        </is>
      </c>
      <c r="E880" t="inlineStr">
        <is>
          <t>RAGUNDA</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6688-2024</t>
        </is>
      </c>
      <c r="B881" s="1" t="n">
        <v>45341</v>
      </c>
      <c r="C881" s="1" t="n">
        <v>46004</v>
      </c>
      <c r="D881" t="inlineStr">
        <is>
          <t>JÄMTLANDS LÄN</t>
        </is>
      </c>
      <c r="E881" t="inlineStr">
        <is>
          <t>RAGUNDA</t>
        </is>
      </c>
      <c r="G881" t="n">
        <v>2</v>
      </c>
      <c r="H881" t="n">
        <v>0</v>
      </c>
      <c r="I881" t="n">
        <v>0</v>
      </c>
      <c r="J881" t="n">
        <v>0</v>
      </c>
      <c r="K881" t="n">
        <v>0</v>
      </c>
      <c r="L881" t="n">
        <v>0</v>
      </c>
      <c r="M881" t="n">
        <v>0</v>
      </c>
      <c r="N881" t="n">
        <v>0</v>
      </c>
      <c r="O881" t="n">
        <v>0</v>
      </c>
      <c r="P881" t="n">
        <v>0</v>
      </c>
      <c r="Q881" t="n">
        <v>0</v>
      </c>
      <c r="R881" s="2" t="inlineStr"/>
    </row>
    <row r="882" ht="15" customHeight="1">
      <c r="A882" t="inlineStr">
        <is>
          <t>A 14158-2024</t>
        </is>
      </c>
      <c r="B882" s="1" t="n">
        <v>45392</v>
      </c>
      <c r="C882" s="1" t="n">
        <v>46004</v>
      </c>
      <c r="D882" t="inlineStr">
        <is>
          <t>JÄMTLANDS LÄN</t>
        </is>
      </c>
      <c r="E882" t="inlineStr">
        <is>
          <t>RAGUNDA</t>
        </is>
      </c>
      <c r="G882" t="n">
        <v>0.7</v>
      </c>
      <c r="H882" t="n">
        <v>0</v>
      </c>
      <c r="I882" t="n">
        <v>0</v>
      </c>
      <c r="J882" t="n">
        <v>0</v>
      </c>
      <c r="K882" t="n">
        <v>0</v>
      </c>
      <c r="L882" t="n">
        <v>0</v>
      </c>
      <c r="M882" t="n">
        <v>0</v>
      </c>
      <c r="N882" t="n">
        <v>0</v>
      </c>
      <c r="O882" t="n">
        <v>0</v>
      </c>
      <c r="P882" t="n">
        <v>0</v>
      </c>
      <c r="Q882" t="n">
        <v>0</v>
      </c>
      <c r="R882" s="2" t="inlineStr"/>
    </row>
    <row r="883" ht="15" customHeight="1">
      <c r="A883" t="inlineStr">
        <is>
          <t>A 12768-2022</t>
        </is>
      </c>
      <c r="B883" s="1" t="n">
        <v>44641</v>
      </c>
      <c r="C883" s="1" t="n">
        <v>46004</v>
      </c>
      <c r="D883" t="inlineStr">
        <is>
          <t>JÄMTLANDS LÄN</t>
        </is>
      </c>
      <c r="E883" t="inlineStr">
        <is>
          <t>RAGUNDA</t>
        </is>
      </c>
      <c r="F883" t="inlineStr">
        <is>
          <t>SCA</t>
        </is>
      </c>
      <c r="G883" t="n">
        <v>8</v>
      </c>
      <c r="H883" t="n">
        <v>0</v>
      </c>
      <c r="I883" t="n">
        <v>0</v>
      </c>
      <c r="J883" t="n">
        <v>0</v>
      </c>
      <c r="K883" t="n">
        <v>0</v>
      </c>
      <c r="L883" t="n">
        <v>0</v>
      </c>
      <c r="M883" t="n">
        <v>0</v>
      </c>
      <c r="N883" t="n">
        <v>0</v>
      </c>
      <c r="O883" t="n">
        <v>0</v>
      </c>
      <c r="P883" t="n">
        <v>0</v>
      </c>
      <c r="Q883" t="n">
        <v>0</v>
      </c>
      <c r="R883" s="2" t="inlineStr"/>
    </row>
    <row r="884" ht="15" customHeight="1">
      <c r="A884" t="inlineStr">
        <is>
          <t>A 12773-2022</t>
        </is>
      </c>
      <c r="B884" s="1" t="n">
        <v>44641</v>
      </c>
      <c r="C884" s="1" t="n">
        <v>46004</v>
      </c>
      <c r="D884" t="inlineStr">
        <is>
          <t>JÄMTLANDS LÄN</t>
        </is>
      </c>
      <c r="E884" t="inlineStr">
        <is>
          <t>RAGUNDA</t>
        </is>
      </c>
      <c r="F884" t="inlineStr">
        <is>
          <t>SCA</t>
        </is>
      </c>
      <c r="G884" t="n">
        <v>14.7</v>
      </c>
      <c r="H884" t="n">
        <v>0</v>
      </c>
      <c r="I884" t="n">
        <v>0</v>
      </c>
      <c r="J884" t="n">
        <v>0</v>
      </c>
      <c r="K884" t="n">
        <v>0</v>
      </c>
      <c r="L884" t="n">
        <v>0</v>
      </c>
      <c r="M884" t="n">
        <v>0</v>
      </c>
      <c r="N884" t="n">
        <v>0</v>
      </c>
      <c r="O884" t="n">
        <v>0</v>
      </c>
      <c r="P884" t="n">
        <v>0</v>
      </c>
      <c r="Q884" t="n">
        <v>0</v>
      </c>
      <c r="R884" s="2" t="inlineStr"/>
    </row>
    <row r="885" ht="15" customHeight="1">
      <c r="A885" t="inlineStr">
        <is>
          <t>A 50650-2023</t>
        </is>
      </c>
      <c r="B885" s="1" t="n">
        <v>45210</v>
      </c>
      <c r="C885" s="1" t="n">
        <v>46004</v>
      </c>
      <c r="D885" t="inlineStr">
        <is>
          <t>JÄMTLANDS LÄN</t>
        </is>
      </c>
      <c r="E885" t="inlineStr">
        <is>
          <t>RAGUNDA</t>
        </is>
      </c>
      <c r="G885" t="n">
        <v>1.3</v>
      </c>
      <c r="H885" t="n">
        <v>0</v>
      </c>
      <c r="I885" t="n">
        <v>0</v>
      </c>
      <c r="J885" t="n">
        <v>0</v>
      </c>
      <c r="K885" t="n">
        <v>0</v>
      </c>
      <c r="L885" t="n">
        <v>0</v>
      </c>
      <c r="M885" t="n">
        <v>0</v>
      </c>
      <c r="N885" t="n">
        <v>0</v>
      </c>
      <c r="O885" t="n">
        <v>0</v>
      </c>
      <c r="P885" t="n">
        <v>0</v>
      </c>
      <c r="Q885" t="n">
        <v>0</v>
      </c>
      <c r="R885" s="2" t="inlineStr"/>
    </row>
    <row r="886" ht="15" customHeight="1">
      <c r="A886" t="inlineStr">
        <is>
          <t>A 41344-2024</t>
        </is>
      </c>
      <c r="B886" s="1" t="n">
        <v>45559.67759259259</v>
      </c>
      <c r="C886" s="1" t="n">
        <v>46004</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41424-2025</t>
        </is>
      </c>
      <c r="B887" s="1" t="n">
        <v>45901.38584490741</v>
      </c>
      <c r="C887" s="1" t="n">
        <v>46004</v>
      </c>
      <c r="D887" t="inlineStr">
        <is>
          <t>JÄMTLANDS LÄN</t>
        </is>
      </c>
      <c r="E887" t="inlineStr">
        <is>
          <t>RAGUNDA</t>
        </is>
      </c>
      <c r="G887" t="n">
        <v>3</v>
      </c>
      <c r="H887" t="n">
        <v>0</v>
      </c>
      <c r="I887" t="n">
        <v>0</v>
      </c>
      <c r="J887" t="n">
        <v>0</v>
      </c>
      <c r="K887" t="n">
        <v>0</v>
      </c>
      <c r="L887" t="n">
        <v>0</v>
      </c>
      <c r="M887" t="n">
        <v>0</v>
      </c>
      <c r="N887" t="n">
        <v>0</v>
      </c>
      <c r="O887" t="n">
        <v>0</v>
      </c>
      <c r="P887" t="n">
        <v>0</v>
      </c>
      <c r="Q887" t="n">
        <v>0</v>
      </c>
      <c r="R887" s="2" t="inlineStr"/>
    </row>
    <row r="888" ht="15" customHeight="1">
      <c r="A888" t="inlineStr">
        <is>
          <t>A 41140-2025</t>
        </is>
      </c>
      <c r="B888" s="1" t="n">
        <v>45898.49012731481</v>
      </c>
      <c r="C888" s="1" t="n">
        <v>46004</v>
      </c>
      <c r="D888" t="inlineStr">
        <is>
          <t>JÄMTLANDS LÄN</t>
        </is>
      </c>
      <c r="E888" t="inlineStr">
        <is>
          <t>RAGUNDA</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41422-2025</t>
        </is>
      </c>
      <c r="B889" s="1" t="n">
        <v>45901.38572916666</v>
      </c>
      <c r="C889" s="1" t="n">
        <v>46004</v>
      </c>
      <c r="D889" t="inlineStr">
        <is>
          <t>JÄMTLANDS LÄN</t>
        </is>
      </c>
      <c r="E889" t="inlineStr">
        <is>
          <t>RAGUNDA</t>
        </is>
      </c>
      <c r="G889" t="n">
        <v>4.3</v>
      </c>
      <c r="H889" t="n">
        <v>0</v>
      </c>
      <c r="I889" t="n">
        <v>0</v>
      </c>
      <c r="J889" t="n">
        <v>0</v>
      </c>
      <c r="K889" t="n">
        <v>0</v>
      </c>
      <c r="L889" t="n">
        <v>0</v>
      </c>
      <c r="M889" t="n">
        <v>0</v>
      </c>
      <c r="N889" t="n">
        <v>0</v>
      </c>
      <c r="O889" t="n">
        <v>0</v>
      </c>
      <c r="P889" t="n">
        <v>0</v>
      </c>
      <c r="Q889" t="n">
        <v>0</v>
      </c>
      <c r="R889" s="2" t="inlineStr"/>
    </row>
    <row r="890" ht="15" customHeight="1">
      <c r="A890" t="inlineStr">
        <is>
          <t>A 41876-2025</t>
        </is>
      </c>
      <c r="B890" s="1" t="n">
        <v>45903.34555555556</v>
      </c>
      <c r="C890" s="1" t="n">
        <v>46004</v>
      </c>
      <c r="D890" t="inlineStr">
        <is>
          <t>JÄMTLANDS LÄN</t>
        </is>
      </c>
      <c r="E890" t="inlineStr">
        <is>
          <t>RAGUNDA</t>
        </is>
      </c>
      <c r="G890" t="n">
        <v>2</v>
      </c>
      <c r="H890" t="n">
        <v>0</v>
      </c>
      <c r="I890" t="n">
        <v>0</v>
      </c>
      <c r="J890" t="n">
        <v>0</v>
      </c>
      <c r="K890" t="n">
        <v>0</v>
      </c>
      <c r="L890" t="n">
        <v>0</v>
      </c>
      <c r="M890" t="n">
        <v>0</v>
      </c>
      <c r="N890" t="n">
        <v>0</v>
      </c>
      <c r="O890" t="n">
        <v>0</v>
      </c>
      <c r="P890" t="n">
        <v>0</v>
      </c>
      <c r="Q890" t="n">
        <v>0</v>
      </c>
      <c r="R890" s="2" t="inlineStr"/>
    </row>
    <row r="891" ht="15" customHeight="1">
      <c r="A891" t="inlineStr">
        <is>
          <t>A 5067-2024</t>
        </is>
      </c>
      <c r="B891" s="1" t="n">
        <v>45329.95806712963</v>
      </c>
      <c r="C891" s="1" t="n">
        <v>46004</v>
      </c>
      <c r="D891" t="inlineStr">
        <is>
          <t>JÄMTLANDS LÄN</t>
        </is>
      </c>
      <c r="E891" t="inlineStr">
        <is>
          <t>RAGUNDA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42508-2023</t>
        </is>
      </c>
      <c r="B892" s="1" t="n">
        <v>45180.95907407408</v>
      </c>
      <c r="C892" s="1" t="n">
        <v>46004</v>
      </c>
      <c r="D892" t="inlineStr">
        <is>
          <t>JÄMTLANDS LÄN</t>
        </is>
      </c>
      <c r="E892" t="inlineStr">
        <is>
          <t>RAGUNDA</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59670-2023</t>
        </is>
      </c>
      <c r="B893" s="1" t="n">
        <v>45254.96516203704</v>
      </c>
      <c r="C893" s="1" t="n">
        <v>46004</v>
      </c>
      <c r="D893" t="inlineStr">
        <is>
          <t>JÄMTLANDS LÄN</t>
        </is>
      </c>
      <c r="E893" t="inlineStr">
        <is>
          <t>RAGUNDA</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41656-2025</t>
        </is>
      </c>
      <c r="B894" s="1" t="n">
        <v>45902.34423611111</v>
      </c>
      <c r="C894" s="1" t="n">
        <v>46004</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55508-2024</t>
        </is>
      </c>
      <c r="B895" s="1" t="n">
        <v>45622.46200231482</v>
      </c>
      <c r="C895" s="1" t="n">
        <v>46004</v>
      </c>
      <c r="D895" t="inlineStr">
        <is>
          <t>JÄMTLANDS LÄN</t>
        </is>
      </c>
      <c r="E895" t="inlineStr">
        <is>
          <t>RAGUNDA</t>
        </is>
      </c>
      <c r="G895" t="n">
        <v>1.8</v>
      </c>
      <c r="H895" t="n">
        <v>0</v>
      </c>
      <c r="I895" t="n">
        <v>0</v>
      </c>
      <c r="J895" t="n">
        <v>0</v>
      </c>
      <c r="K895" t="n">
        <v>0</v>
      </c>
      <c r="L895" t="n">
        <v>0</v>
      </c>
      <c r="M895" t="n">
        <v>0</v>
      </c>
      <c r="N895" t="n">
        <v>0</v>
      </c>
      <c r="O895" t="n">
        <v>0</v>
      </c>
      <c r="P895" t="n">
        <v>0</v>
      </c>
      <c r="Q895" t="n">
        <v>0</v>
      </c>
      <c r="R895" s="2" t="inlineStr"/>
    </row>
    <row r="896" ht="15" customHeight="1">
      <c r="A896" t="inlineStr">
        <is>
          <t>A 14905-2022</t>
        </is>
      </c>
      <c r="B896" s="1" t="n">
        <v>44656.94708333333</v>
      </c>
      <c r="C896" s="1" t="n">
        <v>46004</v>
      </c>
      <c r="D896" t="inlineStr">
        <is>
          <t>JÄMTLANDS LÄN</t>
        </is>
      </c>
      <c r="E896" t="inlineStr">
        <is>
          <t>RAGUNDA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59492-2024</t>
        </is>
      </c>
      <c r="B897" s="1" t="n">
        <v>45638</v>
      </c>
      <c r="C897" s="1" t="n">
        <v>46004</v>
      </c>
      <c r="D897" t="inlineStr">
        <is>
          <t>JÄMTLANDS LÄN</t>
        </is>
      </c>
      <c r="E897" t="inlineStr">
        <is>
          <t>RAGUNDA</t>
        </is>
      </c>
      <c r="G897" t="n">
        <v>1.2</v>
      </c>
      <c r="H897" t="n">
        <v>0</v>
      </c>
      <c r="I897" t="n">
        <v>0</v>
      </c>
      <c r="J897" t="n">
        <v>0</v>
      </c>
      <c r="K897" t="n">
        <v>0</v>
      </c>
      <c r="L897" t="n">
        <v>0</v>
      </c>
      <c r="M897" t="n">
        <v>0</v>
      </c>
      <c r="N897" t="n">
        <v>0</v>
      </c>
      <c r="O897" t="n">
        <v>0</v>
      </c>
      <c r="P897" t="n">
        <v>0</v>
      </c>
      <c r="Q897" t="n">
        <v>0</v>
      </c>
      <c r="R897" s="2" t="inlineStr"/>
    </row>
    <row r="898" ht="15" customHeight="1">
      <c r="A898" t="inlineStr">
        <is>
          <t>A 20772-2024</t>
        </is>
      </c>
      <c r="B898" s="1" t="n">
        <v>45436.94628472222</v>
      </c>
      <c r="C898" s="1" t="n">
        <v>46004</v>
      </c>
      <c r="D898" t="inlineStr">
        <is>
          <t>JÄMTLANDS LÄN</t>
        </is>
      </c>
      <c r="E898" t="inlineStr">
        <is>
          <t>RAGUNDA</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53757-2024</t>
        </is>
      </c>
      <c r="B899" s="1" t="n">
        <v>45615.50034722222</v>
      </c>
      <c r="C899" s="1" t="n">
        <v>46004</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35274-2023</t>
        </is>
      </c>
      <c r="B900" s="1" t="n">
        <v>45145</v>
      </c>
      <c r="C900" s="1" t="n">
        <v>46004</v>
      </c>
      <c r="D900" t="inlineStr">
        <is>
          <t>JÄMTLANDS LÄN</t>
        </is>
      </c>
      <c r="E900" t="inlineStr">
        <is>
          <t>RAGUNDA</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29766-2023</t>
        </is>
      </c>
      <c r="B901" s="1" t="n">
        <v>45098</v>
      </c>
      <c r="C901" s="1" t="n">
        <v>46004</v>
      </c>
      <c r="D901" t="inlineStr">
        <is>
          <t>JÄMTLANDS LÄN</t>
        </is>
      </c>
      <c r="E901" t="inlineStr">
        <is>
          <t>RAGUNDA</t>
        </is>
      </c>
      <c r="G901" t="n">
        <v>2.7</v>
      </c>
      <c r="H901" t="n">
        <v>0</v>
      </c>
      <c r="I901" t="n">
        <v>0</v>
      </c>
      <c r="J901" t="n">
        <v>0</v>
      </c>
      <c r="K901" t="n">
        <v>0</v>
      </c>
      <c r="L901" t="n">
        <v>0</v>
      </c>
      <c r="M901" t="n">
        <v>0</v>
      </c>
      <c r="N901" t="n">
        <v>0</v>
      </c>
      <c r="O901" t="n">
        <v>0</v>
      </c>
      <c r="P901" t="n">
        <v>0</v>
      </c>
      <c r="Q901" t="n">
        <v>0</v>
      </c>
      <c r="R901" s="2" t="inlineStr"/>
    </row>
    <row r="902" ht="15" customHeight="1">
      <c r="A902" t="inlineStr">
        <is>
          <t>A 6716-2025</t>
        </is>
      </c>
      <c r="B902" s="1" t="n">
        <v>45700.57324074074</v>
      </c>
      <c r="C902" s="1" t="n">
        <v>46004</v>
      </c>
      <c r="D902" t="inlineStr">
        <is>
          <t>JÄMTLANDS LÄN</t>
        </is>
      </c>
      <c r="E902" t="inlineStr">
        <is>
          <t>RAGUNDA</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61107-2024</t>
        </is>
      </c>
      <c r="B903" s="1" t="n">
        <v>45645.55665509259</v>
      </c>
      <c r="C903" s="1" t="n">
        <v>46004</v>
      </c>
      <c r="D903" t="inlineStr">
        <is>
          <t>JÄMTLANDS LÄN</t>
        </is>
      </c>
      <c r="E903" t="inlineStr">
        <is>
          <t>RAGUNDA</t>
        </is>
      </c>
      <c r="G903" t="n">
        <v>3.2</v>
      </c>
      <c r="H903" t="n">
        <v>0</v>
      </c>
      <c r="I903" t="n">
        <v>0</v>
      </c>
      <c r="J903" t="n">
        <v>0</v>
      </c>
      <c r="K903" t="n">
        <v>0</v>
      </c>
      <c r="L903" t="n">
        <v>0</v>
      </c>
      <c r="M903" t="n">
        <v>0</v>
      </c>
      <c r="N903" t="n">
        <v>0</v>
      </c>
      <c r="O903" t="n">
        <v>0</v>
      </c>
      <c r="P903" t="n">
        <v>0</v>
      </c>
      <c r="Q903" t="n">
        <v>0</v>
      </c>
      <c r="R903" s="2" t="inlineStr"/>
    </row>
    <row r="904" ht="15" customHeight="1">
      <c r="A904" t="inlineStr">
        <is>
          <t>A 23287-2024</t>
        </is>
      </c>
      <c r="B904" s="1" t="n">
        <v>45453.42041666667</v>
      </c>
      <c r="C904" s="1" t="n">
        <v>46004</v>
      </c>
      <c r="D904" t="inlineStr">
        <is>
          <t>JÄMTLANDS LÄN</t>
        </is>
      </c>
      <c r="E904" t="inlineStr">
        <is>
          <t>RAGUNDA</t>
        </is>
      </c>
      <c r="G904" t="n">
        <v>3.1</v>
      </c>
      <c r="H904" t="n">
        <v>0</v>
      </c>
      <c r="I904" t="n">
        <v>0</v>
      </c>
      <c r="J904" t="n">
        <v>0</v>
      </c>
      <c r="K904" t="n">
        <v>0</v>
      </c>
      <c r="L904" t="n">
        <v>0</v>
      </c>
      <c r="M904" t="n">
        <v>0</v>
      </c>
      <c r="N904" t="n">
        <v>0</v>
      </c>
      <c r="O904" t="n">
        <v>0</v>
      </c>
      <c r="P904" t="n">
        <v>0</v>
      </c>
      <c r="Q904" t="n">
        <v>0</v>
      </c>
      <c r="R904" s="2" t="inlineStr"/>
    </row>
    <row r="905" ht="15" customHeight="1">
      <c r="A905" t="inlineStr">
        <is>
          <t>A 36922-2022</t>
        </is>
      </c>
      <c r="B905" s="1" t="n">
        <v>44805.94592592592</v>
      </c>
      <c r="C905" s="1" t="n">
        <v>46004</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26347-2023</t>
        </is>
      </c>
      <c r="B906" s="1" t="n">
        <v>45091</v>
      </c>
      <c r="C906" s="1" t="n">
        <v>46004</v>
      </c>
      <c r="D906" t="inlineStr">
        <is>
          <t>JÄMTLANDS LÄN</t>
        </is>
      </c>
      <c r="E906" t="inlineStr">
        <is>
          <t>RAGUNDA</t>
        </is>
      </c>
      <c r="F906" t="inlineStr">
        <is>
          <t>SCA</t>
        </is>
      </c>
      <c r="G906" t="n">
        <v>6.6</v>
      </c>
      <c r="H906" t="n">
        <v>0</v>
      </c>
      <c r="I906" t="n">
        <v>0</v>
      </c>
      <c r="J906" t="n">
        <v>0</v>
      </c>
      <c r="K906" t="n">
        <v>0</v>
      </c>
      <c r="L906" t="n">
        <v>0</v>
      </c>
      <c r="M906" t="n">
        <v>0</v>
      </c>
      <c r="N906" t="n">
        <v>0</v>
      </c>
      <c r="O906" t="n">
        <v>0</v>
      </c>
      <c r="P906" t="n">
        <v>0</v>
      </c>
      <c r="Q906" t="n">
        <v>0</v>
      </c>
      <c r="R906" s="2" t="inlineStr"/>
    </row>
    <row r="907" ht="15" customHeight="1">
      <c r="A907" t="inlineStr">
        <is>
          <t>A 19866-2023</t>
        </is>
      </c>
      <c r="B907" s="1" t="n">
        <v>45053.94313657407</v>
      </c>
      <c r="C907" s="1" t="n">
        <v>46004</v>
      </c>
      <c r="D907" t="inlineStr">
        <is>
          <t>JÄMTLANDS LÄN</t>
        </is>
      </c>
      <c r="E907" t="inlineStr">
        <is>
          <t>RAGUNDA</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21853-2024</t>
        </is>
      </c>
      <c r="B908" s="1" t="n">
        <v>45442.96296296296</v>
      </c>
      <c r="C908" s="1" t="n">
        <v>46004</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34483-2023</t>
        </is>
      </c>
      <c r="B909" s="1" t="n">
        <v>45139.94681712963</v>
      </c>
      <c r="C909" s="1" t="n">
        <v>46004</v>
      </c>
      <c r="D909" t="inlineStr">
        <is>
          <t>JÄMTLANDS LÄN</t>
        </is>
      </c>
      <c r="E909" t="inlineStr">
        <is>
          <t>RAGUNDA</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8241-2024</t>
        </is>
      </c>
      <c r="B910" s="1" t="n">
        <v>45351.98496527778</v>
      </c>
      <c r="C910" s="1" t="n">
        <v>46004</v>
      </c>
      <c r="D910" t="inlineStr">
        <is>
          <t>JÄMTLANDS LÄN</t>
        </is>
      </c>
      <c r="E910" t="inlineStr">
        <is>
          <t>RAGUNDA</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40365-2024</t>
        </is>
      </c>
      <c r="B911" s="1" t="n">
        <v>45555.38509259259</v>
      </c>
      <c r="C911" s="1" t="n">
        <v>46004</v>
      </c>
      <c r="D911" t="inlineStr">
        <is>
          <t>JÄMTLANDS LÄN</t>
        </is>
      </c>
      <c r="E911" t="inlineStr">
        <is>
          <t>RAGUNDA</t>
        </is>
      </c>
      <c r="G911" t="n">
        <v>7.8</v>
      </c>
      <c r="H911" t="n">
        <v>0</v>
      </c>
      <c r="I911" t="n">
        <v>0</v>
      </c>
      <c r="J911" t="n">
        <v>0</v>
      </c>
      <c r="K911" t="n">
        <v>0</v>
      </c>
      <c r="L911" t="n">
        <v>0</v>
      </c>
      <c r="M911" t="n">
        <v>0</v>
      </c>
      <c r="N911" t="n">
        <v>0</v>
      </c>
      <c r="O911" t="n">
        <v>0</v>
      </c>
      <c r="P911" t="n">
        <v>0</v>
      </c>
      <c r="Q911" t="n">
        <v>0</v>
      </c>
      <c r="R911" s="2" t="inlineStr"/>
    </row>
    <row r="912" ht="15" customHeight="1">
      <c r="A912" t="inlineStr">
        <is>
          <t>A 20770-2024</t>
        </is>
      </c>
      <c r="B912" s="1" t="n">
        <v>45436.94613425926</v>
      </c>
      <c r="C912" s="1" t="n">
        <v>46004</v>
      </c>
      <c r="D912" t="inlineStr">
        <is>
          <t>JÄMTLANDS LÄN</t>
        </is>
      </c>
      <c r="E912" t="inlineStr">
        <is>
          <t>RAGUNDA</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22948-2024</t>
        </is>
      </c>
      <c r="B913" s="1" t="n">
        <v>45448.94600694445</v>
      </c>
      <c r="C913" s="1" t="n">
        <v>46004</v>
      </c>
      <c r="D913" t="inlineStr">
        <is>
          <t>JÄMTLANDS LÄN</t>
        </is>
      </c>
      <c r="E913" t="inlineStr">
        <is>
          <t>RAGUNDA</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42269-2025</t>
        </is>
      </c>
      <c r="B914" s="1" t="n">
        <v>45904.60431712963</v>
      </c>
      <c r="C914" s="1" t="n">
        <v>46004</v>
      </c>
      <c r="D914" t="inlineStr">
        <is>
          <t>JÄMTLANDS LÄN</t>
        </is>
      </c>
      <c r="E914" t="inlineStr">
        <is>
          <t>RAGUNDA</t>
        </is>
      </c>
      <c r="G914" t="n">
        <v>4.3</v>
      </c>
      <c r="H914" t="n">
        <v>0</v>
      </c>
      <c r="I914" t="n">
        <v>0</v>
      </c>
      <c r="J914" t="n">
        <v>0</v>
      </c>
      <c r="K914" t="n">
        <v>0</v>
      </c>
      <c r="L914" t="n">
        <v>0</v>
      </c>
      <c r="M914" t="n">
        <v>0</v>
      </c>
      <c r="N914" t="n">
        <v>0</v>
      </c>
      <c r="O914" t="n">
        <v>0</v>
      </c>
      <c r="P914" t="n">
        <v>0</v>
      </c>
      <c r="Q914" t="n">
        <v>0</v>
      </c>
      <c r="R914" s="2" t="inlineStr"/>
    </row>
    <row r="915" ht="15" customHeight="1">
      <c r="A915" t="inlineStr">
        <is>
          <t>A 7281-2024</t>
        </is>
      </c>
      <c r="B915" s="1" t="n">
        <v>45344</v>
      </c>
      <c r="C915" s="1" t="n">
        <v>46004</v>
      </c>
      <c r="D915" t="inlineStr">
        <is>
          <t>JÄMTLANDS LÄN</t>
        </is>
      </c>
      <c r="E915" t="inlineStr">
        <is>
          <t>RAGUNDA</t>
        </is>
      </c>
      <c r="G915" t="n">
        <v>1.2</v>
      </c>
      <c r="H915" t="n">
        <v>0</v>
      </c>
      <c r="I915" t="n">
        <v>0</v>
      </c>
      <c r="J915" t="n">
        <v>0</v>
      </c>
      <c r="K915" t="n">
        <v>0</v>
      </c>
      <c r="L915" t="n">
        <v>0</v>
      </c>
      <c r="M915" t="n">
        <v>0</v>
      </c>
      <c r="N915" t="n">
        <v>0</v>
      </c>
      <c r="O915" t="n">
        <v>0</v>
      </c>
      <c r="P915" t="n">
        <v>0</v>
      </c>
      <c r="Q915" t="n">
        <v>0</v>
      </c>
      <c r="R915" s="2" t="inlineStr"/>
    </row>
    <row r="916" ht="15" customHeight="1">
      <c r="A916" t="inlineStr">
        <is>
          <t>A 7284-2024</t>
        </is>
      </c>
      <c r="B916" s="1" t="n">
        <v>45344.92865740741</v>
      </c>
      <c r="C916" s="1" t="n">
        <v>46004</v>
      </c>
      <c r="D916" t="inlineStr">
        <is>
          <t>JÄMTLANDS LÄN</t>
        </is>
      </c>
      <c r="E916" t="inlineStr">
        <is>
          <t>RAGUNDA</t>
        </is>
      </c>
      <c r="G916" t="n">
        <v>2.1</v>
      </c>
      <c r="H916" t="n">
        <v>0</v>
      </c>
      <c r="I916" t="n">
        <v>0</v>
      </c>
      <c r="J916" t="n">
        <v>0</v>
      </c>
      <c r="K916" t="n">
        <v>0</v>
      </c>
      <c r="L916" t="n">
        <v>0</v>
      </c>
      <c r="M916" t="n">
        <v>0</v>
      </c>
      <c r="N916" t="n">
        <v>0</v>
      </c>
      <c r="O916" t="n">
        <v>0</v>
      </c>
      <c r="P916" t="n">
        <v>0</v>
      </c>
      <c r="Q916" t="n">
        <v>0</v>
      </c>
      <c r="R916" s="2" t="inlineStr"/>
    </row>
    <row r="917" ht="15" customHeight="1">
      <c r="A917" t="inlineStr">
        <is>
          <t>A 7285-2024</t>
        </is>
      </c>
      <c r="B917" s="1" t="n">
        <v>45344.92873842592</v>
      </c>
      <c r="C917" s="1" t="n">
        <v>46004</v>
      </c>
      <c r="D917" t="inlineStr">
        <is>
          <t>JÄMTLANDS LÄN</t>
        </is>
      </c>
      <c r="E917" t="inlineStr">
        <is>
          <t>RAGUNDA</t>
        </is>
      </c>
      <c r="G917" t="n">
        <v>0.5</v>
      </c>
      <c r="H917" t="n">
        <v>0</v>
      </c>
      <c r="I917" t="n">
        <v>0</v>
      </c>
      <c r="J917" t="n">
        <v>0</v>
      </c>
      <c r="K917" t="n">
        <v>0</v>
      </c>
      <c r="L917" t="n">
        <v>0</v>
      </c>
      <c r="M917" t="n">
        <v>0</v>
      </c>
      <c r="N917" t="n">
        <v>0</v>
      </c>
      <c r="O917" t="n">
        <v>0</v>
      </c>
      <c r="P917" t="n">
        <v>0</v>
      </c>
      <c r="Q917" t="n">
        <v>0</v>
      </c>
      <c r="R917" s="2" t="inlineStr"/>
    </row>
    <row r="918" ht="15" customHeight="1">
      <c r="A918" t="inlineStr">
        <is>
          <t>A 12983-2025</t>
        </is>
      </c>
      <c r="B918" s="1" t="n">
        <v>45734.4633912037</v>
      </c>
      <c r="C918" s="1" t="n">
        <v>46004</v>
      </c>
      <c r="D918" t="inlineStr">
        <is>
          <t>JÄMTLANDS LÄN</t>
        </is>
      </c>
      <c r="E918" t="inlineStr">
        <is>
          <t>RAGUNDA</t>
        </is>
      </c>
      <c r="G918" t="n">
        <v>5.2</v>
      </c>
      <c r="H918" t="n">
        <v>0</v>
      </c>
      <c r="I918" t="n">
        <v>0</v>
      </c>
      <c r="J918" t="n">
        <v>0</v>
      </c>
      <c r="K918" t="n">
        <v>0</v>
      </c>
      <c r="L918" t="n">
        <v>0</v>
      </c>
      <c r="M918" t="n">
        <v>0</v>
      </c>
      <c r="N918" t="n">
        <v>0</v>
      </c>
      <c r="O918" t="n">
        <v>0</v>
      </c>
      <c r="P918" t="n">
        <v>0</v>
      </c>
      <c r="Q918" t="n">
        <v>0</v>
      </c>
      <c r="R918" s="2" t="inlineStr"/>
    </row>
    <row r="919" ht="15" customHeight="1">
      <c r="A919" t="inlineStr">
        <is>
          <t>A 17598-2021</t>
        </is>
      </c>
      <c r="B919" s="1" t="n">
        <v>44299</v>
      </c>
      <c r="C919" s="1" t="n">
        <v>46004</v>
      </c>
      <c r="D919" t="inlineStr">
        <is>
          <t>JÄMTLANDS LÄN</t>
        </is>
      </c>
      <c r="E919" t="inlineStr">
        <is>
          <t>RAGUNDA</t>
        </is>
      </c>
      <c r="G919" t="n">
        <v>4.6</v>
      </c>
      <c r="H919" t="n">
        <v>0</v>
      </c>
      <c r="I919" t="n">
        <v>0</v>
      </c>
      <c r="J919" t="n">
        <v>0</v>
      </c>
      <c r="K919" t="n">
        <v>0</v>
      </c>
      <c r="L919" t="n">
        <v>0</v>
      </c>
      <c r="M919" t="n">
        <v>0</v>
      </c>
      <c r="N919" t="n">
        <v>0</v>
      </c>
      <c r="O919" t="n">
        <v>0</v>
      </c>
      <c r="P919" t="n">
        <v>0</v>
      </c>
      <c r="Q919" t="n">
        <v>0</v>
      </c>
      <c r="R919" s="2" t="inlineStr"/>
    </row>
    <row r="920" ht="15" customHeight="1">
      <c r="A920" t="inlineStr">
        <is>
          <t>A 53347-2023</t>
        </is>
      </c>
      <c r="B920" s="1" t="n">
        <v>45223</v>
      </c>
      <c r="C920" s="1" t="n">
        <v>46004</v>
      </c>
      <c r="D920" t="inlineStr">
        <is>
          <t>JÄMTLANDS LÄN</t>
        </is>
      </c>
      <c r="E920" t="inlineStr">
        <is>
          <t>RAGUNDA</t>
        </is>
      </c>
      <c r="G920" t="n">
        <v>1.6</v>
      </c>
      <c r="H920" t="n">
        <v>0</v>
      </c>
      <c r="I920" t="n">
        <v>0</v>
      </c>
      <c r="J920" t="n">
        <v>0</v>
      </c>
      <c r="K920" t="n">
        <v>0</v>
      </c>
      <c r="L920" t="n">
        <v>0</v>
      </c>
      <c r="M920" t="n">
        <v>0</v>
      </c>
      <c r="N920" t="n">
        <v>0</v>
      </c>
      <c r="O920" t="n">
        <v>0</v>
      </c>
      <c r="P920" t="n">
        <v>0</v>
      </c>
      <c r="Q920" t="n">
        <v>0</v>
      </c>
      <c r="R920" s="2" t="inlineStr"/>
    </row>
    <row r="921" ht="15" customHeight="1">
      <c r="A921" t="inlineStr">
        <is>
          <t>A 33763-2025</t>
        </is>
      </c>
      <c r="B921" s="1" t="n">
        <v>45842.38579861111</v>
      </c>
      <c r="C921" s="1" t="n">
        <v>46004</v>
      </c>
      <c r="D921" t="inlineStr">
        <is>
          <t>JÄMTLANDS LÄN</t>
        </is>
      </c>
      <c r="E921" t="inlineStr">
        <is>
          <t>RAGUNDA</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60838-2023</t>
        </is>
      </c>
      <c r="B922" s="1" t="n">
        <v>45260.92561342593</v>
      </c>
      <c r="C922" s="1" t="n">
        <v>46004</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3938-2024</t>
        </is>
      </c>
      <c r="B923" s="1" t="n">
        <v>45322</v>
      </c>
      <c r="C923" s="1" t="n">
        <v>46004</v>
      </c>
      <c r="D923" t="inlineStr">
        <is>
          <t>JÄMTLANDS LÄN</t>
        </is>
      </c>
      <c r="E923" t="inlineStr">
        <is>
          <t>RAGUNDA</t>
        </is>
      </c>
      <c r="G923" t="n">
        <v>3.2</v>
      </c>
      <c r="H923" t="n">
        <v>0</v>
      </c>
      <c r="I923" t="n">
        <v>0</v>
      </c>
      <c r="J923" t="n">
        <v>0</v>
      </c>
      <c r="K923" t="n">
        <v>0</v>
      </c>
      <c r="L923" t="n">
        <v>0</v>
      </c>
      <c r="M923" t="n">
        <v>0</v>
      </c>
      <c r="N923" t="n">
        <v>0</v>
      </c>
      <c r="O923" t="n">
        <v>0</v>
      </c>
      <c r="P923" t="n">
        <v>0</v>
      </c>
      <c r="Q923" t="n">
        <v>0</v>
      </c>
      <c r="R923" s="2" t="inlineStr"/>
    </row>
    <row r="924" ht="15" customHeight="1">
      <c r="A924" t="inlineStr">
        <is>
          <t>A 9548-2025</t>
        </is>
      </c>
      <c r="B924" s="1" t="n">
        <v>45715.59405092592</v>
      </c>
      <c r="C924" s="1" t="n">
        <v>46004</v>
      </c>
      <c r="D924" t="inlineStr">
        <is>
          <t>JÄMTLANDS LÄN</t>
        </is>
      </c>
      <c r="E924" t="inlineStr">
        <is>
          <t>RAGUNDA</t>
        </is>
      </c>
      <c r="F924" t="inlineStr">
        <is>
          <t>SCA</t>
        </is>
      </c>
      <c r="G924" t="n">
        <v>3.6</v>
      </c>
      <c r="H924" t="n">
        <v>0</v>
      </c>
      <c r="I924" t="n">
        <v>0</v>
      </c>
      <c r="J924" t="n">
        <v>0</v>
      </c>
      <c r="K924" t="n">
        <v>0</v>
      </c>
      <c r="L924" t="n">
        <v>0</v>
      </c>
      <c r="M924" t="n">
        <v>0</v>
      </c>
      <c r="N924" t="n">
        <v>0</v>
      </c>
      <c r="O924" t="n">
        <v>0</v>
      </c>
      <c r="P924" t="n">
        <v>0</v>
      </c>
      <c r="Q924" t="n">
        <v>0</v>
      </c>
      <c r="R924" s="2" t="inlineStr"/>
    </row>
    <row r="925" ht="15" customHeight="1">
      <c r="A925" t="inlineStr">
        <is>
          <t>A 43177-2025</t>
        </is>
      </c>
      <c r="B925" s="1" t="n">
        <v>45910.40667824074</v>
      </c>
      <c r="C925" s="1" t="n">
        <v>46004</v>
      </c>
      <c r="D925" t="inlineStr">
        <is>
          <t>JÄMTLANDS LÄN</t>
        </is>
      </c>
      <c r="E925" t="inlineStr">
        <is>
          <t>RAGUNDA</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43181-2025</t>
        </is>
      </c>
      <c r="B926" s="1" t="n">
        <v>45910.40721064815</v>
      </c>
      <c r="C926" s="1" t="n">
        <v>46004</v>
      </c>
      <c r="D926" t="inlineStr">
        <is>
          <t>JÄMTLANDS LÄN</t>
        </is>
      </c>
      <c r="E926" t="inlineStr">
        <is>
          <t>RAGUNDA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53989-2024</t>
        </is>
      </c>
      <c r="B927" s="1" t="n">
        <v>45616.34479166667</v>
      </c>
      <c r="C927" s="1" t="n">
        <v>46004</v>
      </c>
      <c r="D927" t="inlineStr">
        <is>
          <t>JÄMTLANDS LÄN</t>
        </is>
      </c>
      <c r="E927" t="inlineStr">
        <is>
          <t>RAGUNDA</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15581-2024</t>
        </is>
      </c>
      <c r="B928" s="1" t="n">
        <v>45401</v>
      </c>
      <c r="C928" s="1" t="n">
        <v>46004</v>
      </c>
      <c r="D928" t="inlineStr">
        <is>
          <t>JÄMTLANDS LÄN</t>
        </is>
      </c>
      <c r="E928" t="inlineStr">
        <is>
          <t>RAGUNDA</t>
        </is>
      </c>
      <c r="F928" t="inlineStr">
        <is>
          <t>Kommuner</t>
        </is>
      </c>
      <c r="G928" t="n">
        <v>2.2</v>
      </c>
      <c r="H928" t="n">
        <v>0</v>
      </c>
      <c r="I928" t="n">
        <v>0</v>
      </c>
      <c r="J928" t="n">
        <v>0</v>
      </c>
      <c r="K928" t="n">
        <v>0</v>
      </c>
      <c r="L928" t="n">
        <v>0</v>
      </c>
      <c r="M928" t="n">
        <v>0</v>
      </c>
      <c r="N928" t="n">
        <v>0</v>
      </c>
      <c r="O928" t="n">
        <v>0</v>
      </c>
      <c r="P928" t="n">
        <v>0</v>
      </c>
      <c r="Q928" t="n">
        <v>0</v>
      </c>
      <c r="R928" s="2" t="inlineStr"/>
    </row>
    <row r="929" ht="15" customHeight="1">
      <c r="A929" t="inlineStr">
        <is>
          <t>A 15611-2024</t>
        </is>
      </c>
      <c r="B929" s="1" t="n">
        <v>45401</v>
      </c>
      <c r="C929" s="1" t="n">
        <v>46004</v>
      </c>
      <c r="D929" t="inlineStr">
        <is>
          <t>JÄMTLANDS LÄN</t>
        </is>
      </c>
      <c r="E929" t="inlineStr">
        <is>
          <t>RAGUNDA</t>
        </is>
      </c>
      <c r="F929" t="inlineStr">
        <is>
          <t>SCA</t>
        </is>
      </c>
      <c r="G929" t="n">
        <v>10.3</v>
      </c>
      <c r="H929" t="n">
        <v>0</v>
      </c>
      <c r="I929" t="n">
        <v>0</v>
      </c>
      <c r="J929" t="n">
        <v>0</v>
      </c>
      <c r="K929" t="n">
        <v>0</v>
      </c>
      <c r="L929" t="n">
        <v>0</v>
      </c>
      <c r="M929" t="n">
        <v>0</v>
      </c>
      <c r="N929" t="n">
        <v>0</v>
      </c>
      <c r="O929" t="n">
        <v>0</v>
      </c>
      <c r="P929" t="n">
        <v>0</v>
      </c>
      <c r="Q929" t="n">
        <v>0</v>
      </c>
      <c r="R929" s="2" t="inlineStr"/>
    </row>
    <row r="930" ht="15" customHeight="1">
      <c r="A930" t="inlineStr">
        <is>
          <t>A 43330-2025</t>
        </is>
      </c>
      <c r="B930" s="1" t="n">
        <v>45910.67766203704</v>
      </c>
      <c r="C930" s="1" t="n">
        <v>46004</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23528-2024</t>
        </is>
      </c>
      <c r="B931" s="1" t="n">
        <v>45453.95016203704</v>
      </c>
      <c r="C931" s="1" t="n">
        <v>46004</v>
      </c>
      <c r="D931" t="inlineStr">
        <is>
          <t>JÄMTLANDS LÄN</t>
        </is>
      </c>
      <c r="E931" t="inlineStr">
        <is>
          <t>RAGUNDA</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4594-2024</t>
        </is>
      </c>
      <c r="B932" s="1" t="n">
        <v>45327.94459490741</v>
      </c>
      <c r="C932" s="1" t="n">
        <v>46004</v>
      </c>
      <c r="D932" t="inlineStr">
        <is>
          <t>JÄMTLANDS LÄN</t>
        </is>
      </c>
      <c r="E932" t="inlineStr">
        <is>
          <t>RAGUNDA</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30824-2023</t>
        </is>
      </c>
      <c r="B933" s="1" t="n">
        <v>45112.94303240741</v>
      </c>
      <c r="C933" s="1" t="n">
        <v>46004</v>
      </c>
      <c r="D933" t="inlineStr">
        <is>
          <t>JÄMTLANDS LÄN</t>
        </is>
      </c>
      <c r="E933" t="inlineStr">
        <is>
          <t>RAGUNDA</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43776-2025</t>
        </is>
      </c>
      <c r="B934" s="1" t="n">
        <v>45912.51086805556</v>
      </c>
      <c r="C934" s="1" t="n">
        <v>46004</v>
      </c>
      <c r="D934" t="inlineStr">
        <is>
          <t>JÄMTLANDS LÄN</t>
        </is>
      </c>
      <c r="E934" t="inlineStr">
        <is>
          <t>RAGUNDA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43971-2025</t>
        </is>
      </c>
      <c r="B935" s="1" t="n">
        <v>45915.40694444445</v>
      </c>
      <c r="C935" s="1" t="n">
        <v>46004</v>
      </c>
      <c r="D935" t="inlineStr">
        <is>
          <t>JÄMTLANDS LÄN</t>
        </is>
      </c>
      <c r="E935" t="inlineStr">
        <is>
          <t>RAGUNDA</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16635-2025</t>
        </is>
      </c>
      <c r="B936" s="1" t="n">
        <v>45754</v>
      </c>
      <c r="C936" s="1" t="n">
        <v>46004</v>
      </c>
      <c r="D936" t="inlineStr">
        <is>
          <t>JÄMTLANDS LÄN</t>
        </is>
      </c>
      <c r="E936" t="inlineStr">
        <is>
          <t>RAGUNDA</t>
        </is>
      </c>
      <c r="F936" t="inlineStr">
        <is>
          <t>SCA</t>
        </is>
      </c>
      <c r="G936" t="n">
        <v>55.4</v>
      </c>
      <c r="H936" t="n">
        <v>0</v>
      </c>
      <c r="I936" t="n">
        <v>0</v>
      </c>
      <c r="J936" t="n">
        <v>0</v>
      </c>
      <c r="K936" t="n">
        <v>0</v>
      </c>
      <c r="L936" t="n">
        <v>0</v>
      </c>
      <c r="M936" t="n">
        <v>0</v>
      </c>
      <c r="N936" t="n">
        <v>0</v>
      </c>
      <c r="O936" t="n">
        <v>0</v>
      </c>
      <c r="P936" t="n">
        <v>0</v>
      </c>
      <c r="Q936" t="n">
        <v>0</v>
      </c>
      <c r="R936" s="2" t="inlineStr"/>
    </row>
    <row r="937" ht="15" customHeight="1">
      <c r="A937" t="inlineStr">
        <is>
          <t>A 43804-2025</t>
        </is>
      </c>
      <c r="B937" s="1" t="n">
        <v>45912.57373842593</v>
      </c>
      <c r="C937" s="1" t="n">
        <v>46004</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4014-2022</t>
        </is>
      </c>
      <c r="B938" s="1" t="n">
        <v>44587.92144675926</v>
      </c>
      <c r="C938" s="1" t="n">
        <v>46004</v>
      </c>
      <c r="D938" t="inlineStr">
        <is>
          <t>JÄMTLANDS LÄN</t>
        </is>
      </c>
      <c r="E938" t="inlineStr">
        <is>
          <t>RAGUNDA</t>
        </is>
      </c>
      <c r="G938" t="n">
        <v>3.6</v>
      </c>
      <c r="H938" t="n">
        <v>0</v>
      </c>
      <c r="I938" t="n">
        <v>0</v>
      </c>
      <c r="J938" t="n">
        <v>0</v>
      </c>
      <c r="K938" t="n">
        <v>0</v>
      </c>
      <c r="L938" t="n">
        <v>0</v>
      </c>
      <c r="M938" t="n">
        <v>0</v>
      </c>
      <c r="N938" t="n">
        <v>0</v>
      </c>
      <c r="O938" t="n">
        <v>0</v>
      </c>
      <c r="P938" t="n">
        <v>0</v>
      </c>
      <c r="Q938" t="n">
        <v>0</v>
      </c>
      <c r="R938" s="2" t="inlineStr"/>
    </row>
    <row r="939" ht="15" customHeight="1">
      <c r="A939" t="inlineStr">
        <is>
          <t>A 1554-2024</t>
        </is>
      </c>
      <c r="B939" s="1" t="n">
        <v>45306</v>
      </c>
      <c r="C939" s="1" t="n">
        <v>46004</v>
      </c>
      <c r="D939" t="inlineStr">
        <is>
          <t>JÄMTLANDS LÄN</t>
        </is>
      </c>
      <c r="E939" t="inlineStr">
        <is>
          <t>RAGUNDA</t>
        </is>
      </c>
      <c r="G939" t="n">
        <v>4.3</v>
      </c>
      <c r="H939" t="n">
        <v>0</v>
      </c>
      <c r="I939" t="n">
        <v>0</v>
      </c>
      <c r="J939" t="n">
        <v>0</v>
      </c>
      <c r="K939" t="n">
        <v>0</v>
      </c>
      <c r="L939" t="n">
        <v>0</v>
      </c>
      <c r="M939" t="n">
        <v>0</v>
      </c>
      <c r="N939" t="n">
        <v>0</v>
      </c>
      <c r="O939" t="n">
        <v>0</v>
      </c>
      <c r="P939" t="n">
        <v>0</v>
      </c>
      <c r="Q939" t="n">
        <v>0</v>
      </c>
      <c r="R939" s="2" t="inlineStr"/>
    </row>
    <row r="940" ht="15" customHeight="1">
      <c r="A940" t="inlineStr">
        <is>
          <t>A 38782-2021</t>
        </is>
      </c>
      <c r="B940" s="1" t="n">
        <v>44410</v>
      </c>
      <c r="C940" s="1" t="n">
        <v>46004</v>
      </c>
      <c r="D940" t="inlineStr">
        <is>
          <t>JÄMTLANDS LÄN</t>
        </is>
      </c>
      <c r="E940" t="inlineStr">
        <is>
          <t>RAGUNDA</t>
        </is>
      </c>
      <c r="G940" t="n">
        <v>3.2</v>
      </c>
      <c r="H940" t="n">
        <v>0</v>
      </c>
      <c r="I940" t="n">
        <v>0</v>
      </c>
      <c r="J940" t="n">
        <v>0</v>
      </c>
      <c r="K940" t="n">
        <v>0</v>
      </c>
      <c r="L940" t="n">
        <v>0</v>
      </c>
      <c r="M940" t="n">
        <v>0</v>
      </c>
      <c r="N940" t="n">
        <v>0</v>
      </c>
      <c r="O940" t="n">
        <v>0</v>
      </c>
      <c r="P940" t="n">
        <v>0</v>
      </c>
      <c r="Q940" t="n">
        <v>0</v>
      </c>
      <c r="R940" s="2" t="inlineStr"/>
    </row>
    <row r="941" ht="15" customHeight="1">
      <c r="A941" t="inlineStr">
        <is>
          <t>A 20728-2025</t>
        </is>
      </c>
      <c r="B941" s="1" t="n">
        <v>45776.51130787037</v>
      </c>
      <c r="C941" s="1" t="n">
        <v>46004</v>
      </c>
      <c r="D941" t="inlineStr">
        <is>
          <t>JÄMTLANDS LÄN</t>
        </is>
      </c>
      <c r="E941" t="inlineStr">
        <is>
          <t>RAGUNDA</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45279-2025</t>
        </is>
      </c>
      <c r="B942" s="1" t="n">
        <v>45919.71912037037</v>
      </c>
      <c r="C942" s="1" t="n">
        <v>46004</v>
      </c>
      <c r="D942" t="inlineStr">
        <is>
          <t>JÄMTLANDS LÄN</t>
        </is>
      </c>
      <c r="E942" t="inlineStr">
        <is>
          <t>RAGUNDA</t>
        </is>
      </c>
      <c r="F942" t="inlineStr">
        <is>
          <t>SCA</t>
        </is>
      </c>
      <c r="G942" t="n">
        <v>11.5</v>
      </c>
      <c r="H942" t="n">
        <v>0</v>
      </c>
      <c r="I942" t="n">
        <v>0</v>
      </c>
      <c r="J942" t="n">
        <v>0</v>
      </c>
      <c r="K942" t="n">
        <v>0</v>
      </c>
      <c r="L942" t="n">
        <v>0</v>
      </c>
      <c r="M942" t="n">
        <v>0</v>
      </c>
      <c r="N942" t="n">
        <v>0</v>
      </c>
      <c r="O942" t="n">
        <v>0</v>
      </c>
      <c r="P942" t="n">
        <v>0</v>
      </c>
      <c r="Q942" t="n">
        <v>0</v>
      </c>
      <c r="R942" s="2" t="inlineStr"/>
    </row>
    <row r="943" ht="15" customHeight="1">
      <c r="A943" t="inlineStr">
        <is>
          <t>A 44954-2025</t>
        </is>
      </c>
      <c r="B943" s="1" t="n">
        <v>45918.61203703703</v>
      </c>
      <c r="C943" s="1" t="n">
        <v>46004</v>
      </c>
      <c r="D943" t="inlineStr">
        <is>
          <t>JÄMTLANDS LÄN</t>
        </is>
      </c>
      <c r="E943" t="inlineStr">
        <is>
          <t>RAGUNDA</t>
        </is>
      </c>
      <c r="G943" t="n">
        <v>3</v>
      </c>
      <c r="H943" t="n">
        <v>0</v>
      </c>
      <c r="I943" t="n">
        <v>0</v>
      </c>
      <c r="J943" t="n">
        <v>0</v>
      </c>
      <c r="K943" t="n">
        <v>0</v>
      </c>
      <c r="L943" t="n">
        <v>0</v>
      </c>
      <c r="M943" t="n">
        <v>0</v>
      </c>
      <c r="N943" t="n">
        <v>0</v>
      </c>
      <c r="O943" t="n">
        <v>0</v>
      </c>
      <c r="P943" t="n">
        <v>0</v>
      </c>
      <c r="Q943" t="n">
        <v>0</v>
      </c>
      <c r="R943" s="2" t="inlineStr"/>
    </row>
    <row r="944" ht="15" customHeight="1">
      <c r="A944" t="inlineStr">
        <is>
          <t>A 20653-2025</t>
        </is>
      </c>
      <c r="B944" s="1" t="n">
        <v>45776.40311342593</v>
      </c>
      <c r="C944" s="1" t="n">
        <v>46004</v>
      </c>
      <c r="D944" t="inlineStr">
        <is>
          <t>JÄMTLANDS LÄN</t>
        </is>
      </c>
      <c r="E944" t="inlineStr">
        <is>
          <t>RAGUNDA</t>
        </is>
      </c>
      <c r="G944" t="n">
        <v>10.8</v>
      </c>
      <c r="H944" t="n">
        <v>0</v>
      </c>
      <c r="I944" t="n">
        <v>0</v>
      </c>
      <c r="J944" t="n">
        <v>0</v>
      </c>
      <c r="K944" t="n">
        <v>0</v>
      </c>
      <c r="L944" t="n">
        <v>0</v>
      </c>
      <c r="M944" t="n">
        <v>0</v>
      </c>
      <c r="N944" t="n">
        <v>0</v>
      </c>
      <c r="O944" t="n">
        <v>0</v>
      </c>
      <c r="P944" t="n">
        <v>0</v>
      </c>
      <c r="Q944" t="n">
        <v>0</v>
      </c>
      <c r="R944" s="2" t="inlineStr"/>
    </row>
    <row r="945" ht="15" customHeight="1">
      <c r="A945" t="inlineStr">
        <is>
          <t>A 54396-2025</t>
        </is>
      </c>
      <c r="B945" s="1" t="n">
        <v>45965.44849537037</v>
      </c>
      <c r="C945" s="1" t="n">
        <v>46004</v>
      </c>
      <c r="D945" t="inlineStr">
        <is>
          <t>JÄMTLANDS LÄN</t>
        </is>
      </c>
      <c r="E945" t="inlineStr">
        <is>
          <t>RAGUNDA</t>
        </is>
      </c>
      <c r="F945" t="inlineStr">
        <is>
          <t>SCA</t>
        </is>
      </c>
      <c r="G945" t="n">
        <v>35.2</v>
      </c>
      <c r="H945" t="n">
        <v>0</v>
      </c>
      <c r="I945" t="n">
        <v>0</v>
      </c>
      <c r="J945" t="n">
        <v>0</v>
      </c>
      <c r="K945" t="n">
        <v>0</v>
      </c>
      <c r="L945" t="n">
        <v>0</v>
      </c>
      <c r="M945" t="n">
        <v>0</v>
      </c>
      <c r="N945" t="n">
        <v>0</v>
      </c>
      <c r="O945" t="n">
        <v>0</v>
      </c>
      <c r="P945" t="n">
        <v>0</v>
      </c>
      <c r="Q945" t="n">
        <v>0</v>
      </c>
      <c r="R945" s="2" t="inlineStr"/>
    </row>
    <row r="946" ht="15" customHeight="1">
      <c r="A946" t="inlineStr">
        <is>
          <t>A 20722-2025</t>
        </is>
      </c>
      <c r="B946" s="1" t="n">
        <v>45776.50651620371</v>
      </c>
      <c r="C946" s="1" t="n">
        <v>46004</v>
      </c>
      <c r="D946" t="inlineStr">
        <is>
          <t>JÄMTLANDS LÄN</t>
        </is>
      </c>
      <c r="E946" t="inlineStr">
        <is>
          <t>RAGUNDA</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20777-2025</t>
        </is>
      </c>
      <c r="B947" s="1" t="n">
        <v>45776.59422453704</v>
      </c>
      <c r="C947" s="1" t="n">
        <v>46004</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21150-2025</t>
        </is>
      </c>
      <c r="B948" s="1" t="n">
        <v>45779.34417824074</v>
      </c>
      <c r="C948" s="1" t="n">
        <v>46004</v>
      </c>
      <c r="D948" t="inlineStr">
        <is>
          <t>JÄMTLANDS LÄN</t>
        </is>
      </c>
      <c r="E948" t="inlineStr">
        <is>
          <t>RAGUNDA</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21214-2025</t>
        </is>
      </c>
      <c r="B949" s="1" t="n">
        <v>45779.49025462963</v>
      </c>
      <c r="C949" s="1" t="n">
        <v>46004</v>
      </c>
      <c r="D949" t="inlineStr">
        <is>
          <t>JÄMTLANDS LÄN</t>
        </is>
      </c>
      <c r="E949" t="inlineStr">
        <is>
          <t>RAGUNDA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22941-2024</t>
        </is>
      </c>
      <c r="B950" s="1" t="n">
        <v>45448.94520833333</v>
      </c>
      <c r="C950" s="1" t="n">
        <v>46004</v>
      </c>
      <c r="D950" t="inlineStr">
        <is>
          <t>JÄMTLANDS LÄN</t>
        </is>
      </c>
      <c r="E950" t="inlineStr">
        <is>
          <t>RAGUNDA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21430-2025</t>
        </is>
      </c>
      <c r="B951" s="1" t="n">
        <v>45782.51099537037</v>
      </c>
      <c r="C951" s="1" t="n">
        <v>46004</v>
      </c>
      <c r="D951" t="inlineStr">
        <is>
          <t>JÄMTLANDS LÄN</t>
        </is>
      </c>
      <c r="E951" t="inlineStr">
        <is>
          <t>RAGUNDA</t>
        </is>
      </c>
      <c r="F951" t="inlineStr">
        <is>
          <t>SCA</t>
        </is>
      </c>
      <c r="G951" t="n">
        <v>7.1</v>
      </c>
      <c r="H951" t="n">
        <v>0</v>
      </c>
      <c r="I951" t="n">
        <v>0</v>
      </c>
      <c r="J951" t="n">
        <v>0</v>
      </c>
      <c r="K951" t="n">
        <v>0</v>
      </c>
      <c r="L951" t="n">
        <v>0</v>
      </c>
      <c r="M951" t="n">
        <v>0</v>
      </c>
      <c r="N951" t="n">
        <v>0</v>
      </c>
      <c r="O951" t="n">
        <v>0</v>
      </c>
      <c r="P951" t="n">
        <v>0</v>
      </c>
      <c r="Q951" t="n">
        <v>0</v>
      </c>
      <c r="R951" s="2" t="inlineStr"/>
    </row>
    <row r="952" ht="15" customHeight="1">
      <c r="A952" t="inlineStr">
        <is>
          <t>A 44881-2023</t>
        </is>
      </c>
      <c r="B952" s="1" t="n">
        <v>45187</v>
      </c>
      <c r="C952" s="1" t="n">
        <v>46004</v>
      </c>
      <c r="D952" t="inlineStr">
        <is>
          <t>JÄMTLANDS LÄN</t>
        </is>
      </c>
      <c r="E952" t="inlineStr">
        <is>
          <t>RAGUNDA</t>
        </is>
      </c>
      <c r="G952" t="n">
        <v>2.4</v>
      </c>
      <c r="H952" t="n">
        <v>0</v>
      </c>
      <c r="I952" t="n">
        <v>0</v>
      </c>
      <c r="J952" t="n">
        <v>0</v>
      </c>
      <c r="K952" t="n">
        <v>0</v>
      </c>
      <c r="L952" t="n">
        <v>0</v>
      </c>
      <c r="M952" t="n">
        <v>0</v>
      </c>
      <c r="N952" t="n">
        <v>0</v>
      </c>
      <c r="O952" t="n">
        <v>0</v>
      </c>
      <c r="P952" t="n">
        <v>0</v>
      </c>
      <c r="Q952" t="n">
        <v>0</v>
      </c>
      <c r="R952" s="2" t="inlineStr"/>
    </row>
    <row r="953" ht="15" customHeight="1">
      <c r="A953" t="inlineStr">
        <is>
          <t>A 54195-2025</t>
        </is>
      </c>
      <c r="B953" s="1" t="n">
        <v>45964.57413194444</v>
      </c>
      <c r="C953" s="1" t="n">
        <v>46004</v>
      </c>
      <c r="D953" t="inlineStr">
        <is>
          <t>JÄMTLANDS LÄN</t>
        </is>
      </c>
      <c r="E953" t="inlineStr">
        <is>
          <t>RAGUNDA</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21451-2025</t>
        </is>
      </c>
      <c r="B954" s="1" t="n">
        <v>45782.55287037037</v>
      </c>
      <c r="C954" s="1" t="n">
        <v>46004</v>
      </c>
      <c r="D954" t="inlineStr">
        <is>
          <t>JÄMTLANDS LÄN</t>
        </is>
      </c>
      <c r="E954" t="inlineStr">
        <is>
          <t>RAGUNDA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21432-2025</t>
        </is>
      </c>
      <c r="B955" s="1" t="n">
        <v>45782.51109953703</v>
      </c>
      <c r="C955" s="1" t="n">
        <v>46004</v>
      </c>
      <c r="D955" t="inlineStr">
        <is>
          <t>JÄMTLANDS LÄN</t>
        </is>
      </c>
      <c r="E955" t="inlineStr">
        <is>
          <t>RAGUNDA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21331-2025</t>
        </is>
      </c>
      <c r="B956" s="1" t="n">
        <v>45782.36494212963</v>
      </c>
      <c r="C956" s="1" t="n">
        <v>46004</v>
      </c>
      <c r="D956" t="inlineStr">
        <is>
          <t>JÄMTLANDS LÄN</t>
        </is>
      </c>
      <c r="E956" t="inlineStr">
        <is>
          <t>RAGUNDA</t>
        </is>
      </c>
      <c r="F956" t="inlineStr">
        <is>
          <t>SCA</t>
        </is>
      </c>
      <c r="G956" t="n">
        <v>23.1</v>
      </c>
      <c r="H956" t="n">
        <v>0</v>
      </c>
      <c r="I956" t="n">
        <v>0</v>
      </c>
      <c r="J956" t="n">
        <v>0</v>
      </c>
      <c r="K956" t="n">
        <v>0</v>
      </c>
      <c r="L956" t="n">
        <v>0</v>
      </c>
      <c r="M956" t="n">
        <v>0</v>
      </c>
      <c r="N956" t="n">
        <v>0</v>
      </c>
      <c r="O956" t="n">
        <v>0</v>
      </c>
      <c r="P956" t="n">
        <v>0</v>
      </c>
      <c r="Q956" t="n">
        <v>0</v>
      </c>
      <c r="R956" s="2" t="inlineStr"/>
      <c r="U956">
        <f>HYPERLINK("https://klasma.github.io/Logging_2303/knärot/A 21331-2025 karta knärot.png", "A 21331-2025")</f>
        <v/>
      </c>
      <c r="V956">
        <f>HYPERLINK("https://klasma.github.io/Logging_2303/klagomål/A 21331-2025 FSC-klagomål.docx", "A 21331-2025")</f>
        <v/>
      </c>
      <c r="W956">
        <f>HYPERLINK("https://klasma.github.io/Logging_2303/klagomålsmail/A 21331-2025 FSC-klagomål mail.docx", "A 21331-2025")</f>
        <v/>
      </c>
      <c r="X956">
        <f>HYPERLINK("https://klasma.github.io/Logging_2303/tillsyn/A 21331-2025 tillsynsbegäran.docx", "A 21331-2025")</f>
        <v/>
      </c>
      <c r="Y956">
        <f>HYPERLINK("https://klasma.github.io/Logging_2303/tillsynsmail/A 21331-2025 tillsynsbegäran mail.docx", "A 21331-2025")</f>
        <v/>
      </c>
    </row>
    <row r="957" ht="15" customHeight="1">
      <c r="A957" t="inlineStr">
        <is>
          <t>A 21550-2025</t>
        </is>
      </c>
      <c r="B957" s="1" t="n">
        <v>45782.67758101852</v>
      </c>
      <c r="C957" s="1" t="n">
        <v>46004</v>
      </c>
      <c r="D957" t="inlineStr">
        <is>
          <t>JÄMTLANDS LÄN</t>
        </is>
      </c>
      <c r="E957" t="inlineStr">
        <is>
          <t>RAGUNDA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45894-2025</t>
        </is>
      </c>
      <c r="B958" s="1" t="n">
        <v>45923.67765046296</v>
      </c>
      <c r="C958" s="1" t="n">
        <v>46004</v>
      </c>
      <c r="D958" t="inlineStr">
        <is>
          <t>JÄMTLANDS LÄN</t>
        </is>
      </c>
      <c r="E958" t="inlineStr">
        <is>
          <t>RAGUNDA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46192-2025</t>
        </is>
      </c>
      <c r="B959" s="1" t="n">
        <v>45924.67789351852</v>
      </c>
      <c r="C959" s="1" t="n">
        <v>46004</v>
      </c>
      <c r="D959" t="inlineStr">
        <is>
          <t>JÄMTLANDS LÄN</t>
        </is>
      </c>
      <c r="E959" t="inlineStr">
        <is>
          <t>RAGUNDA</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54820-2025</t>
        </is>
      </c>
      <c r="B960" s="1" t="n">
        <v>45966.65728009259</v>
      </c>
      <c r="C960" s="1" t="n">
        <v>46004</v>
      </c>
      <c r="D960" t="inlineStr">
        <is>
          <t>JÄMTLANDS LÄN</t>
        </is>
      </c>
      <c r="E960" t="inlineStr">
        <is>
          <t>RAGUNDA</t>
        </is>
      </c>
      <c r="G960" t="n">
        <v>15.3</v>
      </c>
      <c r="H960" t="n">
        <v>0</v>
      </c>
      <c r="I960" t="n">
        <v>0</v>
      </c>
      <c r="J960" t="n">
        <v>0</v>
      </c>
      <c r="K960" t="n">
        <v>0</v>
      </c>
      <c r="L960" t="n">
        <v>0</v>
      </c>
      <c r="M960" t="n">
        <v>0</v>
      </c>
      <c r="N960" t="n">
        <v>0</v>
      </c>
      <c r="O960" t="n">
        <v>0</v>
      </c>
      <c r="P960" t="n">
        <v>0</v>
      </c>
      <c r="Q960" t="n">
        <v>0</v>
      </c>
      <c r="R960" s="2" t="inlineStr"/>
    </row>
    <row r="961" ht="15" customHeight="1">
      <c r="A961" t="inlineStr">
        <is>
          <t>A 57889-2024</t>
        </is>
      </c>
      <c r="B961" s="1" t="n">
        <v>45631.46665509259</v>
      </c>
      <c r="C961" s="1" t="n">
        <v>46004</v>
      </c>
      <c r="D961" t="inlineStr">
        <is>
          <t>JÄMTLANDS LÄN</t>
        </is>
      </c>
      <c r="E961" t="inlineStr">
        <is>
          <t>RAGUNDA</t>
        </is>
      </c>
      <c r="G961" t="n">
        <v>11.1</v>
      </c>
      <c r="H961" t="n">
        <v>0</v>
      </c>
      <c r="I961" t="n">
        <v>0</v>
      </c>
      <c r="J961" t="n">
        <v>0</v>
      </c>
      <c r="K961" t="n">
        <v>0</v>
      </c>
      <c r="L961" t="n">
        <v>0</v>
      </c>
      <c r="M961" t="n">
        <v>0</v>
      </c>
      <c r="N961" t="n">
        <v>0</v>
      </c>
      <c r="O961" t="n">
        <v>0</v>
      </c>
      <c r="P961" t="n">
        <v>0</v>
      </c>
      <c r="Q961" t="n">
        <v>0</v>
      </c>
      <c r="R961" s="2" t="inlineStr"/>
    </row>
    <row r="962" ht="15" customHeight="1">
      <c r="A962" t="inlineStr">
        <is>
          <t>A 46275-2025</t>
        </is>
      </c>
      <c r="B962" s="1" t="n">
        <v>45925.3711574074</v>
      </c>
      <c r="C962" s="1" t="n">
        <v>46004</v>
      </c>
      <c r="D962" t="inlineStr">
        <is>
          <t>JÄMTLANDS LÄN</t>
        </is>
      </c>
      <c r="E962" t="inlineStr">
        <is>
          <t>RAGUNDA</t>
        </is>
      </c>
      <c r="G962" t="n">
        <v>2.7</v>
      </c>
      <c r="H962" t="n">
        <v>0</v>
      </c>
      <c r="I962" t="n">
        <v>0</v>
      </c>
      <c r="J962" t="n">
        <v>0</v>
      </c>
      <c r="K962" t="n">
        <v>0</v>
      </c>
      <c r="L962" t="n">
        <v>0</v>
      </c>
      <c r="M962" t="n">
        <v>0</v>
      </c>
      <c r="N962" t="n">
        <v>0</v>
      </c>
      <c r="O962" t="n">
        <v>0</v>
      </c>
      <c r="P962" t="n">
        <v>0</v>
      </c>
      <c r="Q962" t="n">
        <v>0</v>
      </c>
      <c r="R962" s="2" t="inlineStr"/>
    </row>
    <row r="963" ht="15" customHeight="1">
      <c r="A963" t="inlineStr">
        <is>
          <t>A 54794-2025</t>
        </is>
      </c>
      <c r="B963" s="1" t="n">
        <v>45966.63592592593</v>
      </c>
      <c r="C963" s="1" t="n">
        <v>46004</v>
      </c>
      <c r="D963" t="inlineStr">
        <is>
          <t>JÄMTLANDS LÄN</t>
        </is>
      </c>
      <c r="E963" t="inlineStr">
        <is>
          <t>RAGUNDA</t>
        </is>
      </c>
      <c r="G963" t="n">
        <v>4</v>
      </c>
      <c r="H963" t="n">
        <v>0</v>
      </c>
      <c r="I963" t="n">
        <v>0</v>
      </c>
      <c r="J963" t="n">
        <v>0</v>
      </c>
      <c r="K963" t="n">
        <v>0</v>
      </c>
      <c r="L963" t="n">
        <v>0</v>
      </c>
      <c r="M963" t="n">
        <v>0</v>
      </c>
      <c r="N963" t="n">
        <v>0</v>
      </c>
      <c r="O963" t="n">
        <v>0</v>
      </c>
      <c r="P963" t="n">
        <v>0</v>
      </c>
      <c r="Q963" t="n">
        <v>0</v>
      </c>
      <c r="R963" s="2" t="inlineStr"/>
    </row>
    <row r="964" ht="15" customHeight="1">
      <c r="A964" t="inlineStr">
        <is>
          <t>A 60629-2023</t>
        </is>
      </c>
      <c r="B964" s="1" t="n">
        <v>45259</v>
      </c>
      <c r="C964" s="1" t="n">
        <v>46004</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46825-2025</t>
        </is>
      </c>
      <c r="B965" s="1" t="n">
        <v>45926.92506944444</v>
      </c>
      <c r="C965" s="1" t="n">
        <v>46004</v>
      </c>
      <c r="D965" t="inlineStr">
        <is>
          <t>JÄMTLANDS LÄN</t>
        </is>
      </c>
      <c r="E965" t="inlineStr">
        <is>
          <t>RAGUNDA</t>
        </is>
      </c>
      <c r="G965" t="n">
        <v>1.4</v>
      </c>
      <c r="H965" t="n">
        <v>0</v>
      </c>
      <c r="I965" t="n">
        <v>0</v>
      </c>
      <c r="J965" t="n">
        <v>0</v>
      </c>
      <c r="K965" t="n">
        <v>0</v>
      </c>
      <c r="L965" t="n">
        <v>0</v>
      </c>
      <c r="M965" t="n">
        <v>0</v>
      </c>
      <c r="N965" t="n">
        <v>0</v>
      </c>
      <c r="O965" t="n">
        <v>0</v>
      </c>
      <c r="P965" t="n">
        <v>0</v>
      </c>
      <c r="Q965" t="n">
        <v>0</v>
      </c>
      <c r="R965" s="2" t="inlineStr"/>
    </row>
    <row r="966" ht="15" customHeight="1">
      <c r="A966" t="inlineStr">
        <is>
          <t>A 46710-2025</t>
        </is>
      </c>
      <c r="B966" s="1" t="n">
        <v>45926.57337962963</v>
      </c>
      <c r="C966" s="1" t="n">
        <v>46004</v>
      </c>
      <c r="D966" t="inlineStr">
        <is>
          <t>JÄMTLANDS LÄN</t>
        </is>
      </c>
      <c r="E966" t="inlineStr">
        <is>
          <t>RAGUNDA</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47075-2025</t>
        </is>
      </c>
      <c r="B967" s="1" t="n">
        <v>45929.63728009259</v>
      </c>
      <c r="C967" s="1" t="n">
        <v>46004</v>
      </c>
      <c r="D967" t="inlineStr">
        <is>
          <t>JÄMTLANDS LÄN</t>
        </is>
      </c>
      <c r="E967" t="inlineStr">
        <is>
          <t>RAGUNDA</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47119-2025</t>
        </is>
      </c>
      <c r="B968" s="1" t="n">
        <v>45929.67795138889</v>
      </c>
      <c r="C968" s="1" t="n">
        <v>46004</v>
      </c>
      <c r="D968" t="inlineStr">
        <is>
          <t>JÄMTLANDS LÄN</t>
        </is>
      </c>
      <c r="E968" t="inlineStr">
        <is>
          <t>RAGUNDA</t>
        </is>
      </c>
      <c r="F968" t="inlineStr">
        <is>
          <t>SCA</t>
        </is>
      </c>
      <c r="G968" t="n">
        <v>22.7</v>
      </c>
      <c r="H968" t="n">
        <v>0</v>
      </c>
      <c r="I968" t="n">
        <v>0</v>
      </c>
      <c r="J968" t="n">
        <v>0</v>
      </c>
      <c r="K968" t="n">
        <v>0</v>
      </c>
      <c r="L968" t="n">
        <v>0</v>
      </c>
      <c r="M968" t="n">
        <v>0</v>
      </c>
      <c r="N968" t="n">
        <v>0</v>
      </c>
      <c r="O968" t="n">
        <v>0</v>
      </c>
      <c r="P968" t="n">
        <v>0</v>
      </c>
      <c r="Q968" t="n">
        <v>0</v>
      </c>
      <c r="R968" s="2" t="inlineStr"/>
    </row>
    <row r="969" ht="15" customHeight="1">
      <c r="A969" t="inlineStr">
        <is>
          <t>A 22388-2025</t>
        </is>
      </c>
      <c r="B969" s="1" t="n">
        <v>45786.51077546296</v>
      </c>
      <c r="C969" s="1" t="n">
        <v>46004</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46689-2025</t>
        </is>
      </c>
      <c r="B970" s="1" t="n">
        <v>45926.55307870371</v>
      </c>
      <c r="C970" s="1" t="n">
        <v>46004</v>
      </c>
      <c r="D970" t="inlineStr">
        <is>
          <t>JÄMTLANDS LÄN</t>
        </is>
      </c>
      <c r="E970" t="inlineStr">
        <is>
          <t>RAGUNDA</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46909-2025</t>
        </is>
      </c>
      <c r="B971" s="1" t="n">
        <v>45929.40673611111</v>
      </c>
      <c r="C971" s="1" t="n">
        <v>46004</v>
      </c>
      <c r="D971" t="inlineStr">
        <is>
          <t>JÄMTLANDS LÄN</t>
        </is>
      </c>
      <c r="E971" t="inlineStr">
        <is>
          <t>RAGUNDA</t>
        </is>
      </c>
      <c r="G971" t="n">
        <v>5.7</v>
      </c>
      <c r="H971" t="n">
        <v>0</v>
      </c>
      <c r="I971" t="n">
        <v>0</v>
      </c>
      <c r="J971" t="n">
        <v>0</v>
      </c>
      <c r="K971" t="n">
        <v>0</v>
      </c>
      <c r="L971" t="n">
        <v>0</v>
      </c>
      <c r="M971" t="n">
        <v>0</v>
      </c>
      <c r="N971" t="n">
        <v>0</v>
      </c>
      <c r="O971" t="n">
        <v>0</v>
      </c>
      <c r="P971" t="n">
        <v>0</v>
      </c>
      <c r="Q971" t="n">
        <v>0</v>
      </c>
      <c r="R971" s="2" t="inlineStr"/>
    </row>
    <row r="972" ht="15" customHeight="1">
      <c r="A972" t="inlineStr">
        <is>
          <t>A 47122-2025</t>
        </is>
      </c>
      <c r="B972" s="1" t="n">
        <v>45929.67878472222</v>
      </c>
      <c r="C972" s="1" t="n">
        <v>46004</v>
      </c>
      <c r="D972" t="inlineStr">
        <is>
          <t>JÄMTLANDS LÄN</t>
        </is>
      </c>
      <c r="E972" t="inlineStr">
        <is>
          <t>RAGUNDA</t>
        </is>
      </c>
      <c r="F972" t="inlineStr">
        <is>
          <t>SCA</t>
        </is>
      </c>
      <c r="G972" t="n">
        <v>31.1</v>
      </c>
      <c r="H972" t="n">
        <v>0</v>
      </c>
      <c r="I972" t="n">
        <v>0</v>
      </c>
      <c r="J972" t="n">
        <v>0</v>
      </c>
      <c r="K972" t="n">
        <v>0</v>
      </c>
      <c r="L972" t="n">
        <v>0</v>
      </c>
      <c r="M972" t="n">
        <v>0</v>
      </c>
      <c r="N972" t="n">
        <v>0</v>
      </c>
      <c r="O972" t="n">
        <v>0</v>
      </c>
      <c r="P972" t="n">
        <v>0</v>
      </c>
      <c r="Q972" t="n">
        <v>0</v>
      </c>
      <c r="R972" s="2" t="inlineStr"/>
    </row>
    <row r="973" ht="15" customHeight="1">
      <c r="A973" t="inlineStr">
        <is>
          <t>A 46974-2025</t>
        </is>
      </c>
      <c r="B973" s="1" t="n">
        <v>45929.51104166666</v>
      </c>
      <c r="C973" s="1" t="n">
        <v>46004</v>
      </c>
      <c r="D973" t="inlineStr">
        <is>
          <t>JÄMTLANDS LÄN</t>
        </is>
      </c>
      <c r="E973" t="inlineStr">
        <is>
          <t>RAGUNDA</t>
        </is>
      </c>
      <c r="F973" t="inlineStr">
        <is>
          <t>SCA</t>
        </is>
      </c>
      <c r="G973" t="n">
        <v>12.1</v>
      </c>
      <c r="H973" t="n">
        <v>0</v>
      </c>
      <c r="I973" t="n">
        <v>0</v>
      </c>
      <c r="J973" t="n">
        <v>0</v>
      </c>
      <c r="K973" t="n">
        <v>0</v>
      </c>
      <c r="L973" t="n">
        <v>0</v>
      </c>
      <c r="M973" t="n">
        <v>0</v>
      </c>
      <c r="N973" t="n">
        <v>0</v>
      </c>
      <c r="O973" t="n">
        <v>0</v>
      </c>
      <c r="P973" t="n">
        <v>0</v>
      </c>
      <c r="Q973" t="n">
        <v>0</v>
      </c>
      <c r="R973" s="2" t="inlineStr"/>
    </row>
    <row r="974" ht="15" customHeight="1">
      <c r="A974" t="inlineStr">
        <is>
          <t>A 46751-2025</t>
        </is>
      </c>
      <c r="B974" s="1" t="n">
        <v>45926.6153125</v>
      </c>
      <c r="C974" s="1" t="n">
        <v>46004</v>
      </c>
      <c r="D974" t="inlineStr">
        <is>
          <t>JÄMTLANDS LÄN</t>
        </is>
      </c>
      <c r="E974" t="inlineStr">
        <is>
          <t>RAGUNDA</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46753-2025</t>
        </is>
      </c>
      <c r="B975" s="1" t="n">
        <v>45926.61552083334</v>
      </c>
      <c r="C975" s="1" t="n">
        <v>46004</v>
      </c>
      <c r="D975" t="inlineStr">
        <is>
          <t>JÄMTLANDS LÄN</t>
        </is>
      </c>
      <c r="E975" t="inlineStr">
        <is>
          <t>RAGUNDA</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22898-2025</t>
        </is>
      </c>
      <c r="B976" s="1" t="n">
        <v>45790.40670138889</v>
      </c>
      <c r="C976" s="1" t="n">
        <v>46004</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47037-2025</t>
        </is>
      </c>
      <c r="B977" s="1" t="n">
        <v>45929.59456018519</v>
      </c>
      <c r="C977" s="1" t="n">
        <v>46004</v>
      </c>
      <c r="D977" t="inlineStr">
        <is>
          <t>JÄMTLANDS LÄN</t>
        </is>
      </c>
      <c r="E977" t="inlineStr">
        <is>
          <t>RAGUNDA</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19438-2023</t>
        </is>
      </c>
      <c r="B978" s="1" t="n">
        <v>45049</v>
      </c>
      <c r="C978" s="1" t="n">
        <v>46004</v>
      </c>
      <c r="D978" t="inlineStr">
        <is>
          <t>JÄMTLANDS LÄN</t>
        </is>
      </c>
      <c r="E978" t="inlineStr">
        <is>
          <t>RAGUNDA</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47749-2025</t>
        </is>
      </c>
      <c r="B979" s="1" t="n">
        <v>45931.65711805555</v>
      </c>
      <c r="C979" s="1" t="n">
        <v>46004</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47228-2025</t>
        </is>
      </c>
      <c r="B980" s="1" t="n">
        <v>45930.3990162037</v>
      </c>
      <c r="C980" s="1" t="n">
        <v>46004</v>
      </c>
      <c r="D980" t="inlineStr">
        <is>
          <t>JÄMTLANDS LÄN</t>
        </is>
      </c>
      <c r="E980" t="inlineStr">
        <is>
          <t>RAGUNDA</t>
        </is>
      </c>
      <c r="G980" t="n">
        <v>2.6</v>
      </c>
      <c r="H980" t="n">
        <v>0</v>
      </c>
      <c r="I980" t="n">
        <v>0</v>
      </c>
      <c r="J980" t="n">
        <v>0</v>
      </c>
      <c r="K980" t="n">
        <v>0</v>
      </c>
      <c r="L980" t="n">
        <v>0</v>
      </c>
      <c r="M980" t="n">
        <v>0</v>
      </c>
      <c r="N980" t="n">
        <v>0</v>
      </c>
      <c r="O980" t="n">
        <v>0</v>
      </c>
      <c r="P980" t="n">
        <v>0</v>
      </c>
      <c r="Q980" t="n">
        <v>0</v>
      </c>
      <c r="R980" s="2" t="inlineStr"/>
    </row>
    <row r="981" ht="15" customHeight="1">
      <c r="A981" t="inlineStr">
        <is>
          <t>A 23253-2025</t>
        </is>
      </c>
      <c r="B981" s="1" t="n">
        <v>45791.53238425926</v>
      </c>
      <c r="C981" s="1" t="n">
        <v>46004</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23413-2025</t>
        </is>
      </c>
      <c r="B982" s="1" t="n">
        <v>45792.34606481482</v>
      </c>
      <c r="C982" s="1" t="n">
        <v>46004</v>
      </c>
      <c r="D982" t="inlineStr">
        <is>
          <t>JÄMTLANDS LÄN</t>
        </is>
      </c>
      <c r="E982" t="inlineStr">
        <is>
          <t>RAGUNDA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23586-2025</t>
        </is>
      </c>
      <c r="B983" s="1" t="n">
        <v>45792.63584490741</v>
      </c>
      <c r="C983" s="1" t="n">
        <v>46004</v>
      </c>
      <c r="D983" t="inlineStr">
        <is>
          <t>JÄMTLANDS LÄN</t>
        </is>
      </c>
      <c r="E983" t="inlineStr">
        <is>
          <t>RAGUNDA</t>
        </is>
      </c>
      <c r="F983" t="inlineStr">
        <is>
          <t>SCA</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23841-2025</t>
        </is>
      </c>
      <c r="B984" s="1" t="n">
        <v>45793.61523148148</v>
      </c>
      <c r="C984" s="1" t="n">
        <v>46004</v>
      </c>
      <c r="D984" t="inlineStr">
        <is>
          <t>JÄMTLANDS LÄN</t>
        </is>
      </c>
      <c r="E984" t="inlineStr">
        <is>
          <t>RAGUNDA</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47229-2025</t>
        </is>
      </c>
      <c r="B985" s="1" t="n">
        <v>45930.40166666666</v>
      </c>
      <c r="C985" s="1" t="n">
        <v>46004</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55797-2025</t>
        </is>
      </c>
      <c r="B986" s="1" t="n">
        <v>45972.65693287037</v>
      </c>
      <c r="C986" s="1" t="n">
        <v>46004</v>
      </c>
      <c r="D986" t="inlineStr">
        <is>
          <t>JÄMTLANDS LÄN</t>
        </is>
      </c>
      <c r="E986" t="inlineStr">
        <is>
          <t>RAGUNDA</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23507-2025</t>
        </is>
      </c>
      <c r="B987" s="1" t="n">
        <v>45792.49023148148</v>
      </c>
      <c r="C987" s="1" t="n">
        <v>46004</v>
      </c>
      <c r="D987" t="inlineStr">
        <is>
          <t>JÄMTLANDS LÄN</t>
        </is>
      </c>
      <c r="E987" t="inlineStr">
        <is>
          <t>RAGUNDA</t>
        </is>
      </c>
      <c r="F987" t="inlineStr">
        <is>
          <t>SCA</t>
        </is>
      </c>
      <c r="G987" t="n">
        <v>16.4</v>
      </c>
      <c r="H987" t="n">
        <v>0</v>
      </c>
      <c r="I987" t="n">
        <v>0</v>
      </c>
      <c r="J987" t="n">
        <v>0</v>
      </c>
      <c r="K987" t="n">
        <v>0</v>
      </c>
      <c r="L987" t="n">
        <v>0</v>
      </c>
      <c r="M987" t="n">
        <v>0</v>
      </c>
      <c r="N987" t="n">
        <v>0</v>
      </c>
      <c r="O987" t="n">
        <v>0</v>
      </c>
      <c r="P987" t="n">
        <v>0</v>
      </c>
      <c r="Q987" t="n">
        <v>0</v>
      </c>
      <c r="R987" s="2" t="inlineStr"/>
    </row>
    <row r="988" ht="15" customHeight="1">
      <c r="A988" t="inlineStr">
        <is>
          <t>A 23840-2025</t>
        </is>
      </c>
      <c r="B988" s="1" t="n">
        <v>45793</v>
      </c>
      <c r="C988" s="1" t="n">
        <v>46004</v>
      </c>
      <c r="D988" t="inlineStr">
        <is>
          <t>JÄMTLANDS LÄN</t>
        </is>
      </c>
      <c r="E988" t="inlineStr">
        <is>
          <t>RAGUNDA</t>
        </is>
      </c>
      <c r="G988" t="n">
        <v>0.8</v>
      </c>
      <c r="H988" t="n">
        <v>0</v>
      </c>
      <c r="I988" t="n">
        <v>0</v>
      </c>
      <c r="J988" t="n">
        <v>0</v>
      </c>
      <c r="K988" t="n">
        <v>0</v>
      </c>
      <c r="L988" t="n">
        <v>0</v>
      </c>
      <c r="M988" t="n">
        <v>0</v>
      </c>
      <c r="N988" t="n">
        <v>0</v>
      </c>
      <c r="O988" t="n">
        <v>0</v>
      </c>
      <c r="P988" t="n">
        <v>0</v>
      </c>
      <c r="Q988" t="n">
        <v>0</v>
      </c>
      <c r="R988" s="2" t="inlineStr"/>
    </row>
    <row r="989" ht="15" customHeight="1">
      <c r="A989" t="inlineStr">
        <is>
          <t>A 23654-2025</t>
        </is>
      </c>
      <c r="B989" s="1" t="n">
        <v>45792.71905092592</v>
      </c>
      <c r="C989" s="1" t="n">
        <v>46004</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47748-2025</t>
        </is>
      </c>
      <c r="B990" s="1" t="n">
        <v>45931.65693287037</v>
      </c>
      <c r="C990" s="1" t="n">
        <v>46004</v>
      </c>
      <c r="D990" t="inlineStr">
        <is>
          <t>JÄMTLANDS LÄN</t>
        </is>
      </c>
      <c r="E990" t="inlineStr">
        <is>
          <t>RAGUNDA</t>
        </is>
      </c>
      <c r="F990" t="inlineStr">
        <is>
          <t>SCA</t>
        </is>
      </c>
      <c r="G990" t="n">
        <v>8.6</v>
      </c>
      <c r="H990" t="n">
        <v>0</v>
      </c>
      <c r="I990" t="n">
        <v>0</v>
      </c>
      <c r="J990" t="n">
        <v>0</v>
      </c>
      <c r="K990" t="n">
        <v>0</v>
      </c>
      <c r="L990" t="n">
        <v>0</v>
      </c>
      <c r="M990" t="n">
        <v>0</v>
      </c>
      <c r="N990" t="n">
        <v>0</v>
      </c>
      <c r="O990" t="n">
        <v>0</v>
      </c>
      <c r="P990" t="n">
        <v>0</v>
      </c>
      <c r="Q990" t="n">
        <v>0</v>
      </c>
      <c r="R990" s="2" t="inlineStr"/>
    </row>
    <row r="991" ht="15" customHeight="1">
      <c r="A991" t="inlineStr">
        <is>
          <t>A 55897-2025</t>
        </is>
      </c>
      <c r="B991" s="1" t="n">
        <v>45973.38600694444</v>
      </c>
      <c r="C991" s="1" t="n">
        <v>46004</v>
      </c>
      <c r="D991" t="inlineStr">
        <is>
          <t>JÄMTLANDS LÄN</t>
        </is>
      </c>
      <c r="E991" t="inlineStr">
        <is>
          <t>RAGUNDA</t>
        </is>
      </c>
      <c r="F991" t="inlineStr">
        <is>
          <t>SCA</t>
        </is>
      </c>
      <c r="G991" t="n">
        <v>14.1</v>
      </c>
      <c r="H991" t="n">
        <v>0</v>
      </c>
      <c r="I991" t="n">
        <v>0</v>
      </c>
      <c r="J991" t="n">
        <v>0</v>
      </c>
      <c r="K991" t="n">
        <v>0</v>
      </c>
      <c r="L991" t="n">
        <v>0</v>
      </c>
      <c r="M991" t="n">
        <v>0</v>
      </c>
      <c r="N991" t="n">
        <v>0</v>
      </c>
      <c r="O991" t="n">
        <v>0</v>
      </c>
      <c r="P991" t="n">
        <v>0</v>
      </c>
      <c r="Q991" t="n">
        <v>0</v>
      </c>
      <c r="R991" s="2" t="inlineStr"/>
    </row>
    <row r="992" ht="15" customHeight="1">
      <c r="A992" t="inlineStr">
        <is>
          <t>A 23405-2025</t>
        </is>
      </c>
      <c r="B992" s="1" t="n">
        <v>45792.34527777778</v>
      </c>
      <c r="C992" s="1" t="n">
        <v>46004</v>
      </c>
      <c r="D992" t="inlineStr">
        <is>
          <t>JÄMTLANDS LÄN</t>
        </is>
      </c>
      <c r="E992" t="inlineStr">
        <is>
          <t>RAGUNDA</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21332-2025</t>
        </is>
      </c>
      <c r="B993" s="1" t="n">
        <v>45782.36506944444</v>
      </c>
      <c r="C993" s="1" t="n">
        <v>46004</v>
      </c>
      <c r="D993" t="inlineStr">
        <is>
          <t>JÄMTLANDS LÄN</t>
        </is>
      </c>
      <c r="E993" t="inlineStr">
        <is>
          <t>RAGUNDA</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18284-2025</t>
        </is>
      </c>
      <c r="B994" s="1" t="n">
        <v>45762.39876157408</v>
      </c>
      <c r="C994" s="1" t="n">
        <v>46004</v>
      </c>
      <c r="D994" t="inlineStr">
        <is>
          <t>JÄMTLANDS LÄN</t>
        </is>
      </c>
      <c r="E994" t="inlineStr">
        <is>
          <t>RAGUNDA</t>
        </is>
      </c>
      <c r="G994" t="n">
        <v>0.2</v>
      </c>
      <c r="H994" t="n">
        <v>0</v>
      </c>
      <c r="I994" t="n">
        <v>0</v>
      </c>
      <c r="J994" t="n">
        <v>0</v>
      </c>
      <c r="K994" t="n">
        <v>0</v>
      </c>
      <c r="L994" t="n">
        <v>0</v>
      </c>
      <c r="M994" t="n">
        <v>0</v>
      </c>
      <c r="N994" t="n">
        <v>0</v>
      </c>
      <c r="O994" t="n">
        <v>0</v>
      </c>
      <c r="P994" t="n">
        <v>0</v>
      </c>
      <c r="Q994" t="n">
        <v>0</v>
      </c>
      <c r="R994" s="2" t="inlineStr"/>
      <c r="U994">
        <f>HYPERLINK("https://klasma.github.io/Logging_2303/knärot/A 18284-2025 karta knärot.png", "A 18284-2025")</f>
        <v/>
      </c>
      <c r="V994">
        <f>HYPERLINK("https://klasma.github.io/Logging_2303/klagomål/A 18284-2025 FSC-klagomål.docx", "A 18284-2025")</f>
        <v/>
      </c>
      <c r="W994">
        <f>HYPERLINK("https://klasma.github.io/Logging_2303/klagomålsmail/A 18284-2025 FSC-klagomål mail.docx", "A 18284-2025")</f>
        <v/>
      </c>
      <c r="X994">
        <f>HYPERLINK("https://klasma.github.io/Logging_2303/tillsyn/A 18284-2025 tillsynsbegäran.docx", "A 18284-2025")</f>
        <v/>
      </c>
      <c r="Y994">
        <f>HYPERLINK("https://klasma.github.io/Logging_2303/tillsynsmail/A 18284-2025 tillsynsbegäran mail.docx", "A 18284-2025")</f>
        <v/>
      </c>
    </row>
    <row r="995" ht="15" customHeight="1">
      <c r="A995" t="inlineStr">
        <is>
          <t>A 56170-2025</t>
        </is>
      </c>
      <c r="B995" s="1" t="n">
        <v>45974.39398148148</v>
      </c>
      <c r="C995" s="1" t="n">
        <v>46004</v>
      </c>
      <c r="D995" t="inlineStr">
        <is>
          <t>JÄMTLANDS LÄN</t>
        </is>
      </c>
      <c r="E995" t="inlineStr">
        <is>
          <t>RAGUNDA</t>
        </is>
      </c>
      <c r="G995" t="n">
        <v>2</v>
      </c>
      <c r="H995" t="n">
        <v>0</v>
      </c>
      <c r="I995" t="n">
        <v>0</v>
      </c>
      <c r="J995" t="n">
        <v>0</v>
      </c>
      <c r="K995" t="n">
        <v>0</v>
      </c>
      <c r="L995" t="n">
        <v>0</v>
      </c>
      <c r="M995" t="n">
        <v>0</v>
      </c>
      <c r="N995" t="n">
        <v>0</v>
      </c>
      <c r="O995" t="n">
        <v>0</v>
      </c>
      <c r="P995" t="n">
        <v>0</v>
      </c>
      <c r="Q995" t="n">
        <v>0</v>
      </c>
      <c r="R995" s="2" t="inlineStr"/>
    </row>
    <row r="996" ht="15" customHeight="1">
      <c r="A996" t="inlineStr">
        <is>
          <t>A 19263-2025</t>
        </is>
      </c>
      <c r="B996" s="1" t="n">
        <v>45769.51075231482</v>
      </c>
      <c r="C996" s="1" t="n">
        <v>46004</v>
      </c>
      <c r="D996" t="inlineStr">
        <is>
          <t>JÄMTLANDS LÄN</t>
        </is>
      </c>
      <c r="E996" t="inlineStr">
        <is>
          <t>RAGUNDA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24158-2025</t>
        </is>
      </c>
      <c r="B997" s="1" t="n">
        <v>45796</v>
      </c>
      <c r="C997" s="1" t="n">
        <v>46004</v>
      </c>
      <c r="D997" t="inlineStr">
        <is>
          <t>JÄMTLANDS LÄN</t>
        </is>
      </c>
      <c r="E997" t="inlineStr">
        <is>
          <t>RAGUNDA</t>
        </is>
      </c>
      <c r="G997" t="n">
        <v>2.9</v>
      </c>
      <c r="H997" t="n">
        <v>0</v>
      </c>
      <c r="I997" t="n">
        <v>0</v>
      </c>
      <c r="J997" t="n">
        <v>0</v>
      </c>
      <c r="K997" t="n">
        <v>0</v>
      </c>
      <c r="L997" t="n">
        <v>0</v>
      </c>
      <c r="M997" t="n">
        <v>0</v>
      </c>
      <c r="N997" t="n">
        <v>0</v>
      </c>
      <c r="O997" t="n">
        <v>0</v>
      </c>
      <c r="P997" t="n">
        <v>0</v>
      </c>
      <c r="Q997" t="n">
        <v>0</v>
      </c>
      <c r="R997" s="2" t="inlineStr"/>
      <c r="U997">
        <f>HYPERLINK("https://klasma.github.io/Logging_2303/knärot/A 24158-2025 karta knärot.png", "A 24158-2025")</f>
        <v/>
      </c>
      <c r="V997">
        <f>HYPERLINK("https://klasma.github.io/Logging_2303/klagomål/A 24158-2025 FSC-klagomål.docx", "A 24158-2025")</f>
        <v/>
      </c>
      <c r="W997">
        <f>HYPERLINK("https://klasma.github.io/Logging_2303/klagomålsmail/A 24158-2025 FSC-klagomål mail.docx", "A 24158-2025")</f>
        <v/>
      </c>
      <c r="X997">
        <f>HYPERLINK("https://klasma.github.io/Logging_2303/tillsyn/A 24158-2025 tillsynsbegäran.docx", "A 24158-2025")</f>
        <v/>
      </c>
      <c r="Y997">
        <f>HYPERLINK("https://klasma.github.io/Logging_2303/tillsynsmail/A 24158-2025 tillsynsbegäran mail.docx", "A 24158-2025")</f>
        <v/>
      </c>
    </row>
    <row r="998" ht="15" customHeight="1">
      <c r="A998" t="inlineStr">
        <is>
          <t>A 24161-2025</t>
        </is>
      </c>
      <c r="B998" s="1" t="n">
        <v>45796</v>
      </c>
      <c r="C998" s="1" t="n">
        <v>46004</v>
      </c>
      <c r="D998" t="inlineStr">
        <is>
          <t>JÄMTLANDS LÄN</t>
        </is>
      </c>
      <c r="E998" t="inlineStr">
        <is>
          <t>RAGUNDA</t>
        </is>
      </c>
      <c r="G998" t="n">
        <v>2.4</v>
      </c>
      <c r="H998" t="n">
        <v>0</v>
      </c>
      <c r="I998" t="n">
        <v>0</v>
      </c>
      <c r="J998" t="n">
        <v>0</v>
      </c>
      <c r="K998" t="n">
        <v>0</v>
      </c>
      <c r="L998" t="n">
        <v>0</v>
      </c>
      <c r="M998" t="n">
        <v>0</v>
      </c>
      <c r="N998" t="n">
        <v>0</v>
      </c>
      <c r="O998" t="n">
        <v>0</v>
      </c>
      <c r="P998" t="n">
        <v>0</v>
      </c>
      <c r="Q998" t="n">
        <v>0</v>
      </c>
      <c r="R998" s="2" t="inlineStr"/>
    </row>
    <row r="999" ht="15" customHeight="1">
      <c r="A999" t="inlineStr">
        <is>
          <t>A 56435-2025</t>
        </is>
      </c>
      <c r="B999" s="1" t="n">
        <v>45975.34679398148</v>
      </c>
      <c r="C999" s="1" t="n">
        <v>46004</v>
      </c>
      <c r="D999" t="inlineStr">
        <is>
          <t>JÄMTLANDS LÄN</t>
        </is>
      </c>
      <c r="E999" t="inlineStr">
        <is>
          <t>RAGUNDA</t>
        </is>
      </c>
      <c r="F999" t="inlineStr">
        <is>
          <t>SCA</t>
        </is>
      </c>
      <c r="G999" t="n">
        <v>9.199999999999999</v>
      </c>
      <c r="H999" t="n">
        <v>0</v>
      </c>
      <c r="I999" t="n">
        <v>0</v>
      </c>
      <c r="J999" t="n">
        <v>0</v>
      </c>
      <c r="K999" t="n">
        <v>0</v>
      </c>
      <c r="L999" t="n">
        <v>0</v>
      </c>
      <c r="M999" t="n">
        <v>0</v>
      </c>
      <c r="N999" t="n">
        <v>0</v>
      </c>
      <c r="O999" t="n">
        <v>0</v>
      </c>
      <c r="P999" t="n">
        <v>0</v>
      </c>
      <c r="Q999" t="n">
        <v>0</v>
      </c>
      <c r="R999" s="2" t="inlineStr"/>
      <c r="U999">
        <f>HYPERLINK("https://klasma.github.io/Logging_2303/knärot/A 56435-2025 karta knärot.png", "A 56435-2025")</f>
        <v/>
      </c>
      <c r="V999">
        <f>HYPERLINK("https://klasma.github.io/Logging_2303/klagomål/A 56435-2025 FSC-klagomål.docx", "A 56435-2025")</f>
        <v/>
      </c>
      <c r="W999">
        <f>HYPERLINK("https://klasma.github.io/Logging_2303/klagomålsmail/A 56435-2025 FSC-klagomål mail.docx", "A 56435-2025")</f>
        <v/>
      </c>
      <c r="X999">
        <f>HYPERLINK("https://klasma.github.io/Logging_2303/tillsyn/A 56435-2025 tillsynsbegäran.docx", "A 56435-2025")</f>
        <v/>
      </c>
      <c r="Y999">
        <f>HYPERLINK("https://klasma.github.io/Logging_2303/tillsynsmail/A 56435-2025 tillsynsbegäran mail.docx", "A 56435-2025")</f>
        <v/>
      </c>
    </row>
    <row r="1000" ht="15" customHeight="1">
      <c r="A1000" t="inlineStr">
        <is>
          <t>A 24159-2025</t>
        </is>
      </c>
      <c r="B1000" s="1" t="n">
        <v>45796</v>
      </c>
      <c r="C1000" s="1" t="n">
        <v>46004</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24391-2025</t>
        </is>
      </c>
      <c r="B1001" s="1" t="n">
        <v>45797.63627314815</v>
      </c>
      <c r="C1001" s="1" t="n">
        <v>46004</v>
      </c>
      <c r="D1001" t="inlineStr">
        <is>
          <t>JÄMTLANDS LÄN</t>
        </is>
      </c>
      <c r="E1001" t="inlineStr">
        <is>
          <t>RAGUNDA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48748-2025</t>
        </is>
      </c>
      <c r="B1002" s="1" t="n">
        <v>45936.67912037037</v>
      </c>
      <c r="C1002" s="1" t="n">
        <v>46004</v>
      </c>
      <c r="D1002" t="inlineStr">
        <is>
          <t>JÄMTLANDS LÄN</t>
        </is>
      </c>
      <c r="E1002" t="inlineStr">
        <is>
          <t>RAGUNDA</t>
        </is>
      </c>
      <c r="F1002" t="inlineStr">
        <is>
          <t>SCA</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62407-2023</t>
        </is>
      </c>
      <c r="B1003" s="1" t="n">
        <v>45266</v>
      </c>
      <c r="C1003" s="1" t="n">
        <v>46004</v>
      </c>
      <c r="D1003" t="inlineStr">
        <is>
          <t>JÄMTLANDS LÄN</t>
        </is>
      </c>
      <c r="E1003" t="inlineStr">
        <is>
          <t>RAGUNDA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57117-2025</t>
        </is>
      </c>
      <c r="B1004" s="1" t="n">
        <v>45978</v>
      </c>
      <c r="C1004" s="1" t="n">
        <v>46004</v>
      </c>
      <c r="D1004" t="inlineStr">
        <is>
          <t>JÄMTLANDS LÄN</t>
        </is>
      </c>
      <c r="E1004" t="inlineStr">
        <is>
          <t>RAGUNDA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48528-2025</t>
        </is>
      </c>
      <c r="B1005" s="1" t="n">
        <v>45936.40758101852</v>
      </c>
      <c r="C1005" s="1" t="n">
        <v>46004</v>
      </c>
      <c r="D1005" t="inlineStr">
        <is>
          <t>JÄMTLANDS LÄN</t>
        </is>
      </c>
      <c r="E1005" t="inlineStr">
        <is>
          <t>RAGUNDA</t>
        </is>
      </c>
      <c r="F1005" t="inlineStr">
        <is>
          <t>SCA</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48742-2025</t>
        </is>
      </c>
      <c r="B1006" s="1" t="n">
        <v>45936.67810185185</v>
      </c>
      <c r="C1006" s="1" t="n">
        <v>46004</v>
      </c>
      <c r="D1006" t="inlineStr">
        <is>
          <t>JÄMTLANDS LÄN</t>
        </is>
      </c>
      <c r="E1006" t="inlineStr">
        <is>
          <t>RAGUNDA</t>
        </is>
      </c>
      <c r="F1006" t="inlineStr">
        <is>
          <t>SCA</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21524-2024</t>
        </is>
      </c>
      <c r="B1007" s="1" t="n">
        <v>45441</v>
      </c>
      <c r="C1007" s="1" t="n">
        <v>46004</v>
      </c>
      <c r="D1007" t="inlineStr">
        <is>
          <t>JÄMTLANDS LÄN</t>
        </is>
      </c>
      <c r="E1007" t="inlineStr">
        <is>
          <t>RAGUNDA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38191-2024</t>
        </is>
      </c>
      <c r="B1008" s="1" t="n">
        <v>45545.49078703704</v>
      </c>
      <c r="C1008" s="1" t="n">
        <v>46004</v>
      </c>
      <c r="D1008" t="inlineStr">
        <is>
          <t>JÄMTLANDS LÄN</t>
        </is>
      </c>
      <c r="E1008" t="inlineStr">
        <is>
          <t>RAGUNDA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56751-2025</t>
        </is>
      </c>
      <c r="B1009" s="1" t="n">
        <v>45978.36538194444</v>
      </c>
      <c r="C1009" s="1" t="n">
        <v>46004</v>
      </c>
      <c r="D1009" t="inlineStr">
        <is>
          <t>JÄMTLANDS LÄN</t>
        </is>
      </c>
      <c r="E1009" t="inlineStr">
        <is>
          <t>RAGUNDA</t>
        </is>
      </c>
      <c r="F1009" t="inlineStr">
        <is>
          <t>SCA</t>
        </is>
      </c>
      <c r="G1009" t="n">
        <v>34.5</v>
      </c>
      <c r="H1009" t="n">
        <v>0</v>
      </c>
      <c r="I1009" t="n">
        <v>0</v>
      </c>
      <c r="J1009" t="n">
        <v>0</v>
      </c>
      <c r="K1009" t="n">
        <v>0</v>
      </c>
      <c r="L1009" t="n">
        <v>0</v>
      </c>
      <c r="M1009" t="n">
        <v>0</v>
      </c>
      <c r="N1009" t="n">
        <v>0</v>
      </c>
      <c r="O1009" t="n">
        <v>0</v>
      </c>
      <c r="P1009" t="n">
        <v>0</v>
      </c>
      <c r="Q1009" t="n">
        <v>0</v>
      </c>
      <c r="R1009" s="2" t="inlineStr"/>
    </row>
    <row r="1010" ht="15" customHeight="1">
      <c r="A1010" t="inlineStr">
        <is>
          <t>A 57184-2025</t>
        </is>
      </c>
      <c r="B1010" s="1" t="n">
        <v>45979.57361111111</v>
      </c>
      <c r="C1010" s="1" t="n">
        <v>46004</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56806-2025</t>
        </is>
      </c>
      <c r="B1011" s="1" t="n">
        <v>45978.44842592593</v>
      </c>
      <c r="C1011" s="1" t="n">
        <v>46004</v>
      </c>
      <c r="D1011" t="inlineStr">
        <is>
          <t>JÄMTLANDS LÄN</t>
        </is>
      </c>
      <c r="E1011" t="inlineStr">
        <is>
          <t>RAGUNDA</t>
        </is>
      </c>
      <c r="F1011" t="inlineStr">
        <is>
          <t>SCA</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57111-2025</t>
        </is>
      </c>
      <c r="B1012" s="1" t="n">
        <v>45978</v>
      </c>
      <c r="C1012" s="1" t="n">
        <v>46004</v>
      </c>
      <c r="D1012" t="inlineStr">
        <is>
          <t>JÄMTLANDS LÄN</t>
        </is>
      </c>
      <c r="E1012" t="inlineStr">
        <is>
          <t>RAGUNDA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48746-2025</t>
        </is>
      </c>
      <c r="B1013" s="1" t="n">
        <v>45936.67878472222</v>
      </c>
      <c r="C1013" s="1" t="n">
        <v>46004</v>
      </c>
      <c r="D1013" t="inlineStr">
        <is>
          <t>JÄMTLANDS LÄN</t>
        </is>
      </c>
      <c r="E1013" t="inlineStr">
        <is>
          <t>RAGUNDA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25631-2025</t>
        </is>
      </c>
      <c r="B1014" s="1" t="n">
        <v>45803.5946875</v>
      </c>
      <c r="C1014" s="1" t="n">
        <v>46004</v>
      </c>
      <c r="D1014" t="inlineStr">
        <is>
          <t>JÄMTLANDS LÄN</t>
        </is>
      </c>
      <c r="E1014" t="inlineStr">
        <is>
          <t>RAGUNDA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25376-2025</t>
        </is>
      </c>
      <c r="B1015" s="1" t="n">
        <v>45800.63619212963</v>
      </c>
      <c r="C1015" s="1" t="n">
        <v>46004</v>
      </c>
      <c r="D1015" t="inlineStr">
        <is>
          <t>JÄMTLANDS LÄN</t>
        </is>
      </c>
      <c r="E1015" t="inlineStr">
        <is>
          <t>RAGUNDA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25175-2025</t>
        </is>
      </c>
      <c r="B1016" s="1" t="n">
        <v>45800.44822916666</v>
      </c>
      <c r="C1016" s="1" t="n">
        <v>46004</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25177-2025</t>
        </is>
      </c>
      <c r="B1017" s="1" t="n">
        <v>45800.44862268519</v>
      </c>
      <c r="C1017" s="1" t="n">
        <v>46004</v>
      </c>
      <c r="D1017" t="inlineStr">
        <is>
          <t>JÄMTLANDS LÄN</t>
        </is>
      </c>
      <c r="E1017" t="inlineStr">
        <is>
          <t>RAGUNDA</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25659-2025</t>
        </is>
      </c>
      <c r="B1018" s="1" t="n">
        <v>45803.61552083334</v>
      </c>
      <c r="C1018" s="1" t="n">
        <v>46004</v>
      </c>
      <c r="D1018" t="inlineStr">
        <is>
          <t>JÄMTLANDS LÄN</t>
        </is>
      </c>
      <c r="E1018" t="inlineStr">
        <is>
          <t>RAGUNDA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25661-2025</t>
        </is>
      </c>
      <c r="B1019" s="1" t="n">
        <v>45803.61557870371</v>
      </c>
      <c r="C1019" s="1" t="n">
        <v>46004</v>
      </c>
      <c r="D1019" t="inlineStr">
        <is>
          <t>JÄMTLANDS LÄN</t>
        </is>
      </c>
      <c r="E1019" t="inlineStr">
        <is>
          <t>RAGUNDA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57833-2025</t>
        </is>
      </c>
      <c r="B1020" s="1" t="n">
        <v>45981.61541666667</v>
      </c>
      <c r="C1020" s="1" t="n">
        <v>46004</v>
      </c>
      <c r="D1020" t="inlineStr">
        <is>
          <t>JÄMTLANDS LÄN</t>
        </is>
      </c>
      <c r="E1020" t="inlineStr">
        <is>
          <t>RAGUNDA</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49639-2025</t>
        </is>
      </c>
      <c r="B1021" s="1" t="n">
        <v>45939.61253472222</v>
      </c>
      <c r="C1021" s="1" t="n">
        <v>46004</v>
      </c>
      <c r="D1021" t="inlineStr">
        <is>
          <t>JÄMTLANDS LÄN</t>
        </is>
      </c>
      <c r="E1021" t="inlineStr">
        <is>
          <t>RAGUNDA</t>
        </is>
      </c>
      <c r="F1021" t="inlineStr">
        <is>
          <t>Kommuner</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25350-2025</t>
        </is>
      </c>
      <c r="B1022" s="1" t="n">
        <v>45800</v>
      </c>
      <c r="C1022" s="1" t="n">
        <v>46004</v>
      </c>
      <c r="D1022" t="inlineStr">
        <is>
          <t>JÄMTLANDS LÄN</t>
        </is>
      </c>
      <c r="E1022" t="inlineStr">
        <is>
          <t>RAGUNDA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25152-2025</t>
        </is>
      </c>
      <c r="B1023" s="1" t="n">
        <v>45800.42743055556</v>
      </c>
      <c r="C1023" s="1" t="n">
        <v>46004</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19613-2023</t>
        </is>
      </c>
      <c r="B1024" s="1" t="n">
        <v>45050.94020833333</v>
      </c>
      <c r="C1024" s="1" t="n">
        <v>46004</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25814-2025</t>
        </is>
      </c>
      <c r="B1025" s="1" t="n">
        <v>45804.42642361111</v>
      </c>
      <c r="C1025" s="1" t="n">
        <v>46004</v>
      </c>
      <c r="D1025" t="inlineStr">
        <is>
          <t>JÄMTLANDS LÄN</t>
        </is>
      </c>
      <c r="E1025" t="inlineStr">
        <is>
          <t>RAGUNDA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49059-2025</t>
        </is>
      </c>
      <c r="B1026" s="1" t="n">
        <v>45937.64123842592</v>
      </c>
      <c r="C1026" s="1" t="n">
        <v>46004</v>
      </c>
      <c r="D1026" t="inlineStr">
        <is>
          <t>JÄMTLANDS LÄN</t>
        </is>
      </c>
      <c r="E1026" t="inlineStr">
        <is>
          <t>RAGUNDA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25944-2025</t>
        </is>
      </c>
      <c r="B1027" s="1" t="n">
        <v>45804.59487268519</v>
      </c>
      <c r="C1027" s="1" t="n">
        <v>46004</v>
      </c>
      <c r="D1027" t="inlineStr">
        <is>
          <t>JÄMTLANDS LÄN</t>
        </is>
      </c>
      <c r="E1027" t="inlineStr">
        <is>
          <t>RAGUNDA</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26283-2025</t>
        </is>
      </c>
      <c r="B1028" s="1" t="n">
        <v>45805.61495370371</v>
      </c>
      <c r="C1028" s="1" t="n">
        <v>46004</v>
      </c>
      <c r="D1028" t="inlineStr">
        <is>
          <t>JÄMTLANDS LÄN</t>
        </is>
      </c>
      <c r="E1028" t="inlineStr">
        <is>
          <t>RAGUNDA</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57332-2025</t>
        </is>
      </c>
      <c r="B1029" s="1" t="n">
        <v>45980.34467592592</v>
      </c>
      <c r="C1029" s="1" t="n">
        <v>46004</v>
      </c>
      <c r="D1029" t="inlineStr">
        <is>
          <t>JÄMTLANDS LÄN</t>
        </is>
      </c>
      <c r="E1029" t="inlineStr">
        <is>
          <t>RAGUNDA</t>
        </is>
      </c>
      <c r="F1029" t="inlineStr">
        <is>
          <t>SCA</t>
        </is>
      </c>
      <c r="G1029" t="n">
        <v>22.6</v>
      </c>
      <c r="H1029" t="n">
        <v>0</v>
      </c>
      <c r="I1029" t="n">
        <v>0</v>
      </c>
      <c r="J1029" t="n">
        <v>0</v>
      </c>
      <c r="K1029" t="n">
        <v>0</v>
      </c>
      <c r="L1029" t="n">
        <v>0</v>
      </c>
      <c r="M1029" t="n">
        <v>0</v>
      </c>
      <c r="N1029" t="n">
        <v>0</v>
      </c>
      <c r="O1029" t="n">
        <v>0</v>
      </c>
      <c r="P1029" t="n">
        <v>0</v>
      </c>
      <c r="Q1029" t="n">
        <v>0</v>
      </c>
      <c r="R1029" s="2" t="inlineStr"/>
    </row>
    <row r="1030" ht="15" customHeight="1">
      <c r="A1030" t="inlineStr">
        <is>
          <t>A 10788-2025</t>
        </is>
      </c>
      <c r="B1030" s="1" t="n">
        <v>45722.48982638889</v>
      </c>
      <c r="C1030" s="1" t="n">
        <v>46004</v>
      </c>
      <c r="D1030" t="inlineStr">
        <is>
          <t>JÄMTLANDS LÄN</t>
        </is>
      </c>
      <c r="E1030" t="inlineStr">
        <is>
          <t>RAGUNDA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49193-2025</t>
        </is>
      </c>
      <c r="B1031" s="1" t="n">
        <v>45938.40831018519</v>
      </c>
      <c r="C1031" s="1" t="n">
        <v>46004</v>
      </c>
      <c r="D1031" t="inlineStr">
        <is>
          <t>JÄMTLANDS LÄN</t>
        </is>
      </c>
      <c r="E1031" t="inlineStr">
        <is>
          <t>RAGUNDA</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24258-2025</t>
        </is>
      </c>
      <c r="B1032" s="1" t="n">
        <v>45797.40800925926</v>
      </c>
      <c r="C1032" s="1" t="n">
        <v>46004</v>
      </c>
      <c r="D1032" t="inlineStr">
        <is>
          <t>JÄMTLANDS LÄN</t>
        </is>
      </c>
      <c r="E1032" t="inlineStr">
        <is>
          <t>RAGUNDA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25994-2025</t>
        </is>
      </c>
      <c r="B1033" s="1" t="n">
        <v>45804.65672453704</v>
      </c>
      <c r="C1033" s="1" t="n">
        <v>46004</v>
      </c>
      <c r="D1033" t="inlineStr">
        <is>
          <t>JÄMTLANDS LÄN</t>
        </is>
      </c>
      <c r="E1033" t="inlineStr">
        <is>
          <t>RAGUNDA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57560-2025</t>
        </is>
      </c>
      <c r="B1034" s="1" t="n">
        <v>45980.6987962963</v>
      </c>
      <c r="C1034" s="1" t="n">
        <v>46004</v>
      </c>
      <c r="D1034" t="inlineStr">
        <is>
          <t>JÄMTLANDS LÄN</t>
        </is>
      </c>
      <c r="E1034" t="inlineStr">
        <is>
          <t>RAGUNDA</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57785-2025</t>
        </is>
      </c>
      <c r="B1035" s="1" t="n">
        <v>45981.57393518519</v>
      </c>
      <c r="C1035" s="1" t="n">
        <v>46004</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26172-2025</t>
        </is>
      </c>
      <c r="B1036" s="1" t="n">
        <v>45805.46613425926</v>
      </c>
      <c r="C1036" s="1" t="n">
        <v>46004</v>
      </c>
      <c r="D1036" t="inlineStr">
        <is>
          <t>JÄMTLANDS LÄN</t>
        </is>
      </c>
      <c r="E1036" t="inlineStr">
        <is>
          <t>RAGUNDA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26246-2025</t>
        </is>
      </c>
      <c r="B1037" s="1" t="n">
        <v>45805.57390046296</v>
      </c>
      <c r="C1037" s="1" t="n">
        <v>46004</v>
      </c>
      <c r="D1037" t="inlineStr">
        <is>
          <t>JÄMTLANDS LÄN</t>
        </is>
      </c>
      <c r="E1037" t="inlineStr">
        <is>
          <t>RAGUNDA</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57561-2025</t>
        </is>
      </c>
      <c r="B1038" s="1" t="n">
        <v>45980.69885416667</v>
      </c>
      <c r="C1038" s="1" t="n">
        <v>46004</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73278-2021</t>
        </is>
      </c>
      <c r="B1039" s="1" t="n">
        <v>44550.92168981482</v>
      </c>
      <c r="C1039" s="1" t="n">
        <v>46004</v>
      </c>
      <c r="D1039" t="inlineStr">
        <is>
          <t>JÄMTLANDS LÄN</t>
        </is>
      </c>
      <c r="E1039" t="inlineStr">
        <is>
          <t>RAGUNDA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49238-2025</t>
        </is>
      </c>
      <c r="B1040" s="1" t="n">
        <v>45938.48231481481</v>
      </c>
      <c r="C1040" s="1" t="n">
        <v>46004</v>
      </c>
      <c r="D1040" t="inlineStr">
        <is>
          <t>JÄMTLANDS LÄN</t>
        </is>
      </c>
      <c r="E1040" t="inlineStr">
        <is>
          <t>RAGUNDA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49290-2025</t>
        </is>
      </c>
      <c r="B1041" s="1" t="n">
        <v>45938.53168981482</v>
      </c>
      <c r="C1041" s="1" t="n">
        <v>46004</v>
      </c>
      <c r="D1041" t="inlineStr">
        <is>
          <t>JÄMTLANDS LÄN</t>
        </is>
      </c>
      <c r="E1041" t="inlineStr">
        <is>
          <t>RAGUNDA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49092-2025</t>
        </is>
      </c>
      <c r="B1042" s="1" t="n">
        <v>45937.67792824074</v>
      </c>
      <c r="C1042" s="1" t="n">
        <v>46004</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51396-2024</t>
        </is>
      </c>
      <c r="B1043" s="1" t="n">
        <v>45604.4190625</v>
      </c>
      <c r="C1043" s="1" t="n">
        <v>46004</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34088-2025</t>
        </is>
      </c>
      <c r="B1044" s="1" t="n">
        <v>45845</v>
      </c>
      <c r="C1044" s="1" t="n">
        <v>46004</v>
      </c>
      <c r="D1044" t="inlineStr">
        <is>
          <t>JÄMTLANDS LÄN</t>
        </is>
      </c>
      <c r="E1044" t="inlineStr">
        <is>
          <t>RAGUNDA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26640-2025</t>
        </is>
      </c>
      <c r="B1045" s="1" t="n">
        <v>45810.36495370371</v>
      </c>
      <c r="C1045" s="1" t="n">
        <v>46004</v>
      </c>
      <c r="D1045" t="inlineStr">
        <is>
          <t>JÄMTLANDS LÄN</t>
        </is>
      </c>
      <c r="E1045" t="inlineStr">
        <is>
          <t>RAGUNDA</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50215-2025</t>
        </is>
      </c>
      <c r="B1046" s="1" t="n">
        <v>45943.67842592593</v>
      </c>
      <c r="C1046" s="1" t="n">
        <v>46004</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58093-2025</t>
        </is>
      </c>
      <c r="B1047" s="1" t="n">
        <v>45982.5741087963</v>
      </c>
      <c r="C1047" s="1" t="n">
        <v>46004</v>
      </c>
      <c r="D1047" t="inlineStr">
        <is>
          <t>JÄMTLANDS LÄN</t>
        </is>
      </c>
      <c r="E1047" t="inlineStr">
        <is>
          <t>RAGUNDA</t>
        </is>
      </c>
      <c r="G1047" t="n">
        <v>22.2</v>
      </c>
      <c r="H1047" t="n">
        <v>0</v>
      </c>
      <c r="I1047" t="n">
        <v>0</v>
      </c>
      <c r="J1047" t="n">
        <v>0</v>
      </c>
      <c r="K1047" t="n">
        <v>0</v>
      </c>
      <c r="L1047" t="n">
        <v>0</v>
      </c>
      <c r="M1047" t="n">
        <v>0</v>
      </c>
      <c r="N1047" t="n">
        <v>0</v>
      </c>
      <c r="O1047" t="n">
        <v>0</v>
      </c>
      <c r="P1047" t="n">
        <v>0</v>
      </c>
      <c r="Q1047" t="n">
        <v>0</v>
      </c>
      <c r="R1047" s="2" t="inlineStr"/>
    </row>
    <row r="1048" ht="15" customHeight="1">
      <c r="A1048" t="inlineStr">
        <is>
          <t>A 2001-2025</t>
        </is>
      </c>
      <c r="B1048" s="1" t="n">
        <v>45672.44898148148</v>
      </c>
      <c r="C1048" s="1" t="n">
        <v>46004</v>
      </c>
      <c r="D1048" t="inlineStr">
        <is>
          <t>JÄMTLANDS LÄN</t>
        </is>
      </c>
      <c r="E1048" t="inlineStr">
        <is>
          <t>RAGUNDA</t>
        </is>
      </c>
      <c r="F1048" t="inlineStr">
        <is>
          <t>SCA</t>
        </is>
      </c>
      <c r="G1048" t="n">
        <v>16.2</v>
      </c>
      <c r="H1048" t="n">
        <v>0</v>
      </c>
      <c r="I1048" t="n">
        <v>0</v>
      </c>
      <c r="J1048" t="n">
        <v>0</v>
      </c>
      <c r="K1048" t="n">
        <v>0</v>
      </c>
      <c r="L1048" t="n">
        <v>0</v>
      </c>
      <c r="M1048" t="n">
        <v>0</v>
      </c>
      <c r="N1048" t="n">
        <v>0</v>
      </c>
      <c r="O1048" t="n">
        <v>0</v>
      </c>
      <c r="P1048" t="n">
        <v>0</v>
      </c>
      <c r="Q1048" t="n">
        <v>0</v>
      </c>
      <c r="R1048" s="2" t="inlineStr"/>
    </row>
    <row r="1049" ht="15" customHeight="1">
      <c r="A1049" t="inlineStr">
        <is>
          <t>A 53762-2023</t>
        </is>
      </c>
      <c r="B1049" s="1" t="n">
        <v>45230.96376157407</v>
      </c>
      <c r="C1049" s="1" t="n">
        <v>46004</v>
      </c>
      <c r="D1049" t="inlineStr">
        <is>
          <t>JÄMTLANDS LÄN</t>
        </is>
      </c>
      <c r="E1049" t="inlineStr">
        <is>
          <t>RAGUNDA</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58076-2025</t>
        </is>
      </c>
      <c r="B1050" s="1" t="n">
        <v>45982.55273148148</v>
      </c>
      <c r="C1050" s="1" t="n">
        <v>46004</v>
      </c>
      <c r="D1050" t="inlineStr">
        <is>
          <t>JÄMTLANDS LÄN</t>
        </is>
      </c>
      <c r="E1050" t="inlineStr">
        <is>
          <t>RAGUNDA</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49991-2025</t>
        </is>
      </c>
      <c r="B1051" s="1" t="n">
        <v>45942.91568287037</v>
      </c>
      <c r="C1051" s="1" t="n">
        <v>46004</v>
      </c>
      <c r="D1051" t="inlineStr">
        <is>
          <t>JÄMTLANDS LÄN</t>
        </is>
      </c>
      <c r="E1051" t="inlineStr">
        <is>
          <t>RAGUNDA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49993-2025</t>
        </is>
      </c>
      <c r="B1052" s="1" t="n">
        <v>45942.94371527778</v>
      </c>
      <c r="C1052" s="1" t="n">
        <v>46004</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19089-2024</t>
        </is>
      </c>
      <c r="B1053" s="1" t="n">
        <v>45428.00471064815</v>
      </c>
      <c r="C1053" s="1" t="n">
        <v>46004</v>
      </c>
      <c r="D1053" t="inlineStr">
        <is>
          <t>JÄMTLANDS LÄN</t>
        </is>
      </c>
      <c r="E1053" t="inlineStr">
        <is>
          <t>RAGUNDA</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57970-2025</t>
        </is>
      </c>
      <c r="B1054" s="1" t="n">
        <v>45982.38582175926</v>
      </c>
      <c r="C1054" s="1" t="n">
        <v>46004</v>
      </c>
      <c r="D1054" t="inlineStr">
        <is>
          <t>JÄMTLANDS LÄN</t>
        </is>
      </c>
      <c r="E1054" t="inlineStr">
        <is>
          <t>RAGUNDA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49994-2025</t>
        </is>
      </c>
      <c r="B1055" s="1" t="n">
        <v>45942.96922453704</v>
      </c>
      <c r="C1055" s="1" t="n">
        <v>46004</v>
      </c>
      <c r="D1055" t="inlineStr">
        <is>
          <t>JÄMTLANDS LÄN</t>
        </is>
      </c>
      <c r="E1055" t="inlineStr">
        <is>
          <t>RAGUNDA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49995-2025</t>
        </is>
      </c>
      <c r="B1056" s="1" t="n">
        <v>45943.00986111111</v>
      </c>
      <c r="C1056" s="1" t="n">
        <v>46004</v>
      </c>
      <c r="D1056" t="inlineStr">
        <is>
          <t>JÄMTLANDS LÄN</t>
        </is>
      </c>
      <c r="E1056" t="inlineStr">
        <is>
          <t>RAGUNDA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57963-2025</t>
        </is>
      </c>
      <c r="B1057" s="1" t="n">
        <v>45982.37800925926</v>
      </c>
      <c r="C1057" s="1" t="n">
        <v>46004</v>
      </c>
      <c r="D1057" t="inlineStr">
        <is>
          <t>JÄMTLANDS LÄN</t>
        </is>
      </c>
      <c r="E1057" t="inlineStr">
        <is>
          <t>RAGUNDA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50126-2025</t>
        </is>
      </c>
      <c r="B1058" s="1" t="n">
        <v>45943.55271990741</v>
      </c>
      <c r="C1058" s="1" t="n">
        <v>46004</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50098-2025</t>
        </is>
      </c>
      <c r="B1059" s="1" t="n">
        <v>45943.51086805556</v>
      </c>
      <c r="C1059" s="1" t="n">
        <v>46004</v>
      </c>
      <c r="D1059" t="inlineStr">
        <is>
          <t>JÄMTLANDS LÄN</t>
        </is>
      </c>
      <c r="E1059" t="inlineStr">
        <is>
          <t>RAGUNDA</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50125-2025</t>
        </is>
      </c>
      <c r="B1060" s="1" t="n">
        <v>45943.55262731481</v>
      </c>
      <c r="C1060" s="1" t="n">
        <v>46004</v>
      </c>
      <c r="D1060" t="inlineStr">
        <is>
          <t>JÄMTLANDS LÄN</t>
        </is>
      </c>
      <c r="E1060" t="inlineStr">
        <is>
          <t>RAGUNDA</t>
        </is>
      </c>
      <c r="F1060" t="inlineStr">
        <is>
          <t>Sveaskog</t>
        </is>
      </c>
      <c r="G1060" t="n">
        <v>23.2</v>
      </c>
      <c r="H1060" t="n">
        <v>0</v>
      </c>
      <c r="I1060" t="n">
        <v>0</v>
      </c>
      <c r="J1060" t="n">
        <v>0</v>
      </c>
      <c r="K1060" t="n">
        <v>0</v>
      </c>
      <c r="L1060" t="n">
        <v>0</v>
      </c>
      <c r="M1060" t="n">
        <v>0</v>
      </c>
      <c r="N1060" t="n">
        <v>0</v>
      </c>
      <c r="O1060" t="n">
        <v>0</v>
      </c>
      <c r="P1060" t="n">
        <v>0</v>
      </c>
      <c r="Q1060" t="n">
        <v>0</v>
      </c>
      <c r="R1060" s="2" t="inlineStr"/>
    </row>
    <row r="1061" ht="15" customHeight="1">
      <c r="A1061" t="inlineStr">
        <is>
          <t>A 27510-2025</t>
        </is>
      </c>
      <c r="B1061" s="1" t="n">
        <v>45813.42790509259</v>
      </c>
      <c r="C1061" s="1" t="n">
        <v>46004</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57916-2025</t>
        </is>
      </c>
      <c r="B1062" s="1" t="n">
        <v>45981</v>
      </c>
      <c r="C1062" s="1" t="n">
        <v>46004</v>
      </c>
      <c r="D1062" t="inlineStr">
        <is>
          <t>JÄMTLANDS LÄN</t>
        </is>
      </c>
      <c r="E1062" t="inlineStr">
        <is>
          <t>RAGUNDA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50081-2025</t>
        </is>
      </c>
      <c r="B1063" s="1" t="n">
        <v>45943.46954861111</v>
      </c>
      <c r="C1063" s="1" t="n">
        <v>46004</v>
      </c>
      <c r="D1063" t="inlineStr">
        <is>
          <t>JÄMTLANDS LÄN</t>
        </is>
      </c>
      <c r="E1063" t="inlineStr">
        <is>
          <t>RAGUNDA</t>
        </is>
      </c>
      <c r="F1063" t="inlineStr">
        <is>
          <t>SCA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19404-2025</t>
        </is>
      </c>
      <c r="B1064" s="1" t="n">
        <v>45769.67802083334</v>
      </c>
      <c r="C1064" s="1" t="n">
        <v>46004</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c r="U1064">
        <f>HYPERLINK("https://klasma.github.io/Logging_2303/knärot/A 19404-2025 karta knärot.png", "A 19404-2025")</f>
        <v/>
      </c>
      <c r="V1064">
        <f>HYPERLINK("https://klasma.github.io/Logging_2303/klagomål/A 19404-2025 FSC-klagomål.docx", "A 19404-2025")</f>
        <v/>
      </c>
      <c r="W1064">
        <f>HYPERLINK("https://klasma.github.io/Logging_2303/klagomålsmail/A 19404-2025 FSC-klagomål mail.docx", "A 19404-2025")</f>
        <v/>
      </c>
      <c r="X1064">
        <f>HYPERLINK("https://klasma.github.io/Logging_2303/tillsyn/A 19404-2025 tillsynsbegäran.docx", "A 19404-2025")</f>
        <v/>
      </c>
      <c r="Y1064">
        <f>HYPERLINK("https://klasma.github.io/Logging_2303/tillsynsmail/A 19404-2025 tillsynsbegäran mail.docx", "A 19404-2025")</f>
        <v/>
      </c>
    </row>
    <row r="1065" ht="15" customHeight="1">
      <c r="A1065" t="inlineStr">
        <is>
          <t>A 50055-2025</t>
        </is>
      </c>
      <c r="B1065" s="1" t="n">
        <v>45943.43287037037</v>
      </c>
      <c r="C1065" s="1" t="n">
        <v>46004</v>
      </c>
      <c r="D1065" t="inlineStr">
        <is>
          <t>JÄMTLANDS LÄN</t>
        </is>
      </c>
      <c r="E1065" t="inlineStr">
        <is>
          <t>RAGUNDA</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50080-2025</t>
        </is>
      </c>
      <c r="B1066" s="1" t="n">
        <v>45943.469375</v>
      </c>
      <c r="C1066" s="1" t="n">
        <v>46004</v>
      </c>
      <c r="D1066" t="inlineStr">
        <is>
          <t>JÄMTLANDS LÄN</t>
        </is>
      </c>
      <c r="E1066" t="inlineStr">
        <is>
          <t>RAGUNDA</t>
        </is>
      </c>
      <c r="F1066" t="inlineStr">
        <is>
          <t>Naturvårdsverket</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50260-2025</t>
        </is>
      </c>
      <c r="B1067" s="1" t="n">
        <v>45944.34515046296</v>
      </c>
      <c r="C1067" s="1" t="n">
        <v>46004</v>
      </c>
      <c r="D1067" t="inlineStr">
        <is>
          <t>JÄMTLANDS LÄN</t>
        </is>
      </c>
      <c r="E1067" t="inlineStr">
        <is>
          <t>RAGUNDA</t>
        </is>
      </c>
      <c r="F1067" t="inlineStr">
        <is>
          <t>SCA</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58638-2025</t>
        </is>
      </c>
      <c r="B1068" s="1" t="n">
        <v>45986.49016203704</v>
      </c>
      <c r="C1068" s="1" t="n">
        <v>46004</v>
      </c>
      <c r="D1068" t="inlineStr">
        <is>
          <t>JÄMTLANDS LÄN</t>
        </is>
      </c>
      <c r="E1068" t="inlineStr">
        <is>
          <t>RAGUNDA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50473-2025</t>
        </is>
      </c>
      <c r="B1069" s="1" t="n">
        <v>45945.36520833334</v>
      </c>
      <c r="C1069" s="1" t="n">
        <v>46004</v>
      </c>
      <c r="D1069" t="inlineStr">
        <is>
          <t>JÄMTLANDS LÄN</t>
        </is>
      </c>
      <c r="E1069" t="inlineStr">
        <is>
          <t>RAGUNDA</t>
        </is>
      </c>
      <c r="F1069" t="inlineStr">
        <is>
          <t>SCA</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58918-2025</t>
        </is>
      </c>
      <c r="B1070" s="1" t="n">
        <v>45987.52952546296</v>
      </c>
      <c r="C1070" s="1" t="n">
        <v>46004</v>
      </c>
      <c r="D1070" t="inlineStr">
        <is>
          <t>JÄMTLANDS LÄN</t>
        </is>
      </c>
      <c r="E1070" t="inlineStr">
        <is>
          <t>RAGUNDA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58559-2025</t>
        </is>
      </c>
      <c r="B1071" s="1" t="n">
        <v>45986.34475694445</v>
      </c>
      <c r="C1071" s="1" t="n">
        <v>46004</v>
      </c>
      <c r="D1071" t="inlineStr">
        <is>
          <t>JÄMTLANDS LÄN</t>
        </is>
      </c>
      <c r="E1071" t="inlineStr">
        <is>
          <t>RAGUNDA</t>
        </is>
      </c>
      <c r="F1071" t="inlineStr">
        <is>
          <t>SCA</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18989-2025</t>
        </is>
      </c>
      <c r="B1072" s="1" t="n">
        <v>45764</v>
      </c>
      <c r="C1072" s="1" t="n">
        <v>46004</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50504-2025</t>
        </is>
      </c>
      <c r="B1073" s="1" t="n">
        <v>45945.4284837963</v>
      </c>
      <c r="C1073" s="1" t="n">
        <v>46004</v>
      </c>
      <c r="D1073" t="inlineStr">
        <is>
          <t>JÄMTLANDS LÄN</t>
        </is>
      </c>
      <c r="E1073" t="inlineStr">
        <is>
          <t>RAGUNDA</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50503-2025</t>
        </is>
      </c>
      <c r="B1074" s="1" t="n">
        <v>45945.42746527777</v>
      </c>
      <c r="C1074" s="1" t="n">
        <v>46004</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33650-2025</t>
        </is>
      </c>
      <c r="B1075" s="1" t="n">
        <v>45841</v>
      </c>
      <c r="C1075" s="1" t="n">
        <v>46004</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50711-2025</t>
        </is>
      </c>
      <c r="B1076" s="1" t="n">
        <v>45946.34431712963</v>
      </c>
      <c r="C1076" s="1" t="n">
        <v>46004</v>
      </c>
      <c r="D1076" t="inlineStr">
        <is>
          <t>JÄMTLANDS LÄN</t>
        </is>
      </c>
      <c r="E1076" t="inlineStr">
        <is>
          <t>RAGUNDA</t>
        </is>
      </c>
      <c r="F1076" t="inlineStr">
        <is>
          <t>SCA</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50716-2025</t>
        </is>
      </c>
      <c r="B1077" s="1" t="n">
        <v>45946.34572916666</v>
      </c>
      <c r="C1077" s="1" t="n">
        <v>46004</v>
      </c>
      <c r="D1077" t="inlineStr">
        <is>
          <t>JÄMTLANDS LÄN</t>
        </is>
      </c>
      <c r="E1077" t="inlineStr">
        <is>
          <t>RAGUNDA</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50719-2025</t>
        </is>
      </c>
      <c r="B1078" s="1" t="n">
        <v>45946.34642361111</v>
      </c>
      <c r="C1078" s="1" t="n">
        <v>46004</v>
      </c>
      <c r="D1078" t="inlineStr">
        <is>
          <t>JÄMTLANDS LÄN</t>
        </is>
      </c>
      <c r="E1078" t="inlineStr">
        <is>
          <t>RAGUNDA</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28637-2025</t>
        </is>
      </c>
      <c r="B1079" s="1" t="n">
        <v>45819.6359375</v>
      </c>
      <c r="C1079" s="1" t="n">
        <v>46004</v>
      </c>
      <c r="D1079" t="inlineStr">
        <is>
          <t>JÄMTLANDS LÄN</t>
        </is>
      </c>
      <c r="E1079" t="inlineStr">
        <is>
          <t>RAGUNDA</t>
        </is>
      </c>
      <c r="F1079" t="inlineStr">
        <is>
          <t>SCA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59491-2025</t>
        </is>
      </c>
      <c r="B1080" s="1" t="n">
        <v>45989.60376157407</v>
      </c>
      <c r="C1080" s="1" t="n">
        <v>46004</v>
      </c>
      <c r="D1080" t="inlineStr">
        <is>
          <t>JÄMTLANDS LÄN</t>
        </is>
      </c>
      <c r="E1080" t="inlineStr">
        <is>
          <t>RAGUNDA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59214-2025</t>
        </is>
      </c>
      <c r="B1081" s="1" t="n">
        <v>45988.61623842592</v>
      </c>
      <c r="C1081" s="1" t="n">
        <v>46004</v>
      </c>
      <c r="D1081" t="inlineStr">
        <is>
          <t>JÄMTLANDS LÄN</t>
        </is>
      </c>
      <c r="E1081" t="inlineStr">
        <is>
          <t>RAGUNDA</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28973-2025</t>
        </is>
      </c>
      <c r="B1082" s="1" t="n">
        <v>45821.34513888889</v>
      </c>
      <c r="C1082" s="1" t="n">
        <v>46004</v>
      </c>
      <c r="D1082" t="inlineStr">
        <is>
          <t>JÄMTLANDS LÄN</t>
        </is>
      </c>
      <c r="E1082" t="inlineStr">
        <is>
          <t>RAGUNDA</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51019-2025</t>
        </is>
      </c>
      <c r="B1083" s="1" t="n">
        <v>45947.38623842593</v>
      </c>
      <c r="C1083" s="1" t="n">
        <v>46004</v>
      </c>
      <c r="D1083" t="inlineStr">
        <is>
          <t>JÄMTLANDS LÄN</t>
        </is>
      </c>
      <c r="E1083" t="inlineStr">
        <is>
          <t>RAGUNDA</t>
        </is>
      </c>
      <c r="F1083" t="inlineStr">
        <is>
          <t>SCA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59503-2025</t>
        </is>
      </c>
      <c r="B1084" s="1" t="n">
        <v>45989.62703703704</v>
      </c>
      <c r="C1084" s="1" t="n">
        <v>46004</v>
      </c>
      <c r="D1084" t="inlineStr">
        <is>
          <t>JÄMTLANDS LÄN</t>
        </is>
      </c>
      <c r="E1084" t="inlineStr">
        <is>
          <t>RAGUNDA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29731-2025</t>
        </is>
      </c>
      <c r="B1085" s="1" t="n">
        <v>45825.58252314815</v>
      </c>
      <c r="C1085" s="1" t="n">
        <v>46004</v>
      </c>
      <c r="D1085" t="inlineStr">
        <is>
          <t>JÄMTLANDS LÄN</t>
        </is>
      </c>
      <c r="E1085" t="inlineStr">
        <is>
          <t>RAGUNDA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50985-2025</t>
        </is>
      </c>
      <c r="B1086" s="1" t="n">
        <v>45947.34506944445</v>
      </c>
      <c r="C1086" s="1" t="n">
        <v>46004</v>
      </c>
      <c r="D1086" t="inlineStr">
        <is>
          <t>JÄMTLANDS LÄN</t>
        </is>
      </c>
      <c r="E1086" t="inlineStr">
        <is>
          <t>RAGUNDA</t>
        </is>
      </c>
      <c r="F1086" t="inlineStr">
        <is>
          <t>SCA</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51034-2025</t>
        </is>
      </c>
      <c r="B1087" s="1" t="n">
        <v>45947.40670138889</v>
      </c>
      <c r="C1087" s="1" t="n">
        <v>46004</v>
      </c>
      <c r="D1087" t="inlineStr">
        <is>
          <t>JÄMTLANDS LÄN</t>
        </is>
      </c>
      <c r="E1087" t="inlineStr">
        <is>
          <t>RAGUNDA</t>
        </is>
      </c>
      <c r="F1087" t="inlineStr">
        <is>
          <t>SCA</t>
        </is>
      </c>
      <c r="G1087" t="n">
        <v>44.1</v>
      </c>
      <c r="H1087" t="n">
        <v>0</v>
      </c>
      <c r="I1087" t="n">
        <v>0</v>
      </c>
      <c r="J1087" t="n">
        <v>0</v>
      </c>
      <c r="K1087" t="n">
        <v>0</v>
      </c>
      <c r="L1087" t="n">
        <v>0</v>
      </c>
      <c r="M1087" t="n">
        <v>0</v>
      </c>
      <c r="N1087" t="n">
        <v>0</v>
      </c>
      <c r="O1087" t="n">
        <v>0</v>
      </c>
      <c r="P1087" t="n">
        <v>0</v>
      </c>
      <c r="Q1087" t="n">
        <v>0</v>
      </c>
      <c r="R1087" s="2" t="inlineStr"/>
    </row>
    <row r="1088" ht="15" customHeight="1">
      <c r="A1088" t="inlineStr">
        <is>
          <t>A 59499-2025</t>
        </is>
      </c>
      <c r="B1088" s="1" t="n">
        <v>45989.61846064815</v>
      </c>
      <c r="C1088" s="1" t="n">
        <v>46004</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29723-2025</t>
        </is>
      </c>
      <c r="B1089" s="1" t="n">
        <v>45825.57675925926</v>
      </c>
      <c r="C1089" s="1" t="n">
        <v>46004</v>
      </c>
      <c r="D1089" t="inlineStr">
        <is>
          <t>JÄMTLANDS LÄN</t>
        </is>
      </c>
      <c r="E1089" t="inlineStr">
        <is>
          <t>RAGUNDA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51592-2025</t>
        </is>
      </c>
      <c r="B1090" s="1" t="n">
        <v>45951.36541666667</v>
      </c>
      <c r="C1090" s="1" t="n">
        <v>46004</v>
      </c>
      <c r="D1090" t="inlineStr">
        <is>
          <t>JÄMTLANDS LÄN</t>
        </is>
      </c>
      <c r="E1090" t="inlineStr">
        <is>
          <t>RAGUNDA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51395-2025</t>
        </is>
      </c>
      <c r="B1091" s="1" t="n">
        <v>45950.46989583333</v>
      </c>
      <c r="C1091" s="1" t="n">
        <v>46004</v>
      </c>
      <c r="D1091" t="inlineStr">
        <is>
          <t>JÄMTLANDS LÄN</t>
        </is>
      </c>
      <c r="E1091" t="inlineStr">
        <is>
          <t>RAGUNDA</t>
        </is>
      </c>
      <c r="F1091" t="inlineStr">
        <is>
          <t>SCA</t>
        </is>
      </c>
      <c r="G1091" t="n">
        <v>30.7</v>
      </c>
      <c r="H1091" t="n">
        <v>0</v>
      </c>
      <c r="I1091" t="n">
        <v>0</v>
      </c>
      <c r="J1091" t="n">
        <v>0</v>
      </c>
      <c r="K1091" t="n">
        <v>0</v>
      </c>
      <c r="L1091" t="n">
        <v>0</v>
      </c>
      <c r="M1091" t="n">
        <v>0</v>
      </c>
      <c r="N1091" t="n">
        <v>0</v>
      </c>
      <c r="O1091" t="n">
        <v>0</v>
      </c>
      <c r="P1091" t="n">
        <v>0</v>
      </c>
      <c r="Q1091" t="n">
        <v>0</v>
      </c>
      <c r="R1091" s="2" t="inlineStr"/>
    </row>
    <row r="1092" ht="15" customHeight="1">
      <c r="A1092" t="inlineStr">
        <is>
          <t>A 59692-2025</t>
        </is>
      </c>
      <c r="B1092" s="1" t="n">
        <v>45992.49001157407</v>
      </c>
      <c r="C1092" s="1" t="n">
        <v>46004</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51678-2025</t>
        </is>
      </c>
      <c r="B1093" s="1" t="n">
        <v>45951.51106481482</v>
      </c>
      <c r="C1093" s="1" t="n">
        <v>46004</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59693-2025</t>
        </is>
      </c>
      <c r="B1094" s="1" t="n">
        <v>45992.49009259259</v>
      </c>
      <c r="C1094" s="1" t="n">
        <v>46004</v>
      </c>
      <c r="D1094" t="inlineStr">
        <is>
          <t>JÄMTLANDS LÄN</t>
        </is>
      </c>
      <c r="E1094" t="inlineStr">
        <is>
          <t>RAGUNDA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30088-2025</t>
        </is>
      </c>
      <c r="B1095" s="1" t="n">
        <v>45826.65759259259</v>
      </c>
      <c r="C1095" s="1" t="n">
        <v>46004</v>
      </c>
      <c r="D1095" t="inlineStr">
        <is>
          <t>JÄMTLANDS LÄN</t>
        </is>
      </c>
      <c r="E1095" t="inlineStr">
        <is>
          <t>RAGUNDA</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30348-2025</t>
        </is>
      </c>
      <c r="B1096" s="1" t="n">
        <v>45827.53178240741</v>
      </c>
      <c r="C1096" s="1" t="n">
        <v>46004</v>
      </c>
      <c r="D1096" t="inlineStr">
        <is>
          <t>JÄMTLANDS LÄN</t>
        </is>
      </c>
      <c r="E1096" t="inlineStr">
        <is>
          <t>RAGUNDA</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57914-2025</t>
        </is>
      </c>
      <c r="B1097" s="1" t="n">
        <v>45981</v>
      </c>
      <c r="C1097" s="1" t="n">
        <v>46004</v>
      </c>
      <c r="D1097" t="inlineStr">
        <is>
          <t>JÄMTLANDS LÄN</t>
        </is>
      </c>
      <c r="E1097" t="inlineStr">
        <is>
          <t>RAGUNDA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59931-2025</t>
        </is>
      </c>
      <c r="B1098" s="1" t="n">
        <v>45993.40177083333</v>
      </c>
      <c r="C1098" s="1" t="n">
        <v>46004</v>
      </c>
      <c r="D1098" t="inlineStr">
        <is>
          <t>JÄMTLANDS LÄN</t>
        </is>
      </c>
      <c r="E1098" t="inlineStr">
        <is>
          <t>RAGUNDA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30434-2025</t>
        </is>
      </c>
      <c r="B1099" s="1" t="n">
        <v>45827.63582175926</v>
      </c>
      <c r="C1099" s="1" t="n">
        <v>46004</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51593-2025</t>
        </is>
      </c>
      <c r="B1100" s="1" t="n">
        <v>45951.36548611111</v>
      </c>
      <c r="C1100" s="1" t="n">
        <v>46004</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60062-2025</t>
        </is>
      </c>
      <c r="B1101" s="1" t="n">
        <v>45993.65694444445</v>
      </c>
      <c r="C1101" s="1" t="n">
        <v>46004</v>
      </c>
      <c r="D1101" t="inlineStr">
        <is>
          <t>JÄMTLANDS LÄN</t>
        </is>
      </c>
      <c r="E1101" t="inlineStr">
        <is>
          <t>RAGUNDA</t>
        </is>
      </c>
      <c r="F1101" t="inlineStr">
        <is>
          <t>SCA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59738-2025</t>
        </is>
      </c>
      <c r="B1102" s="1" t="n">
        <v>45992.57408564815</v>
      </c>
      <c r="C1102" s="1" t="n">
        <v>46004</v>
      </c>
      <c r="D1102" t="inlineStr">
        <is>
          <t>JÄMTLANDS LÄN</t>
        </is>
      </c>
      <c r="E1102" t="inlineStr">
        <is>
          <t>RAGUNDA</t>
        </is>
      </c>
      <c r="F1102" t="inlineStr">
        <is>
          <t>SCA</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51484-2025</t>
        </is>
      </c>
      <c r="B1103" s="1" t="n">
        <v>45950.62196759259</v>
      </c>
      <c r="C1103" s="1" t="n">
        <v>46004</v>
      </c>
      <c r="D1103" t="inlineStr">
        <is>
          <t>JÄMTLANDS LÄN</t>
        </is>
      </c>
      <c r="E1103" t="inlineStr">
        <is>
          <t>RAGUNDA</t>
        </is>
      </c>
      <c r="F1103" t="inlineStr">
        <is>
          <t>SCA</t>
        </is>
      </c>
      <c r="G1103" t="n">
        <v>23.1</v>
      </c>
      <c r="H1103" t="n">
        <v>0</v>
      </c>
      <c r="I1103" t="n">
        <v>0</v>
      </c>
      <c r="J1103" t="n">
        <v>0</v>
      </c>
      <c r="K1103" t="n">
        <v>0</v>
      </c>
      <c r="L1103" t="n">
        <v>0</v>
      </c>
      <c r="M1103" t="n">
        <v>0</v>
      </c>
      <c r="N1103" t="n">
        <v>0</v>
      </c>
      <c r="O1103" t="n">
        <v>0</v>
      </c>
      <c r="P1103" t="n">
        <v>0</v>
      </c>
      <c r="Q1103" t="n">
        <v>0</v>
      </c>
      <c r="R1103" s="2" t="inlineStr"/>
    </row>
    <row r="1104" ht="15" customHeight="1">
      <c r="A1104" t="inlineStr">
        <is>
          <t>A 51491-2025</t>
        </is>
      </c>
      <c r="B1104" s="1" t="n">
        <v>45950.63362268519</v>
      </c>
      <c r="C1104" s="1" t="n">
        <v>46004</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59740-2025</t>
        </is>
      </c>
      <c r="B1105" s="1" t="n">
        <v>45992.5743287037</v>
      </c>
      <c r="C1105" s="1" t="n">
        <v>46004</v>
      </c>
      <c r="D1105" t="inlineStr">
        <is>
          <t>JÄMTLANDS LÄN</t>
        </is>
      </c>
      <c r="E1105" t="inlineStr">
        <is>
          <t>RAGUNDA</t>
        </is>
      </c>
      <c r="F1105" t="inlineStr">
        <is>
          <t>SCA</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31463-2024</t>
        </is>
      </c>
      <c r="B1106" s="1" t="n">
        <v>45505</v>
      </c>
      <c r="C1106" s="1" t="n">
        <v>46004</v>
      </c>
      <c r="D1106" t="inlineStr">
        <is>
          <t>JÄMTLANDS LÄN</t>
        </is>
      </c>
      <c r="E1106" t="inlineStr">
        <is>
          <t>RAGUNDA</t>
        </is>
      </c>
      <c r="F1106" t="inlineStr">
        <is>
          <t>SCA</t>
        </is>
      </c>
      <c r="G1106" t="n">
        <v>20.3</v>
      </c>
      <c r="H1106" t="n">
        <v>0</v>
      </c>
      <c r="I1106" t="n">
        <v>0</v>
      </c>
      <c r="J1106" t="n">
        <v>0</v>
      </c>
      <c r="K1106" t="n">
        <v>0</v>
      </c>
      <c r="L1106" t="n">
        <v>0</v>
      </c>
      <c r="M1106" t="n">
        <v>0</v>
      </c>
      <c r="N1106" t="n">
        <v>0</v>
      </c>
      <c r="O1106" t="n">
        <v>0</v>
      </c>
      <c r="P1106" t="n">
        <v>0</v>
      </c>
      <c r="Q1106" t="n">
        <v>0</v>
      </c>
      <c r="R1106" s="2" t="inlineStr"/>
    </row>
    <row r="1107" ht="15" customHeight="1">
      <c r="A1107" t="inlineStr">
        <is>
          <t>A 59739-2025</t>
        </is>
      </c>
      <c r="B1107" s="1" t="n">
        <v>45992.57417824074</v>
      </c>
      <c r="C1107" s="1" t="n">
        <v>46004</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51791-2025</t>
        </is>
      </c>
      <c r="B1108" s="1" t="n">
        <v>45951.69833333333</v>
      </c>
      <c r="C1108" s="1" t="n">
        <v>46004</v>
      </c>
      <c r="D1108" t="inlineStr">
        <is>
          <t>JÄMTLANDS LÄN</t>
        </is>
      </c>
      <c r="E1108" t="inlineStr">
        <is>
          <t>RAGUNDA</t>
        </is>
      </c>
      <c r="F1108" t="inlineStr">
        <is>
          <t>SCA</t>
        </is>
      </c>
      <c r="G1108" t="n">
        <v>43.3</v>
      </c>
      <c r="H1108" t="n">
        <v>0</v>
      </c>
      <c r="I1108" t="n">
        <v>0</v>
      </c>
      <c r="J1108" t="n">
        <v>0</v>
      </c>
      <c r="K1108" t="n">
        <v>0</v>
      </c>
      <c r="L1108" t="n">
        <v>0</v>
      </c>
      <c r="M1108" t="n">
        <v>0</v>
      </c>
      <c r="N1108" t="n">
        <v>0</v>
      </c>
      <c r="O1108" t="n">
        <v>0</v>
      </c>
      <c r="P1108" t="n">
        <v>0</v>
      </c>
      <c r="Q1108" t="n">
        <v>0</v>
      </c>
      <c r="R1108" s="2" t="inlineStr"/>
    </row>
    <row r="1109" ht="15" customHeight="1">
      <c r="A1109" t="inlineStr">
        <is>
          <t>A 57915-2025</t>
        </is>
      </c>
      <c r="B1109" s="1" t="n">
        <v>45981</v>
      </c>
      <c r="C1109" s="1" t="n">
        <v>46004</v>
      </c>
      <c r="D1109" t="inlineStr">
        <is>
          <t>JÄMTLANDS LÄN</t>
        </is>
      </c>
      <c r="E1109" t="inlineStr">
        <is>
          <t>RAGUNDA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51702-2025</t>
        </is>
      </c>
      <c r="B1110" s="1" t="n">
        <v>45951.55305555555</v>
      </c>
      <c r="C1110" s="1" t="n">
        <v>46004</v>
      </c>
      <c r="D1110" t="inlineStr">
        <is>
          <t>JÄMTLANDS LÄN</t>
        </is>
      </c>
      <c r="E1110" t="inlineStr">
        <is>
          <t>RAGUNDA</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51394-2025</t>
        </is>
      </c>
      <c r="B1111" s="1" t="n">
        <v>45950.46972222222</v>
      </c>
      <c r="C1111" s="1" t="n">
        <v>46004</v>
      </c>
      <c r="D1111" t="inlineStr">
        <is>
          <t>JÄMTLANDS LÄN</t>
        </is>
      </c>
      <c r="E1111" t="inlineStr">
        <is>
          <t>RAGUNDA</t>
        </is>
      </c>
      <c r="F1111" t="inlineStr">
        <is>
          <t>SCA</t>
        </is>
      </c>
      <c r="G1111" t="n">
        <v>36.5</v>
      </c>
      <c r="H1111" t="n">
        <v>0</v>
      </c>
      <c r="I1111" t="n">
        <v>0</v>
      </c>
      <c r="J1111" t="n">
        <v>0</v>
      </c>
      <c r="K1111" t="n">
        <v>0</v>
      </c>
      <c r="L1111" t="n">
        <v>0</v>
      </c>
      <c r="M1111" t="n">
        <v>0</v>
      </c>
      <c r="N1111" t="n">
        <v>0</v>
      </c>
      <c r="O1111" t="n">
        <v>0</v>
      </c>
      <c r="P1111" t="n">
        <v>0</v>
      </c>
      <c r="Q1111" t="n">
        <v>0</v>
      </c>
      <c r="R1111" s="2" t="inlineStr"/>
    </row>
    <row r="1112" ht="15" customHeight="1">
      <c r="A1112" t="inlineStr">
        <is>
          <t>A 30887-2025</t>
        </is>
      </c>
      <c r="B1112" s="1" t="n">
        <v>45832.3459375</v>
      </c>
      <c r="C1112" s="1" t="n">
        <v>46004</v>
      </c>
      <c r="D1112" t="inlineStr">
        <is>
          <t>JÄMTLANDS LÄN</t>
        </is>
      </c>
      <c r="E1112" t="inlineStr">
        <is>
          <t>RAGUNDA</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30883-2025</t>
        </is>
      </c>
      <c r="B1113" s="1" t="n">
        <v>45832.34552083333</v>
      </c>
      <c r="C1113" s="1" t="n">
        <v>46004</v>
      </c>
      <c r="D1113" t="inlineStr">
        <is>
          <t>JÄMTLANDS LÄN</t>
        </is>
      </c>
      <c r="E1113" t="inlineStr">
        <is>
          <t>RAGUNDA</t>
        </is>
      </c>
      <c r="F1113" t="inlineStr">
        <is>
          <t>SCA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52317-2025</t>
        </is>
      </c>
      <c r="B1114" s="1" t="n">
        <v>45953.65675925926</v>
      </c>
      <c r="C1114" s="1" t="n">
        <v>46004</v>
      </c>
      <c r="D1114" t="inlineStr">
        <is>
          <t>JÄMTLANDS LÄN</t>
        </is>
      </c>
      <c r="E1114" t="inlineStr">
        <is>
          <t>RAGUNDA</t>
        </is>
      </c>
      <c r="F1114" t="inlineStr">
        <is>
          <t>SCA</t>
        </is>
      </c>
      <c r="G1114" t="n">
        <v>27.2</v>
      </c>
      <c r="H1114" t="n">
        <v>0</v>
      </c>
      <c r="I1114" t="n">
        <v>0</v>
      </c>
      <c r="J1114" t="n">
        <v>0</v>
      </c>
      <c r="K1114" t="n">
        <v>0</v>
      </c>
      <c r="L1114" t="n">
        <v>0</v>
      </c>
      <c r="M1114" t="n">
        <v>0</v>
      </c>
      <c r="N1114" t="n">
        <v>0</v>
      </c>
      <c r="O1114" t="n">
        <v>0</v>
      </c>
      <c r="P1114" t="n">
        <v>0</v>
      </c>
      <c r="Q1114" t="n">
        <v>0</v>
      </c>
      <c r="R1114" s="2" t="inlineStr"/>
    </row>
    <row r="1115" ht="15" customHeight="1">
      <c r="A1115" t="inlineStr">
        <is>
          <t>A 60389-2025</t>
        </is>
      </c>
      <c r="B1115" s="1" t="n">
        <v>45995.38628472222</v>
      </c>
      <c r="C1115" s="1" t="n">
        <v>46004</v>
      </c>
      <c r="D1115" t="inlineStr">
        <is>
          <t>JÄMTLANDS LÄN</t>
        </is>
      </c>
      <c r="E1115" t="inlineStr">
        <is>
          <t>RAGUNDA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60130-2025</t>
        </is>
      </c>
      <c r="B1116" s="1" t="n">
        <v>45994.34467592592</v>
      </c>
      <c r="C1116" s="1" t="n">
        <v>46004</v>
      </c>
      <c r="D1116" t="inlineStr">
        <is>
          <t>JÄMTLANDS LÄN</t>
        </is>
      </c>
      <c r="E1116" t="inlineStr">
        <is>
          <t>RAGUNDA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52122-2025</t>
        </is>
      </c>
      <c r="B1117" s="1" t="n">
        <v>45952.71946759259</v>
      </c>
      <c r="C1117" s="1" t="n">
        <v>46004</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60128-2025</t>
        </is>
      </c>
      <c r="B1118" s="1" t="n">
        <v>45994.34456018519</v>
      </c>
      <c r="C1118" s="1" t="n">
        <v>46004</v>
      </c>
      <c r="D1118" t="inlineStr">
        <is>
          <t>JÄMTLANDS LÄN</t>
        </is>
      </c>
      <c r="E1118" t="inlineStr">
        <is>
          <t>RAGUNDA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60387-2025</t>
        </is>
      </c>
      <c r="B1119" s="1" t="n">
        <v>45995.38611111111</v>
      </c>
      <c r="C1119" s="1" t="n">
        <v>46004</v>
      </c>
      <c r="D1119" t="inlineStr">
        <is>
          <t>JÄMTLANDS LÄN</t>
        </is>
      </c>
      <c r="E1119" t="inlineStr">
        <is>
          <t>RAGUNDA</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30880-2025</t>
        </is>
      </c>
      <c r="B1120" s="1" t="n">
        <v>45832.34524305556</v>
      </c>
      <c r="C1120" s="1" t="n">
        <v>46004</v>
      </c>
      <c r="D1120" t="inlineStr">
        <is>
          <t>JÄMTLANDS LÄN</t>
        </is>
      </c>
      <c r="E1120" t="inlineStr">
        <is>
          <t>RAGUNDA</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52330-2025</t>
        </is>
      </c>
      <c r="B1121" s="1" t="n">
        <v>45953.67752314815</v>
      </c>
      <c r="C1121" s="1" t="n">
        <v>46004</v>
      </c>
      <c r="D1121" t="inlineStr">
        <is>
          <t>JÄMTLANDS LÄN</t>
        </is>
      </c>
      <c r="E1121" t="inlineStr">
        <is>
          <t>RAGUNDA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52093-2025</t>
        </is>
      </c>
      <c r="B1122" s="1" t="n">
        <v>45952.67865740741</v>
      </c>
      <c r="C1122" s="1" t="n">
        <v>46004</v>
      </c>
      <c r="D1122" t="inlineStr">
        <is>
          <t>JÄMTLANDS LÄN</t>
        </is>
      </c>
      <c r="E1122" t="inlineStr">
        <is>
          <t>RAGUNDA</t>
        </is>
      </c>
      <c r="F1122" t="inlineStr">
        <is>
          <t>SCA</t>
        </is>
      </c>
      <c r="G1122" t="n">
        <v>22.7</v>
      </c>
      <c r="H1122" t="n">
        <v>0</v>
      </c>
      <c r="I1122" t="n">
        <v>0</v>
      </c>
      <c r="J1122" t="n">
        <v>0</v>
      </c>
      <c r="K1122" t="n">
        <v>0</v>
      </c>
      <c r="L1122" t="n">
        <v>0</v>
      </c>
      <c r="M1122" t="n">
        <v>0</v>
      </c>
      <c r="N1122" t="n">
        <v>0</v>
      </c>
      <c r="O1122" t="n">
        <v>0</v>
      </c>
      <c r="P1122" t="n">
        <v>0</v>
      </c>
      <c r="Q1122" t="n">
        <v>0</v>
      </c>
      <c r="R1122" s="2" t="inlineStr"/>
    </row>
    <row r="1123" ht="15" customHeight="1">
      <c r="A1123" t="inlineStr">
        <is>
          <t>A 51882-2025</t>
        </is>
      </c>
      <c r="B1123" s="1" t="n">
        <v>45952.40685185185</v>
      </c>
      <c r="C1123" s="1" t="n">
        <v>46004</v>
      </c>
      <c r="D1123" t="inlineStr">
        <is>
          <t>JÄMTLANDS LÄN</t>
        </is>
      </c>
      <c r="E1123" t="inlineStr">
        <is>
          <t>RAGUNDA</t>
        </is>
      </c>
      <c r="F1123" t="inlineStr">
        <is>
          <t>SCA</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51903-2025</t>
        </is>
      </c>
      <c r="B1124" s="1" t="n">
        <v>45952.44857638889</v>
      </c>
      <c r="C1124" s="1" t="n">
        <v>46004</v>
      </c>
      <c r="D1124" t="inlineStr">
        <is>
          <t>JÄMTLANDS LÄN</t>
        </is>
      </c>
      <c r="E1124" t="inlineStr">
        <is>
          <t>RAGUNDA</t>
        </is>
      </c>
      <c r="F1124" t="inlineStr">
        <is>
          <t>SCA</t>
        </is>
      </c>
      <c r="G1124" t="n">
        <v>20.8</v>
      </c>
      <c r="H1124" t="n">
        <v>0</v>
      </c>
      <c r="I1124" t="n">
        <v>0</v>
      </c>
      <c r="J1124" t="n">
        <v>0</v>
      </c>
      <c r="K1124" t="n">
        <v>0</v>
      </c>
      <c r="L1124" t="n">
        <v>0</v>
      </c>
      <c r="M1124" t="n">
        <v>0</v>
      </c>
      <c r="N1124" t="n">
        <v>0</v>
      </c>
      <c r="O1124" t="n">
        <v>0</v>
      </c>
      <c r="P1124" t="n">
        <v>0</v>
      </c>
      <c r="Q1124" t="n">
        <v>0</v>
      </c>
      <c r="R1124" s="2" t="inlineStr"/>
    </row>
    <row r="1125" ht="15" customHeight="1">
      <c r="A1125" t="inlineStr">
        <is>
          <t>A 51932-2025</t>
        </is>
      </c>
      <c r="B1125" s="1" t="n">
        <v>45952.51094907407</v>
      </c>
      <c r="C1125" s="1" t="n">
        <v>46004</v>
      </c>
      <c r="D1125" t="inlineStr">
        <is>
          <t>JÄMTLANDS LÄN</t>
        </is>
      </c>
      <c r="E1125" t="inlineStr">
        <is>
          <t>RAGUNDA</t>
        </is>
      </c>
      <c r="F1125" t="inlineStr">
        <is>
          <t>SCA</t>
        </is>
      </c>
      <c r="G1125" t="n">
        <v>39.2</v>
      </c>
      <c r="H1125" t="n">
        <v>0</v>
      </c>
      <c r="I1125" t="n">
        <v>0</v>
      </c>
      <c r="J1125" t="n">
        <v>0</v>
      </c>
      <c r="K1125" t="n">
        <v>0</v>
      </c>
      <c r="L1125" t="n">
        <v>0</v>
      </c>
      <c r="M1125" t="n">
        <v>0</v>
      </c>
      <c r="N1125" t="n">
        <v>0</v>
      </c>
      <c r="O1125" t="n">
        <v>0</v>
      </c>
      <c r="P1125" t="n">
        <v>0</v>
      </c>
      <c r="Q1125" t="n">
        <v>0</v>
      </c>
      <c r="R1125" s="2" t="inlineStr"/>
    </row>
    <row r="1126" ht="15" customHeight="1">
      <c r="A1126" t="inlineStr">
        <is>
          <t>A 32096-2025</t>
        </is>
      </c>
      <c r="B1126" s="1" t="n">
        <v>45835.46334490741</v>
      </c>
      <c r="C1126" s="1" t="n">
        <v>46004</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32151-2025</t>
        </is>
      </c>
      <c r="B1127" s="1" t="n">
        <v>45835.53166666667</v>
      </c>
      <c r="C1127" s="1" t="n">
        <v>46004</v>
      </c>
      <c r="D1127" t="inlineStr">
        <is>
          <t>JÄMTLANDS LÄN</t>
        </is>
      </c>
      <c r="E1127" t="inlineStr">
        <is>
          <t>RAGUNDA</t>
        </is>
      </c>
      <c r="F1127" t="inlineStr">
        <is>
          <t>SCA</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32306-2025</t>
        </is>
      </c>
      <c r="B1128" s="1" t="n">
        <v>45835.72046296296</v>
      </c>
      <c r="C1128" s="1" t="n">
        <v>46004</v>
      </c>
      <c r="D1128" t="inlineStr">
        <is>
          <t>JÄMTLANDS LÄN</t>
        </is>
      </c>
      <c r="E1128" t="inlineStr">
        <is>
          <t>RAGUNDA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51906-2025</t>
        </is>
      </c>
      <c r="B1129" s="1" t="n">
        <v>45952.4615162037</v>
      </c>
      <c r="C1129" s="1" t="n">
        <v>46004</v>
      </c>
      <c r="D1129" t="inlineStr">
        <is>
          <t>JÄMTLANDS LÄN</t>
        </is>
      </c>
      <c r="E1129" t="inlineStr">
        <is>
          <t>RAGUNDA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32021-2025</t>
        </is>
      </c>
      <c r="B1130" s="1" t="n">
        <v>45835.40668981482</v>
      </c>
      <c r="C1130" s="1" t="n">
        <v>46004</v>
      </c>
      <c r="D1130" t="inlineStr">
        <is>
          <t>JÄMTLANDS LÄN</t>
        </is>
      </c>
      <c r="E1130" t="inlineStr">
        <is>
          <t>RAGUNDA</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31882-2025</t>
        </is>
      </c>
      <c r="B1131" s="1" t="n">
        <v>45834.65662037037</v>
      </c>
      <c r="C1131" s="1" t="n">
        <v>46004</v>
      </c>
      <c r="D1131" t="inlineStr">
        <is>
          <t>JÄMTLANDS LÄN</t>
        </is>
      </c>
      <c r="E1131" t="inlineStr">
        <is>
          <t>RAGUNDA</t>
        </is>
      </c>
      <c r="F1131" t="inlineStr">
        <is>
          <t>SCA</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60307-2025</t>
        </is>
      </c>
      <c r="B1132" s="1" t="n">
        <v>45994.6842824074</v>
      </c>
      <c r="C1132" s="1" t="n">
        <v>46004</v>
      </c>
      <c r="D1132" t="inlineStr">
        <is>
          <t>JÄMTLANDS LÄN</t>
        </is>
      </c>
      <c r="E1132" t="inlineStr">
        <is>
          <t>RAGUNDA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32796-2025</t>
        </is>
      </c>
      <c r="B1133" s="1" t="n">
        <v>45839.49082175926</v>
      </c>
      <c r="C1133" s="1" t="n">
        <v>46004</v>
      </c>
      <c r="D1133" t="inlineStr">
        <is>
          <t>JÄMTLANDS LÄN</t>
        </is>
      </c>
      <c r="E1133" t="inlineStr">
        <is>
          <t>RAGUNDA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32655-2025</t>
        </is>
      </c>
      <c r="B1134" s="1" t="n">
        <v>45838.67800925926</v>
      </c>
      <c r="C1134" s="1" t="n">
        <v>46004</v>
      </c>
      <c r="D1134" t="inlineStr">
        <is>
          <t>JÄMTLANDS LÄN</t>
        </is>
      </c>
      <c r="E1134" t="inlineStr">
        <is>
          <t>RAGUNDA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52972-2025</t>
        </is>
      </c>
      <c r="B1135" s="1" t="n">
        <v>45957.67783564814</v>
      </c>
      <c r="C1135" s="1" t="n">
        <v>46004</v>
      </c>
      <c r="D1135" t="inlineStr">
        <is>
          <t>JÄMTLANDS LÄN</t>
        </is>
      </c>
      <c r="E1135" t="inlineStr">
        <is>
          <t>RAGUNDA</t>
        </is>
      </c>
      <c r="F1135" t="inlineStr">
        <is>
          <t>SCA</t>
        </is>
      </c>
      <c r="G1135" t="n">
        <v>53.4</v>
      </c>
      <c r="H1135" t="n">
        <v>0</v>
      </c>
      <c r="I1135" t="n">
        <v>0</v>
      </c>
      <c r="J1135" t="n">
        <v>0</v>
      </c>
      <c r="K1135" t="n">
        <v>0</v>
      </c>
      <c r="L1135" t="n">
        <v>0</v>
      </c>
      <c r="M1135" t="n">
        <v>0</v>
      </c>
      <c r="N1135" t="n">
        <v>0</v>
      </c>
      <c r="O1135" t="n">
        <v>0</v>
      </c>
      <c r="P1135" t="n">
        <v>0</v>
      </c>
      <c r="Q1135" t="n">
        <v>0</v>
      </c>
      <c r="R1135" s="2" t="inlineStr"/>
    </row>
    <row r="1136" ht="15" customHeight="1">
      <c r="A1136" t="inlineStr">
        <is>
          <t>A 32751-2025</t>
        </is>
      </c>
      <c r="B1136" s="1" t="n">
        <v>45839.42864583333</v>
      </c>
      <c r="C1136" s="1" t="n">
        <v>46004</v>
      </c>
      <c r="D1136" t="inlineStr">
        <is>
          <t>JÄMTLANDS LÄN</t>
        </is>
      </c>
      <c r="E1136" t="inlineStr">
        <is>
          <t>RAGUNDA</t>
        </is>
      </c>
      <c r="F1136" t="inlineStr">
        <is>
          <t>SCA</t>
        </is>
      </c>
      <c r="G1136" t="n">
        <v>10</v>
      </c>
      <c r="H1136" t="n">
        <v>0</v>
      </c>
      <c r="I1136" t="n">
        <v>0</v>
      </c>
      <c r="J1136" t="n">
        <v>0</v>
      </c>
      <c r="K1136" t="n">
        <v>0</v>
      </c>
      <c r="L1136" t="n">
        <v>0</v>
      </c>
      <c r="M1136" t="n">
        <v>0</v>
      </c>
      <c r="N1136" t="n">
        <v>0</v>
      </c>
      <c r="O1136" t="n">
        <v>0</v>
      </c>
      <c r="P1136" t="n">
        <v>0</v>
      </c>
      <c r="Q1136" t="n">
        <v>0</v>
      </c>
      <c r="R1136" s="2" t="inlineStr"/>
    </row>
    <row r="1137" ht="15" customHeight="1">
      <c r="A1137" t="inlineStr">
        <is>
          <t>A 32777-2025</t>
        </is>
      </c>
      <c r="B1137" s="1" t="n">
        <v>45839.46915509259</v>
      </c>
      <c r="C1137" s="1" t="n">
        <v>46004</v>
      </c>
      <c r="D1137" t="inlineStr">
        <is>
          <t>JÄMTLANDS LÄN</t>
        </is>
      </c>
      <c r="E1137" t="inlineStr">
        <is>
          <t>RAGUNDA</t>
        </is>
      </c>
      <c r="F1137" t="inlineStr">
        <is>
          <t>SCA</t>
        </is>
      </c>
      <c r="G1137" t="n">
        <v>21.7</v>
      </c>
      <c r="H1137" t="n">
        <v>0</v>
      </c>
      <c r="I1137" t="n">
        <v>0</v>
      </c>
      <c r="J1137" t="n">
        <v>0</v>
      </c>
      <c r="K1137" t="n">
        <v>0</v>
      </c>
      <c r="L1137" t="n">
        <v>0</v>
      </c>
      <c r="M1137" t="n">
        <v>0</v>
      </c>
      <c r="N1137" t="n">
        <v>0</v>
      </c>
      <c r="O1137" t="n">
        <v>0</v>
      </c>
      <c r="P1137" t="n">
        <v>0</v>
      </c>
      <c r="Q1137" t="n">
        <v>0</v>
      </c>
      <c r="R1137" s="2" t="inlineStr"/>
    </row>
    <row r="1138" ht="15" customHeight="1">
      <c r="A1138" t="inlineStr">
        <is>
          <t>A 32430-2025</t>
        </is>
      </c>
      <c r="B1138" s="1" t="n">
        <v>45838.36532407408</v>
      </c>
      <c r="C1138" s="1" t="n">
        <v>46004</v>
      </c>
      <c r="D1138" t="inlineStr">
        <is>
          <t>JÄMTLANDS LÄN</t>
        </is>
      </c>
      <c r="E1138" t="inlineStr">
        <is>
          <t>RAGUNDA</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32747-2025</t>
        </is>
      </c>
      <c r="B1139" s="1" t="n">
        <v>45839.42810185185</v>
      </c>
      <c r="C1139" s="1" t="n">
        <v>46004</v>
      </c>
      <c r="D1139" t="inlineStr">
        <is>
          <t>JÄMTLANDS LÄN</t>
        </is>
      </c>
      <c r="E1139" t="inlineStr">
        <is>
          <t>RAGUNDA</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32757-2025</t>
        </is>
      </c>
      <c r="B1140" s="1" t="n">
        <v>45838</v>
      </c>
      <c r="C1140" s="1" t="n">
        <v>46004</v>
      </c>
      <c r="D1140" t="inlineStr">
        <is>
          <t>JÄMTLANDS LÄN</t>
        </is>
      </c>
      <c r="E1140" t="inlineStr">
        <is>
          <t>RAGUNDA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32846-2025</t>
        </is>
      </c>
      <c r="B1141" s="1" t="n">
        <v>45839.57331018519</v>
      </c>
      <c r="C1141" s="1" t="n">
        <v>46004</v>
      </c>
      <c r="D1141" t="inlineStr">
        <is>
          <t>JÄMTLANDS LÄN</t>
        </is>
      </c>
      <c r="E1141" t="inlineStr">
        <is>
          <t>RAGUNDA</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32748-2025</t>
        </is>
      </c>
      <c r="B1142" s="1" t="n">
        <v>45839.42822916667</v>
      </c>
      <c r="C1142" s="1" t="n">
        <v>46004</v>
      </c>
      <c r="D1142" t="inlineStr">
        <is>
          <t>JÄMTLANDS LÄN</t>
        </is>
      </c>
      <c r="E1142" t="inlineStr">
        <is>
          <t>RAGUNDA</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52430-2025</t>
        </is>
      </c>
      <c r="B1143" s="1" t="n">
        <v>45954.38592592593</v>
      </c>
      <c r="C1143" s="1" t="n">
        <v>46004</v>
      </c>
      <c r="D1143" t="inlineStr">
        <is>
          <t>JÄMTLANDS LÄN</t>
        </is>
      </c>
      <c r="E1143" t="inlineStr">
        <is>
          <t>RAGUNDA</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32762-2025</t>
        </is>
      </c>
      <c r="B1144" s="1" t="n">
        <v>45838</v>
      </c>
      <c r="C1144" s="1" t="n">
        <v>46004</v>
      </c>
      <c r="D1144" t="inlineStr">
        <is>
          <t>JÄMTLANDS LÄN</t>
        </is>
      </c>
      <c r="E1144" t="inlineStr">
        <is>
          <t>RAGUNDA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32660-2025</t>
        </is>
      </c>
      <c r="B1145" s="1" t="n">
        <v>45838.67887731481</v>
      </c>
      <c r="C1145" s="1" t="n">
        <v>46004</v>
      </c>
      <c r="D1145" t="inlineStr">
        <is>
          <t>JÄMTLANDS LÄN</t>
        </is>
      </c>
      <c r="E1145" t="inlineStr">
        <is>
          <t>RAGUNDA</t>
        </is>
      </c>
      <c r="F1145" t="inlineStr">
        <is>
          <t>SCA</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60760-2025</t>
        </is>
      </c>
      <c r="B1146" s="1" t="n">
        <v>45999.38597222222</v>
      </c>
      <c r="C1146" s="1" t="n">
        <v>46004</v>
      </c>
      <c r="D1146" t="inlineStr">
        <is>
          <t>JÄMTLANDS LÄN</t>
        </is>
      </c>
      <c r="E1146" t="inlineStr">
        <is>
          <t>RAGUNDA</t>
        </is>
      </c>
      <c r="F1146" t="inlineStr">
        <is>
          <t>SCA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32527-2025</t>
        </is>
      </c>
      <c r="B1147" s="1" t="n">
        <v>45838.48996527777</v>
      </c>
      <c r="C1147" s="1" t="n">
        <v>46004</v>
      </c>
      <c r="D1147" t="inlineStr">
        <is>
          <t>JÄMTLANDS LÄN</t>
        </is>
      </c>
      <c r="E1147" t="inlineStr">
        <is>
          <t>RAGUNDA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60775-2025</t>
        </is>
      </c>
      <c r="B1148" s="1" t="n">
        <v>45999.3905787037</v>
      </c>
      <c r="C1148" s="1" t="n">
        <v>46004</v>
      </c>
      <c r="D1148" t="inlineStr">
        <is>
          <t>JÄMTLANDS LÄN</t>
        </is>
      </c>
      <c r="E1148" t="inlineStr">
        <is>
          <t>RAGUNDA</t>
        </is>
      </c>
      <c r="G1148" t="n">
        <v>15.7</v>
      </c>
      <c r="H1148" t="n">
        <v>0</v>
      </c>
      <c r="I1148" t="n">
        <v>0</v>
      </c>
      <c r="J1148" t="n">
        <v>0</v>
      </c>
      <c r="K1148" t="n">
        <v>0</v>
      </c>
      <c r="L1148" t="n">
        <v>0</v>
      </c>
      <c r="M1148" t="n">
        <v>0</v>
      </c>
      <c r="N1148" t="n">
        <v>0</v>
      </c>
      <c r="O1148" t="n">
        <v>0</v>
      </c>
      <c r="P1148" t="n">
        <v>0</v>
      </c>
      <c r="Q1148" t="n">
        <v>0</v>
      </c>
      <c r="R1148" s="2" t="inlineStr"/>
    </row>
    <row r="1149" ht="15" customHeight="1">
      <c r="A1149" t="inlineStr">
        <is>
          <t>A 52875-2025</t>
        </is>
      </c>
      <c r="B1149" s="1" t="n">
        <v>45957.53211805555</v>
      </c>
      <c r="C1149" s="1" t="n">
        <v>46004</v>
      </c>
      <c r="D1149" t="inlineStr">
        <is>
          <t>JÄMTLANDS LÄN</t>
        </is>
      </c>
      <c r="E1149" t="inlineStr">
        <is>
          <t>RAGUNDA</t>
        </is>
      </c>
      <c r="F1149" t="inlineStr">
        <is>
          <t>SCA</t>
        </is>
      </c>
      <c r="G1149" t="n">
        <v>34.3</v>
      </c>
      <c r="H1149" t="n">
        <v>0</v>
      </c>
      <c r="I1149" t="n">
        <v>0</v>
      </c>
      <c r="J1149" t="n">
        <v>0</v>
      </c>
      <c r="K1149" t="n">
        <v>0</v>
      </c>
      <c r="L1149" t="n">
        <v>0</v>
      </c>
      <c r="M1149" t="n">
        <v>0</v>
      </c>
      <c r="N1149" t="n">
        <v>0</v>
      </c>
      <c r="O1149" t="n">
        <v>0</v>
      </c>
      <c r="P1149" t="n">
        <v>0</v>
      </c>
      <c r="Q1149" t="n">
        <v>0</v>
      </c>
      <c r="R1149" s="2" t="inlineStr"/>
    </row>
    <row r="1150" ht="15" customHeight="1">
      <c r="A1150" t="inlineStr">
        <is>
          <t>A 33140-2025</t>
        </is>
      </c>
      <c r="B1150" s="1" t="n">
        <v>45840.52225694444</v>
      </c>
      <c r="C1150" s="1" t="n">
        <v>46004</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33556-2025</t>
        </is>
      </c>
      <c r="B1151" s="1" t="n">
        <v>45841.57427083333</v>
      </c>
      <c r="C1151" s="1" t="n">
        <v>46004</v>
      </c>
      <c r="D1151" t="inlineStr">
        <is>
          <t>JÄMTLANDS LÄN</t>
        </is>
      </c>
      <c r="E1151" t="inlineStr">
        <is>
          <t>RAGUNDA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52394-2025</t>
        </is>
      </c>
      <c r="B1152" s="1" t="n">
        <v>45954.34466435185</v>
      </c>
      <c r="C1152" s="1" t="n">
        <v>46004</v>
      </c>
      <c r="D1152" t="inlineStr">
        <is>
          <t>JÄMTLANDS LÄN</t>
        </is>
      </c>
      <c r="E1152" t="inlineStr">
        <is>
          <t>RAGUNDA</t>
        </is>
      </c>
      <c r="F1152" t="inlineStr">
        <is>
          <t>SCA</t>
        </is>
      </c>
      <c r="G1152" t="n">
        <v>53.8</v>
      </c>
      <c r="H1152" t="n">
        <v>0</v>
      </c>
      <c r="I1152" t="n">
        <v>0</v>
      </c>
      <c r="J1152" t="n">
        <v>0</v>
      </c>
      <c r="K1152" t="n">
        <v>0</v>
      </c>
      <c r="L1152" t="n">
        <v>0</v>
      </c>
      <c r="M1152" t="n">
        <v>0</v>
      </c>
      <c r="N1152" t="n">
        <v>0</v>
      </c>
      <c r="O1152" t="n">
        <v>0</v>
      </c>
      <c r="P1152" t="n">
        <v>0</v>
      </c>
      <c r="Q1152" t="n">
        <v>0</v>
      </c>
      <c r="R1152" s="2" t="inlineStr"/>
    </row>
    <row r="1153" ht="15" customHeight="1">
      <c r="A1153" t="inlineStr">
        <is>
          <t>A 52395-2025</t>
        </is>
      </c>
      <c r="B1153" s="1" t="n">
        <v>45954.34487268519</v>
      </c>
      <c r="C1153" s="1" t="n">
        <v>46004</v>
      </c>
      <c r="D1153" t="inlineStr">
        <is>
          <t>JÄMTLANDS LÄN</t>
        </is>
      </c>
      <c r="E1153" t="inlineStr">
        <is>
          <t>RAGUNDA</t>
        </is>
      </c>
      <c r="F1153" t="inlineStr">
        <is>
          <t>SCA</t>
        </is>
      </c>
      <c r="G1153" t="n">
        <v>14.2</v>
      </c>
      <c r="H1153" t="n">
        <v>0</v>
      </c>
      <c r="I1153" t="n">
        <v>0</v>
      </c>
      <c r="J1153" t="n">
        <v>0</v>
      </c>
      <c r="K1153" t="n">
        <v>0</v>
      </c>
      <c r="L1153" t="n">
        <v>0</v>
      </c>
      <c r="M1153" t="n">
        <v>0</v>
      </c>
      <c r="N1153" t="n">
        <v>0</v>
      </c>
      <c r="O1153" t="n">
        <v>0</v>
      </c>
      <c r="P1153" t="n">
        <v>0</v>
      </c>
      <c r="Q1153" t="n">
        <v>0</v>
      </c>
      <c r="R1153" s="2" t="inlineStr"/>
    </row>
    <row r="1154" ht="15" customHeight="1">
      <c r="A1154" t="inlineStr">
        <is>
          <t>A 60630-2025</t>
        </is>
      </c>
      <c r="B1154" s="1" t="n">
        <v>45996.42120370371</v>
      </c>
      <c r="C1154" s="1" t="n">
        <v>46004</v>
      </c>
      <c r="D1154" t="inlineStr">
        <is>
          <t>JÄMTLANDS LÄN</t>
        </is>
      </c>
      <c r="E1154" t="inlineStr">
        <is>
          <t>RAGUNDA</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53211-2025</t>
        </is>
      </c>
      <c r="B1155" s="1" t="n">
        <v>45958.59490740741</v>
      </c>
      <c r="C1155" s="1" t="n">
        <v>46004</v>
      </c>
      <c r="D1155" t="inlineStr">
        <is>
          <t>JÄMTLANDS LÄN</t>
        </is>
      </c>
      <c r="E1155" t="inlineStr">
        <is>
          <t>RAGUNDA</t>
        </is>
      </c>
      <c r="F1155" t="inlineStr">
        <is>
          <t>SCA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55547-2025</t>
        </is>
      </c>
      <c r="B1156" s="1" t="n">
        <v>45971</v>
      </c>
      <c r="C1156" s="1" t="n">
        <v>46004</v>
      </c>
      <c r="D1156" t="inlineStr">
        <is>
          <t>JÄMTLANDS LÄN</t>
        </is>
      </c>
      <c r="E1156" t="inlineStr">
        <is>
          <t>RAGUNDA</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53032-2025</t>
        </is>
      </c>
      <c r="B1157" s="1" t="n">
        <v>45958.34462962963</v>
      </c>
      <c r="C1157" s="1" t="n">
        <v>46004</v>
      </c>
      <c r="D1157" t="inlineStr">
        <is>
          <t>JÄMTLANDS LÄN</t>
        </is>
      </c>
      <c r="E1157" t="inlineStr">
        <is>
          <t>RAGUNDA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53109-2025</t>
        </is>
      </c>
      <c r="B1158" s="1" t="n">
        <v>45958</v>
      </c>
      <c r="C1158" s="1" t="n">
        <v>46004</v>
      </c>
      <c r="D1158" t="inlineStr">
        <is>
          <t>JÄMTLANDS LÄN</t>
        </is>
      </c>
      <c r="E1158" t="inlineStr">
        <is>
          <t>RAGUNDA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61509-2025</t>
        </is>
      </c>
      <c r="B1159" s="1" t="n">
        <v>46001.68189814815</v>
      </c>
      <c r="C1159" s="1" t="n">
        <v>46004</v>
      </c>
      <c r="D1159" t="inlineStr">
        <is>
          <t>JÄMTLANDS LÄN</t>
        </is>
      </c>
      <c r="E1159" t="inlineStr">
        <is>
          <t>RAGUNDA</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53075-2025</t>
        </is>
      </c>
      <c r="B1160" s="1" t="n">
        <v>45958.38584490741</v>
      </c>
      <c r="C1160" s="1" t="n">
        <v>46004</v>
      </c>
      <c r="D1160" t="inlineStr">
        <is>
          <t>JÄMTLANDS LÄN</t>
        </is>
      </c>
      <c r="E1160" t="inlineStr">
        <is>
          <t>RAGUNDA</t>
        </is>
      </c>
      <c r="F1160" t="inlineStr">
        <is>
          <t>SCA</t>
        </is>
      </c>
      <c r="G1160" t="n">
        <v>28.9</v>
      </c>
      <c r="H1160" t="n">
        <v>0</v>
      </c>
      <c r="I1160" t="n">
        <v>0</v>
      </c>
      <c r="J1160" t="n">
        <v>0</v>
      </c>
      <c r="K1160" t="n">
        <v>0</v>
      </c>
      <c r="L1160" t="n">
        <v>0</v>
      </c>
      <c r="M1160" t="n">
        <v>0</v>
      </c>
      <c r="N1160" t="n">
        <v>0</v>
      </c>
      <c r="O1160" t="n">
        <v>0</v>
      </c>
      <c r="P1160" t="n">
        <v>0</v>
      </c>
      <c r="Q1160" t="n">
        <v>0</v>
      </c>
      <c r="R1160" s="2" t="inlineStr"/>
    </row>
    <row r="1161" ht="15" customHeight="1">
      <c r="A1161" t="inlineStr">
        <is>
          <t>A 33790-2025</t>
        </is>
      </c>
      <c r="B1161" s="1" t="n">
        <v>45842.42608796297</v>
      </c>
      <c r="C1161" s="1" t="n">
        <v>46004</v>
      </c>
      <c r="D1161" t="inlineStr">
        <is>
          <t>JÄMTLANDS LÄN</t>
        </is>
      </c>
      <c r="E1161" t="inlineStr">
        <is>
          <t>RAGUNDA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34607-2025</t>
        </is>
      </c>
      <c r="B1162" s="1" t="n">
        <v>45847.65703703704</v>
      </c>
      <c r="C1162" s="1" t="n">
        <v>46004</v>
      </c>
      <c r="D1162" t="inlineStr">
        <is>
          <t>JÄMTLANDS LÄN</t>
        </is>
      </c>
      <c r="E1162" t="inlineStr">
        <is>
          <t>RAGUNDA</t>
        </is>
      </c>
      <c r="F1162" t="inlineStr">
        <is>
          <t>SCA</t>
        </is>
      </c>
      <c r="G1162" t="n">
        <v>31.4</v>
      </c>
      <c r="H1162" t="n">
        <v>0</v>
      </c>
      <c r="I1162" t="n">
        <v>0</v>
      </c>
      <c r="J1162" t="n">
        <v>0</v>
      </c>
      <c r="K1162" t="n">
        <v>0</v>
      </c>
      <c r="L1162" t="n">
        <v>0</v>
      </c>
      <c r="M1162" t="n">
        <v>0</v>
      </c>
      <c r="N1162" t="n">
        <v>0</v>
      </c>
      <c r="O1162" t="n">
        <v>0</v>
      </c>
      <c r="P1162" t="n">
        <v>0</v>
      </c>
      <c r="Q1162" t="n">
        <v>0</v>
      </c>
      <c r="R1162" s="2" t="inlineStr"/>
    </row>
    <row r="1163" ht="15" customHeight="1">
      <c r="A1163" t="inlineStr">
        <is>
          <t>A 52578-2025</t>
        </is>
      </c>
      <c r="B1163" s="1" t="n">
        <v>45954.61508101852</v>
      </c>
      <c r="C1163" s="1" t="n">
        <v>46004</v>
      </c>
      <c r="D1163" t="inlineStr">
        <is>
          <t>JÄMTLANDS LÄN</t>
        </is>
      </c>
      <c r="E1163" t="inlineStr">
        <is>
          <t>RAGUNDA</t>
        </is>
      </c>
      <c r="F1163" t="inlineStr">
        <is>
          <t>SCA</t>
        </is>
      </c>
      <c r="G1163" t="n">
        <v>25.2</v>
      </c>
      <c r="H1163" t="n">
        <v>0</v>
      </c>
      <c r="I1163" t="n">
        <v>0</v>
      </c>
      <c r="J1163" t="n">
        <v>0</v>
      </c>
      <c r="K1163" t="n">
        <v>0</v>
      </c>
      <c r="L1163" t="n">
        <v>0</v>
      </c>
      <c r="M1163" t="n">
        <v>0</v>
      </c>
      <c r="N1163" t="n">
        <v>0</v>
      </c>
      <c r="O1163" t="n">
        <v>0</v>
      </c>
      <c r="P1163" t="n">
        <v>0</v>
      </c>
      <c r="Q1163" t="n">
        <v>0</v>
      </c>
      <c r="R1163" s="2" t="inlineStr"/>
    </row>
    <row r="1164" ht="15" customHeight="1">
      <c r="A1164" t="inlineStr">
        <is>
          <t>A 34461-2025</t>
        </is>
      </c>
      <c r="B1164" s="1" t="n">
        <v>45847.34474537037</v>
      </c>
      <c r="C1164" s="1" t="n">
        <v>46004</v>
      </c>
      <c r="D1164" t="inlineStr">
        <is>
          <t>JÄMTLANDS LÄN</t>
        </is>
      </c>
      <c r="E1164" t="inlineStr">
        <is>
          <t>RAGUNDA</t>
        </is>
      </c>
      <c r="F1164" t="inlineStr">
        <is>
          <t>SCA</t>
        </is>
      </c>
      <c r="G1164" t="n">
        <v>44.8</v>
      </c>
      <c r="H1164" t="n">
        <v>0</v>
      </c>
      <c r="I1164" t="n">
        <v>0</v>
      </c>
      <c r="J1164" t="n">
        <v>0</v>
      </c>
      <c r="K1164" t="n">
        <v>0</v>
      </c>
      <c r="L1164" t="n">
        <v>0</v>
      </c>
      <c r="M1164" t="n">
        <v>0</v>
      </c>
      <c r="N1164" t="n">
        <v>0</v>
      </c>
      <c r="O1164" t="n">
        <v>0</v>
      </c>
      <c r="P1164" t="n">
        <v>0</v>
      </c>
      <c r="Q1164" t="n">
        <v>0</v>
      </c>
      <c r="R1164" s="2" t="inlineStr"/>
    </row>
    <row r="1165" ht="15" customHeight="1">
      <c r="A1165" t="inlineStr">
        <is>
          <t>A 34464-2025</t>
        </is>
      </c>
      <c r="B1165" s="1" t="n">
        <v>45847.34528935186</v>
      </c>
      <c r="C1165" s="1" t="n">
        <v>46004</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61266-2025</t>
        </is>
      </c>
      <c r="B1166" s="1" t="n">
        <v>46000.67784722222</v>
      </c>
      <c r="C1166" s="1" t="n">
        <v>46004</v>
      </c>
      <c r="D1166" t="inlineStr">
        <is>
          <t>JÄMTLANDS LÄN</t>
        </is>
      </c>
      <c r="E1166" t="inlineStr">
        <is>
          <t>RAGUNDA</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34468-2025</t>
        </is>
      </c>
      <c r="B1167" s="1" t="n">
        <v>45847.34597222223</v>
      </c>
      <c r="C1167" s="1" t="n">
        <v>46004</v>
      </c>
      <c r="D1167" t="inlineStr">
        <is>
          <t>JÄMTLANDS LÄN</t>
        </is>
      </c>
      <c r="E1167" t="inlineStr">
        <is>
          <t>RAGUNDA</t>
        </is>
      </c>
      <c r="F1167" t="inlineStr">
        <is>
          <t>SCA</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34466-2025</t>
        </is>
      </c>
      <c r="B1168" s="1" t="n">
        <v>45847.34565972222</v>
      </c>
      <c r="C1168" s="1" t="n">
        <v>46004</v>
      </c>
      <c r="D1168" t="inlineStr">
        <is>
          <t>JÄMTLANDS LÄN</t>
        </is>
      </c>
      <c r="E1168" t="inlineStr">
        <is>
          <t>RAGUNDA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34463-2025</t>
        </is>
      </c>
      <c r="B1169" s="1" t="n">
        <v>45847.34515046296</v>
      </c>
      <c r="C1169" s="1" t="n">
        <v>46004</v>
      </c>
      <c r="D1169" t="inlineStr">
        <is>
          <t>JÄMTLANDS LÄN</t>
        </is>
      </c>
      <c r="E1169" t="inlineStr">
        <is>
          <t>RAGUNDA</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55671-2025</t>
        </is>
      </c>
      <c r="B1170" s="1" t="n">
        <v>45972</v>
      </c>
      <c r="C1170" s="1" t="n">
        <v>46004</v>
      </c>
      <c r="D1170" t="inlineStr">
        <is>
          <t>JÄMTLANDS LÄN</t>
        </is>
      </c>
      <c r="E1170" t="inlineStr">
        <is>
          <t>RAGUNDA</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61233-2025</t>
        </is>
      </c>
      <c r="B1171" s="1" t="n">
        <v>46000.6359837963</v>
      </c>
      <c r="C1171" s="1" t="n">
        <v>46004</v>
      </c>
      <c r="D1171" t="inlineStr">
        <is>
          <t>JÄMTLANDS LÄN</t>
        </is>
      </c>
      <c r="E1171" t="inlineStr">
        <is>
          <t>RAGUNDA</t>
        </is>
      </c>
      <c r="F1171" t="inlineStr">
        <is>
          <t>SCA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34586-2025</t>
        </is>
      </c>
      <c r="B1172" s="1" t="n">
        <v>45847.61513888889</v>
      </c>
      <c r="C1172" s="1" t="n">
        <v>46004</v>
      </c>
      <c r="D1172" t="inlineStr">
        <is>
          <t>JÄMTLANDS LÄN</t>
        </is>
      </c>
      <c r="E1172" t="inlineStr">
        <is>
          <t>RAGUNDA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34588-2025</t>
        </is>
      </c>
      <c r="B1173" s="1" t="n">
        <v>45847.61548611111</v>
      </c>
      <c r="C1173" s="1" t="n">
        <v>46004</v>
      </c>
      <c r="D1173" t="inlineStr">
        <is>
          <t>JÄMTLANDS LÄN</t>
        </is>
      </c>
      <c r="E1173" t="inlineStr">
        <is>
          <t>RAGUNDA</t>
        </is>
      </c>
      <c r="G1173" t="n">
        <v>32.3</v>
      </c>
      <c r="H1173" t="n">
        <v>0</v>
      </c>
      <c r="I1173" t="n">
        <v>0</v>
      </c>
      <c r="J1173" t="n">
        <v>0</v>
      </c>
      <c r="K1173" t="n">
        <v>0</v>
      </c>
      <c r="L1173" t="n">
        <v>0</v>
      </c>
      <c r="M1173" t="n">
        <v>0</v>
      </c>
      <c r="N1173" t="n">
        <v>0</v>
      </c>
      <c r="O1173" t="n">
        <v>0</v>
      </c>
      <c r="P1173" t="n">
        <v>0</v>
      </c>
      <c r="Q1173" t="n">
        <v>0</v>
      </c>
      <c r="R1173" s="2" t="inlineStr"/>
    </row>
    <row r="1174" ht="15" customHeight="1">
      <c r="A1174" t="inlineStr">
        <is>
          <t>A 34296-2025</t>
        </is>
      </c>
      <c r="B1174" s="1" t="n">
        <v>45846.34454861111</v>
      </c>
      <c r="C1174" s="1" t="n">
        <v>46004</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34709-2025</t>
        </is>
      </c>
      <c r="B1175" s="1" t="n">
        <v>45848.49761574074</v>
      </c>
      <c r="C1175" s="1" t="n">
        <v>46004</v>
      </c>
      <c r="D1175" t="inlineStr">
        <is>
          <t>JÄMTLANDS LÄN</t>
        </is>
      </c>
      <c r="E1175" t="inlineStr">
        <is>
          <t>RAGUNDA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34772-2025</t>
        </is>
      </c>
      <c r="B1176" s="1" t="n">
        <v>45848.65658564815</v>
      </c>
      <c r="C1176" s="1" t="n">
        <v>46004</v>
      </c>
      <c r="D1176" t="inlineStr">
        <is>
          <t>JÄMTLANDS LÄN</t>
        </is>
      </c>
      <c r="E1176" t="inlineStr">
        <is>
          <t>RAGUNDA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55633-2025</t>
        </is>
      </c>
      <c r="B1177" s="1" t="n">
        <v>45972</v>
      </c>
      <c r="C1177" s="1" t="n">
        <v>46004</v>
      </c>
      <c r="D1177" t="inlineStr">
        <is>
          <t>JÄMTLANDS LÄN</t>
        </is>
      </c>
      <c r="E1177" t="inlineStr">
        <is>
          <t>RAGUNDA</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53076-2025</t>
        </is>
      </c>
      <c r="B1178" s="1" t="n">
        <v>45958.38604166666</v>
      </c>
      <c r="C1178" s="1" t="n">
        <v>46004</v>
      </c>
      <c r="D1178" t="inlineStr">
        <is>
          <t>JÄMTLANDS LÄN</t>
        </is>
      </c>
      <c r="E1178" t="inlineStr">
        <is>
          <t>RAGUNDA</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34710-2025</t>
        </is>
      </c>
      <c r="B1179" s="1" t="n">
        <v>45848.49774305556</v>
      </c>
      <c r="C1179" s="1" t="n">
        <v>46004</v>
      </c>
      <c r="D1179" t="inlineStr">
        <is>
          <t>JÄMTLANDS LÄN</t>
        </is>
      </c>
      <c r="E1179" t="inlineStr">
        <is>
          <t>RAGUNDA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25304-2023</t>
        </is>
      </c>
      <c r="B1180" s="1" t="n">
        <v>45086</v>
      </c>
      <c r="C1180" s="1" t="n">
        <v>46004</v>
      </c>
      <c r="D1180" t="inlineStr">
        <is>
          <t>JÄMTLANDS LÄN</t>
        </is>
      </c>
      <c r="E1180" t="inlineStr">
        <is>
          <t>RAGUNDA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53986-2025</t>
        </is>
      </c>
      <c r="B1181" s="1" t="n">
        <v>45961.57381944444</v>
      </c>
      <c r="C1181" s="1" t="n">
        <v>46004</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34968-2025</t>
        </is>
      </c>
      <c r="B1182" s="1" t="n">
        <v>45849.65663194445</v>
      </c>
      <c r="C1182" s="1" t="n">
        <v>46004</v>
      </c>
      <c r="D1182" t="inlineStr">
        <is>
          <t>JÄMTLANDS LÄN</t>
        </is>
      </c>
      <c r="E1182" t="inlineStr">
        <is>
          <t>RAGUNDA</t>
        </is>
      </c>
      <c r="F1182" t="inlineStr">
        <is>
          <t>SCA</t>
        </is>
      </c>
      <c r="G1182" t="n">
        <v>20.2</v>
      </c>
      <c r="H1182" t="n">
        <v>0</v>
      </c>
      <c r="I1182" t="n">
        <v>0</v>
      </c>
      <c r="J1182" t="n">
        <v>0</v>
      </c>
      <c r="K1182" t="n">
        <v>0</v>
      </c>
      <c r="L1182" t="n">
        <v>0</v>
      </c>
      <c r="M1182" t="n">
        <v>0</v>
      </c>
      <c r="N1182" t="n">
        <v>0</v>
      </c>
      <c r="O1182" t="n">
        <v>0</v>
      </c>
      <c r="P1182" t="n">
        <v>0</v>
      </c>
      <c r="Q1182" t="n">
        <v>0</v>
      </c>
      <c r="R1182" s="2" t="inlineStr"/>
    </row>
    <row r="1183" ht="15" customHeight="1">
      <c r="A1183" t="inlineStr">
        <is>
          <t>A 34998-2025</t>
        </is>
      </c>
      <c r="B1183" s="1" t="n">
        <v>45850.34434027778</v>
      </c>
      <c r="C1183" s="1" t="n">
        <v>46004</v>
      </c>
      <c r="D1183" t="inlineStr">
        <is>
          <t>JÄMTLANDS LÄN</t>
        </is>
      </c>
      <c r="E1183" t="inlineStr">
        <is>
          <t>RAGUNDA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34999-2025</t>
        </is>
      </c>
      <c r="B1184" s="1" t="n">
        <v>45850.34450231482</v>
      </c>
      <c r="C1184" s="1" t="n">
        <v>46004</v>
      </c>
      <c r="D1184" t="inlineStr">
        <is>
          <t>JÄMTLANDS LÄN</t>
        </is>
      </c>
      <c r="E1184" t="inlineStr">
        <is>
          <t>RAGUNDA</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53973-2025</t>
        </is>
      </c>
      <c r="B1185" s="1" t="n">
        <v>45961.55246527777</v>
      </c>
      <c r="C1185" s="1" t="n">
        <v>46004</v>
      </c>
      <c r="D1185" t="inlineStr">
        <is>
          <t>JÄMTLANDS LÄN</t>
        </is>
      </c>
      <c r="E1185" t="inlineStr">
        <is>
          <t>RAGUNDA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53549-2025</t>
        </is>
      </c>
      <c r="B1186" s="1" t="n">
        <v>45960.38576388889</v>
      </c>
      <c r="C1186" s="1" t="n">
        <v>46004</v>
      </c>
      <c r="D1186" t="inlineStr">
        <is>
          <t>JÄMTLANDS LÄN</t>
        </is>
      </c>
      <c r="E1186" t="inlineStr">
        <is>
          <t>RAGUNDA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35092-2025</t>
        </is>
      </c>
      <c r="B1187" s="1" t="n">
        <v>45852.53185185185</v>
      </c>
      <c r="C1187" s="1" t="n">
        <v>46004</v>
      </c>
      <c r="D1187" t="inlineStr">
        <is>
          <t>JÄMTLANDS LÄN</t>
        </is>
      </c>
      <c r="E1187" t="inlineStr">
        <is>
          <t>RAGUNDA</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53975-2025</t>
        </is>
      </c>
      <c r="B1188" s="1" t="n">
        <v>45961.55277777778</v>
      </c>
      <c r="C1188" s="1" t="n">
        <v>46004</v>
      </c>
      <c r="D1188" t="inlineStr">
        <is>
          <t>JÄMTLANDS LÄN</t>
        </is>
      </c>
      <c r="E1188" t="inlineStr">
        <is>
          <t>RAGUNDA</t>
        </is>
      </c>
      <c r="F1188" t="inlineStr">
        <is>
          <t>SCA</t>
        </is>
      </c>
      <c r="G1188" t="n">
        <v>21.9</v>
      </c>
      <c r="H1188" t="n">
        <v>0</v>
      </c>
      <c r="I1188" t="n">
        <v>0</v>
      </c>
      <c r="J1188" t="n">
        <v>0</v>
      </c>
      <c r="K1188" t="n">
        <v>0</v>
      </c>
      <c r="L1188" t="n">
        <v>0</v>
      </c>
      <c r="M1188" t="n">
        <v>0</v>
      </c>
      <c r="N1188" t="n">
        <v>0</v>
      </c>
      <c r="O1188" t="n">
        <v>0</v>
      </c>
      <c r="P1188" t="n">
        <v>0</v>
      </c>
      <c r="Q1188" t="n">
        <v>0</v>
      </c>
      <c r="R1188" s="2" t="inlineStr"/>
    </row>
    <row r="1189" ht="15" customHeight="1">
      <c r="A1189" t="inlineStr">
        <is>
          <t>A 35091-2025</t>
        </is>
      </c>
      <c r="B1189" s="1" t="n">
        <v>45852.53168981482</v>
      </c>
      <c r="C1189" s="1" t="n">
        <v>46004</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53726-2025</t>
        </is>
      </c>
      <c r="B1190" s="1" t="n">
        <v>45960.63597222222</v>
      </c>
      <c r="C1190" s="1" t="n">
        <v>46004</v>
      </c>
      <c r="D1190" t="inlineStr">
        <is>
          <t>JÄMTLANDS LÄN</t>
        </is>
      </c>
      <c r="E1190" t="inlineStr">
        <is>
          <t>RAGUNDA</t>
        </is>
      </c>
      <c r="F1190" t="inlineStr">
        <is>
          <t>SCA</t>
        </is>
      </c>
      <c r="G1190" t="n">
        <v>10.9</v>
      </c>
      <c r="H1190" t="n">
        <v>0</v>
      </c>
      <c r="I1190" t="n">
        <v>0</v>
      </c>
      <c r="J1190" t="n">
        <v>0</v>
      </c>
      <c r="K1190" t="n">
        <v>0</v>
      </c>
      <c r="L1190" t="n">
        <v>0</v>
      </c>
      <c r="M1190" t="n">
        <v>0</v>
      </c>
      <c r="N1190" t="n">
        <v>0</v>
      </c>
      <c r="O1190" t="n">
        <v>0</v>
      </c>
      <c r="P1190" t="n">
        <v>0</v>
      </c>
      <c r="Q1190" t="n">
        <v>0</v>
      </c>
      <c r="R1190" s="2" t="inlineStr"/>
    </row>
    <row r="1191" ht="15" customHeight="1">
      <c r="A1191" t="inlineStr">
        <is>
          <t>A 58909-2025</t>
        </is>
      </c>
      <c r="B1191" s="1" t="n">
        <v>45987</v>
      </c>
      <c r="C1191" s="1" t="n">
        <v>46004</v>
      </c>
      <c r="D1191" t="inlineStr">
        <is>
          <t>JÄMTLANDS LÄN</t>
        </is>
      </c>
      <c r="E1191" t="inlineStr">
        <is>
          <t>RAGUNDA</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35462-2025</t>
        </is>
      </c>
      <c r="B1192" s="1" t="n">
        <v>45855.61523148148</v>
      </c>
      <c r="C1192" s="1" t="n">
        <v>46004</v>
      </c>
      <c r="D1192" t="inlineStr">
        <is>
          <t>JÄMTLANDS LÄN</t>
        </is>
      </c>
      <c r="E1192" t="inlineStr">
        <is>
          <t>RAGUNDA</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53748-2025</t>
        </is>
      </c>
      <c r="B1193" s="1" t="n">
        <v>45960.65673611111</v>
      </c>
      <c r="C1193" s="1" t="n">
        <v>46004</v>
      </c>
      <c r="D1193" t="inlineStr">
        <is>
          <t>JÄMTLANDS LÄN</t>
        </is>
      </c>
      <c r="E1193" t="inlineStr">
        <is>
          <t>RAGUNDA</t>
        </is>
      </c>
      <c r="F1193" t="inlineStr">
        <is>
          <t>SCA</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35355-2025</t>
        </is>
      </c>
      <c r="B1194" s="1" t="n">
        <v>45854.65663194445</v>
      </c>
      <c r="C1194" s="1" t="n">
        <v>46004</v>
      </c>
      <c r="D1194" t="inlineStr">
        <is>
          <t>JÄMTLANDS LÄN</t>
        </is>
      </c>
      <c r="E1194" t="inlineStr">
        <is>
          <t>RAGUNDA</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35477-2025</t>
        </is>
      </c>
      <c r="B1195" s="1" t="n">
        <v>45855.67899305555</v>
      </c>
      <c r="C1195" s="1" t="n">
        <v>46004</v>
      </c>
      <c r="D1195" t="inlineStr">
        <is>
          <t>JÄMTLANDS LÄN</t>
        </is>
      </c>
      <c r="E1195" t="inlineStr">
        <is>
          <t>RAGUNDA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35541-2025</t>
        </is>
      </c>
      <c r="B1196" s="1" t="n">
        <v>45856.46931712963</v>
      </c>
      <c r="C1196" s="1" t="n">
        <v>46004</v>
      </c>
      <c r="D1196" t="inlineStr">
        <is>
          <t>JÄMTLANDS LÄN</t>
        </is>
      </c>
      <c r="E1196" t="inlineStr">
        <is>
          <t>RAGUNDA</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53727-2025</t>
        </is>
      </c>
      <c r="B1197" s="1" t="n">
        <v>45960.63630787037</v>
      </c>
      <c r="C1197" s="1" t="n">
        <v>46004</v>
      </c>
      <c r="D1197" t="inlineStr">
        <is>
          <t>JÄMTLANDS LÄN</t>
        </is>
      </c>
      <c r="E1197" t="inlineStr">
        <is>
          <t>RAGUNDA</t>
        </is>
      </c>
      <c r="F1197" t="inlineStr">
        <is>
          <t>SCA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35658-2025</t>
        </is>
      </c>
      <c r="B1198" s="1" t="n">
        <v>45859.594375</v>
      </c>
      <c r="C1198" s="1" t="n">
        <v>46004</v>
      </c>
      <c r="D1198" t="inlineStr">
        <is>
          <t>JÄMTLANDS LÄN</t>
        </is>
      </c>
      <c r="E1198" t="inlineStr">
        <is>
          <t>RAGUNDA</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61697-2025</t>
        </is>
      </c>
      <c r="B1199" s="1" t="n">
        <v>46002</v>
      </c>
      <c r="C1199" s="1" t="n">
        <v>46004</v>
      </c>
      <c r="D1199" t="inlineStr">
        <is>
          <t>JÄMTLANDS LÄN</t>
        </is>
      </c>
      <c r="E1199" t="inlineStr">
        <is>
          <t>RAGUNDA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53765-2025</t>
        </is>
      </c>
      <c r="B1200" s="1" t="n">
        <v>45960.67753472222</v>
      </c>
      <c r="C1200" s="1" t="n">
        <v>46004</v>
      </c>
      <c r="D1200" t="inlineStr">
        <is>
          <t>JÄMTLANDS LÄN</t>
        </is>
      </c>
      <c r="E1200" t="inlineStr">
        <is>
          <t>RAGUNDA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35689-2025</t>
        </is>
      </c>
      <c r="B1201" s="1" t="n">
        <v>45860.30229166667</v>
      </c>
      <c r="C1201" s="1" t="n">
        <v>46004</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53951-2025</t>
        </is>
      </c>
      <c r="B1202" s="1" t="n">
        <v>45961.50200231482</v>
      </c>
      <c r="C1202" s="1" t="n">
        <v>46004</v>
      </c>
      <c r="D1202" t="inlineStr">
        <is>
          <t>JÄMTLANDS LÄN</t>
        </is>
      </c>
      <c r="E1202" t="inlineStr">
        <is>
          <t>RAGUNDA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53948-2025</t>
        </is>
      </c>
      <c r="B1203" s="1" t="n">
        <v>45961.50033564815</v>
      </c>
      <c r="C1203" s="1" t="n">
        <v>46004</v>
      </c>
      <c r="D1203" t="inlineStr">
        <is>
          <t>JÄMTLANDS LÄN</t>
        </is>
      </c>
      <c r="E1203" t="inlineStr">
        <is>
          <t>RAGUNDA</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54092-2024</t>
        </is>
      </c>
      <c r="B1204" s="1" t="n">
        <v>45616.5108912037</v>
      </c>
      <c r="C1204" s="1" t="n">
        <v>46004</v>
      </c>
      <c r="D1204" t="inlineStr">
        <is>
          <t>JÄMTLANDS LÄN</t>
        </is>
      </c>
      <c r="E1204" t="inlineStr">
        <is>
          <t>RAGUNDA</t>
        </is>
      </c>
      <c r="F1204" t="inlineStr">
        <is>
          <t>Naturvårdsverket</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36541-2025</t>
        </is>
      </c>
      <c r="B1205" s="1" t="n">
        <v>45869.65666666667</v>
      </c>
      <c r="C1205" s="1" t="n">
        <v>46004</v>
      </c>
      <c r="D1205" t="inlineStr">
        <is>
          <t>JÄMTLANDS LÄN</t>
        </is>
      </c>
      <c r="E1205" t="inlineStr">
        <is>
          <t>RAGUNDA</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36544-2025</t>
        </is>
      </c>
      <c r="B1206" s="1" t="n">
        <v>45869.67744212963</v>
      </c>
      <c r="C1206" s="1" t="n">
        <v>46004</v>
      </c>
      <c r="D1206" t="inlineStr">
        <is>
          <t>JÄMTLANDS LÄN</t>
        </is>
      </c>
      <c r="E1206" t="inlineStr">
        <is>
          <t>RAGUNDA</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36553-2025</t>
        </is>
      </c>
      <c r="B1207" s="1" t="n">
        <v>45870.34439814815</v>
      </c>
      <c r="C1207" s="1" t="n">
        <v>46004</v>
      </c>
      <c r="D1207" t="inlineStr">
        <is>
          <t>JÄMTLANDS LÄN</t>
        </is>
      </c>
      <c r="E1207" t="inlineStr">
        <is>
          <t>RAGUNDA</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32075-2025</t>
        </is>
      </c>
      <c r="B1208" s="1" t="n">
        <v>45835.4506712963</v>
      </c>
      <c r="C1208" s="1" t="n">
        <v>46004</v>
      </c>
      <c r="D1208" t="inlineStr">
        <is>
          <t>JÄMTLANDS LÄN</t>
        </is>
      </c>
      <c r="E1208" t="inlineStr">
        <is>
          <t>RAGUNDA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32874-2025</t>
        </is>
      </c>
      <c r="B1209" s="1" t="n">
        <v>45839</v>
      </c>
      <c r="C1209" s="1" t="n">
        <v>46004</v>
      </c>
      <c r="D1209" t="inlineStr">
        <is>
          <t>JÄMTLANDS LÄN</t>
        </is>
      </c>
      <c r="E1209" t="inlineStr">
        <is>
          <t>RAGUNDA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36994-2025</t>
        </is>
      </c>
      <c r="B1210" s="1" t="n">
        <v>45874.67746527777</v>
      </c>
      <c r="C1210" s="1" t="n">
        <v>46004</v>
      </c>
      <c r="D1210" t="inlineStr">
        <is>
          <t>JÄMTLANDS LÄN</t>
        </is>
      </c>
      <c r="E1210" t="inlineStr">
        <is>
          <t>RAGUNDA</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37008-2025</t>
        </is>
      </c>
      <c r="B1211" s="1" t="n">
        <v>45874.69844907407</v>
      </c>
      <c r="C1211" s="1" t="n">
        <v>46004</v>
      </c>
      <c r="D1211" t="inlineStr">
        <is>
          <t>JÄMTLANDS LÄN</t>
        </is>
      </c>
      <c r="E1211" t="inlineStr">
        <is>
          <t>RAGUNDA</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36947-2025</t>
        </is>
      </c>
      <c r="B1212" s="1" t="n">
        <v>45874.59496527778</v>
      </c>
      <c r="C1212" s="1" t="n">
        <v>46004</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37292-2025</t>
        </is>
      </c>
      <c r="B1213" s="1" t="n">
        <v>45876.53188657408</v>
      </c>
      <c r="C1213" s="1" t="n">
        <v>46004</v>
      </c>
      <c r="D1213" t="inlineStr">
        <is>
          <t>JÄMTLANDS LÄN</t>
        </is>
      </c>
      <c r="E1213" t="inlineStr">
        <is>
          <t>RAGUNDA</t>
        </is>
      </c>
      <c r="F1213" t="inlineStr">
        <is>
          <t>SCA</t>
        </is>
      </c>
      <c r="G1213" t="n">
        <v>2.6</v>
      </c>
      <c r="H1213" t="n">
        <v>0</v>
      </c>
      <c r="I1213" t="n">
        <v>0</v>
      </c>
      <c r="J1213" t="n">
        <v>0</v>
      </c>
      <c r="K1213" t="n">
        <v>0</v>
      </c>
      <c r="L1213" t="n">
        <v>0</v>
      </c>
      <c r="M1213" t="n">
        <v>0</v>
      </c>
      <c r="N1213" t="n">
        <v>0</v>
      </c>
      <c r="O1213" t="n">
        <v>0</v>
      </c>
      <c r="P1213" t="n">
        <v>0</v>
      </c>
      <c r="Q1213" t="n">
        <v>0</v>
      </c>
      <c r="R1213" s="2" t="inlineStr"/>
    </row>
    <row r="1214">
      <c r="A1214" t="inlineStr">
        <is>
          <t>A 9504-2025</t>
        </is>
      </c>
      <c r="B1214" s="1" t="n">
        <v>45714</v>
      </c>
      <c r="C1214" s="1" t="n">
        <v>46004</v>
      </c>
      <c r="D1214" t="inlineStr">
        <is>
          <t>JÄMTLANDS LÄN</t>
        </is>
      </c>
      <c r="E1214" t="inlineStr">
        <is>
          <t>RAGUNDA</t>
        </is>
      </c>
      <c r="G1214" t="n">
        <v>6</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2025-12-13T10:24:52Z</dcterms:created>
  <dcterms:modified xmlns:dcterms="http://purl.org/dc/terms/" xmlns:xsi="http://www.w3.org/2001/XMLSchema-instance" xsi:type="dcterms:W3CDTF">2025-12-13T10:24:53Z</dcterms:modified>
</cp:coreProperties>
</file>