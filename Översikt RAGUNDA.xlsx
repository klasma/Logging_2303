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46035</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46035</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46035</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46035</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46035</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46035</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46035</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46035</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46035</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46035</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46035</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46035</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46035</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46035</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46035</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46035</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46035</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46035</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46035</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46035</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46035</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46035</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46035</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46035</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46035</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4591-2024</t>
        </is>
      </c>
      <c r="B32" s="1" t="n">
        <v>45327</v>
      </c>
      <c r="C32" s="1" t="n">
        <v>46035</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10982-2025</t>
        </is>
      </c>
      <c r="B33" s="1" t="n">
        <v>45723.40688657408</v>
      </c>
      <c r="C33" s="1" t="n">
        <v>46035</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55894-2022</t>
        </is>
      </c>
      <c r="B34" s="1" t="n">
        <v>44888</v>
      </c>
      <c r="C34" s="1" t="n">
        <v>46035</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46035</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4146-2025</t>
        </is>
      </c>
      <c r="B36" s="1" t="n">
        <v>45685.36501157407</v>
      </c>
      <c r="C36" s="1" t="n">
        <v>46035</v>
      </c>
      <c r="D36" t="inlineStr">
        <is>
          <t>JÄMTLANDS LÄN</t>
        </is>
      </c>
      <c r="E36" t="inlineStr">
        <is>
          <t>RAGUNDA</t>
        </is>
      </c>
      <c r="G36" t="n">
        <v>10.7</v>
      </c>
      <c r="H36" t="n">
        <v>1</v>
      </c>
      <c r="I36" t="n">
        <v>5</v>
      </c>
      <c r="J36" t="n">
        <v>2</v>
      </c>
      <c r="K36" t="n">
        <v>2</v>
      </c>
      <c r="L36" t="n">
        <v>0</v>
      </c>
      <c r="M36" t="n">
        <v>0</v>
      </c>
      <c r="N36" t="n">
        <v>0</v>
      </c>
      <c r="O36" t="n">
        <v>4</v>
      </c>
      <c r="P36" t="n">
        <v>2</v>
      </c>
      <c r="Q36" t="n">
        <v>9</v>
      </c>
      <c r="R36" s="2" t="inlineStr">
        <is>
          <t>Knärot
Kopparspindling
Kolflarnlav
Lunglav
Dropptaggsvamp
Dvärgtufs
Korallblylav
Skinnlav
Stuplav</t>
        </is>
      </c>
      <c r="S36">
        <f>HYPERLINK("https://klasma.github.io/Logging_2303/artfynd/A 4146-2025 artfynd.xlsx", "A 4146-2025")</f>
        <v/>
      </c>
      <c r="T36">
        <f>HYPERLINK("https://klasma.github.io/Logging_2303/kartor/A 4146-2025 karta.png", "A 4146-2025")</f>
        <v/>
      </c>
      <c r="U36">
        <f>HYPERLINK("https://klasma.github.io/Logging_2303/knärot/A 4146-2025 karta knärot.png", "A 4146-2025")</f>
        <v/>
      </c>
      <c r="V36">
        <f>HYPERLINK("https://klasma.github.io/Logging_2303/klagomål/A 4146-2025 FSC-klagomål.docx", "A 4146-2025")</f>
        <v/>
      </c>
      <c r="W36">
        <f>HYPERLINK("https://klasma.github.io/Logging_2303/klagomålsmail/A 4146-2025 FSC-klagomål mail.docx", "A 4146-2025")</f>
        <v/>
      </c>
      <c r="X36">
        <f>HYPERLINK("https://klasma.github.io/Logging_2303/tillsyn/A 4146-2025 tillsynsbegäran.docx", "A 4146-2025")</f>
        <v/>
      </c>
      <c r="Y36">
        <f>HYPERLINK("https://klasma.github.io/Logging_2303/tillsynsmail/A 4146-2025 tillsynsbegäran mail.docx", "A 4146-2025")</f>
        <v/>
      </c>
    </row>
    <row r="37" ht="15" customHeight="1">
      <c r="A37" t="inlineStr">
        <is>
          <t>A 25016-2025</t>
        </is>
      </c>
      <c r="B37" s="1" t="n">
        <v>45799.63574074074</v>
      </c>
      <c r="C37" s="1" t="n">
        <v>46035</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46035</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46035</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46035</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42393-2025</t>
        </is>
      </c>
      <c r="B41" s="1" t="n">
        <v>45905</v>
      </c>
      <c r="C41" s="1" t="n">
        <v>46035</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46035</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32068-2024</t>
        </is>
      </c>
      <c r="B43" s="1" t="n">
        <v>45510</v>
      </c>
      <c r="C43" s="1" t="n">
        <v>46035</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46035</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33822-2023</t>
        </is>
      </c>
      <c r="B45" s="1" t="n">
        <v>45121</v>
      </c>
      <c r="C45" s="1" t="n">
        <v>46035</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45008-2023</t>
        </is>
      </c>
      <c r="B46" s="1" t="n">
        <v>45190.96092592592</v>
      </c>
      <c r="C46" s="1" t="n">
        <v>46035</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24732-2025</t>
        </is>
      </c>
      <c r="B47" s="1" t="n">
        <v>45799.34421296296</v>
      </c>
      <c r="C47" s="1" t="n">
        <v>46035</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46035</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30335-2025</t>
        </is>
      </c>
      <c r="B49" s="1" t="n">
        <v>45827.5110300926</v>
      </c>
      <c r="C49" s="1" t="n">
        <v>46035</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51037-2025</t>
        </is>
      </c>
      <c r="B50" s="1" t="n">
        <v>45947.40729166667</v>
      </c>
      <c r="C50" s="1" t="n">
        <v>46035</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60129-2025</t>
        </is>
      </c>
      <c r="B51" s="1" t="n">
        <v>45994.34461805555</v>
      </c>
      <c r="C51" s="1" t="n">
        <v>46035</v>
      </c>
      <c r="D51" t="inlineStr">
        <is>
          <t>JÄMTLANDS LÄN</t>
        </is>
      </c>
      <c r="E51" t="inlineStr">
        <is>
          <t>RAGUNDA</t>
        </is>
      </c>
      <c r="G51" t="n">
        <v>5.9</v>
      </c>
      <c r="H51" t="n">
        <v>2</v>
      </c>
      <c r="I51" t="n">
        <v>4</v>
      </c>
      <c r="J51" t="n">
        <v>3</v>
      </c>
      <c r="K51" t="n">
        <v>0</v>
      </c>
      <c r="L51" t="n">
        <v>0</v>
      </c>
      <c r="M51" t="n">
        <v>0</v>
      </c>
      <c r="N51" t="n">
        <v>0</v>
      </c>
      <c r="O51" t="n">
        <v>3</v>
      </c>
      <c r="P51" t="n">
        <v>0</v>
      </c>
      <c r="Q51" t="n">
        <v>8</v>
      </c>
      <c r="R51" s="2" t="inlineStr">
        <is>
          <t>Garnlav
Lunglav
Spillkråka
Luddlav
Skinnlav
Stor aspticka
Stuplav
Revlummer</t>
        </is>
      </c>
      <c r="S51">
        <f>HYPERLINK("https://klasma.github.io/Logging_2303/artfynd/A 60129-2025 artfynd.xlsx", "A 60129-2025")</f>
        <v/>
      </c>
      <c r="T51">
        <f>HYPERLINK("https://klasma.github.io/Logging_2303/kartor/A 60129-2025 karta.png", "A 60129-2025")</f>
        <v/>
      </c>
      <c r="V51">
        <f>HYPERLINK("https://klasma.github.io/Logging_2303/klagomål/A 60129-2025 FSC-klagomål.docx", "A 60129-2025")</f>
        <v/>
      </c>
      <c r="W51">
        <f>HYPERLINK("https://klasma.github.io/Logging_2303/klagomålsmail/A 60129-2025 FSC-klagomål mail.docx", "A 60129-2025")</f>
        <v/>
      </c>
      <c r="X51">
        <f>HYPERLINK("https://klasma.github.io/Logging_2303/tillsyn/A 60129-2025 tillsynsbegäran.docx", "A 60129-2025")</f>
        <v/>
      </c>
      <c r="Y51">
        <f>HYPERLINK("https://klasma.github.io/Logging_2303/tillsynsmail/A 60129-2025 tillsynsbegäran mail.docx", "A 60129-2025")</f>
        <v/>
      </c>
      <c r="Z51">
        <f>HYPERLINK("https://klasma.github.io/Logging_2303/fåglar/A 60129-2025 prioriterade fågelarter.docx", "A 60129-2025")</f>
        <v/>
      </c>
    </row>
    <row r="52" ht="15" customHeight="1">
      <c r="A52" t="inlineStr">
        <is>
          <t>A 62738-2025</t>
        </is>
      </c>
      <c r="B52" s="1" t="n">
        <v>46008.57341435185</v>
      </c>
      <c r="C52" s="1" t="n">
        <v>46035</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46035</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32475-2023</t>
        </is>
      </c>
      <c r="B54" s="1" t="n">
        <v>45120</v>
      </c>
      <c r="C54" s="1" t="n">
        <v>46035</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46035</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46035</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41929-2023</t>
        </is>
      </c>
      <c r="B57" s="1" t="n">
        <v>45176</v>
      </c>
      <c r="C57" s="1" t="n">
        <v>46035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46035</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26750-2025</t>
        </is>
      </c>
      <c r="B59" s="1" t="n">
        <v>45810.55061342593</v>
      </c>
      <c r="C59" s="1" t="n">
        <v>46035</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19399-2025</t>
        </is>
      </c>
      <c r="B60" s="1" t="n">
        <v>45769.67740740741</v>
      </c>
      <c r="C60" s="1" t="n">
        <v>46035</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33806-2023</t>
        </is>
      </c>
      <c r="B61" s="1" t="n">
        <v>45121</v>
      </c>
      <c r="C61" s="1" t="n">
        <v>46035</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46035</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46035</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46035</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46035</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46035</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46035</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46035</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39973-2025</t>
        </is>
      </c>
      <c r="B69" s="1" t="n">
        <v>45893.38584490741</v>
      </c>
      <c r="C69" s="1" t="n">
        <v>46035</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27322-2024</t>
        </is>
      </c>
      <c r="B70" s="1" t="n">
        <v>45471.94783564815</v>
      </c>
      <c r="C70" s="1" t="n">
        <v>46035</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30637-2024</t>
        </is>
      </c>
      <c r="B71" s="1" t="n">
        <v>45495.56244212963</v>
      </c>
      <c r="C71" s="1" t="n">
        <v>46035</v>
      </c>
      <c r="D71" t="inlineStr">
        <is>
          <t>JÄMTLANDS LÄN</t>
        </is>
      </c>
      <c r="E71" t="inlineStr">
        <is>
          <t>RAGUNDA</t>
        </is>
      </c>
      <c r="G71" t="n">
        <v>4.1</v>
      </c>
      <c r="H71" t="n">
        <v>5</v>
      </c>
      <c r="I71" t="n">
        <v>0</v>
      </c>
      <c r="J71" t="n">
        <v>4</v>
      </c>
      <c r="K71" t="n">
        <v>1</v>
      </c>
      <c r="L71" t="n">
        <v>0</v>
      </c>
      <c r="M71" t="n">
        <v>0</v>
      </c>
      <c r="N71" t="n">
        <v>0</v>
      </c>
      <c r="O71" t="n">
        <v>5</v>
      </c>
      <c r="P71" t="n">
        <v>1</v>
      </c>
      <c r="Q71" t="n">
        <v>6</v>
      </c>
      <c r="R71" s="2" t="inlineStr">
        <is>
          <t>Knärot
Lunglav
Spillkråka
Talltita
Tretåig hackspett
Vanlig groda</t>
        </is>
      </c>
      <c r="S71">
        <f>HYPERLINK("https://klasma.github.io/Logging_2303/artfynd/A 30637-2024 artfynd.xlsx", "A 30637-2024")</f>
        <v/>
      </c>
      <c r="T71">
        <f>HYPERLINK("https://klasma.github.io/Logging_2303/kartor/A 30637-2024 karta.png", "A 30637-2024")</f>
        <v/>
      </c>
      <c r="U71">
        <f>HYPERLINK("https://klasma.github.io/Logging_2303/knärot/A 30637-2024 karta knärot.png", "A 30637-2024")</f>
        <v/>
      </c>
      <c r="V71">
        <f>HYPERLINK("https://klasma.github.io/Logging_2303/klagomål/A 30637-2024 FSC-klagomål.docx", "A 30637-2024")</f>
        <v/>
      </c>
      <c r="W71">
        <f>HYPERLINK("https://klasma.github.io/Logging_2303/klagomålsmail/A 30637-2024 FSC-klagomål mail.docx", "A 30637-2024")</f>
        <v/>
      </c>
      <c r="X71">
        <f>HYPERLINK("https://klasma.github.io/Logging_2303/tillsyn/A 30637-2024 tillsynsbegäran.docx", "A 30637-2024")</f>
        <v/>
      </c>
      <c r="Y71">
        <f>HYPERLINK("https://klasma.github.io/Logging_2303/tillsynsmail/A 30637-2024 tillsynsbegäran mail.docx", "A 30637-2024")</f>
        <v/>
      </c>
      <c r="Z71">
        <f>HYPERLINK("https://klasma.github.io/Logging_2303/fåglar/A 30637-2024 prioriterade fågelarter.docx", "A 30637-2024")</f>
        <v/>
      </c>
    </row>
    <row r="72" ht="15" customHeight="1">
      <c r="A72" t="inlineStr">
        <is>
          <t>A 34317-2025</t>
        </is>
      </c>
      <c r="B72" s="1" t="n">
        <v>45846.41361111111</v>
      </c>
      <c r="C72" s="1" t="n">
        <v>46035</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49291-2025</t>
        </is>
      </c>
      <c r="B73" s="1" t="n">
        <v>45938.53188657408</v>
      </c>
      <c r="C73" s="1" t="n">
        <v>46035</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53021-2022</t>
        </is>
      </c>
      <c r="B74" s="1" t="n">
        <v>44875</v>
      </c>
      <c r="C74" s="1" t="n">
        <v>46035</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30884-2025</t>
        </is>
      </c>
      <c r="B75" s="1" t="n">
        <v>45832.34564814815</v>
      </c>
      <c r="C75" s="1" t="n">
        <v>46035</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19402-2025</t>
        </is>
      </c>
      <c r="B76" s="1" t="n">
        <v>45769.67778935185</v>
      </c>
      <c r="C76" s="1" t="n">
        <v>46035</v>
      </c>
      <c r="D76" t="inlineStr">
        <is>
          <t>JÄMTLANDS LÄN</t>
        </is>
      </c>
      <c r="E76" t="inlineStr">
        <is>
          <t>RAGUNDA</t>
        </is>
      </c>
      <c r="F76" t="inlineStr">
        <is>
          <t>SCA</t>
        </is>
      </c>
      <c r="G76" t="n">
        <v>3.1</v>
      </c>
      <c r="H76" t="n">
        <v>2</v>
      </c>
      <c r="I76" t="n">
        <v>3</v>
      </c>
      <c r="J76" t="n">
        <v>3</v>
      </c>
      <c r="K76" t="n">
        <v>0</v>
      </c>
      <c r="L76" t="n">
        <v>0</v>
      </c>
      <c r="M76" t="n">
        <v>0</v>
      </c>
      <c r="N76" t="n">
        <v>0</v>
      </c>
      <c r="O76" t="n">
        <v>3</v>
      </c>
      <c r="P76" t="n">
        <v>0</v>
      </c>
      <c r="Q76" t="n">
        <v>6</v>
      </c>
      <c r="R76" s="2" t="inlineStr">
        <is>
          <t>Garnlav
Lunglav
Tretåig hackspett
Bårdlav
Spindelblomster
Stuplav</t>
        </is>
      </c>
      <c r="S76">
        <f>HYPERLINK("https://klasma.github.io/Logging_2303/artfynd/A 19402-2025 artfynd.xlsx", "A 19402-2025")</f>
        <v/>
      </c>
      <c r="T76">
        <f>HYPERLINK("https://klasma.github.io/Logging_2303/kartor/A 19402-2025 karta.png", "A 19402-2025")</f>
        <v/>
      </c>
      <c r="V76">
        <f>HYPERLINK("https://klasma.github.io/Logging_2303/klagomål/A 19402-2025 FSC-klagomål.docx", "A 19402-2025")</f>
        <v/>
      </c>
      <c r="W76">
        <f>HYPERLINK("https://klasma.github.io/Logging_2303/klagomålsmail/A 19402-2025 FSC-klagomål mail.docx", "A 19402-2025")</f>
        <v/>
      </c>
      <c r="X76">
        <f>HYPERLINK("https://klasma.github.io/Logging_2303/tillsyn/A 19402-2025 tillsynsbegäran.docx", "A 19402-2025")</f>
        <v/>
      </c>
      <c r="Y76">
        <f>HYPERLINK("https://klasma.github.io/Logging_2303/tillsynsmail/A 19402-2025 tillsynsbegäran mail.docx", "A 19402-2025")</f>
        <v/>
      </c>
      <c r="Z76">
        <f>HYPERLINK("https://klasma.github.io/Logging_2303/fåglar/A 19402-2025 prioriterade fågelarter.docx", "A 19402-2025")</f>
        <v/>
      </c>
    </row>
    <row r="77" ht="15" customHeight="1">
      <c r="A77" t="inlineStr">
        <is>
          <t>A 11828-2023</t>
        </is>
      </c>
      <c r="B77" s="1" t="n">
        <v>44994</v>
      </c>
      <c r="C77" s="1" t="n">
        <v>46035</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26326-2024</t>
        </is>
      </c>
      <c r="B78" s="1" t="n">
        <v>45468.97528935185</v>
      </c>
      <c r="C78" s="1" t="n">
        <v>46035</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36276-2025</t>
        </is>
      </c>
      <c r="B79" s="1" t="n">
        <v>45867.63619212963</v>
      </c>
      <c r="C79" s="1" t="n">
        <v>46035</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24431-2024</t>
        </is>
      </c>
      <c r="B80" s="1" t="n">
        <v>45457</v>
      </c>
      <c r="C80" s="1" t="n">
        <v>46035</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55646-2023</t>
        </is>
      </c>
      <c r="B81" s="1" t="n">
        <v>45238</v>
      </c>
      <c r="C81" s="1" t="n">
        <v>46035</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47115-2025</t>
        </is>
      </c>
      <c r="B82" s="1" t="n">
        <v>45929</v>
      </c>
      <c r="C82" s="1" t="n">
        <v>46035</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46035</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46035</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46035</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46035</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46035</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18629-2024</t>
        </is>
      </c>
      <c r="B88" s="1" t="n">
        <v>45425.96472222222</v>
      </c>
      <c r="C88" s="1" t="n">
        <v>46035</v>
      </c>
      <c r="D88" t="inlineStr">
        <is>
          <t>JÄMTLANDS LÄN</t>
        </is>
      </c>
      <c r="E88" t="inlineStr">
        <is>
          <t>RAGUNDA</t>
        </is>
      </c>
      <c r="F88" t="inlineStr">
        <is>
          <t>SCA</t>
        </is>
      </c>
      <c r="G88" t="n">
        <v>1.6</v>
      </c>
      <c r="H88" t="n">
        <v>2</v>
      </c>
      <c r="I88" t="n">
        <v>1</v>
      </c>
      <c r="J88" t="n">
        <v>3</v>
      </c>
      <c r="K88" t="n">
        <v>0</v>
      </c>
      <c r="L88" t="n">
        <v>0</v>
      </c>
      <c r="M88" t="n">
        <v>0</v>
      </c>
      <c r="N88" t="n">
        <v>0</v>
      </c>
      <c r="O88" t="n">
        <v>3</v>
      </c>
      <c r="P88" t="n">
        <v>0</v>
      </c>
      <c r="Q88" t="n">
        <v>5</v>
      </c>
      <c r="R88" s="2" t="inlineStr">
        <is>
          <t>Garnlav
Lunglav
Tretåig hackspett
Stuplav
Fläcknycklar</t>
        </is>
      </c>
      <c r="S88">
        <f>HYPERLINK("https://klasma.github.io/Logging_2303/artfynd/A 18629-2024 artfynd.xlsx", "A 18629-2024")</f>
        <v/>
      </c>
      <c r="T88">
        <f>HYPERLINK("https://klasma.github.io/Logging_2303/kartor/A 18629-2024 karta.png", "A 18629-2024")</f>
        <v/>
      </c>
      <c r="V88">
        <f>HYPERLINK("https://klasma.github.io/Logging_2303/klagomål/A 18629-2024 FSC-klagomål.docx", "A 18629-2024")</f>
        <v/>
      </c>
      <c r="W88">
        <f>HYPERLINK("https://klasma.github.io/Logging_2303/klagomålsmail/A 18629-2024 FSC-klagomål mail.docx", "A 18629-2024")</f>
        <v/>
      </c>
      <c r="X88">
        <f>HYPERLINK("https://klasma.github.io/Logging_2303/tillsyn/A 18629-2024 tillsynsbegäran.docx", "A 18629-2024")</f>
        <v/>
      </c>
      <c r="Y88">
        <f>HYPERLINK("https://klasma.github.io/Logging_2303/tillsynsmail/A 18629-2024 tillsynsbegäran mail.docx", "A 18629-2024")</f>
        <v/>
      </c>
      <c r="Z88">
        <f>HYPERLINK("https://klasma.github.io/Logging_2303/fåglar/A 18629-2024 prioriterade fågelarter.docx", "A 18629-2024")</f>
        <v/>
      </c>
    </row>
    <row r="89" ht="15" customHeight="1">
      <c r="A89" t="inlineStr">
        <is>
          <t>A 30886-2025</t>
        </is>
      </c>
      <c r="B89" s="1" t="n">
        <v>45832.34578703704</v>
      </c>
      <c r="C89" s="1" t="n">
        <v>46035</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43106-2023</t>
        </is>
      </c>
      <c r="B90" s="1" t="n">
        <v>45182</v>
      </c>
      <c r="C90" s="1" t="n">
        <v>46035</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27313-2024</t>
        </is>
      </c>
      <c r="B91" s="1" t="n">
        <v>45471.94623842592</v>
      </c>
      <c r="C91" s="1" t="n">
        <v>46035</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35344-2025</t>
        </is>
      </c>
      <c r="B92" s="1" t="n">
        <v>45854.61494212963</v>
      </c>
      <c r="C92" s="1" t="n">
        <v>46035</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46035</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60683-2022</t>
        </is>
      </c>
      <c r="B94" s="1" t="n">
        <v>44911</v>
      </c>
      <c r="C94" s="1" t="n">
        <v>46035</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46035</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46035</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46035</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46035</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46035</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46035</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46035</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46035</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46035</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46035</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46035</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19401-2025</t>
        </is>
      </c>
      <c r="B106" s="1" t="n">
        <v>45769.67767361111</v>
      </c>
      <c r="C106" s="1" t="n">
        <v>46035</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21372-2025</t>
        </is>
      </c>
      <c r="B107" s="1" t="n">
        <v>45782.44871527778</v>
      </c>
      <c r="C107" s="1" t="n">
        <v>46035</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23682-2021</t>
        </is>
      </c>
      <c r="B108" s="1" t="n">
        <v>44334</v>
      </c>
      <c r="C108" s="1" t="n">
        <v>46035</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46035</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12640-2024</t>
        </is>
      </c>
      <c r="B110" s="1" t="n">
        <v>45384</v>
      </c>
      <c r="C110" s="1" t="n">
        <v>46035</v>
      </c>
      <c r="D110" t="inlineStr">
        <is>
          <t>JÄMTLANDS LÄN</t>
        </is>
      </c>
      <c r="E110" t="inlineStr">
        <is>
          <t>RAGUNDA</t>
        </is>
      </c>
      <c r="G110" t="n">
        <v>3.3</v>
      </c>
      <c r="H110" t="n">
        <v>0</v>
      </c>
      <c r="I110" t="n">
        <v>2</v>
      </c>
      <c r="J110" t="n">
        <v>1</v>
      </c>
      <c r="K110" t="n">
        <v>1</v>
      </c>
      <c r="L110" t="n">
        <v>0</v>
      </c>
      <c r="M110" t="n">
        <v>0</v>
      </c>
      <c r="N110" t="n">
        <v>0</v>
      </c>
      <c r="O110" t="n">
        <v>2</v>
      </c>
      <c r="P110" t="n">
        <v>1</v>
      </c>
      <c r="Q110" t="n">
        <v>4</v>
      </c>
      <c r="R110" s="2" t="inlineStr">
        <is>
          <t>Spadskinn
Vedskivlav
Dropptaggsvamp
Skarp dropptaggsvamp</t>
        </is>
      </c>
      <c r="S110">
        <f>HYPERLINK("https://klasma.github.io/Logging_2303/artfynd/A 12640-2024 artfynd.xlsx", "A 12640-2024")</f>
        <v/>
      </c>
      <c r="T110">
        <f>HYPERLINK("https://klasma.github.io/Logging_2303/kartor/A 12640-2024 karta.png", "A 12640-2024")</f>
        <v/>
      </c>
      <c r="V110">
        <f>HYPERLINK("https://klasma.github.io/Logging_2303/klagomål/A 12640-2024 FSC-klagomål.docx", "A 12640-2024")</f>
        <v/>
      </c>
      <c r="W110">
        <f>HYPERLINK("https://klasma.github.io/Logging_2303/klagomålsmail/A 12640-2024 FSC-klagomål mail.docx", "A 12640-2024")</f>
        <v/>
      </c>
      <c r="X110">
        <f>HYPERLINK("https://klasma.github.io/Logging_2303/tillsyn/A 12640-2024 tillsynsbegäran.docx", "A 12640-2024")</f>
        <v/>
      </c>
      <c r="Y110">
        <f>HYPERLINK("https://klasma.github.io/Logging_2303/tillsynsmail/A 12640-2024 tillsynsbegäran mail.docx", "A 12640-2024")</f>
        <v/>
      </c>
    </row>
    <row r="111" ht="15" customHeight="1">
      <c r="A111" t="inlineStr">
        <is>
          <t>A 12268-2024</t>
        </is>
      </c>
      <c r="B111" s="1" t="n">
        <v>45378</v>
      </c>
      <c r="C111" s="1" t="n">
        <v>46035</v>
      </c>
      <c r="D111" t="inlineStr">
        <is>
          <t>JÄMTLANDS LÄN</t>
        </is>
      </c>
      <c r="E111" t="inlineStr">
        <is>
          <t>RAGUNDA</t>
        </is>
      </c>
      <c r="F111" t="inlineStr">
        <is>
          <t>Kommuner</t>
        </is>
      </c>
      <c r="G111" t="n">
        <v>15.7</v>
      </c>
      <c r="H111" t="n">
        <v>0</v>
      </c>
      <c r="I111" t="n">
        <v>0</v>
      </c>
      <c r="J111" t="n">
        <v>4</v>
      </c>
      <c r="K111" t="n">
        <v>0</v>
      </c>
      <c r="L111" t="n">
        <v>0</v>
      </c>
      <c r="M111" t="n">
        <v>0</v>
      </c>
      <c r="N111" t="n">
        <v>0</v>
      </c>
      <c r="O111" t="n">
        <v>4</v>
      </c>
      <c r="P111" t="n">
        <v>0</v>
      </c>
      <c r="Q111" t="n">
        <v>4</v>
      </c>
      <c r="R111" s="2" t="inlineStr">
        <is>
          <t>Granticka
Mörk kolflarnlav
Vedskivlav
Vitgrynig nållav</t>
        </is>
      </c>
      <c r="S111">
        <f>HYPERLINK("https://klasma.github.io/Logging_2303/artfynd/A 12268-2024 artfynd.xlsx", "A 12268-2024")</f>
        <v/>
      </c>
      <c r="T111">
        <f>HYPERLINK("https://klasma.github.io/Logging_2303/kartor/A 12268-2024 karta.png", "A 12268-2024")</f>
        <v/>
      </c>
      <c r="V111">
        <f>HYPERLINK("https://klasma.github.io/Logging_2303/klagomål/A 12268-2024 FSC-klagomål.docx", "A 12268-2024")</f>
        <v/>
      </c>
      <c r="W111">
        <f>HYPERLINK("https://klasma.github.io/Logging_2303/klagomålsmail/A 12268-2024 FSC-klagomål mail.docx", "A 12268-2024")</f>
        <v/>
      </c>
      <c r="X111">
        <f>HYPERLINK("https://klasma.github.io/Logging_2303/tillsyn/A 12268-2024 tillsynsbegäran.docx", "A 12268-2024")</f>
        <v/>
      </c>
      <c r="Y111">
        <f>HYPERLINK("https://klasma.github.io/Logging_2303/tillsynsmail/A 12268-2024 tillsynsbegäran mail.docx", "A 12268-2024")</f>
        <v/>
      </c>
    </row>
    <row r="112" ht="15" customHeight="1">
      <c r="A112" t="inlineStr">
        <is>
          <t>A 32903-2024</t>
        </is>
      </c>
      <c r="B112" s="1" t="n">
        <v>45516.94723379629</v>
      </c>
      <c r="C112" s="1" t="n">
        <v>46035</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40653-2025</t>
        </is>
      </c>
      <c r="B113" s="1" t="n">
        <v>45896.63618055556</v>
      </c>
      <c r="C113" s="1" t="n">
        <v>46035</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23931-2024</t>
        </is>
      </c>
      <c r="B114" s="1" t="n">
        <v>45455.96195601852</v>
      </c>
      <c r="C114" s="1" t="n">
        <v>46035</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26082-2025</t>
        </is>
      </c>
      <c r="B115" s="1" t="n">
        <v>45805.34415509259</v>
      </c>
      <c r="C115" s="1" t="n">
        <v>46035</v>
      </c>
      <c r="D115" t="inlineStr">
        <is>
          <t>JÄMTLANDS LÄN</t>
        </is>
      </c>
      <c r="E115" t="inlineStr">
        <is>
          <t>RAGUNDA</t>
        </is>
      </c>
      <c r="F115" t="inlineStr">
        <is>
          <t>SCA</t>
        </is>
      </c>
      <c r="G115" t="n">
        <v>5</v>
      </c>
      <c r="H115" t="n">
        <v>1</v>
      </c>
      <c r="I115" t="n">
        <v>0</v>
      </c>
      <c r="J115" t="n">
        <v>3</v>
      </c>
      <c r="K115" t="n">
        <v>1</v>
      </c>
      <c r="L115" t="n">
        <v>0</v>
      </c>
      <c r="M115" t="n">
        <v>0</v>
      </c>
      <c r="N115" t="n">
        <v>0</v>
      </c>
      <c r="O115" t="n">
        <v>4</v>
      </c>
      <c r="P115" t="n">
        <v>1</v>
      </c>
      <c r="Q115" t="n">
        <v>4</v>
      </c>
      <c r="R115" s="2" t="inlineStr">
        <is>
          <t>Knärot
Gammelgransskål
Lunglav
Vitgrynig nållav</t>
        </is>
      </c>
      <c r="S115">
        <f>HYPERLINK("https://klasma.github.io/Logging_2303/artfynd/A 26082-2025 artfynd.xlsx", "A 26082-2025")</f>
        <v/>
      </c>
      <c r="T115">
        <f>HYPERLINK("https://klasma.github.io/Logging_2303/kartor/A 26082-2025 karta.png", "A 26082-2025")</f>
        <v/>
      </c>
      <c r="U115">
        <f>HYPERLINK("https://klasma.github.io/Logging_2303/knärot/A 26082-2025 karta knärot.png", "A 26082-2025")</f>
        <v/>
      </c>
      <c r="V115">
        <f>HYPERLINK("https://klasma.github.io/Logging_2303/klagomål/A 26082-2025 FSC-klagomål.docx", "A 26082-2025")</f>
        <v/>
      </c>
      <c r="W115">
        <f>HYPERLINK("https://klasma.github.io/Logging_2303/klagomålsmail/A 26082-2025 FSC-klagomål mail.docx", "A 26082-2025")</f>
        <v/>
      </c>
      <c r="X115">
        <f>HYPERLINK("https://klasma.github.io/Logging_2303/tillsyn/A 26082-2025 tillsynsbegäran.docx", "A 26082-2025")</f>
        <v/>
      </c>
      <c r="Y115">
        <f>HYPERLINK("https://klasma.github.io/Logging_2303/tillsynsmail/A 26082-2025 tillsynsbegäran mail.docx", "A 26082-2025")</f>
        <v/>
      </c>
    </row>
    <row r="116" ht="15" customHeight="1">
      <c r="A116" t="inlineStr">
        <is>
          <t>A 32067-2024</t>
        </is>
      </c>
      <c r="B116" s="1" t="n">
        <v>45510</v>
      </c>
      <c r="C116" s="1" t="n">
        <v>46035</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15836-2024</t>
        </is>
      </c>
      <c r="B117" s="1" t="n">
        <v>45404</v>
      </c>
      <c r="C117" s="1" t="n">
        <v>46035</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30465-2024</t>
        </is>
      </c>
      <c r="B118" s="1" t="n">
        <v>45491</v>
      </c>
      <c r="C118" s="1" t="n">
        <v>46035</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52168-2025</t>
        </is>
      </c>
      <c r="B119" s="1" t="n">
        <v>45953.365625</v>
      </c>
      <c r="C119" s="1" t="n">
        <v>46035</v>
      </c>
      <c r="D119" t="inlineStr">
        <is>
          <t>JÄMTLANDS LÄN</t>
        </is>
      </c>
      <c r="E119" t="inlineStr">
        <is>
          <t>RAGUNDA</t>
        </is>
      </c>
      <c r="F119" t="inlineStr">
        <is>
          <t>SCA</t>
        </is>
      </c>
      <c r="G119" t="n">
        <v>19.5</v>
      </c>
      <c r="H119" t="n">
        <v>0</v>
      </c>
      <c r="I119" t="n">
        <v>1</v>
      </c>
      <c r="J119" t="n">
        <v>3</v>
      </c>
      <c r="K119" t="n">
        <v>0</v>
      </c>
      <c r="L119" t="n">
        <v>0</v>
      </c>
      <c r="M119" t="n">
        <v>0</v>
      </c>
      <c r="N119" t="n">
        <v>0</v>
      </c>
      <c r="O119" t="n">
        <v>3</v>
      </c>
      <c r="P119" t="n">
        <v>0</v>
      </c>
      <c r="Q119" t="n">
        <v>4</v>
      </c>
      <c r="R119" s="2" t="inlineStr">
        <is>
          <t>Garnlav
Granticka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60670-2022</t>
        </is>
      </c>
      <c r="B120" s="1" t="n">
        <v>44911</v>
      </c>
      <c r="C120" s="1" t="n">
        <v>46035</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50342-2025</t>
        </is>
      </c>
      <c r="B121" s="1" t="n">
        <v>45944.53186342592</v>
      </c>
      <c r="C121" s="1" t="n">
        <v>46035</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52644-2024</t>
        </is>
      </c>
      <c r="B122" s="1" t="n">
        <v>45610.34415509259</v>
      </c>
      <c r="C122" s="1" t="n">
        <v>46035</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17092-2022</t>
        </is>
      </c>
      <c r="B123" s="1" t="n">
        <v>44677</v>
      </c>
      <c r="C123" s="1" t="n">
        <v>46035</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30483-2024</t>
        </is>
      </c>
      <c r="B124" s="1" t="n">
        <v>45491</v>
      </c>
      <c r="C124" s="1" t="n">
        <v>46035</v>
      </c>
      <c r="D124" t="inlineStr">
        <is>
          <t>JÄMTLANDS LÄN</t>
        </is>
      </c>
      <c r="E124" t="inlineStr">
        <is>
          <t>RAGUNDA</t>
        </is>
      </c>
      <c r="F124" t="inlineStr">
        <is>
          <t>SCA</t>
        </is>
      </c>
      <c r="G124" t="n">
        <v>1.6</v>
      </c>
      <c r="H124" t="n">
        <v>1</v>
      </c>
      <c r="I124" t="n">
        <v>0</v>
      </c>
      <c r="J124" t="n">
        <v>4</v>
      </c>
      <c r="K124" t="n">
        <v>0</v>
      </c>
      <c r="L124" t="n">
        <v>0</v>
      </c>
      <c r="M124" t="n">
        <v>0</v>
      </c>
      <c r="N124" t="n">
        <v>0</v>
      </c>
      <c r="O124" t="n">
        <v>4</v>
      </c>
      <c r="P124" t="n">
        <v>0</v>
      </c>
      <c r="Q124" t="n">
        <v>4</v>
      </c>
      <c r="R124" s="2" t="inlineStr">
        <is>
          <t>Dvärgbägarlav
Järpe
Kolflarnlav
Vedskivlav</t>
        </is>
      </c>
      <c r="S124">
        <f>HYPERLINK("https://klasma.github.io/Logging_2303/artfynd/A 30483-2024 artfynd.xlsx", "A 30483-2024")</f>
        <v/>
      </c>
      <c r="T124">
        <f>HYPERLINK("https://klasma.github.io/Logging_2303/kartor/A 30483-2024 karta.png", "A 30483-2024")</f>
        <v/>
      </c>
      <c r="V124">
        <f>HYPERLINK("https://klasma.github.io/Logging_2303/klagomål/A 30483-2024 FSC-klagomål.docx", "A 30483-2024")</f>
        <v/>
      </c>
      <c r="W124">
        <f>HYPERLINK("https://klasma.github.io/Logging_2303/klagomålsmail/A 30483-2024 FSC-klagomål mail.docx", "A 30483-2024")</f>
        <v/>
      </c>
      <c r="X124">
        <f>HYPERLINK("https://klasma.github.io/Logging_2303/tillsyn/A 30483-2024 tillsynsbegäran.docx", "A 30483-2024")</f>
        <v/>
      </c>
      <c r="Y124">
        <f>HYPERLINK("https://klasma.github.io/Logging_2303/tillsynsmail/A 30483-2024 tillsynsbegäran mail.docx", "A 30483-2024")</f>
        <v/>
      </c>
      <c r="Z124">
        <f>HYPERLINK("https://klasma.github.io/Logging_2303/fåglar/A 30483-2024 prioriterade fågelarter.docx", "A 30483-2024")</f>
        <v/>
      </c>
    </row>
    <row r="125" ht="15" customHeight="1">
      <c r="A125" t="inlineStr">
        <is>
          <t>A 43960-2023</t>
        </is>
      </c>
      <c r="B125" s="1" t="n">
        <v>45187</v>
      </c>
      <c r="C125" s="1" t="n">
        <v>46035</v>
      </c>
      <c r="D125" t="inlineStr">
        <is>
          <t>JÄMTLANDS LÄN</t>
        </is>
      </c>
      <c r="E125" t="inlineStr">
        <is>
          <t>RAGUNDA</t>
        </is>
      </c>
      <c r="F125" t="inlineStr">
        <is>
          <t>SCA</t>
        </is>
      </c>
      <c r="G125" t="n">
        <v>5.5</v>
      </c>
      <c r="H125" t="n">
        <v>0</v>
      </c>
      <c r="I125" t="n">
        <v>1</v>
      </c>
      <c r="J125" t="n">
        <v>3</v>
      </c>
      <c r="K125" t="n">
        <v>0</v>
      </c>
      <c r="L125" t="n">
        <v>0</v>
      </c>
      <c r="M125" t="n">
        <v>0</v>
      </c>
      <c r="N125" t="n">
        <v>0</v>
      </c>
      <c r="O125" t="n">
        <v>3</v>
      </c>
      <c r="P125" t="n">
        <v>0</v>
      </c>
      <c r="Q125" t="n">
        <v>4</v>
      </c>
      <c r="R125" s="2" t="inlineStr">
        <is>
          <t>Granticka
Vedflikmossa
Vedtrappmossa
Vedticka</t>
        </is>
      </c>
      <c r="S125">
        <f>HYPERLINK("https://klasma.github.io/Logging_2303/artfynd/A 43960-2023 artfynd.xlsx", "A 43960-2023")</f>
        <v/>
      </c>
      <c r="T125">
        <f>HYPERLINK("https://klasma.github.io/Logging_2303/kartor/A 43960-2023 karta.png", "A 43960-2023")</f>
        <v/>
      </c>
      <c r="V125">
        <f>HYPERLINK("https://klasma.github.io/Logging_2303/klagomål/A 43960-2023 FSC-klagomål.docx", "A 43960-2023")</f>
        <v/>
      </c>
      <c r="W125">
        <f>HYPERLINK("https://klasma.github.io/Logging_2303/klagomålsmail/A 43960-2023 FSC-klagomål mail.docx", "A 43960-2023")</f>
        <v/>
      </c>
      <c r="X125">
        <f>HYPERLINK("https://klasma.github.io/Logging_2303/tillsyn/A 43960-2023 tillsynsbegäran.docx", "A 43960-2023")</f>
        <v/>
      </c>
      <c r="Y125">
        <f>HYPERLINK("https://klasma.github.io/Logging_2303/tillsynsmail/A 43960-2023 tillsynsbegäran mail.docx", "A 43960-2023")</f>
        <v/>
      </c>
    </row>
    <row r="126" ht="15" customHeight="1">
      <c r="A126" t="inlineStr">
        <is>
          <t>A 48052-2022</t>
        </is>
      </c>
      <c r="B126" s="1" t="n">
        <v>44855</v>
      </c>
      <c r="C126" s="1" t="n">
        <v>46035</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46035</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46035</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46035</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21248-2025</t>
        </is>
      </c>
      <c r="B130" s="1" t="n">
        <v>45779.57392361111</v>
      </c>
      <c r="C130" s="1" t="n">
        <v>46035</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14814-2024</t>
        </is>
      </c>
      <c r="B131" s="1" t="n">
        <v>45397.95748842593</v>
      </c>
      <c r="C131" s="1" t="n">
        <v>46035</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46035</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46035</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46035</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20776-2024</t>
        </is>
      </c>
      <c r="B135" s="1" t="n">
        <v>45436.94686342592</v>
      </c>
      <c r="C135" s="1" t="n">
        <v>46035</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46035</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30470-2024</t>
        </is>
      </c>
      <c r="B137" s="1" t="n">
        <v>45491.94715277778</v>
      </c>
      <c r="C137" s="1" t="n">
        <v>46035</v>
      </c>
      <c r="D137" t="inlineStr">
        <is>
          <t>JÄMTLANDS LÄN</t>
        </is>
      </c>
      <c r="E137" t="inlineStr">
        <is>
          <t>RAGUNDA</t>
        </is>
      </c>
      <c r="F137" t="inlineStr">
        <is>
          <t>SCA</t>
        </is>
      </c>
      <c r="G137" t="n">
        <v>1.4</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HYPERLINK("https://klasma.github.io/Logging_2303/artfynd/A 30470-2024 artfynd.xlsx", "A 30470-2024")</f>
        <v/>
      </c>
      <c r="T137">
        <f>HYPERLINK("https://klasma.github.io/Logging_2303/kartor/A 30470-2024 karta.png", "A 30470-2024")</f>
        <v/>
      </c>
      <c r="U137">
        <f>HYPERLINK("https://klasma.github.io/Logging_2303/knärot/A 30470-2024 karta knärot.png", "A 30470-2024")</f>
        <v/>
      </c>
      <c r="V137">
        <f>HYPERLINK("https://klasma.github.io/Logging_2303/klagomål/A 30470-2024 FSC-klagomål.docx", "A 30470-2024")</f>
        <v/>
      </c>
      <c r="W137">
        <f>HYPERLINK("https://klasma.github.io/Logging_2303/klagomålsmail/A 30470-2024 FSC-klagomål mail.docx", "A 30470-2024")</f>
        <v/>
      </c>
      <c r="X137">
        <f>HYPERLINK("https://klasma.github.io/Logging_2303/tillsyn/A 30470-2024 tillsynsbegäran.docx", "A 30470-2024")</f>
        <v/>
      </c>
      <c r="Y137">
        <f>HYPERLINK("https://klasma.github.io/Logging_2303/tillsynsmail/A 30470-2024 tillsynsbegäran mail.docx", "A 30470-2024")</f>
        <v/>
      </c>
      <c r="Z137">
        <f>HYPERLINK("https://klasma.github.io/Logging_2303/fåglar/A 30470-2024 prioriterade fågelarter.docx", "A 30470-2024")</f>
        <v/>
      </c>
    </row>
    <row r="138" ht="15" customHeight="1">
      <c r="A138" t="inlineStr">
        <is>
          <t>A 7519-2023</t>
        </is>
      </c>
      <c r="B138" s="1" t="n">
        <v>44971</v>
      </c>
      <c r="C138" s="1" t="n">
        <v>46035</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46035</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22571-2025</t>
        </is>
      </c>
      <c r="B140" s="1" t="n">
        <v>45789.36503472222</v>
      </c>
      <c r="C140" s="1" t="n">
        <v>46035</v>
      </c>
      <c r="D140" t="inlineStr">
        <is>
          <t>JÄMTLANDS LÄN</t>
        </is>
      </c>
      <c r="E140" t="inlineStr">
        <is>
          <t>RAGUNDA</t>
        </is>
      </c>
      <c r="F140" t="inlineStr">
        <is>
          <t>SCA</t>
        </is>
      </c>
      <c r="G140" t="n">
        <v>18.2</v>
      </c>
      <c r="H140" t="n">
        <v>2</v>
      </c>
      <c r="I140" t="n">
        <v>0</v>
      </c>
      <c r="J140" t="n">
        <v>2</v>
      </c>
      <c r="K140" t="n">
        <v>0</v>
      </c>
      <c r="L140" t="n">
        <v>0</v>
      </c>
      <c r="M140" t="n">
        <v>0</v>
      </c>
      <c r="N140" t="n">
        <v>0</v>
      </c>
      <c r="O140" t="n">
        <v>2</v>
      </c>
      <c r="P140" t="n">
        <v>0</v>
      </c>
      <c r="Q140" t="n">
        <v>3</v>
      </c>
      <c r="R140" s="2" t="inlineStr">
        <is>
          <t>Garnlav
Tretåig hackspett
Nattviol</t>
        </is>
      </c>
      <c r="S140">
        <f>HYPERLINK("https://klasma.github.io/Logging_2303/artfynd/A 22571-2025 artfynd.xlsx", "A 22571-2025")</f>
        <v/>
      </c>
      <c r="T140">
        <f>HYPERLINK("https://klasma.github.io/Logging_2303/kartor/A 22571-2025 karta.png", "A 22571-2025")</f>
        <v/>
      </c>
      <c r="V140">
        <f>HYPERLINK("https://klasma.github.io/Logging_2303/klagomål/A 22571-2025 FSC-klagomål.docx", "A 22571-2025")</f>
        <v/>
      </c>
      <c r="W140">
        <f>HYPERLINK("https://klasma.github.io/Logging_2303/klagomålsmail/A 22571-2025 FSC-klagomål mail.docx", "A 22571-2025")</f>
        <v/>
      </c>
      <c r="X140">
        <f>HYPERLINK("https://klasma.github.io/Logging_2303/tillsyn/A 22571-2025 tillsynsbegäran.docx", "A 22571-2025")</f>
        <v/>
      </c>
      <c r="Y140">
        <f>HYPERLINK("https://klasma.github.io/Logging_2303/tillsynsmail/A 22571-2025 tillsynsbegäran mail.docx", "A 22571-2025")</f>
        <v/>
      </c>
      <c r="Z140">
        <f>HYPERLINK("https://klasma.github.io/Logging_2303/fåglar/A 22571-2025 prioriterade fågelarter.docx", "A 22571-2025")</f>
        <v/>
      </c>
    </row>
    <row r="141" ht="15" customHeight="1">
      <c r="A141" t="inlineStr">
        <is>
          <t>A 33432-2023</t>
        </is>
      </c>
      <c r="B141" s="1" t="n">
        <v>45128</v>
      </c>
      <c r="C141" s="1" t="n">
        <v>46035</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34585-2025</t>
        </is>
      </c>
      <c r="B142" s="1" t="n">
        <v>45847.61498842593</v>
      </c>
      <c r="C142" s="1" t="n">
        <v>46035</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32416-2025</t>
        </is>
      </c>
      <c r="B143" s="1" t="n">
        <v>45838</v>
      </c>
      <c r="C143" s="1" t="n">
        <v>46035</v>
      </c>
      <c r="D143" t="inlineStr">
        <is>
          <t>JÄMTLANDS LÄN</t>
        </is>
      </c>
      <c r="E143" t="inlineStr">
        <is>
          <t>RAGUNDA</t>
        </is>
      </c>
      <c r="F143" t="inlineStr">
        <is>
          <t>SCA</t>
        </is>
      </c>
      <c r="G143" t="n">
        <v>1.1</v>
      </c>
      <c r="H143" t="n">
        <v>2</v>
      </c>
      <c r="I143" t="n">
        <v>1</v>
      </c>
      <c r="J143" t="n">
        <v>0</v>
      </c>
      <c r="K143" t="n">
        <v>0</v>
      </c>
      <c r="L143" t="n">
        <v>0</v>
      </c>
      <c r="M143" t="n">
        <v>0</v>
      </c>
      <c r="N143" t="n">
        <v>0</v>
      </c>
      <c r="O143" t="n">
        <v>0</v>
      </c>
      <c r="P143" t="n">
        <v>0</v>
      </c>
      <c r="Q143" t="n">
        <v>3</v>
      </c>
      <c r="R143" s="2" t="inlineStr">
        <is>
          <t>Underviol
Blåsippa
Revlummer</t>
        </is>
      </c>
      <c r="S143">
        <f>HYPERLINK("https://klasma.github.io/Logging_2303/artfynd/A 32416-2025 artfynd.xlsx", "A 32416-2025")</f>
        <v/>
      </c>
      <c r="T143">
        <f>HYPERLINK("https://klasma.github.io/Logging_2303/kartor/A 32416-2025 karta.png", "A 32416-2025")</f>
        <v/>
      </c>
      <c r="V143">
        <f>HYPERLINK("https://klasma.github.io/Logging_2303/klagomål/A 32416-2025 FSC-klagomål.docx", "A 32416-2025")</f>
        <v/>
      </c>
      <c r="W143">
        <f>HYPERLINK("https://klasma.github.io/Logging_2303/klagomålsmail/A 32416-2025 FSC-klagomål mail.docx", "A 32416-2025")</f>
        <v/>
      </c>
      <c r="X143">
        <f>HYPERLINK("https://klasma.github.io/Logging_2303/tillsyn/A 32416-2025 tillsynsbegäran.docx", "A 32416-2025")</f>
        <v/>
      </c>
      <c r="Y143">
        <f>HYPERLINK("https://klasma.github.io/Logging_2303/tillsynsmail/A 32416-2025 tillsynsbegäran mail.docx", "A 32416-2025")</f>
        <v/>
      </c>
    </row>
    <row r="144" ht="15" customHeight="1">
      <c r="A144" t="inlineStr">
        <is>
          <t>A 57941-2024</t>
        </is>
      </c>
      <c r="B144" s="1" t="n">
        <v>45631</v>
      </c>
      <c r="C144" s="1" t="n">
        <v>46035</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61954-2025</t>
        </is>
      </c>
      <c r="B145" s="1" t="n">
        <v>46003.57381944444</v>
      </c>
      <c r="C145" s="1" t="n">
        <v>46035</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16305-2025</t>
        </is>
      </c>
      <c r="B146" s="1" t="n">
        <v>45751.34650462963</v>
      </c>
      <c r="C146" s="1" t="n">
        <v>46035</v>
      </c>
      <c r="D146" t="inlineStr">
        <is>
          <t>JÄMTLANDS LÄN</t>
        </is>
      </c>
      <c r="E146" t="inlineStr">
        <is>
          <t>RAGUNDA</t>
        </is>
      </c>
      <c r="F146" t="inlineStr">
        <is>
          <t>SCA</t>
        </is>
      </c>
      <c r="G146" t="n">
        <v>2.5</v>
      </c>
      <c r="H146" t="n">
        <v>0</v>
      </c>
      <c r="I146" t="n">
        <v>2</v>
      </c>
      <c r="J146" t="n">
        <v>1</v>
      </c>
      <c r="K146" t="n">
        <v>0</v>
      </c>
      <c r="L146" t="n">
        <v>0</v>
      </c>
      <c r="M146" t="n">
        <v>0</v>
      </c>
      <c r="N146" t="n">
        <v>0</v>
      </c>
      <c r="O146" t="n">
        <v>1</v>
      </c>
      <c r="P146" t="n">
        <v>0</v>
      </c>
      <c r="Q146" t="n">
        <v>3</v>
      </c>
      <c r="R146" s="2" t="inlineStr">
        <is>
          <t>Lunglav
Bollvitmossa
Källmossa</t>
        </is>
      </c>
      <c r="S146">
        <f>HYPERLINK("https://klasma.github.io/Logging_2303/artfynd/A 16305-2025 artfynd.xlsx", "A 16305-2025")</f>
        <v/>
      </c>
      <c r="T146">
        <f>HYPERLINK("https://klasma.github.io/Logging_2303/kartor/A 16305-2025 karta.png", "A 16305-2025")</f>
        <v/>
      </c>
      <c r="V146">
        <f>HYPERLINK("https://klasma.github.io/Logging_2303/klagomål/A 16305-2025 FSC-klagomål.docx", "A 16305-2025")</f>
        <v/>
      </c>
      <c r="W146">
        <f>HYPERLINK("https://klasma.github.io/Logging_2303/klagomålsmail/A 16305-2025 FSC-klagomål mail.docx", "A 16305-2025")</f>
        <v/>
      </c>
      <c r="X146">
        <f>HYPERLINK("https://klasma.github.io/Logging_2303/tillsyn/A 16305-2025 tillsynsbegäran.docx", "A 16305-2025")</f>
        <v/>
      </c>
      <c r="Y146">
        <f>HYPERLINK("https://klasma.github.io/Logging_2303/tillsynsmail/A 16305-2025 tillsynsbegäran mail.docx", "A 16305-2025")</f>
        <v/>
      </c>
    </row>
    <row r="147" ht="15" customHeight="1">
      <c r="A147" t="inlineStr">
        <is>
          <t>A 28178-2023</t>
        </is>
      </c>
      <c r="B147" s="1" t="n">
        <v>45093</v>
      </c>
      <c r="C147" s="1" t="n">
        <v>46035</v>
      </c>
      <c r="D147" t="inlineStr">
        <is>
          <t>JÄMTLANDS LÄN</t>
        </is>
      </c>
      <c r="E147" t="inlineStr">
        <is>
          <t>RAGUNDA</t>
        </is>
      </c>
      <c r="G147" t="n">
        <v>5.6</v>
      </c>
      <c r="H147" t="n">
        <v>0</v>
      </c>
      <c r="I147" t="n">
        <v>0</v>
      </c>
      <c r="J147" t="n">
        <v>3</v>
      </c>
      <c r="K147" t="n">
        <v>0</v>
      </c>
      <c r="L147" t="n">
        <v>0</v>
      </c>
      <c r="M147" t="n">
        <v>0</v>
      </c>
      <c r="N147" t="n">
        <v>0</v>
      </c>
      <c r="O147" t="n">
        <v>3</v>
      </c>
      <c r="P147" t="n">
        <v>0</v>
      </c>
      <c r="Q147" t="n">
        <v>3</v>
      </c>
      <c r="R147" s="2" t="inlineStr">
        <is>
          <t>Garnlav
Gultoppig fingersvamp
Violettgrå tagellav</t>
        </is>
      </c>
      <c r="S147">
        <f>HYPERLINK("https://klasma.github.io/Logging_2303/artfynd/A 28178-2023 artfynd.xlsx", "A 28178-2023")</f>
        <v/>
      </c>
      <c r="T147">
        <f>HYPERLINK("https://klasma.github.io/Logging_2303/kartor/A 28178-2023 karta.png", "A 28178-2023")</f>
        <v/>
      </c>
      <c r="V147">
        <f>HYPERLINK("https://klasma.github.io/Logging_2303/klagomål/A 28178-2023 FSC-klagomål.docx", "A 28178-2023")</f>
        <v/>
      </c>
      <c r="W147">
        <f>HYPERLINK("https://klasma.github.io/Logging_2303/klagomålsmail/A 28178-2023 FSC-klagomål mail.docx", "A 28178-2023")</f>
        <v/>
      </c>
      <c r="X147">
        <f>HYPERLINK("https://klasma.github.io/Logging_2303/tillsyn/A 28178-2023 tillsynsbegäran.docx", "A 28178-2023")</f>
        <v/>
      </c>
      <c r="Y147">
        <f>HYPERLINK("https://klasma.github.io/Logging_2303/tillsynsmail/A 28178-2023 tillsynsbegäran mail.docx", "A 28178-2023")</f>
        <v/>
      </c>
    </row>
    <row r="148" ht="15" customHeight="1">
      <c r="A148" t="inlineStr">
        <is>
          <t>A 52345-2024</t>
        </is>
      </c>
      <c r="B148" s="1" t="n">
        <v>45609.34412037037</v>
      </c>
      <c r="C148" s="1" t="n">
        <v>46035</v>
      </c>
      <c r="D148" t="inlineStr">
        <is>
          <t>JÄMTLANDS LÄN</t>
        </is>
      </c>
      <c r="E148" t="inlineStr">
        <is>
          <t>RAGUNDA</t>
        </is>
      </c>
      <c r="F148" t="inlineStr">
        <is>
          <t>SCA</t>
        </is>
      </c>
      <c r="G148" t="n">
        <v>10.3</v>
      </c>
      <c r="H148" t="n">
        <v>1</v>
      </c>
      <c r="I148" t="n">
        <v>0</v>
      </c>
      <c r="J148" t="n">
        <v>2</v>
      </c>
      <c r="K148" t="n">
        <v>0</v>
      </c>
      <c r="L148" t="n">
        <v>0</v>
      </c>
      <c r="M148" t="n">
        <v>0</v>
      </c>
      <c r="N148" t="n">
        <v>0</v>
      </c>
      <c r="O148" t="n">
        <v>2</v>
      </c>
      <c r="P148" t="n">
        <v>0</v>
      </c>
      <c r="Q148" t="n">
        <v>3</v>
      </c>
      <c r="R148" s="2" t="inlineStr">
        <is>
          <t>Doftskinn
Koralltaggsvamp
Blåsippa</t>
        </is>
      </c>
      <c r="S148">
        <f>HYPERLINK("https://klasma.github.io/Logging_2303/artfynd/A 52345-2024 artfynd.xlsx", "A 52345-2024")</f>
        <v/>
      </c>
      <c r="T148">
        <f>HYPERLINK("https://klasma.github.io/Logging_2303/kartor/A 52345-2024 karta.png", "A 52345-2024")</f>
        <v/>
      </c>
      <c r="V148">
        <f>HYPERLINK("https://klasma.github.io/Logging_2303/klagomål/A 52345-2024 FSC-klagomål.docx", "A 52345-2024")</f>
        <v/>
      </c>
      <c r="W148">
        <f>HYPERLINK("https://klasma.github.io/Logging_2303/klagomålsmail/A 52345-2024 FSC-klagomål mail.docx", "A 52345-2024")</f>
        <v/>
      </c>
      <c r="X148">
        <f>HYPERLINK("https://klasma.github.io/Logging_2303/tillsyn/A 52345-2024 tillsynsbegäran.docx", "A 52345-2024")</f>
        <v/>
      </c>
      <c r="Y148">
        <f>HYPERLINK("https://klasma.github.io/Logging_2303/tillsynsmail/A 52345-2024 tillsynsbegäran mail.docx", "A 52345-2024")</f>
        <v/>
      </c>
    </row>
    <row r="149" ht="15" customHeight="1">
      <c r="A149" t="inlineStr">
        <is>
          <t>A 57667-2025</t>
        </is>
      </c>
      <c r="B149" s="1" t="n">
        <v>45981.42767361111</v>
      </c>
      <c r="C149" s="1" t="n">
        <v>46035</v>
      </c>
      <c r="D149" t="inlineStr">
        <is>
          <t>JÄMTLANDS LÄN</t>
        </is>
      </c>
      <c r="E149" t="inlineStr">
        <is>
          <t>RAGUNDA</t>
        </is>
      </c>
      <c r="F149" t="inlineStr">
        <is>
          <t>SCA</t>
        </is>
      </c>
      <c r="G149" t="n">
        <v>1.7</v>
      </c>
      <c r="H149" t="n">
        <v>0</v>
      </c>
      <c r="I149" t="n">
        <v>2</v>
      </c>
      <c r="J149" t="n">
        <v>1</v>
      </c>
      <c r="K149" t="n">
        <v>0</v>
      </c>
      <c r="L149" t="n">
        <v>0</v>
      </c>
      <c r="M149" t="n">
        <v>0</v>
      </c>
      <c r="N149" t="n">
        <v>0</v>
      </c>
      <c r="O149" t="n">
        <v>1</v>
      </c>
      <c r="P149" t="n">
        <v>0</v>
      </c>
      <c r="Q149" t="n">
        <v>3</v>
      </c>
      <c r="R149" s="2" t="inlineStr">
        <is>
          <t>Lunglav
Korallblylav
Luddlav</t>
        </is>
      </c>
      <c r="S149">
        <f>HYPERLINK("https://klasma.github.io/Logging_2303/artfynd/A 57667-2025 artfynd.xlsx", "A 57667-2025")</f>
        <v/>
      </c>
      <c r="T149">
        <f>HYPERLINK("https://klasma.github.io/Logging_2303/kartor/A 57667-2025 karta.png", "A 57667-2025")</f>
        <v/>
      </c>
      <c r="V149">
        <f>HYPERLINK("https://klasma.github.io/Logging_2303/klagomål/A 57667-2025 FSC-klagomål.docx", "A 57667-2025")</f>
        <v/>
      </c>
      <c r="W149">
        <f>HYPERLINK("https://klasma.github.io/Logging_2303/klagomålsmail/A 57667-2025 FSC-klagomål mail.docx", "A 57667-2025")</f>
        <v/>
      </c>
      <c r="X149">
        <f>HYPERLINK("https://klasma.github.io/Logging_2303/tillsyn/A 57667-2025 tillsynsbegäran.docx", "A 57667-2025")</f>
        <v/>
      </c>
      <c r="Y149">
        <f>HYPERLINK("https://klasma.github.io/Logging_2303/tillsynsmail/A 57667-2025 tillsynsbegäran mail.docx", "A 57667-2025")</f>
        <v/>
      </c>
    </row>
    <row r="150" ht="15" customHeight="1">
      <c r="A150" t="inlineStr">
        <is>
          <t>A 59179-2025</t>
        </is>
      </c>
      <c r="B150" s="1" t="n">
        <v>45988.57350694444</v>
      </c>
      <c r="C150" s="1" t="n">
        <v>46035</v>
      </c>
      <c r="D150" t="inlineStr">
        <is>
          <t>JÄMTLANDS LÄN</t>
        </is>
      </c>
      <c r="E150" t="inlineStr">
        <is>
          <t>RAGUNDA</t>
        </is>
      </c>
      <c r="F150" t="inlineStr">
        <is>
          <t>SCA</t>
        </is>
      </c>
      <c r="G150" t="n">
        <v>2.3</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HYPERLINK("https://klasma.github.io/Logging_2303/artfynd/A 59179-2025 artfynd.xlsx", "A 59179-2025")</f>
        <v/>
      </c>
      <c r="T150">
        <f>HYPERLINK("https://klasma.github.io/Logging_2303/kartor/A 59179-2025 karta.png", "A 59179-2025")</f>
        <v/>
      </c>
      <c r="V150">
        <f>HYPERLINK("https://klasma.github.io/Logging_2303/klagomål/A 59179-2025 FSC-klagomål.docx", "A 59179-2025")</f>
        <v/>
      </c>
      <c r="W150">
        <f>HYPERLINK("https://klasma.github.io/Logging_2303/klagomålsmail/A 59179-2025 FSC-klagomål mail.docx", "A 59179-2025")</f>
        <v/>
      </c>
      <c r="X150">
        <f>HYPERLINK("https://klasma.github.io/Logging_2303/tillsyn/A 59179-2025 tillsynsbegäran.docx", "A 59179-2025")</f>
        <v/>
      </c>
      <c r="Y150">
        <f>HYPERLINK("https://klasma.github.io/Logging_2303/tillsynsmail/A 59179-2025 tillsynsbegäran mail.docx", "A 59179-2025")</f>
        <v/>
      </c>
    </row>
    <row r="151" ht="15" customHeight="1">
      <c r="A151" t="inlineStr">
        <is>
          <t>A 49047-2023</t>
        </is>
      </c>
      <c r="B151" s="1" t="n">
        <v>45209</v>
      </c>
      <c r="C151" s="1" t="n">
        <v>46035</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36504-2023</t>
        </is>
      </c>
      <c r="B152" s="1" t="n">
        <v>45152</v>
      </c>
      <c r="C152" s="1" t="n">
        <v>46035</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33278-2022</t>
        </is>
      </c>
      <c r="B153" s="1" t="n">
        <v>44788</v>
      </c>
      <c r="C153" s="1" t="n">
        <v>46035</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53022-2022</t>
        </is>
      </c>
      <c r="B154" s="1" t="n">
        <v>44875</v>
      </c>
      <c r="C154" s="1" t="n">
        <v>46035</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46035</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46035</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46035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47850-2025</t>
        </is>
      </c>
      <c r="B159" s="1" t="n">
        <v>45932.38626157407</v>
      </c>
      <c r="C159" s="1" t="n">
        <v>46035</v>
      </c>
      <c r="D159" t="inlineStr">
        <is>
          <t>JÄMTLANDS LÄN</t>
        </is>
      </c>
      <c r="E159" t="inlineStr">
        <is>
          <t>RAGUNDA</t>
        </is>
      </c>
      <c r="F159" t="inlineStr">
        <is>
          <t>SCA</t>
        </is>
      </c>
      <c r="G159" t="n">
        <v>2.4</v>
      </c>
      <c r="H159" t="n">
        <v>1</v>
      </c>
      <c r="I159" t="n">
        <v>0</v>
      </c>
      <c r="J159" t="n">
        <v>1</v>
      </c>
      <c r="K159" t="n">
        <v>0</v>
      </c>
      <c r="L159" t="n">
        <v>0</v>
      </c>
      <c r="M159" t="n">
        <v>0</v>
      </c>
      <c r="N159" t="n">
        <v>0</v>
      </c>
      <c r="O159" t="n">
        <v>1</v>
      </c>
      <c r="P159" t="n">
        <v>0</v>
      </c>
      <c r="Q159" t="n">
        <v>2</v>
      </c>
      <c r="R159" s="2" t="inlineStr">
        <is>
          <t>Kolflarnlav
Blåsippa</t>
        </is>
      </c>
      <c r="S159">
        <f>HYPERLINK("https://klasma.github.io/Logging_2303/artfynd/A 47850-2025 artfynd.xlsx", "A 47850-2025")</f>
        <v/>
      </c>
      <c r="T159">
        <f>HYPERLINK("https://klasma.github.io/Logging_2303/kartor/A 47850-2025 karta.png", "A 47850-2025")</f>
        <v/>
      </c>
      <c r="V159">
        <f>HYPERLINK("https://klasma.github.io/Logging_2303/klagomål/A 47850-2025 FSC-klagomål.docx", "A 47850-2025")</f>
        <v/>
      </c>
      <c r="W159">
        <f>HYPERLINK("https://klasma.github.io/Logging_2303/klagomålsmail/A 47850-2025 FSC-klagomål mail.docx", "A 47850-2025")</f>
        <v/>
      </c>
      <c r="X159">
        <f>HYPERLINK("https://klasma.github.io/Logging_2303/tillsyn/A 47850-2025 tillsynsbegäran.docx", "A 47850-2025")</f>
        <v/>
      </c>
      <c r="Y159">
        <f>HYPERLINK("https://klasma.github.io/Logging_2303/tillsynsmail/A 47850-2025 tillsynsbegäran mail.docx", "A 47850-2025")</f>
        <v/>
      </c>
    </row>
    <row r="160" ht="15" customHeight="1">
      <c r="A160" t="inlineStr">
        <is>
          <t>A 3838-2024</t>
        </is>
      </c>
      <c r="B160" s="1" t="n">
        <v>45321</v>
      </c>
      <c r="C160" s="1" t="n">
        <v>46035</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21245-2025</t>
        </is>
      </c>
      <c r="B161" s="1" t="n">
        <v>45779.57350694444</v>
      </c>
      <c r="C161" s="1" t="n">
        <v>46035</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12271-2024</t>
        </is>
      </c>
      <c r="B162" s="1" t="n">
        <v>45378</v>
      </c>
      <c r="C162" s="1" t="n">
        <v>46035</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39495-2024</t>
        </is>
      </c>
      <c r="B163" s="1" t="n">
        <v>45551.65726851852</v>
      </c>
      <c r="C163" s="1" t="n">
        <v>46035</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46035</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30053-2024</t>
        </is>
      </c>
      <c r="B165" s="1" t="n">
        <v>45488.94747685185</v>
      </c>
      <c r="C165" s="1" t="n">
        <v>46035</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25155-2025</t>
        </is>
      </c>
      <c r="B166" s="1" t="n">
        <v>45800.42782407408</v>
      </c>
      <c r="C166" s="1" t="n">
        <v>46035</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Leptoporus mollis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11544-2024</t>
        </is>
      </c>
      <c r="B167" s="1" t="n">
        <v>45372.95680555556</v>
      </c>
      <c r="C167" s="1" t="n">
        <v>46035</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14502-2024</t>
        </is>
      </c>
      <c r="B168" s="1" t="n">
        <v>45394</v>
      </c>
      <c r="C168" s="1" t="n">
        <v>46035</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48427-2023</t>
        </is>
      </c>
      <c r="B169" s="1" t="n">
        <v>45205</v>
      </c>
      <c r="C169" s="1" t="n">
        <v>46035</v>
      </c>
      <c r="D169" t="inlineStr">
        <is>
          <t>JÄMTLANDS LÄN</t>
        </is>
      </c>
      <c r="E169" t="inlineStr">
        <is>
          <t>RAGUNDA</t>
        </is>
      </c>
      <c r="F169" t="inlineStr">
        <is>
          <t>SCA</t>
        </is>
      </c>
      <c r="G169" t="n">
        <v>10.1</v>
      </c>
      <c r="H169" t="n">
        <v>0</v>
      </c>
      <c r="I169" t="n">
        <v>1</v>
      </c>
      <c r="J169" t="n">
        <v>1</v>
      </c>
      <c r="K169" t="n">
        <v>0</v>
      </c>
      <c r="L169" t="n">
        <v>0</v>
      </c>
      <c r="M169" t="n">
        <v>0</v>
      </c>
      <c r="N169" t="n">
        <v>0</v>
      </c>
      <c r="O169" t="n">
        <v>1</v>
      </c>
      <c r="P169" t="n">
        <v>0</v>
      </c>
      <c r="Q169" t="n">
        <v>2</v>
      </c>
      <c r="R169" s="2" t="inlineStr">
        <is>
          <t>Lunglav
Luddlav</t>
        </is>
      </c>
      <c r="S169">
        <f>HYPERLINK("https://klasma.github.io/Logging_2303/artfynd/A 48427-2023 artfynd.xlsx", "A 48427-2023")</f>
        <v/>
      </c>
      <c r="T169">
        <f>HYPERLINK("https://klasma.github.io/Logging_2303/kartor/A 48427-2023 karta.png", "A 48427-2023")</f>
        <v/>
      </c>
      <c r="V169">
        <f>HYPERLINK("https://klasma.github.io/Logging_2303/klagomål/A 48427-2023 FSC-klagomål.docx", "A 48427-2023")</f>
        <v/>
      </c>
      <c r="W169">
        <f>HYPERLINK("https://klasma.github.io/Logging_2303/klagomålsmail/A 48427-2023 FSC-klagomål mail.docx", "A 48427-2023")</f>
        <v/>
      </c>
      <c r="X169">
        <f>HYPERLINK("https://klasma.github.io/Logging_2303/tillsyn/A 48427-2023 tillsynsbegäran.docx", "A 48427-2023")</f>
        <v/>
      </c>
      <c r="Y169">
        <f>HYPERLINK("https://klasma.github.io/Logging_2303/tillsynsmail/A 48427-2023 tillsynsbegäran mail.docx", "A 48427-2023")</f>
        <v/>
      </c>
    </row>
    <row r="170" ht="15" customHeight="1">
      <c r="A170" t="inlineStr">
        <is>
          <t>A 31960-2025</t>
        </is>
      </c>
      <c r="B170" s="1" t="n">
        <v>45835.344375</v>
      </c>
      <c r="C170" s="1" t="n">
        <v>46035</v>
      </c>
      <c r="D170" t="inlineStr">
        <is>
          <t>JÄMTLANDS LÄN</t>
        </is>
      </c>
      <c r="E170" t="inlineStr">
        <is>
          <t>RAGUNDA</t>
        </is>
      </c>
      <c r="F170" t="inlineStr">
        <is>
          <t>SCA</t>
        </is>
      </c>
      <c r="G170" t="n">
        <v>1.6</v>
      </c>
      <c r="H170" t="n">
        <v>0</v>
      </c>
      <c r="I170" t="n">
        <v>0</v>
      </c>
      <c r="J170" t="n">
        <v>2</v>
      </c>
      <c r="K170" t="n">
        <v>0</v>
      </c>
      <c r="L170" t="n">
        <v>0</v>
      </c>
      <c r="M170" t="n">
        <v>0</v>
      </c>
      <c r="N170" t="n">
        <v>0</v>
      </c>
      <c r="O170" t="n">
        <v>2</v>
      </c>
      <c r="P170" t="n">
        <v>0</v>
      </c>
      <c r="Q170" t="n">
        <v>2</v>
      </c>
      <c r="R170" s="2" t="inlineStr">
        <is>
          <t>Gammelgransskål
Garnlav</t>
        </is>
      </c>
      <c r="S170">
        <f>HYPERLINK("https://klasma.github.io/Logging_2303/artfynd/A 31960-2025 artfynd.xlsx", "A 31960-2025")</f>
        <v/>
      </c>
      <c r="T170">
        <f>HYPERLINK("https://klasma.github.io/Logging_2303/kartor/A 31960-2025 karta.png", "A 31960-2025")</f>
        <v/>
      </c>
      <c r="V170">
        <f>HYPERLINK("https://klasma.github.io/Logging_2303/klagomål/A 31960-2025 FSC-klagomål.docx", "A 31960-2025")</f>
        <v/>
      </c>
      <c r="W170">
        <f>HYPERLINK("https://klasma.github.io/Logging_2303/klagomålsmail/A 31960-2025 FSC-klagomål mail.docx", "A 31960-2025")</f>
        <v/>
      </c>
      <c r="X170">
        <f>HYPERLINK("https://klasma.github.io/Logging_2303/tillsyn/A 31960-2025 tillsynsbegäran.docx", "A 31960-2025")</f>
        <v/>
      </c>
      <c r="Y170">
        <f>HYPERLINK("https://klasma.github.io/Logging_2303/tillsynsmail/A 31960-2025 tillsynsbegäran mail.docx", "A 31960-2025")</f>
        <v/>
      </c>
    </row>
    <row r="171" ht="15" customHeight="1">
      <c r="A171" t="inlineStr">
        <is>
          <t>A 26482-2023</t>
        </is>
      </c>
      <c r="B171" s="1" t="n">
        <v>45089</v>
      </c>
      <c r="C171" s="1" t="n">
        <v>46035</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46035</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35131-2025</t>
        </is>
      </c>
      <c r="B173" s="1" t="n">
        <v>45852.63597222222</v>
      </c>
      <c r="C173" s="1" t="n">
        <v>46035</v>
      </c>
      <c r="D173" t="inlineStr">
        <is>
          <t>JÄMTLANDS LÄN</t>
        </is>
      </c>
      <c r="E173" t="inlineStr">
        <is>
          <t>RAGUNDA</t>
        </is>
      </c>
      <c r="F173" t="inlineStr">
        <is>
          <t>SCA</t>
        </is>
      </c>
      <c r="G173" t="n">
        <v>6.9</v>
      </c>
      <c r="H173" t="n">
        <v>1</v>
      </c>
      <c r="I173" t="n">
        <v>1</v>
      </c>
      <c r="J173" t="n">
        <v>0</v>
      </c>
      <c r="K173" t="n">
        <v>0</v>
      </c>
      <c r="L173" t="n">
        <v>0</v>
      </c>
      <c r="M173" t="n">
        <v>0</v>
      </c>
      <c r="N173" t="n">
        <v>0</v>
      </c>
      <c r="O173" t="n">
        <v>0</v>
      </c>
      <c r="P173" t="n">
        <v>0</v>
      </c>
      <c r="Q173" t="n">
        <v>2</v>
      </c>
      <c r="R173" s="2" t="inlineStr">
        <is>
          <t>Ögonpyrola
Nattviol</t>
        </is>
      </c>
      <c r="S173">
        <f>HYPERLINK("https://klasma.github.io/Logging_2303/artfynd/A 35131-2025 artfynd.xlsx", "A 35131-2025")</f>
        <v/>
      </c>
      <c r="T173">
        <f>HYPERLINK("https://klasma.github.io/Logging_2303/kartor/A 35131-2025 karta.png", "A 35131-2025")</f>
        <v/>
      </c>
      <c r="V173">
        <f>HYPERLINK("https://klasma.github.io/Logging_2303/klagomål/A 35131-2025 FSC-klagomål.docx", "A 35131-2025")</f>
        <v/>
      </c>
      <c r="W173">
        <f>HYPERLINK("https://klasma.github.io/Logging_2303/klagomålsmail/A 35131-2025 FSC-klagomål mail.docx", "A 35131-2025")</f>
        <v/>
      </c>
      <c r="X173">
        <f>HYPERLINK("https://klasma.github.io/Logging_2303/tillsyn/A 35131-2025 tillsynsbegäran.docx", "A 35131-2025")</f>
        <v/>
      </c>
      <c r="Y173">
        <f>HYPERLINK("https://klasma.github.io/Logging_2303/tillsynsmail/A 35131-2025 tillsynsbegäran mail.docx", "A 35131-2025")</f>
        <v/>
      </c>
    </row>
    <row r="174" ht="15" customHeight="1">
      <c r="A174" t="inlineStr">
        <is>
          <t>A 10866-2025</t>
        </is>
      </c>
      <c r="B174" s="1" t="n">
        <v>45722.61543981481</v>
      </c>
      <c r="C174" s="1" t="n">
        <v>46035</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46035</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46035</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57940-2024</t>
        </is>
      </c>
      <c r="B177" s="1" t="n">
        <v>45631</v>
      </c>
      <c r="C177" s="1" t="n">
        <v>46035</v>
      </c>
      <c r="D177" t="inlineStr">
        <is>
          <t>JÄMTLANDS LÄN</t>
        </is>
      </c>
      <c r="E177" t="inlineStr">
        <is>
          <t>RAGUNDA</t>
        </is>
      </c>
      <c r="F177" t="inlineStr">
        <is>
          <t>SCA</t>
        </is>
      </c>
      <c r="G177" t="n">
        <v>1.9</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HYPERLINK("https://klasma.github.io/Logging_2303/artfynd/A 57940-2024 artfynd.xlsx", "A 57940-2024")</f>
        <v/>
      </c>
      <c r="T177">
        <f>HYPERLINK("https://klasma.github.io/Logging_2303/kartor/A 57940-2024 karta.png", "A 57940-2024")</f>
        <v/>
      </c>
      <c r="V177">
        <f>HYPERLINK("https://klasma.github.io/Logging_2303/klagomål/A 57940-2024 FSC-klagomål.docx", "A 57940-2024")</f>
        <v/>
      </c>
      <c r="W177">
        <f>HYPERLINK("https://klasma.github.io/Logging_2303/klagomålsmail/A 57940-2024 FSC-klagomål mail.docx", "A 57940-2024")</f>
        <v/>
      </c>
      <c r="X177">
        <f>HYPERLINK("https://klasma.github.io/Logging_2303/tillsyn/A 57940-2024 tillsynsbegäran.docx", "A 57940-2024")</f>
        <v/>
      </c>
      <c r="Y177">
        <f>HYPERLINK("https://klasma.github.io/Logging_2303/tillsynsmail/A 57940-2024 tillsynsbegäran mail.docx", "A 57940-2024")</f>
        <v/>
      </c>
      <c r="Z177">
        <f>HYPERLINK("https://klasma.github.io/Logging_2303/fåglar/A 57940-2024 prioriterade fågelarter.docx", "A 57940-2024")</f>
        <v/>
      </c>
    </row>
    <row r="178" ht="15" customHeight="1">
      <c r="A178" t="inlineStr">
        <is>
          <t>A 19384-2025</t>
        </is>
      </c>
      <c r="B178" s="1" t="n">
        <v>45769.65692129629</v>
      </c>
      <c r="C178" s="1" t="n">
        <v>46035</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62636-2025</t>
        </is>
      </c>
      <c r="B179" s="1" t="n">
        <v>46008.3653587963</v>
      </c>
      <c r="C179" s="1" t="n">
        <v>46035</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55647-2023</t>
        </is>
      </c>
      <c r="B180" s="1" t="n">
        <v>45238</v>
      </c>
      <c r="C180" s="1" t="n">
        <v>46035</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56634-2025</t>
        </is>
      </c>
      <c r="B181" s="1" t="n">
        <v>45975.61619212963</v>
      </c>
      <c r="C181" s="1" t="n">
        <v>46035</v>
      </c>
      <c r="D181" t="inlineStr">
        <is>
          <t>JÄMTLANDS LÄN</t>
        </is>
      </c>
      <c r="E181" t="inlineStr">
        <is>
          <t>RAGUNDA</t>
        </is>
      </c>
      <c r="F181" t="inlineStr">
        <is>
          <t>SCA</t>
        </is>
      </c>
      <c r="G181" t="n">
        <v>86.59999999999999</v>
      </c>
      <c r="H181" t="n">
        <v>0</v>
      </c>
      <c r="I181" t="n">
        <v>1</v>
      </c>
      <c r="J181" t="n">
        <v>1</v>
      </c>
      <c r="K181" t="n">
        <v>0</v>
      </c>
      <c r="L181" t="n">
        <v>0</v>
      </c>
      <c r="M181" t="n">
        <v>0</v>
      </c>
      <c r="N181" t="n">
        <v>0</v>
      </c>
      <c r="O181" t="n">
        <v>1</v>
      </c>
      <c r="P181" t="n">
        <v>0</v>
      </c>
      <c r="Q181" t="n">
        <v>2</v>
      </c>
      <c r="R181" s="2" t="inlineStr">
        <is>
          <t>Garnlav
Skuggblåslav</t>
        </is>
      </c>
      <c r="S181">
        <f>HYPERLINK("https://klasma.github.io/Logging_2303/artfynd/A 56634-2025 artfynd.xlsx", "A 56634-2025")</f>
        <v/>
      </c>
      <c r="T181">
        <f>HYPERLINK("https://klasma.github.io/Logging_2303/kartor/A 56634-2025 karta.png", "A 56634-2025")</f>
        <v/>
      </c>
      <c r="V181">
        <f>HYPERLINK("https://klasma.github.io/Logging_2303/klagomål/A 56634-2025 FSC-klagomål.docx", "A 56634-2025")</f>
        <v/>
      </c>
      <c r="W181">
        <f>HYPERLINK("https://klasma.github.io/Logging_2303/klagomålsmail/A 56634-2025 FSC-klagomål mail.docx", "A 56634-2025")</f>
        <v/>
      </c>
      <c r="X181">
        <f>HYPERLINK("https://klasma.github.io/Logging_2303/tillsyn/A 56634-2025 tillsynsbegäran.docx", "A 56634-2025")</f>
        <v/>
      </c>
      <c r="Y181">
        <f>HYPERLINK("https://klasma.github.io/Logging_2303/tillsynsmail/A 56634-2025 tillsynsbegäran mail.docx", "A 56634-2025")</f>
        <v/>
      </c>
    </row>
    <row r="182" ht="15" customHeight="1">
      <c r="A182" t="inlineStr">
        <is>
          <t>A 50089-2022</t>
        </is>
      </c>
      <c r="B182" s="1" t="n">
        <v>44865</v>
      </c>
      <c r="C182" s="1" t="n">
        <v>46035</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32736-2023</t>
        </is>
      </c>
      <c r="B183" s="1" t="n">
        <v>45121</v>
      </c>
      <c r="C183" s="1" t="n">
        <v>46035</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Vedtrappmossa
Stor aspticka</t>
        </is>
      </c>
      <c r="S183">
        <f>HYPERLINK("https://klasma.github.io/Logging_2303/artfynd/A 32736-2023 artfynd.xlsx", "A 32736-2023")</f>
        <v/>
      </c>
      <c r="T183">
        <f>HYPERLINK("https://klasma.github.io/Logging_2303/kartor/A 32736-2023 karta.png", "A 32736-2023")</f>
        <v/>
      </c>
      <c r="V183">
        <f>HYPERLINK("https://klasma.github.io/Logging_2303/klagomål/A 32736-2023 FSC-klagomål.docx", "A 32736-2023")</f>
        <v/>
      </c>
      <c r="W183">
        <f>HYPERLINK("https://klasma.github.io/Logging_2303/klagomålsmail/A 32736-2023 FSC-klagomål mail.docx", "A 32736-2023")</f>
        <v/>
      </c>
      <c r="X183">
        <f>HYPERLINK("https://klasma.github.io/Logging_2303/tillsyn/A 32736-2023 tillsynsbegäran.docx", "A 32736-2023")</f>
        <v/>
      </c>
      <c r="Y183">
        <f>HYPERLINK("https://klasma.github.io/Logging_2303/tillsynsmail/A 32736-2023 tillsynsbegäran mail.docx", "A 32736-2023")</f>
        <v/>
      </c>
    </row>
    <row r="184" ht="15" customHeight="1">
      <c r="A184" t="inlineStr">
        <is>
          <t>A 45021-2023</t>
        </is>
      </c>
      <c r="B184" s="1" t="n">
        <v>45190</v>
      </c>
      <c r="C184" s="1" t="n">
        <v>46035</v>
      </c>
      <c r="D184" t="inlineStr">
        <is>
          <t>JÄMTLANDS LÄN</t>
        </is>
      </c>
      <c r="E184" t="inlineStr">
        <is>
          <t>RAGUNDA</t>
        </is>
      </c>
      <c r="F184" t="inlineStr">
        <is>
          <t>SCA</t>
        </is>
      </c>
      <c r="G184" t="n">
        <v>1.6</v>
      </c>
      <c r="H184" t="n">
        <v>1</v>
      </c>
      <c r="I184" t="n">
        <v>0</v>
      </c>
      <c r="J184" t="n">
        <v>1</v>
      </c>
      <c r="K184" t="n">
        <v>0</v>
      </c>
      <c r="L184" t="n">
        <v>0</v>
      </c>
      <c r="M184" t="n">
        <v>0</v>
      </c>
      <c r="N184" t="n">
        <v>0</v>
      </c>
      <c r="O184" t="n">
        <v>1</v>
      </c>
      <c r="P184" t="n">
        <v>0</v>
      </c>
      <c r="Q184" t="n">
        <v>2</v>
      </c>
      <c r="R184" s="2" t="inlineStr">
        <is>
          <t>Lunglav
Fläcknycklar</t>
        </is>
      </c>
      <c r="S184">
        <f>HYPERLINK("https://klasma.github.io/Logging_2303/artfynd/A 45021-2023 artfynd.xlsx", "A 45021-2023")</f>
        <v/>
      </c>
      <c r="T184">
        <f>HYPERLINK("https://klasma.github.io/Logging_2303/kartor/A 45021-2023 karta.png", "A 45021-2023")</f>
        <v/>
      </c>
      <c r="V184">
        <f>HYPERLINK("https://klasma.github.io/Logging_2303/klagomål/A 45021-2023 FSC-klagomål.docx", "A 45021-2023")</f>
        <v/>
      </c>
      <c r="W184">
        <f>HYPERLINK("https://klasma.github.io/Logging_2303/klagomålsmail/A 45021-2023 FSC-klagomål mail.docx", "A 45021-2023")</f>
        <v/>
      </c>
      <c r="X184">
        <f>HYPERLINK("https://klasma.github.io/Logging_2303/tillsyn/A 45021-2023 tillsynsbegäran.docx", "A 45021-2023")</f>
        <v/>
      </c>
      <c r="Y184">
        <f>HYPERLINK("https://klasma.github.io/Logging_2303/tillsynsmail/A 45021-2023 tillsynsbegäran mail.docx", "A 45021-2023")</f>
        <v/>
      </c>
    </row>
    <row r="185" ht="15" customHeight="1">
      <c r="A185" t="inlineStr">
        <is>
          <t>A 44409-2023</t>
        </is>
      </c>
      <c r="B185" s="1" t="n">
        <v>45188</v>
      </c>
      <c r="C185" s="1" t="n">
        <v>46035</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46035</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46035</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45035-2023</t>
        </is>
      </c>
      <c r="B188" s="1" t="n">
        <v>45191</v>
      </c>
      <c r="C188" s="1" t="n">
        <v>46035</v>
      </c>
      <c r="D188" t="inlineStr">
        <is>
          <t>JÄMTLANDS LÄN</t>
        </is>
      </c>
      <c r="E188" t="inlineStr">
        <is>
          <t>RAGUNDA</t>
        </is>
      </c>
      <c r="G188" t="n">
        <v>2.9</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45035-2023 artfynd.xlsx", "A 45035-2023")</f>
        <v/>
      </c>
      <c r="T188">
        <f>HYPERLINK("https://klasma.github.io/Logging_2303/kartor/A 45035-2023 karta.png", "A 45035-2023")</f>
        <v/>
      </c>
      <c r="V188">
        <f>HYPERLINK("https://klasma.github.io/Logging_2303/klagomål/A 45035-2023 FSC-klagomål.docx", "A 45035-2023")</f>
        <v/>
      </c>
      <c r="W188">
        <f>HYPERLINK("https://klasma.github.io/Logging_2303/klagomålsmail/A 45035-2023 FSC-klagomål mail.docx", "A 45035-2023")</f>
        <v/>
      </c>
      <c r="X188">
        <f>HYPERLINK("https://klasma.github.io/Logging_2303/tillsyn/A 45035-2023 tillsynsbegäran.docx", "A 45035-2023")</f>
        <v/>
      </c>
      <c r="Y188">
        <f>HYPERLINK("https://klasma.github.io/Logging_2303/tillsynsmail/A 45035-2023 tillsynsbegäran mail.docx", "A 45035-2023")</f>
        <v/>
      </c>
    </row>
    <row r="189" ht="15" customHeight="1">
      <c r="A189" t="inlineStr">
        <is>
          <t>A 56285-2023</t>
        </is>
      </c>
      <c r="B189" s="1" t="n">
        <v>45241</v>
      </c>
      <c r="C189" s="1" t="n">
        <v>46035</v>
      </c>
      <c r="D189" t="inlineStr">
        <is>
          <t>JÄMTLANDS LÄN</t>
        </is>
      </c>
      <c r="E189" t="inlineStr">
        <is>
          <t>RAGUNDA</t>
        </is>
      </c>
      <c r="F189" t="inlineStr">
        <is>
          <t>SCA</t>
        </is>
      </c>
      <c r="G189" t="n">
        <v>5.5</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56285-2023 artfynd.xlsx", "A 56285-2023")</f>
        <v/>
      </c>
      <c r="T189">
        <f>HYPERLINK("https://klasma.github.io/Logging_2303/kartor/A 56285-2023 karta.png", "A 56285-2023")</f>
        <v/>
      </c>
      <c r="V189">
        <f>HYPERLINK("https://klasma.github.io/Logging_2303/klagomål/A 56285-2023 FSC-klagomål.docx", "A 56285-2023")</f>
        <v/>
      </c>
      <c r="W189">
        <f>HYPERLINK("https://klasma.github.io/Logging_2303/klagomålsmail/A 56285-2023 FSC-klagomål mail.docx", "A 56285-2023")</f>
        <v/>
      </c>
      <c r="X189">
        <f>HYPERLINK("https://klasma.github.io/Logging_2303/tillsyn/A 56285-2023 tillsynsbegäran.docx", "A 56285-2023")</f>
        <v/>
      </c>
      <c r="Y189">
        <f>HYPERLINK("https://klasma.github.io/Logging_2303/tillsynsmail/A 56285-2023 tillsynsbegäran mail.docx", "A 56285-2023")</f>
        <v/>
      </c>
    </row>
    <row r="190" ht="15" customHeight="1">
      <c r="A190" t="inlineStr">
        <is>
          <t>A 19728-2025</t>
        </is>
      </c>
      <c r="B190" s="1" t="n">
        <v>45771.36548611111</v>
      </c>
      <c r="C190" s="1" t="n">
        <v>46035</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34715-2024</t>
        </is>
      </c>
      <c r="B191" s="1" t="n">
        <v>45526.56393518519</v>
      </c>
      <c r="C191" s="1" t="n">
        <v>46035</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26324-2024</t>
        </is>
      </c>
      <c r="B192" s="1" t="n">
        <v>45468.97495370371</v>
      </c>
      <c r="C192" s="1" t="n">
        <v>46035</v>
      </c>
      <c r="D192" t="inlineStr">
        <is>
          <t>JÄMTLANDS LÄN</t>
        </is>
      </c>
      <c r="E192" t="inlineStr">
        <is>
          <t>RAGUNDA</t>
        </is>
      </c>
      <c r="F192" t="inlineStr">
        <is>
          <t>SCA</t>
        </is>
      </c>
      <c r="G192" t="n">
        <v>2</v>
      </c>
      <c r="H192" t="n">
        <v>1</v>
      </c>
      <c r="I192" t="n">
        <v>0</v>
      </c>
      <c r="J192" t="n">
        <v>1</v>
      </c>
      <c r="K192" t="n">
        <v>1</v>
      </c>
      <c r="L192" t="n">
        <v>0</v>
      </c>
      <c r="M192" t="n">
        <v>0</v>
      </c>
      <c r="N192" t="n">
        <v>0</v>
      </c>
      <c r="O192" t="n">
        <v>2</v>
      </c>
      <c r="P192" t="n">
        <v>1</v>
      </c>
      <c r="Q192" t="n">
        <v>2</v>
      </c>
      <c r="R192" s="2" t="inlineStr">
        <is>
          <t>Knärot
Vedtrappmossa</t>
        </is>
      </c>
      <c r="S192">
        <f>HYPERLINK("https://klasma.github.io/Logging_2303/artfynd/A 26324-2024 artfynd.xlsx", "A 26324-2024")</f>
        <v/>
      </c>
      <c r="T192">
        <f>HYPERLINK("https://klasma.github.io/Logging_2303/kartor/A 26324-2024 karta.png", "A 26324-2024")</f>
        <v/>
      </c>
      <c r="U192">
        <f>HYPERLINK("https://klasma.github.io/Logging_2303/knärot/A 26324-2024 karta knärot.png", "A 26324-2024")</f>
        <v/>
      </c>
      <c r="V192">
        <f>HYPERLINK("https://klasma.github.io/Logging_2303/klagomål/A 26324-2024 FSC-klagomål.docx", "A 26324-2024")</f>
        <v/>
      </c>
      <c r="W192">
        <f>HYPERLINK("https://klasma.github.io/Logging_2303/klagomålsmail/A 26324-2024 FSC-klagomål mail.docx", "A 26324-2024")</f>
        <v/>
      </c>
      <c r="X192">
        <f>HYPERLINK("https://klasma.github.io/Logging_2303/tillsyn/A 26324-2024 tillsynsbegäran.docx", "A 26324-2024")</f>
        <v/>
      </c>
      <c r="Y192">
        <f>HYPERLINK("https://klasma.github.io/Logging_2303/tillsynsmail/A 26324-2024 tillsynsbegäran mail.docx", "A 26324-2024")</f>
        <v/>
      </c>
    </row>
    <row r="193" ht="15" customHeight="1">
      <c r="A193" t="inlineStr">
        <is>
          <t>A 11843-2023</t>
        </is>
      </c>
      <c r="B193" s="1" t="n">
        <v>44993</v>
      </c>
      <c r="C193" s="1" t="n">
        <v>46035</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36756-2023</t>
        </is>
      </c>
      <c r="B194" s="1" t="n">
        <v>45153</v>
      </c>
      <c r="C194" s="1" t="n">
        <v>46035</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46035</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46035</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51916-2021</t>
        </is>
      </c>
      <c r="B197" s="1" t="n">
        <v>44462</v>
      </c>
      <c r="C197" s="1" t="n">
        <v>46035</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46035</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46035</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46035</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46035</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46035</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58846-2024</t>
        </is>
      </c>
      <c r="B203" s="1" t="n">
        <v>45636.3863425926</v>
      </c>
      <c r="C203" s="1" t="n">
        <v>46035</v>
      </c>
      <c r="D203" t="inlineStr">
        <is>
          <t>JÄMTLANDS LÄN</t>
        </is>
      </c>
      <c r="E203" t="inlineStr">
        <is>
          <t>RAGUNDA</t>
        </is>
      </c>
      <c r="F203" t="inlineStr">
        <is>
          <t>SCA</t>
        </is>
      </c>
      <c r="G203" t="n">
        <v>1.5</v>
      </c>
      <c r="H203" t="n">
        <v>0</v>
      </c>
      <c r="I203" t="n">
        <v>0</v>
      </c>
      <c r="J203" t="n">
        <v>0</v>
      </c>
      <c r="K203" t="n">
        <v>1</v>
      </c>
      <c r="L203" t="n">
        <v>0</v>
      </c>
      <c r="M203" t="n">
        <v>0</v>
      </c>
      <c r="N203" t="n">
        <v>0</v>
      </c>
      <c r="O203" t="n">
        <v>1</v>
      </c>
      <c r="P203" t="n">
        <v>1</v>
      </c>
      <c r="Q203" t="n">
        <v>1</v>
      </c>
      <c r="R203" s="2" t="inlineStr">
        <is>
          <t>Rynkskinn</t>
        </is>
      </c>
      <c r="S203">
        <f>HYPERLINK("https://klasma.github.io/Logging_2303/artfynd/A 58846-2024 artfynd.xlsx", "A 58846-2024")</f>
        <v/>
      </c>
      <c r="T203">
        <f>HYPERLINK("https://klasma.github.io/Logging_2303/kartor/A 58846-2024 karta.png", "A 58846-2024")</f>
        <v/>
      </c>
      <c r="V203">
        <f>HYPERLINK("https://klasma.github.io/Logging_2303/klagomål/A 58846-2024 FSC-klagomål.docx", "A 58846-2024")</f>
        <v/>
      </c>
      <c r="W203">
        <f>HYPERLINK("https://klasma.github.io/Logging_2303/klagomålsmail/A 58846-2024 FSC-klagomål mail.docx", "A 58846-2024")</f>
        <v/>
      </c>
      <c r="X203">
        <f>HYPERLINK("https://klasma.github.io/Logging_2303/tillsyn/A 58846-2024 tillsynsbegäran.docx", "A 58846-2024")</f>
        <v/>
      </c>
      <c r="Y203">
        <f>HYPERLINK("https://klasma.github.io/Logging_2303/tillsynsmail/A 58846-2024 tillsynsbegäran mail.docx", "A 58846-2024")</f>
        <v/>
      </c>
    </row>
    <row r="204" ht="15" customHeight="1">
      <c r="A204" t="inlineStr">
        <is>
          <t>A 26322-2024</t>
        </is>
      </c>
      <c r="B204" s="1" t="n">
        <v>45468.97461805555</v>
      </c>
      <c r="C204" s="1" t="n">
        <v>46035</v>
      </c>
      <c r="D204" t="inlineStr">
        <is>
          <t>JÄMTLANDS LÄN</t>
        </is>
      </c>
      <c r="E204" t="inlineStr">
        <is>
          <t>RAGUNDA</t>
        </is>
      </c>
      <c r="F204" t="inlineStr">
        <is>
          <t>SCA</t>
        </is>
      </c>
      <c r="G204" t="n">
        <v>9.6</v>
      </c>
      <c r="H204" t="n">
        <v>0</v>
      </c>
      <c r="I204" t="n">
        <v>0</v>
      </c>
      <c r="J204" t="n">
        <v>1</v>
      </c>
      <c r="K204" t="n">
        <v>0</v>
      </c>
      <c r="L204" t="n">
        <v>0</v>
      </c>
      <c r="M204" t="n">
        <v>0</v>
      </c>
      <c r="N204" t="n">
        <v>0</v>
      </c>
      <c r="O204" t="n">
        <v>1</v>
      </c>
      <c r="P204" t="n">
        <v>0</v>
      </c>
      <c r="Q204" t="n">
        <v>1</v>
      </c>
      <c r="R204" s="2" t="inlineStr">
        <is>
          <t>Rosenticka</t>
        </is>
      </c>
      <c r="S204">
        <f>HYPERLINK("https://klasma.github.io/Logging_2303/artfynd/A 26322-2024 artfynd.xlsx", "A 26322-2024")</f>
        <v/>
      </c>
      <c r="T204">
        <f>HYPERLINK("https://klasma.github.io/Logging_2303/kartor/A 26322-2024 karta.png", "A 26322-2024")</f>
        <v/>
      </c>
      <c r="U204">
        <f>HYPERLINK("https://klasma.github.io/Logging_2303/knärot/A 26322-2024 karta knärot.png", "A 26322-2024")</f>
        <v/>
      </c>
      <c r="V204">
        <f>HYPERLINK("https://klasma.github.io/Logging_2303/klagomål/A 26322-2024 FSC-klagomål.docx", "A 26322-2024")</f>
        <v/>
      </c>
      <c r="W204">
        <f>HYPERLINK("https://klasma.github.io/Logging_2303/klagomålsmail/A 26322-2024 FSC-klagomål mail.docx", "A 26322-2024")</f>
        <v/>
      </c>
      <c r="X204">
        <f>HYPERLINK("https://klasma.github.io/Logging_2303/tillsyn/A 26322-2024 tillsynsbegäran.docx", "A 26322-2024")</f>
        <v/>
      </c>
      <c r="Y204">
        <f>HYPERLINK("https://klasma.github.io/Logging_2303/tillsynsmail/A 26322-2024 tillsynsbegäran mail.docx", "A 26322-2024")</f>
        <v/>
      </c>
    </row>
    <row r="205" ht="15" customHeight="1">
      <c r="A205" t="inlineStr">
        <is>
          <t>A 16316-2025</t>
        </is>
      </c>
      <c r="B205" s="1" t="n">
        <v>45751.34795138889</v>
      </c>
      <c r="C205" s="1" t="n">
        <v>46035</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21212-2025</t>
        </is>
      </c>
      <c r="B206" s="1" t="n">
        <v>45779.48993055556</v>
      </c>
      <c r="C206" s="1" t="n">
        <v>46035</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1057-2024</t>
        </is>
      </c>
      <c r="B207" s="1" t="n">
        <v>45301</v>
      </c>
      <c r="C207" s="1" t="n">
        <v>46035</v>
      </c>
      <c r="D207" t="inlineStr">
        <is>
          <t>JÄMTLANDS LÄN</t>
        </is>
      </c>
      <c r="E207" t="inlineStr">
        <is>
          <t>RAGUNDA</t>
        </is>
      </c>
      <c r="F207" t="inlineStr">
        <is>
          <t>SCA</t>
        </is>
      </c>
      <c r="G207" t="n">
        <v>6.8</v>
      </c>
      <c r="H207" t="n">
        <v>0</v>
      </c>
      <c r="I207" t="n">
        <v>1</v>
      </c>
      <c r="J207" t="n">
        <v>0</v>
      </c>
      <c r="K207" t="n">
        <v>0</v>
      </c>
      <c r="L207" t="n">
        <v>0</v>
      </c>
      <c r="M207" t="n">
        <v>0</v>
      </c>
      <c r="N207" t="n">
        <v>0</v>
      </c>
      <c r="O207" t="n">
        <v>0</v>
      </c>
      <c r="P207" t="n">
        <v>0</v>
      </c>
      <c r="Q207" t="n">
        <v>1</v>
      </c>
      <c r="R207" s="2" t="inlineStr">
        <is>
          <t>Stor aspticka</t>
        </is>
      </c>
      <c r="S207">
        <f>HYPERLINK("https://klasma.github.io/Logging_2303/artfynd/A 1057-2024 artfynd.xlsx", "A 1057-2024")</f>
        <v/>
      </c>
      <c r="T207">
        <f>HYPERLINK("https://klasma.github.io/Logging_2303/kartor/A 1057-2024 karta.png", "A 1057-2024")</f>
        <v/>
      </c>
      <c r="V207">
        <f>HYPERLINK("https://klasma.github.io/Logging_2303/klagomål/A 1057-2024 FSC-klagomål.docx", "A 1057-2024")</f>
        <v/>
      </c>
      <c r="W207">
        <f>HYPERLINK("https://klasma.github.io/Logging_2303/klagomålsmail/A 1057-2024 FSC-klagomål mail.docx", "A 1057-2024")</f>
        <v/>
      </c>
      <c r="X207">
        <f>HYPERLINK("https://klasma.github.io/Logging_2303/tillsyn/A 1057-2024 tillsynsbegäran.docx", "A 1057-2024")</f>
        <v/>
      </c>
      <c r="Y207">
        <f>HYPERLINK("https://klasma.github.io/Logging_2303/tillsynsmail/A 1057-2024 tillsynsbegäran mail.docx", "A 1057-2024")</f>
        <v/>
      </c>
    </row>
    <row r="208" ht="15" customHeight="1">
      <c r="A208" t="inlineStr">
        <is>
          <t>A 978-2024</t>
        </is>
      </c>
      <c r="B208" s="1" t="n">
        <v>45301</v>
      </c>
      <c r="C208" s="1" t="n">
        <v>46035</v>
      </c>
      <c r="D208" t="inlineStr">
        <is>
          <t>JÄMTLANDS LÄN</t>
        </is>
      </c>
      <c r="E208" t="inlineStr">
        <is>
          <t>RAGUNDA</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978-2024 artfynd.xlsx", "A 978-2024")</f>
        <v/>
      </c>
      <c r="T208">
        <f>HYPERLINK("https://klasma.github.io/Logging_2303/kartor/A 978-2024 karta.png", "A 978-2024")</f>
        <v/>
      </c>
      <c r="V208">
        <f>HYPERLINK("https://klasma.github.io/Logging_2303/klagomål/A 978-2024 FSC-klagomål.docx", "A 978-2024")</f>
        <v/>
      </c>
      <c r="W208">
        <f>HYPERLINK("https://klasma.github.io/Logging_2303/klagomålsmail/A 978-2024 FSC-klagomål mail.docx", "A 978-2024")</f>
        <v/>
      </c>
      <c r="X208">
        <f>HYPERLINK("https://klasma.github.io/Logging_2303/tillsyn/A 978-2024 tillsynsbegäran.docx", "A 978-2024")</f>
        <v/>
      </c>
      <c r="Y208">
        <f>HYPERLINK("https://klasma.github.io/Logging_2303/tillsynsmail/A 978-2024 tillsynsbegäran mail.docx", "A 978-2024")</f>
        <v/>
      </c>
      <c r="Z208">
        <f>HYPERLINK("https://klasma.github.io/Logging_2303/fåglar/A 978-2024 prioriterade fågelarter.docx", "A 978-2024")</f>
        <v/>
      </c>
    </row>
    <row r="209" ht="15" customHeight="1">
      <c r="A209" t="inlineStr">
        <is>
          <t>A 59104-2023</t>
        </is>
      </c>
      <c r="B209" s="1" t="n">
        <v>45252</v>
      </c>
      <c r="C209" s="1" t="n">
        <v>46035</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44066-2024</t>
        </is>
      </c>
      <c r="B210" s="1" t="n">
        <v>45572.60363425926</v>
      </c>
      <c r="C210" s="1" t="n">
        <v>46035</v>
      </c>
      <c r="D210" t="inlineStr">
        <is>
          <t>JÄMTLANDS LÄN</t>
        </is>
      </c>
      <c r="E210" t="inlineStr">
        <is>
          <t>RAGUNDA</t>
        </is>
      </c>
      <c r="G210" t="n">
        <v>6.4</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44066-2024 artfynd.xlsx", "A 44066-2024")</f>
        <v/>
      </c>
      <c r="T210">
        <f>HYPERLINK("https://klasma.github.io/Logging_2303/kartor/A 44066-2024 karta.png", "A 44066-2024")</f>
        <v/>
      </c>
      <c r="V210">
        <f>HYPERLINK("https://klasma.github.io/Logging_2303/klagomål/A 44066-2024 FSC-klagomål.docx", "A 44066-2024")</f>
        <v/>
      </c>
      <c r="W210">
        <f>HYPERLINK("https://klasma.github.io/Logging_2303/klagomålsmail/A 44066-2024 FSC-klagomål mail.docx", "A 44066-2024")</f>
        <v/>
      </c>
      <c r="X210">
        <f>HYPERLINK("https://klasma.github.io/Logging_2303/tillsyn/A 44066-2024 tillsynsbegäran.docx", "A 44066-2024")</f>
        <v/>
      </c>
      <c r="Y210">
        <f>HYPERLINK("https://klasma.github.io/Logging_2303/tillsynsmail/A 44066-2024 tillsynsbegäran mail.docx", "A 44066-2024")</f>
        <v/>
      </c>
      <c r="Z210">
        <f>HYPERLINK("https://klasma.github.io/Logging_2303/fåglar/A 44066-2024 prioriterade fågelarter.docx", "A 44066-2024")</f>
        <v/>
      </c>
    </row>
    <row r="211" ht="15" customHeight="1">
      <c r="A211" t="inlineStr">
        <is>
          <t>A 40841-2025</t>
        </is>
      </c>
      <c r="B211" s="1" t="n">
        <v>45897.531875</v>
      </c>
      <c r="C211" s="1" t="n">
        <v>46035</v>
      </c>
      <c r="D211" t="inlineStr">
        <is>
          <t>JÄMTLANDS LÄN</t>
        </is>
      </c>
      <c r="E211" t="inlineStr">
        <is>
          <t>RAGUNDA</t>
        </is>
      </c>
      <c r="F211" t="inlineStr">
        <is>
          <t>SCA</t>
        </is>
      </c>
      <c r="G211" t="n">
        <v>1.1</v>
      </c>
      <c r="H211" t="n">
        <v>0</v>
      </c>
      <c r="I211" t="n">
        <v>0</v>
      </c>
      <c r="J211" t="n">
        <v>1</v>
      </c>
      <c r="K211" t="n">
        <v>0</v>
      </c>
      <c r="L211" t="n">
        <v>0</v>
      </c>
      <c r="M211" t="n">
        <v>0</v>
      </c>
      <c r="N211" t="n">
        <v>0</v>
      </c>
      <c r="O211" t="n">
        <v>1</v>
      </c>
      <c r="P211" t="n">
        <v>0</v>
      </c>
      <c r="Q211" t="n">
        <v>1</v>
      </c>
      <c r="R211" s="2" t="inlineStr">
        <is>
          <t>Garnlav</t>
        </is>
      </c>
      <c r="S211">
        <f>HYPERLINK("https://klasma.github.io/Logging_2303/artfynd/A 40841-2025 artfynd.xlsx", "A 40841-2025")</f>
        <v/>
      </c>
      <c r="T211">
        <f>HYPERLINK("https://klasma.github.io/Logging_2303/kartor/A 40841-2025 karta.png", "A 40841-2025")</f>
        <v/>
      </c>
      <c r="V211">
        <f>HYPERLINK("https://klasma.github.io/Logging_2303/klagomål/A 40841-2025 FSC-klagomål.docx", "A 40841-2025")</f>
        <v/>
      </c>
      <c r="W211">
        <f>HYPERLINK("https://klasma.github.io/Logging_2303/klagomålsmail/A 40841-2025 FSC-klagomål mail.docx", "A 40841-2025")</f>
        <v/>
      </c>
      <c r="X211">
        <f>HYPERLINK("https://klasma.github.io/Logging_2303/tillsyn/A 40841-2025 tillsynsbegäran.docx", "A 40841-2025")</f>
        <v/>
      </c>
      <c r="Y211">
        <f>HYPERLINK("https://klasma.github.io/Logging_2303/tillsynsmail/A 40841-2025 tillsynsbegäran mail.docx", "A 40841-2025")</f>
        <v/>
      </c>
    </row>
    <row r="212" ht="15" customHeight="1">
      <c r="A212" t="inlineStr">
        <is>
          <t>A 23930-2024</t>
        </is>
      </c>
      <c r="B212" s="1" t="n">
        <v>45455.96184027778</v>
      </c>
      <c r="C212" s="1" t="n">
        <v>46035</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6703-2024</t>
        </is>
      </c>
      <c r="B213" s="1" t="n">
        <v>45341</v>
      </c>
      <c r="C213" s="1" t="n">
        <v>46035</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49053-2025</t>
        </is>
      </c>
      <c r="B214" s="1" t="n">
        <v>45937.64009259259</v>
      </c>
      <c r="C214" s="1" t="n">
        <v>46035</v>
      </c>
      <c r="D214" t="inlineStr">
        <is>
          <t>JÄMTLANDS LÄN</t>
        </is>
      </c>
      <c r="E214" t="inlineStr">
        <is>
          <t>RAGUNDA</t>
        </is>
      </c>
      <c r="F214" t="inlineStr">
        <is>
          <t>SCA</t>
        </is>
      </c>
      <c r="G214" t="n">
        <v>7</v>
      </c>
      <c r="H214" t="n">
        <v>1</v>
      </c>
      <c r="I214" t="n">
        <v>1</v>
      </c>
      <c r="J214" t="n">
        <v>0</v>
      </c>
      <c r="K214" t="n">
        <v>0</v>
      </c>
      <c r="L214" t="n">
        <v>0</v>
      </c>
      <c r="M214" t="n">
        <v>0</v>
      </c>
      <c r="N214" t="n">
        <v>0</v>
      </c>
      <c r="O214" t="n">
        <v>0</v>
      </c>
      <c r="P214" t="n">
        <v>0</v>
      </c>
      <c r="Q214" t="n">
        <v>1</v>
      </c>
      <c r="R214" s="2" t="inlineStr">
        <is>
          <t>Guckusko</t>
        </is>
      </c>
      <c r="S214">
        <f>HYPERLINK("https://klasma.github.io/Logging_2303/artfynd/A 49053-2025 artfynd.xlsx", "A 49053-2025")</f>
        <v/>
      </c>
      <c r="T214">
        <f>HYPERLINK("https://klasma.github.io/Logging_2303/kartor/A 49053-2025 karta.png", "A 49053-2025")</f>
        <v/>
      </c>
      <c r="V214">
        <f>HYPERLINK("https://klasma.github.io/Logging_2303/klagomål/A 49053-2025 FSC-klagomål.docx", "A 49053-2025")</f>
        <v/>
      </c>
      <c r="W214">
        <f>HYPERLINK("https://klasma.github.io/Logging_2303/klagomålsmail/A 49053-2025 FSC-klagomål mail.docx", "A 49053-2025")</f>
        <v/>
      </c>
      <c r="X214">
        <f>HYPERLINK("https://klasma.github.io/Logging_2303/tillsyn/A 49053-2025 tillsynsbegäran.docx", "A 49053-2025")</f>
        <v/>
      </c>
      <c r="Y214">
        <f>HYPERLINK("https://klasma.github.io/Logging_2303/tillsynsmail/A 49053-2025 tillsynsbegäran mail.docx", "A 49053-2025")</f>
        <v/>
      </c>
    </row>
    <row r="215" ht="15" customHeight="1">
      <c r="A215" t="inlineStr">
        <is>
          <t>A 24443-2024</t>
        </is>
      </c>
      <c r="B215" s="1" t="n">
        <v>45457.9640625</v>
      </c>
      <c r="C215" s="1" t="n">
        <v>46035</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43526-2025</t>
        </is>
      </c>
      <c r="B216" s="1" t="n">
        <v>45911</v>
      </c>
      <c r="C216" s="1" t="n">
        <v>46035</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48429-2023</t>
        </is>
      </c>
      <c r="B217" s="1" t="n">
        <v>45205</v>
      </c>
      <c r="C217" s="1" t="n">
        <v>46035</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11040-2023</t>
        </is>
      </c>
      <c r="B218" s="1" t="n">
        <v>44991</v>
      </c>
      <c r="C218" s="1" t="n">
        <v>46035</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27573-2025</t>
        </is>
      </c>
      <c r="B219" s="1" t="n">
        <v>45813.49061342593</v>
      </c>
      <c r="C219" s="1" t="n">
        <v>46035</v>
      </c>
      <c r="D219" t="inlineStr">
        <is>
          <t>JÄMTLANDS LÄN</t>
        </is>
      </c>
      <c r="E219" t="inlineStr">
        <is>
          <t>RAGUNDA</t>
        </is>
      </c>
      <c r="F219" t="inlineStr">
        <is>
          <t>SCA</t>
        </is>
      </c>
      <c r="G219" t="n">
        <v>14.9</v>
      </c>
      <c r="H219" t="n">
        <v>0</v>
      </c>
      <c r="I219" t="n">
        <v>1</v>
      </c>
      <c r="J219" t="n">
        <v>0</v>
      </c>
      <c r="K219" t="n">
        <v>0</v>
      </c>
      <c r="L219" t="n">
        <v>0</v>
      </c>
      <c r="M219" t="n">
        <v>0</v>
      </c>
      <c r="N219" t="n">
        <v>0</v>
      </c>
      <c r="O219" t="n">
        <v>0</v>
      </c>
      <c r="P219" t="n">
        <v>0</v>
      </c>
      <c r="Q219" t="n">
        <v>1</v>
      </c>
      <c r="R219" s="2" t="inlineStr">
        <is>
          <t>Skinnlav</t>
        </is>
      </c>
      <c r="S219">
        <f>HYPERLINK("https://klasma.github.io/Logging_2303/artfynd/A 27573-2025 artfynd.xlsx", "A 27573-2025")</f>
        <v/>
      </c>
      <c r="T219">
        <f>HYPERLINK("https://klasma.github.io/Logging_2303/kartor/A 27573-2025 karta.png", "A 27573-2025")</f>
        <v/>
      </c>
      <c r="U219">
        <f>HYPERLINK("https://klasma.github.io/Logging_2303/knärot/A 27573-2025 karta knärot.png", "A 27573-2025")</f>
        <v/>
      </c>
      <c r="V219">
        <f>HYPERLINK("https://klasma.github.io/Logging_2303/klagomål/A 27573-2025 FSC-klagomål.docx", "A 27573-2025")</f>
        <v/>
      </c>
      <c r="W219">
        <f>HYPERLINK("https://klasma.github.io/Logging_2303/klagomålsmail/A 27573-2025 FSC-klagomål mail.docx", "A 27573-2025")</f>
        <v/>
      </c>
      <c r="X219">
        <f>HYPERLINK("https://klasma.github.io/Logging_2303/tillsyn/A 27573-2025 tillsynsbegäran.docx", "A 27573-2025")</f>
        <v/>
      </c>
      <c r="Y219">
        <f>HYPERLINK("https://klasma.github.io/Logging_2303/tillsynsmail/A 27573-2025 tillsynsbegäran mail.docx", "A 27573-2025")</f>
        <v/>
      </c>
    </row>
    <row r="220" ht="15" customHeight="1">
      <c r="A220" t="inlineStr">
        <is>
          <t>A 49091-2022</t>
        </is>
      </c>
      <c r="B220" s="1" t="n">
        <v>44860</v>
      </c>
      <c r="C220" s="1" t="n">
        <v>46035</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30390-2025</t>
        </is>
      </c>
      <c r="B221" s="1" t="n">
        <v>45827.57371527778</v>
      </c>
      <c r="C221" s="1" t="n">
        <v>46035</v>
      </c>
      <c r="D221" t="inlineStr">
        <is>
          <t>JÄMTLANDS LÄN</t>
        </is>
      </c>
      <c r="E221" t="inlineStr">
        <is>
          <t>RAGUNDA</t>
        </is>
      </c>
      <c r="F221" t="inlineStr">
        <is>
          <t>SCA</t>
        </is>
      </c>
      <c r="G221" t="n">
        <v>11.2</v>
      </c>
      <c r="H221" t="n">
        <v>0</v>
      </c>
      <c r="I221" t="n">
        <v>0</v>
      </c>
      <c r="J221" t="n">
        <v>1</v>
      </c>
      <c r="K221" t="n">
        <v>0</v>
      </c>
      <c r="L221" t="n">
        <v>0</v>
      </c>
      <c r="M221" t="n">
        <v>0</v>
      </c>
      <c r="N221" t="n">
        <v>0</v>
      </c>
      <c r="O221" t="n">
        <v>1</v>
      </c>
      <c r="P221" t="n">
        <v>0</v>
      </c>
      <c r="Q221" t="n">
        <v>1</v>
      </c>
      <c r="R221" s="2" t="inlineStr">
        <is>
          <t>Lunglav</t>
        </is>
      </c>
      <c r="S221">
        <f>HYPERLINK("https://klasma.github.io/Logging_2303/artfynd/A 30390-2025 artfynd.xlsx", "A 30390-2025")</f>
        <v/>
      </c>
      <c r="T221">
        <f>HYPERLINK("https://klasma.github.io/Logging_2303/kartor/A 30390-2025 karta.png", "A 30390-2025")</f>
        <v/>
      </c>
      <c r="U221">
        <f>HYPERLINK("https://klasma.github.io/Logging_2303/knärot/A 30390-2025 karta knärot.png", "A 30390-2025")</f>
        <v/>
      </c>
      <c r="V221">
        <f>HYPERLINK("https://klasma.github.io/Logging_2303/klagomål/A 30390-2025 FSC-klagomål.docx", "A 30390-2025")</f>
        <v/>
      </c>
      <c r="W221">
        <f>HYPERLINK("https://klasma.github.io/Logging_2303/klagomålsmail/A 30390-2025 FSC-klagomål mail.docx", "A 30390-2025")</f>
        <v/>
      </c>
      <c r="X221">
        <f>HYPERLINK("https://klasma.github.io/Logging_2303/tillsyn/A 30390-2025 tillsynsbegäran.docx", "A 30390-2025")</f>
        <v/>
      </c>
      <c r="Y221">
        <f>HYPERLINK("https://klasma.github.io/Logging_2303/tillsynsmail/A 30390-2025 tillsynsbegäran mail.docx", "A 30390-2025")</f>
        <v/>
      </c>
    </row>
    <row r="222" ht="15" customHeight="1">
      <c r="A222" t="inlineStr">
        <is>
          <t>A 22054-2025</t>
        </is>
      </c>
      <c r="B222" s="1" t="n">
        <v>45785.36525462963</v>
      </c>
      <c r="C222" s="1" t="n">
        <v>46035</v>
      </c>
      <c r="D222" t="inlineStr">
        <is>
          <t>JÄMTLANDS LÄN</t>
        </is>
      </c>
      <c r="E222" t="inlineStr">
        <is>
          <t>RAGUNDA</t>
        </is>
      </c>
      <c r="F222" t="inlineStr">
        <is>
          <t>SCA</t>
        </is>
      </c>
      <c r="G222" t="n">
        <v>4</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22054-2025 artfynd.xlsx", "A 22054-2025")</f>
        <v/>
      </c>
      <c r="T222">
        <f>HYPERLINK("https://klasma.github.io/Logging_2303/kartor/A 22054-2025 karta.png", "A 22054-2025")</f>
        <v/>
      </c>
      <c r="V222">
        <f>HYPERLINK("https://klasma.github.io/Logging_2303/klagomål/A 22054-2025 FSC-klagomål.docx", "A 22054-2025")</f>
        <v/>
      </c>
      <c r="W222">
        <f>HYPERLINK("https://klasma.github.io/Logging_2303/klagomålsmail/A 22054-2025 FSC-klagomål mail.docx", "A 22054-2025")</f>
        <v/>
      </c>
      <c r="X222">
        <f>HYPERLINK("https://klasma.github.io/Logging_2303/tillsyn/A 22054-2025 tillsynsbegäran.docx", "A 22054-2025")</f>
        <v/>
      </c>
      <c r="Y222">
        <f>HYPERLINK("https://klasma.github.io/Logging_2303/tillsynsmail/A 22054-2025 tillsynsbegäran mail.docx", "A 22054-2025")</f>
        <v/>
      </c>
      <c r="Z222">
        <f>HYPERLINK("https://klasma.github.io/Logging_2303/fåglar/A 22054-2025 prioriterade fågelarter.docx", "A 22054-2025")</f>
        <v/>
      </c>
    </row>
    <row r="223" ht="15" customHeight="1">
      <c r="A223" t="inlineStr">
        <is>
          <t>A 32445-2025</t>
        </is>
      </c>
      <c r="B223" s="1" t="n">
        <v>45838.38627314815</v>
      </c>
      <c r="C223" s="1" t="n">
        <v>46035</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51912-2025</t>
        </is>
      </c>
      <c r="B224" s="1" t="n">
        <v>45952.46939814815</v>
      </c>
      <c r="C224" s="1" t="n">
        <v>46035</v>
      </c>
      <c r="D224" t="inlineStr">
        <is>
          <t>JÄMTLANDS LÄN</t>
        </is>
      </c>
      <c r="E224" t="inlineStr">
        <is>
          <t>RAGUNDA</t>
        </is>
      </c>
      <c r="F224" t="inlineStr">
        <is>
          <t>SCA</t>
        </is>
      </c>
      <c r="G224" t="n">
        <v>24.2</v>
      </c>
      <c r="H224" t="n">
        <v>1</v>
      </c>
      <c r="I224" t="n">
        <v>0</v>
      </c>
      <c r="J224" t="n">
        <v>0</v>
      </c>
      <c r="K224" t="n">
        <v>1</v>
      </c>
      <c r="L224" t="n">
        <v>0</v>
      </c>
      <c r="M224" t="n">
        <v>0</v>
      </c>
      <c r="N224" t="n">
        <v>0</v>
      </c>
      <c r="O224" t="n">
        <v>1</v>
      </c>
      <c r="P224" t="n">
        <v>1</v>
      </c>
      <c r="Q224" t="n">
        <v>1</v>
      </c>
      <c r="R224" s="2" t="inlineStr">
        <is>
          <t>Norna</t>
        </is>
      </c>
      <c r="S224">
        <f>HYPERLINK("https://klasma.github.io/Logging_2303/artfynd/A 51912-2025 artfynd.xlsx", "A 51912-2025")</f>
        <v/>
      </c>
      <c r="T224">
        <f>HYPERLINK("https://klasma.github.io/Logging_2303/kartor/A 51912-2025 karta.png", "A 51912-2025")</f>
        <v/>
      </c>
      <c r="V224">
        <f>HYPERLINK("https://klasma.github.io/Logging_2303/klagomål/A 51912-2025 FSC-klagomål.docx", "A 51912-2025")</f>
        <v/>
      </c>
      <c r="W224">
        <f>HYPERLINK("https://klasma.github.io/Logging_2303/klagomålsmail/A 51912-2025 FSC-klagomål mail.docx", "A 51912-2025")</f>
        <v/>
      </c>
      <c r="X224">
        <f>HYPERLINK("https://klasma.github.io/Logging_2303/tillsyn/A 51912-2025 tillsynsbegäran.docx", "A 51912-2025")</f>
        <v/>
      </c>
      <c r="Y224">
        <f>HYPERLINK("https://klasma.github.io/Logging_2303/tillsynsmail/A 51912-2025 tillsynsbegäran mail.docx", "A 51912-2025")</f>
        <v/>
      </c>
    </row>
    <row r="225" ht="15" customHeight="1">
      <c r="A225" t="inlineStr">
        <is>
          <t>A 34474-2025</t>
        </is>
      </c>
      <c r="B225" s="1" t="n">
        <v>45847.36528935185</v>
      </c>
      <c r="C225" s="1" t="n">
        <v>46035</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36854-2023</t>
        </is>
      </c>
      <c r="B226" s="1" t="n">
        <v>45153</v>
      </c>
      <c r="C226" s="1" t="n">
        <v>46035</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46035</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46035</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46035</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50164-2023</t>
        </is>
      </c>
      <c r="B230" s="1" t="n">
        <v>45208</v>
      </c>
      <c r="C230" s="1" t="n">
        <v>46035</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2929-2024</t>
        </is>
      </c>
      <c r="B231" s="1" t="n">
        <v>45315</v>
      </c>
      <c r="C231" s="1" t="n">
        <v>46035</v>
      </c>
      <c r="D231" t="inlineStr">
        <is>
          <t>JÄMTLANDS LÄN</t>
        </is>
      </c>
      <c r="E231" t="inlineStr">
        <is>
          <t>RAGUNDA</t>
        </is>
      </c>
      <c r="G231" t="n">
        <v>1</v>
      </c>
      <c r="H231" t="n">
        <v>0</v>
      </c>
      <c r="I231" t="n">
        <v>0</v>
      </c>
      <c r="J231" t="n">
        <v>1</v>
      </c>
      <c r="K231" t="n">
        <v>0</v>
      </c>
      <c r="L231" t="n">
        <v>0</v>
      </c>
      <c r="M231" t="n">
        <v>0</v>
      </c>
      <c r="N231" t="n">
        <v>0</v>
      </c>
      <c r="O231" t="n">
        <v>1</v>
      </c>
      <c r="P231" t="n">
        <v>0</v>
      </c>
      <c r="Q231" t="n">
        <v>1</v>
      </c>
      <c r="R231" s="2" t="inlineStr">
        <is>
          <t>Klådris</t>
        </is>
      </c>
      <c r="S231">
        <f>HYPERLINK("https://klasma.github.io/Logging_2303/artfynd/A 2929-2024 artfynd.xlsx", "A 2929-2024")</f>
        <v/>
      </c>
      <c r="T231">
        <f>HYPERLINK("https://klasma.github.io/Logging_2303/kartor/A 2929-2024 karta.png", "A 2929-2024")</f>
        <v/>
      </c>
      <c r="V231">
        <f>HYPERLINK("https://klasma.github.io/Logging_2303/klagomål/A 2929-2024 FSC-klagomål.docx", "A 2929-2024")</f>
        <v/>
      </c>
      <c r="W231">
        <f>HYPERLINK("https://klasma.github.io/Logging_2303/klagomålsmail/A 2929-2024 FSC-klagomål mail.docx", "A 2929-2024")</f>
        <v/>
      </c>
      <c r="X231">
        <f>HYPERLINK("https://klasma.github.io/Logging_2303/tillsyn/A 2929-2024 tillsynsbegäran.docx", "A 2929-2024")</f>
        <v/>
      </c>
      <c r="Y231">
        <f>HYPERLINK("https://klasma.github.io/Logging_2303/tillsynsmail/A 2929-2024 tillsynsbegäran mail.docx", "A 2929-2024")</f>
        <v/>
      </c>
    </row>
    <row r="232" ht="15" customHeight="1">
      <c r="A232" t="inlineStr">
        <is>
          <t>A 50233-2024</t>
        </is>
      </c>
      <c r="B232" s="1" t="n">
        <v>45600.55265046296</v>
      </c>
      <c r="C232" s="1" t="n">
        <v>46035</v>
      </c>
      <c r="D232" t="inlineStr">
        <is>
          <t>JÄMTLANDS LÄN</t>
        </is>
      </c>
      <c r="E232" t="inlineStr">
        <is>
          <t>RAGUNDA</t>
        </is>
      </c>
      <c r="F232" t="inlineStr">
        <is>
          <t>SCA</t>
        </is>
      </c>
      <c r="G232" t="n">
        <v>5.6</v>
      </c>
      <c r="H232" t="n">
        <v>0</v>
      </c>
      <c r="I232" t="n">
        <v>0</v>
      </c>
      <c r="J232" t="n">
        <v>1</v>
      </c>
      <c r="K232" t="n">
        <v>0</v>
      </c>
      <c r="L232" t="n">
        <v>0</v>
      </c>
      <c r="M232" t="n">
        <v>0</v>
      </c>
      <c r="N232" t="n">
        <v>0</v>
      </c>
      <c r="O232" t="n">
        <v>1</v>
      </c>
      <c r="P232" t="n">
        <v>0</v>
      </c>
      <c r="Q232" t="n">
        <v>1</v>
      </c>
      <c r="R232" s="2" t="inlineStr">
        <is>
          <t>Granticka</t>
        </is>
      </c>
      <c r="S232">
        <f>HYPERLINK("https://klasma.github.io/Logging_2303/artfynd/A 50233-2024 artfynd.xlsx", "A 50233-2024")</f>
        <v/>
      </c>
      <c r="T232">
        <f>HYPERLINK("https://klasma.github.io/Logging_2303/kartor/A 50233-2024 karta.png", "A 50233-2024")</f>
        <v/>
      </c>
      <c r="V232">
        <f>HYPERLINK("https://klasma.github.io/Logging_2303/klagomål/A 50233-2024 FSC-klagomål.docx", "A 50233-2024")</f>
        <v/>
      </c>
      <c r="W232">
        <f>HYPERLINK("https://klasma.github.io/Logging_2303/klagomålsmail/A 50233-2024 FSC-klagomål mail.docx", "A 50233-2024")</f>
        <v/>
      </c>
      <c r="X232">
        <f>HYPERLINK("https://klasma.github.io/Logging_2303/tillsyn/A 50233-2024 tillsynsbegäran.docx", "A 50233-2024")</f>
        <v/>
      </c>
      <c r="Y232">
        <f>HYPERLINK("https://klasma.github.io/Logging_2303/tillsynsmail/A 50233-2024 tillsynsbegäran mail.docx", "A 50233-2024")</f>
        <v/>
      </c>
    </row>
    <row r="233" ht="15" customHeight="1">
      <c r="A233" t="inlineStr">
        <is>
          <t>A 55756-2025</t>
        </is>
      </c>
      <c r="B233" s="1" t="n">
        <v>45972.59438657408</v>
      </c>
      <c r="C233" s="1" t="n">
        <v>46035</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19751-2025</t>
        </is>
      </c>
      <c r="B234" s="1" t="n">
        <v>45771.3859837963</v>
      </c>
      <c r="C234" s="1" t="n">
        <v>46035</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56599-2025</t>
        </is>
      </c>
      <c r="B235" s="1" t="n">
        <v>45975.5734837963</v>
      </c>
      <c r="C235" s="1" t="n">
        <v>46035</v>
      </c>
      <c r="D235" t="inlineStr">
        <is>
          <t>JÄMTLANDS LÄN</t>
        </is>
      </c>
      <c r="E235" t="inlineStr">
        <is>
          <t>RAGUNDA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HYPERLINK("https://klasma.github.io/Logging_2303/artfynd/A 56599-2025 artfynd.xlsx", "A 56599-2025")</f>
        <v/>
      </c>
      <c r="T235">
        <f>HYPERLINK("https://klasma.github.io/Logging_2303/kartor/A 56599-2025 karta.png", "A 56599-2025")</f>
        <v/>
      </c>
      <c r="V235">
        <f>HYPERLINK("https://klasma.github.io/Logging_2303/klagomål/A 56599-2025 FSC-klagomål.docx", "A 56599-2025")</f>
        <v/>
      </c>
      <c r="W235">
        <f>HYPERLINK("https://klasma.github.io/Logging_2303/klagomålsmail/A 56599-2025 FSC-klagomål mail.docx", "A 56599-2025")</f>
        <v/>
      </c>
      <c r="X235">
        <f>HYPERLINK("https://klasma.github.io/Logging_2303/tillsyn/A 56599-2025 tillsynsbegäran.docx", "A 56599-2025")</f>
        <v/>
      </c>
      <c r="Y235">
        <f>HYPERLINK("https://klasma.github.io/Logging_2303/tillsynsmail/A 56599-2025 tillsynsbegäran mail.docx", "A 56599-2025")</f>
        <v/>
      </c>
    </row>
    <row r="236" ht="15" customHeight="1">
      <c r="A236" t="inlineStr">
        <is>
          <t>A 36224-2023</t>
        </is>
      </c>
      <c r="B236" s="1" t="n">
        <v>45149</v>
      </c>
      <c r="C236" s="1" t="n">
        <v>46035</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57478-2025</t>
        </is>
      </c>
      <c r="B237" s="1" t="n">
        <v>45980.57349537037</v>
      </c>
      <c r="C237" s="1" t="n">
        <v>46035</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57253-2025</t>
        </is>
      </c>
      <c r="B238" s="1" t="n">
        <v>45979.64381944444</v>
      </c>
      <c r="C238" s="1" t="n">
        <v>46035</v>
      </c>
      <c r="D238" t="inlineStr">
        <is>
          <t>JÄMTLANDS LÄN</t>
        </is>
      </c>
      <c r="E238" t="inlineStr">
        <is>
          <t>RAGUNDA</t>
        </is>
      </c>
      <c r="G238" t="n">
        <v>1.2</v>
      </c>
      <c r="H238" t="n">
        <v>0</v>
      </c>
      <c r="I238" t="n">
        <v>1</v>
      </c>
      <c r="J238" t="n">
        <v>0</v>
      </c>
      <c r="K238" t="n">
        <v>0</v>
      </c>
      <c r="L238" t="n">
        <v>0</v>
      </c>
      <c r="M238" t="n">
        <v>0</v>
      </c>
      <c r="N238" t="n">
        <v>0</v>
      </c>
      <c r="O238" t="n">
        <v>0</v>
      </c>
      <c r="P238" t="n">
        <v>0</v>
      </c>
      <c r="Q238" t="n">
        <v>1</v>
      </c>
      <c r="R238" s="2" t="inlineStr">
        <is>
          <t>Skinnlav</t>
        </is>
      </c>
      <c r="S238">
        <f>HYPERLINK("https://klasma.github.io/Logging_2303/artfynd/A 57253-2025 artfynd.xlsx", "A 57253-2025")</f>
        <v/>
      </c>
      <c r="T238">
        <f>HYPERLINK("https://klasma.github.io/Logging_2303/kartor/A 57253-2025 karta.png", "A 57253-2025")</f>
        <v/>
      </c>
      <c r="V238">
        <f>HYPERLINK("https://klasma.github.io/Logging_2303/klagomål/A 57253-2025 FSC-klagomål.docx", "A 57253-2025")</f>
        <v/>
      </c>
      <c r="W238">
        <f>HYPERLINK("https://klasma.github.io/Logging_2303/klagomålsmail/A 57253-2025 FSC-klagomål mail.docx", "A 57253-2025")</f>
        <v/>
      </c>
      <c r="X238">
        <f>HYPERLINK("https://klasma.github.io/Logging_2303/tillsyn/A 57253-2025 tillsynsbegäran.docx", "A 57253-2025")</f>
        <v/>
      </c>
      <c r="Y238">
        <f>HYPERLINK("https://klasma.github.io/Logging_2303/tillsynsmail/A 57253-2025 tillsynsbegäran mail.docx", "A 57253-2025")</f>
        <v/>
      </c>
    </row>
    <row r="239" ht="15" customHeight="1">
      <c r="A239" t="inlineStr">
        <is>
          <t>A 57479-2025</t>
        </is>
      </c>
      <c r="B239" s="1" t="n">
        <v>45980.5737037037</v>
      </c>
      <c r="C239" s="1" t="n">
        <v>46035</v>
      </c>
      <c r="D239" t="inlineStr">
        <is>
          <t>JÄMTLANDS LÄN</t>
        </is>
      </c>
      <c r="E239" t="inlineStr">
        <is>
          <t>RAGUNDA</t>
        </is>
      </c>
      <c r="F239" t="inlineStr">
        <is>
          <t>SCA</t>
        </is>
      </c>
      <c r="G239" t="n">
        <v>12</v>
      </c>
      <c r="H239" t="n">
        <v>0</v>
      </c>
      <c r="I239" t="n">
        <v>0</v>
      </c>
      <c r="J239" t="n">
        <v>1</v>
      </c>
      <c r="K239" t="n">
        <v>0</v>
      </c>
      <c r="L239" t="n">
        <v>0</v>
      </c>
      <c r="M239" t="n">
        <v>0</v>
      </c>
      <c r="N239" t="n">
        <v>0</v>
      </c>
      <c r="O239" t="n">
        <v>1</v>
      </c>
      <c r="P239" t="n">
        <v>0</v>
      </c>
      <c r="Q239" t="n">
        <v>1</v>
      </c>
      <c r="R239" s="2" t="inlineStr">
        <is>
          <t>Kolflarnlav</t>
        </is>
      </c>
      <c r="S239">
        <f>HYPERLINK("https://klasma.github.io/Logging_2303/artfynd/A 57479-2025 artfynd.xlsx", "A 57479-2025")</f>
        <v/>
      </c>
      <c r="T239">
        <f>HYPERLINK("https://klasma.github.io/Logging_2303/kartor/A 57479-2025 karta.png", "A 57479-2025")</f>
        <v/>
      </c>
      <c r="V239">
        <f>HYPERLINK("https://klasma.github.io/Logging_2303/klagomål/A 57479-2025 FSC-klagomål.docx", "A 57479-2025")</f>
        <v/>
      </c>
      <c r="W239">
        <f>HYPERLINK("https://klasma.github.io/Logging_2303/klagomålsmail/A 57479-2025 FSC-klagomål mail.docx", "A 57479-2025")</f>
        <v/>
      </c>
      <c r="X239">
        <f>HYPERLINK("https://klasma.github.io/Logging_2303/tillsyn/A 57479-2025 tillsynsbegäran.docx", "A 57479-2025")</f>
        <v/>
      </c>
      <c r="Y239">
        <f>HYPERLINK("https://klasma.github.io/Logging_2303/tillsynsmail/A 57479-2025 tillsynsbegäran mail.docx", "A 57479-2025")</f>
        <v/>
      </c>
    </row>
    <row r="240" ht="15" customHeight="1">
      <c r="A240" t="inlineStr">
        <is>
          <t>A 17340-2023</t>
        </is>
      </c>
      <c r="B240" s="1" t="n">
        <v>45033</v>
      </c>
      <c r="C240" s="1" t="n">
        <v>46035</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58990-2025</t>
        </is>
      </c>
      <c r="B241" s="1" t="n">
        <v>45987</v>
      </c>
      <c r="C241" s="1" t="n">
        <v>46035</v>
      </c>
      <c r="D241" t="inlineStr">
        <is>
          <t>JÄMTLANDS LÄN</t>
        </is>
      </c>
      <c r="E241" t="inlineStr">
        <is>
          <t>RAGUNDA</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58990-2025 artfynd.xlsx", "A 58990-2025")</f>
        <v/>
      </c>
      <c r="T241">
        <f>HYPERLINK("https://klasma.github.io/Logging_2303/kartor/A 58990-2025 karta.png", "A 58990-2025")</f>
        <v/>
      </c>
      <c r="V241">
        <f>HYPERLINK("https://klasma.github.io/Logging_2303/klagomål/A 58990-2025 FSC-klagomål.docx", "A 58990-2025")</f>
        <v/>
      </c>
      <c r="W241">
        <f>HYPERLINK("https://klasma.github.io/Logging_2303/klagomålsmail/A 58990-2025 FSC-klagomål mail.docx", "A 58990-2025")</f>
        <v/>
      </c>
      <c r="X241">
        <f>HYPERLINK("https://klasma.github.io/Logging_2303/tillsyn/A 58990-2025 tillsynsbegäran.docx", "A 58990-2025")</f>
        <v/>
      </c>
      <c r="Y241">
        <f>HYPERLINK("https://klasma.github.io/Logging_2303/tillsynsmail/A 58990-2025 tillsynsbegäran mail.docx", "A 58990-2025")</f>
        <v/>
      </c>
      <c r="Z241">
        <f>HYPERLINK("https://klasma.github.io/Logging_2303/fåglar/A 58990-2025 prioriterade fågelarter.docx", "A 58990-2025")</f>
        <v/>
      </c>
    </row>
    <row r="242" ht="15" customHeight="1">
      <c r="A242" t="inlineStr">
        <is>
          <t>A 16724-2025</t>
        </is>
      </c>
      <c r="B242" s="1" t="n">
        <v>45754.51064814815</v>
      </c>
      <c r="C242" s="1" t="n">
        <v>46035</v>
      </c>
      <c r="D242" t="inlineStr">
        <is>
          <t>JÄMTLANDS LÄN</t>
        </is>
      </c>
      <c r="E242" t="inlineStr">
        <is>
          <t>RAGUNDA</t>
        </is>
      </c>
      <c r="G242" t="n">
        <v>3.5</v>
      </c>
      <c r="H242" t="n">
        <v>0</v>
      </c>
      <c r="I242" t="n">
        <v>0</v>
      </c>
      <c r="J242" t="n">
        <v>1</v>
      </c>
      <c r="K242" t="n">
        <v>0</v>
      </c>
      <c r="L242" t="n">
        <v>0</v>
      </c>
      <c r="M242" t="n">
        <v>0</v>
      </c>
      <c r="N242" t="n">
        <v>0</v>
      </c>
      <c r="O242" t="n">
        <v>1</v>
      </c>
      <c r="P242" t="n">
        <v>0</v>
      </c>
      <c r="Q242" t="n">
        <v>1</v>
      </c>
      <c r="R242" s="2" t="inlineStr">
        <is>
          <t>Kolflarnlav</t>
        </is>
      </c>
      <c r="S242">
        <f>HYPERLINK("https://klasma.github.io/Logging_2303/artfynd/A 16724-2025 artfynd.xlsx", "A 16724-2025")</f>
        <v/>
      </c>
      <c r="T242">
        <f>HYPERLINK("https://klasma.github.io/Logging_2303/kartor/A 16724-2025 karta.png", "A 16724-2025")</f>
        <v/>
      </c>
      <c r="V242">
        <f>HYPERLINK("https://klasma.github.io/Logging_2303/klagomål/A 16724-2025 FSC-klagomål.docx", "A 16724-2025")</f>
        <v/>
      </c>
      <c r="W242">
        <f>HYPERLINK("https://klasma.github.io/Logging_2303/klagomålsmail/A 16724-2025 FSC-klagomål mail.docx", "A 16724-2025")</f>
        <v/>
      </c>
      <c r="X242">
        <f>HYPERLINK("https://klasma.github.io/Logging_2303/tillsyn/A 16724-2025 tillsynsbegäran.docx", "A 16724-2025")</f>
        <v/>
      </c>
      <c r="Y242">
        <f>HYPERLINK("https://klasma.github.io/Logging_2303/tillsynsmail/A 16724-2025 tillsynsbegäran mail.docx", "A 16724-2025")</f>
        <v/>
      </c>
    </row>
    <row r="243" ht="15" customHeight="1">
      <c r="A243" t="inlineStr">
        <is>
          <t>A 62072-2023</t>
        </is>
      </c>
      <c r="B243" s="1" t="n">
        <v>45266</v>
      </c>
      <c r="C243" s="1" t="n">
        <v>46035</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25694-2023</t>
        </is>
      </c>
      <c r="B244" s="1" t="n">
        <v>45089</v>
      </c>
      <c r="C244" s="1" t="n">
        <v>46035</v>
      </c>
      <c r="D244" t="inlineStr">
        <is>
          <t>JÄMTLANDS LÄN</t>
        </is>
      </c>
      <c r="E244" t="inlineStr">
        <is>
          <t>RAGUNDA</t>
        </is>
      </c>
      <c r="F244" t="inlineStr">
        <is>
          <t>SCA</t>
        </is>
      </c>
      <c r="G244" t="n">
        <v>1.5</v>
      </c>
      <c r="H244" t="n">
        <v>0</v>
      </c>
      <c r="I244" t="n">
        <v>0</v>
      </c>
      <c r="J244" t="n">
        <v>1</v>
      </c>
      <c r="K244" t="n">
        <v>0</v>
      </c>
      <c r="L244" t="n">
        <v>0</v>
      </c>
      <c r="M244" t="n">
        <v>0</v>
      </c>
      <c r="N244" t="n">
        <v>0</v>
      </c>
      <c r="O244" t="n">
        <v>1</v>
      </c>
      <c r="P244" t="n">
        <v>0</v>
      </c>
      <c r="Q244" t="n">
        <v>1</v>
      </c>
      <c r="R244" s="2" t="inlineStr">
        <is>
          <t>Ullticka</t>
        </is>
      </c>
      <c r="S244">
        <f>HYPERLINK("https://klasma.github.io/Logging_2303/artfynd/A 25694-2023 artfynd.xlsx", "A 25694-2023")</f>
        <v/>
      </c>
      <c r="T244">
        <f>HYPERLINK("https://klasma.github.io/Logging_2303/kartor/A 25694-2023 karta.png", "A 25694-2023")</f>
        <v/>
      </c>
      <c r="V244">
        <f>HYPERLINK("https://klasma.github.io/Logging_2303/klagomål/A 25694-2023 FSC-klagomål.docx", "A 25694-2023")</f>
        <v/>
      </c>
      <c r="W244">
        <f>HYPERLINK("https://klasma.github.io/Logging_2303/klagomålsmail/A 25694-2023 FSC-klagomål mail.docx", "A 25694-2023")</f>
        <v/>
      </c>
      <c r="X244">
        <f>HYPERLINK("https://klasma.github.io/Logging_2303/tillsyn/A 25694-2023 tillsynsbegäran.docx", "A 25694-2023")</f>
        <v/>
      </c>
      <c r="Y244">
        <f>HYPERLINK("https://klasma.github.io/Logging_2303/tillsynsmail/A 25694-2023 tillsynsbegäran mail.docx", "A 25694-2023")</f>
        <v/>
      </c>
    </row>
    <row r="245" ht="15" customHeight="1">
      <c r="A245" t="inlineStr">
        <is>
          <t>A 49770-2024</t>
        </is>
      </c>
      <c r="B245" s="1" t="n">
        <v>45597.34461805555</v>
      </c>
      <c r="C245" s="1" t="n">
        <v>46035</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30485-2024</t>
        </is>
      </c>
      <c r="B246" s="1" t="n">
        <v>45491.95008101852</v>
      </c>
      <c r="C246" s="1" t="n">
        <v>46035</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29921-2024</t>
        </is>
      </c>
      <c r="B247" s="1" t="n">
        <v>45487.92863425926</v>
      </c>
      <c r="C247" s="1" t="n">
        <v>46035</v>
      </c>
      <c r="D247" t="inlineStr">
        <is>
          <t>JÄMTLANDS LÄN</t>
        </is>
      </c>
      <c r="E247" t="inlineStr">
        <is>
          <t>RAGUNDA</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HYPERLINK("https://klasma.github.io/Logging_2303/artfynd/A 29921-2024 artfynd.xlsx", "A 29921-2024")</f>
        <v/>
      </c>
      <c r="T247">
        <f>HYPERLINK("https://klasma.github.io/Logging_2303/kartor/A 29921-2024 karta.png", "A 29921-2024")</f>
        <v/>
      </c>
      <c r="U247">
        <f>HYPERLINK("https://klasma.github.io/Logging_2303/knärot/A 29921-2024 karta knärot.png", "A 29921-2024")</f>
        <v/>
      </c>
      <c r="V247">
        <f>HYPERLINK("https://klasma.github.io/Logging_2303/klagomål/A 29921-2024 FSC-klagomål.docx", "A 29921-2024")</f>
        <v/>
      </c>
      <c r="W247">
        <f>HYPERLINK("https://klasma.github.io/Logging_2303/klagomålsmail/A 29921-2024 FSC-klagomål mail.docx", "A 29921-2024")</f>
        <v/>
      </c>
      <c r="X247">
        <f>HYPERLINK("https://klasma.github.io/Logging_2303/tillsyn/A 29921-2024 tillsynsbegäran.docx", "A 29921-2024")</f>
        <v/>
      </c>
      <c r="Y247">
        <f>HYPERLINK("https://klasma.github.io/Logging_2303/tillsynsmail/A 29921-2024 tillsynsbegäran mail.docx", "A 29921-2024")</f>
        <v/>
      </c>
    </row>
    <row r="248" ht="15" customHeight="1">
      <c r="A248" t="inlineStr">
        <is>
          <t>A 36757-2023</t>
        </is>
      </c>
      <c r="B248" s="1" t="n">
        <v>45153</v>
      </c>
      <c r="C248" s="1" t="n">
        <v>46035</v>
      </c>
      <c r="D248" t="inlineStr">
        <is>
          <t>JÄMTLANDS LÄN</t>
        </is>
      </c>
      <c r="E248" t="inlineStr">
        <is>
          <t>RAGUNDA</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36757-2023 artfynd.xlsx", "A 36757-2023")</f>
        <v/>
      </c>
      <c r="T248">
        <f>HYPERLINK("https://klasma.github.io/Logging_2303/kartor/A 36757-2023 karta.png", "A 36757-2023")</f>
        <v/>
      </c>
      <c r="V248">
        <f>HYPERLINK("https://klasma.github.io/Logging_2303/klagomål/A 36757-2023 FSC-klagomål.docx", "A 36757-2023")</f>
        <v/>
      </c>
      <c r="W248">
        <f>HYPERLINK("https://klasma.github.io/Logging_2303/klagomålsmail/A 36757-2023 FSC-klagomål mail.docx", "A 36757-2023")</f>
        <v/>
      </c>
      <c r="X248">
        <f>HYPERLINK("https://klasma.github.io/Logging_2303/tillsyn/A 36757-2023 tillsynsbegäran.docx", "A 36757-2023")</f>
        <v/>
      </c>
      <c r="Y248">
        <f>HYPERLINK("https://klasma.github.io/Logging_2303/tillsynsmail/A 36757-2023 tillsynsbegäran mail.docx", "A 36757-2023")</f>
        <v/>
      </c>
      <c r="Z248">
        <f>HYPERLINK("https://klasma.github.io/Logging_2303/fåglar/A 36757-2023 prioriterade fågelarter.docx", "A 36757-2023")</f>
        <v/>
      </c>
    </row>
    <row r="249" ht="15" customHeight="1">
      <c r="A249" t="inlineStr">
        <is>
          <t>A 43404-2023</t>
        </is>
      </c>
      <c r="B249" s="1" t="n">
        <v>45183</v>
      </c>
      <c r="C249" s="1" t="n">
        <v>46035</v>
      </c>
      <c r="D249" t="inlineStr">
        <is>
          <t>JÄMTLANDS LÄN</t>
        </is>
      </c>
      <c r="E249" t="inlineStr">
        <is>
          <t>RAGUNDA</t>
        </is>
      </c>
      <c r="F249" t="inlineStr">
        <is>
          <t>SCA</t>
        </is>
      </c>
      <c r="G249" t="n">
        <v>0.9</v>
      </c>
      <c r="H249" t="n">
        <v>0</v>
      </c>
      <c r="I249" t="n">
        <v>1</v>
      </c>
      <c r="J249" t="n">
        <v>0</v>
      </c>
      <c r="K249" t="n">
        <v>0</v>
      </c>
      <c r="L249" t="n">
        <v>0</v>
      </c>
      <c r="M249" t="n">
        <v>0</v>
      </c>
      <c r="N249" t="n">
        <v>0</v>
      </c>
      <c r="O249" t="n">
        <v>0</v>
      </c>
      <c r="P249" t="n">
        <v>0</v>
      </c>
      <c r="Q249" t="n">
        <v>1</v>
      </c>
      <c r="R249" s="2" t="inlineStr">
        <is>
          <t>Kryddspindling</t>
        </is>
      </c>
      <c r="S249">
        <f>HYPERLINK("https://klasma.github.io/Logging_2303/artfynd/A 43404-2023 artfynd.xlsx", "A 43404-2023")</f>
        <v/>
      </c>
      <c r="T249">
        <f>HYPERLINK("https://klasma.github.io/Logging_2303/kartor/A 43404-2023 karta.png", "A 43404-2023")</f>
        <v/>
      </c>
      <c r="V249">
        <f>HYPERLINK("https://klasma.github.io/Logging_2303/klagomål/A 43404-2023 FSC-klagomål.docx", "A 43404-2023")</f>
        <v/>
      </c>
      <c r="W249">
        <f>HYPERLINK("https://klasma.github.io/Logging_2303/klagomålsmail/A 43404-2023 FSC-klagomål mail.docx", "A 43404-2023")</f>
        <v/>
      </c>
      <c r="X249">
        <f>HYPERLINK("https://klasma.github.io/Logging_2303/tillsyn/A 43404-2023 tillsynsbegäran.docx", "A 43404-2023")</f>
        <v/>
      </c>
      <c r="Y249">
        <f>HYPERLINK("https://klasma.github.io/Logging_2303/tillsynsmail/A 43404-2023 tillsynsbegäran mail.docx", "A 43404-2023")</f>
        <v/>
      </c>
    </row>
    <row r="250" ht="15" customHeight="1">
      <c r="A250" t="inlineStr">
        <is>
          <t>A 61324-2024</t>
        </is>
      </c>
      <c r="B250" s="1" t="n">
        <v>45646.34438657408</v>
      </c>
      <c r="C250" s="1" t="n">
        <v>46035</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19387-2025</t>
        </is>
      </c>
      <c r="B251" s="1" t="n">
        <v>45769.65736111111</v>
      </c>
      <c r="C251" s="1" t="n">
        <v>46035</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20575-2025</t>
        </is>
      </c>
      <c r="B252" s="1" t="n">
        <v>45775.67769675926</v>
      </c>
      <c r="C252" s="1" t="n">
        <v>46035</v>
      </c>
      <c r="D252" t="inlineStr">
        <is>
          <t>JÄMTLANDS LÄN</t>
        </is>
      </c>
      <c r="E252" t="inlineStr">
        <is>
          <t>RAGUNDA</t>
        </is>
      </c>
      <c r="F252" t="inlineStr">
        <is>
          <t>SCA</t>
        </is>
      </c>
      <c r="G252" t="n">
        <v>8.1</v>
      </c>
      <c r="H252" t="n">
        <v>1</v>
      </c>
      <c r="I252" t="n">
        <v>0</v>
      </c>
      <c r="J252" t="n">
        <v>1</v>
      </c>
      <c r="K252" t="n">
        <v>0</v>
      </c>
      <c r="L252" t="n">
        <v>0</v>
      </c>
      <c r="M252" t="n">
        <v>0</v>
      </c>
      <c r="N252" t="n">
        <v>0</v>
      </c>
      <c r="O252" t="n">
        <v>1</v>
      </c>
      <c r="P252" t="n">
        <v>0</v>
      </c>
      <c r="Q252" t="n">
        <v>1</v>
      </c>
      <c r="R252" s="2" t="inlineStr">
        <is>
          <t>Skogsfru</t>
        </is>
      </c>
      <c r="S252">
        <f>HYPERLINK("https://klasma.github.io/Logging_2303/artfynd/A 20575-2025 artfynd.xlsx", "A 20575-2025")</f>
        <v/>
      </c>
      <c r="T252">
        <f>HYPERLINK("https://klasma.github.io/Logging_2303/kartor/A 20575-2025 karta.png", "A 20575-2025")</f>
        <v/>
      </c>
      <c r="V252">
        <f>HYPERLINK("https://klasma.github.io/Logging_2303/klagomål/A 20575-2025 FSC-klagomål.docx", "A 20575-2025")</f>
        <v/>
      </c>
      <c r="W252">
        <f>HYPERLINK("https://klasma.github.io/Logging_2303/klagomålsmail/A 20575-2025 FSC-klagomål mail.docx", "A 20575-2025")</f>
        <v/>
      </c>
      <c r="X252">
        <f>HYPERLINK("https://klasma.github.io/Logging_2303/tillsyn/A 20575-2025 tillsynsbegäran.docx", "A 20575-2025")</f>
        <v/>
      </c>
      <c r="Y252">
        <f>HYPERLINK("https://klasma.github.io/Logging_2303/tillsynsmail/A 20575-2025 tillsynsbegäran mail.docx", "A 20575-2025")</f>
        <v/>
      </c>
    </row>
    <row r="253" ht="15" customHeight="1">
      <c r="A253" t="inlineStr">
        <is>
          <t>A 20774-2024</t>
        </is>
      </c>
      <c r="B253" s="1" t="n">
        <v>45436.94644675926</v>
      </c>
      <c r="C253" s="1" t="n">
        <v>46035</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46035</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31773-2021</t>
        </is>
      </c>
      <c r="B255" s="1" t="n">
        <v>44369</v>
      </c>
      <c r="C255" s="1" t="n">
        <v>46035</v>
      </c>
      <c r="D255" t="inlineStr">
        <is>
          <t>JÄMTLANDS LÄN</t>
        </is>
      </c>
      <c r="E255" t="inlineStr">
        <is>
          <t>RAGUNDA</t>
        </is>
      </c>
      <c r="G255" t="n">
        <v>0.8</v>
      </c>
      <c r="H255" t="n">
        <v>0</v>
      </c>
      <c r="I255" t="n">
        <v>0</v>
      </c>
      <c r="J255" t="n">
        <v>0</v>
      </c>
      <c r="K255" t="n">
        <v>1</v>
      </c>
      <c r="L255" t="n">
        <v>0</v>
      </c>
      <c r="M255" t="n">
        <v>0</v>
      </c>
      <c r="N255" t="n">
        <v>0</v>
      </c>
      <c r="O255" t="n">
        <v>1</v>
      </c>
      <c r="P255" t="n">
        <v>1</v>
      </c>
      <c r="Q255" t="n">
        <v>1</v>
      </c>
      <c r="R255" s="2" t="inlineStr">
        <is>
          <t>Strandsandjägare</t>
        </is>
      </c>
      <c r="S255">
        <f>HYPERLINK("https://klasma.github.io/Logging_2303/artfynd/A 31773-2021 artfynd.xlsx", "A 31773-2021")</f>
        <v/>
      </c>
      <c r="T255">
        <f>HYPERLINK("https://klasma.github.io/Logging_2303/kartor/A 31773-2021 karta.png", "A 31773-2021")</f>
        <v/>
      </c>
      <c r="V255">
        <f>HYPERLINK("https://klasma.github.io/Logging_2303/klagomål/A 31773-2021 FSC-klagomål.docx", "A 31773-2021")</f>
        <v/>
      </c>
      <c r="W255">
        <f>HYPERLINK("https://klasma.github.io/Logging_2303/klagomålsmail/A 31773-2021 FSC-klagomål mail.docx", "A 31773-2021")</f>
        <v/>
      </c>
      <c r="X255">
        <f>HYPERLINK("https://klasma.github.io/Logging_2303/tillsyn/A 31773-2021 tillsynsbegäran.docx", "A 31773-2021")</f>
        <v/>
      </c>
      <c r="Y255">
        <f>HYPERLINK("https://klasma.github.io/Logging_2303/tillsynsmail/A 31773-2021 tillsynsbegäran mail.docx", "A 31773-2021")</f>
        <v/>
      </c>
    </row>
    <row r="256" ht="15" customHeight="1">
      <c r="A256" t="inlineStr">
        <is>
          <t>A 48477-2023</t>
        </is>
      </c>
      <c r="B256" s="1" t="n">
        <v>45206</v>
      </c>
      <c r="C256" s="1" t="n">
        <v>46035</v>
      </c>
      <c r="D256" t="inlineStr">
        <is>
          <t>JÄMTLANDS LÄN</t>
        </is>
      </c>
      <c r="E256" t="inlineStr">
        <is>
          <t>RAGUNDA</t>
        </is>
      </c>
      <c r="F256" t="inlineStr">
        <is>
          <t>SCA</t>
        </is>
      </c>
      <c r="G256" t="n">
        <v>1.8</v>
      </c>
      <c r="H256" t="n">
        <v>0</v>
      </c>
      <c r="I256" t="n">
        <v>1</v>
      </c>
      <c r="J256" t="n">
        <v>0</v>
      </c>
      <c r="K256" t="n">
        <v>0</v>
      </c>
      <c r="L256" t="n">
        <v>0</v>
      </c>
      <c r="M256" t="n">
        <v>0</v>
      </c>
      <c r="N256" t="n">
        <v>0</v>
      </c>
      <c r="O256" t="n">
        <v>0</v>
      </c>
      <c r="P256" t="n">
        <v>0</v>
      </c>
      <c r="Q256" t="n">
        <v>1</v>
      </c>
      <c r="R256" s="2" t="inlineStr">
        <is>
          <t>Dropptaggsvamp</t>
        </is>
      </c>
      <c r="S256">
        <f>HYPERLINK("https://klasma.github.io/Logging_2303/artfynd/A 48477-2023 artfynd.xlsx", "A 48477-2023")</f>
        <v/>
      </c>
      <c r="T256">
        <f>HYPERLINK("https://klasma.github.io/Logging_2303/kartor/A 48477-2023 karta.png", "A 48477-2023")</f>
        <v/>
      </c>
      <c r="V256">
        <f>HYPERLINK("https://klasma.github.io/Logging_2303/klagomål/A 48477-2023 FSC-klagomål.docx", "A 48477-2023")</f>
        <v/>
      </c>
      <c r="W256">
        <f>HYPERLINK("https://klasma.github.io/Logging_2303/klagomålsmail/A 48477-2023 FSC-klagomål mail.docx", "A 48477-2023")</f>
        <v/>
      </c>
      <c r="X256">
        <f>HYPERLINK("https://klasma.github.io/Logging_2303/tillsyn/A 48477-2023 tillsynsbegäran.docx", "A 48477-2023")</f>
        <v/>
      </c>
      <c r="Y256">
        <f>HYPERLINK("https://klasma.github.io/Logging_2303/tillsynsmail/A 48477-2023 tillsynsbegäran mail.docx", "A 48477-2023")</f>
        <v/>
      </c>
    </row>
    <row r="257" ht="15" customHeight="1">
      <c r="A257" t="inlineStr">
        <is>
          <t>A 18985-2023</t>
        </is>
      </c>
      <c r="B257" s="1" t="n">
        <v>45044</v>
      </c>
      <c r="C257" s="1" t="n">
        <v>46035</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Doftskinn</t>
        </is>
      </c>
      <c r="S257">
        <f>HYPERLINK("https://klasma.github.io/Logging_2303/artfynd/A 18985-2023 artfynd.xlsx", "A 18985-2023")</f>
        <v/>
      </c>
      <c r="T257">
        <f>HYPERLINK("https://klasma.github.io/Logging_2303/kartor/A 18985-2023 karta.png", "A 18985-2023")</f>
        <v/>
      </c>
      <c r="V257">
        <f>HYPERLINK("https://klasma.github.io/Logging_2303/klagomål/A 18985-2023 FSC-klagomål.docx", "A 18985-2023")</f>
        <v/>
      </c>
      <c r="W257">
        <f>HYPERLINK("https://klasma.github.io/Logging_2303/klagomålsmail/A 18985-2023 FSC-klagomål mail.docx", "A 18985-2023")</f>
        <v/>
      </c>
      <c r="X257">
        <f>HYPERLINK("https://klasma.github.io/Logging_2303/tillsyn/A 18985-2023 tillsynsbegäran.docx", "A 18985-2023")</f>
        <v/>
      </c>
      <c r="Y257">
        <f>HYPERLINK("https://klasma.github.io/Logging_2303/tillsynsmail/A 18985-2023 tillsynsbegäran mail.docx", "A 18985-2023")</f>
        <v/>
      </c>
    </row>
    <row r="258" ht="15" customHeight="1">
      <c r="A258" t="inlineStr">
        <is>
          <t>A 2469-2021</t>
        </is>
      </c>
      <c r="B258" s="1" t="n">
        <v>44214</v>
      </c>
      <c r="C258" s="1" t="n">
        <v>46035</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46035</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46035</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46035</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46035</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46035</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46035</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46035</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46035</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46035</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46035</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46035</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46035</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46035</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46035</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46035</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46035</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46035</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46035</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46035</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46035</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46035</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46035</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46035</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46035</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46035</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46035</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46035</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46035</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46035</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46035</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46035</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46035</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46035</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46035</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46035</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46035</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46035</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46035</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46035</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46035</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46035</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46035</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46035</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46035</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46035</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46035</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46035</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46035</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46035</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46035</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46035</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46035</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46035</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46035</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46035</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46035</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46035</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46035</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46035</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46035</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46035</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46035</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46035</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46035</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46035</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46035</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46035</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46035</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46035</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46035</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46035</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46035</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46035</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46035</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46035</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46035</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46035</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46035</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46035</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46035</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46035</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46035</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46035</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46035</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46035</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46035</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46035</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46035</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46035</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46035</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46035</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46035</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46035</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46035</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46035</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46035</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46035</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46035</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46035</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46035</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46035</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46035</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46035</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46035</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46035</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46035</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46035</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46035</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46035</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46035</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47803-2022</t>
        </is>
      </c>
      <c r="B375" s="1" t="n">
        <v>44854.95390046296</v>
      </c>
      <c r="C375" s="1" t="n">
        <v>46035</v>
      </c>
      <c r="D375" t="inlineStr">
        <is>
          <t>JÄMTLANDS LÄN</t>
        </is>
      </c>
      <c r="E375" t="inlineStr">
        <is>
          <t>RAGUNDA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46035</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46035</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46035</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46035</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46035</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46035</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46035</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46035</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46035</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46035</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46035</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46035</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46035</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46035</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46035</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46035</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46035</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46035</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46035</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46035</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46035</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46035</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46035</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46035</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46035</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46035</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46035</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11147-2025</t>
        </is>
      </c>
      <c r="B403" s="1" t="n">
        <v>45723.67777777778</v>
      </c>
      <c r="C403" s="1" t="n">
        <v>46035</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24280-2021</t>
        </is>
      </c>
      <c r="B404" s="1" t="n">
        <v>44336</v>
      </c>
      <c r="C404" s="1" t="n">
        <v>46035</v>
      </c>
      <c r="D404" t="inlineStr">
        <is>
          <t>JÄMTLANDS LÄN</t>
        </is>
      </c>
      <c r="E404" t="inlineStr">
        <is>
          <t>RAGUNDA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60313-2021</t>
        </is>
      </c>
      <c r="B405" s="1" t="n">
        <v>44495</v>
      </c>
      <c r="C405" s="1" t="n">
        <v>46035</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46035</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23304-2023</t>
        </is>
      </c>
      <c r="B407" s="1" t="n">
        <v>45075.945</v>
      </c>
      <c r="C407" s="1" t="n">
        <v>46035</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46035</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46035</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46035</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19264-2025</t>
        </is>
      </c>
      <c r="B411" s="1" t="n">
        <v>45769.51087962963</v>
      </c>
      <c r="C411" s="1" t="n">
        <v>46035</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64492-2023</t>
        </is>
      </c>
      <c r="B412" s="1" t="n">
        <v>45280.92645833334</v>
      </c>
      <c r="C412" s="1" t="n">
        <v>46035</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28596-2021</t>
        </is>
      </c>
      <c r="B413" s="1" t="n">
        <v>44356</v>
      </c>
      <c r="C413" s="1" t="n">
        <v>46035</v>
      </c>
      <c r="D413" t="inlineStr">
        <is>
          <t>JÄMTLANDS LÄN</t>
        </is>
      </c>
      <c r="E413" t="inlineStr">
        <is>
          <t>RAGUNDA</t>
        </is>
      </c>
      <c r="G413" t="n">
        <v>5.4</v>
      </c>
      <c r="H413" t="n">
        <v>0</v>
      </c>
      <c r="I413" t="n">
        <v>0</v>
      </c>
      <c r="J413" t="n">
        <v>0</v>
      </c>
      <c r="K413" t="n">
        <v>0</v>
      </c>
      <c r="L413" t="n">
        <v>0</v>
      </c>
      <c r="M413" t="n">
        <v>0</v>
      </c>
      <c r="N413" t="n">
        <v>0</v>
      </c>
      <c r="O413" t="n">
        <v>0</v>
      </c>
      <c r="P413" t="n">
        <v>0</v>
      </c>
      <c r="Q413" t="n">
        <v>0</v>
      </c>
      <c r="R413" s="2" t="inlineStr"/>
    </row>
    <row r="414" ht="15" customHeight="1">
      <c r="A414" t="inlineStr">
        <is>
          <t>A 60936-2024</t>
        </is>
      </c>
      <c r="B414" s="1" t="n">
        <v>45645.36743055555</v>
      </c>
      <c r="C414" s="1" t="n">
        <v>46035</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47749-2025</t>
        </is>
      </c>
      <c r="B415" s="1" t="n">
        <v>45931.65711805555</v>
      </c>
      <c r="C415" s="1" t="n">
        <v>46035</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36106-2022</t>
        </is>
      </c>
      <c r="B416" s="1" t="n">
        <v>44802.94811342593</v>
      </c>
      <c r="C416" s="1" t="n">
        <v>46035</v>
      </c>
      <c r="D416" t="inlineStr">
        <is>
          <t>JÄMTLANDS LÄN</t>
        </is>
      </c>
      <c r="E416" t="inlineStr">
        <is>
          <t>RAGUNDA</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5930-2025</t>
        </is>
      </c>
      <c r="B417" s="1" t="n">
        <v>45695.44724537037</v>
      </c>
      <c r="C417" s="1" t="n">
        <v>46035</v>
      </c>
      <c r="D417" t="inlineStr">
        <is>
          <t>JÄMTLANDS LÄN</t>
        </is>
      </c>
      <c r="E417" t="inlineStr">
        <is>
          <t>RAGUNDA</t>
        </is>
      </c>
      <c r="G417" t="n">
        <v>0.7</v>
      </c>
      <c r="H417" t="n">
        <v>0</v>
      </c>
      <c r="I417" t="n">
        <v>0</v>
      </c>
      <c r="J417" t="n">
        <v>0</v>
      </c>
      <c r="K417" t="n">
        <v>0</v>
      </c>
      <c r="L417" t="n">
        <v>0</v>
      </c>
      <c r="M417" t="n">
        <v>0</v>
      </c>
      <c r="N417" t="n">
        <v>0</v>
      </c>
      <c r="O417" t="n">
        <v>0</v>
      </c>
      <c r="P417" t="n">
        <v>0</v>
      </c>
      <c r="Q417" t="n">
        <v>0</v>
      </c>
      <c r="R417" s="2" t="inlineStr"/>
    </row>
    <row r="418" ht="15" customHeight="1">
      <c r="A418" t="inlineStr">
        <is>
          <t>A 19438-2023</t>
        </is>
      </c>
      <c r="B418" s="1" t="n">
        <v>45049</v>
      </c>
      <c r="C418" s="1" t="n">
        <v>46035</v>
      </c>
      <c r="D418" t="inlineStr">
        <is>
          <t>JÄMTLANDS LÄN</t>
        </is>
      </c>
      <c r="E418" t="inlineStr">
        <is>
          <t>RAGUNDA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12585-2024</t>
        </is>
      </c>
      <c r="B419" s="1" t="n">
        <v>45379.93637731481</v>
      </c>
      <c r="C419" s="1" t="n">
        <v>46035</v>
      </c>
      <c r="D419" t="inlineStr">
        <is>
          <t>JÄMTLANDS LÄN</t>
        </is>
      </c>
      <c r="E419" t="inlineStr">
        <is>
          <t>RAGUNDA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46035</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15611-2024</t>
        </is>
      </c>
      <c r="B421" s="1" t="n">
        <v>45401</v>
      </c>
      <c r="C421" s="1" t="n">
        <v>46035</v>
      </c>
      <c r="D421" t="inlineStr">
        <is>
          <t>JÄMTLANDS LÄN</t>
        </is>
      </c>
      <c r="E421" t="inlineStr">
        <is>
          <t>RAGUNDA</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58847-2024</t>
        </is>
      </c>
      <c r="B422" s="1" t="n">
        <v>45636.3864699074</v>
      </c>
      <c r="C422" s="1" t="n">
        <v>46035</v>
      </c>
      <c r="D422" t="inlineStr">
        <is>
          <t>JÄMTLANDS LÄN</t>
        </is>
      </c>
      <c r="E422" t="inlineStr">
        <is>
          <t>RAGUNDA</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11780-2024</t>
        </is>
      </c>
      <c r="B423" s="1" t="n">
        <v>45374</v>
      </c>
      <c r="C423" s="1" t="n">
        <v>46035</v>
      </c>
      <c r="D423" t="inlineStr">
        <is>
          <t>JÄMTLANDS LÄN</t>
        </is>
      </c>
      <c r="E423" t="inlineStr">
        <is>
          <t>RAGUNDA</t>
        </is>
      </c>
      <c r="G423" t="n">
        <v>14.6</v>
      </c>
      <c r="H423" t="n">
        <v>0</v>
      </c>
      <c r="I423" t="n">
        <v>0</v>
      </c>
      <c r="J423" t="n">
        <v>0</v>
      </c>
      <c r="K423" t="n">
        <v>0</v>
      </c>
      <c r="L423" t="n">
        <v>0</v>
      </c>
      <c r="M423" t="n">
        <v>0</v>
      </c>
      <c r="N423" t="n">
        <v>0</v>
      </c>
      <c r="O423" t="n">
        <v>0</v>
      </c>
      <c r="P423" t="n">
        <v>0</v>
      </c>
      <c r="Q423" t="n">
        <v>0</v>
      </c>
      <c r="R423" s="2" t="inlineStr"/>
    </row>
    <row r="424" ht="15" customHeight="1">
      <c r="A424" t="inlineStr">
        <is>
          <t>A 21332-2025</t>
        </is>
      </c>
      <c r="B424" s="1" t="n">
        <v>45782.36506944444</v>
      </c>
      <c r="C424" s="1" t="n">
        <v>46035</v>
      </c>
      <c r="D424" t="inlineStr">
        <is>
          <t>JÄMTLANDS LÄN</t>
        </is>
      </c>
      <c r="E424" t="inlineStr">
        <is>
          <t>RAGUNDA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47748-2025</t>
        </is>
      </c>
      <c r="B425" s="1" t="n">
        <v>45931.65693287037</v>
      </c>
      <c r="C425" s="1" t="n">
        <v>46035</v>
      </c>
      <c r="D425" t="inlineStr">
        <is>
          <t>JÄMTLANDS LÄN</t>
        </is>
      </c>
      <c r="E425" t="inlineStr">
        <is>
          <t>RAGUNDA</t>
        </is>
      </c>
      <c r="F425" t="inlineStr">
        <is>
          <t>SCA</t>
        </is>
      </c>
      <c r="G425" t="n">
        <v>8.6</v>
      </c>
      <c r="H425" t="n">
        <v>0</v>
      </c>
      <c r="I425" t="n">
        <v>0</v>
      </c>
      <c r="J425" t="n">
        <v>0</v>
      </c>
      <c r="K425" t="n">
        <v>0</v>
      </c>
      <c r="L425" t="n">
        <v>0</v>
      </c>
      <c r="M425" t="n">
        <v>0</v>
      </c>
      <c r="N425" t="n">
        <v>0</v>
      </c>
      <c r="O425" t="n">
        <v>0</v>
      </c>
      <c r="P425" t="n">
        <v>0</v>
      </c>
      <c r="Q425" t="n">
        <v>0</v>
      </c>
      <c r="R425" s="2" t="inlineStr"/>
    </row>
    <row r="426" ht="15" customHeight="1">
      <c r="A426" t="inlineStr">
        <is>
          <t>A 22131-2021</t>
        </is>
      </c>
      <c r="B426" s="1" t="n">
        <v>44323</v>
      </c>
      <c r="C426" s="1" t="n">
        <v>46035</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59557-2023</t>
        </is>
      </c>
      <c r="B427" s="1" t="n">
        <v>45253</v>
      </c>
      <c r="C427" s="1" t="n">
        <v>46035</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38664-2022</t>
        </is>
      </c>
      <c r="B428" s="1" t="n">
        <v>44813</v>
      </c>
      <c r="C428" s="1" t="n">
        <v>46035</v>
      </c>
      <c r="D428" t="inlineStr">
        <is>
          <t>JÄMTLANDS LÄN</t>
        </is>
      </c>
      <c r="E428" t="inlineStr">
        <is>
          <t>RAGUNDA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7722-2023</t>
        </is>
      </c>
      <c r="B429" s="1" t="n">
        <v>44972.94140046297</v>
      </c>
      <c r="C429" s="1" t="n">
        <v>46035</v>
      </c>
      <c r="D429" t="inlineStr">
        <is>
          <t>JÄMTLANDS LÄN</t>
        </is>
      </c>
      <c r="E429" t="inlineStr">
        <is>
          <t>RAGUNDA</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42893-2022</t>
        </is>
      </c>
      <c r="B430" s="1" t="n">
        <v>44832</v>
      </c>
      <c r="C430" s="1" t="n">
        <v>46035</v>
      </c>
      <c r="D430" t="inlineStr">
        <is>
          <t>JÄMTLANDS LÄN</t>
        </is>
      </c>
      <c r="E430" t="inlineStr">
        <is>
          <t>RAGUNDA</t>
        </is>
      </c>
      <c r="F430" t="inlineStr">
        <is>
          <t>SCA</t>
        </is>
      </c>
      <c r="G430" t="n">
        <v>28.4</v>
      </c>
      <c r="H430" t="n">
        <v>0</v>
      </c>
      <c r="I430" t="n">
        <v>0</v>
      </c>
      <c r="J430" t="n">
        <v>0</v>
      </c>
      <c r="K430" t="n">
        <v>0</v>
      </c>
      <c r="L430" t="n">
        <v>0</v>
      </c>
      <c r="M430" t="n">
        <v>0</v>
      </c>
      <c r="N430" t="n">
        <v>0</v>
      </c>
      <c r="O430" t="n">
        <v>0</v>
      </c>
      <c r="P430" t="n">
        <v>0</v>
      </c>
      <c r="Q430" t="n">
        <v>0</v>
      </c>
      <c r="R430" s="2" t="inlineStr"/>
    </row>
    <row r="431" ht="15" customHeight="1">
      <c r="A431" t="inlineStr">
        <is>
          <t>A 20653-2025</t>
        </is>
      </c>
      <c r="B431" s="1" t="n">
        <v>45776.40311342593</v>
      </c>
      <c r="C431" s="1" t="n">
        <v>46035</v>
      </c>
      <c r="D431" t="inlineStr">
        <is>
          <t>JÄMTLANDS LÄN</t>
        </is>
      </c>
      <c r="E431" t="inlineStr">
        <is>
          <t>RAGUNDA</t>
        </is>
      </c>
      <c r="G431" t="n">
        <v>10.8</v>
      </c>
      <c r="H431" t="n">
        <v>0</v>
      </c>
      <c r="I431" t="n">
        <v>0</v>
      </c>
      <c r="J431" t="n">
        <v>0</v>
      </c>
      <c r="K431" t="n">
        <v>0</v>
      </c>
      <c r="L431" t="n">
        <v>0</v>
      </c>
      <c r="M431" t="n">
        <v>0</v>
      </c>
      <c r="N431" t="n">
        <v>0</v>
      </c>
      <c r="O431" t="n">
        <v>0</v>
      </c>
      <c r="P431" t="n">
        <v>0</v>
      </c>
      <c r="Q431" t="n">
        <v>0</v>
      </c>
      <c r="R431" s="2" t="inlineStr"/>
    </row>
    <row r="432" ht="15" customHeight="1">
      <c r="A432" t="inlineStr">
        <is>
          <t>A 48528-2025</t>
        </is>
      </c>
      <c r="B432" s="1" t="n">
        <v>45936.40758101852</v>
      </c>
      <c r="C432" s="1" t="n">
        <v>46035</v>
      </c>
      <c r="D432" t="inlineStr">
        <is>
          <t>JÄMTLANDS LÄN</t>
        </is>
      </c>
      <c r="E432" t="inlineStr">
        <is>
          <t>RAGUNDA</t>
        </is>
      </c>
      <c r="F432" t="inlineStr">
        <is>
          <t>SCA</t>
        </is>
      </c>
      <c r="G432" t="n">
        <v>6.8</v>
      </c>
      <c r="H432" t="n">
        <v>0</v>
      </c>
      <c r="I432" t="n">
        <v>0</v>
      </c>
      <c r="J432" t="n">
        <v>0</v>
      </c>
      <c r="K432" t="n">
        <v>0</v>
      </c>
      <c r="L432" t="n">
        <v>0</v>
      </c>
      <c r="M432" t="n">
        <v>0</v>
      </c>
      <c r="N432" t="n">
        <v>0</v>
      </c>
      <c r="O432" t="n">
        <v>0</v>
      </c>
      <c r="P432" t="n">
        <v>0</v>
      </c>
      <c r="Q432" t="n">
        <v>0</v>
      </c>
      <c r="R432" s="2" t="inlineStr"/>
    </row>
    <row r="433" ht="15" customHeight="1">
      <c r="A433" t="inlineStr">
        <is>
          <t>A 38425-2022</t>
        </is>
      </c>
      <c r="B433" s="1" t="n">
        <v>44812.94709490741</v>
      </c>
      <c r="C433" s="1" t="n">
        <v>46035</v>
      </c>
      <c r="D433" t="inlineStr">
        <is>
          <t>JÄMTLANDS LÄN</t>
        </is>
      </c>
      <c r="E433" t="inlineStr">
        <is>
          <t>RAGUNDA</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20777-2025</t>
        </is>
      </c>
      <c r="B434" s="1" t="n">
        <v>45776.59422453704</v>
      </c>
      <c r="C434" s="1" t="n">
        <v>46035</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36922-2022</t>
        </is>
      </c>
      <c r="B435" s="1" t="n">
        <v>44805.94592592592</v>
      </c>
      <c r="C435" s="1" t="n">
        <v>46035</v>
      </c>
      <c r="D435" t="inlineStr">
        <is>
          <t>JÄMTLANDS LÄN</t>
        </is>
      </c>
      <c r="E435" t="inlineStr">
        <is>
          <t>RAGUNDA</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20722-2025</t>
        </is>
      </c>
      <c r="B436" s="1" t="n">
        <v>45776.50651620371</v>
      </c>
      <c r="C436" s="1" t="n">
        <v>46035</v>
      </c>
      <c r="D436" t="inlineStr">
        <is>
          <t>JÄMTLANDS LÄN</t>
        </is>
      </c>
      <c r="E436" t="inlineStr">
        <is>
          <t>RAGUNDA</t>
        </is>
      </c>
      <c r="F436" t="inlineStr">
        <is>
          <t>Kommuner</t>
        </is>
      </c>
      <c r="G436" t="n">
        <v>0.8</v>
      </c>
      <c r="H436" t="n">
        <v>0</v>
      </c>
      <c r="I436" t="n">
        <v>0</v>
      </c>
      <c r="J436" t="n">
        <v>0</v>
      </c>
      <c r="K436" t="n">
        <v>0</v>
      </c>
      <c r="L436" t="n">
        <v>0</v>
      </c>
      <c r="M436" t="n">
        <v>0</v>
      </c>
      <c r="N436" t="n">
        <v>0</v>
      </c>
      <c r="O436" t="n">
        <v>0</v>
      </c>
      <c r="P436" t="n">
        <v>0</v>
      </c>
      <c r="Q436" t="n">
        <v>0</v>
      </c>
      <c r="R436" s="2" t="inlineStr"/>
    </row>
    <row r="437" ht="15" customHeight="1">
      <c r="A437" t="inlineStr">
        <is>
          <t>A 20728-2025</t>
        </is>
      </c>
      <c r="B437" s="1" t="n">
        <v>45776.51130787037</v>
      </c>
      <c r="C437" s="1" t="n">
        <v>46035</v>
      </c>
      <c r="D437" t="inlineStr">
        <is>
          <t>JÄMTLANDS LÄN</t>
        </is>
      </c>
      <c r="E437" t="inlineStr">
        <is>
          <t>RAGUNDA</t>
        </is>
      </c>
      <c r="F437" t="inlineStr">
        <is>
          <t>Kommuner</t>
        </is>
      </c>
      <c r="G437" t="n">
        <v>1.1</v>
      </c>
      <c r="H437" t="n">
        <v>0</v>
      </c>
      <c r="I437" t="n">
        <v>0</v>
      </c>
      <c r="J437" t="n">
        <v>0</v>
      </c>
      <c r="K437" t="n">
        <v>0</v>
      </c>
      <c r="L437" t="n">
        <v>0</v>
      </c>
      <c r="M437" t="n">
        <v>0</v>
      </c>
      <c r="N437" t="n">
        <v>0</v>
      </c>
      <c r="O437" t="n">
        <v>0</v>
      </c>
      <c r="P437" t="n">
        <v>0</v>
      </c>
      <c r="Q437" t="n">
        <v>0</v>
      </c>
      <c r="R437" s="2" t="inlineStr"/>
    </row>
    <row r="438" ht="15" customHeight="1">
      <c r="A438" t="inlineStr">
        <is>
          <t>A 14513-2025</t>
        </is>
      </c>
      <c r="B438" s="1" t="n">
        <v>45741.63675925926</v>
      </c>
      <c r="C438" s="1" t="n">
        <v>46035</v>
      </c>
      <c r="D438" t="inlineStr">
        <is>
          <t>JÄMTLANDS LÄN</t>
        </is>
      </c>
      <c r="E438" t="inlineStr">
        <is>
          <t>RAGUNDA</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48742-2025</t>
        </is>
      </c>
      <c r="B439" s="1" t="n">
        <v>45936.67810185185</v>
      </c>
      <c r="C439" s="1" t="n">
        <v>46035</v>
      </c>
      <c r="D439" t="inlineStr">
        <is>
          <t>JÄMTLANDS LÄN</t>
        </is>
      </c>
      <c r="E439" t="inlineStr">
        <is>
          <t>RAGUNDA</t>
        </is>
      </c>
      <c r="F439" t="inlineStr">
        <is>
          <t>SCA</t>
        </is>
      </c>
      <c r="G439" t="n">
        <v>8.9</v>
      </c>
      <c r="H439" t="n">
        <v>0</v>
      </c>
      <c r="I439" t="n">
        <v>0</v>
      </c>
      <c r="J439" t="n">
        <v>0</v>
      </c>
      <c r="K439" t="n">
        <v>0</v>
      </c>
      <c r="L439" t="n">
        <v>0</v>
      </c>
      <c r="M439" t="n">
        <v>0</v>
      </c>
      <c r="N439" t="n">
        <v>0</v>
      </c>
      <c r="O439" t="n">
        <v>0</v>
      </c>
      <c r="P439" t="n">
        <v>0</v>
      </c>
      <c r="Q439" t="n">
        <v>0</v>
      </c>
      <c r="R439" s="2" t="inlineStr"/>
    </row>
    <row r="440" ht="15" customHeight="1">
      <c r="A440" t="inlineStr">
        <is>
          <t>A 9326-2024</t>
        </is>
      </c>
      <c r="B440" s="1" t="n">
        <v>45358.95818287037</v>
      </c>
      <c r="C440" s="1" t="n">
        <v>46035</v>
      </c>
      <c r="D440" t="inlineStr">
        <is>
          <t>JÄMTLANDS LÄN</t>
        </is>
      </c>
      <c r="E440" t="inlineStr">
        <is>
          <t>RAGUNDA</t>
        </is>
      </c>
      <c r="G440" t="n">
        <v>0.7</v>
      </c>
      <c r="H440" t="n">
        <v>0</v>
      </c>
      <c r="I440" t="n">
        <v>0</v>
      </c>
      <c r="J440" t="n">
        <v>0</v>
      </c>
      <c r="K440" t="n">
        <v>0</v>
      </c>
      <c r="L440" t="n">
        <v>0</v>
      </c>
      <c r="M440" t="n">
        <v>0</v>
      </c>
      <c r="N440" t="n">
        <v>0</v>
      </c>
      <c r="O440" t="n">
        <v>0</v>
      </c>
      <c r="P440" t="n">
        <v>0</v>
      </c>
      <c r="Q440" t="n">
        <v>0</v>
      </c>
      <c r="R440" s="2" t="inlineStr"/>
    </row>
    <row r="441" ht="15" customHeight="1">
      <c r="A441" t="inlineStr">
        <is>
          <t>A 21430-2025</t>
        </is>
      </c>
      <c r="B441" s="1" t="n">
        <v>45782.51099537037</v>
      </c>
      <c r="C441" s="1" t="n">
        <v>46035</v>
      </c>
      <c r="D441" t="inlineStr">
        <is>
          <t>JÄMTLANDS LÄN</t>
        </is>
      </c>
      <c r="E441" t="inlineStr">
        <is>
          <t>RAGUNDA</t>
        </is>
      </c>
      <c r="F441" t="inlineStr">
        <is>
          <t>SCA</t>
        </is>
      </c>
      <c r="G441" t="n">
        <v>7.1</v>
      </c>
      <c r="H441" t="n">
        <v>0</v>
      </c>
      <c r="I441" t="n">
        <v>0</v>
      </c>
      <c r="J441" t="n">
        <v>0</v>
      </c>
      <c r="K441" t="n">
        <v>0</v>
      </c>
      <c r="L441" t="n">
        <v>0</v>
      </c>
      <c r="M441" t="n">
        <v>0</v>
      </c>
      <c r="N441" t="n">
        <v>0</v>
      </c>
      <c r="O441" t="n">
        <v>0</v>
      </c>
      <c r="P441" t="n">
        <v>0</v>
      </c>
      <c r="Q441" t="n">
        <v>0</v>
      </c>
      <c r="R441" s="2" t="inlineStr"/>
    </row>
    <row r="442" ht="15" customHeight="1">
      <c r="A442" t="inlineStr">
        <is>
          <t>A 7281-2025</t>
        </is>
      </c>
      <c r="B442" s="1" t="n">
        <v>45702.63572916666</v>
      </c>
      <c r="C442" s="1" t="n">
        <v>46035</v>
      </c>
      <c r="D442" t="inlineStr">
        <is>
          <t>JÄMTLANDS LÄN</t>
        </is>
      </c>
      <c r="E442" t="inlineStr">
        <is>
          <t>RAGUNDA</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21432-2025</t>
        </is>
      </c>
      <c r="B443" s="1" t="n">
        <v>45782.51109953703</v>
      </c>
      <c r="C443" s="1" t="n">
        <v>46035</v>
      </c>
      <c r="D443" t="inlineStr">
        <is>
          <t>JÄMTLANDS LÄN</t>
        </is>
      </c>
      <c r="E443" t="inlineStr">
        <is>
          <t>RAGUNDA</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13935-2024</t>
        </is>
      </c>
      <c r="B444" s="1" t="n">
        <v>45391.95329861111</v>
      </c>
      <c r="C444" s="1" t="n">
        <v>46035</v>
      </c>
      <c r="D444" t="inlineStr">
        <is>
          <t>JÄMTLANDS LÄN</t>
        </is>
      </c>
      <c r="E444" t="inlineStr">
        <is>
          <t>RAGUNDA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21550-2025</t>
        </is>
      </c>
      <c r="B445" s="1" t="n">
        <v>45782.67758101852</v>
      </c>
      <c r="C445" s="1" t="n">
        <v>46035</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21451-2025</t>
        </is>
      </c>
      <c r="B446" s="1" t="n">
        <v>45782.55287037037</v>
      </c>
      <c r="C446" s="1" t="n">
        <v>46035</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21150-2025</t>
        </is>
      </c>
      <c r="B447" s="1" t="n">
        <v>45779.34417824074</v>
      </c>
      <c r="C447" s="1" t="n">
        <v>46035</v>
      </c>
      <c r="D447" t="inlineStr">
        <is>
          <t>JÄMTLANDS LÄN</t>
        </is>
      </c>
      <c r="E447" t="inlineStr">
        <is>
          <t>RAGUNDA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21331-2025</t>
        </is>
      </c>
      <c r="B448" s="1" t="n">
        <v>45782.36494212963</v>
      </c>
      <c r="C448" s="1" t="n">
        <v>46035</v>
      </c>
      <c r="D448" t="inlineStr">
        <is>
          <t>JÄMTLANDS LÄN</t>
        </is>
      </c>
      <c r="E448" t="inlineStr">
        <is>
          <t>RAGUNDA</t>
        </is>
      </c>
      <c r="F448" t="inlineStr">
        <is>
          <t>SCA</t>
        </is>
      </c>
      <c r="G448" t="n">
        <v>23.1</v>
      </c>
      <c r="H448" t="n">
        <v>0</v>
      </c>
      <c r="I448" t="n">
        <v>0</v>
      </c>
      <c r="J448" t="n">
        <v>0</v>
      </c>
      <c r="K448" t="n">
        <v>0</v>
      </c>
      <c r="L448" t="n">
        <v>0</v>
      </c>
      <c r="M448" t="n">
        <v>0</v>
      </c>
      <c r="N448" t="n">
        <v>0</v>
      </c>
      <c r="O448" t="n">
        <v>0</v>
      </c>
      <c r="P448" t="n">
        <v>0</v>
      </c>
      <c r="Q448" t="n">
        <v>0</v>
      </c>
      <c r="R448" s="2" t="inlineStr"/>
      <c r="U448">
        <f>HYPERLINK("https://klasma.github.io/Logging_2303/knärot/A 21331-2025 karta knärot.png", "A 21331-2025")</f>
        <v/>
      </c>
      <c r="V448">
        <f>HYPERLINK("https://klasma.github.io/Logging_2303/klagomål/A 21331-2025 FSC-klagomål.docx", "A 21331-2025")</f>
        <v/>
      </c>
      <c r="W448">
        <f>HYPERLINK("https://klasma.github.io/Logging_2303/klagomålsmail/A 21331-2025 FSC-klagomål mail.docx", "A 21331-2025")</f>
        <v/>
      </c>
      <c r="X448">
        <f>HYPERLINK("https://klasma.github.io/Logging_2303/tillsyn/A 21331-2025 tillsynsbegäran.docx", "A 21331-2025")</f>
        <v/>
      </c>
      <c r="Y448">
        <f>HYPERLINK("https://klasma.github.io/Logging_2303/tillsynsmail/A 21331-2025 tillsynsbegäran mail.docx", "A 21331-2025")</f>
        <v/>
      </c>
    </row>
    <row r="449" ht="15" customHeight="1">
      <c r="A449" t="inlineStr">
        <is>
          <t>A 21214-2025</t>
        </is>
      </c>
      <c r="B449" s="1" t="n">
        <v>45779.49025462963</v>
      </c>
      <c r="C449" s="1" t="n">
        <v>46035</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48748-2025</t>
        </is>
      </c>
      <c r="B450" s="1" t="n">
        <v>45936.67912037037</v>
      </c>
      <c r="C450" s="1" t="n">
        <v>46035</v>
      </c>
      <c r="D450" t="inlineStr">
        <is>
          <t>JÄMTLANDS LÄN</t>
        </is>
      </c>
      <c r="E450" t="inlineStr">
        <is>
          <t>RAGUNDA</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22941-2024</t>
        </is>
      </c>
      <c r="B451" s="1" t="n">
        <v>45448.94520833333</v>
      </c>
      <c r="C451" s="1" t="n">
        <v>46035</v>
      </c>
      <c r="D451" t="inlineStr">
        <is>
          <t>JÄMTLANDS LÄN</t>
        </is>
      </c>
      <c r="E451" t="inlineStr">
        <is>
          <t>RAGUNDA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18777-2024</t>
        </is>
      </c>
      <c r="B452" s="1" t="n">
        <v>45426</v>
      </c>
      <c r="C452" s="1" t="n">
        <v>46035</v>
      </c>
      <c r="D452" t="inlineStr">
        <is>
          <t>JÄMTLANDS LÄN</t>
        </is>
      </c>
      <c r="E452" t="inlineStr">
        <is>
          <t>RAGUNDA</t>
        </is>
      </c>
      <c r="G452" t="n">
        <v>1.9</v>
      </c>
      <c r="H452" t="n">
        <v>0</v>
      </c>
      <c r="I452" t="n">
        <v>0</v>
      </c>
      <c r="J452" t="n">
        <v>0</v>
      </c>
      <c r="K452" t="n">
        <v>0</v>
      </c>
      <c r="L452" t="n">
        <v>0</v>
      </c>
      <c r="M452" t="n">
        <v>0</v>
      </c>
      <c r="N452" t="n">
        <v>0</v>
      </c>
      <c r="O452" t="n">
        <v>0</v>
      </c>
      <c r="P452" t="n">
        <v>0</v>
      </c>
      <c r="Q452" t="n">
        <v>0</v>
      </c>
      <c r="R452" s="2" t="inlineStr"/>
    </row>
    <row r="453" ht="15" customHeight="1">
      <c r="A453" t="inlineStr">
        <is>
          <t>A 39192-2025</t>
        </is>
      </c>
      <c r="B453" s="1" t="n">
        <v>45888.6775</v>
      </c>
      <c r="C453" s="1" t="n">
        <v>46035</v>
      </c>
      <c r="D453" t="inlineStr">
        <is>
          <t>JÄMTLANDS LÄN</t>
        </is>
      </c>
      <c r="E453" t="inlineStr">
        <is>
          <t>RAGUNDA</t>
        </is>
      </c>
      <c r="F453" t="inlineStr">
        <is>
          <t>Naturvårdsverket</t>
        </is>
      </c>
      <c r="G453" t="n">
        <v>2.3</v>
      </c>
      <c r="H453" t="n">
        <v>0</v>
      </c>
      <c r="I453" t="n">
        <v>0</v>
      </c>
      <c r="J453" t="n">
        <v>0</v>
      </c>
      <c r="K453" t="n">
        <v>0</v>
      </c>
      <c r="L453" t="n">
        <v>0</v>
      </c>
      <c r="M453" t="n">
        <v>0</v>
      </c>
      <c r="N453" t="n">
        <v>0</v>
      </c>
      <c r="O453" t="n">
        <v>0</v>
      </c>
      <c r="P453" t="n">
        <v>0</v>
      </c>
      <c r="Q453" t="n">
        <v>0</v>
      </c>
      <c r="R453" s="2" t="inlineStr"/>
    </row>
    <row r="454" ht="15" customHeight="1">
      <c r="A454" t="inlineStr">
        <is>
          <t>A 48746-2025</t>
        </is>
      </c>
      <c r="B454" s="1" t="n">
        <v>45936.67878472222</v>
      </c>
      <c r="C454" s="1" t="n">
        <v>46035</v>
      </c>
      <c r="D454" t="inlineStr">
        <is>
          <t>JÄMTLANDS LÄN</t>
        </is>
      </c>
      <c r="E454" t="inlineStr">
        <is>
          <t>RAGUNDA</t>
        </is>
      </c>
      <c r="F454" t="inlineStr">
        <is>
          <t>SCA</t>
        </is>
      </c>
      <c r="G454" t="n">
        <v>6.5</v>
      </c>
      <c r="H454" t="n">
        <v>0</v>
      </c>
      <c r="I454" t="n">
        <v>0</v>
      </c>
      <c r="J454" t="n">
        <v>0</v>
      </c>
      <c r="K454" t="n">
        <v>0</v>
      </c>
      <c r="L454" t="n">
        <v>0</v>
      </c>
      <c r="M454" t="n">
        <v>0</v>
      </c>
      <c r="N454" t="n">
        <v>0</v>
      </c>
      <c r="O454" t="n">
        <v>0</v>
      </c>
      <c r="P454" t="n">
        <v>0</v>
      </c>
      <c r="Q454" t="n">
        <v>0</v>
      </c>
      <c r="R454" s="2" t="inlineStr"/>
    </row>
    <row r="455" ht="15" customHeight="1">
      <c r="A455" t="inlineStr">
        <is>
          <t>A 59670-2023</t>
        </is>
      </c>
      <c r="B455" s="1" t="n">
        <v>45254.96516203704</v>
      </c>
      <c r="C455" s="1" t="n">
        <v>46035</v>
      </c>
      <c r="D455" t="inlineStr">
        <is>
          <t>JÄMTLANDS LÄN</t>
        </is>
      </c>
      <c r="E455" t="inlineStr">
        <is>
          <t>RAGUNDA</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28216-2025</t>
        </is>
      </c>
      <c r="B456" s="1" t="n">
        <v>45818.46898148148</v>
      </c>
      <c r="C456" s="1" t="n">
        <v>46035</v>
      </c>
      <c r="D456" t="inlineStr">
        <is>
          <t>JÄMTLANDS LÄN</t>
        </is>
      </c>
      <c r="E456" t="inlineStr">
        <is>
          <t>RAGUNDA</t>
        </is>
      </c>
      <c r="G456" t="n">
        <v>6.6</v>
      </c>
      <c r="H456" t="n">
        <v>0</v>
      </c>
      <c r="I456" t="n">
        <v>0</v>
      </c>
      <c r="J456" t="n">
        <v>0</v>
      </c>
      <c r="K456" t="n">
        <v>0</v>
      </c>
      <c r="L456" t="n">
        <v>0</v>
      </c>
      <c r="M456" t="n">
        <v>0</v>
      </c>
      <c r="N456" t="n">
        <v>0</v>
      </c>
      <c r="O456" t="n">
        <v>0</v>
      </c>
      <c r="P456" t="n">
        <v>0</v>
      </c>
      <c r="Q456" t="n">
        <v>0</v>
      </c>
      <c r="R456" s="2" t="inlineStr"/>
    </row>
    <row r="457" ht="15" customHeight="1">
      <c r="A457" t="inlineStr">
        <is>
          <t>A 58193-2022</t>
        </is>
      </c>
      <c r="B457" s="1" t="n">
        <v>44900.95700231481</v>
      </c>
      <c r="C457" s="1" t="n">
        <v>46035</v>
      </c>
      <c r="D457" t="inlineStr">
        <is>
          <t>JÄMTLANDS LÄN</t>
        </is>
      </c>
      <c r="E457" t="inlineStr">
        <is>
          <t>RAGUNDA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44881-2023</t>
        </is>
      </c>
      <c r="B458" s="1" t="n">
        <v>45187</v>
      </c>
      <c r="C458" s="1" t="n">
        <v>46035</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18194-2025</t>
        </is>
      </c>
      <c r="B459" s="1" t="n">
        <v>45761.67744212963</v>
      </c>
      <c r="C459" s="1" t="n">
        <v>46035</v>
      </c>
      <c r="D459" t="inlineStr">
        <is>
          <t>JÄMTLANDS LÄN</t>
        </is>
      </c>
      <c r="E459" t="inlineStr">
        <is>
          <t>RAGUNDA</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26991-2023</t>
        </is>
      </c>
      <c r="B460" s="1" t="n">
        <v>45093.92207175926</v>
      </c>
      <c r="C460" s="1" t="n">
        <v>46035</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13299-2024</t>
        </is>
      </c>
      <c r="B461" s="1" t="n">
        <v>45386.68003472222</v>
      </c>
      <c r="C461" s="1" t="n">
        <v>46035</v>
      </c>
      <c r="D461" t="inlineStr">
        <is>
          <t>JÄMTLANDS LÄN</t>
        </is>
      </c>
      <c r="E461" t="inlineStr">
        <is>
          <t>RAGUNDA</t>
        </is>
      </c>
      <c r="G461" t="n">
        <v>1.9</v>
      </c>
      <c r="H461" t="n">
        <v>0</v>
      </c>
      <c r="I461" t="n">
        <v>0</v>
      </c>
      <c r="J461" t="n">
        <v>0</v>
      </c>
      <c r="K461" t="n">
        <v>0</v>
      </c>
      <c r="L461" t="n">
        <v>0</v>
      </c>
      <c r="M461" t="n">
        <v>0</v>
      </c>
      <c r="N461" t="n">
        <v>0</v>
      </c>
      <c r="O461" t="n">
        <v>0</v>
      </c>
      <c r="P461" t="n">
        <v>0</v>
      </c>
      <c r="Q461" t="n">
        <v>0</v>
      </c>
      <c r="R461" s="2" t="inlineStr"/>
    </row>
    <row r="462" ht="15" customHeight="1">
      <c r="A462" t="inlineStr">
        <is>
          <t>A 58537-2022</t>
        </is>
      </c>
      <c r="B462" s="1" t="n">
        <v>44894</v>
      </c>
      <c r="C462" s="1" t="n">
        <v>46035</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53347-2023</t>
        </is>
      </c>
      <c r="B463" s="1" t="n">
        <v>45223</v>
      </c>
      <c r="C463" s="1" t="n">
        <v>46035</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22948-2024</t>
        </is>
      </c>
      <c r="B464" s="1" t="n">
        <v>45448.94600694445</v>
      </c>
      <c r="C464" s="1" t="n">
        <v>46035</v>
      </c>
      <c r="D464" t="inlineStr">
        <is>
          <t>JÄMTLANDS LÄN</t>
        </is>
      </c>
      <c r="E464" t="inlineStr">
        <is>
          <t>RAGUNDA</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39384-2025</t>
        </is>
      </c>
      <c r="B465" s="1" t="n">
        <v>45889.61517361111</v>
      </c>
      <c r="C465" s="1" t="n">
        <v>46035</v>
      </c>
      <c r="D465" t="inlineStr">
        <is>
          <t>JÄMTLANDS LÄN</t>
        </is>
      </c>
      <c r="E465" t="inlineStr">
        <is>
          <t>RAGUNDA</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53678-2022</t>
        </is>
      </c>
      <c r="B466" s="1" t="n">
        <v>44879.95768518518</v>
      </c>
      <c r="C466" s="1" t="n">
        <v>46035</v>
      </c>
      <c r="D466" t="inlineStr">
        <is>
          <t>JÄMTLANDS LÄN</t>
        </is>
      </c>
      <c r="E466" t="inlineStr">
        <is>
          <t>RAGUNDA</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14369-2024</t>
        </is>
      </c>
      <c r="B467" s="1" t="n">
        <v>45393.94459490741</v>
      </c>
      <c r="C467" s="1" t="n">
        <v>46035</v>
      </c>
      <c r="D467" t="inlineStr">
        <is>
          <t>JÄMTLANDS LÄN</t>
        </is>
      </c>
      <c r="E467" t="inlineStr">
        <is>
          <t>RAGUNDA</t>
        </is>
      </c>
      <c r="F467" t="inlineStr">
        <is>
          <t>Naturvårdsverket</t>
        </is>
      </c>
      <c r="G467" t="n">
        <v>1.8</v>
      </c>
      <c r="H467" t="n">
        <v>0</v>
      </c>
      <c r="I467" t="n">
        <v>0</v>
      </c>
      <c r="J467" t="n">
        <v>0</v>
      </c>
      <c r="K467" t="n">
        <v>0</v>
      </c>
      <c r="L467" t="n">
        <v>0</v>
      </c>
      <c r="M467" t="n">
        <v>0</v>
      </c>
      <c r="N467" t="n">
        <v>0</v>
      </c>
      <c r="O467" t="n">
        <v>0</v>
      </c>
      <c r="P467" t="n">
        <v>0</v>
      </c>
      <c r="Q467" t="n">
        <v>0</v>
      </c>
      <c r="R467" s="2" t="inlineStr"/>
    </row>
    <row r="468" ht="15" customHeight="1">
      <c r="A468" t="inlineStr">
        <is>
          <t>A 10639-2024</t>
        </is>
      </c>
      <c r="B468" s="1" t="n">
        <v>45367.67256944445</v>
      </c>
      <c r="C468" s="1" t="n">
        <v>46035</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60629-2023</t>
        </is>
      </c>
      <c r="B469" s="1" t="n">
        <v>45259</v>
      </c>
      <c r="C469" s="1" t="n">
        <v>46035</v>
      </c>
      <c r="D469" t="inlineStr">
        <is>
          <t>JÄMTLANDS LÄN</t>
        </is>
      </c>
      <c r="E469" t="inlineStr">
        <is>
          <t>RAGUNDA</t>
        </is>
      </c>
      <c r="G469" t="n">
        <v>3.4</v>
      </c>
      <c r="H469" t="n">
        <v>0</v>
      </c>
      <c r="I469" t="n">
        <v>0</v>
      </c>
      <c r="J469" t="n">
        <v>0</v>
      </c>
      <c r="K469" t="n">
        <v>0</v>
      </c>
      <c r="L469" t="n">
        <v>0</v>
      </c>
      <c r="M469" t="n">
        <v>0</v>
      </c>
      <c r="N469" t="n">
        <v>0</v>
      </c>
      <c r="O469" t="n">
        <v>0</v>
      </c>
      <c r="P469" t="n">
        <v>0</v>
      </c>
      <c r="Q469" t="n">
        <v>0</v>
      </c>
      <c r="R469" s="2" t="inlineStr"/>
    </row>
    <row r="470" ht="15" customHeight="1">
      <c r="A470" t="inlineStr">
        <is>
          <t>A 57889-2024</t>
        </is>
      </c>
      <c r="B470" s="1" t="n">
        <v>45631.46665509259</v>
      </c>
      <c r="C470" s="1" t="n">
        <v>46035</v>
      </c>
      <c r="D470" t="inlineStr">
        <is>
          <t>JÄMTLANDS LÄN</t>
        </is>
      </c>
      <c r="E470" t="inlineStr">
        <is>
          <t>RAGUNDA</t>
        </is>
      </c>
      <c r="G470" t="n">
        <v>11.1</v>
      </c>
      <c r="H470" t="n">
        <v>0</v>
      </c>
      <c r="I470" t="n">
        <v>0</v>
      </c>
      <c r="J470" t="n">
        <v>0</v>
      </c>
      <c r="K470" t="n">
        <v>0</v>
      </c>
      <c r="L470" t="n">
        <v>0</v>
      </c>
      <c r="M470" t="n">
        <v>0</v>
      </c>
      <c r="N470" t="n">
        <v>0</v>
      </c>
      <c r="O470" t="n">
        <v>0</v>
      </c>
      <c r="P470" t="n">
        <v>0</v>
      </c>
      <c r="Q470" t="n">
        <v>0</v>
      </c>
      <c r="R470" s="2" t="inlineStr"/>
    </row>
    <row r="471" ht="15" customHeight="1">
      <c r="A471" t="inlineStr">
        <is>
          <t>A 50649-2022</t>
        </is>
      </c>
      <c r="B471" s="1" t="n">
        <v>44866</v>
      </c>
      <c r="C471" s="1" t="n">
        <v>46035</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22388-2025</t>
        </is>
      </c>
      <c r="B472" s="1" t="n">
        <v>45786.51077546296</v>
      </c>
      <c r="C472" s="1" t="n">
        <v>46035</v>
      </c>
      <c r="D472" t="inlineStr">
        <is>
          <t>JÄMTLANDS LÄN</t>
        </is>
      </c>
      <c r="E472" t="inlineStr">
        <is>
          <t>RAGUNDA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39949-2025</t>
        </is>
      </c>
      <c r="B473" s="1" t="n">
        <v>45892.38619212963</v>
      </c>
      <c r="C473" s="1" t="n">
        <v>46035</v>
      </c>
      <c r="D473" t="inlineStr">
        <is>
          <t>JÄMTLANDS LÄN</t>
        </is>
      </c>
      <c r="E473" t="inlineStr">
        <is>
          <t>RAGUNDA</t>
        </is>
      </c>
      <c r="G473" t="n">
        <v>1.4</v>
      </c>
      <c r="H473" t="n">
        <v>0</v>
      </c>
      <c r="I473" t="n">
        <v>0</v>
      </c>
      <c r="J473" t="n">
        <v>0</v>
      </c>
      <c r="K473" t="n">
        <v>0</v>
      </c>
      <c r="L473" t="n">
        <v>0</v>
      </c>
      <c r="M473" t="n">
        <v>0</v>
      </c>
      <c r="N473" t="n">
        <v>0</v>
      </c>
      <c r="O473" t="n">
        <v>0</v>
      </c>
      <c r="P473" t="n">
        <v>0</v>
      </c>
      <c r="Q473" t="n">
        <v>0</v>
      </c>
      <c r="R473" s="2" t="inlineStr"/>
    </row>
    <row r="474" ht="15" customHeight="1">
      <c r="A474" t="inlineStr">
        <is>
          <t>A 39948-2025</t>
        </is>
      </c>
      <c r="B474" s="1" t="n">
        <v>45892.38591435185</v>
      </c>
      <c r="C474" s="1" t="n">
        <v>46035</v>
      </c>
      <c r="D474" t="inlineStr">
        <is>
          <t>JÄMTLANDS LÄN</t>
        </is>
      </c>
      <c r="E474" t="inlineStr">
        <is>
          <t>RAGUNDA</t>
        </is>
      </c>
      <c r="G474" t="n">
        <v>5</v>
      </c>
      <c r="H474" t="n">
        <v>0</v>
      </c>
      <c r="I474" t="n">
        <v>0</v>
      </c>
      <c r="J474" t="n">
        <v>0</v>
      </c>
      <c r="K474" t="n">
        <v>0</v>
      </c>
      <c r="L474" t="n">
        <v>0</v>
      </c>
      <c r="M474" t="n">
        <v>0</v>
      </c>
      <c r="N474" t="n">
        <v>0</v>
      </c>
      <c r="O474" t="n">
        <v>0</v>
      </c>
      <c r="P474" t="n">
        <v>0</v>
      </c>
      <c r="Q474" t="n">
        <v>0</v>
      </c>
      <c r="R474" s="2" t="inlineStr"/>
    </row>
    <row r="475" ht="15" customHeight="1">
      <c r="A475" t="inlineStr">
        <is>
          <t>A 60195-2023</t>
        </is>
      </c>
      <c r="B475" s="1" t="n">
        <v>45257</v>
      </c>
      <c r="C475" s="1" t="n">
        <v>46035</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39947-2025</t>
        </is>
      </c>
      <c r="B476" s="1" t="n">
        <v>45892.34438657408</v>
      </c>
      <c r="C476" s="1" t="n">
        <v>46035</v>
      </c>
      <c r="D476" t="inlineStr">
        <is>
          <t>JÄMTLANDS LÄN</t>
        </is>
      </c>
      <c r="E476" t="inlineStr">
        <is>
          <t>RAGUNDA</t>
        </is>
      </c>
      <c r="G476" t="n">
        <v>6.6</v>
      </c>
      <c r="H476" t="n">
        <v>0</v>
      </c>
      <c r="I476" t="n">
        <v>0</v>
      </c>
      <c r="J476" t="n">
        <v>0</v>
      </c>
      <c r="K476" t="n">
        <v>0</v>
      </c>
      <c r="L476" t="n">
        <v>0</v>
      </c>
      <c r="M476" t="n">
        <v>0</v>
      </c>
      <c r="N476" t="n">
        <v>0</v>
      </c>
      <c r="O476" t="n">
        <v>0</v>
      </c>
      <c r="P476" t="n">
        <v>0</v>
      </c>
      <c r="Q476" t="n">
        <v>0</v>
      </c>
      <c r="R476" s="2" t="inlineStr"/>
    </row>
    <row r="477" ht="15" customHeight="1">
      <c r="A477" t="inlineStr">
        <is>
          <t>A 39951-2025</t>
        </is>
      </c>
      <c r="B477" s="1" t="n">
        <v>45892.38657407407</v>
      </c>
      <c r="C477" s="1" t="n">
        <v>46035</v>
      </c>
      <c r="D477" t="inlineStr">
        <is>
          <t>JÄMTLANDS LÄN</t>
        </is>
      </c>
      <c r="E477" t="inlineStr">
        <is>
          <t>RAGUNDA</t>
        </is>
      </c>
      <c r="G477" t="n">
        <v>2.3</v>
      </c>
      <c r="H477" t="n">
        <v>0</v>
      </c>
      <c r="I477" t="n">
        <v>0</v>
      </c>
      <c r="J477" t="n">
        <v>0</v>
      </c>
      <c r="K477" t="n">
        <v>0</v>
      </c>
      <c r="L477" t="n">
        <v>0</v>
      </c>
      <c r="M477" t="n">
        <v>0</v>
      </c>
      <c r="N477" t="n">
        <v>0</v>
      </c>
      <c r="O477" t="n">
        <v>0</v>
      </c>
      <c r="P477" t="n">
        <v>0</v>
      </c>
      <c r="Q477" t="n">
        <v>0</v>
      </c>
      <c r="R477" s="2" t="inlineStr"/>
    </row>
    <row r="478" ht="15" customHeight="1">
      <c r="A478" t="inlineStr">
        <is>
          <t>A 2819-2023</t>
        </is>
      </c>
      <c r="B478" s="1" t="n">
        <v>44944</v>
      </c>
      <c r="C478" s="1" t="n">
        <v>46035</v>
      </c>
      <c r="D478" t="inlineStr">
        <is>
          <t>JÄMTLANDS LÄN</t>
        </is>
      </c>
      <c r="E478" t="inlineStr">
        <is>
          <t>RAGUNDA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182-2023</t>
        </is>
      </c>
      <c r="B479" s="1" t="n">
        <v>44922</v>
      </c>
      <c r="C479" s="1" t="n">
        <v>46035</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39946-2025</t>
        </is>
      </c>
      <c r="B480" s="1" t="n">
        <v>45892.34423611111</v>
      </c>
      <c r="C480" s="1" t="n">
        <v>46035</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39950-2025</t>
        </is>
      </c>
      <c r="B481" s="1" t="n">
        <v>45892.38641203703</v>
      </c>
      <c r="C481" s="1" t="n">
        <v>46035</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39955-2025</t>
        </is>
      </c>
      <c r="B482" s="1" t="n">
        <v>45892.44824074074</v>
      </c>
      <c r="C482" s="1" t="n">
        <v>46035</v>
      </c>
      <c r="D482" t="inlineStr">
        <is>
          <t>JÄMTLANDS LÄN</t>
        </is>
      </c>
      <c r="E482" t="inlineStr">
        <is>
          <t>RAGUNDA</t>
        </is>
      </c>
      <c r="G482" t="n">
        <v>1.4</v>
      </c>
      <c r="H482" t="n">
        <v>0</v>
      </c>
      <c r="I482" t="n">
        <v>0</v>
      </c>
      <c r="J482" t="n">
        <v>0</v>
      </c>
      <c r="K482" t="n">
        <v>0</v>
      </c>
      <c r="L482" t="n">
        <v>0</v>
      </c>
      <c r="M482" t="n">
        <v>0</v>
      </c>
      <c r="N482" t="n">
        <v>0</v>
      </c>
      <c r="O482" t="n">
        <v>0</v>
      </c>
      <c r="P482" t="n">
        <v>0</v>
      </c>
      <c r="Q482" t="n">
        <v>0</v>
      </c>
      <c r="R482" s="2" t="inlineStr"/>
    </row>
    <row r="483" ht="15" customHeight="1">
      <c r="A483" t="inlineStr">
        <is>
          <t>A 39956-2025</t>
        </is>
      </c>
      <c r="B483" s="1" t="n">
        <v>45892.44840277778</v>
      </c>
      <c r="C483" s="1" t="n">
        <v>46035</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66011-2021</t>
        </is>
      </c>
      <c r="B484" s="1" t="n">
        <v>44517.58137731482</v>
      </c>
      <c r="C484" s="1" t="n">
        <v>46035</v>
      </c>
      <c r="D484" t="inlineStr">
        <is>
          <t>JÄMTLANDS LÄN</t>
        </is>
      </c>
      <c r="E484" t="inlineStr">
        <is>
          <t>RAGUNDA</t>
        </is>
      </c>
      <c r="G484" t="n">
        <v>1.1</v>
      </c>
      <c r="H484" t="n">
        <v>0</v>
      </c>
      <c r="I484" t="n">
        <v>0</v>
      </c>
      <c r="J484" t="n">
        <v>0</v>
      </c>
      <c r="K484" t="n">
        <v>0</v>
      </c>
      <c r="L484" t="n">
        <v>0</v>
      </c>
      <c r="M484" t="n">
        <v>0</v>
      </c>
      <c r="N484" t="n">
        <v>0</v>
      </c>
      <c r="O484" t="n">
        <v>0</v>
      </c>
      <c r="P484" t="n">
        <v>0</v>
      </c>
      <c r="Q484" t="n">
        <v>0</v>
      </c>
      <c r="R484" s="2" t="inlineStr"/>
    </row>
    <row r="485" ht="15" customHeight="1">
      <c r="A485" t="inlineStr">
        <is>
          <t>A 32904-2024</t>
        </is>
      </c>
      <c r="B485" s="1" t="n">
        <v>45516.94732638889</v>
      </c>
      <c r="C485" s="1" t="n">
        <v>46035</v>
      </c>
      <c r="D485" t="inlineStr">
        <is>
          <t>JÄMTLANDS LÄN</t>
        </is>
      </c>
      <c r="E485" t="inlineStr">
        <is>
          <t>RAGUNDA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40586-2025</t>
        </is>
      </c>
      <c r="B486" s="1" t="n">
        <v>45896.52478009259</v>
      </c>
      <c r="C486" s="1" t="n">
        <v>46035</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22898-2025</t>
        </is>
      </c>
      <c r="B487" s="1" t="n">
        <v>45790.40670138889</v>
      </c>
      <c r="C487" s="1" t="n">
        <v>46035</v>
      </c>
      <c r="D487" t="inlineStr">
        <is>
          <t>JÄMTLANDS LÄN</t>
        </is>
      </c>
      <c r="E487" t="inlineStr">
        <is>
          <t>RAGUNDA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23528-2024</t>
        </is>
      </c>
      <c r="B488" s="1" t="n">
        <v>45453.95016203704</v>
      </c>
      <c r="C488" s="1" t="n">
        <v>46035</v>
      </c>
      <c r="D488" t="inlineStr">
        <is>
          <t>JÄMTLANDS LÄN</t>
        </is>
      </c>
      <c r="E488" t="inlineStr">
        <is>
          <t>RAGUNDA</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41161-2025</t>
        </is>
      </c>
      <c r="B489" s="1" t="n">
        <v>45898.53193287037</v>
      </c>
      <c r="C489" s="1" t="n">
        <v>46035</v>
      </c>
      <c r="D489" t="inlineStr">
        <is>
          <t>JÄMTLANDS LÄN</t>
        </is>
      </c>
      <c r="E489" t="inlineStr">
        <is>
          <t>RAGUNDA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22412-2024</t>
        </is>
      </c>
      <c r="B490" s="1" t="n">
        <v>45446.68947916666</v>
      </c>
      <c r="C490" s="1" t="n">
        <v>46035</v>
      </c>
      <c r="D490" t="inlineStr">
        <is>
          <t>JÄMTLANDS LÄN</t>
        </is>
      </c>
      <c r="E490" t="inlineStr">
        <is>
          <t>RAGUNDA</t>
        </is>
      </c>
      <c r="G490" t="n">
        <v>0.8</v>
      </c>
      <c r="H490" t="n">
        <v>0</v>
      </c>
      <c r="I490" t="n">
        <v>0</v>
      </c>
      <c r="J490" t="n">
        <v>0</v>
      </c>
      <c r="K490" t="n">
        <v>0</v>
      </c>
      <c r="L490" t="n">
        <v>0</v>
      </c>
      <c r="M490" t="n">
        <v>0</v>
      </c>
      <c r="N490" t="n">
        <v>0</v>
      </c>
      <c r="O490" t="n">
        <v>0</v>
      </c>
      <c r="P490" t="n">
        <v>0</v>
      </c>
      <c r="Q490" t="n">
        <v>0</v>
      </c>
      <c r="R490" s="2" t="inlineStr"/>
    </row>
    <row r="491" ht="15" customHeight="1">
      <c r="A491" t="inlineStr">
        <is>
          <t>A 24196-2024</t>
        </is>
      </c>
      <c r="B491" s="1" t="n">
        <v>45456.96569444444</v>
      </c>
      <c r="C491" s="1" t="n">
        <v>46035</v>
      </c>
      <c r="D491" t="inlineStr">
        <is>
          <t>JÄMTLANDS LÄN</t>
        </is>
      </c>
      <c r="E491" t="inlineStr">
        <is>
          <t>RAGUNDA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41140-2025</t>
        </is>
      </c>
      <c r="B492" s="1" t="n">
        <v>45898.49012731481</v>
      </c>
      <c r="C492" s="1" t="n">
        <v>46035</v>
      </c>
      <c r="D492" t="inlineStr">
        <is>
          <t>JÄMTLANDS LÄN</t>
        </is>
      </c>
      <c r="E492" t="inlineStr">
        <is>
          <t>RAGUNDA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55701-2021</t>
        </is>
      </c>
      <c r="B493" s="1" t="n">
        <v>44475</v>
      </c>
      <c r="C493" s="1" t="n">
        <v>46035</v>
      </c>
      <c r="D493" t="inlineStr">
        <is>
          <t>JÄMTLANDS LÄN</t>
        </is>
      </c>
      <c r="E493" t="inlineStr">
        <is>
          <t>RAGUNDA</t>
        </is>
      </c>
      <c r="G493" t="n">
        <v>5.6</v>
      </c>
      <c r="H493" t="n">
        <v>0</v>
      </c>
      <c r="I493" t="n">
        <v>0</v>
      </c>
      <c r="J493" t="n">
        <v>0</v>
      </c>
      <c r="K493" t="n">
        <v>0</v>
      </c>
      <c r="L493" t="n">
        <v>0</v>
      </c>
      <c r="M493" t="n">
        <v>0</v>
      </c>
      <c r="N493" t="n">
        <v>0</v>
      </c>
      <c r="O493" t="n">
        <v>0</v>
      </c>
      <c r="P493" t="n">
        <v>0</v>
      </c>
      <c r="Q493" t="n">
        <v>0</v>
      </c>
      <c r="R493" s="2" t="inlineStr"/>
    </row>
    <row r="494" ht="15" customHeight="1">
      <c r="A494" t="inlineStr">
        <is>
          <t>A 41233-2025</t>
        </is>
      </c>
      <c r="B494" s="1" t="n">
        <v>45898.59295138889</v>
      </c>
      <c r="C494" s="1" t="n">
        <v>46035</v>
      </c>
      <c r="D494" t="inlineStr">
        <is>
          <t>JÄMTLANDS LÄN</t>
        </is>
      </c>
      <c r="E494" t="inlineStr">
        <is>
          <t>RAGUNDA</t>
        </is>
      </c>
      <c r="G494" t="n">
        <v>1.7</v>
      </c>
      <c r="H494" t="n">
        <v>0</v>
      </c>
      <c r="I494" t="n">
        <v>0</v>
      </c>
      <c r="J494" t="n">
        <v>0</v>
      </c>
      <c r="K494" t="n">
        <v>0</v>
      </c>
      <c r="L494" t="n">
        <v>0</v>
      </c>
      <c r="M494" t="n">
        <v>0</v>
      </c>
      <c r="N494" t="n">
        <v>0</v>
      </c>
      <c r="O494" t="n">
        <v>0</v>
      </c>
      <c r="P494" t="n">
        <v>0</v>
      </c>
      <c r="Q494" t="n">
        <v>0</v>
      </c>
      <c r="R494" s="2" t="inlineStr"/>
    </row>
    <row r="495" ht="15" customHeight="1">
      <c r="A495" t="inlineStr">
        <is>
          <t>A 41262-2025</t>
        </is>
      </c>
      <c r="B495" s="1" t="n">
        <v>45898.61502314815</v>
      </c>
      <c r="C495" s="1" t="n">
        <v>46035</v>
      </c>
      <c r="D495" t="inlineStr">
        <is>
          <t>JÄMTLANDS LÄN</t>
        </is>
      </c>
      <c r="E495" t="inlineStr">
        <is>
          <t>RAGUNDA</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24171-2021</t>
        </is>
      </c>
      <c r="B496" s="1" t="n">
        <v>44336</v>
      </c>
      <c r="C496" s="1" t="n">
        <v>46035</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23405-2025</t>
        </is>
      </c>
      <c r="B497" s="1" t="n">
        <v>45792.34527777778</v>
      </c>
      <c r="C497" s="1" t="n">
        <v>46035</v>
      </c>
      <c r="D497" t="inlineStr">
        <is>
          <t>JÄMTLANDS LÄN</t>
        </is>
      </c>
      <c r="E497" t="inlineStr">
        <is>
          <t>RAGUNDA</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23654-2025</t>
        </is>
      </c>
      <c r="B498" s="1" t="n">
        <v>45792.71905092592</v>
      </c>
      <c r="C498" s="1" t="n">
        <v>46035</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23507-2025</t>
        </is>
      </c>
      <c r="B499" s="1" t="n">
        <v>45792.49023148148</v>
      </c>
      <c r="C499" s="1" t="n">
        <v>46035</v>
      </c>
      <c r="D499" t="inlineStr">
        <is>
          <t>JÄMTLANDS LÄN</t>
        </is>
      </c>
      <c r="E499" t="inlineStr">
        <is>
          <t>RAGUNDA</t>
        </is>
      </c>
      <c r="F499" t="inlineStr">
        <is>
          <t>SCA</t>
        </is>
      </c>
      <c r="G499" t="n">
        <v>16.4</v>
      </c>
      <c r="H499" t="n">
        <v>0</v>
      </c>
      <c r="I499" t="n">
        <v>0</v>
      </c>
      <c r="J499" t="n">
        <v>0</v>
      </c>
      <c r="K499" t="n">
        <v>0</v>
      </c>
      <c r="L499" t="n">
        <v>0</v>
      </c>
      <c r="M499" t="n">
        <v>0</v>
      </c>
      <c r="N499" t="n">
        <v>0</v>
      </c>
      <c r="O499" t="n">
        <v>0</v>
      </c>
      <c r="P499" t="n">
        <v>0</v>
      </c>
      <c r="Q499" t="n">
        <v>0</v>
      </c>
      <c r="R499" s="2" t="inlineStr"/>
    </row>
    <row r="500" ht="15" customHeight="1">
      <c r="A500" t="inlineStr">
        <is>
          <t>A 41422-2025</t>
        </is>
      </c>
      <c r="B500" s="1" t="n">
        <v>45901.38572916666</v>
      </c>
      <c r="C500" s="1" t="n">
        <v>46035</v>
      </c>
      <c r="D500" t="inlineStr">
        <is>
          <t>JÄMTLANDS LÄN</t>
        </is>
      </c>
      <c r="E500" t="inlineStr">
        <is>
          <t>RAGUNDA</t>
        </is>
      </c>
      <c r="G500" t="n">
        <v>4.3</v>
      </c>
      <c r="H500" t="n">
        <v>0</v>
      </c>
      <c r="I500" t="n">
        <v>0</v>
      </c>
      <c r="J500" t="n">
        <v>0</v>
      </c>
      <c r="K500" t="n">
        <v>0</v>
      </c>
      <c r="L500" t="n">
        <v>0</v>
      </c>
      <c r="M500" t="n">
        <v>0</v>
      </c>
      <c r="N500" t="n">
        <v>0</v>
      </c>
      <c r="O500" t="n">
        <v>0</v>
      </c>
      <c r="P500" t="n">
        <v>0</v>
      </c>
      <c r="Q500" t="n">
        <v>0</v>
      </c>
      <c r="R500" s="2" t="inlineStr"/>
    </row>
    <row r="501" ht="15" customHeight="1">
      <c r="A501" t="inlineStr">
        <is>
          <t>A 23586-2025</t>
        </is>
      </c>
      <c r="B501" s="1" t="n">
        <v>45792.63584490741</v>
      </c>
      <c r="C501" s="1" t="n">
        <v>46035</v>
      </c>
      <c r="D501" t="inlineStr">
        <is>
          <t>JÄMTLANDS LÄN</t>
        </is>
      </c>
      <c r="E501" t="inlineStr">
        <is>
          <t>RAGUNDA</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23413-2025</t>
        </is>
      </c>
      <c r="B502" s="1" t="n">
        <v>45792.34606481482</v>
      </c>
      <c r="C502" s="1" t="n">
        <v>46035</v>
      </c>
      <c r="D502" t="inlineStr">
        <is>
          <t>JÄMTLANDS LÄN</t>
        </is>
      </c>
      <c r="E502" t="inlineStr">
        <is>
          <t>RAGUNDA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41423-2025</t>
        </is>
      </c>
      <c r="B503" s="1" t="n">
        <v>45901.38578703703</v>
      </c>
      <c r="C503" s="1" t="n">
        <v>46035</v>
      </c>
      <c r="D503" t="inlineStr">
        <is>
          <t>JÄMTLANDS LÄN</t>
        </is>
      </c>
      <c r="E503" t="inlineStr">
        <is>
          <t>RAGUNDA</t>
        </is>
      </c>
      <c r="G503" t="n">
        <v>0.7</v>
      </c>
      <c r="H503" t="n">
        <v>0</v>
      </c>
      <c r="I503" t="n">
        <v>0</v>
      </c>
      <c r="J503" t="n">
        <v>0</v>
      </c>
      <c r="K503" t="n">
        <v>0</v>
      </c>
      <c r="L503" t="n">
        <v>0</v>
      </c>
      <c r="M503" t="n">
        <v>0</v>
      </c>
      <c r="N503" t="n">
        <v>0</v>
      </c>
      <c r="O503" t="n">
        <v>0</v>
      </c>
      <c r="P503" t="n">
        <v>0</v>
      </c>
      <c r="Q503" t="n">
        <v>0</v>
      </c>
      <c r="R503" s="2" t="inlineStr"/>
    </row>
    <row r="504" ht="15" customHeight="1">
      <c r="A504" t="inlineStr">
        <is>
          <t>A 41656-2025</t>
        </is>
      </c>
      <c r="B504" s="1" t="n">
        <v>45902.34423611111</v>
      </c>
      <c r="C504" s="1" t="n">
        <v>46035</v>
      </c>
      <c r="D504" t="inlineStr">
        <is>
          <t>JÄMTLANDS LÄN</t>
        </is>
      </c>
      <c r="E504" t="inlineStr">
        <is>
          <t>RAGUNDA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41424-2025</t>
        </is>
      </c>
      <c r="B505" s="1" t="n">
        <v>45901.38584490741</v>
      </c>
      <c r="C505" s="1" t="n">
        <v>46035</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2224-2024</t>
        </is>
      </c>
      <c r="B506" s="1" t="n">
        <v>45309.92524305556</v>
      </c>
      <c r="C506" s="1" t="n">
        <v>46035</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23253-2025</t>
        </is>
      </c>
      <c r="B507" s="1" t="n">
        <v>45791.53238425926</v>
      </c>
      <c r="C507" s="1" t="n">
        <v>46035</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56702-2023</t>
        </is>
      </c>
      <c r="B508" s="1" t="n">
        <v>45243</v>
      </c>
      <c r="C508" s="1" t="n">
        <v>46035</v>
      </c>
      <c r="D508" t="inlineStr">
        <is>
          <t>JÄMTLANDS LÄN</t>
        </is>
      </c>
      <c r="E508" t="inlineStr">
        <is>
          <t>RAGUNDA</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63708-2023</t>
        </is>
      </c>
      <c r="B509" s="1" t="n">
        <v>45275.95060185185</v>
      </c>
      <c r="C509" s="1" t="n">
        <v>46035</v>
      </c>
      <c r="D509" t="inlineStr">
        <is>
          <t>JÄMTLANDS LÄN</t>
        </is>
      </c>
      <c r="E509" t="inlineStr">
        <is>
          <t>RAGUNDA</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26651-2024</t>
        </is>
      </c>
      <c r="B510" s="1" t="n">
        <v>45469.94876157407</v>
      </c>
      <c r="C510" s="1" t="n">
        <v>46035</v>
      </c>
      <c r="D510" t="inlineStr">
        <is>
          <t>JÄMTLANDS LÄN</t>
        </is>
      </c>
      <c r="E510" t="inlineStr">
        <is>
          <t>RAGUNDA</t>
        </is>
      </c>
      <c r="F510" t="inlineStr">
        <is>
          <t>SCA</t>
        </is>
      </c>
      <c r="G510" t="n">
        <v>10.4</v>
      </c>
      <c r="H510" t="n">
        <v>0</v>
      </c>
      <c r="I510" t="n">
        <v>0</v>
      </c>
      <c r="J510" t="n">
        <v>0</v>
      </c>
      <c r="K510" t="n">
        <v>0</v>
      </c>
      <c r="L510" t="n">
        <v>0</v>
      </c>
      <c r="M510" t="n">
        <v>0</v>
      </c>
      <c r="N510" t="n">
        <v>0</v>
      </c>
      <c r="O510" t="n">
        <v>0</v>
      </c>
      <c r="P510" t="n">
        <v>0</v>
      </c>
      <c r="Q510" t="n">
        <v>0</v>
      </c>
      <c r="R510" s="2" t="inlineStr"/>
    </row>
    <row r="511" ht="15" customHeight="1">
      <c r="A511" t="inlineStr">
        <is>
          <t>A 41876-2025</t>
        </is>
      </c>
      <c r="B511" s="1" t="n">
        <v>45903.34555555556</v>
      </c>
      <c r="C511" s="1" t="n">
        <v>46035</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49059-2025</t>
        </is>
      </c>
      <c r="B512" s="1" t="n">
        <v>45937.64123842592</v>
      </c>
      <c r="C512" s="1" t="n">
        <v>46035</v>
      </c>
      <c r="D512" t="inlineStr">
        <is>
          <t>JÄMTLANDS LÄN</t>
        </is>
      </c>
      <c r="E512" t="inlineStr">
        <is>
          <t>RAGUNDA</t>
        </is>
      </c>
      <c r="G512" t="n">
        <v>2.1</v>
      </c>
      <c r="H512" t="n">
        <v>0</v>
      </c>
      <c r="I512" t="n">
        <v>0</v>
      </c>
      <c r="J512" t="n">
        <v>0</v>
      </c>
      <c r="K512" t="n">
        <v>0</v>
      </c>
      <c r="L512" t="n">
        <v>0</v>
      </c>
      <c r="M512" t="n">
        <v>0</v>
      </c>
      <c r="N512" t="n">
        <v>0</v>
      </c>
      <c r="O512" t="n">
        <v>0</v>
      </c>
      <c r="P512" t="n">
        <v>0</v>
      </c>
      <c r="Q512" t="n">
        <v>0</v>
      </c>
      <c r="R512" s="2" t="inlineStr"/>
    </row>
    <row r="513" ht="15" customHeight="1">
      <c r="A513" t="inlineStr">
        <is>
          <t>A 49092-2025</t>
        </is>
      </c>
      <c r="B513" s="1" t="n">
        <v>45937.67792824074</v>
      </c>
      <c r="C513" s="1" t="n">
        <v>46035</v>
      </c>
      <c r="D513" t="inlineStr">
        <is>
          <t>JÄMTLANDS LÄN</t>
        </is>
      </c>
      <c r="E513" t="inlineStr">
        <is>
          <t>RAGUNDA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49193-2025</t>
        </is>
      </c>
      <c r="B514" s="1" t="n">
        <v>45938.40831018519</v>
      </c>
      <c r="C514" s="1" t="n">
        <v>46035</v>
      </c>
      <c r="D514" t="inlineStr">
        <is>
          <t>JÄMTLANDS LÄN</t>
        </is>
      </c>
      <c r="E514" t="inlineStr">
        <is>
          <t>RAGUNDA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18284-2025</t>
        </is>
      </c>
      <c r="B515" s="1" t="n">
        <v>45762.39876157408</v>
      </c>
      <c r="C515" s="1" t="n">
        <v>46035</v>
      </c>
      <c r="D515" t="inlineStr">
        <is>
          <t>JÄMTLANDS LÄN</t>
        </is>
      </c>
      <c r="E515" t="inlineStr">
        <is>
          <t>RAGUNDA</t>
        </is>
      </c>
      <c r="G515" t="n">
        <v>0.2</v>
      </c>
      <c r="H515" t="n">
        <v>0</v>
      </c>
      <c r="I515" t="n">
        <v>0</v>
      </c>
      <c r="J515" t="n">
        <v>0</v>
      </c>
      <c r="K515" t="n">
        <v>0</v>
      </c>
      <c r="L515" t="n">
        <v>0</v>
      </c>
      <c r="M515" t="n">
        <v>0</v>
      </c>
      <c r="N515" t="n">
        <v>0</v>
      </c>
      <c r="O515" t="n">
        <v>0</v>
      </c>
      <c r="P515" t="n">
        <v>0</v>
      </c>
      <c r="Q515" t="n">
        <v>0</v>
      </c>
      <c r="R515" s="2" t="inlineStr"/>
      <c r="U515">
        <f>HYPERLINK("https://klasma.github.io/Logging_2303/knärot/A 18284-2025 karta knärot.png", "A 18284-2025")</f>
        <v/>
      </c>
      <c r="V515">
        <f>HYPERLINK("https://klasma.github.io/Logging_2303/klagomål/A 18284-2025 FSC-klagomål.docx", "A 18284-2025")</f>
        <v/>
      </c>
      <c r="W515">
        <f>HYPERLINK("https://klasma.github.io/Logging_2303/klagomålsmail/A 18284-2025 FSC-klagomål mail.docx", "A 18284-2025")</f>
        <v/>
      </c>
      <c r="X515">
        <f>HYPERLINK("https://klasma.github.io/Logging_2303/tillsyn/A 18284-2025 tillsynsbegäran.docx", "A 18284-2025")</f>
        <v/>
      </c>
      <c r="Y515">
        <f>HYPERLINK("https://klasma.github.io/Logging_2303/tillsynsmail/A 18284-2025 tillsynsbegäran mail.docx", "A 18284-2025")</f>
        <v/>
      </c>
    </row>
    <row r="516" ht="15" customHeight="1">
      <c r="A516" t="inlineStr">
        <is>
          <t>A 42269-2025</t>
        </is>
      </c>
      <c r="B516" s="1" t="n">
        <v>45904.60431712963</v>
      </c>
      <c r="C516" s="1" t="n">
        <v>46035</v>
      </c>
      <c r="D516" t="inlineStr">
        <is>
          <t>JÄMTLANDS LÄN</t>
        </is>
      </c>
      <c r="E516" t="inlineStr">
        <is>
          <t>RAGUNDA</t>
        </is>
      </c>
      <c r="G516" t="n">
        <v>4.3</v>
      </c>
      <c r="H516" t="n">
        <v>0</v>
      </c>
      <c r="I516" t="n">
        <v>0</v>
      </c>
      <c r="J516" t="n">
        <v>0</v>
      </c>
      <c r="K516" t="n">
        <v>0</v>
      </c>
      <c r="L516" t="n">
        <v>0</v>
      </c>
      <c r="M516" t="n">
        <v>0</v>
      </c>
      <c r="N516" t="n">
        <v>0</v>
      </c>
      <c r="O516" t="n">
        <v>0</v>
      </c>
      <c r="P516" t="n">
        <v>0</v>
      </c>
      <c r="Q516" t="n">
        <v>0</v>
      </c>
      <c r="R516" s="2" t="inlineStr"/>
    </row>
    <row r="517" ht="15" customHeight="1">
      <c r="A517" t="inlineStr">
        <is>
          <t>A 19263-2025</t>
        </is>
      </c>
      <c r="B517" s="1" t="n">
        <v>45769.51075231482</v>
      </c>
      <c r="C517" s="1" t="n">
        <v>46035</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23840-2025</t>
        </is>
      </c>
      <c r="B518" s="1" t="n">
        <v>45793</v>
      </c>
      <c r="C518" s="1" t="n">
        <v>46035</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33763-2025</t>
        </is>
      </c>
      <c r="B519" s="1" t="n">
        <v>45842.38579861111</v>
      </c>
      <c r="C519" s="1" t="n">
        <v>46035</v>
      </c>
      <c r="D519" t="inlineStr">
        <is>
          <t>JÄMTLANDS LÄN</t>
        </is>
      </c>
      <c r="E519" t="inlineStr">
        <is>
          <t>RAGUNDA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50486-2023</t>
        </is>
      </c>
      <c r="B520" s="1" t="n">
        <v>45216.92424768519</v>
      </c>
      <c r="C520" s="1" t="n">
        <v>46035</v>
      </c>
      <c r="D520" t="inlineStr">
        <is>
          <t>JÄMTLANDS LÄN</t>
        </is>
      </c>
      <c r="E520" t="inlineStr">
        <is>
          <t>RAGUNDA</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24158-2025</t>
        </is>
      </c>
      <c r="B521" s="1" t="n">
        <v>45796</v>
      </c>
      <c r="C521" s="1" t="n">
        <v>46035</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c r="U521">
        <f>HYPERLINK("https://klasma.github.io/Logging_2303/knärot/A 24158-2025 karta knärot.png", "A 24158-2025")</f>
        <v/>
      </c>
      <c r="V521">
        <f>HYPERLINK("https://klasma.github.io/Logging_2303/klagomål/A 24158-2025 FSC-klagomål.docx", "A 24158-2025")</f>
        <v/>
      </c>
      <c r="W521">
        <f>HYPERLINK("https://klasma.github.io/Logging_2303/klagomålsmail/A 24158-2025 FSC-klagomål mail.docx", "A 24158-2025")</f>
        <v/>
      </c>
      <c r="X521">
        <f>HYPERLINK("https://klasma.github.io/Logging_2303/tillsyn/A 24158-2025 tillsynsbegäran.docx", "A 24158-2025")</f>
        <v/>
      </c>
      <c r="Y521">
        <f>HYPERLINK("https://klasma.github.io/Logging_2303/tillsynsmail/A 24158-2025 tillsynsbegäran mail.docx", "A 24158-2025")</f>
        <v/>
      </c>
    </row>
    <row r="522" ht="15" customHeight="1">
      <c r="A522" t="inlineStr">
        <is>
          <t>A 24161-2025</t>
        </is>
      </c>
      <c r="B522" s="1" t="n">
        <v>45796</v>
      </c>
      <c r="C522" s="1" t="n">
        <v>46035</v>
      </c>
      <c r="D522" t="inlineStr">
        <is>
          <t>JÄMTLANDS LÄN</t>
        </is>
      </c>
      <c r="E522" t="inlineStr">
        <is>
          <t>RAGUNDA</t>
        </is>
      </c>
      <c r="G522" t="n">
        <v>2.4</v>
      </c>
      <c r="H522" t="n">
        <v>0</v>
      </c>
      <c r="I522" t="n">
        <v>0</v>
      </c>
      <c r="J522" t="n">
        <v>0</v>
      </c>
      <c r="K522" t="n">
        <v>0</v>
      </c>
      <c r="L522" t="n">
        <v>0</v>
      </c>
      <c r="M522" t="n">
        <v>0</v>
      </c>
      <c r="N522" t="n">
        <v>0</v>
      </c>
      <c r="O522" t="n">
        <v>0</v>
      </c>
      <c r="P522" t="n">
        <v>0</v>
      </c>
      <c r="Q522" t="n">
        <v>0</v>
      </c>
      <c r="R522" s="2" t="inlineStr"/>
    </row>
    <row r="523" ht="15" customHeight="1">
      <c r="A523" t="inlineStr">
        <is>
          <t>A 9084-2023</t>
        </is>
      </c>
      <c r="B523" s="1" t="n">
        <v>44979</v>
      </c>
      <c r="C523" s="1" t="n">
        <v>46035</v>
      </c>
      <c r="D523" t="inlineStr">
        <is>
          <t>JÄMTLANDS LÄN</t>
        </is>
      </c>
      <c r="E523" t="inlineStr">
        <is>
          <t>RAGUNDA</t>
        </is>
      </c>
      <c r="G523" t="n">
        <v>1.9</v>
      </c>
      <c r="H523" t="n">
        <v>0</v>
      </c>
      <c r="I523" t="n">
        <v>0</v>
      </c>
      <c r="J523" t="n">
        <v>0</v>
      </c>
      <c r="K523" t="n">
        <v>0</v>
      </c>
      <c r="L523" t="n">
        <v>0</v>
      </c>
      <c r="M523" t="n">
        <v>0</v>
      </c>
      <c r="N523" t="n">
        <v>0</v>
      </c>
      <c r="O523" t="n">
        <v>0</v>
      </c>
      <c r="P523" t="n">
        <v>0</v>
      </c>
      <c r="Q523" t="n">
        <v>0</v>
      </c>
      <c r="R523" s="2" t="inlineStr"/>
    </row>
    <row r="524" ht="15" customHeight="1">
      <c r="A524" t="inlineStr">
        <is>
          <t>A 23841-2025</t>
        </is>
      </c>
      <c r="B524" s="1" t="n">
        <v>45793.61523148148</v>
      </c>
      <c r="C524" s="1" t="n">
        <v>46035</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9360-2023</t>
        </is>
      </c>
      <c r="B525" s="1" t="n">
        <v>44980.93865740741</v>
      </c>
      <c r="C525" s="1" t="n">
        <v>46035</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66706-2021</t>
        </is>
      </c>
      <c r="B526" s="1" t="n">
        <v>44519.94440972222</v>
      </c>
      <c r="C526" s="1" t="n">
        <v>46035</v>
      </c>
      <c r="D526" t="inlineStr">
        <is>
          <t>JÄMTLANDS LÄN</t>
        </is>
      </c>
      <c r="E526" t="inlineStr">
        <is>
          <t>RAGUNDA</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32259-2024</t>
        </is>
      </c>
      <c r="B527" s="1" t="n">
        <v>45511</v>
      </c>
      <c r="C527" s="1" t="n">
        <v>46035</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24159-2025</t>
        </is>
      </c>
      <c r="B528" s="1" t="n">
        <v>45796</v>
      </c>
      <c r="C528" s="1" t="n">
        <v>46035</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21524-2024</t>
        </is>
      </c>
      <c r="B529" s="1" t="n">
        <v>45441</v>
      </c>
      <c r="C529" s="1" t="n">
        <v>46035</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18778-2024</t>
        </is>
      </c>
      <c r="B530" s="1" t="n">
        <v>45426</v>
      </c>
      <c r="C530" s="1" t="n">
        <v>46035</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18781-2024</t>
        </is>
      </c>
      <c r="B531" s="1" t="n">
        <v>45426</v>
      </c>
      <c r="C531" s="1" t="n">
        <v>46035</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43330-2025</t>
        </is>
      </c>
      <c r="B532" s="1" t="n">
        <v>45910.67766203704</v>
      </c>
      <c r="C532" s="1" t="n">
        <v>46035</v>
      </c>
      <c r="D532" t="inlineStr">
        <is>
          <t>JÄMTLANDS LÄN</t>
        </is>
      </c>
      <c r="E532" t="inlineStr">
        <is>
          <t>RAGUNDA</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17248-2023</t>
        </is>
      </c>
      <c r="B533" s="1" t="n">
        <v>45033</v>
      </c>
      <c r="C533" s="1" t="n">
        <v>46035</v>
      </c>
      <c r="D533" t="inlineStr">
        <is>
          <t>JÄMTLANDS LÄN</t>
        </is>
      </c>
      <c r="E533" t="inlineStr">
        <is>
          <t>RAGUNDA</t>
        </is>
      </c>
      <c r="G533" t="n">
        <v>3</v>
      </c>
      <c r="H533" t="n">
        <v>0</v>
      </c>
      <c r="I533" t="n">
        <v>0</v>
      </c>
      <c r="J533" t="n">
        <v>0</v>
      </c>
      <c r="K533" t="n">
        <v>0</v>
      </c>
      <c r="L533" t="n">
        <v>0</v>
      </c>
      <c r="M533" t="n">
        <v>0</v>
      </c>
      <c r="N533" t="n">
        <v>0</v>
      </c>
      <c r="O533" t="n">
        <v>0</v>
      </c>
      <c r="P533" t="n">
        <v>0</v>
      </c>
      <c r="Q533" t="n">
        <v>0</v>
      </c>
      <c r="R533" s="2" t="inlineStr"/>
    </row>
    <row r="534" ht="15" customHeight="1">
      <c r="A534" t="inlineStr">
        <is>
          <t>A 53263-2024</t>
        </is>
      </c>
      <c r="B534" s="1" t="n">
        <v>45614.34541666666</v>
      </c>
      <c r="C534" s="1" t="n">
        <v>46035</v>
      </c>
      <c r="D534" t="inlineStr">
        <is>
          <t>JÄMTLANDS LÄN</t>
        </is>
      </c>
      <c r="E534" t="inlineStr">
        <is>
          <t>RAGUNDA</t>
        </is>
      </c>
      <c r="G534" t="n">
        <v>1.9</v>
      </c>
      <c r="H534" t="n">
        <v>0</v>
      </c>
      <c r="I534" t="n">
        <v>0</v>
      </c>
      <c r="J534" t="n">
        <v>0</v>
      </c>
      <c r="K534" t="n">
        <v>0</v>
      </c>
      <c r="L534" t="n">
        <v>0</v>
      </c>
      <c r="M534" t="n">
        <v>0</v>
      </c>
      <c r="N534" t="n">
        <v>0</v>
      </c>
      <c r="O534" t="n">
        <v>0</v>
      </c>
      <c r="P534" t="n">
        <v>0</v>
      </c>
      <c r="Q534" t="n">
        <v>0</v>
      </c>
      <c r="R534" s="2" t="inlineStr"/>
    </row>
    <row r="535" ht="15" customHeight="1">
      <c r="A535" t="inlineStr">
        <is>
          <t>A 58630-2024</t>
        </is>
      </c>
      <c r="B535" s="1" t="n">
        <v>45635.57331018519</v>
      </c>
      <c r="C535" s="1" t="n">
        <v>46035</v>
      </c>
      <c r="D535" t="inlineStr">
        <is>
          <t>JÄMTLANDS LÄN</t>
        </is>
      </c>
      <c r="E535" t="inlineStr">
        <is>
          <t>RAGUNDA</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43181-2025</t>
        </is>
      </c>
      <c r="B536" s="1" t="n">
        <v>45910.40721064815</v>
      </c>
      <c r="C536" s="1" t="n">
        <v>46035</v>
      </c>
      <c r="D536" t="inlineStr">
        <is>
          <t>JÄMTLANDS LÄN</t>
        </is>
      </c>
      <c r="E536" t="inlineStr">
        <is>
          <t>RAGUNDA</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43177-2025</t>
        </is>
      </c>
      <c r="B537" s="1" t="n">
        <v>45910.40667824074</v>
      </c>
      <c r="C537" s="1" t="n">
        <v>46035</v>
      </c>
      <c r="D537" t="inlineStr">
        <is>
          <t>JÄMTLANDS LÄN</t>
        </is>
      </c>
      <c r="E537" t="inlineStr">
        <is>
          <t>RAGUNDA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14896-2022</t>
        </is>
      </c>
      <c r="B538" s="1" t="n">
        <v>44656</v>
      </c>
      <c r="C538" s="1" t="n">
        <v>46035</v>
      </c>
      <c r="D538" t="inlineStr">
        <is>
          <t>JÄMTLANDS LÄN</t>
        </is>
      </c>
      <c r="E538" t="inlineStr">
        <is>
          <t>RAGUNDA</t>
        </is>
      </c>
      <c r="F538" t="inlineStr">
        <is>
          <t>SCA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62407-2023</t>
        </is>
      </c>
      <c r="B539" s="1" t="n">
        <v>45266</v>
      </c>
      <c r="C539" s="1" t="n">
        <v>46035</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38191-2024</t>
        </is>
      </c>
      <c r="B540" s="1" t="n">
        <v>45545.49078703704</v>
      </c>
      <c r="C540" s="1" t="n">
        <v>46035</v>
      </c>
      <c r="D540" t="inlineStr">
        <is>
          <t>JÄMTLANDS LÄN</t>
        </is>
      </c>
      <c r="E540" t="inlineStr">
        <is>
          <t>RAGUNDA</t>
        </is>
      </c>
      <c r="G540" t="n">
        <v>1.6</v>
      </c>
      <c r="H540" t="n">
        <v>0</v>
      </c>
      <c r="I540" t="n">
        <v>0</v>
      </c>
      <c r="J540" t="n">
        <v>0</v>
      </c>
      <c r="K540" t="n">
        <v>0</v>
      </c>
      <c r="L540" t="n">
        <v>0</v>
      </c>
      <c r="M540" t="n">
        <v>0</v>
      </c>
      <c r="N540" t="n">
        <v>0</v>
      </c>
      <c r="O540" t="n">
        <v>0</v>
      </c>
      <c r="P540" t="n">
        <v>0</v>
      </c>
      <c r="Q540" t="n">
        <v>0</v>
      </c>
      <c r="R540" s="2" t="inlineStr"/>
    </row>
    <row r="541" ht="15" customHeight="1">
      <c r="A541" t="inlineStr">
        <is>
          <t>A 11551-2024</t>
        </is>
      </c>
      <c r="B541" s="1" t="n">
        <v>45372.95762731481</v>
      </c>
      <c r="C541" s="1" t="n">
        <v>46035</v>
      </c>
      <c r="D541" t="inlineStr">
        <is>
          <t>JÄMTLANDS LÄN</t>
        </is>
      </c>
      <c r="E541" t="inlineStr">
        <is>
          <t>RAGUNDA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49290-2025</t>
        </is>
      </c>
      <c r="B542" s="1" t="n">
        <v>45938.53168981482</v>
      </c>
      <c r="C542" s="1" t="n">
        <v>46035</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24391-2025</t>
        </is>
      </c>
      <c r="B543" s="1" t="n">
        <v>45797.63627314815</v>
      </c>
      <c r="C543" s="1" t="n">
        <v>46035</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57839-2022</t>
        </is>
      </c>
      <c r="B544" s="1" t="n">
        <v>44897</v>
      </c>
      <c r="C544" s="1" t="n">
        <v>46035</v>
      </c>
      <c r="D544" t="inlineStr">
        <is>
          <t>JÄMTLANDS LÄN</t>
        </is>
      </c>
      <c r="E544" t="inlineStr">
        <is>
          <t>RAGUNDA</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25376-2025</t>
        </is>
      </c>
      <c r="B545" s="1" t="n">
        <v>45800.63619212963</v>
      </c>
      <c r="C545" s="1" t="n">
        <v>46035</v>
      </c>
      <c r="D545" t="inlineStr">
        <is>
          <t>JÄMTLANDS LÄN</t>
        </is>
      </c>
      <c r="E545" t="inlineStr">
        <is>
          <t>RAGUNDA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60663-2022</t>
        </is>
      </c>
      <c r="B546" s="1" t="n">
        <v>44911.93846064815</v>
      </c>
      <c r="C546" s="1" t="n">
        <v>46035</v>
      </c>
      <c r="D546" t="inlineStr">
        <is>
          <t>JÄMTLANDS LÄN</t>
        </is>
      </c>
      <c r="E546" t="inlineStr">
        <is>
          <t>RAGUNDA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43776-2025</t>
        </is>
      </c>
      <c r="B547" s="1" t="n">
        <v>45912.51086805556</v>
      </c>
      <c r="C547" s="1" t="n">
        <v>46035</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43804-2025</t>
        </is>
      </c>
      <c r="B548" s="1" t="n">
        <v>45912.57373842593</v>
      </c>
      <c r="C548" s="1" t="n">
        <v>46035</v>
      </c>
      <c r="D548" t="inlineStr">
        <is>
          <t>JÄMTLANDS LÄN</t>
        </is>
      </c>
      <c r="E548" t="inlineStr">
        <is>
          <t>RAGUNDA</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59496-2024</t>
        </is>
      </c>
      <c r="B549" s="1" t="n">
        <v>45638</v>
      </c>
      <c r="C549" s="1" t="n">
        <v>46035</v>
      </c>
      <c r="D549" t="inlineStr">
        <is>
          <t>JÄMTLANDS LÄN</t>
        </is>
      </c>
      <c r="E549" t="inlineStr">
        <is>
          <t>RAGUNDA</t>
        </is>
      </c>
      <c r="G549" t="n">
        <v>13.1</v>
      </c>
      <c r="H549" t="n">
        <v>0</v>
      </c>
      <c r="I549" t="n">
        <v>0</v>
      </c>
      <c r="J549" t="n">
        <v>0</v>
      </c>
      <c r="K549" t="n">
        <v>0</v>
      </c>
      <c r="L549" t="n">
        <v>0</v>
      </c>
      <c r="M549" t="n">
        <v>0</v>
      </c>
      <c r="N549" t="n">
        <v>0</v>
      </c>
      <c r="O549" t="n">
        <v>0</v>
      </c>
      <c r="P549" t="n">
        <v>0</v>
      </c>
      <c r="Q549" t="n">
        <v>0</v>
      </c>
      <c r="R549" s="2" t="inlineStr"/>
    </row>
    <row r="550" ht="15" customHeight="1">
      <c r="A550" t="inlineStr">
        <is>
          <t>A 43971-2025</t>
        </is>
      </c>
      <c r="B550" s="1" t="n">
        <v>45915.40694444445</v>
      </c>
      <c r="C550" s="1" t="n">
        <v>46035</v>
      </c>
      <c r="D550" t="inlineStr">
        <is>
          <t>JÄMTLANDS LÄN</t>
        </is>
      </c>
      <c r="E550" t="inlineStr">
        <is>
          <t>RAGUNDA</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25350-2025</t>
        </is>
      </c>
      <c r="B551" s="1" t="n">
        <v>45800</v>
      </c>
      <c r="C551" s="1" t="n">
        <v>46035</v>
      </c>
      <c r="D551" t="inlineStr">
        <is>
          <t>JÄMTLANDS LÄN</t>
        </is>
      </c>
      <c r="E551" t="inlineStr">
        <is>
          <t>RAGUNDA</t>
        </is>
      </c>
      <c r="G551" t="n">
        <v>2.4</v>
      </c>
      <c r="H551" t="n">
        <v>0</v>
      </c>
      <c r="I551" t="n">
        <v>0</v>
      </c>
      <c r="J551" t="n">
        <v>0</v>
      </c>
      <c r="K551" t="n">
        <v>0</v>
      </c>
      <c r="L551" t="n">
        <v>0</v>
      </c>
      <c r="M551" t="n">
        <v>0</v>
      </c>
      <c r="N551" t="n">
        <v>0</v>
      </c>
      <c r="O551" t="n">
        <v>0</v>
      </c>
      <c r="P551" t="n">
        <v>0</v>
      </c>
      <c r="Q551" t="n">
        <v>0</v>
      </c>
      <c r="R551" s="2" t="inlineStr"/>
    </row>
    <row r="552" ht="15" customHeight="1">
      <c r="A552" t="inlineStr">
        <is>
          <t>A 37265-2024</t>
        </is>
      </c>
      <c r="B552" s="1" t="n">
        <v>45540.38564814815</v>
      </c>
      <c r="C552" s="1" t="n">
        <v>46035</v>
      </c>
      <c r="D552" t="inlineStr">
        <is>
          <t>JÄMTLANDS LÄN</t>
        </is>
      </c>
      <c r="E552" t="inlineStr">
        <is>
          <t>RAGUNDA</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18612-2024</t>
        </is>
      </c>
      <c r="B553" s="1" t="n">
        <v>45425.96239583333</v>
      </c>
      <c r="C553" s="1" t="n">
        <v>46035</v>
      </c>
      <c r="D553" t="inlineStr">
        <is>
          <t>JÄMTLANDS LÄN</t>
        </is>
      </c>
      <c r="E553" t="inlineStr">
        <is>
          <t>RAGUNDA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48249-2024</t>
        </is>
      </c>
      <c r="B554" s="1" t="n">
        <v>45590.40675925926</v>
      </c>
      <c r="C554" s="1" t="n">
        <v>46035</v>
      </c>
      <c r="D554" t="inlineStr">
        <is>
          <t>JÄMTLANDS LÄN</t>
        </is>
      </c>
      <c r="E554" t="inlineStr">
        <is>
          <t>RAGUNDA</t>
        </is>
      </c>
      <c r="F554" t="inlineStr">
        <is>
          <t>SCA</t>
        </is>
      </c>
      <c r="G554" t="n">
        <v>14.4</v>
      </c>
      <c r="H554" t="n">
        <v>0</v>
      </c>
      <c r="I554" t="n">
        <v>0</v>
      </c>
      <c r="J554" t="n">
        <v>0</v>
      </c>
      <c r="K554" t="n">
        <v>0</v>
      </c>
      <c r="L554" t="n">
        <v>0</v>
      </c>
      <c r="M554" t="n">
        <v>0</v>
      </c>
      <c r="N554" t="n">
        <v>0</v>
      </c>
      <c r="O554" t="n">
        <v>0</v>
      </c>
      <c r="P554" t="n">
        <v>0</v>
      </c>
      <c r="Q554" t="n">
        <v>0</v>
      </c>
      <c r="R554" s="2" t="inlineStr"/>
    </row>
    <row r="555" ht="15" customHeight="1">
      <c r="A555" t="inlineStr">
        <is>
          <t>A 25152-2025</t>
        </is>
      </c>
      <c r="B555" s="1" t="n">
        <v>45800.42743055556</v>
      </c>
      <c r="C555" s="1" t="n">
        <v>46035</v>
      </c>
      <c r="D555" t="inlineStr">
        <is>
          <t>JÄMTLANDS LÄN</t>
        </is>
      </c>
      <c r="E555" t="inlineStr">
        <is>
          <t>RAGUNDA</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25175-2025</t>
        </is>
      </c>
      <c r="B556" s="1" t="n">
        <v>45800.44822916666</v>
      </c>
      <c r="C556" s="1" t="n">
        <v>46035</v>
      </c>
      <c r="D556" t="inlineStr">
        <is>
          <t>JÄMTLANDS LÄN</t>
        </is>
      </c>
      <c r="E556" t="inlineStr">
        <is>
          <t>RAGUNDA</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25177-2025</t>
        </is>
      </c>
      <c r="B557" s="1" t="n">
        <v>45800.44862268519</v>
      </c>
      <c r="C557" s="1" t="n">
        <v>46035</v>
      </c>
      <c r="D557" t="inlineStr">
        <is>
          <t>JÄMTLANDS LÄN</t>
        </is>
      </c>
      <c r="E557" t="inlineStr">
        <is>
          <t>RAGUNDA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61934-2022</t>
        </is>
      </c>
      <c r="B558" s="1" t="n">
        <v>44917</v>
      </c>
      <c r="C558" s="1" t="n">
        <v>46035</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11558-2023</t>
        </is>
      </c>
      <c r="B559" s="1" t="n">
        <v>44993.94958333333</v>
      </c>
      <c r="C559" s="1" t="n">
        <v>46035</v>
      </c>
      <c r="D559" t="inlineStr">
        <is>
          <t>JÄMTLANDS LÄN</t>
        </is>
      </c>
      <c r="E559" t="inlineStr">
        <is>
          <t>RAGUNDA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25631-2025</t>
        </is>
      </c>
      <c r="B560" s="1" t="n">
        <v>45803.5946875</v>
      </c>
      <c r="C560" s="1" t="n">
        <v>46035</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25659-2025</t>
        </is>
      </c>
      <c r="B561" s="1" t="n">
        <v>45803.61552083334</v>
      </c>
      <c r="C561" s="1" t="n">
        <v>46035</v>
      </c>
      <c r="D561" t="inlineStr">
        <is>
          <t>JÄMTLANDS LÄN</t>
        </is>
      </c>
      <c r="E561" t="inlineStr">
        <is>
          <t>RAGUNDA</t>
        </is>
      </c>
      <c r="G561" t="n">
        <v>1.5</v>
      </c>
      <c r="H561" t="n">
        <v>0</v>
      </c>
      <c r="I561" t="n">
        <v>0</v>
      </c>
      <c r="J561" t="n">
        <v>0</v>
      </c>
      <c r="K561" t="n">
        <v>0</v>
      </c>
      <c r="L561" t="n">
        <v>0</v>
      </c>
      <c r="M561" t="n">
        <v>0</v>
      </c>
      <c r="N561" t="n">
        <v>0</v>
      </c>
      <c r="O561" t="n">
        <v>0</v>
      </c>
      <c r="P561" t="n">
        <v>0</v>
      </c>
      <c r="Q561" t="n">
        <v>0</v>
      </c>
      <c r="R561" s="2" t="inlineStr"/>
    </row>
    <row r="562" ht="15" customHeight="1">
      <c r="A562" t="inlineStr">
        <is>
          <t>A 25661-2025</t>
        </is>
      </c>
      <c r="B562" s="1" t="n">
        <v>45803.61557870371</v>
      </c>
      <c r="C562" s="1" t="n">
        <v>46035</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25944-2025</t>
        </is>
      </c>
      <c r="B563" s="1" t="n">
        <v>45804.59487268519</v>
      </c>
      <c r="C563" s="1" t="n">
        <v>46035</v>
      </c>
      <c r="D563" t="inlineStr">
        <is>
          <t>JÄMTLANDS LÄN</t>
        </is>
      </c>
      <c r="E563" t="inlineStr">
        <is>
          <t>RAGUNDA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25814-2025</t>
        </is>
      </c>
      <c r="B564" s="1" t="n">
        <v>45804.42642361111</v>
      </c>
      <c r="C564" s="1" t="n">
        <v>46035</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49648-2023</t>
        </is>
      </c>
      <c r="B565" s="1" t="n">
        <v>45211.95061342593</v>
      </c>
      <c r="C565" s="1" t="n">
        <v>46035</v>
      </c>
      <c r="D565" t="inlineStr">
        <is>
          <t>JÄMTLANDS LÄN</t>
        </is>
      </c>
      <c r="E565" t="inlineStr">
        <is>
          <t>RAGUNDA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44954-2025</t>
        </is>
      </c>
      <c r="B566" s="1" t="n">
        <v>45918.61203703703</v>
      </c>
      <c r="C566" s="1" t="n">
        <v>46035</v>
      </c>
      <c r="D566" t="inlineStr">
        <is>
          <t>JÄMTLANDS LÄN</t>
        </is>
      </c>
      <c r="E566" t="inlineStr">
        <is>
          <t>RAGUNDA</t>
        </is>
      </c>
      <c r="G566" t="n">
        <v>3</v>
      </c>
      <c r="H566" t="n">
        <v>0</v>
      </c>
      <c r="I566" t="n">
        <v>0</v>
      </c>
      <c r="J566" t="n">
        <v>0</v>
      </c>
      <c r="K566" t="n">
        <v>0</v>
      </c>
      <c r="L566" t="n">
        <v>0</v>
      </c>
      <c r="M566" t="n">
        <v>0</v>
      </c>
      <c r="N566" t="n">
        <v>0</v>
      </c>
      <c r="O566" t="n">
        <v>0</v>
      </c>
      <c r="P566" t="n">
        <v>0</v>
      </c>
      <c r="Q566" t="n">
        <v>0</v>
      </c>
      <c r="R566" s="2" t="inlineStr"/>
    </row>
    <row r="567" ht="15" customHeight="1">
      <c r="A567" t="inlineStr">
        <is>
          <t>A 19613-2023</t>
        </is>
      </c>
      <c r="B567" s="1" t="n">
        <v>45050.94020833333</v>
      </c>
      <c r="C567" s="1" t="n">
        <v>46035</v>
      </c>
      <c r="D567" t="inlineStr">
        <is>
          <t>JÄMTLANDS LÄN</t>
        </is>
      </c>
      <c r="E567" t="inlineStr">
        <is>
          <t>RAGUNDA</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25994-2025</t>
        </is>
      </c>
      <c r="B568" s="1" t="n">
        <v>45804.65672453704</v>
      </c>
      <c r="C568" s="1" t="n">
        <v>46035</v>
      </c>
      <c r="D568" t="inlineStr">
        <is>
          <t>JÄMTLANDS LÄN</t>
        </is>
      </c>
      <c r="E568" t="inlineStr">
        <is>
          <t>RAGUNDA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58194-2022</t>
        </is>
      </c>
      <c r="B569" s="1" t="n">
        <v>44900</v>
      </c>
      <c r="C569" s="1" t="n">
        <v>46035</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42875-2024</t>
        </is>
      </c>
      <c r="B570" s="1" t="n">
        <v>45566.68125</v>
      </c>
      <c r="C570" s="1" t="n">
        <v>46035</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26283-2025</t>
        </is>
      </c>
      <c r="B571" s="1" t="n">
        <v>45805.61495370371</v>
      </c>
      <c r="C571" s="1" t="n">
        <v>46035</v>
      </c>
      <c r="D571" t="inlineStr">
        <is>
          <t>JÄMTLANDS LÄN</t>
        </is>
      </c>
      <c r="E571" t="inlineStr">
        <is>
          <t>RAGUNDA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45279-2025</t>
        </is>
      </c>
      <c r="B572" s="1" t="n">
        <v>45919.71912037037</v>
      </c>
      <c r="C572" s="1" t="n">
        <v>46035</v>
      </c>
      <c r="D572" t="inlineStr">
        <is>
          <t>JÄMTLANDS LÄN</t>
        </is>
      </c>
      <c r="E572" t="inlineStr">
        <is>
          <t>RAGUNDA</t>
        </is>
      </c>
      <c r="F572" t="inlineStr">
        <is>
          <t>SCA</t>
        </is>
      </c>
      <c r="G572" t="n">
        <v>11.5</v>
      </c>
      <c r="H572" t="n">
        <v>0</v>
      </c>
      <c r="I572" t="n">
        <v>0</v>
      </c>
      <c r="J572" t="n">
        <v>0</v>
      </c>
      <c r="K572" t="n">
        <v>0</v>
      </c>
      <c r="L572" t="n">
        <v>0</v>
      </c>
      <c r="M572" t="n">
        <v>0</v>
      </c>
      <c r="N572" t="n">
        <v>0</v>
      </c>
      <c r="O572" t="n">
        <v>0</v>
      </c>
      <c r="P572" t="n">
        <v>0</v>
      </c>
      <c r="Q572" t="n">
        <v>0</v>
      </c>
      <c r="R572" s="2" t="inlineStr"/>
    </row>
    <row r="573" ht="15" customHeight="1">
      <c r="A573" t="inlineStr">
        <is>
          <t>A 15864-2024</t>
        </is>
      </c>
      <c r="B573" s="1" t="n">
        <v>45404.99792824074</v>
      </c>
      <c r="C573" s="1" t="n">
        <v>46035</v>
      </c>
      <c r="D573" t="inlineStr">
        <is>
          <t>JÄMTLANDS LÄN</t>
        </is>
      </c>
      <c r="E573" t="inlineStr">
        <is>
          <t>RAGUNDA</t>
        </is>
      </c>
      <c r="F573" t="inlineStr">
        <is>
          <t>SCA</t>
        </is>
      </c>
      <c r="G573" t="n">
        <v>1.1</v>
      </c>
      <c r="H573" t="n">
        <v>0</v>
      </c>
      <c r="I573" t="n">
        <v>0</v>
      </c>
      <c r="J573" t="n">
        <v>0</v>
      </c>
      <c r="K573" t="n">
        <v>0</v>
      </c>
      <c r="L573" t="n">
        <v>0</v>
      </c>
      <c r="M573" t="n">
        <v>0</v>
      </c>
      <c r="N573" t="n">
        <v>0</v>
      </c>
      <c r="O573" t="n">
        <v>0</v>
      </c>
      <c r="P573" t="n">
        <v>0</v>
      </c>
      <c r="Q573" t="n">
        <v>0</v>
      </c>
      <c r="R573" s="2" t="inlineStr"/>
      <c r="U573">
        <f>HYPERLINK("https://klasma.github.io/Logging_2303/knärot/A 15864-2024 karta knärot.png", "A 15864-2024")</f>
        <v/>
      </c>
      <c r="V573">
        <f>HYPERLINK("https://klasma.github.io/Logging_2303/klagomål/A 15864-2024 FSC-klagomål.docx", "A 15864-2024")</f>
        <v/>
      </c>
      <c r="W573">
        <f>HYPERLINK("https://klasma.github.io/Logging_2303/klagomålsmail/A 15864-2024 FSC-klagomål mail.docx", "A 15864-2024")</f>
        <v/>
      </c>
      <c r="X573">
        <f>HYPERLINK("https://klasma.github.io/Logging_2303/tillsyn/A 15864-2024 tillsynsbegäran.docx", "A 15864-2024")</f>
        <v/>
      </c>
      <c r="Y573">
        <f>HYPERLINK("https://klasma.github.io/Logging_2303/tillsynsmail/A 15864-2024 tillsynsbegäran mail.docx", "A 15864-2024")</f>
        <v/>
      </c>
    </row>
    <row r="574" ht="15" customHeight="1">
      <c r="A574" t="inlineStr">
        <is>
          <t>A 49238-2025</t>
        </is>
      </c>
      <c r="B574" s="1" t="n">
        <v>45938.48231481481</v>
      </c>
      <c r="C574" s="1" t="n">
        <v>46035</v>
      </c>
      <c r="D574" t="inlineStr">
        <is>
          <t>JÄMTLANDS LÄN</t>
        </is>
      </c>
      <c r="E574" t="inlineStr">
        <is>
          <t>RAGUNDA</t>
        </is>
      </c>
      <c r="G574" t="n">
        <v>4.7</v>
      </c>
      <c r="H574" t="n">
        <v>0</v>
      </c>
      <c r="I574" t="n">
        <v>0</v>
      </c>
      <c r="J574" t="n">
        <v>0</v>
      </c>
      <c r="K574" t="n">
        <v>0</v>
      </c>
      <c r="L574" t="n">
        <v>0</v>
      </c>
      <c r="M574" t="n">
        <v>0</v>
      </c>
      <c r="N574" t="n">
        <v>0</v>
      </c>
      <c r="O574" t="n">
        <v>0</v>
      </c>
      <c r="P574" t="n">
        <v>0</v>
      </c>
      <c r="Q574" t="n">
        <v>0</v>
      </c>
      <c r="R574" s="2" t="inlineStr"/>
    </row>
    <row r="575" ht="15" customHeight="1">
      <c r="A575" t="inlineStr">
        <is>
          <t>A 4015-2022</t>
        </is>
      </c>
      <c r="B575" s="1" t="n">
        <v>44587.92149305555</v>
      </c>
      <c r="C575" s="1" t="n">
        <v>46035</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2599-2023</t>
        </is>
      </c>
      <c r="B576" s="1" t="n">
        <v>44943.94802083333</v>
      </c>
      <c r="C576" s="1" t="n">
        <v>46035</v>
      </c>
      <c r="D576" t="inlineStr">
        <is>
          <t>JÄMTLANDS LÄN</t>
        </is>
      </c>
      <c r="E576" t="inlineStr">
        <is>
          <t>RAGUNDA</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59044-2022</t>
        </is>
      </c>
      <c r="B577" s="1" t="n">
        <v>44903</v>
      </c>
      <c r="C577" s="1" t="n">
        <v>46035</v>
      </c>
      <c r="D577" t="inlineStr">
        <is>
          <t>JÄMTLANDS LÄN</t>
        </is>
      </c>
      <c r="E577" t="inlineStr">
        <is>
          <t>RAGUNDA</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24258-2025</t>
        </is>
      </c>
      <c r="B578" s="1" t="n">
        <v>45797.40800925926</v>
      </c>
      <c r="C578" s="1" t="n">
        <v>46035</v>
      </c>
      <c r="D578" t="inlineStr">
        <is>
          <t>JÄMTLANDS LÄN</t>
        </is>
      </c>
      <c r="E578" t="inlineStr">
        <is>
          <t>RAGUNDA</t>
        </is>
      </c>
      <c r="G578" t="n">
        <v>1.2</v>
      </c>
      <c r="H578" t="n">
        <v>0</v>
      </c>
      <c r="I578" t="n">
        <v>0</v>
      </c>
      <c r="J578" t="n">
        <v>0</v>
      </c>
      <c r="K578" t="n">
        <v>0</v>
      </c>
      <c r="L578" t="n">
        <v>0</v>
      </c>
      <c r="M578" t="n">
        <v>0</v>
      </c>
      <c r="N578" t="n">
        <v>0</v>
      </c>
      <c r="O578" t="n">
        <v>0</v>
      </c>
      <c r="P578" t="n">
        <v>0</v>
      </c>
      <c r="Q578" t="n">
        <v>0</v>
      </c>
      <c r="R578" s="2" t="inlineStr"/>
    </row>
    <row r="579" ht="15" customHeight="1">
      <c r="A579" t="inlineStr">
        <is>
          <t>A 4014-2022</t>
        </is>
      </c>
      <c r="B579" s="1" t="n">
        <v>44587.92144675926</v>
      </c>
      <c r="C579" s="1" t="n">
        <v>46035</v>
      </c>
      <c r="D579" t="inlineStr">
        <is>
          <t>JÄMTLANDS LÄN</t>
        </is>
      </c>
      <c r="E579" t="inlineStr">
        <is>
          <t>RAGUNDA</t>
        </is>
      </c>
      <c r="G579" t="n">
        <v>3.6</v>
      </c>
      <c r="H579" t="n">
        <v>0</v>
      </c>
      <c r="I579" t="n">
        <v>0</v>
      </c>
      <c r="J579" t="n">
        <v>0</v>
      </c>
      <c r="K579" t="n">
        <v>0</v>
      </c>
      <c r="L579" t="n">
        <v>0</v>
      </c>
      <c r="M579" t="n">
        <v>0</v>
      </c>
      <c r="N579" t="n">
        <v>0</v>
      </c>
      <c r="O579" t="n">
        <v>0</v>
      </c>
      <c r="P579" t="n">
        <v>0</v>
      </c>
      <c r="Q579" t="n">
        <v>0</v>
      </c>
      <c r="R579" s="2" t="inlineStr"/>
    </row>
    <row r="580" ht="15" customHeight="1">
      <c r="A580" t="inlineStr">
        <is>
          <t>A 26172-2025</t>
        </is>
      </c>
      <c r="B580" s="1" t="n">
        <v>45805.46613425926</v>
      </c>
      <c r="C580" s="1" t="n">
        <v>46035</v>
      </c>
      <c r="D580" t="inlineStr">
        <is>
          <t>JÄMTLANDS LÄN</t>
        </is>
      </c>
      <c r="E580" t="inlineStr">
        <is>
          <t>RAGUNDA</t>
        </is>
      </c>
      <c r="G580" t="n">
        <v>2.1</v>
      </c>
      <c r="H580" t="n">
        <v>0</v>
      </c>
      <c r="I580" t="n">
        <v>0</v>
      </c>
      <c r="J580" t="n">
        <v>0</v>
      </c>
      <c r="K580" t="n">
        <v>0</v>
      </c>
      <c r="L580" t="n">
        <v>0</v>
      </c>
      <c r="M580" t="n">
        <v>0</v>
      </c>
      <c r="N580" t="n">
        <v>0</v>
      </c>
      <c r="O580" t="n">
        <v>0</v>
      </c>
      <c r="P580" t="n">
        <v>0</v>
      </c>
      <c r="Q580" t="n">
        <v>0</v>
      </c>
      <c r="R580" s="2" t="inlineStr"/>
    </row>
    <row r="581" ht="15" customHeight="1">
      <c r="A581" t="inlineStr">
        <is>
          <t>A 8243-2024</t>
        </is>
      </c>
      <c r="B581" s="1" t="n">
        <v>45351.98532407408</v>
      </c>
      <c r="C581" s="1" t="n">
        <v>46035</v>
      </c>
      <c r="D581" t="inlineStr">
        <is>
          <t>JÄMTLANDS LÄN</t>
        </is>
      </c>
      <c r="E581" t="inlineStr">
        <is>
          <t>RAGUNDA</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6902-2024</t>
        </is>
      </c>
      <c r="B582" s="1" t="n">
        <v>45342</v>
      </c>
      <c r="C582" s="1" t="n">
        <v>46035</v>
      </c>
      <c r="D582" t="inlineStr">
        <is>
          <t>JÄMTLANDS LÄN</t>
        </is>
      </c>
      <c r="E582" t="inlineStr">
        <is>
          <t>RAGUNDA</t>
        </is>
      </c>
      <c r="F582" t="inlineStr">
        <is>
          <t>SCA</t>
        </is>
      </c>
      <c r="G582" t="n">
        <v>18.7</v>
      </c>
      <c r="H582" t="n">
        <v>0</v>
      </c>
      <c r="I582" t="n">
        <v>0</v>
      </c>
      <c r="J582" t="n">
        <v>0</v>
      </c>
      <c r="K582" t="n">
        <v>0</v>
      </c>
      <c r="L582" t="n">
        <v>0</v>
      </c>
      <c r="M582" t="n">
        <v>0</v>
      </c>
      <c r="N582" t="n">
        <v>0</v>
      </c>
      <c r="O582" t="n">
        <v>0</v>
      </c>
      <c r="P582" t="n">
        <v>0</v>
      </c>
      <c r="Q582" t="n">
        <v>0</v>
      </c>
      <c r="R582" s="2" t="inlineStr"/>
    </row>
    <row r="583" ht="15" customHeight="1">
      <c r="A583" t="inlineStr">
        <is>
          <t>A 6905-2024</t>
        </is>
      </c>
      <c r="B583" s="1" t="n">
        <v>45342.9462037037</v>
      </c>
      <c r="C583" s="1" t="n">
        <v>46035</v>
      </c>
      <c r="D583" t="inlineStr">
        <is>
          <t>JÄMTLANDS LÄN</t>
        </is>
      </c>
      <c r="E583" t="inlineStr">
        <is>
          <t>RAGUNDA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10788-2025</t>
        </is>
      </c>
      <c r="B584" s="1" t="n">
        <v>45722.48982638889</v>
      </c>
      <c r="C584" s="1" t="n">
        <v>46035</v>
      </c>
      <c r="D584" t="inlineStr">
        <is>
          <t>JÄMTLANDS LÄN</t>
        </is>
      </c>
      <c r="E584" t="inlineStr">
        <is>
          <t>RAGUNDA</t>
        </is>
      </c>
      <c r="G584" t="n">
        <v>3.5</v>
      </c>
      <c r="H584" t="n">
        <v>0</v>
      </c>
      <c r="I584" t="n">
        <v>0</v>
      </c>
      <c r="J584" t="n">
        <v>0</v>
      </c>
      <c r="K584" t="n">
        <v>0</v>
      </c>
      <c r="L584" t="n">
        <v>0</v>
      </c>
      <c r="M584" t="n">
        <v>0</v>
      </c>
      <c r="N584" t="n">
        <v>0</v>
      </c>
      <c r="O584" t="n">
        <v>0</v>
      </c>
      <c r="P584" t="n">
        <v>0</v>
      </c>
      <c r="Q584" t="n">
        <v>0</v>
      </c>
      <c r="R584" s="2" t="inlineStr"/>
    </row>
    <row r="585" ht="15" customHeight="1">
      <c r="A585" t="inlineStr">
        <is>
          <t>A 26246-2025</t>
        </is>
      </c>
      <c r="B585" s="1" t="n">
        <v>45805.57390046296</v>
      </c>
      <c r="C585" s="1" t="n">
        <v>46035</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2001-2025</t>
        </is>
      </c>
      <c r="B586" s="1" t="n">
        <v>45672.44898148148</v>
      </c>
      <c r="C586" s="1" t="n">
        <v>46035</v>
      </c>
      <c r="D586" t="inlineStr">
        <is>
          <t>JÄMTLANDS LÄN</t>
        </is>
      </c>
      <c r="E586" t="inlineStr">
        <is>
          <t>RAGUNDA</t>
        </is>
      </c>
      <c r="F586" t="inlineStr">
        <is>
          <t>SCA</t>
        </is>
      </c>
      <c r="G586" t="n">
        <v>16.2</v>
      </c>
      <c r="H586" t="n">
        <v>0</v>
      </c>
      <c r="I586" t="n">
        <v>0</v>
      </c>
      <c r="J586" t="n">
        <v>0</v>
      </c>
      <c r="K586" t="n">
        <v>0</v>
      </c>
      <c r="L586" t="n">
        <v>0</v>
      </c>
      <c r="M586" t="n">
        <v>0</v>
      </c>
      <c r="N586" t="n">
        <v>0</v>
      </c>
      <c r="O586" t="n">
        <v>0</v>
      </c>
      <c r="P586" t="n">
        <v>0</v>
      </c>
      <c r="Q586" t="n">
        <v>0</v>
      </c>
      <c r="R586" s="2" t="inlineStr"/>
    </row>
    <row r="587" ht="15" customHeight="1">
      <c r="A587" t="inlineStr">
        <is>
          <t>A 49639-2025</t>
        </is>
      </c>
      <c r="B587" s="1" t="n">
        <v>45939.61253472222</v>
      </c>
      <c r="C587" s="1" t="n">
        <v>46035</v>
      </c>
      <c r="D587" t="inlineStr">
        <is>
          <t>JÄMTLANDS LÄN</t>
        </is>
      </c>
      <c r="E587" t="inlineStr">
        <is>
          <t>RAGUNDA</t>
        </is>
      </c>
      <c r="F587" t="inlineStr">
        <is>
          <t>Kommuner</t>
        </is>
      </c>
      <c r="G587" t="n">
        <v>13.6</v>
      </c>
      <c r="H587" t="n">
        <v>0</v>
      </c>
      <c r="I587" t="n">
        <v>0</v>
      </c>
      <c r="J587" t="n">
        <v>0</v>
      </c>
      <c r="K587" t="n">
        <v>0</v>
      </c>
      <c r="L587" t="n">
        <v>0</v>
      </c>
      <c r="M587" t="n">
        <v>0</v>
      </c>
      <c r="N587" t="n">
        <v>0</v>
      </c>
      <c r="O587" t="n">
        <v>0</v>
      </c>
      <c r="P587" t="n">
        <v>0</v>
      </c>
      <c r="Q587" t="n">
        <v>0</v>
      </c>
      <c r="R587" s="2" t="inlineStr"/>
    </row>
    <row r="588" ht="15" customHeight="1">
      <c r="A588" t="inlineStr">
        <is>
          <t>A 45894-2025</t>
        </is>
      </c>
      <c r="B588" s="1" t="n">
        <v>45923.67765046296</v>
      </c>
      <c r="C588" s="1" t="n">
        <v>46035</v>
      </c>
      <c r="D588" t="inlineStr">
        <is>
          <t>JÄMTLANDS LÄN</t>
        </is>
      </c>
      <c r="E588" t="inlineStr">
        <is>
          <t>RAGUNDA</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53989-2024</t>
        </is>
      </c>
      <c r="B589" s="1" t="n">
        <v>45616.34479166667</v>
      </c>
      <c r="C589" s="1" t="n">
        <v>46035</v>
      </c>
      <c r="D589" t="inlineStr">
        <is>
          <t>JÄMTLANDS LÄN</t>
        </is>
      </c>
      <c r="E589" t="inlineStr">
        <is>
          <t>RAGUNDA</t>
        </is>
      </c>
      <c r="F589" t="inlineStr">
        <is>
          <t>SCA</t>
        </is>
      </c>
      <c r="G589" t="n">
        <v>7.2</v>
      </c>
      <c r="H589" t="n">
        <v>0</v>
      </c>
      <c r="I589" t="n">
        <v>0</v>
      </c>
      <c r="J589" t="n">
        <v>0</v>
      </c>
      <c r="K589" t="n">
        <v>0</v>
      </c>
      <c r="L589" t="n">
        <v>0</v>
      </c>
      <c r="M589" t="n">
        <v>0</v>
      </c>
      <c r="N589" t="n">
        <v>0</v>
      </c>
      <c r="O589" t="n">
        <v>0</v>
      </c>
      <c r="P589" t="n">
        <v>0</v>
      </c>
      <c r="Q589" t="n">
        <v>0</v>
      </c>
      <c r="R589" s="2" t="inlineStr"/>
    </row>
    <row r="590" ht="15" customHeight="1">
      <c r="A590" t="inlineStr">
        <is>
          <t>A 46192-2025</t>
        </is>
      </c>
      <c r="B590" s="1" t="n">
        <v>45924.67789351852</v>
      </c>
      <c r="C590" s="1" t="n">
        <v>46035</v>
      </c>
      <c r="D590" t="inlineStr">
        <is>
          <t>JÄMTLANDS LÄN</t>
        </is>
      </c>
      <c r="E590" t="inlineStr">
        <is>
          <t>RAGUNDA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73278-2021</t>
        </is>
      </c>
      <c r="B591" s="1" t="n">
        <v>44550.92168981482</v>
      </c>
      <c r="C591" s="1" t="n">
        <v>46035</v>
      </c>
      <c r="D591" t="inlineStr">
        <is>
          <t>JÄMTLANDS LÄN</t>
        </is>
      </c>
      <c r="E591" t="inlineStr">
        <is>
          <t>RAGUNDA</t>
        </is>
      </c>
      <c r="G591" t="n">
        <v>4.4</v>
      </c>
      <c r="H591" t="n">
        <v>0</v>
      </c>
      <c r="I591" t="n">
        <v>0</v>
      </c>
      <c r="J591" t="n">
        <v>0</v>
      </c>
      <c r="K591" t="n">
        <v>0</v>
      </c>
      <c r="L591" t="n">
        <v>0</v>
      </c>
      <c r="M591" t="n">
        <v>0</v>
      </c>
      <c r="N591" t="n">
        <v>0</v>
      </c>
      <c r="O591" t="n">
        <v>0</v>
      </c>
      <c r="P591" t="n">
        <v>0</v>
      </c>
      <c r="Q591" t="n">
        <v>0</v>
      </c>
      <c r="R591" s="2" t="inlineStr"/>
    </row>
    <row r="592" ht="15" customHeight="1">
      <c r="A592" t="inlineStr">
        <is>
          <t>A 42509-2023</t>
        </is>
      </c>
      <c r="B592" s="1" t="n">
        <v>45180</v>
      </c>
      <c r="C592" s="1" t="n">
        <v>46035</v>
      </c>
      <c r="D592" t="inlineStr">
        <is>
          <t>JÄMTLANDS LÄN</t>
        </is>
      </c>
      <c r="E592" t="inlineStr">
        <is>
          <t>RAGUNDA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42510-2023</t>
        </is>
      </c>
      <c r="B593" s="1" t="n">
        <v>45180.95927083334</v>
      </c>
      <c r="C593" s="1" t="n">
        <v>46035</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11048-2023</t>
        </is>
      </c>
      <c r="B594" s="1" t="n">
        <v>44991</v>
      </c>
      <c r="C594" s="1" t="n">
        <v>46035</v>
      </c>
      <c r="D594" t="inlineStr">
        <is>
          <t>JÄMTLANDS LÄN</t>
        </is>
      </c>
      <c r="E594" t="inlineStr">
        <is>
          <t>RAGUNDA</t>
        </is>
      </c>
      <c r="F594" t="inlineStr">
        <is>
          <t>SCA</t>
        </is>
      </c>
      <c r="G594" t="n">
        <v>13.5</v>
      </c>
      <c r="H594" t="n">
        <v>0</v>
      </c>
      <c r="I594" t="n">
        <v>0</v>
      </c>
      <c r="J594" t="n">
        <v>0</v>
      </c>
      <c r="K594" t="n">
        <v>0</v>
      </c>
      <c r="L594" t="n">
        <v>0</v>
      </c>
      <c r="M594" t="n">
        <v>0</v>
      </c>
      <c r="N594" t="n">
        <v>0</v>
      </c>
      <c r="O594" t="n">
        <v>0</v>
      </c>
      <c r="P594" t="n">
        <v>0</v>
      </c>
      <c r="Q594" t="n">
        <v>0</v>
      </c>
      <c r="R594" s="2" t="inlineStr"/>
    </row>
    <row r="595" ht="15" customHeight="1">
      <c r="A595" t="inlineStr">
        <is>
          <t>A 46689-2025</t>
        </is>
      </c>
      <c r="B595" s="1" t="n">
        <v>45926.55307870371</v>
      </c>
      <c r="C595" s="1" t="n">
        <v>46035</v>
      </c>
      <c r="D595" t="inlineStr">
        <is>
          <t>JÄMTLANDS LÄN</t>
        </is>
      </c>
      <c r="E595" t="inlineStr">
        <is>
          <t>RAGUNDA</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16364-2023</t>
        </is>
      </c>
      <c r="B596" s="1" t="n">
        <v>45028</v>
      </c>
      <c r="C596" s="1" t="n">
        <v>46035</v>
      </c>
      <c r="D596" t="inlineStr">
        <is>
          <t>JÄMTLANDS LÄN</t>
        </is>
      </c>
      <c r="E596" t="inlineStr">
        <is>
          <t>RAGUNDA</t>
        </is>
      </c>
      <c r="G596" t="n">
        <v>0.5</v>
      </c>
      <c r="H596" t="n">
        <v>0</v>
      </c>
      <c r="I596" t="n">
        <v>0</v>
      </c>
      <c r="J596" t="n">
        <v>0</v>
      </c>
      <c r="K596" t="n">
        <v>0</v>
      </c>
      <c r="L596" t="n">
        <v>0</v>
      </c>
      <c r="M596" t="n">
        <v>0</v>
      </c>
      <c r="N596" t="n">
        <v>0</v>
      </c>
      <c r="O596" t="n">
        <v>0</v>
      </c>
      <c r="P596" t="n">
        <v>0</v>
      </c>
      <c r="Q596" t="n">
        <v>0</v>
      </c>
      <c r="R596" s="2" t="inlineStr"/>
    </row>
    <row r="597" ht="15" customHeight="1">
      <c r="A597" t="inlineStr">
        <is>
          <t>A 51396-2024</t>
        </is>
      </c>
      <c r="B597" s="1" t="n">
        <v>45604.4190625</v>
      </c>
      <c r="C597" s="1" t="n">
        <v>46035</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26640-2025</t>
        </is>
      </c>
      <c r="B598" s="1" t="n">
        <v>45810.36495370371</v>
      </c>
      <c r="C598" s="1" t="n">
        <v>46035</v>
      </c>
      <c r="D598" t="inlineStr">
        <is>
          <t>JÄMTLANDS LÄN</t>
        </is>
      </c>
      <c r="E598" t="inlineStr">
        <is>
          <t>RAGUNDA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46275-2025</t>
        </is>
      </c>
      <c r="B599" s="1" t="n">
        <v>45925.3711574074</v>
      </c>
      <c r="C599" s="1" t="n">
        <v>46035</v>
      </c>
      <c r="D599" t="inlineStr">
        <is>
          <t>JÄMTLANDS LÄN</t>
        </is>
      </c>
      <c r="E599" t="inlineStr">
        <is>
          <t>RAGUNDA</t>
        </is>
      </c>
      <c r="G599" t="n">
        <v>2.7</v>
      </c>
      <c r="H599" t="n">
        <v>0</v>
      </c>
      <c r="I599" t="n">
        <v>0</v>
      </c>
      <c r="J599" t="n">
        <v>0</v>
      </c>
      <c r="K599" t="n">
        <v>0</v>
      </c>
      <c r="L599" t="n">
        <v>0</v>
      </c>
      <c r="M599" t="n">
        <v>0</v>
      </c>
      <c r="N599" t="n">
        <v>0</v>
      </c>
      <c r="O599" t="n">
        <v>0</v>
      </c>
      <c r="P599" t="n">
        <v>0</v>
      </c>
      <c r="Q599" t="n">
        <v>0</v>
      </c>
      <c r="R599" s="2" t="inlineStr"/>
    </row>
    <row r="600" ht="15" customHeight="1">
      <c r="A600" t="inlineStr">
        <is>
          <t>A 53762-2023</t>
        </is>
      </c>
      <c r="B600" s="1" t="n">
        <v>45230.96376157407</v>
      </c>
      <c r="C600" s="1" t="n">
        <v>46035</v>
      </c>
      <c r="D600" t="inlineStr">
        <is>
          <t>JÄMTLANDS LÄN</t>
        </is>
      </c>
      <c r="E600" t="inlineStr">
        <is>
          <t>RAGUNDA</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46710-2025</t>
        </is>
      </c>
      <c r="B601" s="1" t="n">
        <v>45926.57337962963</v>
      </c>
      <c r="C601" s="1" t="n">
        <v>46035</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46751-2025</t>
        </is>
      </c>
      <c r="B602" s="1" t="n">
        <v>45926.6153125</v>
      </c>
      <c r="C602" s="1" t="n">
        <v>46035</v>
      </c>
      <c r="D602" t="inlineStr">
        <is>
          <t>JÄMTLANDS LÄN</t>
        </is>
      </c>
      <c r="E602" t="inlineStr">
        <is>
          <t>RAGUNDA</t>
        </is>
      </c>
      <c r="F602" t="inlineStr">
        <is>
          <t>SCA</t>
        </is>
      </c>
      <c r="G602" t="n">
        <v>7.8</v>
      </c>
      <c r="H602" t="n">
        <v>0</v>
      </c>
      <c r="I602" t="n">
        <v>0</v>
      </c>
      <c r="J602" t="n">
        <v>0</v>
      </c>
      <c r="K602" t="n">
        <v>0</v>
      </c>
      <c r="L602" t="n">
        <v>0</v>
      </c>
      <c r="M602" t="n">
        <v>0</v>
      </c>
      <c r="N602" t="n">
        <v>0</v>
      </c>
      <c r="O602" t="n">
        <v>0</v>
      </c>
      <c r="P602" t="n">
        <v>0</v>
      </c>
      <c r="Q602" t="n">
        <v>0</v>
      </c>
      <c r="R602" s="2" t="inlineStr"/>
    </row>
    <row r="603" ht="15" customHeight="1">
      <c r="A603" t="inlineStr">
        <is>
          <t>A 46753-2025</t>
        </is>
      </c>
      <c r="B603" s="1" t="n">
        <v>45926.61552083334</v>
      </c>
      <c r="C603" s="1" t="n">
        <v>46035</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19089-2024</t>
        </is>
      </c>
      <c r="B604" s="1" t="n">
        <v>45428.00471064815</v>
      </c>
      <c r="C604" s="1" t="n">
        <v>46035</v>
      </c>
      <c r="D604" t="inlineStr">
        <is>
          <t>JÄMTLANDS LÄN</t>
        </is>
      </c>
      <c r="E604" t="inlineStr">
        <is>
          <t>RAGUNDA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46549-2023</t>
        </is>
      </c>
      <c r="B605" s="1" t="n">
        <v>45197.94171296297</v>
      </c>
      <c r="C605" s="1" t="n">
        <v>46035</v>
      </c>
      <c r="D605" t="inlineStr">
        <is>
          <t>JÄMTLANDS LÄN</t>
        </is>
      </c>
      <c r="E605" t="inlineStr">
        <is>
          <t>RAGUNDA</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47228-2025</t>
        </is>
      </c>
      <c r="B606" s="1" t="n">
        <v>45930.3990162037</v>
      </c>
      <c r="C606" s="1" t="n">
        <v>46035</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46974-2025</t>
        </is>
      </c>
      <c r="B607" s="1" t="n">
        <v>45929.51104166666</v>
      </c>
      <c r="C607" s="1" t="n">
        <v>46035</v>
      </c>
      <c r="D607" t="inlineStr">
        <is>
          <t>JÄMTLANDS LÄN</t>
        </is>
      </c>
      <c r="E607" t="inlineStr">
        <is>
          <t>RAGUNDA</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47037-2025</t>
        </is>
      </c>
      <c r="B608" s="1" t="n">
        <v>45929.59456018519</v>
      </c>
      <c r="C608" s="1" t="n">
        <v>46035</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47119-2025</t>
        </is>
      </c>
      <c r="B609" s="1" t="n">
        <v>45929.67795138889</v>
      </c>
      <c r="C609" s="1" t="n">
        <v>46035</v>
      </c>
      <c r="D609" t="inlineStr">
        <is>
          <t>JÄMTLANDS LÄN</t>
        </is>
      </c>
      <c r="E609" t="inlineStr">
        <is>
          <t>RAGUNDA</t>
        </is>
      </c>
      <c r="F609" t="inlineStr">
        <is>
          <t>SCA</t>
        </is>
      </c>
      <c r="G609" t="n">
        <v>22.7</v>
      </c>
      <c r="H609" t="n">
        <v>0</v>
      </c>
      <c r="I609" t="n">
        <v>0</v>
      </c>
      <c r="J609" t="n">
        <v>0</v>
      </c>
      <c r="K609" t="n">
        <v>0</v>
      </c>
      <c r="L609" t="n">
        <v>0</v>
      </c>
      <c r="M609" t="n">
        <v>0</v>
      </c>
      <c r="N609" t="n">
        <v>0</v>
      </c>
      <c r="O609" t="n">
        <v>0</v>
      </c>
      <c r="P609" t="n">
        <v>0</v>
      </c>
      <c r="Q609" t="n">
        <v>0</v>
      </c>
      <c r="R609" s="2" t="inlineStr"/>
    </row>
    <row r="610" ht="15" customHeight="1">
      <c r="A610" t="inlineStr">
        <is>
          <t>A 47122-2025</t>
        </is>
      </c>
      <c r="B610" s="1" t="n">
        <v>45929.67878472222</v>
      </c>
      <c r="C610" s="1" t="n">
        <v>46035</v>
      </c>
      <c r="D610" t="inlineStr">
        <is>
          <t>JÄMTLANDS LÄN</t>
        </is>
      </c>
      <c r="E610" t="inlineStr">
        <is>
          <t>RAGUNDA</t>
        </is>
      </c>
      <c r="F610" t="inlineStr">
        <is>
          <t>SCA</t>
        </is>
      </c>
      <c r="G610" t="n">
        <v>31.1</v>
      </c>
      <c r="H610" t="n">
        <v>0</v>
      </c>
      <c r="I610" t="n">
        <v>0</v>
      </c>
      <c r="J610" t="n">
        <v>0</v>
      </c>
      <c r="K610" t="n">
        <v>0</v>
      </c>
      <c r="L610" t="n">
        <v>0</v>
      </c>
      <c r="M610" t="n">
        <v>0</v>
      </c>
      <c r="N610" t="n">
        <v>0</v>
      </c>
      <c r="O610" t="n">
        <v>0</v>
      </c>
      <c r="P610" t="n">
        <v>0</v>
      </c>
      <c r="Q610" t="n">
        <v>0</v>
      </c>
      <c r="R610" s="2" t="inlineStr"/>
    </row>
    <row r="611" ht="15" customHeight="1">
      <c r="A611" t="inlineStr">
        <is>
          <t>A 55214-2022</t>
        </is>
      </c>
      <c r="B611" s="1" t="n">
        <v>44886</v>
      </c>
      <c r="C611" s="1" t="n">
        <v>46035</v>
      </c>
      <c r="D611" t="inlineStr">
        <is>
          <t>JÄMTLANDS LÄN</t>
        </is>
      </c>
      <c r="E611" t="inlineStr">
        <is>
          <t>RAGUNDA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46909-2025</t>
        </is>
      </c>
      <c r="B612" s="1" t="n">
        <v>45929.40673611111</v>
      </c>
      <c r="C612" s="1" t="n">
        <v>46035</v>
      </c>
      <c r="D612" t="inlineStr">
        <is>
          <t>JÄMTLANDS LÄN</t>
        </is>
      </c>
      <c r="E612" t="inlineStr">
        <is>
          <t>RAGUNDA</t>
        </is>
      </c>
      <c r="G612" t="n">
        <v>5.7</v>
      </c>
      <c r="H612" t="n">
        <v>0</v>
      </c>
      <c r="I612" t="n">
        <v>0</v>
      </c>
      <c r="J612" t="n">
        <v>0</v>
      </c>
      <c r="K612" t="n">
        <v>0</v>
      </c>
      <c r="L612" t="n">
        <v>0</v>
      </c>
      <c r="M612" t="n">
        <v>0</v>
      </c>
      <c r="N612" t="n">
        <v>0</v>
      </c>
      <c r="O612" t="n">
        <v>0</v>
      </c>
      <c r="P612" t="n">
        <v>0</v>
      </c>
      <c r="Q612" t="n">
        <v>0</v>
      </c>
      <c r="R612" s="2" t="inlineStr"/>
    </row>
    <row r="613" ht="15" customHeight="1">
      <c r="A613" t="inlineStr">
        <is>
          <t>A 40246-2024</t>
        </is>
      </c>
      <c r="B613" s="1" t="n">
        <v>45554.61583333334</v>
      </c>
      <c r="C613" s="1" t="n">
        <v>46035</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19404-2025</t>
        </is>
      </c>
      <c r="B614" s="1" t="n">
        <v>45769.67802083334</v>
      </c>
      <c r="C614" s="1" t="n">
        <v>46035</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c r="U614">
        <f>HYPERLINK("https://klasma.github.io/Logging_2303/knärot/A 19404-2025 karta knärot.png", "A 19404-2025")</f>
        <v/>
      </c>
      <c r="V614">
        <f>HYPERLINK("https://klasma.github.io/Logging_2303/klagomål/A 19404-2025 FSC-klagomål.docx", "A 19404-2025")</f>
        <v/>
      </c>
      <c r="W614">
        <f>HYPERLINK("https://klasma.github.io/Logging_2303/klagomålsmail/A 19404-2025 FSC-klagomål mail.docx", "A 19404-2025")</f>
        <v/>
      </c>
      <c r="X614">
        <f>HYPERLINK("https://klasma.github.io/Logging_2303/tillsyn/A 19404-2025 tillsynsbegäran.docx", "A 19404-2025")</f>
        <v/>
      </c>
      <c r="Y614">
        <f>HYPERLINK("https://klasma.github.io/Logging_2303/tillsynsmail/A 19404-2025 tillsynsbegäran mail.docx", "A 19404-2025")</f>
        <v/>
      </c>
    </row>
    <row r="615" ht="15" customHeight="1">
      <c r="A615" t="inlineStr">
        <is>
          <t>A 47229-2025</t>
        </is>
      </c>
      <c r="B615" s="1" t="n">
        <v>45930.40166666666</v>
      </c>
      <c r="C615" s="1" t="n">
        <v>46035</v>
      </c>
      <c r="D615" t="inlineStr">
        <is>
          <t>JÄMTLANDS LÄN</t>
        </is>
      </c>
      <c r="E615" t="inlineStr">
        <is>
          <t>RAGUNDA</t>
        </is>
      </c>
      <c r="G615" t="n">
        <v>1.8</v>
      </c>
      <c r="H615" t="n">
        <v>0</v>
      </c>
      <c r="I615" t="n">
        <v>0</v>
      </c>
      <c r="J615" t="n">
        <v>0</v>
      </c>
      <c r="K615" t="n">
        <v>0</v>
      </c>
      <c r="L615" t="n">
        <v>0</v>
      </c>
      <c r="M615" t="n">
        <v>0</v>
      </c>
      <c r="N615" t="n">
        <v>0</v>
      </c>
      <c r="O615" t="n">
        <v>0</v>
      </c>
      <c r="P615" t="n">
        <v>0</v>
      </c>
      <c r="Q615" t="n">
        <v>0</v>
      </c>
      <c r="R615" s="2" t="inlineStr"/>
    </row>
    <row r="616" ht="15" customHeight="1">
      <c r="A616" t="inlineStr">
        <is>
          <t>A 47075-2025</t>
        </is>
      </c>
      <c r="B616" s="1" t="n">
        <v>45929.63728009259</v>
      </c>
      <c r="C616" s="1" t="n">
        <v>46035</v>
      </c>
      <c r="D616" t="inlineStr">
        <is>
          <t>JÄMTLANDS LÄN</t>
        </is>
      </c>
      <c r="E616" t="inlineStr">
        <is>
          <t>RAGUNDA</t>
        </is>
      </c>
      <c r="F616" t="inlineStr">
        <is>
          <t>SCA</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46825-2025</t>
        </is>
      </c>
      <c r="B617" s="1" t="n">
        <v>45926.92506944444</v>
      </c>
      <c r="C617" s="1" t="n">
        <v>46035</v>
      </c>
      <c r="D617" t="inlineStr">
        <is>
          <t>JÄMTLANDS LÄN</t>
        </is>
      </c>
      <c r="E617" t="inlineStr">
        <is>
          <t>RAGUNDA</t>
        </is>
      </c>
      <c r="G617" t="n">
        <v>1.4</v>
      </c>
      <c r="H617" t="n">
        <v>0</v>
      </c>
      <c r="I617" t="n">
        <v>0</v>
      </c>
      <c r="J617" t="n">
        <v>0</v>
      </c>
      <c r="K617" t="n">
        <v>0</v>
      </c>
      <c r="L617" t="n">
        <v>0</v>
      </c>
      <c r="M617" t="n">
        <v>0</v>
      </c>
      <c r="N617" t="n">
        <v>0</v>
      </c>
      <c r="O617" t="n">
        <v>0</v>
      </c>
      <c r="P617" t="n">
        <v>0</v>
      </c>
      <c r="Q617" t="n">
        <v>0</v>
      </c>
      <c r="R617" s="2" t="inlineStr"/>
    </row>
    <row r="618" ht="15" customHeight="1">
      <c r="A618" t="inlineStr">
        <is>
          <t>A 27510-2025</t>
        </is>
      </c>
      <c r="B618" s="1" t="n">
        <v>45813.42790509259</v>
      </c>
      <c r="C618" s="1" t="n">
        <v>46035</v>
      </c>
      <c r="D618" t="inlineStr">
        <is>
          <t>JÄMTLANDS LÄN</t>
        </is>
      </c>
      <c r="E618" t="inlineStr">
        <is>
          <t>RAGUNDA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18989-2025</t>
        </is>
      </c>
      <c r="B619" s="1" t="n">
        <v>45764</v>
      </c>
      <c r="C619" s="1" t="n">
        <v>46035</v>
      </c>
      <c r="D619" t="inlineStr">
        <is>
          <t>JÄMTLANDS LÄN</t>
        </is>
      </c>
      <c r="E619" t="inlineStr">
        <is>
          <t>RAGUNDA</t>
        </is>
      </c>
      <c r="G619" t="n">
        <v>0.9</v>
      </c>
      <c r="H619" t="n">
        <v>0</v>
      </c>
      <c r="I619" t="n">
        <v>0</v>
      </c>
      <c r="J619" t="n">
        <v>0</v>
      </c>
      <c r="K619" t="n">
        <v>0</v>
      </c>
      <c r="L619" t="n">
        <v>0</v>
      </c>
      <c r="M619" t="n">
        <v>0</v>
      </c>
      <c r="N619" t="n">
        <v>0</v>
      </c>
      <c r="O619" t="n">
        <v>0</v>
      </c>
      <c r="P619" t="n">
        <v>0</v>
      </c>
      <c r="Q619" t="n">
        <v>0</v>
      </c>
      <c r="R619" s="2" t="inlineStr"/>
    </row>
    <row r="620" ht="15" customHeight="1">
      <c r="A620" t="inlineStr">
        <is>
          <t>A 21853-2024</t>
        </is>
      </c>
      <c r="B620" s="1" t="n">
        <v>45442.96296296296</v>
      </c>
      <c r="C620" s="1" t="n">
        <v>46035</v>
      </c>
      <c r="D620" t="inlineStr">
        <is>
          <t>JÄMTLANDS LÄN</t>
        </is>
      </c>
      <c r="E620" t="inlineStr">
        <is>
          <t>RAGUNDA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29775-2023</t>
        </is>
      </c>
      <c r="B621" s="1" t="n">
        <v>45098</v>
      </c>
      <c r="C621" s="1" t="n">
        <v>46035</v>
      </c>
      <c r="D621" t="inlineStr">
        <is>
          <t>JÄMTLANDS LÄN</t>
        </is>
      </c>
      <c r="E621" t="inlineStr">
        <is>
          <t>RAGUNDA</t>
        </is>
      </c>
      <c r="G621" t="n">
        <v>3.6</v>
      </c>
      <c r="H621" t="n">
        <v>0</v>
      </c>
      <c r="I621" t="n">
        <v>0</v>
      </c>
      <c r="J621" t="n">
        <v>0</v>
      </c>
      <c r="K621" t="n">
        <v>0</v>
      </c>
      <c r="L621" t="n">
        <v>0</v>
      </c>
      <c r="M621" t="n">
        <v>0</v>
      </c>
      <c r="N621" t="n">
        <v>0</v>
      </c>
      <c r="O621" t="n">
        <v>0</v>
      </c>
      <c r="P621" t="n">
        <v>0</v>
      </c>
      <c r="Q621" t="n">
        <v>0</v>
      </c>
      <c r="R621" s="2" t="inlineStr"/>
    </row>
    <row r="622" ht="15" customHeight="1">
      <c r="A622" t="inlineStr">
        <is>
          <t>A 34088-2025</t>
        </is>
      </c>
      <c r="B622" s="1" t="n">
        <v>45845</v>
      </c>
      <c r="C622" s="1" t="n">
        <v>46035</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40365-2024</t>
        </is>
      </c>
      <c r="B623" s="1" t="n">
        <v>45555.38509259259</v>
      </c>
      <c r="C623" s="1" t="n">
        <v>46035</v>
      </c>
      <c r="D623" t="inlineStr">
        <is>
          <t>JÄMTLANDS LÄN</t>
        </is>
      </c>
      <c r="E623" t="inlineStr">
        <is>
          <t>RAGUNDA</t>
        </is>
      </c>
      <c r="G623" t="n">
        <v>7.8</v>
      </c>
      <c r="H623" t="n">
        <v>0</v>
      </c>
      <c r="I623" t="n">
        <v>0</v>
      </c>
      <c r="J623" t="n">
        <v>0</v>
      </c>
      <c r="K623" t="n">
        <v>0</v>
      </c>
      <c r="L623" t="n">
        <v>0</v>
      </c>
      <c r="M623" t="n">
        <v>0</v>
      </c>
      <c r="N623" t="n">
        <v>0</v>
      </c>
      <c r="O623" t="n">
        <v>0</v>
      </c>
      <c r="P623" t="n">
        <v>0</v>
      </c>
      <c r="Q623" t="n">
        <v>0</v>
      </c>
      <c r="R623" s="2" t="inlineStr"/>
    </row>
    <row r="624" ht="15" customHeight="1">
      <c r="A624" t="inlineStr">
        <is>
          <t>A 49994-2025</t>
        </is>
      </c>
      <c r="B624" s="1" t="n">
        <v>45942.96922453704</v>
      </c>
      <c r="C624" s="1" t="n">
        <v>46035</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49995-2025</t>
        </is>
      </c>
      <c r="B625" s="1" t="n">
        <v>45943.00986111111</v>
      </c>
      <c r="C625" s="1" t="n">
        <v>46035</v>
      </c>
      <c r="D625" t="inlineStr">
        <is>
          <t>JÄMTLANDS LÄN</t>
        </is>
      </c>
      <c r="E625" t="inlineStr">
        <is>
          <t>RAGUNDA</t>
        </is>
      </c>
      <c r="G625" t="n">
        <v>2.5</v>
      </c>
      <c r="H625" t="n">
        <v>0</v>
      </c>
      <c r="I625" t="n">
        <v>0</v>
      </c>
      <c r="J625" t="n">
        <v>0</v>
      </c>
      <c r="K625" t="n">
        <v>0</v>
      </c>
      <c r="L625" t="n">
        <v>0</v>
      </c>
      <c r="M625" t="n">
        <v>0</v>
      </c>
      <c r="N625" t="n">
        <v>0</v>
      </c>
      <c r="O625" t="n">
        <v>0</v>
      </c>
      <c r="P625" t="n">
        <v>0</v>
      </c>
      <c r="Q625" t="n">
        <v>0</v>
      </c>
      <c r="R625" s="2" t="inlineStr"/>
    </row>
    <row r="626" ht="15" customHeight="1">
      <c r="A626" t="inlineStr">
        <is>
          <t>A 50098-2025</t>
        </is>
      </c>
      <c r="B626" s="1" t="n">
        <v>45943.51086805556</v>
      </c>
      <c r="C626" s="1" t="n">
        <v>46035</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50126-2025</t>
        </is>
      </c>
      <c r="B627" s="1" t="n">
        <v>45943.55271990741</v>
      </c>
      <c r="C627" s="1" t="n">
        <v>46035</v>
      </c>
      <c r="D627" t="inlineStr">
        <is>
          <t>JÄMTLANDS LÄN</t>
        </is>
      </c>
      <c r="E627" t="inlineStr">
        <is>
          <t>RAGUNDA</t>
        </is>
      </c>
      <c r="G627" t="n">
        <v>1</v>
      </c>
      <c r="H627" t="n">
        <v>0</v>
      </c>
      <c r="I627" t="n">
        <v>0</v>
      </c>
      <c r="J627" t="n">
        <v>0</v>
      </c>
      <c r="K627" t="n">
        <v>0</v>
      </c>
      <c r="L627" t="n">
        <v>0</v>
      </c>
      <c r="M627" t="n">
        <v>0</v>
      </c>
      <c r="N627" t="n">
        <v>0</v>
      </c>
      <c r="O627" t="n">
        <v>0</v>
      </c>
      <c r="P627" t="n">
        <v>0</v>
      </c>
      <c r="Q627" t="n">
        <v>0</v>
      </c>
      <c r="R627" s="2" t="inlineStr"/>
    </row>
    <row r="628" ht="15" customHeight="1">
      <c r="A628" t="inlineStr">
        <is>
          <t>A 60456-2023</t>
        </is>
      </c>
      <c r="B628" s="1" t="n">
        <v>45258</v>
      </c>
      <c r="C628" s="1" t="n">
        <v>46035</v>
      </c>
      <c r="D628" t="inlineStr">
        <is>
          <t>JÄMTLANDS LÄN</t>
        </is>
      </c>
      <c r="E628" t="inlineStr">
        <is>
          <t>RAGUNDA</t>
        </is>
      </c>
      <c r="G628" t="n">
        <v>1.8</v>
      </c>
      <c r="H628" t="n">
        <v>0</v>
      </c>
      <c r="I628" t="n">
        <v>0</v>
      </c>
      <c r="J628" t="n">
        <v>0</v>
      </c>
      <c r="K628" t="n">
        <v>0</v>
      </c>
      <c r="L628" t="n">
        <v>0</v>
      </c>
      <c r="M628" t="n">
        <v>0</v>
      </c>
      <c r="N628" t="n">
        <v>0</v>
      </c>
      <c r="O628" t="n">
        <v>0</v>
      </c>
      <c r="P628" t="n">
        <v>0</v>
      </c>
      <c r="Q628" t="n">
        <v>0</v>
      </c>
      <c r="R628" s="2" t="inlineStr"/>
    </row>
    <row r="629" ht="15" customHeight="1">
      <c r="A629" t="inlineStr">
        <is>
          <t>A 58438-2022</t>
        </is>
      </c>
      <c r="B629" s="1" t="n">
        <v>44901</v>
      </c>
      <c r="C629" s="1" t="n">
        <v>46035</v>
      </c>
      <c r="D629" t="inlineStr">
        <is>
          <t>JÄMTLANDS LÄN</t>
        </is>
      </c>
      <c r="E629" t="inlineStr">
        <is>
          <t>RAGUNDA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58442-2022</t>
        </is>
      </c>
      <c r="B630" s="1" t="n">
        <v>44901</v>
      </c>
      <c r="C630" s="1" t="n">
        <v>46035</v>
      </c>
      <c r="D630" t="inlineStr">
        <is>
          <t>JÄMTLANDS LÄN</t>
        </is>
      </c>
      <c r="E630" t="inlineStr">
        <is>
          <t>RAGUNDA</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50081-2025</t>
        </is>
      </c>
      <c r="B631" s="1" t="n">
        <v>45943.46954861111</v>
      </c>
      <c r="C631" s="1" t="n">
        <v>46035</v>
      </c>
      <c r="D631" t="inlineStr">
        <is>
          <t>JÄMTLANDS LÄN</t>
        </is>
      </c>
      <c r="E631" t="inlineStr">
        <is>
          <t>RAGUNDA</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49229-2024</t>
        </is>
      </c>
      <c r="B632" s="1" t="n">
        <v>45595.42738425926</v>
      </c>
      <c r="C632" s="1" t="n">
        <v>46035</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50260-2025</t>
        </is>
      </c>
      <c r="B633" s="1" t="n">
        <v>45944.34515046296</v>
      </c>
      <c r="C633" s="1" t="n">
        <v>46035</v>
      </c>
      <c r="D633" t="inlineStr">
        <is>
          <t>JÄMTLANDS LÄN</t>
        </is>
      </c>
      <c r="E633" t="inlineStr">
        <is>
          <t>RAGUNDA</t>
        </is>
      </c>
      <c r="F633" t="inlineStr">
        <is>
          <t>SCA</t>
        </is>
      </c>
      <c r="G633" t="n">
        <v>7.9</v>
      </c>
      <c r="H633" t="n">
        <v>0</v>
      </c>
      <c r="I633" t="n">
        <v>0</v>
      </c>
      <c r="J633" t="n">
        <v>0</v>
      </c>
      <c r="K633" t="n">
        <v>0</v>
      </c>
      <c r="L633" t="n">
        <v>0</v>
      </c>
      <c r="M633" t="n">
        <v>0</v>
      </c>
      <c r="N633" t="n">
        <v>0</v>
      </c>
      <c r="O633" t="n">
        <v>0</v>
      </c>
      <c r="P633" t="n">
        <v>0</v>
      </c>
      <c r="Q633" t="n">
        <v>0</v>
      </c>
      <c r="R633" s="2" t="inlineStr"/>
    </row>
    <row r="634" ht="15" customHeight="1">
      <c r="A634" t="inlineStr">
        <is>
          <t>A 50215-2025</t>
        </is>
      </c>
      <c r="B634" s="1" t="n">
        <v>45943.67842592593</v>
      </c>
      <c r="C634" s="1" t="n">
        <v>46035</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49991-2025</t>
        </is>
      </c>
      <c r="B635" s="1" t="n">
        <v>45942.91568287037</v>
      </c>
      <c r="C635" s="1" t="n">
        <v>46035</v>
      </c>
      <c r="D635" t="inlineStr">
        <is>
          <t>JÄMTLANDS LÄN</t>
        </is>
      </c>
      <c r="E635" t="inlineStr">
        <is>
          <t>RAGUNDA</t>
        </is>
      </c>
      <c r="G635" t="n">
        <v>9</v>
      </c>
      <c r="H635" t="n">
        <v>0</v>
      </c>
      <c r="I635" t="n">
        <v>0</v>
      </c>
      <c r="J635" t="n">
        <v>0</v>
      </c>
      <c r="K635" t="n">
        <v>0</v>
      </c>
      <c r="L635" t="n">
        <v>0</v>
      </c>
      <c r="M635" t="n">
        <v>0</v>
      </c>
      <c r="N635" t="n">
        <v>0</v>
      </c>
      <c r="O635" t="n">
        <v>0</v>
      </c>
      <c r="P635" t="n">
        <v>0</v>
      </c>
      <c r="Q635" t="n">
        <v>0</v>
      </c>
      <c r="R635" s="2" t="inlineStr"/>
    </row>
    <row r="636" ht="15" customHeight="1">
      <c r="A636" t="inlineStr">
        <is>
          <t>A 28637-2025</t>
        </is>
      </c>
      <c r="B636" s="1" t="n">
        <v>45819.6359375</v>
      </c>
      <c r="C636" s="1" t="n">
        <v>46035</v>
      </c>
      <c r="D636" t="inlineStr">
        <is>
          <t>JÄMTLANDS LÄN</t>
        </is>
      </c>
      <c r="E636" t="inlineStr">
        <is>
          <t>RAGUNDA</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49993-2025</t>
        </is>
      </c>
      <c r="B637" s="1" t="n">
        <v>45942.94371527778</v>
      </c>
      <c r="C637" s="1" t="n">
        <v>46035</v>
      </c>
      <c r="D637" t="inlineStr">
        <is>
          <t>JÄMTLANDS LÄN</t>
        </is>
      </c>
      <c r="E637" t="inlineStr">
        <is>
          <t>RAGUNDA</t>
        </is>
      </c>
      <c r="G637" t="n">
        <v>1.5</v>
      </c>
      <c r="H637" t="n">
        <v>0</v>
      </c>
      <c r="I637" t="n">
        <v>0</v>
      </c>
      <c r="J637" t="n">
        <v>0</v>
      </c>
      <c r="K637" t="n">
        <v>0</v>
      </c>
      <c r="L637" t="n">
        <v>0</v>
      </c>
      <c r="M637" t="n">
        <v>0</v>
      </c>
      <c r="N637" t="n">
        <v>0</v>
      </c>
      <c r="O637" t="n">
        <v>0</v>
      </c>
      <c r="P637" t="n">
        <v>0</v>
      </c>
      <c r="Q637" t="n">
        <v>0</v>
      </c>
      <c r="R637" s="2" t="inlineStr"/>
    </row>
    <row r="638" ht="15" customHeight="1">
      <c r="A638" t="inlineStr">
        <is>
          <t>A 55524-2024</t>
        </is>
      </c>
      <c r="B638" s="1" t="n">
        <v>45622.47435185185</v>
      </c>
      <c r="C638" s="1" t="n">
        <v>46035</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19419-2024</t>
        </is>
      </c>
      <c r="B639" s="1" t="n">
        <v>45429</v>
      </c>
      <c r="C639" s="1" t="n">
        <v>46035</v>
      </c>
      <c r="D639" t="inlineStr">
        <is>
          <t>JÄMTLANDS LÄN</t>
        </is>
      </c>
      <c r="E639" t="inlineStr">
        <is>
          <t>RAGUNDA</t>
        </is>
      </c>
      <c r="G639" t="n">
        <v>3.5</v>
      </c>
      <c r="H639" t="n">
        <v>0</v>
      </c>
      <c r="I639" t="n">
        <v>0</v>
      </c>
      <c r="J639" t="n">
        <v>0</v>
      </c>
      <c r="K639" t="n">
        <v>0</v>
      </c>
      <c r="L639" t="n">
        <v>0</v>
      </c>
      <c r="M639" t="n">
        <v>0</v>
      </c>
      <c r="N639" t="n">
        <v>0</v>
      </c>
      <c r="O639" t="n">
        <v>0</v>
      </c>
      <c r="P639" t="n">
        <v>0</v>
      </c>
      <c r="Q639" t="n">
        <v>0</v>
      </c>
      <c r="R639" s="2" t="inlineStr"/>
    </row>
    <row r="640" ht="15" customHeight="1">
      <c r="A640" t="inlineStr">
        <is>
          <t>A 28973-2025</t>
        </is>
      </c>
      <c r="B640" s="1" t="n">
        <v>45821.34513888889</v>
      </c>
      <c r="C640" s="1" t="n">
        <v>46035</v>
      </c>
      <c r="D640" t="inlineStr">
        <is>
          <t>JÄMTLANDS LÄN</t>
        </is>
      </c>
      <c r="E640" t="inlineStr">
        <is>
          <t>RAGUNDA</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29723-2025</t>
        </is>
      </c>
      <c r="B641" s="1" t="n">
        <v>45825.57675925926</v>
      </c>
      <c r="C641" s="1" t="n">
        <v>46035</v>
      </c>
      <c r="D641" t="inlineStr">
        <is>
          <t>JÄMTLANDS LÄN</t>
        </is>
      </c>
      <c r="E641" t="inlineStr">
        <is>
          <t>RAGUNDA</t>
        </is>
      </c>
      <c r="G641" t="n">
        <v>3.1</v>
      </c>
      <c r="H641" t="n">
        <v>0</v>
      </c>
      <c r="I641" t="n">
        <v>0</v>
      </c>
      <c r="J641" t="n">
        <v>0</v>
      </c>
      <c r="K641" t="n">
        <v>0</v>
      </c>
      <c r="L641" t="n">
        <v>0</v>
      </c>
      <c r="M641" t="n">
        <v>0</v>
      </c>
      <c r="N641" t="n">
        <v>0</v>
      </c>
      <c r="O641" t="n">
        <v>0</v>
      </c>
      <c r="P641" t="n">
        <v>0</v>
      </c>
      <c r="Q641" t="n">
        <v>0</v>
      </c>
      <c r="R641" s="2" t="inlineStr"/>
    </row>
    <row r="642" ht="15" customHeight="1">
      <c r="A642" t="inlineStr">
        <is>
          <t>A 29731-2025</t>
        </is>
      </c>
      <c r="B642" s="1" t="n">
        <v>45825.58252314815</v>
      </c>
      <c r="C642" s="1" t="n">
        <v>46035</v>
      </c>
      <c r="D642" t="inlineStr">
        <is>
          <t>JÄMTLANDS LÄN</t>
        </is>
      </c>
      <c r="E642" t="inlineStr">
        <is>
          <t>RAGUNDA</t>
        </is>
      </c>
      <c r="G642" t="n">
        <v>2.3</v>
      </c>
      <c r="H642" t="n">
        <v>0</v>
      </c>
      <c r="I642" t="n">
        <v>0</v>
      </c>
      <c r="J642" t="n">
        <v>0</v>
      </c>
      <c r="K642" t="n">
        <v>0</v>
      </c>
      <c r="L642" t="n">
        <v>0</v>
      </c>
      <c r="M642" t="n">
        <v>0</v>
      </c>
      <c r="N642" t="n">
        <v>0</v>
      </c>
      <c r="O642" t="n">
        <v>0</v>
      </c>
      <c r="P642" t="n">
        <v>0</v>
      </c>
      <c r="Q642" t="n">
        <v>0</v>
      </c>
      <c r="R642" s="2" t="inlineStr"/>
    </row>
    <row r="643" ht="15" customHeight="1">
      <c r="A643" t="inlineStr">
        <is>
          <t>A 50125-2025</t>
        </is>
      </c>
      <c r="B643" s="1" t="n">
        <v>45943.55262731481</v>
      </c>
      <c r="C643" s="1" t="n">
        <v>46035</v>
      </c>
      <c r="D643" t="inlineStr">
        <is>
          <t>JÄMTLANDS LÄN</t>
        </is>
      </c>
      <c r="E643" t="inlineStr">
        <is>
          <t>RAGUNDA</t>
        </is>
      </c>
      <c r="F643" t="inlineStr">
        <is>
          <t>Sveaskog</t>
        </is>
      </c>
      <c r="G643" t="n">
        <v>23.2</v>
      </c>
      <c r="H643" t="n">
        <v>0</v>
      </c>
      <c r="I643" t="n">
        <v>0</v>
      </c>
      <c r="J643" t="n">
        <v>0</v>
      </c>
      <c r="K643" t="n">
        <v>0</v>
      </c>
      <c r="L643" t="n">
        <v>0</v>
      </c>
      <c r="M643" t="n">
        <v>0</v>
      </c>
      <c r="N643" t="n">
        <v>0</v>
      </c>
      <c r="O643" t="n">
        <v>0</v>
      </c>
      <c r="P643" t="n">
        <v>0</v>
      </c>
      <c r="Q643" t="n">
        <v>0</v>
      </c>
      <c r="R643" s="2" t="inlineStr"/>
    </row>
    <row r="644" ht="15" customHeight="1">
      <c r="A644" t="inlineStr">
        <is>
          <t>A 46211-2024</t>
        </is>
      </c>
      <c r="B644" s="1" t="n">
        <v>45581.55260416667</v>
      </c>
      <c r="C644" s="1" t="n">
        <v>46035</v>
      </c>
      <c r="D644" t="inlineStr">
        <is>
          <t>JÄMTLANDS LÄN</t>
        </is>
      </c>
      <c r="E644" t="inlineStr">
        <is>
          <t>RAGUNDA</t>
        </is>
      </c>
      <c r="G644" t="n">
        <v>7.3</v>
      </c>
      <c r="H644" t="n">
        <v>0</v>
      </c>
      <c r="I644" t="n">
        <v>0</v>
      </c>
      <c r="J644" t="n">
        <v>0</v>
      </c>
      <c r="K644" t="n">
        <v>0</v>
      </c>
      <c r="L644" t="n">
        <v>0</v>
      </c>
      <c r="M644" t="n">
        <v>0</v>
      </c>
      <c r="N644" t="n">
        <v>0</v>
      </c>
      <c r="O644" t="n">
        <v>0</v>
      </c>
      <c r="P644" t="n">
        <v>0</v>
      </c>
      <c r="Q644" t="n">
        <v>0</v>
      </c>
      <c r="R644" s="2" t="inlineStr"/>
    </row>
    <row r="645" ht="15" customHeight="1">
      <c r="A645" t="inlineStr">
        <is>
          <t>A 50080-2025</t>
        </is>
      </c>
      <c r="B645" s="1" t="n">
        <v>45943.469375</v>
      </c>
      <c r="C645" s="1" t="n">
        <v>46035</v>
      </c>
      <c r="D645" t="inlineStr">
        <is>
          <t>JÄMTLANDS LÄN</t>
        </is>
      </c>
      <c r="E645" t="inlineStr">
        <is>
          <t>RAGUNDA</t>
        </is>
      </c>
      <c r="F645" t="inlineStr">
        <is>
          <t>Naturvårdsverket</t>
        </is>
      </c>
      <c r="G645" t="n">
        <v>6.1</v>
      </c>
      <c r="H645" t="n">
        <v>0</v>
      </c>
      <c r="I645" t="n">
        <v>0</v>
      </c>
      <c r="J645" t="n">
        <v>0</v>
      </c>
      <c r="K645" t="n">
        <v>0</v>
      </c>
      <c r="L645" t="n">
        <v>0</v>
      </c>
      <c r="M645" t="n">
        <v>0</v>
      </c>
      <c r="N645" t="n">
        <v>0</v>
      </c>
      <c r="O645" t="n">
        <v>0</v>
      </c>
      <c r="P645" t="n">
        <v>0</v>
      </c>
      <c r="Q645" t="n">
        <v>0</v>
      </c>
      <c r="R645" s="2" t="inlineStr"/>
    </row>
    <row r="646" ht="15" customHeight="1">
      <c r="A646" t="inlineStr">
        <is>
          <t>A 30088-2025</t>
        </is>
      </c>
      <c r="B646" s="1" t="n">
        <v>45826.65759259259</v>
      </c>
      <c r="C646" s="1" t="n">
        <v>46035</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8679-2023</t>
        </is>
      </c>
      <c r="B647" s="1" t="n">
        <v>44977.98670138889</v>
      </c>
      <c r="C647" s="1" t="n">
        <v>46035</v>
      </c>
      <c r="D647" t="inlineStr">
        <is>
          <t>JÄMTLANDS LÄN</t>
        </is>
      </c>
      <c r="E647" t="inlineStr">
        <is>
          <t>RAGUNDA</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50055-2025</t>
        </is>
      </c>
      <c r="B648" s="1" t="n">
        <v>45943.43287037037</v>
      </c>
      <c r="C648" s="1" t="n">
        <v>46035</v>
      </c>
      <c r="D648" t="inlineStr">
        <is>
          <t>JÄMTLANDS LÄN</t>
        </is>
      </c>
      <c r="E648" t="inlineStr">
        <is>
          <t>RAGUNDA</t>
        </is>
      </c>
      <c r="G648" t="n">
        <v>17.6</v>
      </c>
      <c r="H648" t="n">
        <v>0</v>
      </c>
      <c r="I648" t="n">
        <v>0</v>
      </c>
      <c r="J648" t="n">
        <v>0</v>
      </c>
      <c r="K648" t="n">
        <v>0</v>
      </c>
      <c r="L648" t="n">
        <v>0</v>
      </c>
      <c r="M648" t="n">
        <v>0</v>
      </c>
      <c r="N648" t="n">
        <v>0</v>
      </c>
      <c r="O648" t="n">
        <v>0</v>
      </c>
      <c r="P648" t="n">
        <v>0</v>
      </c>
      <c r="Q648" t="n">
        <v>0</v>
      </c>
      <c r="R648" s="2" t="inlineStr"/>
    </row>
    <row r="649" ht="15" customHeight="1">
      <c r="A649" t="inlineStr">
        <is>
          <t>A 14158-2024</t>
        </is>
      </c>
      <c r="B649" s="1" t="n">
        <v>45392</v>
      </c>
      <c r="C649" s="1" t="n">
        <v>46035</v>
      </c>
      <c r="D649" t="inlineStr">
        <is>
          <t>JÄMTLANDS LÄN</t>
        </is>
      </c>
      <c r="E649" t="inlineStr">
        <is>
          <t>RAGUNDA</t>
        </is>
      </c>
      <c r="G649" t="n">
        <v>0.7</v>
      </c>
      <c r="H649" t="n">
        <v>0</v>
      </c>
      <c r="I649" t="n">
        <v>0</v>
      </c>
      <c r="J649" t="n">
        <v>0</v>
      </c>
      <c r="K649" t="n">
        <v>0</v>
      </c>
      <c r="L649" t="n">
        <v>0</v>
      </c>
      <c r="M649" t="n">
        <v>0</v>
      </c>
      <c r="N649" t="n">
        <v>0</v>
      </c>
      <c r="O649" t="n">
        <v>0</v>
      </c>
      <c r="P649" t="n">
        <v>0</v>
      </c>
      <c r="Q649" t="n">
        <v>0</v>
      </c>
      <c r="R649" s="2" t="inlineStr"/>
    </row>
    <row r="650" ht="15" customHeight="1">
      <c r="A650" t="inlineStr">
        <is>
          <t>A 55649-2023</t>
        </is>
      </c>
      <c r="B650" s="1" t="n">
        <v>45238</v>
      </c>
      <c r="C650" s="1" t="n">
        <v>46035</v>
      </c>
      <c r="D650" t="inlineStr">
        <is>
          <t>JÄMTLANDS LÄN</t>
        </is>
      </c>
      <c r="E650" t="inlineStr">
        <is>
          <t>RAGUNDA</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31463-2024</t>
        </is>
      </c>
      <c r="B651" s="1" t="n">
        <v>45505</v>
      </c>
      <c r="C651" s="1" t="n">
        <v>46035</v>
      </c>
      <c r="D651" t="inlineStr">
        <is>
          <t>JÄMTLANDS LÄN</t>
        </is>
      </c>
      <c r="E651" t="inlineStr">
        <is>
          <t>RAGUNDA</t>
        </is>
      </c>
      <c r="F651" t="inlineStr">
        <is>
          <t>SCA</t>
        </is>
      </c>
      <c r="G651" t="n">
        <v>20.3</v>
      </c>
      <c r="H651" t="n">
        <v>0</v>
      </c>
      <c r="I651" t="n">
        <v>0</v>
      </c>
      <c r="J651" t="n">
        <v>0</v>
      </c>
      <c r="K651" t="n">
        <v>0</v>
      </c>
      <c r="L651" t="n">
        <v>0</v>
      </c>
      <c r="M651" t="n">
        <v>0</v>
      </c>
      <c r="N651" t="n">
        <v>0</v>
      </c>
      <c r="O651" t="n">
        <v>0</v>
      </c>
      <c r="P651" t="n">
        <v>0</v>
      </c>
      <c r="Q651" t="n">
        <v>0</v>
      </c>
      <c r="R651" s="2" t="inlineStr"/>
    </row>
    <row r="652" ht="15" customHeight="1">
      <c r="A652" t="inlineStr">
        <is>
          <t>A 53769-2023</t>
        </is>
      </c>
      <c r="B652" s="1" t="n">
        <v>45230</v>
      </c>
      <c r="C652" s="1" t="n">
        <v>46035</v>
      </c>
      <c r="D652" t="inlineStr">
        <is>
          <t>JÄMTLANDS LÄN</t>
        </is>
      </c>
      <c r="E652" t="inlineStr">
        <is>
          <t>RAGUNDA</t>
        </is>
      </c>
      <c r="F652" t="inlineStr">
        <is>
          <t>SCA</t>
        </is>
      </c>
      <c r="G652" t="n">
        <v>11.6</v>
      </c>
      <c r="H652" t="n">
        <v>0</v>
      </c>
      <c r="I652" t="n">
        <v>0</v>
      </c>
      <c r="J652" t="n">
        <v>0</v>
      </c>
      <c r="K652" t="n">
        <v>0</v>
      </c>
      <c r="L652" t="n">
        <v>0</v>
      </c>
      <c r="M652" t="n">
        <v>0</v>
      </c>
      <c r="N652" t="n">
        <v>0</v>
      </c>
      <c r="O652" t="n">
        <v>0</v>
      </c>
      <c r="P652" t="n">
        <v>0</v>
      </c>
      <c r="Q652" t="n">
        <v>0</v>
      </c>
      <c r="R652" s="2" t="inlineStr"/>
    </row>
    <row r="653" ht="15" customHeight="1">
      <c r="A653" t="inlineStr">
        <is>
          <t>A 33650-2025</t>
        </is>
      </c>
      <c r="B653" s="1" t="n">
        <v>45841</v>
      </c>
      <c r="C653" s="1" t="n">
        <v>46035</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30348-2025</t>
        </is>
      </c>
      <c r="B654" s="1" t="n">
        <v>45827.53178240741</v>
      </c>
      <c r="C654" s="1" t="n">
        <v>46035</v>
      </c>
      <c r="D654" t="inlineStr">
        <is>
          <t>JÄMTLANDS LÄN</t>
        </is>
      </c>
      <c r="E654" t="inlineStr">
        <is>
          <t>RAGUNDA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30434-2025</t>
        </is>
      </c>
      <c r="B655" s="1" t="n">
        <v>45827.63582175926</v>
      </c>
      <c r="C655" s="1" t="n">
        <v>46035</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50504-2025</t>
        </is>
      </c>
      <c r="B656" s="1" t="n">
        <v>45945.4284837963</v>
      </c>
      <c r="C656" s="1" t="n">
        <v>46035</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40919-2024</t>
        </is>
      </c>
      <c r="B657" s="1" t="n">
        <v>45558.63575231482</v>
      </c>
      <c r="C657" s="1" t="n">
        <v>46035</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30883-2025</t>
        </is>
      </c>
      <c r="B658" s="1" t="n">
        <v>45832.34552083333</v>
      </c>
      <c r="C658" s="1" t="n">
        <v>46035</v>
      </c>
      <c r="D658" t="inlineStr">
        <is>
          <t>JÄMTLANDS LÄN</t>
        </is>
      </c>
      <c r="E658" t="inlineStr">
        <is>
          <t>RAGUNDA</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50473-2025</t>
        </is>
      </c>
      <c r="B659" s="1" t="n">
        <v>45945.36520833334</v>
      </c>
      <c r="C659" s="1" t="n">
        <v>46035</v>
      </c>
      <c r="D659" t="inlineStr">
        <is>
          <t>JÄMTLANDS LÄN</t>
        </is>
      </c>
      <c r="E659" t="inlineStr">
        <is>
          <t>RAGUNDA</t>
        </is>
      </c>
      <c r="F659" t="inlineStr">
        <is>
          <t>SCA</t>
        </is>
      </c>
      <c r="G659" t="n">
        <v>11.2</v>
      </c>
      <c r="H659" t="n">
        <v>0</v>
      </c>
      <c r="I659" t="n">
        <v>0</v>
      </c>
      <c r="J659" t="n">
        <v>0</v>
      </c>
      <c r="K659" t="n">
        <v>0</v>
      </c>
      <c r="L659" t="n">
        <v>0</v>
      </c>
      <c r="M659" t="n">
        <v>0</v>
      </c>
      <c r="N659" t="n">
        <v>0</v>
      </c>
      <c r="O659" t="n">
        <v>0</v>
      </c>
      <c r="P659" t="n">
        <v>0</v>
      </c>
      <c r="Q659" t="n">
        <v>0</v>
      </c>
      <c r="R659" s="2" t="inlineStr"/>
    </row>
    <row r="660" ht="15" customHeight="1">
      <c r="A660" t="inlineStr">
        <is>
          <t>A 15024-2022</t>
        </is>
      </c>
      <c r="B660" s="1" t="n">
        <v>44657</v>
      </c>
      <c r="C660" s="1" t="n">
        <v>46035</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50503-2025</t>
        </is>
      </c>
      <c r="B661" s="1" t="n">
        <v>45945.42746527777</v>
      </c>
      <c r="C661" s="1" t="n">
        <v>46035</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48192-2024</t>
        </is>
      </c>
      <c r="B662" s="1" t="n">
        <v>45590</v>
      </c>
      <c r="C662" s="1" t="n">
        <v>46035</v>
      </c>
      <c r="D662" t="inlineStr">
        <is>
          <t>JÄMTLANDS LÄN</t>
        </is>
      </c>
      <c r="E662" t="inlineStr">
        <is>
          <t>RAGUNDA</t>
        </is>
      </c>
      <c r="G662" t="n">
        <v>2.3</v>
      </c>
      <c r="H662" t="n">
        <v>0</v>
      </c>
      <c r="I662" t="n">
        <v>0</v>
      </c>
      <c r="J662" t="n">
        <v>0</v>
      </c>
      <c r="K662" t="n">
        <v>0</v>
      </c>
      <c r="L662" t="n">
        <v>0</v>
      </c>
      <c r="M662" t="n">
        <v>0</v>
      </c>
      <c r="N662" t="n">
        <v>0</v>
      </c>
      <c r="O662" t="n">
        <v>0</v>
      </c>
      <c r="P662" t="n">
        <v>0</v>
      </c>
      <c r="Q662" t="n">
        <v>0</v>
      </c>
      <c r="R662" s="2" t="inlineStr"/>
    </row>
    <row r="663" ht="15" customHeight="1">
      <c r="A663" t="inlineStr">
        <is>
          <t>A 12768-2022</t>
        </is>
      </c>
      <c r="B663" s="1" t="n">
        <v>44641</v>
      </c>
      <c r="C663" s="1" t="n">
        <v>46035</v>
      </c>
      <c r="D663" t="inlineStr">
        <is>
          <t>JÄMTLANDS LÄN</t>
        </is>
      </c>
      <c r="E663" t="inlineStr">
        <is>
          <t>RAGUNDA</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12773-2022</t>
        </is>
      </c>
      <c r="B664" s="1" t="n">
        <v>44641</v>
      </c>
      <c r="C664" s="1" t="n">
        <v>46035</v>
      </c>
      <c r="D664" t="inlineStr">
        <is>
          <t>JÄMTLANDS LÄN</t>
        </is>
      </c>
      <c r="E664" t="inlineStr">
        <is>
          <t>RAGUNDA</t>
        </is>
      </c>
      <c r="F664" t="inlineStr">
        <is>
          <t>SCA</t>
        </is>
      </c>
      <c r="G664" t="n">
        <v>14.7</v>
      </c>
      <c r="H664" t="n">
        <v>0</v>
      </c>
      <c r="I664" t="n">
        <v>0</v>
      </c>
      <c r="J664" t="n">
        <v>0</v>
      </c>
      <c r="K664" t="n">
        <v>0</v>
      </c>
      <c r="L664" t="n">
        <v>0</v>
      </c>
      <c r="M664" t="n">
        <v>0</v>
      </c>
      <c r="N664" t="n">
        <v>0</v>
      </c>
      <c r="O664" t="n">
        <v>0</v>
      </c>
      <c r="P664" t="n">
        <v>0</v>
      </c>
      <c r="Q664" t="n">
        <v>0</v>
      </c>
      <c r="R664" s="2" t="inlineStr"/>
    </row>
    <row r="665" ht="15" customHeight="1">
      <c r="A665" t="inlineStr">
        <is>
          <t>A 30880-2025</t>
        </is>
      </c>
      <c r="B665" s="1" t="n">
        <v>45832.34524305556</v>
      </c>
      <c r="C665" s="1" t="n">
        <v>46035</v>
      </c>
      <c r="D665" t="inlineStr">
        <is>
          <t>JÄMTLANDS LÄN</t>
        </is>
      </c>
      <c r="E665" t="inlineStr">
        <is>
          <t>RAGUNDA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30887-2025</t>
        </is>
      </c>
      <c r="B666" s="1" t="n">
        <v>45832.3459375</v>
      </c>
      <c r="C666" s="1" t="n">
        <v>46035</v>
      </c>
      <c r="D666" t="inlineStr">
        <is>
          <t>JÄMTLANDS LÄN</t>
        </is>
      </c>
      <c r="E666" t="inlineStr">
        <is>
          <t>RAGUNDA</t>
        </is>
      </c>
      <c r="F666" t="inlineStr">
        <is>
          <t>SCA</t>
        </is>
      </c>
      <c r="G666" t="n">
        <v>10.1</v>
      </c>
      <c r="H666" t="n">
        <v>0</v>
      </c>
      <c r="I666" t="n">
        <v>0</v>
      </c>
      <c r="J666" t="n">
        <v>0</v>
      </c>
      <c r="K666" t="n">
        <v>0</v>
      </c>
      <c r="L666" t="n">
        <v>0</v>
      </c>
      <c r="M666" t="n">
        <v>0</v>
      </c>
      <c r="N666" t="n">
        <v>0</v>
      </c>
      <c r="O666" t="n">
        <v>0</v>
      </c>
      <c r="P666" t="n">
        <v>0</v>
      </c>
      <c r="Q666" t="n">
        <v>0</v>
      </c>
      <c r="R666" s="2" t="inlineStr"/>
    </row>
    <row r="667" ht="15" customHeight="1">
      <c r="A667" t="inlineStr">
        <is>
          <t>A 50719-2025</t>
        </is>
      </c>
      <c r="B667" s="1" t="n">
        <v>45946.34642361111</v>
      </c>
      <c r="C667" s="1" t="n">
        <v>46035</v>
      </c>
      <c r="D667" t="inlineStr">
        <is>
          <t>JÄMTLANDS LÄN</t>
        </is>
      </c>
      <c r="E667" t="inlineStr">
        <is>
          <t>RAGUNDA</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50711-2025</t>
        </is>
      </c>
      <c r="B668" s="1" t="n">
        <v>45946.34431712963</v>
      </c>
      <c r="C668" s="1" t="n">
        <v>46035</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50716-2025</t>
        </is>
      </c>
      <c r="B669" s="1" t="n">
        <v>45946.34572916666</v>
      </c>
      <c r="C669" s="1" t="n">
        <v>46035</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51395-2025</t>
        </is>
      </c>
      <c r="B670" s="1" t="n">
        <v>45950.46989583333</v>
      </c>
      <c r="C670" s="1" t="n">
        <v>46035</v>
      </c>
      <c r="D670" t="inlineStr">
        <is>
          <t>JÄMTLANDS LÄN</t>
        </is>
      </c>
      <c r="E670" t="inlineStr">
        <is>
          <t>RAGUNDA</t>
        </is>
      </c>
      <c r="F670" t="inlineStr">
        <is>
          <t>SCA</t>
        </is>
      </c>
      <c r="G670" t="n">
        <v>30.7</v>
      </c>
      <c r="H670" t="n">
        <v>0</v>
      </c>
      <c r="I670" t="n">
        <v>0</v>
      </c>
      <c r="J670" t="n">
        <v>0</v>
      </c>
      <c r="K670" t="n">
        <v>0</v>
      </c>
      <c r="L670" t="n">
        <v>0</v>
      </c>
      <c r="M670" t="n">
        <v>0</v>
      </c>
      <c r="N670" t="n">
        <v>0</v>
      </c>
      <c r="O670" t="n">
        <v>0</v>
      </c>
      <c r="P670" t="n">
        <v>0</v>
      </c>
      <c r="Q670" t="n">
        <v>0</v>
      </c>
      <c r="R670" s="2" t="inlineStr"/>
    </row>
    <row r="671" ht="15" customHeight="1">
      <c r="A671" t="inlineStr">
        <is>
          <t>A 50985-2025</t>
        </is>
      </c>
      <c r="B671" s="1" t="n">
        <v>45947.34506944445</v>
      </c>
      <c r="C671" s="1" t="n">
        <v>46035</v>
      </c>
      <c r="D671" t="inlineStr">
        <is>
          <t>JÄMTLANDS LÄN</t>
        </is>
      </c>
      <c r="E671" t="inlineStr">
        <is>
          <t>RAGUNDA</t>
        </is>
      </c>
      <c r="F671" t="inlineStr">
        <is>
          <t>SCA</t>
        </is>
      </c>
      <c r="G671" t="n">
        <v>8</v>
      </c>
      <c r="H671" t="n">
        <v>0</v>
      </c>
      <c r="I671" t="n">
        <v>0</v>
      </c>
      <c r="J671" t="n">
        <v>0</v>
      </c>
      <c r="K671" t="n">
        <v>0</v>
      </c>
      <c r="L671" t="n">
        <v>0</v>
      </c>
      <c r="M671" t="n">
        <v>0</v>
      </c>
      <c r="N671" t="n">
        <v>0</v>
      </c>
      <c r="O671" t="n">
        <v>0</v>
      </c>
      <c r="P671" t="n">
        <v>0</v>
      </c>
      <c r="Q671" t="n">
        <v>0</v>
      </c>
      <c r="R671" s="2" t="inlineStr"/>
    </row>
    <row r="672" ht="15" customHeight="1">
      <c r="A672" t="inlineStr">
        <is>
          <t>A 18375-2022</t>
        </is>
      </c>
      <c r="B672" s="1" t="n">
        <v>44685</v>
      </c>
      <c r="C672" s="1" t="n">
        <v>46035</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51034-2025</t>
        </is>
      </c>
      <c r="B673" s="1" t="n">
        <v>45947.40670138889</v>
      </c>
      <c r="C673" s="1" t="n">
        <v>46035</v>
      </c>
      <c r="D673" t="inlineStr">
        <is>
          <t>JÄMTLANDS LÄN</t>
        </is>
      </c>
      <c r="E673" t="inlineStr">
        <is>
          <t>RAGUNDA</t>
        </is>
      </c>
      <c r="F673" t="inlineStr">
        <is>
          <t>SCA</t>
        </is>
      </c>
      <c r="G673" t="n">
        <v>44.1</v>
      </c>
      <c r="H673" t="n">
        <v>0</v>
      </c>
      <c r="I673" t="n">
        <v>0</v>
      </c>
      <c r="J673" t="n">
        <v>0</v>
      </c>
      <c r="K673" t="n">
        <v>0</v>
      </c>
      <c r="L673" t="n">
        <v>0</v>
      </c>
      <c r="M673" t="n">
        <v>0</v>
      </c>
      <c r="N673" t="n">
        <v>0</v>
      </c>
      <c r="O673" t="n">
        <v>0</v>
      </c>
      <c r="P673" t="n">
        <v>0</v>
      </c>
      <c r="Q673" t="n">
        <v>0</v>
      </c>
      <c r="R673" s="2" t="inlineStr"/>
    </row>
    <row r="674" ht="15" customHeight="1">
      <c r="A674" t="inlineStr">
        <is>
          <t>A 55536-2024</t>
        </is>
      </c>
      <c r="B674" s="1" t="n">
        <v>45622</v>
      </c>
      <c r="C674" s="1" t="n">
        <v>46035</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31882-2025</t>
        </is>
      </c>
      <c r="B675" s="1" t="n">
        <v>45834.65662037037</v>
      </c>
      <c r="C675" s="1" t="n">
        <v>46035</v>
      </c>
      <c r="D675" t="inlineStr">
        <is>
          <t>JÄMTLANDS LÄN</t>
        </is>
      </c>
      <c r="E675" t="inlineStr">
        <is>
          <t>RAGUNDA</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2411-2023</t>
        </is>
      </c>
      <c r="B676" s="1" t="n">
        <v>44942</v>
      </c>
      <c r="C676" s="1" t="n">
        <v>46035</v>
      </c>
      <c r="D676" t="inlineStr">
        <is>
          <t>JÄMTLANDS LÄN</t>
        </is>
      </c>
      <c r="E676" t="inlineStr">
        <is>
          <t>RAGUNDA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11834-2023</t>
        </is>
      </c>
      <c r="B677" s="1" t="n">
        <v>44994.94296296296</v>
      </c>
      <c r="C677" s="1" t="n">
        <v>46035</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51019-2025</t>
        </is>
      </c>
      <c r="B678" s="1" t="n">
        <v>45947.38623842593</v>
      </c>
      <c r="C678" s="1" t="n">
        <v>46035</v>
      </c>
      <c r="D678" t="inlineStr">
        <is>
          <t>JÄMTLANDS LÄN</t>
        </is>
      </c>
      <c r="E678" t="inlineStr">
        <is>
          <t>RAGUNDA</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53264-2024</t>
        </is>
      </c>
      <c r="B679" s="1" t="n">
        <v>45614.34545138889</v>
      </c>
      <c r="C679" s="1" t="n">
        <v>46035</v>
      </c>
      <c r="D679" t="inlineStr">
        <is>
          <t>JÄMTLANDS LÄN</t>
        </is>
      </c>
      <c r="E679" t="inlineStr">
        <is>
          <t>RAGUNDA</t>
        </is>
      </c>
      <c r="G679" t="n">
        <v>1.4</v>
      </c>
      <c r="H679" t="n">
        <v>0</v>
      </c>
      <c r="I679" t="n">
        <v>0</v>
      </c>
      <c r="J679" t="n">
        <v>0</v>
      </c>
      <c r="K679" t="n">
        <v>0</v>
      </c>
      <c r="L679" t="n">
        <v>0</v>
      </c>
      <c r="M679" t="n">
        <v>0</v>
      </c>
      <c r="N679" t="n">
        <v>0</v>
      </c>
      <c r="O679" t="n">
        <v>0</v>
      </c>
      <c r="P679" t="n">
        <v>0</v>
      </c>
      <c r="Q679" t="n">
        <v>0</v>
      </c>
      <c r="R679" s="2" t="inlineStr"/>
    </row>
    <row r="680" ht="15" customHeight="1">
      <c r="A680" t="inlineStr">
        <is>
          <t>A 51394-2025</t>
        </is>
      </c>
      <c r="B680" s="1" t="n">
        <v>45950.46972222222</v>
      </c>
      <c r="C680" s="1" t="n">
        <v>46035</v>
      </c>
      <c r="D680" t="inlineStr">
        <is>
          <t>JÄMTLANDS LÄN</t>
        </is>
      </c>
      <c r="E680" t="inlineStr">
        <is>
          <t>RAGUNDA</t>
        </is>
      </c>
      <c r="F680" t="inlineStr">
        <is>
          <t>SCA</t>
        </is>
      </c>
      <c r="G680" t="n">
        <v>36.5</v>
      </c>
      <c r="H680" t="n">
        <v>0</v>
      </c>
      <c r="I680" t="n">
        <v>0</v>
      </c>
      <c r="J680" t="n">
        <v>0</v>
      </c>
      <c r="K680" t="n">
        <v>0</v>
      </c>
      <c r="L680" t="n">
        <v>0</v>
      </c>
      <c r="M680" t="n">
        <v>0</v>
      </c>
      <c r="N680" t="n">
        <v>0</v>
      </c>
      <c r="O680" t="n">
        <v>0</v>
      </c>
      <c r="P680" t="n">
        <v>0</v>
      </c>
      <c r="Q680" t="n">
        <v>0</v>
      </c>
      <c r="R680" s="2" t="inlineStr"/>
    </row>
    <row r="681" ht="15" customHeight="1">
      <c r="A681" t="inlineStr">
        <is>
          <t>A 50431-2024</t>
        </is>
      </c>
      <c r="B681" s="1" t="n">
        <v>45601.40686342592</v>
      </c>
      <c r="C681" s="1" t="n">
        <v>46035</v>
      </c>
      <c r="D681" t="inlineStr">
        <is>
          <t>JÄMTLANDS LÄN</t>
        </is>
      </c>
      <c r="E681" t="inlineStr">
        <is>
          <t>RAGUNDA</t>
        </is>
      </c>
      <c r="F681" t="inlineStr">
        <is>
          <t>SCA</t>
        </is>
      </c>
      <c r="G681" t="n">
        <v>8.5</v>
      </c>
      <c r="H681" t="n">
        <v>0</v>
      </c>
      <c r="I681" t="n">
        <v>0</v>
      </c>
      <c r="J681" t="n">
        <v>0</v>
      </c>
      <c r="K681" t="n">
        <v>0</v>
      </c>
      <c r="L681" t="n">
        <v>0</v>
      </c>
      <c r="M681" t="n">
        <v>0</v>
      </c>
      <c r="N681" t="n">
        <v>0</v>
      </c>
      <c r="O681" t="n">
        <v>0</v>
      </c>
      <c r="P681" t="n">
        <v>0</v>
      </c>
      <c r="Q681" t="n">
        <v>0</v>
      </c>
      <c r="R681" s="2" t="inlineStr"/>
    </row>
    <row r="682" ht="15" customHeight="1">
      <c r="A682" t="inlineStr">
        <is>
          <t>A 51484-2025</t>
        </is>
      </c>
      <c r="B682" s="1" t="n">
        <v>45950.62196759259</v>
      </c>
      <c r="C682" s="1" t="n">
        <v>46035</v>
      </c>
      <c r="D682" t="inlineStr">
        <is>
          <t>JÄMTLANDS LÄN</t>
        </is>
      </c>
      <c r="E682" t="inlineStr">
        <is>
          <t>RAGUNDA</t>
        </is>
      </c>
      <c r="F682" t="inlineStr">
        <is>
          <t>SCA</t>
        </is>
      </c>
      <c r="G682" t="n">
        <v>23.1</v>
      </c>
      <c r="H682" t="n">
        <v>0</v>
      </c>
      <c r="I682" t="n">
        <v>0</v>
      </c>
      <c r="J682" t="n">
        <v>0</v>
      </c>
      <c r="K682" t="n">
        <v>0</v>
      </c>
      <c r="L682" t="n">
        <v>0</v>
      </c>
      <c r="M682" t="n">
        <v>0</v>
      </c>
      <c r="N682" t="n">
        <v>0</v>
      </c>
      <c r="O682" t="n">
        <v>0</v>
      </c>
      <c r="P682" t="n">
        <v>0</v>
      </c>
      <c r="Q682" t="n">
        <v>0</v>
      </c>
      <c r="R682" s="2" t="inlineStr"/>
    </row>
    <row r="683" ht="15" customHeight="1">
      <c r="A683" t="inlineStr">
        <is>
          <t>A 51491-2025</t>
        </is>
      </c>
      <c r="B683" s="1" t="n">
        <v>45950.63362268519</v>
      </c>
      <c r="C683" s="1" t="n">
        <v>46035</v>
      </c>
      <c r="D683" t="inlineStr">
        <is>
          <t>JÄMTLANDS LÄN</t>
        </is>
      </c>
      <c r="E683" t="inlineStr">
        <is>
          <t>RAGUNDA</t>
        </is>
      </c>
      <c r="G683" t="n">
        <v>1.1</v>
      </c>
      <c r="H683" t="n">
        <v>0</v>
      </c>
      <c r="I683" t="n">
        <v>0</v>
      </c>
      <c r="J683" t="n">
        <v>0</v>
      </c>
      <c r="K683" t="n">
        <v>0</v>
      </c>
      <c r="L683" t="n">
        <v>0</v>
      </c>
      <c r="M683" t="n">
        <v>0</v>
      </c>
      <c r="N683" t="n">
        <v>0</v>
      </c>
      <c r="O683" t="n">
        <v>0</v>
      </c>
      <c r="P683" t="n">
        <v>0</v>
      </c>
      <c r="Q683" t="n">
        <v>0</v>
      </c>
      <c r="R683" s="2" t="inlineStr"/>
    </row>
    <row r="684" ht="15" customHeight="1">
      <c r="A684" t="inlineStr">
        <is>
          <t>A 16334-2025</t>
        </is>
      </c>
      <c r="B684" s="1" t="n">
        <v>45751.36490740741</v>
      </c>
      <c r="C684" s="1" t="n">
        <v>46035</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32762-2025</t>
        </is>
      </c>
      <c r="B685" s="1" t="n">
        <v>45838</v>
      </c>
      <c r="C685" s="1" t="n">
        <v>46035</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32306-2025</t>
        </is>
      </c>
      <c r="B686" s="1" t="n">
        <v>45835.72046296296</v>
      </c>
      <c r="C686" s="1" t="n">
        <v>46035</v>
      </c>
      <c r="D686" t="inlineStr">
        <is>
          <t>JÄMTLANDS LÄN</t>
        </is>
      </c>
      <c r="E686" t="inlineStr">
        <is>
          <t>RAGUNDA</t>
        </is>
      </c>
      <c r="G686" t="n">
        <v>10.2</v>
      </c>
      <c r="H686" t="n">
        <v>0</v>
      </c>
      <c r="I686" t="n">
        <v>0</v>
      </c>
      <c r="J686" t="n">
        <v>0</v>
      </c>
      <c r="K686" t="n">
        <v>0</v>
      </c>
      <c r="L686" t="n">
        <v>0</v>
      </c>
      <c r="M686" t="n">
        <v>0</v>
      </c>
      <c r="N686" t="n">
        <v>0</v>
      </c>
      <c r="O686" t="n">
        <v>0</v>
      </c>
      <c r="P686" t="n">
        <v>0</v>
      </c>
      <c r="Q686" t="n">
        <v>0</v>
      </c>
      <c r="R686" s="2" t="inlineStr"/>
    </row>
    <row r="687" ht="15" customHeight="1">
      <c r="A687" t="inlineStr">
        <is>
          <t>A 7284-2024</t>
        </is>
      </c>
      <c r="B687" s="1" t="n">
        <v>45344.92865740741</v>
      </c>
      <c r="C687" s="1" t="n">
        <v>46035</v>
      </c>
      <c r="D687" t="inlineStr">
        <is>
          <t>JÄMTLANDS LÄN</t>
        </is>
      </c>
      <c r="E687" t="inlineStr">
        <is>
          <t>RAGUNDA</t>
        </is>
      </c>
      <c r="G687" t="n">
        <v>2.1</v>
      </c>
      <c r="H687" t="n">
        <v>0</v>
      </c>
      <c r="I687" t="n">
        <v>0</v>
      </c>
      <c r="J687" t="n">
        <v>0</v>
      </c>
      <c r="K687" t="n">
        <v>0</v>
      </c>
      <c r="L687" t="n">
        <v>0</v>
      </c>
      <c r="M687" t="n">
        <v>0</v>
      </c>
      <c r="N687" t="n">
        <v>0</v>
      </c>
      <c r="O687" t="n">
        <v>0</v>
      </c>
      <c r="P687" t="n">
        <v>0</v>
      </c>
      <c r="Q687" t="n">
        <v>0</v>
      </c>
      <c r="R687" s="2" t="inlineStr"/>
    </row>
    <row r="688" ht="15" customHeight="1">
      <c r="A688" t="inlineStr">
        <is>
          <t>A 7285-2024</t>
        </is>
      </c>
      <c r="B688" s="1" t="n">
        <v>45344.92873842592</v>
      </c>
      <c r="C688" s="1" t="n">
        <v>46035</v>
      </c>
      <c r="D688" t="inlineStr">
        <is>
          <t>JÄMTLANDS LÄN</t>
        </is>
      </c>
      <c r="E688" t="inlineStr">
        <is>
          <t>RAGUNDA</t>
        </is>
      </c>
      <c r="G688" t="n">
        <v>0.5</v>
      </c>
      <c r="H688" t="n">
        <v>0</v>
      </c>
      <c r="I688" t="n">
        <v>0</v>
      </c>
      <c r="J688" t="n">
        <v>0</v>
      </c>
      <c r="K688" t="n">
        <v>0</v>
      </c>
      <c r="L688" t="n">
        <v>0</v>
      </c>
      <c r="M688" t="n">
        <v>0</v>
      </c>
      <c r="N688" t="n">
        <v>0</v>
      </c>
      <c r="O688" t="n">
        <v>0</v>
      </c>
      <c r="P688" t="n">
        <v>0</v>
      </c>
      <c r="Q688" t="n">
        <v>0</v>
      </c>
      <c r="R688" s="2" t="inlineStr"/>
    </row>
    <row r="689" ht="15" customHeight="1">
      <c r="A689" t="inlineStr">
        <is>
          <t>A 32757-2025</t>
        </is>
      </c>
      <c r="B689" s="1" t="n">
        <v>45838</v>
      </c>
      <c r="C689" s="1" t="n">
        <v>46035</v>
      </c>
      <c r="D689" t="inlineStr">
        <is>
          <t>JÄMTLANDS LÄN</t>
        </is>
      </c>
      <c r="E689" t="inlineStr">
        <is>
          <t>RAGUNDA</t>
        </is>
      </c>
      <c r="G689" t="n">
        <v>4.5</v>
      </c>
      <c r="H689" t="n">
        <v>0</v>
      </c>
      <c r="I689" t="n">
        <v>0</v>
      </c>
      <c r="J689" t="n">
        <v>0</v>
      </c>
      <c r="K689" t="n">
        <v>0</v>
      </c>
      <c r="L689" t="n">
        <v>0</v>
      </c>
      <c r="M689" t="n">
        <v>0</v>
      </c>
      <c r="N689" t="n">
        <v>0</v>
      </c>
      <c r="O689" t="n">
        <v>0</v>
      </c>
      <c r="P689" t="n">
        <v>0</v>
      </c>
      <c r="Q689" t="n">
        <v>0</v>
      </c>
      <c r="R689" s="2" t="inlineStr"/>
    </row>
    <row r="690" ht="15" customHeight="1">
      <c r="A690" t="inlineStr">
        <is>
          <t>A 32660-2025</t>
        </is>
      </c>
      <c r="B690" s="1" t="n">
        <v>45838.67887731481</v>
      </c>
      <c r="C690" s="1" t="n">
        <v>46035</v>
      </c>
      <c r="D690" t="inlineStr">
        <is>
          <t>JÄMTLANDS LÄN</t>
        </is>
      </c>
      <c r="E690" t="inlineStr">
        <is>
          <t>RAGUNDA</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2242-2024</t>
        </is>
      </c>
      <c r="B691" s="1" t="n">
        <v>45309</v>
      </c>
      <c r="C691" s="1" t="n">
        <v>46035</v>
      </c>
      <c r="D691" t="inlineStr">
        <is>
          <t>JÄMTLANDS LÄN</t>
        </is>
      </c>
      <c r="E691" t="inlineStr">
        <is>
          <t>RAGUNDA</t>
        </is>
      </c>
      <c r="G691" t="n">
        <v>0.9</v>
      </c>
      <c r="H691" t="n">
        <v>0</v>
      </c>
      <c r="I691" t="n">
        <v>0</v>
      </c>
      <c r="J691" t="n">
        <v>0</v>
      </c>
      <c r="K691" t="n">
        <v>0</v>
      </c>
      <c r="L691" t="n">
        <v>0</v>
      </c>
      <c r="M691" t="n">
        <v>0</v>
      </c>
      <c r="N691" t="n">
        <v>0</v>
      </c>
      <c r="O691" t="n">
        <v>0</v>
      </c>
      <c r="P691" t="n">
        <v>0</v>
      </c>
      <c r="Q691" t="n">
        <v>0</v>
      </c>
      <c r="R691" s="2" t="inlineStr"/>
    </row>
    <row r="692" ht="15" customHeight="1">
      <c r="A692" t="inlineStr">
        <is>
          <t>A 2248-2024</t>
        </is>
      </c>
      <c r="B692" s="1" t="n">
        <v>45309</v>
      </c>
      <c r="C692" s="1" t="n">
        <v>46035</v>
      </c>
      <c r="D692" t="inlineStr">
        <is>
          <t>JÄMTLANDS LÄN</t>
        </is>
      </c>
      <c r="E692" t="inlineStr">
        <is>
          <t>RAGUNDA</t>
        </is>
      </c>
      <c r="G692" t="n">
        <v>4.2</v>
      </c>
      <c r="H692" t="n">
        <v>0</v>
      </c>
      <c r="I692" t="n">
        <v>0</v>
      </c>
      <c r="J692" t="n">
        <v>0</v>
      </c>
      <c r="K692" t="n">
        <v>0</v>
      </c>
      <c r="L692" t="n">
        <v>0</v>
      </c>
      <c r="M692" t="n">
        <v>0</v>
      </c>
      <c r="N692" t="n">
        <v>0</v>
      </c>
      <c r="O692" t="n">
        <v>0</v>
      </c>
      <c r="P692" t="n">
        <v>0</v>
      </c>
      <c r="Q692" t="n">
        <v>0</v>
      </c>
      <c r="R692" s="2" t="inlineStr"/>
    </row>
    <row r="693" ht="15" customHeight="1">
      <c r="A693" t="inlineStr">
        <is>
          <t>A 5958-2021</t>
        </is>
      </c>
      <c r="B693" s="1" t="n">
        <v>44231</v>
      </c>
      <c r="C693" s="1" t="n">
        <v>46035</v>
      </c>
      <c r="D693" t="inlineStr">
        <is>
          <t>JÄMTLANDS LÄN</t>
        </is>
      </c>
      <c r="E693" t="inlineStr">
        <is>
          <t>RAGUNDA</t>
        </is>
      </c>
      <c r="G693" t="n">
        <v>3.1</v>
      </c>
      <c r="H693" t="n">
        <v>0</v>
      </c>
      <c r="I693" t="n">
        <v>0</v>
      </c>
      <c r="J693" t="n">
        <v>0</v>
      </c>
      <c r="K693" t="n">
        <v>0</v>
      </c>
      <c r="L693" t="n">
        <v>0</v>
      </c>
      <c r="M693" t="n">
        <v>0</v>
      </c>
      <c r="N693" t="n">
        <v>0</v>
      </c>
      <c r="O693" t="n">
        <v>0</v>
      </c>
      <c r="P693" t="n">
        <v>0</v>
      </c>
      <c r="Q693" t="n">
        <v>0</v>
      </c>
      <c r="R693" s="2" t="inlineStr"/>
    </row>
    <row r="694" ht="15" customHeight="1">
      <c r="A694" t="inlineStr">
        <is>
          <t>A 32527-2025</t>
        </is>
      </c>
      <c r="B694" s="1" t="n">
        <v>45838.48996527777</v>
      </c>
      <c r="C694" s="1" t="n">
        <v>46035</v>
      </c>
      <c r="D694" t="inlineStr">
        <is>
          <t>JÄMTLANDS LÄN</t>
        </is>
      </c>
      <c r="E694" t="inlineStr">
        <is>
          <t>RAGUNDA</t>
        </is>
      </c>
      <c r="G694" t="n">
        <v>5</v>
      </c>
      <c r="H694" t="n">
        <v>0</v>
      </c>
      <c r="I694" t="n">
        <v>0</v>
      </c>
      <c r="J694" t="n">
        <v>0</v>
      </c>
      <c r="K694" t="n">
        <v>0</v>
      </c>
      <c r="L694" t="n">
        <v>0</v>
      </c>
      <c r="M694" t="n">
        <v>0</v>
      </c>
      <c r="N694" t="n">
        <v>0</v>
      </c>
      <c r="O694" t="n">
        <v>0</v>
      </c>
      <c r="P694" t="n">
        <v>0</v>
      </c>
      <c r="Q694" t="n">
        <v>0</v>
      </c>
      <c r="R694" s="2" t="inlineStr"/>
    </row>
    <row r="695" ht="15" customHeight="1">
      <c r="A695" t="inlineStr">
        <is>
          <t>A 32021-2025</t>
        </is>
      </c>
      <c r="B695" s="1" t="n">
        <v>45835.40668981482</v>
      </c>
      <c r="C695" s="1" t="n">
        <v>46035</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24197-2024</t>
        </is>
      </c>
      <c r="B696" s="1" t="n">
        <v>45456.96601851852</v>
      </c>
      <c r="C696" s="1" t="n">
        <v>46035</v>
      </c>
      <c r="D696" t="inlineStr">
        <is>
          <t>JÄMTLANDS LÄN</t>
        </is>
      </c>
      <c r="E696" t="inlineStr">
        <is>
          <t>RAGUNDA</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4916-2025</t>
        </is>
      </c>
      <c r="B697" s="1" t="n">
        <v>45688.68196759259</v>
      </c>
      <c r="C697" s="1" t="n">
        <v>46035</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32655-2025</t>
        </is>
      </c>
      <c r="B698" s="1" t="n">
        <v>45838.67800925926</v>
      </c>
      <c r="C698" s="1" t="n">
        <v>46035</v>
      </c>
      <c r="D698" t="inlineStr">
        <is>
          <t>JÄMTLANDS LÄN</t>
        </is>
      </c>
      <c r="E698" t="inlineStr">
        <is>
          <t>RAGUNDA</t>
        </is>
      </c>
      <c r="G698" t="n">
        <v>2.8</v>
      </c>
      <c r="H698" t="n">
        <v>0</v>
      </c>
      <c r="I698" t="n">
        <v>0</v>
      </c>
      <c r="J698" t="n">
        <v>0</v>
      </c>
      <c r="K698" t="n">
        <v>0</v>
      </c>
      <c r="L698" t="n">
        <v>0</v>
      </c>
      <c r="M698" t="n">
        <v>0</v>
      </c>
      <c r="N698" t="n">
        <v>0</v>
      </c>
      <c r="O698" t="n">
        <v>0</v>
      </c>
      <c r="P698" t="n">
        <v>0</v>
      </c>
      <c r="Q698" t="n">
        <v>0</v>
      </c>
      <c r="R698" s="2" t="inlineStr"/>
    </row>
    <row r="699" ht="15" customHeight="1">
      <c r="A699" t="inlineStr">
        <is>
          <t>A 32151-2025</t>
        </is>
      </c>
      <c r="B699" s="1" t="n">
        <v>45835.53166666667</v>
      </c>
      <c r="C699" s="1" t="n">
        <v>46035</v>
      </c>
      <c r="D699" t="inlineStr">
        <is>
          <t>JÄMTLANDS LÄN</t>
        </is>
      </c>
      <c r="E699" t="inlineStr">
        <is>
          <t>RAGUNDA</t>
        </is>
      </c>
      <c r="F699" t="inlineStr">
        <is>
          <t>SCA</t>
        </is>
      </c>
      <c r="G699" t="n">
        <v>12.3</v>
      </c>
      <c r="H699" t="n">
        <v>0</v>
      </c>
      <c r="I699" t="n">
        <v>0</v>
      </c>
      <c r="J699" t="n">
        <v>0</v>
      </c>
      <c r="K699" t="n">
        <v>0</v>
      </c>
      <c r="L699" t="n">
        <v>0</v>
      </c>
      <c r="M699" t="n">
        <v>0</v>
      </c>
      <c r="N699" t="n">
        <v>0</v>
      </c>
      <c r="O699" t="n">
        <v>0</v>
      </c>
      <c r="P699" t="n">
        <v>0</v>
      </c>
      <c r="Q699" t="n">
        <v>0</v>
      </c>
      <c r="R699" s="2" t="inlineStr"/>
    </row>
    <row r="700" ht="15" customHeight="1">
      <c r="A700" t="inlineStr">
        <is>
          <t>A 32096-2025</t>
        </is>
      </c>
      <c r="B700" s="1" t="n">
        <v>45835.46334490741</v>
      </c>
      <c r="C700" s="1" t="n">
        <v>46035</v>
      </c>
      <c r="D700" t="inlineStr">
        <is>
          <t>JÄMTLANDS LÄN</t>
        </is>
      </c>
      <c r="E700" t="inlineStr">
        <is>
          <t>RAGUNDA</t>
        </is>
      </c>
      <c r="G700" t="n">
        <v>0.9</v>
      </c>
      <c r="H700" t="n">
        <v>0</v>
      </c>
      <c r="I700" t="n">
        <v>0</v>
      </c>
      <c r="J700" t="n">
        <v>0</v>
      </c>
      <c r="K700" t="n">
        <v>0</v>
      </c>
      <c r="L700" t="n">
        <v>0</v>
      </c>
      <c r="M700" t="n">
        <v>0</v>
      </c>
      <c r="N700" t="n">
        <v>0</v>
      </c>
      <c r="O700" t="n">
        <v>0</v>
      </c>
      <c r="P700" t="n">
        <v>0</v>
      </c>
      <c r="Q700" t="n">
        <v>0</v>
      </c>
      <c r="R700" s="2" t="inlineStr"/>
    </row>
    <row r="701" ht="15" customHeight="1">
      <c r="A701" t="inlineStr">
        <is>
          <t>A 32748-2025</t>
        </is>
      </c>
      <c r="B701" s="1" t="n">
        <v>45839.42822916667</v>
      </c>
      <c r="C701" s="1" t="n">
        <v>46035</v>
      </c>
      <c r="D701" t="inlineStr">
        <is>
          <t>JÄMTLANDS LÄN</t>
        </is>
      </c>
      <c r="E701" t="inlineStr">
        <is>
          <t>RAGUNDA</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32777-2025</t>
        </is>
      </c>
      <c r="B702" s="1" t="n">
        <v>45839.46915509259</v>
      </c>
      <c r="C702" s="1" t="n">
        <v>46035</v>
      </c>
      <c r="D702" t="inlineStr">
        <is>
          <t>JÄMTLANDS LÄN</t>
        </is>
      </c>
      <c r="E702" t="inlineStr">
        <is>
          <t>RAGUNDA</t>
        </is>
      </c>
      <c r="F702" t="inlineStr">
        <is>
          <t>SCA</t>
        </is>
      </c>
      <c r="G702" t="n">
        <v>21.7</v>
      </c>
      <c r="H702" t="n">
        <v>0</v>
      </c>
      <c r="I702" t="n">
        <v>0</v>
      </c>
      <c r="J702" t="n">
        <v>0</v>
      </c>
      <c r="K702" t="n">
        <v>0</v>
      </c>
      <c r="L702" t="n">
        <v>0</v>
      </c>
      <c r="M702" t="n">
        <v>0</v>
      </c>
      <c r="N702" t="n">
        <v>0</v>
      </c>
      <c r="O702" t="n">
        <v>0</v>
      </c>
      <c r="P702" t="n">
        <v>0</v>
      </c>
      <c r="Q702" t="n">
        <v>0</v>
      </c>
      <c r="R702" s="2" t="inlineStr"/>
    </row>
    <row r="703" ht="15" customHeight="1">
      <c r="A703" t="inlineStr">
        <is>
          <t>A 23305-2023</t>
        </is>
      </c>
      <c r="B703" s="1" t="n">
        <v>45075.94506944445</v>
      </c>
      <c r="C703" s="1" t="n">
        <v>46035</v>
      </c>
      <c r="D703" t="inlineStr">
        <is>
          <t>JÄMTLANDS LÄN</t>
        </is>
      </c>
      <c r="E703" t="inlineStr">
        <is>
          <t>RAGUNDA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32430-2025</t>
        </is>
      </c>
      <c r="B704" s="1" t="n">
        <v>45838.36532407408</v>
      </c>
      <c r="C704" s="1" t="n">
        <v>46035</v>
      </c>
      <c r="D704" t="inlineStr">
        <is>
          <t>JÄMTLANDS LÄN</t>
        </is>
      </c>
      <c r="E704" t="inlineStr">
        <is>
          <t>RAGUNDA</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32796-2025</t>
        </is>
      </c>
      <c r="B705" s="1" t="n">
        <v>45839.49082175926</v>
      </c>
      <c r="C705" s="1" t="n">
        <v>46035</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4615-2023</t>
        </is>
      </c>
      <c r="B706" s="1" t="n">
        <v>44956.93924768519</v>
      </c>
      <c r="C706" s="1" t="n">
        <v>46035</v>
      </c>
      <c r="D706" t="inlineStr">
        <is>
          <t>JÄMTLANDS LÄN</t>
        </is>
      </c>
      <c r="E706" t="inlineStr">
        <is>
          <t>RAGUNDA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2673-2024</t>
        </is>
      </c>
      <c r="B707" s="1" t="n">
        <v>45314</v>
      </c>
      <c r="C707" s="1" t="n">
        <v>46035</v>
      </c>
      <c r="D707" t="inlineStr">
        <is>
          <t>JÄMTLANDS LÄN</t>
        </is>
      </c>
      <c r="E707" t="inlineStr">
        <is>
          <t>RAGUNDA</t>
        </is>
      </c>
      <c r="G707" t="n">
        <v>0.9</v>
      </c>
      <c r="H707" t="n">
        <v>0</v>
      </c>
      <c r="I707" t="n">
        <v>0</v>
      </c>
      <c r="J707" t="n">
        <v>0</v>
      </c>
      <c r="K707" t="n">
        <v>0</v>
      </c>
      <c r="L707" t="n">
        <v>0</v>
      </c>
      <c r="M707" t="n">
        <v>0</v>
      </c>
      <c r="N707" t="n">
        <v>0</v>
      </c>
      <c r="O707" t="n">
        <v>0</v>
      </c>
      <c r="P707" t="n">
        <v>0</v>
      </c>
      <c r="Q707" t="n">
        <v>0</v>
      </c>
      <c r="R707" s="2" t="inlineStr"/>
    </row>
    <row r="708" ht="15" customHeight="1">
      <c r="A708" t="inlineStr">
        <is>
          <t>A 32747-2025</t>
        </is>
      </c>
      <c r="B708" s="1" t="n">
        <v>45839.42810185185</v>
      </c>
      <c r="C708" s="1" t="n">
        <v>46035</v>
      </c>
      <c r="D708" t="inlineStr">
        <is>
          <t>JÄMTLANDS LÄN</t>
        </is>
      </c>
      <c r="E708" t="inlineStr">
        <is>
          <t>RAGUNDA</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57112-2024</t>
        </is>
      </c>
      <c r="B709" s="1" t="n">
        <v>45629.36486111111</v>
      </c>
      <c r="C709" s="1" t="n">
        <v>46035</v>
      </c>
      <c r="D709" t="inlineStr">
        <is>
          <t>JÄMTLANDS LÄN</t>
        </is>
      </c>
      <c r="E709" t="inlineStr">
        <is>
          <t>RAGUNDA</t>
        </is>
      </c>
      <c r="G709" t="n">
        <v>0.7</v>
      </c>
      <c r="H709" t="n">
        <v>0</v>
      </c>
      <c r="I709" t="n">
        <v>0</v>
      </c>
      <c r="J709" t="n">
        <v>0</v>
      </c>
      <c r="K709" t="n">
        <v>0</v>
      </c>
      <c r="L709" t="n">
        <v>0</v>
      </c>
      <c r="M709" t="n">
        <v>0</v>
      </c>
      <c r="N709" t="n">
        <v>0</v>
      </c>
      <c r="O709" t="n">
        <v>0</v>
      </c>
      <c r="P709" t="n">
        <v>0</v>
      </c>
      <c r="Q709" t="n">
        <v>0</v>
      </c>
      <c r="R709" s="2" t="inlineStr"/>
    </row>
    <row r="710" ht="15" customHeight="1">
      <c r="A710" t="inlineStr">
        <is>
          <t>A 36375-2022</t>
        </is>
      </c>
      <c r="B710" s="1" t="n">
        <v>44803.94351851852</v>
      </c>
      <c r="C710" s="1" t="n">
        <v>46035</v>
      </c>
      <c r="D710" t="inlineStr">
        <is>
          <t>JÄMTLANDS LÄN</t>
        </is>
      </c>
      <c r="E710" t="inlineStr">
        <is>
          <t>RAGUNDA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17667-2025</t>
        </is>
      </c>
      <c r="B711" s="1" t="n">
        <v>45758.36487268518</v>
      </c>
      <c r="C711" s="1" t="n">
        <v>46035</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5148-2023</t>
        </is>
      </c>
      <c r="B712" s="1" t="n">
        <v>44958</v>
      </c>
      <c r="C712" s="1" t="n">
        <v>46035</v>
      </c>
      <c r="D712" t="inlineStr">
        <is>
          <t>JÄMTLANDS LÄN</t>
        </is>
      </c>
      <c r="E712" t="inlineStr">
        <is>
          <t>RAGUNDA</t>
        </is>
      </c>
      <c r="G712" t="n">
        <v>2.9</v>
      </c>
      <c r="H712" t="n">
        <v>0</v>
      </c>
      <c r="I712" t="n">
        <v>0</v>
      </c>
      <c r="J712" t="n">
        <v>0</v>
      </c>
      <c r="K712" t="n">
        <v>0</v>
      </c>
      <c r="L712" t="n">
        <v>0</v>
      </c>
      <c r="M712" t="n">
        <v>0</v>
      </c>
      <c r="N712" t="n">
        <v>0</v>
      </c>
      <c r="O712" t="n">
        <v>0</v>
      </c>
      <c r="P712" t="n">
        <v>0</v>
      </c>
      <c r="Q712" t="n">
        <v>0</v>
      </c>
      <c r="R712" s="2" t="inlineStr"/>
    </row>
    <row r="713" ht="15" customHeight="1">
      <c r="A713" t="inlineStr">
        <is>
          <t>A 51049-2024</t>
        </is>
      </c>
      <c r="B713" s="1" t="n">
        <v>45603.44644675926</v>
      </c>
      <c r="C713" s="1" t="n">
        <v>46035</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55489-2024</t>
        </is>
      </c>
      <c r="B714" s="1" t="n">
        <v>45622.44774305556</v>
      </c>
      <c r="C714" s="1" t="n">
        <v>46035</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32751-2025</t>
        </is>
      </c>
      <c r="B715" s="1" t="n">
        <v>45839.42864583333</v>
      </c>
      <c r="C715" s="1" t="n">
        <v>46035</v>
      </c>
      <c r="D715" t="inlineStr">
        <is>
          <t>JÄMTLANDS LÄN</t>
        </is>
      </c>
      <c r="E715" t="inlineStr">
        <is>
          <t>RAGUNDA</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32846-2025</t>
        </is>
      </c>
      <c r="B716" s="1" t="n">
        <v>45839.57331018519</v>
      </c>
      <c r="C716" s="1" t="n">
        <v>46035</v>
      </c>
      <c r="D716" t="inlineStr">
        <is>
          <t>JÄMTLANDS LÄN</t>
        </is>
      </c>
      <c r="E716" t="inlineStr">
        <is>
          <t>RAGUNDA</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51702-2025</t>
        </is>
      </c>
      <c r="B717" s="1" t="n">
        <v>45951.55305555555</v>
      </c>
      <c r="C717" s="1" t="n">
        <v>46035</v>
      </c>
      <c r="D717" t="inlineStr">
        <is>
          <t>JÄMTLANDS LÄN</t>
        </is>
      </c>
      <c r="E717" t="inlineStr">
        <is>
          <t>RAGUNDA</t>
        </is>
      </c>
      <c r="G717" t="n">
        <v>11.4</v>
      </c>
      <c r="H717" t="n">
        <v>0</v>
      </c>
      <c r="I717" t="n">
        <v>0</v>
      </c>
      <c r="J717" t="n">
        <v>0</v>
      </c>
      <c r="K717" t="n">
        <v>0</v>
      </c>
      <c r="L717" t="n">
        <v>0</v>
      </c>
      <c r="M717" t="n">
        <v>0</v>
      </c>
      <c r="N717" t="n">
        <v>0</v>
      </c>
      <c r="O717" t="n">
        <v>0</v>
      </c>
      <c r="P717" t="n">
        <v>0</v>
      </c>
      <c r="Q717" t="n">
        <v>0</v>
      </c>
      <c r="R717" s="2" t="inlineStr"/>
    </row>
    <row r="718" ht="15" customHeight="1">
      <c r="A718" t="inlineStr">
        <is>
          <t>A 33140-2025</t>
        </is>
      </c>
      <c r="B718" s="1" t="n">
        <v>45840.52225694444</v>
      </c>
      <c r="C718" s="1" t="n">
        <v>46035</v>
      </c>
      <c r="D718" t="inlineStr">
        <is>
          <t>JÄMTLANDS LÄN</t>
        </is>
      </c>
      <c r="E718" t="inlineStr">
        <is>
          <t>RAGUNDA</t>
        </is>
      </c>
      <c r="G718" t="n">
        <v>2</v>
      </c>
      <c r="H718" t="n">
        <v>0</v>
      </c>
      <c r="I718" t="n">
        <v>0</v>
      </c>
      <c r="J718" t="n">
        <v>0</v>
      </c>
      <c r="K718" t="n">
        <v>0</v>
      </c>
      <c r="L718" t="n">
        <v>0</v>
      </c>
      <c r="M718" t="n">
        <v>0</v>
      </c>
      <c r="N718" t="n">
        <v>0</v>
      </c>
      <c r="O718" t="n">
        <v>0</v>
      </c>
      <c r="P718" t="n">
        <v>0</v>
      </c>
      <c r="Q718" t="n">
        <v>0</v>
      </c>
      <c r="R718" s="2" t="inlineStr"/>
    </row>
    <row r="719" ht="15" customHeight="1">
      <c r="A719" t="inlineStr">
        <is>
          <t>A 14074-2023</t>
        </is>
      </c>
      <c r="B719" s="1" t="n">
        <v>45009.089375</v>
      </c>
      <c r="C719" s="1" t="n">
        <v>46035</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60307-2025</t>
        </is>
      </c>
      <c r="B720" s="1" t="n">
        <v>45994.6842824074</v>
      </c>
      <c r="C720" s="1" t="n">
        <v>46035</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60130-2025</t>
        </is>
      </c>
      <c r="B721" s="1" t="n">
        <v>45994.34467592592</v>
      </c>
      <c r="C721" s="1" t="n">
        <v>46035</v>
      </c>
      <c r="D721" t="inlineStr">
        <is>
          <t>JÄMTLANDS LÄN</t>
        </is>
      </c>
      <c r="E721" t="inlineStr">
        <is>
          <t>RAGUNDA</t>
        </is>
      </c>
      <c r="G721" t="n">
        <v>4.9</v>
      </c>
      <c r="H721" t="n">
        <v>0</v>
      </c>
      <c r="I721" t="n">
        <v>0</v>
      </c>
      <c r="J721" t="n">
        <v>0</v>
      </c>
      <c r="K721" t="n">
        <v>0</v>
      </c>
      <c r="L721" t="n">
        <v>0</v>
      </c>
      <c r="M721" t="n">
        <v>0</v>
      </c>
      <c r="N721" t="n">
        <v>0</v>
      </c>
      <c r="O721" t="n">
        <v>0</v>
      </c>
      <c r="P721" t="n">
        <v>0</v>
      </c>
      <c r="Q721" t="n">
        <v>0</v>
      </c>
      <c r="R721" s="2" t="inlineStr"/>
    </row>
    <row r="722" ht="15" customHeight="1">
      <c r="A722" t="inlineStr">
        <is>
          <t>A 54764-2024</t>
        </is>
      </c>
      <c r="B722" s="1" t="n">
        <v>45618.46921296296</v>
      </c>
      <c r="C722" s="1" t="n">
        <v>46035</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51678-2025</t>
        </is>
      </c>
      <c r="B723" s="1" t="n">
        <v>45951.51106481482</v>
      </c>
      <c r="C723" s="1" t="n">
        <v>46035</v>
      </c>
      <c r="D723" t="inlineStr">
        <is>
          <t>JÄMTLANDS LÄN</t>
        </is>
      </c>
      <c r="E723" t="inlineStr">
        <is>
          <t>RAGUNDA</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51906-2025</t>
        </is>
      </c>
      <c r="B724" s="1" t="n">
        <v>45952.4615162037</v>
      </c>
      <c r="C724" s="1" t="n">
        <v>46035</v>
      </c>
      <c r="D724" t="inlineStr">
        <is>
          <t>JÄMTLANDS LÄN</t>
        </is>
      </c>
      <c r="E724" t="inlineStr">
        <is>
          <t>RAGUNDA</t>
        </is>
      </c>
      <c r="G724" t="n">
        <v>4.5</v>
      </c>
      <c r="H724" t="n">
        <v>0</v>
      </c>
      <c r="I724" t="n">
        <v>0</v>
      </c>
      <c r="J724" t="n">
        <v>0</v>
      </c>
      <c r="K724" t="n">
        <v>0</v>
      </c>
      <c r="L724" t="n">
        <v>0</v>
      </c>
      <c r="M724" t="n">
        <v>0</v>
      </c>
      <c r="N724" t="n">
        <v>0</v>
      </c>
      <c r="O724" t="n">
        <v>0</v>
      </c>
      <c r="P724" t="n">
        <v>0</v>
      </c>
      <c r="Q724" t="n">
        <v>0</v>
      </c>
      <c r="R724" s="2" t="inlineStr"/>
    </row>
    <row r="725" ht="15" customHeight="1">
      <c r="A725" t="inlineStr">
        <is>
          <t>A 33556-2025</t>
        </is>
      </c>
      <c r="B725" s="1" t="n">
        <v>45841.57427083333</v>
      </c>
      <c r="C725" s="1" t="n">
        <v>46035</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33790-2025</t>
        </is>
      </c>
      <c r="B726" s="1" t="n">
        <v>45842.42608796297</v>
      </c>
      <c r="C726" s="1" t="n">
        <v>46035</v>
      </c>
      <c r="D726" t="inlineStr">
        <is>
          <t>JÄMTLANDS LÄN</t>
        </is>
      </c>
      <c r="E726" t="inlineStr">
        <is>
          <t>RAGUNDA</t>
        </is>
      </c>
      <c r="G726" t="n">
        <v>0.3</v>
      </c>
      <c r="H726" t="n">
        <v>0</v>
      </c>
      <c r="I726" t="n">
        <v>0</v>
      </c>
      <c r="J726" t="n">
        <v>0</v>
      </c>
      <c r="K726" t="n">
        <v>0</v>
      </c>
      <c r="L726" t="n">
        <v>0</v>
      </c>
      <c r="M726" t="n">
        <v>0</v>
      </c>
      <c r="N726" t="n">
        <v>0</v>
      </c>
      <c r="O726" t="n">
        <v>0</v>
      </c>
      <c r="P726" t="n">
        <v>0</v>
      </c>
      <c r="Q726" t="n">
        <v>0</v>
      </c>
      <c r="R726" s="2" t="inlineStr"/>
    </row>
    <row r="727" ht="15" customHeight="1">
      <c r="A727" t="inlineStr">
        <is>
          <t>A 7279-2024</t>
        </is>
      </c>
      <c r="B727" s="1" t="n">
        <v>45344.92822916667</v>
      </c>
      <c r="C727" s="1" t="n">
        <v>46035</v>
      </c>
      <c r="D727" t="inlineStr">
        <is>
          <t>JÄMTLANDS LÄN</t>
        </is>
      </c>
      <c r="E727" t="inlineStr">
        <is>
          <t>RAGUNDA</t>
        </is>
      </c>
      <c r="G727" t="n">
        <v>2.1</v>
      </c>
      <c r="H727" t="n">
        <v>0</v>
      </c>
      <c r="I727" t="n">
        <v>0</v>
      </c>
      <c r="J727" t="n">
        <v>0</v>
      </c>
      <c r="K727" t="n">
        <v>0</v>
      </c>
      <c r="L727" t="n">
        <v>0</v>
      </c>
      <c r="M727" t="n">
        <v>0</v>
      </c>
      <c r="N727" t="n">
        <v>0</v>
      </c>
      <c r="O727" t="n">
        <v>0</v>
      </c>
      <c r="P727" t="n">
        <v>0</v>
      </c>
      <c r="Q727" t="n">
        <v>0</v>
      </c>
      <c r="R727" s="2" t="inlineStr"/>
    </row>
    <row r="728" ht="15" customHeight="1">
      <c r="A728" t="inlineStr">
        <is>
          <t>A 51791-2025</t>
        </is>
      </c>
      <c r="B728" s="1" t="n">
        <v>45951.69833333333</v>
      </c>
      <c r="C728" s="1" t="n">
        <v>46035</v>
      </c>
      <c r="D728" t="inlineStr">
        <is>
          <t>JÄMTLANDS LÄN</t>
        </is>
      </c>
      <c r="E728" t="inlineStr">
        <is>
          <t>RAGUNDA</t>
        </is>
      </c>
      <c r="F728" t="inlineStr">
        <is>
          <t>SCA</t>
        </is>
      </c>
      <c r="G728" t="n">
        <v>43.3</v>
      </c>
      <c r="H728" t="n">
        <v>0</v>
      </c>
      <c r="I728" t="n">
        <v>0</v>
      </c>
      <c r="J728" t="n">
        <v>0</v>
      </c>
      <c r="K728" t="n">
        <v>0</v>
      </c>
      <c r="L728" t="n">
        <v>0</v>
      </c>
      <c r="M728" t="n">
        <v>0</v>
      </c>
      <c r="N728" t="n">
        <v>0</v>
      </c>
      <c r="O728" t="n">
        <v>0</v>
      </c>
      <c r="P728" t="n">
        <v>0</v>
      </c>
      <c r="Q728" t="n">
        <v>0</v>
      </c>
      <c r="R728" s="2" t="inlineStr"/>
    </row>
    <row r="729" ht="15" customHeight="1">
      <c r="A729" t="inlineStr">
        <is>
          <t>A 34296-2025</t>
        </is>
      </c>
      <c r="B729" s="1" t="n">
        <v>45846.34454861111</v>
      </c>
      <c r="C729" s="1" t="n">
        <v>46035</v>
      </c>
      <c r="D729" t="inlineStr">
        <is>
          <t>JÄMTLANDS LÄN</t>
        </is>
      </c>
      <c r="E729" t="inlineStr">
        <is>
          <t>RAGUNDA</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51592-2025</t>
        </is>
      </c>
      <c r="B730" s="1" t="n">
        <v>45951.36541666667</v>
      </c>
      <c r="C730" s="1" t="n">
        <v>46035</v>
      </c>
      <c r="D730" t="inlineStr">
        <is>
          <t>JÄMTLANDS LÄN</t>
        </is>
      </c>
      <c r="E730" t="inlineStr">
        <is>
          <t>RAGUNDA</t>
        </is>
      </c>
      <c r="G730" t="n">
        <v>1.3</v>
      </c>
      <c r="H730" t="n">
        <v>0</v>
      </c>
      <c r="I730" t="n">
        <v>0</v>
      </c>
      <c r="J730" t="n">
        <v>0</v>
      </c>
      <c r="K730" t="n">
        <v>0</v>
      </c>
      <c r="L730" t="n">
        <v>0</v>
      </c>
      <c r="M730" t="n">
        <v>0</v>
      </c>
      <c r="N730" t="n">
        <v>0</v>
      </c>
      <c r="O730" t="n">
        <v>0</v>
      </c>
      <c r="P730" t="n">
        <v>0</v>
      </c>
      <c r="Q730" t="n">
        <v>0</v>
      </c>
      <c r="R730" s="2" t="inlineStr"/>
    </row>
    <row r="731" ht="15" customHeight="1">
      <c r="A731" t="inlineStr">
        <is>
          <t>A 10706-2023</t>
        </is>
      </c>
      <c r="B731" s="1" t="n">
        <v>44984</v>
      </c>
      <c r="C731" s="1" t="n">
        <v>46035</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60062-2025</t>
        </is>
      </c>
      <c r="B732" s="1" t="n">
        <v>45993.65694444445</v>
      </c>
      <c r="C732" s="1" t="n">
        <v>46035</v>
      </c>
      <c r="D732" t="inlineStr">
        <is>
          <t>JÄMTLANDS LÄN</t>
        </is>
      </c>
      <c r="E732" t="inlineStr">
        <is>
          <t>RAGUNDA</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891-2022</t>
        </is>
      </c>
      <c r="B733" s="1" t="n">
        <v>44571</v>
      </c>
      <c r="C733" s="1" t="n">
        <v>46035</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8416-2023</t>
        </is>
      </c>
      <c r="B734" s="1" t="n">
        <v>44977.44373842593</v>
      </c>
      <c r="C734" s="1" t="n">
        <v>46035</v>
      </c>
      <c r="D734" t="inlineStr">
        <is>
          <t>JÄMTLANDS LÄN</t>
        </is>
      </c>
      <c r="E734" t="inlineStr">
        <is>
          <t>RAGUNDA</t>
        </is>
      </c>
      <c r="G734" t="n">
        <v>0.7</v>
      </c>
      <c r="H734" t="n">
        <v>0</v>
      </c>
      <c r="I734" t="n">
        <v>0</v>
      </c>
      <c r="J734" t="n">
        <v>0</v>
      </c>
      <c r="K734" t="n">
        <v>0</v>
      </c>
      <c r="L734" t="n">
        <v>0</v>
      </c>
      <c r="M734" t="n">
        <v>0</v>
      </c>
      <c r="N734" t="n">
        <v>0</v>
      </c>
      <c r="O734" t="n">
        <v>0</v>
      </c>
      <c r="P734" t="n">
        <v>0</v>
      </c>
      <c r="Q734" t="n">
        <v>0</v>
      </c>
      <c r="R734" s="2" t="inlineStr"/>
    </row>
    <row r="735" ht="15" customHeight="1">
      <c r="A735" t="inlineStr">
        <is>
          <t>A 51593-2025</t>
        </is>
      </c>
      <c r="B735" s="1" t="n">
        <v>45951.36548611111</v>
      </c>
      <c r="C735" s="1" t="n">
        <v>46035</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40801-2023</t>
        </is>
      </c>
      <c r="B736" s="1" t="n">
        <v>45170</v>
      </c>
      <c r="C736" s="1" t="n">
        <v>46035</v>
      </c>
      <c r="D736" t="inlineStr">
        <is>
          <t>JÄMTLANDS LÄN</t>
        </is>
      </c>
      <c r="E736" t="inlineStr">
        <is>
          <t>RAGUNDA</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27499-2024</t>
        </is>
      </c>
      <c r="B737" s="1" t="n">
        <v>45474.50608796296</v>
      </c>
      <c r="C737" s="1" t="n">
        <v>46035</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52148-2024</t>
        </is>
      </c>
      <c r="B738" s="1" t="n">
        <v>45608.52354166667</v>
      </c>
      <c r="C738" s="1" t="n">
        <v>46035</v>
      </c>
      <c r="D738" t="inlineStr">
        <is>
          <t>JÄMTLANDS LÄN</t>
        </is>
      </c>
      <c r="E738" t="inlineStr">
        <is>
          <t>RAGUNDA</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462-2023</t>
        </is>
      </c>
      <c r="B739" s="1" t="n">
        <v>44929</v>
      </c>
      <c r="C739" s="1" t="n">
        <v>46035</v>
      </c>
      <c r="D739" t="inlineStr">
        <is>
          <t>JÄMTLANDS LÄN</t>
        </is>
      </c>
      <c r="E739" t="inlineStr">
        <is>
          <t>RAGUNDA</t>
        </is>
      </c>
      <c r="G739" t="n">
        <v>4.5</v>
      </c>
      <c r="H739" t="n">
        <v>0</v>
      </c>
      <c r="I739" t="n">
        <v>0</v>
      </c>
      <c r="J739" t="n">
        <v>0</v>
      </c>
      <c r="K739" t="n">
        <v>0</v>
      </c>
      <c r="L739" t="n">
        <v>0</v>
      </c>
      <c r="M739" t="n">
        <v>0</v>
      </c>
      <c r="N739" t="n">
        <v>0</v>
      </c>
      <c r="O739" t="n">
        <v>0</v>
      </c>
      <c r="P739" t="n">
        <v>0</v>
      </c>
      <c r="Q739" t="n">
        <v>0</v>
      </c>
      <c r="R739" s="2" t="inlineStr"/>
    </row>
    <row r="740" ht="15" customHeight="1">
      <c r="A740" t="inlineStr">
        <is>
          <t>A 34461-2025</t>
        </is>
      </c>
      <c r="B740" s="1" t="n">
        <v>45847.34474537037</v>
      </c>
      <c r="C740" s="1" t="n">
        <v>46035</v>
      </c>
      <c r="D740" t="inlineStr">
        <is>
          <t>JÄMTLANDS LÄN</t>
        </is>
      </c>
      <c r="E740" t="inlineStr">
        <is>
          <t>RAGUNDA</t>
        </is>
      </c>
      <c r="F740" t="inlineStr">
        <is>
          <t>SCA</t>
        </is>
      </c>
      <c r="G740" t="n">
        <v>44.8</v>
      </c>
      <c r="H740" t="n">
        <v>0</v>
      </c>
      <c r="I740" t="n">
        <v>0</v>
      </c>
      <c r="J740" t="n">
        <v>0</v>
      </c>
      <c r="K740" t="n">
        <v>0</v>
      </c>
      <c r="L740" t="n">
        <v>0</v>
      </c>
      <c r="M740" t="n">
        <v>0</v>
      </c>
      <c r="N740" t="n">
        <v>0</v>
      </c>
      <c r="O740" t="n">
        <v>0</v>
      </c>
      <c r="P740" t="n">
        <v>0</v>
      </c>
      <c r="Q740" t="n">
        <v>0</v>
      </c>
      <c r="R740" s="2" t="inlineStr"/>
    </row>
    <row r="741" ht="15" customHeight="1">
      <c r="A741" t="inlineStr">
        <is>
          <t>A 34464-2025</t>
        </is>
      </c>
      <c r="B741" s="1" t="n">
        <v>45847.34528935186</v>
      </c>
      <c r="C741" s="1" t="n">
        <v>46035</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52093-2025</t>
        </is>
      </c>
      <c r="B742" s="1" t="n">
        <v>45952.67865740741</v>
      </c>
      <c r="C742" s="1" t="n">
        <v>46035</v>
      </c>
      <c r="D742" t="inlineStr">
        <is>
          <t>JÄMTLANDS LÄN</t>
        </is>
      </c>
      <c r="E742" t="inlineStr">
        <is>
          <t>RAGUNDA</t>
        </is>
      </c>
      <c r="F742" t="inlineStr">
        <is>
          <t>SCA</t>
        </is>
      </c>
      <c r="G742" t="n">
        <v>22.7</v>
      </c>
      <c r="H742" t="n">
        <v>0</v>
      </c>
      <c r="I742" t="n">
        <v>0</v>
      </c>
      <c r="J742" t="n">
        <v>0</v>
      </c>
      <c r="K742" t="n">
        <v>0</v>
      </c>
      <c r="L742" t="n">
        <v>0</v>
      </c>
      <c r="M742" t="n">
        <v>0</v>
      </c>
      <c r="N742" t="n">
        <v>0</v>
      </c>
      <c r="O742" t="n">
        <v>0</v>
      </c>
      <c r="P742" t="n">
        <v>0</v>
      </c>
      <c r="Q742" t="n">
        <v>0</v>
      </c>
      <c r="R742" s="2" t="inlineStr"/>
    </row>
    <row r="743" ht="15" customHeight="1">
      <c r="A743" t="inlineStr">
        <is>
          <t>A 34468-2025</t>
        </is>
      </c>
      <c r="B743" s="1" t="n">
        <v>45847.34597222223</v>
      </c>
      <c r="C743" s="1" t="n">
        <v>46035</v>
      </c>
      <c r="D743" t="inlineStr">
        <is>
          <t>JÄMTLANDS LÄN</t>
        </is>
      </c>
      <c r="E743" t="inlineStr">
        <is>
          <t>RAGUNDA</t>
        </is>
      </c>
      <c r="F743" t="inlineStr">
        <is>
          <t>SCA</t>
        </is>
      </c>
      <c r="G743" t="n">
        <v>10</v>
      </c>
      <c r="H743" t="n">
        <v>0</v>
      </c>
      <c r="I743" t="n">
        <v>0</v>
      </c>
      <c r="J743" t="n">
        <v>0</v>
      </c>
      <c r="K743" t="n">
        <v>0</v>
      </c>
      <c r="L743" t="n">
        <v>0</v>
      </c>
      <c r="M743" t="n">
        <v>0</v>
      </c>
      <c r="N743" t="n">
        <v>0</v>
      </c>
      <c r="O743" t="n">
        <v>0</v>
      </c>
      <c r="P743" t="n">
        <v>0</v>
      </c>
      <c r="Q743" t="n">
        <v>0</v>
      </c>
      <c r="R743" s="2" t="inlineStr"/>
    </row>
    <row r="744" ht="15" customHeight="1">
      <c r="A744" t="inlineStr">
        <is>
          <t>A 34586-2025</t>
        </is>
      </c>
      <c r="B744" s="1" t="n">
        <v>45847.61513888889</v>
      </c>
      <c r="C744" s="1" t="n">
        <v>46035</v>
      </c>
      <c r="D744" t="inlineStr">
        <is>
          <t>JÄMTLANDS LÄN</t>
        </is>
      </c>
      <c r="E744" t="inlineStr">
        <is>
          <t>RAGUNDA</t>
        </is>
      </c>
      <c r="G744" t="n">
        <v>1.6</v>
      </c>
      <c r="H744" t="n">
        <v>0</v>
      </c>
      <c r="I744" t="n">
        <v>0</v>
      </c>
      <c r="J744" t="n">
        <v>0</v>
      </c>
      <c r="K744" t="n">
        <v>0</v>
      </c>
      <c r="L744" t="n">
        <v>0</v>
      </c>
      <c r="M744" t="n">
        <v>0</v>
      </c>
      <c r="N744" t="n">
        <v>0</v>
      </c>
      <c r="O744" t="n">
        <v>0</v>
      </c>
      <c r="P744" t="n">
        <v>0</v>
      </c>
      <c r="Q744" t="n">
        <v>0</v>
      </c>
      <c r="R744" s="2" t="inlineStr"/>
    </row>
    <row r="745" ht="15" customHeight="1">
      <c r="A745" t="inlineStr">
        <is>
          <t>A 34607-2025</t>
        </is>
      </c>
      <c r="B745" s="1" t="n">
        <v>45847.65703703704</v>
      </c>
      <c r="C745" s="1" t="n">
        <v>46035</v>
      </c>
      <c r="D745" t="inlineStr">
        <is>
          <t>JÄMTLANDS LÄN</t>
        </is>
      </c>
      <c r="E745" t="inlineStr">
        <is>
          <t>RAGUNDA</t>
        </is>
      </c>
      <c r="F745" t="inlineStr">
        <is>
          <t>SCA</t>
        </is>
      </c>
      <c r="G745" t="n">
        <v>31.4</v>
      </c>
      <c r="H745" t="n">
        <v>0</v>
      </c>
      <c r="I745" t="n">
        <v>0</v>
      </c>
      <c r="J745" t="n">
        <v>0</v>
      </c>
      <c r="K745" t="n">
        <v>0</v>
      </c>
      <c r="L745" t="n">
        <v>0</v>
      </c>
      <c r="M745" t="n">
        <v>0</v>
      </c>
      <c r="N745" t="n">
        <v>0</v>
      </c>
      <c r="O745" t="n">
        <v>0</v>
      </c>
      <c r="P745" t="n">
        <v>0</v>
      </c>
      <c r="Q745" t="n">
        <v>0</v>
      </c>
      <c r="R745" s="2" t="inlineStr"/>
    </row>
    <row r="746" ht="15" customHeight="1">
      <c r="A746" t="inlineStr">
        <is>
          <t>A 34772-2025</t>
        </is>
      </c>
      <c r="B746" s="1" t="n">
        <v>45848.65658564815</v>
      </c>
      <c r="C746" s="1" t="n">
        <v>46035</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34466-2025</t>
        </is>
      </c>
      <c r="B747" s="1" t="n">
        <v>45847.34565972222</v>
      </c>
      <c r="C747" s="1" t="n">
        <v>46035</v>
      </c>
      <c r="D747" t="inlineStr">
        <is>
          <t>JÄMTLANDS LÄN</t>
        </is>
      </c>
      <c r="E747" t="inlineStr">
        <is>
          <t>RAGUNDA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26645-2024</t>
        </is>
      </c>
      <c r="B748" s="1" t="n">
        <v>45469.94667824074</v>
      </c>
      <c r="C748" s="1" t="n">
        <v>46035</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34588-2025</t>
        </is>
      </c>
      <c r="B749" s="1" t="n">
        <v>45847.61548611111</v>
      </c>
      <c r="C749" s="1" t="n">
        <v>46035</v>
      </c>
      <c r="D749" t="inlineStr">
        <is>
          <t>JÄMTLANDS LÄN</t>
        </is>
      </c>
      <c r="E749" t="inlineStr">
        <is>
          <t>RAGUNDA</t>
        </is>
      </c>
      <c r="G749" t="n">
        <v>32.3</v>
      </c>
      <c r="H749" t="n">
        <v>0</v>
      </c>
      <c r="I749" t="n">
        <v>0</v>
      </c>
      <c r="J749" t="n">
        <v>0</v>
      </c>
      <c r="K749" t="n">
        <v>0</v>
      </c>
      <c r="L749" t="n">
        <v>0</v>
      </c>
      <c r="M749" t="n">
        <v>0</v>
      </c>
      <c r="N749" t="n">
        <v>0</v>
      </c>
      <c r="O749" t="n">
        <v>0</v>
      </c>
      <c r="P749" t="n">
        <v>0</v>
      </c>
      <c r="Q749" t="n">
        <v>0</v>
      </c>
      <c r="R749" s="2" t="inlineStr"/>
    </row>
    <row r="750" ht="15" customHeight="1">
      <c r="A750" t="inlineStr">
        <is>
          <t>A 34463-2025</t>
        </is>
      </c>
      <c r="B750" s="1" t="n">
        <v>45847.34515046296</v>
      </c>
      <c r="C750" s="1" t="n">
        <v>46035</v>
      </c>
      <c r="D750" t="inlineStr">
        <is>
          <t>JÄMTLANDS LÄN</t>
        </is>
      </c>
      <c r="E750" t="inlineStr">
        <is>
          <t>RAGUNDA</t>
        </is>
      </c>
      <c r="F750" t="inlineStr">
        <is>
          <t>SCA</t>
        </is>
      </c>
      <c r="G750" t="n">
        <v>6.1</v>
      </c>
      <c r="H750" t="n">
        <v>0</v>
      </c>
      <c r="I750" t="n">
        <v>0</v>
      </c>
      <c r="J750" t="n">
        <v>0</v>
      </c>
      <c r="K750" t="n">
        <v>0</v>
      </c>
      <c r="L750" t="n">
        <v>0</v>
      </c>
      <c r="M750" t="n">
        <v>0</v>
      </c>
      <c r="N750" t="n">
        <v>0</v>
      </c>
      <c r="O750" t="n">
        <v>0</v>
      </c>
      <c r="P750" t="n">
        <v>0</v>
      </c>
      <c r="Q750" t="n">
        <v>0</v>
      </c>
      <c r="R750" s="2" t="inlineStr"/>
    </row>
    <row r="751" ht="15" customHeight="1">
      <c r="A751" t="inlineStr">
        <is>
          <t>A 34710-2025</t>
        </is>
      </c>
      <c r="B751" s="1" t="n">
        <v>45848.49774305556</v>
      </c>
      <c r="C751" s="1" t="n">
        <v>46035</v>
      </c>
      <c r="D751" t="inlineStr">
        <is>
          <t>JÄMTLANDS LÄN</t>
        </is>
      </c>
      <c r="E751" t="inlineStr">
        <is>
          <t>RAGUNDA</t>
        </is>
      </c>
      <c r="G751" t="n">
        <v>4.1</v>
      </c>
      <c r="H751" t="n">
        <v>0</v>
      </c>
      <c r="I751" t="n">
        <v>0</v>
      </c>
      <c r="J751" t="n">
        <v>0</v>
      </c>
      <c r="K751" t="n">
        <v>0</v>
      </c>
      <c r="L751" t="n">
        <v>0</v>
      </c>
      <c r="M751" t="n">
        <v>0</v>
      </c>
      <c r="N751" t="n">
        <v>0</v>
      </c>
      <c r="O751" t="n">
        <v>0</v>
      </c>
      <c r="P751" t="n">
        <v>0</v>
      </c>
      <c r="Q751" t="n">
        <v>0</v>
      </c>
      <c r="R751" s="2" t="inlineStr"/>
    </row>
    <row r="752" ht="15" customHeight="1">
      <c r="A752" t="inlineStr">
        <is>
          <t>A 52122-2025</t>
        </is>
      </c>
      <c r="B752" s="1" t="n">
        <v>45952.71946759259</v>
      </c>
      <c r="C752" s="1" t="n">
        <v>46035</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32258-2024</t>
        </is>
      </c>
      <c r="B753" s="1" t="n">
        <v>45511</v>
      </c>
      <c r="C753" s="1" t="n">
        <v>46035</v>
      </c>
      <c r="D753" t="inlineStr">
        <is>
          <t>JÄMTLANDS LÄN</t>
        </is>
      </c>
      <c r="E753" t="inlineStr">
        <is>
          <t>RAGUNDA</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51882-2025</t>
        </is>
      </c>
      <c r="B754" s="1" t="n">
        <v>45952.40685185185</v>
      </c>
      <c r="C754" s="1" t="n">
        <v>46035</v>
      </c>
      <c r="D754" t="inlineStr">
        <is>
          <t>JÄMTLANDS LÄN</t>
        </is>
      </c>
      <c r="E754" t="inlineStr">
        <is>
          <t>RAGUNDA</t>
        </is>
      </c>
      <c r="F754" t="inlineStr">
        <is>
          <t>SCA</t>
        </is>
      </c>
      <c r="G754" t="n">
        <v>11.9</v>
      </c>
      <c r="H754" t="n">
        <v>0</v>
      </c>
      <c r="I754" t="n">
        <v>0</v>
      </c>
      <c r="J754" t="n">
        <v>0</v>
      </c>
      <c r="K754" t="n">
        <v>0</v>
      </c>
      <c r="L754" t="n">
        <v>0</v>
      </c>
      <c r="M754" t="n">
        <v>0</v>
      </c>
      <c r="N754" t="n">
        <v>0</v>
      </c>
      <c r="O754" t="n">
        <v>0</v>
      </c>
      <c r="P754" t="n">
        <v>0</v>
      </c>
      <c r="Q754" t="n">
        <v>0</v>
      </c>
      <c r="R754" s="2" t="inlineStr"/>
    </row>
    <row r="755" ht="15" customHeight="1">
      <c r="A755" t="inlineStr">
        <is>
          <t>A 51903-2025</t>
        </is>
      </c>
      <c r="B755" s="1" t="n">
        <v>45952.44857638889</v>
      </c>
      <c r="C755" s="1" t="n">
        <v>46035</v>
      </c>
      <c r="D755" t="inlineStr">
        <is>
          <t>JÄMTLANDS LÄN</t>
        </is>
      </c>
      <c r="E755" t="inlineStr">
        <is>
          <t>RAGUNDA</t>
        </is>
      </c>
      <c r="F755" t="inlineStr">
        <is>
          <t>SCA</t>
        </is>
      </c>
      <c r="G755" t="n">
        <v>20.8</v>
      </c>
      <c r="H755" t="n">
        <v>0</v>
      </c>
      <c r="I755" t="n">
        <v>0</v>
      </c>
      <c r="J755" t="n">
        <v>0</v>
      </c>
      <c r="K755" t="n">
        <v>0</v>
      </c>
      <c r="L755" t="n">
        <v>0</v>
      </c>
      <c r="M755" t="n">
        <v>0</v>
      </c>
      <c r="N755" t="n">
        <v>0</v>
      </c>
      <c r="O755" t="n">
        <v>0</v>
      </c>
      <c r="P755" t="n">
        <v>0</v>
      </c>
      <c r="Q755" t="n">
        <v>0</v>
      </c>
      <c r="R755" s="2" t="inlineStr"/>
    </row>
    <row r="756" ht="15" customHeight="1">
      <c r="A756" t="inlineStr">
        <is>
          <t>A 59931-2025</t>
        </is>
      </c>
      <c r="B756" s="1" t="n">
        <v>45993.40177083333</v>
      </c>
      <c r="C756" s="1" t="n">
        <v>46035</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34709-2025</t>
        </is>
      </c>
      <c r="B757" s="1" t="n">
        <v>45848.49761574074</v>
      </c>
      <c r="C757" s="1" t="n">
        <v>46035</v>
      </c>
      <c r="D757" t="inlineStr">
        <is>
          <t>JÄMTLANDS LÄN</t>
        </is>
      </c>
      <c r="E757" t="inlineStr">
        <is>
          <t>RAGUNDA</t>
        </is>
      </c>
      <c r="G757" t="n">
        <v>3.1</v>
      </c>
      <c r="H757" t="n">
        <v>0</v>
      </c>
      <c r="I757" t="n">
        <v>0</v>
      </c>
      <c r="J757" t="n">
        <v>0</v>
      </c>
      <c r="K757" t="n">
        <v>0</v>
      </c>
      <c r="L757" t="n">
        <v>0</v>
      </c>
      <c r="M757" t="n">
        <v>0</v>
      </c>
      <c r="N757" t="n">
        <v>0</v>
      </c>
      <c r="O757" t="n">
        <v>0</v>
      </c>
      <c r="P757" t="n">
        <v>0</v>
      </c>
      <c r="Q757" t="n">
        <v>0</v>
      </c>
      <c r="R757" s="2" t="inlineStr"/>
    </row>
    <row r="758" ht="15" customHeight="1">
      <c r="A758" t="inlineStr">
        <is>
          <t>A 35092-2025</t>
        </is>
      </c>
      <c r="B758" s="1" t="n">
        <v>45852.53185185185</v>
      </c>
      <c r="C758" s="1" t="n">
        <v>46035</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51932-2025</t>
        </is>
      </c>
      <c r="B759" s="1" t="n">
        <v>45952.51094907407</v>
      </c>
      <c r="C759" s="1" t="n">
        <v>46035</v>
      </c>
      <c r="D759" t="inlineStr">
        <is>
          <t>JÄMTLANDS LÄN</t>
        </is>
      </c>
      <c r="E759" t="inlineStr">
        <is>
          <t>RAGUNDA</t>
        </is>
      </c>
      <c r="F759" t="inlineStr">
        <is>
          <t>SCA</t>
        </is>
      </c>
      <c r="G759" t="n">
        <v>39.2</v>
      </c>
      <c r="H759" t="n">
        <v>0</v>
      </c>
      <c r="I759" t="n">
        <v>0</v>
      </c>
      <c r="J759" t="n">
        <v>0</v>
      </c>
      <c r="K759" t="n">
        <v>0</v>
      </c>
      <c r="L759" t="n">
        <v>0</v>
      </c>
      <c r="M759" t="n">
        <v>0</v>
      </c>
      <c r="N759" t="n">
        <v>0</v>
      </c>
      <c r="O759" t="n">
        <v>0</v>
      </c>
      <c r="P759" t="n">
        <v>0</v>
      </c>
      <c r="Q759" t="n">
        <v>0</v>
      </c>
      <c r="R759" s="2" t="inlineStr"/>
    </row>
    <row r="760" ht="15" customHeight="1">
      <c r="A760" t="inlineStr">
        <is>
          <t>A 60128-2025</t>
        </is>
      </c>
      <c r="B760" s="1" t="n">
        <v>45994.34456018519</v>
      </c>
      <c r="C760" s="1" t="n">
        <v>46035</v>
      </c>
      <c r="D760" t="inlineStr">
        <is>
          <t>JÄMTLANDS LÄN</t>
        </is>
      </c>
      <c r="E760" t="inlineStr">
        <is>
          <t>RAGUNDA</t>
        </is>
      </c>
      <c r="G760" t="n">
        <v>7.1</v>
      </c>
      <c r="H760" t="n">
        <v>0</v>
      </c>
      <c r="I760" t="n">
        <v>0</v>
      </c>
      <c r="J760" t="n">
        <v>0</v>
      </c>
      <c r="K760" t="n">
        <v>0</v>
      </c>
      <c r="L760" t="n">
        <v>0</v>
      </c>
      <c r="M760" t="n">
        <v>0</v>
      </c>
      <c r="N760" t="n">
        <v>0</v>
      </c>
      <c r="O760" t="n">
        <v>0</v>
      </c>
      <c r="P760" t="n">
        <v>0</v>
      </c>
      <c r="Q760" t="n">
        <v>0</v>
      </c>
      <c r="R760" s="2" t="inlineStr"/>
    </row>
    <row r="761" ht="15" customHeight="1">
      <c r="A761" t="inlineStr">
        <is>
          <t>A 34998-2025</t>
        </is>
      </c>
      <c r="B761" s="1" t="n">
        <v>45850.34434027778</v>
      </c>
      <c r="C761" s="1" t="n">
        <v>46035</v>
      </c>
      <c r="D761" t="inlineStr">
        <is>
          <t>JÄMTLANDS LÄN</t>
        </is>
      </c>
      <c r="E761" t="inlineStr">
        <is>
          <t>RAGUNDA</t>
        </is>
      </c>
      <c r="G761" t="n">
        <v>1.4</v>
      </c>
      <c r="H761" t="n">
        <v>0</v>
      </c>
      <c r="I761" t="n">
        <v>0</v>
      </c>
      <c r="J761" t="n">
        <v>0</v>
      </c>
      <c r="K761" t="n">
        <v>0</v>
      </c>
      <c r="L761" t="n">
        <v>0</v>
      </c>
      <c r="M761" t="n">
        <v>0</v>
      </c>
      <c r="N761" t="n">
        <v>0</v>
      </c>
      <c r="O761" t="n">
        <v>0</v>
      </c>
      <c r="P761" t="n">
        <v>0</v>
      </c>
      <c r="Q761" t="n">
        <v>0</v>
      </c>
      <c r="R761" s="2" t="inlineStr"/>
    </row>
    <row r="762" ht="15" customHeight="1">
      <c r="A762" t="inlineStr">
        <is>
          <t>A 34968-2025</t>
        </is>
      </c>
      <c r="B762" s="1" t="n">
        <v>45849.65663194445</v>
      </c>
      <c r="C762" s="1" t="n">
        <v>46035</v>
      </c>
      <c r="D762" t="inlineStr">
        <is>
          <t>JÄMTLANDS LÄN</t>
        </is>
      </c>
      <c r="E762" t="inlineStr">
        <is>
          <t>RAGUNDA</t>
        </is>
      </c>
      <c r="F762" t="inlineStr">
        <is>
          <t>SCA</t>
        </is>
      </c>
      <c r="G762" t="n">
        <v>20.2</v>
      </c>
      <c r="H762" t="n">
        <v>0</v>
      </c>
      <c r="I762" t="n">
        <v>0</v>
      </c>
      <c r="J762" t="n">
        <v>0</v>
      </c>
      <c r="K762" t="n">
        <v>0</v>
      </c>
      <c r="L762" t="n">
        <v>0</v>
      </c>
      <c r="M762" t="n">
        <v>0</v>
      </c>
      <c r="N762" t="n">
        <v>0</v>
      </c>
      <c r="O762" t="n">
        <v>0</v>
      </c>
      <c r="P762" t="n">
        <v>0</v>
      </c>
      <c r="Q762" t="n">
        <v>0</v>
      </c>
      <c r="R762" s="2" t="inlineStr"/>
    </row>
    <row r="763" ht="15" customHeight="1">
      <c r="A763" t="inlineStr">
        <is>
          <t>A 34999-2025</t>
        </is>
      </c>
      <c r="B763" s="1" t="n">
        <v>45850.34450231482</v>
      </c>
      <c r="C763" s="1" t="n">
        <v>46035</v>
      </c>
      <c r="D763" t="inlineStr">
        <is>
          <t>JÄMTLANDS LÄN</t>
        </is>
      </c>
      <c r="E763" t="inlineStr">
        <is>
          <t>RAGUNDA</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35091-2025</t>
        </is>
      </c>
      <c r="B764" s="1" t="n">
        <v>45852.53168981482</v>
      </c>
      <c r="C764" s="1" t="n">
        <v>46035</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35355-2025</t>
        </is>
      </c>
      <c r="B765" s="1" t="n">
        <v>45854.65663194445</v>
      </c>
      <c r="C765" s="1" t="n">
        <v>46035</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15672-2021</t>
        </is>
      </c>
      <c r="B766" s="1" t="n">
        <v>44286</v>
      </c>
      <c r="C766" s="1" t="n">
        <v>46035</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50650-2023</t>
        </is>
      </c>
      <c r="B767" s="1" t="n">
        <v>45210</v>
      </c>
      <c r="C767" s="1" t="n">
        <v>46035</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35477-2025</t>
        </is>
      </c>
      <c r="B768" s="1" t="n">
        <v>45855.67899305555</v>
      </c>
      <c r="C768" s="1" t="n">
        <v>46035</v>
      </c>
      <c r="D768" t="inlineStr">
        <is>
          <t>JÄMTLANDS LÄN</t>
        </is>
      </c>
      <c r="E768" t="inlineStr">
        <is>
          <t>RAGUNDA</t>
        </is>
      </c>
      <c r="G768" t="n">
        <v>3.6</v>
      </c>
      <c r="H768" t="n">
        <v>0</v>
      </c>
      <c r="I768" t="n">
        <v>0</v>
      </c>
      <c r="J768" t="n">
        <v>0</v>
      </c>
      <c r="K768" t="n">
        <v>0</v>
      </c>
      <c r="L768" t="n">
        <v>0</v>
      </c>
      <c r="M768" t="n">
        <v>0</v>
      </c>
      <c r="N768" t="n">
        <v>0</v>
      </c>
      <c r="O768" t="n">
        <v>0</v>
      </c>
      <c r="P768" t="n">
        <v>0</v>
      </c>
      <c r="Q768" t="n">
        <v>0</v>
      </c>
      <c r="R768" s="2" t="inlineStr"/>
    </row>
    <row r="769" ht="15" customHeight="1">
      <c r="A769" t="inlineStr">
        <is>
          <t>A 564-2025</t>
        </is>
      </c>
      <c r="B769" s="1" t="n">
        <v>45664.55241898148</v>
      </c>
      <c r="C769" s="1" t="n">
        <v>46035</v>
      </c>
      <c r="D769" t="inlineStr">
        <is>
          <t>JÄMTLANDS LÄN</t>
        </is>
      </c>
      <c r="E769" t="inlineStr">
        <is>
          <t>RAGUNDA</t>
        </is>
      </c>
      <c r="F769" t="inlineStr">
        <is>
          <t>SCA</t>
        </is>
      </c>
      <c r="G769" t="n">
        <v>7</v>
      </c>
      <c r="H769" t="n">
        <v>0</v>
      </c>
      <c r="I769" t="n">
        <v>0</v>
      </c>
      <c r="J769" t="n">
        <v>0</v>
      </c>
      <c r="K769" t="n">
        <v>0</v>
      </c>
      <c r="L769" t="n">
        <v>0</v>
      </c>
      <c r="M769" t="n">
        <v>0</v>
      </c>
      <c r="N769" t="n">
        <v>0</v>
      </c>
      <c r="O769" t="n">
        <v>0</v>
      </c>
      <c r="P769" t="n">
        <v>0</v>
      </c>
      <c r="Q769" t="n">
        <v>0</v>
      </c>
      <c r="R769" s="2" t="inlineStr"/>
    </row>
    <row r="770" ht="15" customHeight="1">
      <c r="A770" t="inlineStr">
        <is>
          <t>A 35541-2025</t>
        </is>
      </c>
      <c r="B770" s="1" t="n">
        <v>45856.46931712963</v>
      </c>
      <c r="C770" s="1" t="n">
        <v>46035</v>
      </c>
      <c r="D770" t="inlineStr">
        <is>
          <t>JÄMTLANDS LÄN</t>
        </is>
      </c>
      <c r="E770" t="inlineStr">
        <is>
          <t>RAGUNDA</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60389-2025</t>
        </is>
      </c>
      <c r="B771" s="1" t="n">
        <v>45995.38628472222</v>
      </c>
      <c r="C771" s="1" t="n">
        <v>46035</v>
      </c>
      <c r="D771" t="inlineStr">
        <is>
          <t>JÄMTLANDS LÄN</t>
        </is>
      </c>
      <c r="E771" t="inlineStr">
        <is>
          <t>RAGUNDA</t>
        </is>
      </c>
      <c r="G771" t="n">
        <v>3.3</v>
      </c>
      <c r="H771" t="n">
        <v>0</v>
      </c>
      <c r="I771" t="n">
        <v>0</v>
      </c>
      <c r="J771" t="n">
        <v>0</v>
      </c>
      <c r="K771" t="n">
        <v>0</v>
      </c>
      <c r="L771" t="n">
        <v>0</v>
      </c>
      <c r="M771" t="n">
        <v>0</v>
      </c>
      <c r="N771" t="n">
        <v>0</v>
      </c>
      <c r="O771" t="n">
        <v>0</v>
      </c>
      <c r="P771" t="n">
        <v>0</v>
      </c>
      <c r="Q771" t="n">
        <v>0</v>
      </c>
      <c r="R771" s="2" t="inlineStr"/>
    </row>
    <row r="772" ht="15" customHeight="1">
      <c r="A772" t="inlineStr">
        <is>
          <t>A 35462-2025</t>
        </is>
      </c>
      <c r="B772" s="1" t="n">
        <v>45855.61523148148</v>
      </c>
      <c r="C772" s="1" t="n">
        <v>46035</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35689-2025</t>
        </is>
      </c>
      <c r="B773" s="1" t="n">
        <v>45860.30229166667</v>
      </c>
      <c r="C773" s="1" t="n">
        <v>46035</v>
      </c>
      <c r="D773" t="inlineStr">
        <is>
          <t>JÄMTLANDS LÄN</t>
        </is>
      </c>
      <c r="E773" t="inlineStr">
        <is>
          <t>RAGUNDA</t>
        </is>
      </c>
      <c r="G773" t="n">
        <v>1.9</v>
      </c>
      <c r="H773" t="n">
        <v>0</v>
      </c>
      <c r="I773" t="n">
        <v>0</v>
      </c>
      <c r="J773" t="n">
        <v>0</v>
      </c>
      <c r="K773" t="n">
        <v>0</v>
      </c>
      <c r="L773" t="n">
        <v>0</v>
      </c>
      <c r="M773" t="n">
        <v>0</v>
      </c>
      <c r="N773" t="n">
        <v>0</v>
      </c>
      <c r="O773" t="n">
        <v>0</v>
      </c>
      <c r="P773" t="n">
        <v>0</v>
      </c>
      <c r="Q773" t="n">
        <v>0</v>
      </c>
      <c r="R773" s="2" t="inlineStr"/>
    </row>
    <row r="774" ht="15" customHeight="1">
      <c r="A774" t="inlineStr">
        <is>
          <t>A 35658-2025</t>
        </is>
      </c>
      <c r="B774" s="1" t="n">
        <v>45859.594375</v>
      </c>
      <c r="C774" s="1" t="n">
        <v>46035</v>
      </c>
      <c r="D774" t="inlineStr">
        <is>
          <t>JÄMTLANDS LÄN</t>
        </is>
      </c>
      <c r="E774" t="inlineStr">
        <is>
          <t>RAGUNDA</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3767-2025</t>
        </is>
      </c>
      <c r="B775" s="1" t="n">
        <v>45681.60203703704</v>
      </c>
      <c r="C775" s="1" t="n">
        <v>46035</v>
      </c>
      <c r="D775" t="inlineStr">
        <is>
          <t>JÄMTLANDS LÄN</t>
        </is>
      </c>
      <c r="E775" t="inlineStr">
        <is>
          <t>RAGUNDA</t>
        </is>
      </c>
      <c r="G775" t="n">
        <v>4.9</v>
      </c>
      <c r="H775" t="n">
        <v>0</v>
      </c>
      <c r="I775" t="n">
        <v>0</v>
      </c>
      <c r="J775" t="n">
        <v>0</v>
      </c>
      <c r="K775" t="n">
        <v>0</v>
      </c>
      <c r="L775" t="n">
        <v>0</v>
      </c>
      <c r="M775" t="n">
        <v>0</v>
      </c>
      <c r="N775" t="n">
        <v>0</v>
      </c>
      <c r="O775" t="n">
        <v>0</v>
      </c>
      <c r="P775" t="n">
        <v>0</v>
      </c>
      <c r="Q775" t="n">
        <v>0</v>
      </c>
      <c r="R775" s="2" t="inlineStr"/>
    </row>
    <row r="776" ht="15" customHeight="1">
      <c r="A776" t="inlineStr">
        <is>
          <t>A 3186-2025</t>
        </is>
      </c>
      <c r="B776" s="1" t="n">
        <v>45679.40362268518</v>
      </c>
      <c r="C776" s="1" t="n">
        <v>46035</v>
      </c>
      <c r="D776" t="inlineStr">
        <is>
          <t>JÄMTLANDS LÄN</t>
        </is>
      </c>
      <c r="E776" t="inlineStr">
        <is>
          <t>RAGUNDA</t>
        </is>
      </c>
      <c r="G776" t="n">
        <v>5.2</v>
      </c>
      <c r="H776" t="n">
        <v>0</v>
      </c>
      <c r="I776" t="n">
        <v>0</v>
      </c>
      <c r="J776" t="n">
        <v>0</v>
      </c>
      <c r="K776" t="n">
        <v>0</v>
      </c>
      <c r="L776" t="n">
        <v>0</v>
      </c>
      <c r="M776" t="n">
        <v>0</v>
      </c>
      <c r="N776" t="n">
        <v>0</v>
      </c>
      <c r="O776" t="n">
        <v>0</v>
      </c>
      <c r="P776" t="n">
        <v>0</v>
      </c>
      <c r="Q776" t="n">
        <v>0</v>
      </c>
      <c r="R776" s="2" t="inlineStr"/>
    </row>
    <row r="777" ht="15" customHeight="1">
      <c r="A777" t="inlineStr">
        <is>
          <t>A 1308-2025</t>
        </is>
      </c>
      <c r="B777" s="1" t="n">
        <v>45667.55239583334</v>
      </c>
      <c r="C777" s="1" t="n">
        <v>46035</v>
      </c>
      <c r="D777" t="inlineStr">
        <is>
          <t>JÄMTLANDS LÄN</t>
        </is>
      </c>
      <c r="E777" t="inlineStr">
        <is>
          <t>RAGUNDA</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60387-2025</t>
        </is>
      </c>
      <c r="B778" s="1" t="n">
        <v>45995.38611111111</v>
      </c>
      <c r="C778" s="1" t="n">
        <v>46035</v>
      </c>
      <c r="D778" t="inlineStr">
        <is>
          <t>JÄMTLANDS LÄN</t>
        </is>
      </c>
      <c r="E778" t="inlineStr">
        <is>
          <t>RAGUNDA</t>
        </is>
      </c>
      <c r="G778" t="n">
        <v>8.5</v>
      </c>
      <c r="H778" t="n">
        <v>0</v>
      </c>
      <c r="I778" t="n">
        <v>0</v>
      </c>
      <c r="J778" t="n">
        <v>0</v>
      </c>
      <c r="K778" t="n">
        <v>0</v>
      </c>
      <c r="L778" t="n">
        <v>0</v>
      </c>
      <c r="M778" t="n">
        <v>0</v>
      </c>
      <c r="N778" t="n">
        <v>0</v>
      </c>
      <c r="O778" t="n">
        <v>0</v>
      </c>
      <c r="P778" t="n">
        <v>0</v>
      </c>
      <c r="Q778" t="n">
        <v>0</v>
      </c>
      <c r="R778" s="2" t="inlineStr"/>
    </row>
    <row r="779" ht="15" customHeight="1">
      <c r="A779" t="inlineStr">
        <is>
          <t>A 41262-2021</t>
        </is>
      </c>
      <c r="B779" s="1" t="n">
        <v>44424</v>
      </c>
      <c r="C779" s="1" t="n">
        <v>46035</v>
      </c>
      <c r="D779" t="inlineStr">
        <is>
          <t>JÄMTLANDS LÄN</t>
        </is>
      </c>
      <c r="E779" t="inlineStr">
        <is>
          <t>RAGUNDA</t>
        </is>
      </c>
      <c r="G779" t="n">
        <v>2.6</v>
      </c>
      <c r="H779" t="n">
        <v>0</v>
      </c>
      <c r="I779" t="n">
        <v>0</v>
      </c>
      <c r="J779" t="n">
        <v>0</v>
      </c>
      <c r="K779" t="n">
        <v>0</v>
      </c>
      <c r="L779" t="n">
        <v>0</v>
      </c>
      <c r="M779" t="n">
        <v>0</v>
      </c>
      <c r="N779" t="n">
        <v>0</v>
      </c>
      <c r="O779" t="n">
        <v>0</v>
      </c>
      <c r="P779" t="n">
        <v>0</v>
      </c>
      <c r="Q779" t="n">
        <v>0</v>
      </c>
      <c r="R779" s="2" t="inlineStr"/>
    </row>
    <row r="780" ht="15" customHeight="1">
      <c r="A780" t="inlineStr">
        <is>
          <t>A 36371-2023</t>
        </is>
      </c>
      <c r="B780" s="1" t="n">
        <v>45149</v>
      </c>
      <c r="C780" s="1" t="n">
        <v>46035</v>
      </c>
      <c r="D780" t="inlineStr">
        <is>
          <t>JÄMTLANDS LÄN</t>
        </is>
      </c>
      <c r="E780" t="inlineStr">
        <is>
          <t>RAGUNDA</t>
        </is>
      </c>
      <c r="G780" t="n">
        <v>25.7</v>
      </c>
      <c r="H780" t="n">
        <v>0</v>
      </c>
      <c r="I780" t="n">
        <v>0</v>
      </c>
      <c r="J780" t="n">
        <v>0</v>
      </c>
      <c r="K780" t="n">
        <v>0</v>
      </c>
      <c r="L780" t="n">
        <v>0</v>
      </c>
      <c r="M780" t="n">
        <v>0</v>
      </c>
      <c r="N780" t="n">
        <v>0</v>
      </c>
      <c r="O780" t="n">
        <v>0</v>
      </c>
      <c r="P780" t="n">
        <v>0</v>
      </c>
      <c r="Q780" t="n">
        <v>0</v>
      </c>
      <c r="R780" s="2" t="inlineStr"/>
    </row>
    <row r="781" ht="15" customHeight="1">
      <c r="A781" t="inlineStr">
        <is>
          <t>A 52317-2025</t>
        </is>
      </c>
      <c r="B781" s="1" t="n">
        <v>45953.65675925926</v>
      </c>
      <c r="C781" s="1" t="n">
        <v>46035</v>
      </c>
      <c r="D781" t="inlineStr">
        <is>
          <t>JÄMTLANDS LÄN</t>
        </is>
      </c>
      <c r="E781" t="inlineStr">
        <is>
          <t>RAGUNDA</t>
        </is>
      </c>
      <c r="F781" t="inlineStr">
        <is>
          <t>SCA</t>
        </is>
      </c>
      <c r="G781" t="n">
        <v>27.2</v>
      </c>
      <c r="H781" t="n">
        <v>0</v>
      </c>
      <c r="I781" t="n">
        <v>0</v>
      </c>
      <c r="J781" t="n">
        <v>0</v>
      </c>
      <c r="K781" t="n">
        <v>0</v>
      </c>
      <c r="L781" t="n">
        <v>0</v>
      </c>
      <c r="M781" t="n">
        <v>0</v>
      </c>
      <c r="N781" t="n">
        <v>0</v>
      </c>
      <c r="O781" t="n">
        <v>0</v>
      </c>
      <c r="P781" t="n">
        <v>0</v>
      </c>
      <c r="Q781" t="n">
        <v>0</v>
      </c>
      <c r="R781" s="2" t="inlineStr"/>
    </row>
    <row r="782" ht="15" customHeight="1">
      <c r="A782" t="inlineStr">
        <is>
          <t>A 52330-2025</t>
        </is>
      </c>
      <c r="B782" s="1" t="n">
        <v>45953.67752314815</v>
      </c>
      <c r="C782" s="1" t="n">
        <v>46035</v>
      </c>
      <c r="D782" t="inlineStr">
        <is>
          <t>JÄMTLANDS LÄN</t>
        </is>
      </c>
      <c r="E782" t="inlineStr">
        <is>
          <t>RAGUNDA</t>
        </is>
      </c>
      <c r="F782" t="inlineStr">
        <is>
          <t>SCA</t>
        </is>
      </c>
      <c r="G782" t="n">
        <v>10.1</v>
      </c>
      <c r="H782" t="n">
        <v>0</v>
      </c>
      <c r="I782" t="n">
        <v>0</v>
      </c>
      <c r="J782" t="n">
        <v>0</v>
      </c>
      <c r="K782" t="n">
        <v>0</v>
      </c>
      <c r="L782" t="n">
        <v>0</v>
      </c>
      <c r="M782" t="n">
        <v>0</v>
      </c>
      <c r="N782" t="n">
        <v>0</v>
      </c>
      <c r="O782" t="n">
        <v>0</v>
      </c>
      <c r="P782" t="n">
        <v>0</v>
      </c>
      <c r="Q782" t="n">
        <v>0</v>
      </c>
      <c r="R782" s="2" t="inlineStr"/>
    </row>
    <row r="783" ht="15" customHeight="1">
      <c r="A783" t="inlineStr">
        <is>
          <t>A 51579-2024</t>
        </is>
      </c>
      <c r="B783" s="1" t="n">
        <v>45604.63575231482</v>
      </c>
      <c r="C783" s="1" t="n">
        <v>46035</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54092-2024</t>
        </is>
      </c>
      <c r="B784" s="1" t="n">
        <v>45616.5108912037</v>
      </c>
      <c r="C784" s="1" t="n">
        <v>46035</v>
      </c>
      <c r="D784" t="inlineStr">
        <is>
          <t>JÄMTLANDS LÄN</t>
        </is>
      </c>
      <c r="E784" t="inlineStr">
        <is>
          <t>RAGUNDA</t>
        </is>
      </c>
      <c r="F784" t="inlineStr">
        <is>
          <t>Naturvårdsverket</t>
        </is>
      </c>
      <c r="G784" t="n">
        <v>1.3</v>
      </c>
      <c r="H784" t="n">
        <v>0</v>
      </c>
      <c r="I784" t="n">
        <v>0</v>
      </c>
      <c r="J784" t="n">
        <v>0</v>
      </c>
      <c r="K784" t="n">
        <v>0</v>
      </c>
      <c r="L784" t="n">
        <v>0</v>
      </c>
      <c r="M784" t="n">
        <v>0</v>
      </c>
      <c r="N784" t="n">
        <v>0</v>
      </c>
      <c r="O784" t="n">
        <v>0</v>
      </c>
      <c r="P784" t="n">
        <v>0</v>
      </c>
      <c r="Q784" t="n">
        <v>0</v>
      </c>
      <c r="R784" s="2" t="inlineStr"/>
    </row>
    <row r="785" ht="15" customHeight="1">
      <c r="A785" t="inlineStr">
        <is>
          <t>A 60630-2025</t>
        </is>
      </c>
      <c r="B785" s="1" t="n">
        <v>45996.42120370371</v>
      </c>
      <c r="C785" s="1" t="n">
        <v>46035</v>
      </c>
      <c r="D785" t="inlineStr">
        <is>
          <t>JÄMTLANDS LÄN</t>
        </is>
      </c>
      <c r="E785" t="inlineStr">
        <is>
          <t>RAGUNDA</t>
        </is>
      </c>
      <c r="G785" t="n">
        <v>13.2</v>
      </c>
      <c r="H785" t="n">
        <v>0</v>
      </c>
      <c r="I785" t="n">
        <v>0</v>
      </c>
      <c r="J785" t="n">
        <v>0</v>
      </c>
      <c r="K785" t="n">
        <v>0</v>
      </c>
      <c r="L785" t="n">
        <v>0</v>
      </c>
      <c r="M785" t="n">
        <v>0</v>
      </c>
      <c r="N785" t="n">
        <v>0</v>
      </c>
      <c r="O785" t="n">
        <v>0</v>
      </c>
      <c r="P785" t="n">
        <v>0</v>
      </c>
      <c r="Q785" t="n">
        <v>0</v>
      </c>
      <c r="R785" s="2" t="inlineStr"/>
    </row>
    <row r="786" ht="15" customHeight="1">
      <c r="A786" t="inlineStr">
        <is>
          <t>A 52395-2025</t>
        </is>
      </c>
      <c r="B786" s="1" t="n">
        <v>45954.34487268519</v>
      </c>
      <c r="C786" s="1" t="n">
        <v>46035</v>
      </c>
      <c r="D786" t="inlineStr">
        <is>
          <t>JÄMTLANDS LÄN</t>
        </is>
      </c>
      <c r="E786" t="inlineStr">
        <is>
          <t>RAGUNDA</t>
        </is>
      </c>
      <c r="F786" t="inlineStr">
        <is>
          <t>SCA</t>
        </is>
      </c>
      <c r="G786" t="n">
        <v>14.2</v>
      </c>
      <c r="H786" t="n">
        <v>0</v>
      </c>
      <c r="I786" t="n">
        <v>0</v>
      </c>
      <c r="J786" t="n">
        <v>0</v>
      </c>
      <c r="K786" t="n">
        <v>0</v>
      </c>
      <c r="L786" t="n">
        <v>0</v>
      </c>
      <c r="M786" t="n">
        <v>0</v>
      </c>
      <c r="N786" t="n">
        <v>0</v>
      </c>
      <c r="O786" t="n">
        <v>0</v>
      </c>
      <c r="P786" t="n">
        <v>0</v>
      </c>
      <c r="Q786" t="n">
        <v>0</v>
      </c>
      <c r="R786" s="2" t="inlineStr"/>
    </row>
    <row r="787" ht="15" customHeight="1">
      <c r="A787" t="inlineStr">
        <is>
          <t>A 44630-2023</t>
        </is>
      </c>
      <c r="B787" s="1" t="n">
        <v>45184</v>
      </c>
      <c r="C787" s="1" t="n">
        <v>46035</v>
      </c>
      <c r="D787" t="inlineStr">
        <is>
          <t>JÄMTLANDS LÄN</t>
        </is>
      </c>
      <c r="E787" t="inlineStr">
        <is>
          <t>RAGUNDA</t>
        </is>
      </c>
      <c r="G787" t="n">
        <v>3.4</v>
      </c>
      <c r="H787" t="n">
        <v>0</v>
      </c>
      <c r="I787" t="n">
        <v>0</v>
      </c>
      <c r="J787" t="n">
        <v>0</v>
      </c>
      <c r="K787" t="n">
        <v>0</v>
      </c>
      <c r="L787" t="n">
        <v>0</v>
      </c>
      <c r="M787" t="n">
        <v>0</v>
      </c>
      <c r="N787" t="n">
        <v>0</v>
      </c>
      <c r="O787" t="n">
        <v>0</v>
      </c>
      <c r="P787" t="n">
        <v>0</v>
      </c>
      <c r="Q787" t="n">
        <v>0</v>
      </c>
      <c r="R787" s="2" t="inlineStr"/>
    </row>
    <row r="788" ht="15" customHeight="1">
      <c r="A788" t="inlineStr">
        <is>
          <t>A 36541-2025</t>
        </is>
      </c>
      <c r="B788" s="1" t="n">
        <v>45869.65666666667</v>
      </c>
      <c r="C788" s="1" t="n">
        <v>46035</v>
      </c>
      <c r="D788" t="inlineStr">
        <is>
          <t>JÄMTLANDS LÄN</t>
        </is>
      </c>
      <c r="E788" t="inlineStr">
        <is>
          <t>RAGUNDA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36544-2025</t>
        </is>
      </c>
      <c r="B789" s="1" t="n">
        <v>45869.67744212963</v>
      </c>
      <c r="C789" s="1" t="n">
        <v>46035</v>
      </c>
      <c r="D789" t="inlineStr">
        <is>
          <t>JÄMTLANDS LÄN</t>
        </is>
      </c>
      <c r="E789" t="inlineStr">
        <is>
          <t>RAGUNDA</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36553-2025</t>
        </is>
      </c>
      <c r="B790" s="1" t="n">
        <v>45870.34439814815</v>
      </c>
      <c r="C790" s="1" t="n">
        <v>46035</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46035</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46035</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53032-2025</t>
        </is>
      </c>
      <c r="B793" s="1" t="n">
        <v>45958.34462962963</v>
      </c>
      <c r="C793" s="1" t="n">
        <v>46035</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53076-2025</t>
        </is>
      </c>
      <c r="B794" s="1" t="n">
        <v>45958.38604166666</v>
      </c>
      <c r="C794" s="1" t="n">
        <v>46035</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60775-2025</t>
        </is>
      </c>
      <c r="B795" s="1" t="n">
        <v>45999.3905787037</v>
      </c>
      <c r="C795" s="1" t="n">
        <v>46035</v>
      </c>
      <c r="D795" t="inlineStr">
        <is>
          <t>JÄMTLANDS LÄN</t>
        </is>
      </c>
      <c r="E795" t="inlineStr">
        <is>
          <t>RAGUNDA</t>
        </is>
      </c>
      <c r="G795" t="n">
        <v>15.7</v>
      </c>
      <c r="H795" t="n">
        <v>0</v>
      </c>
      <c r="I795" t="n">
        <v>0</v>
      </c>
      <c r="J795" t="n">
        <v>0</v>
      </c>
      <c r="K795" t="n">
        <v>0</v>
      </c>
      <c r="L795" t="n">
        <v>0</v>
      </c>
      <c r="M795" t="n">
        <v>0</v>
      </c>
      <c r="N795" t="n">
        <v>0</v>
      </c>
      <c r="O795" t="n">
        <v>0</v>
      </c>
      <c r="P795" t="n">
        <v>0</v>
      </c>
      <c r="Q795" t="n">
        <v>0</v>
      </c>
      <c r="R795" s="2" t="inlineStr"/>
    </row>
    <row r="796" ht="15" customHeight="1">
      <c r="A796" t="inlineStr">
        <is>
          <t>A 36246-2024</t>
        </is>
      </c>
      <c r="B796" s="1" t="n">
        <v>45534</v>
      </c>
      <c r="C796" s="1" t="n">
        <v>46035</v>
      </c>
      <c r="D796" t="inlineStr">
        <is>
          <t>JÄMTLANDS LÄN</t>
        </is>
      </c>
      <c r="E796" t="inlineStr">
        <is>
          <t>RAGUNDA</t>
        </is>
      </c>
      <c r="G796" t="n">
        <v>1.6</v>
      </c>
      <c r="H796" t="n">
        <v>0</v>
      </c>
      <c r="I796" t="n">
        <v>0</v>
      </c>
      <c r="J796" t="n">
        <v>0</v>
      </c>
      <c r="K796" t="n">
        <v>0</v>
      </c>
      <c r="L796" t="n">
        <v>0</v>
      </c>
      <c r="M796" t="n">
        <v>0</v>
      </c>
      <c r="N796" t="n">
        <v>0</v>
      </c>
      <c r="O796" t="n">
        <v>0</v>
      </c>
      <c r="P796" t="n">
        <v>0</v>
      </c>
      <c r="Q796" t="n">
        <v>0</v>
      </c>
      <c r="R796" s="2" t="inlineStr"/>
    </row>
    <row r="797" ht="15" customHeight="1">
      <c r="A797" t="inlineStr">
        <is>
          <t>A 36947-2025</t>
        </is>
      </c>
      <c r="B797" s="1" t="n">
        <v>45874.59496527778</v>
      </c>
      <c r="C797" s="1" t="n">
        <v>46035</v>
      </c>
      <c r="D797" t="inlineStr">
        <is>
          <t>JÄMTLANDS LÄN</t>
        </is>
      </c>
      <c r="E797" t="inlineStr">
        <is>
          <t>RAGUNDA</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32075-2025</t>
        </is>
      </c>
      <c r="B798" s="1" t="n">
        <v>45835.4506712963</v>
      </c>
      <c r="C798" s="1" t="n">
        <v>46035</v>
      </c>
      <c r="D798" t="inlineStr">
        <is>
          <t>JÄMTLANDS LÄN</t>
        </is>
      </c>
      <c r="E798" t="inlineStr">
        <is>
          <t>RAGUNDA</t>
        </is>
      </c>
      <c r="G798" t="n">
        <v>1.1</v>
      </c>
      <c r="H798" t="n">
        <v>0</v>
      </c>
      <c r="I798" t="n">
        <v>0</v>
      </c>
      <c r="J798" t="n">
        <v>0</v>
      </c>
      <c r="K798" t="n">
        <v>0</v>
      </c>
      <c r="L798" t="n">
        <v>0</v>
      </c>
      <c r="M798" t="n">
        <v>0</v>
      </c>
      <c r="N798" t="n">
        <v>0</v>
      </c>
      <c r="O798" t="n">
        <v>0</v>
      </c>
      <c r="P798" t="n">
        <v>0</v>
      </c>
      <c r="Q798" t="n">
        <v>0</v>
      </c>
      <c r="R798" s="2" t="inlineStr"/>
    </row>
    <row r="799" ht="15" customHeight="1">
      <c r="A799" t="inlineStr">
        <is>
          <t>A 32063-2024</t>
        </is>
      </c>
      <c r="B799" s="1" t="n">
        <v>45510</v>
      </c>
      <c r="C799" s="1" t="n">
        <v>46035</v>
      </c>
      <c r="D799" t="inlineStr">
        <is>
          <t>JÄMTLANDS LÄN</t>
        </is>
      </c>
      <c r="E799" t="inlineStr">
        <is>
          <t>RAGUNDA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36994-2025</t>
        </is>
      </c>
      <c r="B800" s="1" t="n">
        <v>45874.67746527777</v>
      </c>
      <c r="C800" s="1" t="n">
        <v>46035</v>
      </c>
      <c r="D800" t="inlineStr">
        <is>
          <t>JÄMTLANDS LÄN</t>
        </is>
      </c>
      <c r="E800" t="inlineStr">
        <is>
          <t>RAGUNDA</t>
        </is>
      </c>
      <c r="F800" t="inlineStr">
        <is>
          <t>SCA</t>
        </is>
      </c>
      <c r="G800" t="n">
        <v>7.2</v>
      </c>
      <c r="H800" t="n">
        <v>0</v>
      </c>
      <c r="I800" t="n">
        <v>0</v>
      </c>
      <c r="J800" t="n">
        <v>0</v>
      </c>
      <c r="K800" t="n">
        <v>0</v>
      </c>
      <c r="L800" t="n">
        <v>0</v>
      </c>
      <c r="M800" t="n">
        <v>0</v>
      </c>
      <c r="N800" t="n">
        <v>0</v>
      </c>
      <c r="O800" t="n">
        <v>0</v>
      </c>
      <c r="P800" t="n">
        <v>0</v>
      </c>
      <c r="Q800" t="n">
        <v>0</v>
      </c>
      <c r="R800" s="2" t="inlineStr"/>
    </row>
    <row r="801" ht="15" customHeight="1">
      <c r="A801" t="inlineStr">
        <is>
          <t>A 32874-2025</t>
        </is>
      </c>
      <c r="B801" s="1" t="n">
        <v>45839</v>
      </c>
      <c r="C801" s="1" t="n">
        <v>46035</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52394-2025</t>
        </is>
      </c>
      <c r="B802" s="1" t="n">
        <v>45954.34466435185</v>
      </c>
      <c r="C802" s="1" t="n">
        <v>46035</v>
      </c>
      <c r="D802" t="inlineStr">
        <is>
          <t>JÄMTLANDS LÄN</t>
        </is>
      </c>
      <c r="E802" t="inlineStr">
        <is>
          <t>RAGUNDA</t>
        </is>
      </c>
      <c r="F802" t="inlineStr">
        <is>
          <t>SCA</t>
        </is>
      </c>
      <c r="G802" t="n">
        <v>53.8</v>
      </c>
      <c r="H802" t="n">
        <v>0</v>
      </c>
      <c r="I802" t="n">
        <v>0</v>
      </c>
      <c r="J802" t="n">
        <v>0</v>
      </c>
      <c r="K802" t="n">
        <v>0</v>
      </c>
      <c r="L802" t="n">
        <v>0</v>
      </c>
      <c r="M802" t="n">
        <v>0</v>
      </c>
      <c r="N802" t="n">
        <v>0</v>
      </c>
      <c r="O802" t="n">
        <v>0</v>
      </c>
      <c r="P802" t="n">
        <v>0</v>
      </c>
      <c r="Q802" t="n">
        <v>0</v>
      </c>
      <c r="R802" s="2" t="inlineStr"/>
    </row>
    <row r="803" ht="15" customHeight="1">
      <c r="A803" t="inlineStr">
        <is>
          <t>A 5307-2025</t>
        </is>
      </c>
      <c r="B803" s="1" t="n">
        <v>45692.48993055556</v>
      </c>
      <c r="C803" s="1" t="n">
        <v>46035</v>
      </c>
      <c r="D803" t="inlineStr">
        <is>
          <t>JÄMTLANDS LÄN</t>
        </is>
      </c>
      <c r="E803" t="inlineStr">
        <is>
          <t>RAGUNDA</t>
        </is>
      </c>
      <c r="F803" t="inlineStr">
        <is>
          <t>SCA</t>
        </is>
      </c>
      <c r="G803" t="n">
        <v>20.9</v>
      </c>
      <c r="H803" t="n">
        <v>0</v>
      </c>
      <c r="I803" t="n">
        <v>0</v>
      </c>
      <c r="J803" t="n">
        <v>0</v>
      </c>
      <c r="K803" t="n">
        <v>0</v>
      </c>
      <c r="L803" t="n">
        <v>0</v>
      </c>
      <c r="M803" t="n">
        <v>0</v>
      </c>
      <c r="N803" t="n">
        <v>0</v>
      </c>
      <c r="O803" t="n">
        <v>0</v>
      </c>
      <c r="P803" t="n">
        <v>0</v>
      </c>
      <c r="Q803" t="n">
        <v>0</v>
      </c>
      <c r="R803" s="2" t="inlineStr"/>
    </row>
    <row r="804" ht="15" customHeight="1">
      <c r="A804" t="inlineStr">
        <is>
          <t>A 48066-2022</t>
        </is>
      </c>
      <c r="B804" s="1" t="n">
        <v>44855</v>
      </c>
      <c r="C804" s="1" t="n">
        <v>46035</v>
      </c>
      <c r="D804" t="inlineStr">
        <is>
          <t>JÄMTLANDS LÄN</t>
        </is>
      </c>
      <c r="E804" t="inlineStr">
        <is>
          <t>RAGUNDA</t>
        </is>
      </c>
      <c r="F804" t="inlineStr">
        <is>
          <t>SCA</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37008-2025</t>
        </is>
      </c>
      <c r="B805" s="1" t="n">
        <v>45874.69844907407</v>
      </c>
      <c r="C805" s="1" t="n">
        <v>46035</v>
      </c>
      <c r="D805" t="inlineStr">
        <is>
          <t>JÄMTLANDS LÄN</t>
        </is>
      </c>
      <c r="E805" t="inlineStr">
        <is>
          <t>RAGUNDA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26942-2021</t>
        </is>
      </c>
      <c r="B806" s="1" t="n">
        <v>44349.91978009259</v>
      </c>
      <c r="C806" s="1" t="n">
        <v>46035</v>
      </c>
      <c r="D806" t="inlineStr">
        <is>
          <t>JÄMTLANDS LÄN</t>
        </is>
      </c>
      <c r="E806" t="inlineStr">
        <is>
          <t>RAGUNDA</t>
        </is>
      </c>
      <c r="G806" t="n">
        <v>6.2</v>
      </c>
      <c r="H806" t="n">
        <v>0</v>
      </c>
      <c r="I806" t="n">
        <v>0</v>
      </c>
      <c r="J806" t="n">
        <v>0</v>
      </c>
      <c r="K806" t="n">
        <v>0</v>
      </c>
      <c r="L806" t="n">
        <v>0</v>
      </c>
      <c r="M806" t="n">
        <v>0</v>
      </c>
      <c r="N806" t="n">
        <v>0</v>
      </c>
      <c r="O806" t="n">
        <v>0</v>
      </c>
      <c r="P806" t="n">
        <v>0</v>
      </c>
      <c r="Q806" t="n">
        <v>0</v>
      </c>
      <c r="R806" s="2" t="inlineStr"/>
    </row>
    <row r="807" ht="15" customHeight="1">
      <c r="A807" t="inlineStr">
        <is>
          <t>A 37292-2025</t>
        </is>
      </c>
      <c r="B807" s="1" t="n">
        <v>45876.53188657408</v>
      </c>
      <c r="C807" s="1" t="n">
        <v>46035</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56504-2024</t>
        </is>
      </c>
      <c r="B808" s="1" t="n">
        <v>45625.51068287037</v>
      </c>
      <c r="C808" s="1" t="n">
        <v>46035</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5938-2025</t>
        </is>
      </c>
      <c r="B809" s="1" t="n">
        <v>45695.45868055556</v>
      </c>
      <c r="C809" s="1" t="n">
        <v>46035</v>
      </c>
      <c r="D809" t="inlineStr">
        <is>
          <t>JÄMTLANDS LÄN</t>
        </is>
      </c>
      <c r="E809" t="inlineStr">
        <is>
          <t>RAGUNDA</t>
        </is>
      </c>
      <c r="G809" t="n">
        <v>1</v>
      </c>
      <c r="H809" t="n">
        <v>0</v>
      </c>
      <c r="I809" t="n">
        <v>0</v>
      </c>
      <c r="J809" t="n">
        <v>0</v>
      </c>
      <c r="K809" t="n">
        <v>0</v>
      </c>
      <c r="L809" t="n">
        <v>0</v>
      </c>
      <c r="M809" t="n">
        <v>0</v>
      </c>
      <c r="N809" t="n">
        <v>0</v>
      </c>
      <c r="O809" t="n">
        <v>0</v>
      </c>
      <c r="P809" t="n">
        <v>0</v>
      </c>
      <c r="Q809" t="n">
        <v>0</v>
      </c>
      <c r="R809" s="2" t="inlineStr"/>
    </row>
    <row r="810" ht="15" customHeight="1">
      <c r="A810" t="inlineStr">
        <is>
          <t>A 61233-2025</t>
        </is>
      </c>
      <c r="B810" s="1" t="n">
        <v>46000.6359837963</v>
      </c>
      <c r="C810" s="1" t="n">
        <v>46035</v>
      </c>
      <c r="D810" t="inlineStr">
        <is>
          <t>JÄMTLANDS LÄN</t>
        </is>
      </c>
      <c r="E810" t="inlineStr">
        <is>
          <t>RAGUNDA</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60760-2025</t>
        </is>
      </c>
      <c r="B811" s="1" t="n">
        <v>45999.38597222222</v>
      </c>
      <c r="C811" s="1" t="n">
        <v>46035</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46035</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35537-2021</t>
        </is>
      </c>
      <c r="B813" s="1" t="n">
        <v>44384</v>
      </c>
      <c r="C813" s="1" t="n">
        <v>46035</v>
      </c>
      <c r="D813" t="inlineStr">
        <is>
          <t>JÄMTLANDS LÄN</t>
        </is>
      </c>
      <c r="E813" t="inlineStr">
        <is>
          <t>RAGUNDA</t>
        </is>
      </c>
      <c r="G813" t="n">
        <v>3.1</v>
      </c>
      <c r="H813" t="n">
        <v>0</v>
      </c>
      <c r="I813" t="n">
        <v>0</v>
      </c>
      <c r="J813" t="n">
        <v>0</v>
      </c>
      <c r="K813" t="n">
        <v>0</v>
      </c>
      <c r="L813" t="n">
        <v>0</v>
      </c>
      <c r="M813" t="n">
        <v>0</v>
      </c>
      <c r="N813" t="n">
        <v>0</v>
      </c>
      <c r="O813" t="n">
        <v>0</v>
      </c>
      <c r="P813" t="n">
        <v>0</v>
      </c>
      <c r="Q813" t="n">
        <v>0</v>
      </c>
      <c r="R813" s="2" t="inlineStr"/>
    </row>
    <row r="814" ht="15" customHeight="1">
      <c r="A814" t="inlineStr">
        <is>
          <t>A 52430-2025</t>
        </is>
      </c>
      <c r="B814" s="1" t="n">
        <v>45954.38592592593</v>
      </c>
      <c r="C814" s="1" t="n">
        <v>46035</v>
      </c>
      <c r="D814" t="inlineStr">
        <is>
          <t>JÄMTLANDS LÄN</t>
        </is>
      </c>
      <c r="E814" t="inlineStr">
        <is>
          <t>RAGUNDA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9504-2025</t>
        </is>
      </c>
      <c r="B815" s="1" t="n">
        <v>45714</v>
      </c>
      <c r="C815" s="1" t="n">
        <v>46035</v>
      </c>
      <c r="D815" t="inlineStr">
        <is>
          <t>JÄMTLANDS LÄN</t>
        </is>
      </c>
      <c r="E815" t="inlineStr">
        <is>
          <t>RAGUNDA</t>
        </is>
      </c>
      <c r="G815" t="n">
        <v>6</v>
      </c>
      <c r="H815" t="n">
        <v>0</v>
      </c>
      <c r="I815" t="n">
        <v>0</v>
      </c>
      <c r="J815" t="n">
        <v>0</v>
      </c>
      <c r="K815" t="n">
        <v>0</v>
      </c>
      <c r="L815" t="n">
        <v>0</v>
      </c>
      <c r="M815" t="n">
        <v>0</v>
      </c>
      <c r="N815" t="n">
        <v>0</v>
      </c>
      <c r="O815" t="n">
        <v>0</v>
      </c>
      <c r="P815" t="n">
        <v>0</v>
      </c>
      <c r="Q815" t="n">
        <v>0</v>
      </c>
      <c r="R815" s="2" t="inlineStr"/>
    </row>
    <row r="816" ht="15" customHeight="1">
      <c r="A816" t="inlineStr">
        <is>
          <t>A 18248-2023</t>
        </is>
      </c>
      <c r="B816" s="1" t="n">
        <v>45040</v>
      </c>
      <c r="C816" s="1" t="n">
        <v>46035</v>
      </c>
      <c r="D816" t="inlineStr">
        <is>
          <t>JÄMTLANDS LÄN</t>
        </is>
      </c>
      <c r="E816" t="inlineStr">
        <is>
          <t>RAGUNDA</t>
        </is>
      </c>
      <c r="G816" t="n">
        <v>4.3</v>
      </c>
      <c r="H816" t="n">
        <v>0</v>
      </c>
      <c r="I816" t="n">
        <v>0</v>
      </c>
      <c r="J816" t="n">
        <v>0</v>
      </c>
      <c r="K816" t="n">
        <v>0</v>
      </c>
      <c r="L816" t="n">
        <v>0</v>
      </c>
      <c r="M816" t="n">
        <v>0</v>
      </c>
      <c r="N816" t="n">
        <v>0</v>
      </c>
      <c r="O816" t="n">
        <v>0</v>
      </c>
      <c r="P816" t="n">
        <v>0</v>
      </c>
      <c r="Q816" t="n">
        <v>0</v>
      </c>
      <c r="R816" s="2" t="inlineStr"/>
    </row>
    <row r="817" ht="15" customHeight="1">
      <c r="A817" t="inlineStr">
        <is>
          <t>A 45438-2022</t>
        </is>
      </c>
      <c r="B817" s="1" t="n">
        <v>44844.95368055555</v>
      </c>
      <c r="C817" s="1" t="n">
        <v>46035</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30459-2021</t>
        </is>
      </c>
      <c r="B818" s="1" t="n">
        <v>44362</v>
      </c>
      <c r="C818" s="1" t="n">
        <v>46035</v>
      </c>
      <c r="D818" t="inlineStr">
        <is>
          <t>JÄMTLANDS LÄN</t>
        </is>
      </c>
      <c r="E818" t="inlineStr">
        <is>
          <t>RAGUNDA</t>
        </is>
      </c>
      <c r="G818" t="n">
        <v>1</v>
      </c>
      <c r="H818" t="n">
        <v>0</v>
      </c>
      <c r="I818" t="n">
        <v>0</v>
      </c>
      <c r="J818" t="n">
        <v>0</v>
      </c>
      <c r="K818" t="n">
        <v>0</v>
      </c>
      <c r="L818" t="n">
        <v>0</v>
      </c>
      <c r="M818" t="n">
        <v>0</v>
      </c>
      <c r="N818" t="n">
        <v>0</v>
      </c>
      <c r="O818" t="n">
        <v>0</v>
      </c>
      <c r="P818" t="n">
        <v>0</v>
      </c>
      <c r="Q818" t="n">
        <v>0</v>
      </c>
      <c r="R818" s="2" t="inlineStr"/>
    </row>
    <row r="819" ht="15" customHeight="1">
      <c r="A819" t="inlineStr">
        <is>
          <t>A 29263-2024</t>
        </is>
      </c>
      <c r="B819" s="1" t="n">
        <v>45482.94891203703</v>
      </c>
      <c r="C819" s="1" t="n">
        <v>46035</v>
      </c>
      <c r="D819" t="inlineStr">
        <is>
          <t>JÄMTLANDS LÄN</t>
        </is>
      </c>
      <c r="E819" t="inlineStr">
        <is>
          <t>RAGUNDA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29265-2024</t>
        </is>
      </c>
      <c r="B820" s="1" t="n">
        <v>45482.9491087963</v>
      </c>
      <c r="C820" s="1" t="n">
        <v>46035</v>
      </c>
      <c r="D820" t="inlineStr">
        <is>
          <t>JÄMTLANDS LÄN</t>
        </is>
      </c>
      <c r="E820" t="inlineStr">
        <is>
          <t>RAGUNDA</t>
        </is>
      </c>
      <c r="F820" t="inlineStr">
        <is>
          <t>SCA</t>
        </is>
      </c>
      <c r="G820" t="n">
        <v>11.6</v>
      </c>
      <c r="H820" t="n">
        <v>0</v>
      </c>
      <c r="I820" t="n">
        <v>0</v>
      </c>
      <c r="J820" t="n">
        <v>0</v>
      </c>
      <c r="K820" t="n">
        <v>0</v>
      </c>
      <c r="L820" t="n">
        <v>0</v>
      </c>
      <c r="M820" t="n">
        <v>0</v>
      </c>
      <c r="N820" t="n">
        <v>0</v>
      </c>
      <c r="O820" t="n">
        <v>0</v>
      </c>
      <c r="P820" t="n">
        <v>0</v>
      </c>
      <c r="Q820" t="n">
        <v>0</v>
      </c>
      <c r="R820" s="2" t="inlineStr"/>
    </row>
    <row r="821" ht="15" customHeight="1">
      <c r="A821" t="inlineStr">
        <is>
          <t>A 13898-2023</t>
        </is>
      </c>
      <c r="B821" s="1" t="n">
        <v>45008.01408564814</v>
      </c>
      <c r="C821" s="1" t="n">
        <v>46035</v>
      </c>
      <c r="D821" t="inlineStr">
        <is>
          <t>JÄMTLANDS LÄN</t>
        </is>
      </c>
      <c r="E821" t="inlineStr">
        <is>
          <t>RAGUNDA</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41693-2023</t>
        </is>
      </c>
      <c r="B822" s="1" t="n">
        <v>45176</v>
      </c>
      <c r="C822" s="1" t="n">
        <v>46035</v>
      </c>
      <c r="D822" t="inlineStr">
        <is>
          <t>JÄMTLANDS LÄN</t>
        </is>
      </c>
      <c r="E822" t="inlineStr">
        <is>
          <t>RAGUNDA</t>
        </is>
      </c>
      <c r="G822" t="n">
        <v>5.5</v>
      </c>
      <c r="H822" t="n">
        <v>0</v>
      </c>
      <c r="I822" t="n">
        <v>0</v>
      </c>
      <c r="J822" t="n">
        <v>0</v>
      </c>
      <c r="K822" t="n">
        <v>0</v>
      </c>
      <c r="L822" t="n">
        <v>0</v>
      </c>
      <c r="M822" t="n">
        <v>0</v>
      </c>
      <c r="N822" t="n">
        <v>0</v>
      </c>
      <c r="O822" t="n">
        <v>0</v>
      </c>
      <c r="P822" t="n">
        <v>0</v>
      </c>
      <c r="Q822" t="n">
        <v>0</v>
      </c>
      <c r="R822" s="2" t="inlineStr"/>
    </row>
    <row r="823" ht="15" customHeight="1">
      <c r="A823" t="inlineStr">
        <is>
          <t>A 52875-2025</t>
        </is>
      </c>
      <c r="B823" s="1" t="n">
        <v>45957.53211805555</v>
      </c>
      <c r="C823" s="1" t="n">
        <v>46035</v>
      </c>
      <c r="D823" t="inlineStr">
        <is>
          <t>JÄMTLANDS LÄN</t>
        </is>
      </c>
      <c r="E823" t="inlineStr">
        <is>
          <t>RAGUNDA</t>
        </is>
      </c>
      <c r="F823" t="inlineStr">
        <is>
          <t>SCA</t>
        </is>
      </c>
      <c r="G823" t="n">
        <v>34.3</v>
      </c>
      <c r="H823" t="n">
        <v>0</v>
      </c>
      <c r="I823" t="n">
        <v>0</v>
      </c>
      <c r="J823" t="n">
        <v>0</v>
      </c>
      <c r="K823" t="n">
        <v>0</v>
      </c>
      <c r="L823" t="n">
        <v>0</v>
      </c>
      <c r="M823" t="n">
        <v>0</v>
      </c>
      <c r="N823" t="n">
        <v>0</v>
      </c>
      <c r="O823" t="n">
        <v>0</v>
      </c>
      <c r="P823" t="n">
        <v>0</v>
      </c>
      <c r="Q823" t="n">
        <v>0</v>
      </c>
      <c r="R823" s="2" t="inlineStr"/>
    </row>
    <row r="824" ht="15" customHeight="1">
      <c r="A824" t="inlineStr">
        <is>
          <t>A 61266-2025</t>
        </is>
      </c>
      <c r="B824" s="1" t="n">
        <v>46000.67784722222</v>
      </c>
      <c r="C824" s="1" t="n">
        <v>46035</v>
      </c>
      <c r="D824" t="inlineStr">
        <is>
          <t>JÄMTLANDS LÄN</t>
        </is>
      </c>
      <c r="E824" t="inlineStr">
        <is>
          <t>RAGUNDA</t>
        </is>
      </c>
      <c r="G824" t="n">
        <v>7.9</v>
      </c>
      <c r="H824" t="n">
        <v>0</v>
      </c>
      <c r="I824" t="n">
        <v>0</v>
      </c>
      <c r="J824" t="n">
        <v>0</v>
      </c>
      <c r="K824" t="n">
        <v>0</v>
      </c>
      <c r="L824" t="n">
        <v>0</v>
      </c>
      <c r="M824" t="n">
        <v>0</v>
      </c>
      <c r="N824" t="n">
        <v>0</v>
      </c>
      <c r="O824" t="n">
        <v>0</v>
      </c>
      <c r="P824" t="n">
        <v>0</v>
      </c>
      <c r="Q824" t="n">
        <v>0</v>
      </c>
      <c r="R824" s="2" t="inlineStr"/>
    </row>
    <row r="825" ht="15" customHeight="1">
      <c r="A825" t="inlineStr">
        <is>
          <t>A 3770-2025</t>
        </is>
      </c>
      <c r="B825" s="1" t="n">
        <v>45681.6050925926</v>
      </c>
      <c r="C825" s="1" t="n">
        <v>46035</v>
      </c>
      <c r="D825" t="inlineStr">
        <is>
          <t>JÄMTLANDS LÄN</t>
        </is>
      </c>
      <c r="E825" t="inlineStr">
        <is>
          <t>RAGUNDA</t>
        </is>
      </c>
      <c r="G825" t="n">
        <v>2.7</v>
      </c>
      <c r="H825" t="n">
        <v>0</v>
      </c>
      <c r="I825" t="n">
        <v>0</v>
      </c>
      <c r="J825" t="n">
        <v>0</v>
      </c>
      <c r="K825" t="n">
        <v>0</v>
      </c>
      <c r="L825" t="n">
        <v>0</v>
      </c>
      <c r="M825" t="n">
        <v>0</v>
      </c>
      <c r="N825" t="n">
        <v>0</v>
      </c>
      <c r="O825" t="n">
        <v>0</v>
      </c>
      <c r="P825" t="n">
        <v>0</v>
      </c>
      <c r="Q825" t="n">
        <v>0</v>
      </c>
      <c r="R825" s="2" t="inlineStr"/>
    </row>
    <row r="826" ht="15" customHeight="1">
      <c r="A826" t="inlineStr">
        <is>
          <t>A 53211-2025</t>
        </is>
      </c>
      <c r="B826" s="1" t="n">
        <v>45958.59490740741</v>
      </c>
      <c r="C826" s="1" t="n">
        <v>46035</v>
      </c>
      <c r="D826" t="inlineStr">
        <is>
          <t>JÄMTLANDS LÄN</t>
        </is>
      </c>
      <c r="E826" t="inlineStr">
        <is>
          <t>RAGUNDA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11252-2025</t>
        </is>
      </c>
      <c r="B827" s="1" t="n">
        <v>45726.38615740741</v>
      </c>
      <c r="C827" s="1" t="n">
        <v>46035</v>
      </c>
      <c r="D827" t="inlineStr">
        <is>
          <t>JÄMTLANDS LÄN</t>
        </is>
      </c>
      <c r="E827" t="inlineStr">
        <is>
          <t>RAGUNDA</t>
        </is>
      </c>
      <c r="G827" t="n">
        <v>1.9</v>
      </c>
      <c r="H827" t="n">
        <v>0</v>
      </c>
      <c r="I827" t="n">
        <v>0</v>
      </c>
      <c r="J827" t="n">
        <v>0</v>
      </c>
      <c r="K827" t="n">
        <v>0</v>
      </c>
      <c r="L827" t="n">
        <v>0</v>
      </c>
      <c r="M827" t="n">
        <v>0</v>
      </c>
      <c r="N827" t="n">
        <v>0</v>
      </c>
      <c r="O827" t="n">
        <v>0</v>
      </c>
      <c r="P827" t="n">
        <v>0</v>
      </c>
      <c r="Q827" t="n">
        <v>0</v>
      </c>
      <c r="R827" s="2" t="inlineStr"/>
    </row>
    <row r="828" ht="15" customHeight="1">
      <c r="A828" t="inlineStr">
        <is>
          <t>A 52972-2025</t>
        </is>
      </c>
      <c r="B828" s="1" t="n">
        <v>45957.67783564814</v>
      </c>
      <c r="C828" s="1" t="n">
        <v>46035</v>
      </c>
      <c r="D828" t="inlineStr">
        <is>
          <t>JÄMTLANDS LÄN</t>
        </is>
      </c>
      <c r="E828" t="inlineStr">
        <is>
          <t>RAGUNDA</t>
        </is>
      </c>
      <c r="F828" t="inlineStr">
        <is>
          <t>SCA</t>
        </is>
      </c>
      <c r="G828" t="n">
        <v>53.4</v>
      </c>
      <c r="H828" t="n">
        <v>0</v>
      </c>
      <c r="I828" t="n">
        <v>0</v>
      </c>
      <c r="J828" t="n">
        <v>0</v>
      </c>
      <c r="K828" t="n">
        <v>0</v>
      </c>
      <c r="L828" t="n">
        <v>0</v>
      </c>
      <c r="M828" t="n">
        <v>0</v>
      </c>
      <c r="N828" t="n">
        <v>0</v>
      </c>
      <c r="O828" t="n">
        <v>0</v>
      </c>
      <c r="P828" t="n">
        <v>0</v>
      </c>
      <c r="Q828" t="n">
        <v>0</v>
      </c>
      <c r="R828" s="2" t="inlineStr"/>
    </row>
    <row r="829" ht="15" customHeight="1">
      <c r="A829" t="inlineStr">
        <is>
          <t>A 7668-2025</t>
        </is>
      </c>
      <c r="B829" s="1" t="n">
        <v>45706.34450231482</v>
      </c>
      <c r="C829" s="1" t="n">
        <v>46035</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53075-2025</t>
        </is>
      </c>
      <c r="B830" s="1" t="n">
        <v>45958.38584490741</v>
      </c>
      <c r="C830" s="1" t="n">
        <v>46035</v>
      </c>
      <c r="D830" t="inlineStr">
        <is>
          <t>JÄMTLANDS LÄN</t>
        </is>
      </c>
      <c r="E830" t="inlineStr">
        <is>
          <t>RAGUNDA</t>
        </is>
      </c>
      <c r="F830" t="inlineStr">
        <is>
          <t>SCA</t>
        </is>
      </c>
      <c r="G830" t="n">
        <v>28.9</v>
      </c>
      <c r="H830" t="n">
        <v>0</v>
      </c>
      <c r="I830" t="n">
        <v>0</v>
      </c>
      <c r="J830" t="n">
        <v>0</v>
      </c>
      <c r="K830" t="n">
        <v>0</v>
      </c>
      <c r="L830" t="n">
        <v>0</v>
      </c>
      <c r="M830" t="n">
        <v>0</v>
      </c>
      <c r="N830" t="n">
        <v>0</v>
      </c>
      <c r="O830" t="n">
        <v>0</v>
      </c>
      <c r="P830" t="n">
        <v>0</v>
      </c>
      <c r="Q830" t="n">
        <v>0</v>
      </c>
      <c r="R830" s="2" t="inlineStr"/>
    </row>
    <row r="831" ht="15" customHeight="1">
      <c r="A831" t="inlineStr">
        <is>
          <t>A 9548-2025</t>
        </is>
      </c>
      <c r="B831" s="1" t="n">
        <v>45715.59405092592</v>
      </c>
      <c r="C831" s="1" t="n">
        <v>46035</v>
      </c>
      <c r="D831" t="inlineStr">
        <is>
          <t>JÄMTLANDS LÄN</t>
        </is>
      </c>
      <c r="E831" t="inlineStr">
        <is>
          <t>RAGUNDA</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61509-2025</t>
        </is>
      </c>
      <c r="B832" s="1" t="n">
        <v>46001.68189814815</v>
      </c>
      <c r="C832" s="1" t="n">
        <v>46035</v>
      </c>
      <c r="D832" t="inlineStr">
        <is>
          <t>JÄMTLANDS LÄN</t>
        </is>
      </c>
      <c r="E832" t="inlineStr">
        <is>
          <t>RAGUNDA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53726-2025</t>
        </is>
      </c>
      <c r="B833" s="1" t="n">
        <v>45960.63597222222</v>
      </c>
      <c r="C833" s="1" t="n">
        <v>46035</v>
      </c>
      <c r="D833" t="inlineStr">
        <is>
          <t>JÄMTLANDS LÄN</t>
        </is>
      </c>
      <c r="E833" t="inlineStr">
        <is>
          <t>RAGUNDA</t>
        </is>
      </c>
      <c r="F833" t="inlineStr">
        <is>
          <t>SCA</t>
        </is>
      </c>
      <c r="G833" t="n">
        <v>10.9</v>
      </c>
      <c r="H833" t="n">
        <v>0</v>
      </c>
      <c r="I833" t="n">
        <v>0</v>
      </c>
      <c r="J833" t="n">
        <v>0</v>
      </c>
      <c r="K833" t="n">
        <v>0</v>
      </c>
      <c r="L833" t="n">
        <v>0</v>
      </c>
      <c r="M833" t="n">
        <v>0</v>
      </c>
      <c r="N833" t="n">
        <v>0</v>
      </c>
      <c r="O833" t="n">
        <v>0</v>
      </c>
      <c r="P833" t="n">
        <v>0</v>
      </c>
      <c r="Q833" t="n">
        <v>0</v>
      </c>
      <c r="R833" s="2" t="inlineStr"/>
    </row>
    <row r="834" ht="15" customHeight="1">
      <c r="A834" t="inlineStr">
        <is>
          <t>A 61697-2025</t>
        </is>
      </c>
      <c r="B834" s="1" t="n">
        <v>46002</v>
      </c>
      <c r="C834" s="1" t="n">
        <v>46035</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57237-2022</t>
        </is>
      </c>
      <c r="B835" s="1" t="n">
        <v>44889</v>
      </c>
      <c r="C835" s="1" t="n">
        <v>46035</v>
      </c>
      <c r="D835" t="inlineStr">
        <is>
          <t>JÄMTLANDS LÄN</t>
        </is>
      </c>
      <c r="E835" t="inlineStr">
        <is>
          <t>RAGUNDA</t>
        </is>
      </c>
      <c r="G835" t="n">
        <v>2.2</v>
      </c>
      <c r="H835" t="n">
        <v>0</v>
      </c>
      <c r="I835" t="n">
        <v>0</v>
      </c>
      <c r="J835" t="n">
        <v>0</v>
      </c>
      <c r="K835" t="n">
        <v>0</v>
      </c>
      <c r="L835" t="n">
        <v>0</v>
      </c>
      <c r="M835" t="n">
        <v>0</v>
      </c>
      <c r="N835" t="n">
        <v>0</v>
      </c>
      <c r="O835" t="n">
        <v>0</v>
      </c>
      <c r="P835" t="n">
        <v>0</v>
      </c>
      <c r="Q835" t="n">
        <v>0</v>
      </c>
      <c r="R835" s="2" t="inlineStr"/>
    </row>
    <row r="836" ht="15" customHeight="1">
      <c r="A836" t="inlineStr">
        <is>
          <t>A 13263-2025</t>
        </is>
      </c>
      <c r="B836" s="1" t="n">
        <v>45735.53177083333</v>
      </c>
      <c r="C836" s="1" t="n">
        <v>46035</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13276-2025</t>
        </is>
      </c>
      <c r="B837" s="1" t="n">
        <v>45735.5517824074</v>
      </c>
      <c r="C837" s="1" t="n">
        <v>46035</v>
      </c>
      <c r="D837" t="inlineStr">
        <is>
          <t>JÄMTLANDS LÄN</t>
        </is>
      </c>
      <c r="E837" t="inlineStr">
        <is>
          <t>RAGUNDA</t>
        </is>
      </c>
      <c r="G837" t="n">
        <v>16.6</v>
      </c>
      <c r="H837" t="n">
        <v>0</v>
      </c>
      <c r="I837" t="n">
        <v>0</v>
      </c>
      <c r="J837" t="n">
        <v>0</v>
      </c>
      <c r="K837" t="n">
        <v>0</v>
      </c>
      <c r="L837" t="n">
        <v>0</v>
      </c>
      <c r="M837" t="n">
        <v>0</v>
      </c>
      <c r="N837" t="n">
        <v>0</v>
      </c>
      <c r="O837" t="n">
        <v>0</v>
      </c>
      <c r="P837" t="n">
        <v>0</v>
      </c>
      <c r="Q837" t="n">
        <v>0</v>
      </c>
      <c r="R837" s="2" t="inlineStr"/>
    </row>
    <row r="838" ht="15" customHeight="1">
      <c r="A838" t="inlineStr">
        <is>
          <t>A 12405-2025</t>
        </is>
      </c>
      <c r="B838" s="1" t="n">
        <v>45730.42738425926</v>
      </c>
      <c r="C838" s="1" t="n">
        <v>46035</v>
      </c>
      <c r="D838" t="inlineStr">
        <is>
          <t>JÄMTLANDS LÄN</t>
        </is>
      </c>
      <c r="E838" t="inlineStr">
        <is>
          <t>RAGUNDA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12808-2025</t>
        </is>
      </c>
      <c r="B839" s="1" t="n">
        <v>45733.61554398148</v>
      </c>
      <c r="C839" s="1" t="n">
        <v>46035</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46546-2023</t>
        </is>
      </c>
      <c r="B840" s="1" t="n">
        <v>45197.94152777778</v>
      </c>
      <c r="C840" s="1" t="n">
        <v>46035</v>
      </c>
      <c r="D840" t="inlineStr">
        <is>
          <t>JÄMTLANDS LÄN</t>
        </is>
      </c>
      <c r="E840" t="inlineStr">
        <is>
          <t>RAGUNDA</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6716-2025</t>
        </is>
      </c>
      <c r="B841" s="1" t="n">
        <v>45700.57324074074</v>
      </c>
      <c r="C841" s="1" t="n">
        <v>46035</v>
      </c>
      <c r="D841" t="inlineStr">
        <is>
          <t>JÄMTLANDS LÄN</t>
        </is>
      </c>
      <c r="E841" t="inlineStr">
        <is>
          <t>RAGUNDA</t>
        </is>
      </c>
      <c r="F841" t="inlineStr">
        <is>
          <t>SCA</t>
        </is>
      </c>
      <c r="G841" t="n">
        <v>5.1</v>
      </c>
      <c r="H841" t="n">
        <v>0</v>
      </c>
      <c r="I841" t="n">
        <v>0</v>
      </c>
      <c r="J841" t="n">
        <v>0</v>
      </c>
      <c r="K841" t="n">
        <v>0</v>
      </c>
      <c r="L841" t="n">
        <v>0</v>
      </c>
      <c r="M841" t="n">
        <v>0</v>
      </c>
      <c r="N841" t="n">
        <v>0</v>
      </c>
      <c r="O841" t="n">
        <v>0</v>
      </c>
      <c r="P841" t="n">
        <v>0</v>
      </c>
      <c r="Q841" t="n">
        <v>0</v>
      </c>
      <c r="R841" s="2" t="inlineStr"/>
    </row>
    <row r="842" ht="15" customHeight="1">
      <c r="A842" t="inlineStr">
        <is>
          <t>A 25304-2023</t>
        </is>
      </c>
      <c r="B842" s="1" t="n">
        <v>45086</v>
      </c>
      <c r="C842" s="1" t="n">
        <v>46035</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30823-2023</t>
        </is>
      </c>
      <c r="B843" s="1" t="n">
        <v>45112</v>
      </c>
      <c r="C843" s="1" t="n">
        <v>46035</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30484-2024</t>
        </is>
      </c>
      <c r="B844" s="1" t="n">
        <v>45491</v>
      </c>
      <c r="C844" s="1" t="n">
        <v>46035</v>
      </c>
      <c r="D844" t="inlineStr">
        <is>
          <t>JÄMTLANDS LÄN</t>
        </is>
      </c>
      <c r="E844" t="inlineStr">
        <is>
          <t>RAGUNDA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52578-2025</t>
        </is>
      </c>
      <c r="B845" s="1" t="n">
        <v>45954.61508101852</v>
      </c>
      <c r="C845" s="1" t="n">
        <v>46035</v>
      </c>
      <c r="D845" t="inlineStr">
        <is>
          <t>JÄMTLANDS LÄN</t>
        </is>
      </c>
      <c r="E845" t="inlineStr">
        <is>
          <t>RAGUNDA</t>
        </is>
      </c>
      <c r="F845" t="inlineStr">
        <is>
          <t>SCA</t>
        </is>
      </c>
      <c r="G845" t="n">
        <v>25.2</v>
      </c>
      <c r="H845" t="n">
        <v>0</v>
      </c>
      <c r="I845" t="n">
        <v>0</v>
      </c>
      <c r="J845" t="n">
        <v>0</v>
      </c>
      <c r="K845" t="n">
        <v>0</v>
      </c>
      <c r="L845" t="n">
        <v>0</v>
      </c>
      <c r="M845" t="n">
        <v>0</v>
      </c>
      <c r="N845" t="n">
        <v>0</v>
      </c>
      <c r="O845" t="n">
        <v>0</v>
      </c>
      <c r="P845" t="n">
        <v>0</v>
      </c>
      <c r="Q845" t="n">
        <v>0</v>
      </c>
      <c r="R845" s="2" t="inlineStr"/>
    </row>
    <row r="846" ht="15" customHeight="1">
      <c r="A846" t="inlineStr">
        <is>
          <t>A 53727-2025</t>
        </is>
      </c>
      <c r="B846" s="1" t="n">
        <v>45960.63630787037</v>
      </c>
      <c r="C846" s="1" t="n">
        <v>46035</v>
      </c>
      <c r="D846" t="inlineStr">
        <is>
          <t>JÄMTLANDS LÄN</t>
        </is>
      </c>
      <c r="E846" t="inlineStr">
        <is>
          <t>RAGUNDA</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53748-2025</t>
        </is>
      </c>
      <c r="B847" s="1" t="n">
        <v>45960.65673611111</v>
      </c>
      <c r="C847" s="1" t="n">
        <v>46035</v>
      </c>
      <c r="D847" t="inlineStr">
        <is>
          <t>JÄMTLANDS LÄN</t>
        </is>
      </c>
      <c r="E847" t="inlineStr">
        <is>
          <t>RAGUNDA</t>
        </is>
      </c>
      <c r="F847" t="inlineStr">
        <is>
          <t>SCA</t>
        </is>
      </c>
      <c r="G847" t="n">
        <v>14.9</v>
      </c>
      <c r="H847" t="n">
        <v>0</v>
      </c>
      <c r="I847" t="n">
        <v>0</v>
      </c>
      <c r="J847" t="n">
        <v>0</v>
      </c>
      <c r="K847" t="n">
        <v>0</v>
      </c>
      <c r="L847" t="n">
        <v>0</v>
      </c>
      <c r="M847" t="n">
        <v>0</v>
      </c>
      <c r="N847" t="n">
        <v>0</v>
      </c>
      <c r="O847" t="n">
        <v>0</v>
      </c>
      <c r="P847" t="n">
        <v>0</v>
      </c>
      <c r="Q847" t="n">
        <v>0</v>
      </c>
      <c r="R847" s="2" t="inlineStr"/>
    </row>
    <row r="848" ht="15" customHeight="1">
      <c r="A848" t="inlineStr">
        <is>
          <t>A 11288-2022</t>
        </is>
      </c>
      <c r="B848" s="1" t="n">
        <v>44629</v>
      </c>
      <c r="C848" s="1" t="n">
        <v>46035</v>
      </c>
      <c r="D848" t="inlineStr">
        <is>
          <t>JÄMTLANDS LÄN</t>
        </is>
      </c>
      <c r="E848" t="inlineStr">
        <is>
          <t>RAGUNDA</t>
        </is>
      </c>
      <c r="G848" t="n">
        <v>4.9</v>
      </c>
      <c r="H848" t="n">
        <v>0</v>
      </c>
      <c r="I848" t="n">
        <v>0</v>
      </c>
      <c r="J848" t="n">
        <v>0</v>
      </c>
      <c r="K848" t="n">
        <v>0</v>
      </c>
      <c r="L848" t="n">
        <v>0</v>
      </c>
      <c r="M848" t="n">
        <v>0</v>
      </c>
      <c r="N848" t="n">
        <v>0</v>
      </c>
      <c r="O848" t="n">
        <v>0</v>
      </c>
      <c r="P848" t="n">
        <v>0</v>
      </c>
      <c r="Q848" t="n">
        <v>0</v>
      </c>
      <c r="R848" s="2" t="inlineStr"/>
    </row>
    <row r="849" ht="15" customHeight="1">
      <c r="A849" t="inlineStr">
        <is>
          <t>A 19865-2023</t>
        </is>
      </c>
      <c r="B849" s="1" t="n">
        <v>45053.94305555556</v>
      </c>
      <c r="C849" s="1" t="n">
        <v>46035</v>
      </c>
      <c r="D849" t="inlineStr">
        <is>
          <t>JÄMTLANDS LÄN</t>
        </is>
      </c>
      <c r="E849" t="inlineStr">
        <is>
          <t>RAGUNDA</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1554-2024</t>
        </is>
      </c>
      <c r="B850" s="1" t="n">
        <v>45306</v>
      </c>
      <c r="C850" s="1" t="n">
        <v>46035</v>
      </c>
      <c r="D850" t="inlineStr">
        <is>
          <t>JÄMTLANDS LÄN</t>
        </is>
      </c>
      <c r="E850" t="inlineStr">
        <is>
          <t>RAGUNDA</t>
        </is>
      </c>
      <c r="G850" t="n">
        <v>4.3</v>
      </c>
      <c r="H850" t="n">
        <v>0</v>
      </c>
      <c r="I850" t="n">
        <v>0</v>
      </c>
      <c r="J850" t="n">
        <v>0</v>
      </c>
      <c r="K850" t="n">
        <v>0</v>
      </c>
      <c r="L850" t="n">
        <v>0</v>
      </c>
      <c r="M850" t="n">
        <v>0</v>
      </c>
      <c r="N850" t="n">
        <v>0</v>
      </c>
      <c r="O850" t="n">
        <v>0</v>
      </c>
      <c r="P850" t="n">
        <v>0</v>
      </c>
      <c r="Q850" t="n">
        <v>0</v>
      </c>
      <c r="R850" s="2" t="inlineStr"/>
    </row>
    <row r="851" ht="15" customHeight="1">
      <c r="A851" t="inlineStr">
        <is>
          <t>A 53549-2025</t>
        </is>
      </c>
      <c r="B851" s="1" t="n">
        <v>45960.38576388889</v>
      </c>
      <c r="C851" s="1" t="n">
        <v>46035</v>
      </c>
      <c r="D851" t="inlineStr">
        <is>
          <t>JÄMTLANDS LÄN</t>
        </is>
      </c>
      <c r="E851" t="inlineStr">
        <is>
          <t>RAGUNDA</t>
        </is>
      </c>
      <c r="G851" t="n">
        <v>5.4</v>
      </c>
      <c r="H851" t="n">
        <v>0</v>
      </c>
      <c r="I851" t="n">
        <v>0</v>
      </c>
      <c r="J851" t="n">
        <v>0</v>
      </c>
      <c r="K851" t="n">
        <v>0</v>
      </c>
      <c r="L851" t="n">
        <v>0</v>
      </c>
      <c r="M851" t="n">
        <v>0</v>
      </c>
      <c r="N851" t="n">
        <v>0</v>
      </c>
      <c r="O851" t="n">
        <v>0</v>
      </c>
      <c r="P851" t="n">
        <v>0</v>
      </c>
      <c r="Q851" t="n">
        <v>0</v>
      </c>
      <c r="R851" s="2" t="inlineStr"/>
    </row>
    <row r="852" ht="15" customHeight="1">
      <c r="A852" t="inlineStr">
        <is>
          <t>A 22011-2023</t>
        </is>
      </c>
      <c r="B852" s="1" t="n">
        <v>45068</v>
      </c>
      <c r="C852" s="1" t="n">
        <v>46035</v>
      </c>
      <c r="D852" t="inlineStr">
        <is>
          <t>JÄMTLANDS LÄN</t>
        </is>
      </c>
      <c r="E852" t="inlineStr">
        <is>
          <t>RAGUNDA</t>
        </is>
      </c>
      <c r="F852" t="inlineStr">
        <is>
          <t>SCA</t>
        </is>
      </c>
      <c r="G852" t="n">
        <v>12.2</v>
      </c>
      <c r="H852" t="n">
        <v>0</v>
      </c>
      <c r="I852" t="n">
        <v>0</v>
      </c>
      <c r="J852" t="n">
        <v>0</v>
      </c>
      <c r="K852" t="n">
        <v>0</v>
      </c>
      <c r="L852" t="n">
        <v>0</v>
      </c>
      <c r="M852" t="n">
        <v>0</v>
      </c>
      <c r="N852" t="n">
        <v>0</v>
      </c>
      <c r="O852" t="n">
        <v>0</v>
      </c>
      <c r="P852" t="n">
        <v>0</v>
      </c>
      <c r="Q852" t="n">
        <v>0</v>
      </c>
      <c r="R852" s="2" t="inlineStr"/>
    </row>
    <row r="853" ht="15" customHeight="1">
      <c r="A853" t="inlineStr">
        <is>
          <t>A 53765-2025</t>
        </is>
      </c>
      <c r="B853" s="1" t="n">
        <v>45960.67753472222</v>
      </c>
      <c r="C853" s="1" t="n">
        <v>46035</v>
      </c>
      <c r="D853" t="inlineStr">
        <is>
          <t>JÄMTLANDS LÄN</t>
        </is>
      </c>
      <c r="E853" t="inlineStr">
        <is>
          <t>RAGUNDA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13389-2025</t>
        </is>
      </c>
      <c r="B854" s="1" t="n">
        <v>45735.69842592593</v>
      </c>
      <c r="C854" s="1" t="n">
        <v>46035</v>
      </c>
      <c r="D854" t="inlineStr">
        <is>
          <t>JÄMTLANDS LÄN</t>
        </is>
      </c>
      <c r="E854" t="inlineStr">
        <is>
          <t>RAGUNDA</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53986-2025</t>
        </is>
      </c>
      <c r="B855" s="1" t="n">
        <v>45961.57381944444</v>
      </c>
      <c r="C855" s="1" t="n">
        <v>46035</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2831-2024</t>
        </is>
      </c>
      <c r="B856" s="1" t="n">
        <v>45314.92758101852</v>
      </c>
      <c r="C856" s="1" t="n">
        <v>46035</v>
      </c>
      <c r="D856" t="inlineStr">
        <is>
          <t>JÄMTLANDS LÄN</t>
        </is>
      </c>
      <c r="E856" t="inlineStr">
        <is>
          <t>RAGUNDA</t>
        </is>
      </c>
      <c r="G856" t="n">
        <v>0.6</v>
      </c>
      <c r="H856" t="n">
        <v>0</v>
      </c>
      <c r="I856" t="n">
        <v>0</v>
      </c>
      <c r="J856" t="n">
        <v>0</v>
      </c>
      <c r="K856" t="n">
        <v>0</v>
      </c>
      <c r="L856" t="n">
        <v>0</v>
      </c>
      <c r="M856" t="n">
        <v>0</v>
      </c>
      <c r="N856" t="n">
        <v>0</v>
      </c>
      <c r="O856" t="n">
        <v>0</v>
      </c>
      <c r="P856" t="n">
        <v>0</v>
      </c>
      <c r="Q856" t="n">
        <v>0</v>
      </c>
      <c r="R856" s="2" t="inlineStr"/>
    </row>
    <row r="857" ht="15" customHeight="1">
      <c r="A857" t="inlineStr">
        <is>
          <t>A 53951-2025</t>
        </is>
      </c>
      <c r="B857" s="1" t="n">
        <v>45961.50200231482</v>
      </c>
      <c r="C857" s="1" t="n">
        <v>46035</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46035</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53975-2025</t>
        </is>
      </c>
      <c r="B859" s="1" t="n">
        <v>45961.55277777778</v>
      </c>
      <c r="C859" s="1" t="n">
        <v>46035</v>
      </c>
      <c r="D859" t="inlineStr">
        <is>
          <t>JÄMTLANDS LÄN</t>
        </is>
      </c>
      <c r="E859" t="inlineStr">
        <is>
          <t>RAGUNDA</t>
        </is>
      </c>
      <c r="F859" t="inlineStr">
        <is>
          <t>SCA</t>
        </is>
      </c>
      <c r="G859" t="n">
        <v>21.9</v>
      </c>
      <c r="H859" t="n">
        <v>0</v>
      </c>
      <c r="I859" t="n">
        <v>0</v>
      </c>
      <c r="J859" t="n">
        <v>0</v>
      </c>
      <c r="K859" t="n">
        <v>0</v>
      </c>
      <c r="L859" t="n">
        <v>0</v>
      </c>
      <c r="M859" t="n">
        <v>0</v>
      </c>
      <c r="N859" t="n">
        <v>0</v>
      </c>
      <c r="O859" t="n">
        <v>0</v>
      </c>
      <c r="P859" t="n">
        <v>0</v>
      </c>
      <c r="Q859" t="n">
        <v>0</v>
      </c>
      <c r="R859" s="2" t="inlineStr"/>
    </row>
    <row r="860" ht="15" customHeight="1">
      <c r="A860" t="inlineStr">
        <is>
          <t>A 54195-2025</t>
        </is>
      </c>
      <c r="B860" s="1" t="n">
        <v>45964.57413194444</v>
      </c>
      <c r="C860" s="1" t="n">
        <v>46035</v>
      </c>
      <c r="D860" t="inlineStr">
        <is>
          <t>JÄMTLANDS LÄN</t>
        </is>
      </c>
      <c r="E860" t="inlineStr">
        <is>
          <t>RAGUNDA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37268-2024</t>
        </is>
      </c>
      <c r="B861" s="1" t="n">
        <v>45540.38586805556</v>
      </c>
      <c r="C861" s="1" t="n">
        <v>46035</v>
      </c>
      <c r="D861" t="inlineStr">
        <is>
          <t>JÄMTLANDS LÄN</t>
        </is>
      </c>
      <c r="E861" t="inlineStr">
        <is>
          <t>RAGUNDA</t>
        </is>
      </c>
      <c r="F861" t="inlineStr">
        <is>
          <t>SCA</t>
        </is>
      </c>
      <c r="G861" t="n">
        <v>6.3</v>
      </c>
      <c r="H861" t="n">
        <v>0</v>
      </c>
      <c r="I861" t="n">
        <v>0</v>
      </c>
      <c r="J861" t="n">
        <v>0</v>
      </c>
      <c r="K861" t="n">
        <v>0</v>
      </c>
      <c r="L861" t="n">
        <v>0</v>
      </c>
      <c r="M861" t="n">
        <v>0</v>
      </c>
      <c r="N861" t="n">
        <v>0</v>
      </c>
      <c r="O861" t="n">
        <v>0</v>
      </c>
      <c r="P861" t="n">
        <v>0</v>
      </c>
      <c r="Q861" t="n">
        <v>0</v>
      </c>
      <c r="R861" s="2" t="inlineStr"/>
    </row>
    <row r="862" ht="15" customHeight="1">
      <c r="A862" t="inlineStr">
        <is>
          <t>A 41179-2022</t>
        </is>
      </c>
      <c r="B862" s="1" t="n">
        <v>44825</v>
      </c>
      <c r="C862" s="1" t="n">
        <v>46035</v>
      </c>
      <c r="D862" t="inlineStr">
        <is>
          <t>JÄMTLANDS LÄN</t>
        </is>
      </c>
      <c r="E862" t="inlineStr">
        <is>
          <t>RAGUNDA</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17598-2021</t>
        </is>
      </c>
      <c r="B863" s="1" t="n">
        <v>44299</v>
      </c>
      <c r="C863" s="1" t="n">
        <v>46035</v>
      </c>
      <c r="D863" t="inlineStr">
        <is>
          <t>JÄMTLANDS LÄN</t>
        </is>
      </c>
      <c r="E863" t="inlineStr">
        <is>
          <t>RAGUNDA</t>
        </is>
      </c>
      <c r="G863" t="n">
        <v>4.6</v>
      </c>
      <c r="H863" t="n">
        <v>0</v>
      </c>
      <c r="I863" t="n">
        <v>0</v>
      </c>
      <c r="J863" t="n">
        <v>0</v>
      </c>
      <c r="K863" t="n">
        <v>0</v>
      </c>
      <c r="L863" t="n">
        <v>0</v>
      </c>
      <c r="M863" t="n">
        <v>0</v>
      </c>
      <c r="N863" t="n">
        <v>0</v>
      </c>
      <c r="O863" t="n">
        <v>0</v>
      </c>
      <c r="P863" t="n">
        <v>0</v>
      </c>
      <c r="Q863" t="n">
        <v>0</v>
      </c>
      <c r="R863" s="2" t="inlineStr"/>
    </row>
    <row r="864" ht="15" customHeight="1">
      <c r="A864" t="inlineStr">
        <is>
          <t>A 62541-2022</t>
        </is>
      </c>
      <c r="B864" s="1" t="n">
        <v>44917</v>
      </c>
      <c r="C864" s="1" t="n">
        <v>46035</v>
      </c>
      <c r="D864" t="inlineStr">
        <is>
          <t>JÄMTLANDS LÄN</t>
        </is>
      </c>
      <c r="E864" t="inlineStr">
        <is>
          <t>RAGUNDA</t>
        </is>
      </c>
      <c r="G864" t="n">
        <v>2.6</v>
      </c>
      <c r="H864" t="n">
        <v>0</v>
      </c>
      <c r="I864" t="n">
        <v>0</v>
      </c>
      <c r="J864" t="n">
        <v>0</v>
      </c>
      <c r="K864" t="n">
        <v>0</v>
      </c>
      <c r="L864" t="n">
        <v>0</v>
      </c>
      <c r="M864" t="n">
        <v>0</v>
      </c>
      <c r="N864" t="n">
        <v>0</v>
      </c>
      <c r="O864" t="n">
        <v>0</v>
      </c>
      <c r="P864" t="n">
        <v>0</v>
      </c>
      <c r="Q864" t="n">
        <v>0</v>
      </c>
      <c r="R864" s="2" t="inlineStr"/>
    </row>
    <row r="865" ht="15" customHeight="1">
      <c r="A865" t="inlineStr">
        <is>
          <t>A 61400-2022</t>
        </is>
      </c>
      <c r="B865" s="1" t="n">
        <v>44915</v>
      </c>
      <c r="C865" s="1" t="n">
        <v>46035</v>
      </c>
      <c r="D865" t="inlineStr">
        <is>
          <t>JÄMTLANDS LÄN</t>
        </is>
      </c>
      <c r="E865" t="inlineStr">
        <is>
          <t>RAGUNDA</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24861-2023</t>
        </is>
      </c>
      <c r="B866" s="1" t="n">
        <v>45078</v>
      </c>
      <c r="C866" s="1" t="n">
        <v>46035</v>
      </c>
      <c r="D866" t="inlineStr">
        <is>
          <t>JÄMTLANDS LÄN</t>
        </is>
      </c>
      <c r="E866" t="inlineStr">
        <is>
          <t>RAGUNDA</t>
        </is>
      </c>
      <c r="G866" t="n">
        <v>1.3</v>
      </c>
      <c r="H866" t="n">
        <v>0</v>
      </c>
      <c r="I866" t="n">
        <v>0</v>
      </c>
      <c r="J866" t="n">
        <v>0</v>
      </c>
      <c r="K866" t="n">
        <v>0</v>
      </c>
      <c r="L866" t="n">
        <v>0</v>
      </c>
      <c r="M866" t="n">
        <v>0</v>
      </c>
      <c r="N866" t="n">
        <v>0</v>
      </c>
      <c r="O866" t="n">
        <v>0</v>
      </c>
      <c r="P866" t="n">
        <v>0</v>
      </c>
      <c r="Q866" t="n">
        <v>0</v>
      </c>
      <c r="R866" s="2" t="inlineStr"/>
    </row>
    <row r="867" ht="15" customHeight="1">
      <c r="A867" t="inlineStr">
        <is>
          <t>A 53948-2025</t>
        </is>
      </c>
      <c r="B867" s="1" t="n">
        <v>45961.50033564815</v>
      </c>
      <c r="C867" s="1" t="n">
        <v>46035</v>
      </c>
      <c r="D867" t="inlineStr">
        <is>
          <t>JÄMTLANDS LÄN</t>
        </is>
      </c>
      <c r="E867" t="inlineStr">
        <is>
          <t>RAGUNDA</t>
        </is>
      </c>
      <c r="G867" t="n">
        <v>7.9</v>
      </c>
      <c r="H867" t="n">
        <v>0</v>
      </c>
      <c r="I867" t="n">
        <v>0</v>
      </c>
      <c r="J867" t="n">
        <v>0</v>
      </c>
      <c r="K867" t="n">
        <v>0</v>
      </c>
      <c r="L867" t="n">
        <v>0</v>
      </c>
      <c r="M867" t="n">
        <v>0</v>
      </c>
      <c r="N867" t="n">
        <v>0</v>
      </c>
      <c r="O867" t="n">
        <v>0</v>
      </c>
      <c r="P867" t="n">
        <v>0</v>
      </c>
      <c r="Q867" t="n">
        <v>0</v>
      </c>
      <c r="R867" s="2" t="inlineStr"/>
    </row>
    <row r="868" ht="15" customHeight="1">
      <c r="A868" t="inlineStr">
        <is>
          <t>A 53973-2025</t>
        </is>
      </c>
      <c r="B868" s="1" t="n">
        <v>45961.55246527777</v>
      </c>
      <c r="C868" s="1" t="n">
        <v>46035</v>
      </c>
      <c r="D868" t="inlineStr">
        <is>
          <t>JÄMTLANDS LÄN</t>
        </is>
      </c>
      <c r="E868" t="inlineStr">
        <is>
          <t>RAGUNDA</t>
        </is>
      </c>
      <c r="G868" t="n">
        <v>2.4</v>
      </c>
      <c r="H868" t="n">
        <v>0</v>
      </c>
      <c r="I868" t="n">
        <v>0</v>
      </c>
      <c r="J868" t="n">
        <v>0</v>
      </c>
      <c r="K868" t="n">
        <v>0</v>
      </c>
      <c r="L868" t="n">
        <v>0</v>
      </c>
      <c r="M868" t="n">
        <v>0</v>
      </c>
      <c r="N868" t="n">
        <v>0</v>
      </c>
      <c r="O868" t="n">
        <v>0</v>
      </c>
      <c r="P868" t="n">
        <v>0</v>
      </c>
      <c r="Q868" t="n">
        <v>0</v>
      </c>
      <c r="R868" s="2" t="inlineStr"/>
    </row>
    <row r="869" ht="15" customHeight="1">
      <c r="A869" t="inlineStr">
        <is>
          <t>A 62819-2025</t>
        </is>
      </c>
      <c r="B869" s="1" t="n">
        <v>46008</v>
      </c>
      <c r="C869" s="1" t="n">
        <v>46035</v>
      </c>
      <c r="D869" t="inlineStr">
        <is>
          <t>JÄMTLANDS LÄN</t>
        </is>
      </c>
      <c r="E869" t="inlineStr">
        <is>
          <t>RAGUNDA</t>
        </is>
      </c>
      <c r="G869" t="n">
        <v>3.5</v>
      </c>
      <c r="H869" t="n">
        <v>0</v>
      </c>
      <c r="I869" t="n">
        <v>0</v>
      </c>
      <c r="J869" t="n">
        <v>0</v>
      </c>
      <c r="K869" t="n">
        <v>0</v>
      </c>
      <c r="L869" t="n">
        <v>0</v>
      </c>
      <c r="M869" t="n">
        <v>0</v>
      </c>
      <c r="N869" t="n">
        <v>0</v>
      </c>
      <c r="O869" t="n">
        <v>0</v>
      </c>
      <c r="P869" t="n">
        <v>0</v>
      </c>
      <c r="Q869" t="n">
        <v>0</v>
      </c>
      <c r="R869" s="2" t="inlineStr"/>
    </row>
    <row r="870" ht="15" customHeight="1">
      <c r="A870" t="inlineStr">
        <is>
          <t>A 62432-2025</t>
        </is>
      </c>
      <c r="B870" s="1" t="n">
        <v>46007</v>
      </c>
      <c r="C870" s="1" t="n">
        <v>46035</v>
      </c>
      <c r="D870" t="inlineStr">
        <is>
          <t>JÄMTLANDS LÄN</t>
        </is>
      </c>
      <c r="E870" t="inlineStr">
        <is>
          <t>RAGUNDA</t>
        </is>
      </c>
      <c r="G870" t="n">
        <v>4.7</v>
      </c>
      <c r="H870" t="n">
        <v>0</v>
      </c>
      <c r="I870" t="n">
        <v>0</v>
      </c>
      <c r="J870" t="n">
        <v>0</v>
      </c>
      <c r="K870" t="n">
        <v>0</v>
      </c>
      <c r="L870" t="n">
        <v>0</v>
      </c>
      <c r="M870" t="n">
        <v>0</v>
      </c>
      <c r="N870" t="n">
        <v>0</v>
      </c>
      <c r="O870" t="n">
        <v>0</v>
      </c>
      <c r="P870" t="n">
        <v>0</v>
      </c>
      <c r="Q870" t="n">
        <v>0</v>
      </c>
      <c r="R870" s="2" t="inlineStr"/>
    </row>
    <row r="871" ht="15" customHeight="1">
      <c r="A871" t="inlineStr">
        <is>
          <t>A 62436-2025</t>
        </is>
      </c>
      <c r="B871" s="1" t="n">
        <v>46007</v>
      </c>
      <c r="C871" s="1" t="n">
        <v>46035</v>
      </c>
      <c r="D871" t="inlineStr">
        <is>
          <t>JÄMTLANDS LÄN</t>
        </is>
      </c>
      <c r="E871" t="inlineStr">
        <is>
          <t>RAGUNDA</t>
        </is>
      </c>
      <c r="G871" t="n">
        <v>0.7</v>
      </c>
      <c r="H871" t="n">
        <v>0</v>
      </c>
      <c r="I871" t="n">
        <v>0</v>
      </c>
      <c r="J871" t="n">
        <v>0</v>
      </c>
      <c r="K871" t="n">
        <v>0</v>
      </c>
      <c r="L871" t="n">
        <v>0</v>
      </c>
      <c r="M871" t="n">
        <v>0</v>
      </c>
      <c r="N871" t="n">
        <v>0</v>
      </c>
      <c r="O871" t="n">
        <v>0</v>
      </c>
      <c r="P871" t="n">
        <v>0</v>
      </c>
      <c r="Q871" t="n">
        <v>0</v>
      </c>
      <c r="R871" s="2" t="inlineStr"/>
    </row>
    <row r="872" ht="15" customHeight="1">
      <c r="A872" t="inlineStr">
        <is>
          <t>A 54396-2025</t>
        </is>
      </c>
      <c r="B872" s="1" t="n">
        <v>45965.44849537037</v>
      </c>
      <c r="C872" s="1" t="n">
        <v>46035</v>
      </c>
      <c r="D872" t="inlineStr">
        <is>
          <t>JÄMTLANDS LÄN</t>
        </is>
      </c>
      <c r="E872" t="inlineStr">
        <is>
          <t>RAGUNDA</t>
        </is>
      </c>
      <c r="F872" t="inlineStr">
        <is>
          <t>SCA</t>
        </is>
      </c>
      <c r="G872" t="n">
        <v>35.2</v>
      </c>
      <c r="H872" t="n">
        <v>0</v>
      </c>
      <c r="I872" t="n">
        <v>0</v>
      </c>
      <c r="J872" t="n">
        <v>0</v>
      </c>
      <c r="K872" t="n">
        <v>0</v>
      </c>
      <c r="L872" t="n">
        <v>0</v>
      </c>
      <c r="M872" t="n">
        <v>0</v>
      </c>
      <c r="N872" t="n">
        <v>0</v>
      </c>
      <c r="O872" t="n">
        <v>0</v>
      </c>
      <c r="P872" t="n">
        <v>0</v>
      </c>
      <c r="Q872" t="n">
        <v>0</v>
      </c>
      <c r="R872" s="2" t="inlineStr"/>
    </row>
    <row r="873" ht="15" customHeight="1">
      <c r="A873" t="inlineStr">
        <is>
          <t>A 38270-2021</t>
        </is>
      </c>
      <c r="B873" s="1" t="n">
        <v>44405.92065972222</v>
      </c>
      <c r="C873" s="1" t="n">
        <v>46035</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4866-2025</t>
        </is>
      </c>
      <c r="B874" s="1" t="n">
        <v>45688.67542824074</v>
      </c>
      <c r="C874" s="1" t="n">
        <v>46035</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50157-2023</t>
        </is>
      </c>
      <c r="B875" s="1" t="n">
        <v>45208</v>
      </c>
      <c r="C875" s="1" t="n">
        <v>46035</v>
      </c>
      <c r="D875" t="inlineStr">
        <is>
          <t>JÄMTLANDS LÄN</t>
        </is>
      </c>
      <c r="E875" t="inlineStr">
        <is>
          <t>RAGUNDA</t>
        </is>
      </c>
      <c r="G875" t="n">
        <v>0.9</v>
      </c>
      <c r="H875" t="n">
        <v>0</v>
      </c>
      <c r="I875" t="n">
        <v>0</v>
      </c>
      <c r="J875" t="n">
        <v>0</v>
      </c>
      <c r="K875" t="n">
        <v>0</v>
      </c>
      <c r="L875" t="n">
        <v>0</v>
      </c>
      <c r="M875" t="n">
        <v>0</v>
      </c>
      <c r="N875" t="n">
        <v>0</v>
      </c>
      <c r="O875" t="n">
        <v>0</v>
      </c>
      <c r="P875" t="n">
        <v>0</v>
      </c>
      <c r="Q875" t="n">
        <v>0</v>
      </c>
      <c r="R875" s="2" t="inlineStr"/>
    </row>
    <row r="876" ht="15" customHeight="1">
      <c r="A876" t="inlineStr">
        <is>
          <t>A 179-2025</t>
        </is>
      </c>
      <c r="B876" s="1" t="n">
        <v>45659.69822916666</v>
      </c>
      <c r="C876" s="1" t="n">
        <v>46035</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20088-2023</t>
        </is>
      </c>
      <c r="B877" s="1" t="n">
        <v>45054</v>
      </c>
      <c r="C877" s="1" t="n">
        <v>46035</v>
      </c>
      <c r="D877" t="inlineStr">
        <is>
          <t>JÄMTLANDS LÄN</t>
        </is>
      </c>
      <c r="E877" t="inlineStr">
        <is>
          <t>RAGUNDA</t>
        </is>
      </c>
      <c r="F877" t="inlineStr">
        <is>
          <t>SCA</t>
        </is>
      </c>
      <c r="G877" t="n">
        <v>23.4</v>
      </c>
      <c r="H877" t="n">
        <v>0</v>
      </c>
      <c r="I877" t="n">
        <v>0</v>
      </c>
      <c r="J877" t="n">
        <v>0</v>
      </c>
      <c r="K877" t="n">
        <v>0</v>
      </c>
      <c r="L877" t="n">
        <v>0</v>
      </c>
      <c r="M877" t="n">
        <v>0</v>
      </c>
      <c r="N877" t="n">
        <v>0</v>
      </c>
      <c r="O877" t="n">
        <v>0</v>
      </c>
      <c r="P877" t="n">
        <v>0</v>
      </c>
      <c r="Q877" t="n">
        <v>0</v>
      </c>
      <c r="R877" s="2" t="inlineStr"/>
    </row>
    <row r="878" ht="15" customHeight="1">
      <c r="A878" t="inlineStr">
        <is>
          <t>A 58909-2025</t>
        </is>
      </c>
      <c r="B878" s="1" t="n">
        <v>45987</v>
      </c>
      <c r="C878" s="1" t="n">
        <v>46035</v>
      </c>
      <c r="D878" t="inlineStr">
        <is>
          <t>JÄMTLANDS LÄN</t>
        </is>
      </c>
      <c r="E878" t="inlineStr">
        <is>
          <t>RAGUNDA</t>
        </is>
      </c>
      <c r="G878" t="n">
        <v>9.5</v>
      </c>
      <c r="H878" t="n">
        <v>0</v>
      </c>
      <c r="I878" t="n">
        <v>0</v>
      </c>
      <c r="J878" t="n">
        <v>0</v>
      </c>
      <c r="K878" t="n">
        <v>0</v>
      </c>
      <c r="L878" t="n">
        <v>0</v>
      </c>
      <c r="M878" t="n">
        <v>0</v>
      </c>
      <c r="N878" t="n">
        <v>0</v>
      </c>
      <c r="O878" t="n">
        <v>0</v>
      </c>
      <c r="P878" t="n">
        <v>0</v>
      </c>
      <c r="Q878" t="n">
        <v>0</v>
      </c>
      <c r="R878" s="2" t="inlineStr"/>
    </row>
    <row r="879" ht="15" customHeight="1">
      <c r="A879" t="inlineStr">
        <is>
          <t>A 62638-2025</t>
        </is>
      </c>
      <c r="B879" s="1" t="n">
        <v>46008.36564814814</v>
      </c>
      <c r="C879" s="1" t="n">
        <v>46035</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59136-2023</t>
        </is>
      </c>
      <c r="B880" s="1" t="n">
        <v>45251</v>
      </c>
      <c r="C880" s="1" t="n">
        <v>46035</v>
      </c>
      <c r="D880" t="inlineStr">
        <is>
          <t>JÄMTLANDS LÄN</t>
        </is>
      </c>
      <c r="E880" t="inlineStr">
        <is>
          <t>RAGUNDA</t>
        </is>
      </c>
      <c r="G880" t="n">
        <v>1.7</v>
      </c>
      <c r="H880" t="n">
        <v>0</v>
      </c>
      <c r="I880" t="n">
        <v>0</v>
      </c>
      <c r="J880" t="n">
        <v>0</v>
      </c>
      <c r="K880" t="n">
        <v>0</v>
      </c>
      <c r="L880" t="n">
        <v>0</v>
      </c>
      <c r="M880" t="n">
        <v>0</v>
      </c>
      <c r="N880" t="n">
        <v>0</v>
      </c>
      <c r="O880" t="n">
        <v>0</v>
      </c>
      <c r="P880" t="n">
        <v>0</v>
      </c>
      <c r="Q880" t="n">
        <v>0</v>
      </c>
      <c r="R880" s="2" t="inlineStr"/>
    </row>
    <row r="881" ht="15" customHeight="1">
      <c r="A881" t="inlineStr">
        <is>
          <t>A 62467-2025</t>
        </is>
      </c>
      <c r="B881" s="1" t="n">
        <v>46007.5108912037</v>
      </c>
      <c r="C881" s="1" t="n">
        <v>46035</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35274-2023</t>
        </is>
      </c>
      <c r="B882" s="1" t="n">
        <v>45145</v>
      </c>
      <c r="C882" s="1" t="n">
        <v>46035</v>
      </c>
      <c r="D882" t="inlineStr">
        <is>
          <t>JÄMTLANDS LÄN</t>
        </is>
      </c>
      <c r="E882" t="inlineStr">
        <is>
          <t>RAGUNDA</t>
        </is>
      </c>
      <c r="F882" t="inlineStr">
        <is>
          <t>SCA</t>
        </is>
      </c>
      <c r="G882" t="n">
        <v>6.1</v>
      </c>
      <c r="H882" t="n">
        <v>0</v>
      </c>
      <c r="I882" t="n">
        <v>0</v>
      </c>
      <c r="J882" t="n">
        <v>0</v>
      </c>
      <c r="K882" t="n">
        <v>0</v>
      </c>
      <c r="L882" t="n">
        <v>0</v>
      </c>
      <c r="M882" t="n">
        <v>0</v>
      </c>
      <c r="N882" t="n">
        <v>0</v>
      </c>
      <c r="O882" t="n">
        <v>0</v>
      </c>
      <c r="P882" t="n">
        <v>0</v>
      </c>
      <c r="Q882" t="n">
        <v>0</v>
      </c>
      <c r="R882" s="2" t="inlineStr"/>
    </row>
    <row r="883" ht="15" customHeight="1">
      <c r="A883" t="inlineStr">
        <is>
          <t>A 64264-2023</t>
        </is>
      </c>
      <c r="B883" s="1" t="n">
        <v>45279.94564814815</v>
      </c>
      <c r="C883" s="1" t="n">
        <v>46035</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54820-2025</t>
        </is>
      </c>
      <c r="B884" s="1" t="n">
        <v>45966.65728009259</v>
      </c>
      <c r="C884" s="1" t="n">
        <v>46035</v>
      </c>
      <c r="D884" t="inlineStr">
        <is>
          <t>JÄMTLANDS LÄN</t>
        </is>
      </c>
      <c r="E884" t="inlineStr">
        <is>
          <t>RAGUNDA</t>
        </is>
      </c>
      <c r="G884" t="n">
        <v>15.3</v>
      </c>
      <c r="H884" t="n">
        <v>0</v>
      </c>
      <c r="I884" t="n">
        <v>0</v>
      </c>
      <c r="J884" t="n">
        <v>0</v>
      </c>
      <c r="K884" t="n">
        <v>0</v>
      </c>
      <c r="L884" t="n">
        <v>0</v>
      </c>
      <c r="M884" t="n">
        <v>0</v>
      </c>
      <c r="N884" t="n">
        <v>0</v>
      </c>
      <c r="O884" t="n">
        <v>0</v>
      </c>
      <c r="P884" t="n">
        <v>0</v>
      </c>
      <c r="Q884" t="n">
        <v>0</v>
      </c>
      <c r="R884" s="2" t="inlineStr"/>
    </row>
    <row r="885" ht="15" customHeight="1">
      <c r="A885" t="inlineStr">
        <is>
          <t>A 26347-2023</t>
        </is>
      </c>
      <c r="B885" s="1" t="n">
        <v>45091</v>
      </c>
      <c r="C885" s="1" t="n">
        <v>46035</v>
      </c>
      <c r="D885" t="inlineStr">
        <is>
          <t>JÄMTLANDS LÄN</t>
        </is>
      </c>
      <c r="E885" t="inlineStr">
        <is>
          <t>RAGUNDA</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50160-2023</t>
        </is>
      </c>
      <c r="B886" s="1" t="n">
        <v>45208</v>
      </c>
      <c r="C886" s="1" t="n">
        <v>46035</v>
      </c>
      <c r="D886" t="inlineStr">
        <is>
          <t>JÄMTLANDS LÄN</t>
        </is>
      </c>
      <c r="E886" t="inlineStr">
        <is>
          <t>RAGUNDA</t>
        </is>
      </c>
      <c r="G886" t="n">
        <v>4.6</v>
      </c>
      <c r="H886" t="n">
        <v>0</v>
      </c>
      <c r="I886" t="n">
        <v>0</v>
      </c>
      <c r="J886" t="n">
        <v>0</v>
      </c>
      <c r="K886" t="n">
        <v>0</v>
      </c>
      <c r="L886" t="n">
        <v>0</v>
      </c>
      <c r="M886" t="n">
        <v>0</v>
      </c>
      <c r="N886" t="n">
        <v>0</v>
      </c>
      <c r="O886" t="n">
        <v>0</v>
      </c>
      <c r="P886" t="n">
        <v>0</v>
      </c>
      <c r="Q886" t="n">
        <v>0</v>
      </c>
      <c r="R886" s="2" t="inlineStr"/>
    </row>
    <row r="887" ht="15" customHeight="1">
      <c r="A887" t="inlineStr">
        <is>
          <t>A 62490-2025</t>
        </is>
      </c>
      <c r="B887" s="1" t="n">
        <v>46007.5697337963</v>
      </c>
      <c r="C887" s="1" t="n">
        <v>46035</v>
      </c>
      <c r="D887" t="inlineStr">
        <is>
          <t>JÄMTLANDS LÄN</t>
        </is>
      </c>
      <c r="E887" t="inlineStr">
        <is>
          <t>RAGUNDA</t>
        </is>
      </c>
      <c r="F887" t="inlineStr">
        <is>
          <t>Kommuner</t>
        </is>
      </c>
      <c r="G887" t="n">
        <v>0.8</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46035</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62691-2025</t>
        </is>
      </c>
      <c r="B889" s="1" t="n">
        <v>46008.4759837963</v>
      </c>
      <c r="C889" s="1" t="n">
        <v>46035</v>
      </c>
      <c r="D889" t="inlineStr">
        <is>
          <t>JÄMTLANDS LÄN</t>
        </is>
      </c>
      <c r="E889" t="inlineStr">
        <is>
          <t>RAGUNDA</t>
        </is>
      </c>
      <c r="G889" t="n">
        <v>2.6</v>
      </c>
      <c r="H889" t="n">
        <v>0</v>
      </c>
      <c r="I889" t="n">
        <v>0</v>
      </c>
      <c r="J889" t="n">
        <v>0</v>
      </c>
      <c r="K889" t="n">
        <v>0</v>
      </c>
      <c r="L889" t="n">
        <v>0</v>
      </c>
      <c r="M889" t="n">
        <v>0</v>
      </c>
      <c r="N889" t="n">
        <v>0</v>
      </c>
      <c r="O889" t="n">
        <v>0</v>
      </c>
      <c r="P889" t="n">
        <v>0</v>
      </c>
      <c r="Q889" t="n">
        <v>0</v>
      </c>
      <c r="R889" s="2" t="inlineStr"/>
    </row>
    <row r="890" ht="15" customHeight="1">
      <c r="A890" t="inlineStr">
        <is>
          <t>A 59492-2024</t>
        </is>
      </c>
      <c r="B890" s="1" t="n">
        <v>45638</v>
      </c>
      <c r="C890" s="1" t="n">
        <v>46035</v>
      </c>
      <c r="D890" t="inlineStr">
        <is>
          <t>JÄMTLANDS LÄN</t>
        </is>
      </c>
      <c r="E890" t="inlineStr">
        <is>
          <t>RAGUNDA</t>
        </is>
      </c>
      <c r="G890" t="n">
        <v>1.2</v>
      </c>
      <c r="H890" t="n">
        <v>0</v>
      </c>
      <c r="I890" t="n">
        <v>0</v>
      </c>
      <c r="J890" t="n">
        <v>0</v>
      </c>
      <c r="K890" t="n">
        <v>0</v>
      </c>
      <c r="L890" t="n">
        <v>0</v>
      </c>
      <c r="M890" t="n">
        <v>0</v>
      </c>
      <c r="N890" t="n">
        <v>0</v>
      </c>
      <c r="O890" t="n">
        <v>0</v>
      </c>
      <c r="P890" t="n">
        <v>0</v>
      </c>
      <c r="Q890" t="n">
        <v>0</v>
      </c>
      <c r="R890" s="2" t="inlineStr"/>
    </row>
    <row r="891" ht="15" customHeight="1">
      <c r="A891" t="inlineStr">
        <is>
          <t>A 61109-2024</t>
        </is>
      </c>
      <c r="B891" s="1" t="n">
        <v>45645.55672453704</v>
      </c>
      <c r="C891" s="1" t="n">
        <v>46035</v>
      </c>
      <c r="D891" t="inlineStr">
        <is>
          <t>JÄMTLANDS LÄN</t>
        </is>
      </c>
      <c r="E891" t="inlineStr">
        <is>
          <t>RAGUNDA</t>
        </is>
      </c>
      <c r="G891" t="n">
        <v>4</v>
      </c>
      <c r="H891" t="n">
        <v>0</v>
      </c>
      <c r="I891" t="n">
        <v>0</v>
      </c>
      <c r="J891" t="n">
        <v>0</v>
      </c>
      <c r="K891" t="n">
        <v>0</v>
      </c>
      <c r="L891" t="n">
        <v>0</v>
      </c>
      <c r="M891" t="n">
        <v>0</v>
      </c>
      <c r="N891" t="n">
        <v>0</v>
      </c>
      <c r="O891" t="n">
        <v>0</v>
      </c>
      <c r="P891" t="n">
        <v>0</v>
      </c>
      <c r="Q891" t="n">
        <v>0</v>
      </c>
      <c r="R891" s="2" t="inlineStr"/>
    </row>
    <row r="892" ht="15" customHeight="1">
      <c r="A892" t="inlineStr">
        <is>
          <t>A 54794-2025</t>
        </is>
      </c>
      <c r="B892" s="1" t="n">
        <v>45966.63592592593</v>
      </c>
      <c r="C892" s="1" t="n">
        <v>46035</v>
      </c>
      <c r="D892" t="inlineStr">
        <is>
          <t>JÄMTLANDS LÄN</t>
        </is>
      </c>
      <c r="E892" t="inlineStr">
        <is>
          <t>RAGUNDA</t>
        </is>
      </c>
      <c r="G892" t="n">
        <v>4</v>
      </c>
      <c r="H892" t="n">
        <v>0</v>
      </c>
      <c r="I892" t="n">
        <v>0</v>
      </c>
      <c r="J892" t="n">
        <v>0</v>
      </c>
      <c r="K892" t="n">
        <v>0</v>
      </c>
      <c r="L892" t="n">
        <v>0</v>
      </c>
      <c r="M892" t="n">
        <v>0</v>
      </c>
      <c r="N892" t="n">
        <v>0</v>
      </c>
      <c r="O892" t="n">
        <v>0</v>
      </c>
      <c r="P892" t="n">
        <v>0</v>
      </c>
      <c r="Q892" t="n">
        <v>0</v>
      </c>
      <c r="R892" s="2" t="inlineStr"/>
    </row>
    <row r="893" ht="15" customHeight="1">
      <c r="A893" t="inlineStr">
        <is>
          <t>A 27373-2023</t>
        </is>
      </c>
      <c r="B893" s="1" t="n">
        <v>45096.93866898148</v>
      </c>
      <c r="C893" s="1" t="n">
        <v>46035</v>
      </c>
      <c r="D893" t="inlineStr">
        <is>
          <t>JÄMTLANDS LÄN</t>
        </is>
      </c>
      <c r="E893" t="inlineStr">
        <is>
          <t>RAGUNDA</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16321-2025</t>
        </is>
      </c>
      <c r="B894" s="1" t="n">
        <v>45751.34873842593</v>
      </c>
      <c r="C894" s="1" t="n">
        <v>46035</v>
      </c>
      <c r="D894" t="inlineStr">
        <is>
          <t>JÄMTLANDS LÄN</t>
        </is>
      </c>
      <c r="E894" t="inlineStr">
        <is>
          <t>RAGUNDA</t>
        </is>
      </c>
      <c r="F894" t="inlineStr">
        <is>
          <t>SCA</t>
        </is>
      </c>
      <c r="G894" t="n">
        <v>63.3</v>
      </c>
      <c r="H894" t="n">
        <v>0</v>
      </c>
      <c r="I894" t="n">
        <v>0</v>
      </c>
      <c r="J894" t="n">
        <v>0</v>
      </c>
      <c r="K894" t="n">
        <v>0</v>
      </c>
      <c r="L894" t="n">
        <v>0</v>
      </c>
      <c r="M894" t="n">
        <v>0</v>
      </c>
      <c r="N894" t="n">
        <v>0</v>
      </c>
      <c r="O894" t="n">
        <v>0</v>
      </c>
      <c r="P894" t="n">
        <v>0</v>
      </c>
      <c r="Q894" t="n">
        <v>0</v>
      </c>
      <c r="R894" s="2" t="inlineStr"/>
    </row>
    <row r="895" ht="15" customHeight="1">
      <c r="A895" t="inlineStr">
        <is>
          <t>A 55904-2022</t>
        </is>
      </c>
      <c r="B895" s="1" t="n">
        <v>44888</v>
      </c>
      <c r="C895" s="1" t="n">
        <v>46035</v>
      </c>
      <c r="D895" t="inlineStr">
        <is>
          <t>JÄMTLANDS LÄN</t>
        </is>
      </c>
      <c r="E895" t="inlineStr">
        <is>
          <t>RAGUNDA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19854-2025</t>
        </is>
      </c>
      <c r="B896" s="1" t="n">
        <v>45771.51074074074</v>
      </c>
      <c r="C896" s="1" t="n">
        <v>46035</v>
      </c>
      <c r="D896" t="inlineStr">
        <is>
          <t>JÄMTLANDS LÄN</t>
        </is>
      </c>
      <c r="E896" t="inlineStr">
        <is>
          <t>RAGUNDA</t>
        </is>
      </c>
      <c r="F896" t="inlineStr">
        <is>
          <t>SCA</t>
        </is>
      </c>
      <c r="G896" t="n">
        <v>8.4</v>
      </c>
      <c r="H896" t="n">
        <v>0</v>
      </c>
      <c r="I896" t="n">
        <v>0</v>
      </c>
      <c r="J896" t="n">
        <v>0</v>
      </c>
      <c r="K896" t="n">
        <v>0</v>
      </c>
      <c r="L896" t="n">
        <v>0</v>
      </c>
      <c r="M896" t="n">
        <v>0</v>
      </c>
      <c r="N896" t="n">
        <v>0</v>
      </c>
      <c r="O896" t="n">
        <v>0</v>
      </c>
      <c r="P896" t="n">
        <v>0</v>
      </c>
      <c r="Q896" t="n">
        <v>0</v>
      </c>
      <c r="R896" s="2" t="inlineStr"/>
    </row>
    <row r="897" ht="15" customHeight="1">
      <c r="A897" t="inlineStr">
        <is>
          <t>A 6688-2024</t>
        </is>
      </c>
      <c r="B897" s="1" t="n">
        <v>45341</v>
      </c>
      <c r="C897" s="1" t="n">
        <v>46035</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30642-2024</t>
        </is>
      </c>
      <c r="B898" s="1" t="n">
        <v>45495.57677083334</v>
      </c>
      <c r="C898" s="1" t="n">
        <v>46035</v>
      </c>
      <c r="D898" t="inlineStr">
        <is>
          <t>JÄMTLANDS LÄN</t>
        </is>
      </c>
      <c r="E898" t="inlineStr">
        <is>
          <t>RAGUNDA</t>
        </is>
      </c>
      <c r="G898" t="n">
        <v>2.7</v>
      </c>
      <c r="H898" t="n">
        <v>0</v>
      </c>
      <c r="I898" t="n">
        <v>0</v>
      </c>
      <c r="J898" t="n">
        <v>0</v>
      </c>
      <c r="K898" t="n">
        <v>0</v>
      </c>
      <c r="L898" t="n">
        <v>0</v>
      </c>
      <c r="M898" t="n">
        <v>0</v>
      </c>
      <c r="N898" t="n">
        <v>0</v>
      </c>
      <c r="O898" t="n">
        <v>0</v>
      </c>
      <c r="P898" t="n">
        <v>0</v>
      </c>
      <c r="Q898" t="n">
        <v>0</v>
      </c>
      <c r="R898" s="2" t="inlineStr"/>
    </row>
    <row r="899" ht="15" customHeight="1">
      <c r="A899" t="inlineStr">
        <is>
          <t>A 16635-2025</t>
        </is>
      </c>
      <c r="B899" s="1" t="n">
        <v>45754</v>
      </c>
      <c r="C899" s="1" t="n">
        <v>46035</v>
      </c>
      <c r="D899" t="inlineStr">
        <is>
          <t>JÄMTLANDS LÄN</t>
        </is>
      </c>
      <c r="E899" t="inlineStr">
        <is>
          <t>RAGUNDA</t>
        </is>
      </c>
      <c r="F899" t="inlineStr">
        <is>
          <t>SCA</t>
        </is>
      </c>
      <c r="G899" t="n">
        <v>55.4</v>
      </c>
      <c r="H899" t="n">
        <v>0</v>
      </c>
      <c r="I899" t="n">
        <v>0</v>
      </c>
      <c r="J899" t="n">
        <v>0</v>
      </c>
      <c r="K899" t="n">
        <v>0</v>
      </c>
      <c r="L899" t="n">
        <v>0</v>
      </c>
      <c r="M899" t="n">
        <v>0</v>
      </c>
      <c r="N899" t="n">
        <v>0</v>
      </c>
      <c r="O899" t="n">
        <v>0</v>
      </c>
      <c r="P899" t="n">
        <v>0</v>
      </c>
      <c r="Q899" t="n">
        <v>0</v>
      </c>
      <c r="R899" s="2" t="inlineStr"/>
    </row>
    <row r="900" ht="15" customHeight="1">
      <c r="A900" t="inlineStr">
        <is>
          <t>A 63060-2025</t>
        </is>
      </c>
      <c r="B900" s="1" t="n">
        <v>46009.64414351852</v>
      </c>
      <c r="C900" s="1" t="n">
        <v>46035</v>
      </c>
      <c r="D900" t="inlineStr">
        <is>
          <t>JÄMTLANDS LÄN</t>
        </is>
      </c>
      <c r="E900" t="inlineStr">
        <is>
          <t>RAGUNDA</t>
        </is>
      </c>
      <c r="G900" t="n">
        <v>6.5</v>
      </c>
      <c r="H900" t="n">
        <v>0</v>
      </c>
      <c r="I900" t="n">
        <v>0</v>
      </c>
      <c r="J900" t="n">
        <v>0</v>
      </c>
      <c r="K900" t="n">
        <v>0</v>
      </c>
      <c r="L900" t="n">
        <v>0</v>
      </c>
      <c r="M900" t="n">
        <v>0</v>
      </c>
      <c r="N900" t="n">
        <v>0</v>
      </c>
      <c r="O900" t="n">
        <v>0</v>
      </c>
      <c r="P900" t="n">
        <v>0</v>
      </c>
      <c r="Q900" t="n">
        <v>0</v>
      </c>
      <c r="R900" s="2" t="inlineStr"/>
    </row>
    <row r="901" ht="15" customHeight="1">
      <c r="A901" t="inlineStr">
        <is>
          <t>A 63057-2025</t>
        </is>
      </c>
      <c r="B901" s="1" t="n">
        <v>46009.63837962963</v>
      </c>
      <c r="C901" s="1" t="n">
        <v>46035</v>
      </c>
      <c r="D901" t="inlineStr">
        <is>
          <t>JÄMTLANDS LÄN</t>
        </is>
      </c>
      <c r="E901" t="inlineStr">
        <is>
          <t>RAGUNDA</t>
        </is>
      </c>
      <c r="G901" t="n">
        <v>13.7</v>
      </c>
      <c r="H901" t="n">
        <v>0</v>
      </c>
      <c r="I901" t="n">
        <v>0</v>
      </c>
      <c r="J901" t="n">
        <v>0</v>
      </c>
      <c r="K901" t="n">
        <v>0</v>
      </c>
      <c r="L901" t="n">
        <v>0</v>
      </c>
      <c r="M901" t="n">
        <v>0</v>
      </c>
      <c r="N901" t="n">
        <v>0</v>
      </c>
      <c r="O901" t="n">
        <v>0</v>
      </c>
      <c r="P901" t="n">
        <v>0</v>
      </c>
      <c r="Q901" t="n">
        <v>0</v>
      </c>
      <c r="R901" s="2" t="inlineStr"/>
    </row>
    <row r="902" ht="15" customHeight="1">
      <c r="A902" t="inlineStr">
        <is>
          <t>A 62927-2025</t>
        </is>
      </c>
      <c r="B902" s="1" t="n">
        <v>46009.38609953703</v>
      </c>
      <c r="C902" s="1" t="n">
        <v>46035</v>
      </c>
      <c r="D902" t="inlineStr">
        <is>
          <t>JÄMTLANDS LÄN</t>
        </is>
      </c>
      <c r="E902" t="inlineStr">
        <is>
          <t>RAGUNDA</t>
        </is>
      </c>
      <c r="G902" t="n">
        <v>6.3</v>
      </c>
      <c r="H902" t="n">
        <v>0</v>
      </c>
      <c r="I902" t="n">
        <v>0</v>
      </c>
      <c r="J902" t="n">
        <v>0</v>
      </c>
      <c r="K902" t="n">
        <v>0</v>
      </c>
      <c r="L902" t="n">
        <v>0</v>
      </c>
      <c r="M902" t="n">
        <v>0</v>
      </c>
      <c r="N902" t="n">
        <v>0</v>
      </c>
      <c r="O902" t="n">
        <v>0</v>
      </c>
      <c r="P902" t="n">
        <v>0</v>
      </c>
      <c r="Q902" t="n">
        <v>0</v>
      </c>
      <c r="R902" s="2" t="inlineStr"/>
      <c r="U902">
        <f>HYPERLINK("https://klasma.github.io/Logging_2303/knärot/A 62927-2025 karta knärot.png", "A 62927-2025")</f>
        <v/>
      </c>
      <c r="V902">
        <f>HYPERLINK("https://klasma.github.io/Logging_2303/klagomål/A 62927-2025 FSC-klagomål.docx", "A 62927-2025")</f>
        <v/>
      </c>
      <c r="W902">
        <f>HYPERLINK("https://klasma.github.io/Logging_2303/klagomålsmail/A 62927-2025 FSC-klagomål mail.docx", "A 62927-2025")</f>
        <v/>
      </c>
      <c r="X902">
        <f>HYPERLINK("https://klasma.github.io/Logging_2303/tillsyn/A 62927-2025 tillsynsbegäran.docx", "A 62927-2025")</f>
        <v/>
      </c>
      <c r="Y902">
        <f>HYPERLINK("https://klasma.github.io/Logging_2303/tillsynsmail/A 62927-2025 tillsynsbegäran mail.docx", "A 62927-2025")</f>
        <v/>
      </c>
    </row>
    <row r="903" ht="15" customHeight="1">
      <c r="A903" t="inlineStr">
        <is>
          <t>A 37479-2023</t>
        </is>
      </c>
      <c r="B903" s="1" t="n">
        <v>45156</v>
      </c>
      <c r="C903" s="1" t="n">
        <v>46035</v>
      </c>
      <c r="D903" t="inlineStr">
        <is>
          <t>JÄMTLANDS LÄN</t>
        </is>
      </c>
      <c r="E903" t="inlineStr">
        <is>
          <t>RAGUNDA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63141-2025</t>
        </is>
      </c>
      <c r="B904" s="1" t="n">
        <v>46010.34440972222</v>
      </c>
      <c r="C904" s="1" t="n">
        <v>46035</v>
      </c>
      <c r="D904" t="inlineStr">
        <is>
          <t>JÄMTLANDS LÄN</t>
        </is>
      </c>
      <c r="E904" t="inlineStr">
        <is>
          <t>RAGUNDA</t>
        </is>
      </c>
      <c r="F904" t="inlineStr">
        <is>
          <t>SCA</t>
        </is>
      </c>
      <c r="G904" t="n">
        <v>24.4</v>
      </c>
      <c r="H904" t="n">
        <v>0</v>
      </c>
      <c r="I904" t="n">
        <v>0</v>
      </c>
      <c r="J904" t="n">
        <v>0</v>
      </c>
      <c r="K904" t="n">
        <v>0</v>
      </c>
      <c r="L904" t="n">
        <v>0</v>
      </c>
      <c r="M904" t="n">
        <v>0</v>
      </c>
      <c r="N904" t="n">
        <v>0</v>
      </c>
      <c r="O904" t="n">
        <v>0</v>
      </c>
      <c r="P904" t="n">
        <v>0</v>
      </c>
      <c r="Q904" t="n">
        <v>0</v>
      </c>
      <c r="R904" s="2" t="inlineStr"/>
    </row>
    <row r="905" ht="15" customHeight="1">
      <c r="A905" t="inlineStr">
        <is>
          <t>A 41772-2024</t>
        </is>
      </c>
      <c r="B905" s="1" t="n">
        <v>45561.34663194444</v>
      </c>
      <c r="C905" s="1" t="n">
        <v>46035</v>
      </c>
      <c r="D905" t="inlineStr">
        <is>
          <t>JÄMTLANDS LÄN</t>
        </is>
      </c>
      <c r="E905" t="inlineStr">
        <is>
          <t>RAGUNDA</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55633-2025</t>
        </is>
      </c>
      <c r="B906" s="1" t="n">
        <v>45972</v>
      </c>
      <c r="C906" s="1" t="n">
        <v>46035</v>
      </c>
      <c r="D906" t="inlineStr">
        <is>
          <t>JÄMTLANDS LÄN</t>
        </is>
      </c>
      <c r="E906" t="inlineStr">
        <is>
          <t>RAGUNDA</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55547-2025</t>
        </is>
      </c>
      <c r="B907" s="1" t="n">
        <v>45971</v>
      </c>
      <c r="C907" s="1" t="n">
        <v>46035</v>
      </c>
      <c r="D907" t="inlineStr">
        <is>
          <t>JÄMTLANDS LÄN</t>
        </is>
      </c>
      <c r="E907" t="inlineStr">
        <is>
          <t>RAGUNDA</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12660-2024</t>
        </is>
      </c>
      <c r="B908" s="1" t="n">
        <v>45384</v>
      </c>
      <c r="C908" s="1" t="n">
        <v>46035</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25332-2023</t>
        </is>
      </c>
      <c r="B909" s="1" t="n">
        <v>45086.94010416666</v>
      </c>
      <c r="C909" s="1" t="n">
        <v>46035</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63578-2025</t>
        </is>
      </c>
      <c r="B910" s="1" t="n">
        <v>46013.67690972222</v>
      </c>
      <c r="C910" s="1" t="n">
        <v>46035</v>
      </c>
      <c r="D910" t="inlineStr">
        <is>
          <t>JÄMTLANDS LÄN</t>
        </is>
      </c>
      <c r="E910" t="inlineStr">
        <is>
          <t>RAGUNDA</t>
        </is>
      </c>
      <c r="G910" t="n">
        <v>2.7</v>
      </c>
      <c r="H910" t="n">
        <v>0</v>
      </c>
      <c r="I910" t="n">
        <v>0</v>
      </c>
      <c r="J910" t="n">
        <v>0</v>
      </c>
      <c r="K910" t="n">
        <v>0</v>
      </c>
      <c r="L910" t="n">
        <v>0</v>
      </c>
      <c r="M910" t="n">
        <v>0</v>
      </c>
      <c r="N910" t="n">
        <v>0</v>
      </c>
      <c r="O910" t="n">
        <v>0</v>
      </c>
      <c r="P910" t="n">
        <v>0</v>
      </c>
      <c r="Q910" t="n">
        <v>0</v>
      </c>
      <c r="R910" s="2" t="inlineStr"/>
    </row>
    <row r="911" ht="15" customHeight="1">
      <c r="A911" t="inlineStr">
        <is>
          <t>A 33615-2023</t>
        </is>
      </c>
      <c r="B911" s="1" t="n">
        <v>45119</v>
      </c>
      <c r="C911" s="1" t="n">
        <v>46035</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43132-2023</t>
        </is>
      </c>
      <c r="B912" s="1" t="n">
        <v>45182</v>
      </c>
      <c r="C912" s="1" t="n">
        <v>46035</v>
      </c>
      <c r="D912" t="inlineStr">
        <is>
          <t>JÄMTLANDS LÄN</t>
        </is>
      </c>
      <c r="E912" t="inlineStr">
        <is>
          <t>RAGUNDA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63672-2025</t>
        </is>
      </c>
      <c r="B913" s="1" t="n">
        <v>46014.47575231481</v>
      </c>
      <c r="C913" s="1" t="n">
        <v>46035</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8654-2024</t>
        </is>
      </c>
      <c r="B914" s="1" t="n">
        <v>45356.03784722222</v>
      </c>
      <c r="C914" s="1" t="n">
        <v>46035</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9325-2024</t>
        </is>
      </c>
      <c r="B915" s="1" t="n">
        <v>45358.95813657407</v>
      </c>
      <c r="C915" s="1" t="n">
        <v>46035</v>
      </c>
      <c r="D915" t="inlineStr">
        <is>
          <t>JÄMTLANDS LÄN</t>
        </is>
      </c>
      <c r="E915" t="inlineStr">
        <is>
          <t>RAGUNDA</t>
        </is>
      </c>
      <c r="G915" t="n">
        <v>3.1</v>
      </c>
      <c r="H915" t="n">
        <v>0</v>
      </c>
      <c r="I915" t="n">
        <v>0</v>
      </c>
      <c r="J915" t="n">
        <v>0</v>
      </c>
      <c r="K915" t="n">
        <v>0</v>
      </c>
      <c r="L915" t="n">
        <v>0</v>
      </c>
      <c r="M915" t="n">
        <v>0</v>
      </c>
      <c r="N915" t="n">
        <v>0</v>
      </c>
      <c r="O915" t="n">
        <v>0</v>
      </c>
      <c r="P915" t="n">
        <v>0</v>
      </c>
      <c r="Q915" t="n">
        <v>0</v>
      </c>
      <c r="R915" s="2" t="inlineStr"/>
    </row>
    <row r="916" ht="15" customHeight="1">
      <c r="A916" t="inlineStr">
        <is>
          <t>A 4348-2023</t>
        </is>
      </c>
      <c r="B916" s="1" t="n">
        <v>44953</v>
      </c>
      <c r="C916" s="1" t="n">
        <v>46035</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8678-2023</t>
        </is>
      </c>
      <c r="B917" s="1" t="n">
        <v>44977.98660879629</v>
      </c>
      <c r="C917" s="1" t="n">
        <v>46035</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29766-2023</t>
        </is>
      </c>
      <c r="B918" s="1" t="n">
        <v>45098</v>
      </c>
      <c r="C918" s="1" t="n">
        <v>46035</v>
      </c>
      <c r="D918" t="inlineStr">
        <is>
          <t>JÄMTLANDS LÄN</t>
        </is>
      </c>
      <c r="E918" t="inlineStr">
        <is>
          <t>RAGUNDA</t>
        </is>
      </c>
      <c r="G918" t="n">
        <v>2.7</v>
      </c>
      <c r="H918" t="n">
        <v>0</v>
      </c>
      <c r="I918" t="n">
        <v>0</v>
      </c>
      <c r="J918" t="n">
        <v>0</v>
      </c>
      <c r="K918" t="n">
        <v>0</v>
      </c>
      <c r="L918" t="n">
        <v>0</v>
      </c>
      <c r="M918" t="n">
        <v>0</v>
      </c>
      <c r="N918" t="n">
        <v>0</v>
      </c>
      <c r="O918" t="n">
        <v>0</v>
      </c>
      <c r="P918" t="n">
        <v>0</v>
      </c>
      <c r="Q918" t="n">
        <v>0</v>
      </c>
      <c r="R918" s="2" t="inlineStr"/>
    </row>
    <row r="919" ht="15" customHeight="1">
      <c r="A919" t="inlineStr">
        <is>
          <t>A 55671-2025</t>
        </is>
      </c>
      <c r="B919" s="1" t="n">
        <v>45972</v>
      </c>
      <c r="C919" s="1" t="n">
        <v>46035</v>
      </c>
      <c r="D919" t="inlineStr">
        <is>
          <t>JÄMTLANDS LÄN</t>
        </is>
      </c>
      <c r="E919" t="inlineStr">
        <is>
          <t>RAGUNDA</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63671-2025</t>
        </is>
      </c>
      <c r="B920" s="1" t="n">
        <v>46014.46555555556</v>
      </c>
      <c r="C920" s="1" t="n">
        <v>46035</v>
      </c>
      <c r="D920" t="inlineStr">
        <is>
          <t>JÄMTLANDS LÄN</t>
        </is>
      </c>
      <c r="E920" t="inlineStr">
        <is>
          <t>RAGUNDA</t>
        </is>
      </c>
      <c r="G920" t="n">
        <v>0.9</v>
      </c>
      <c r="H920" t="n">
        <v>0</v>
      </c>
      <c r="I920" t="n">
        <v>0</v>
      </c>
      <c r="J920" t="n">
        <v>0</v>
      </c>
      <c r="K920" t="n">
        <v>0</v>
      </c>
      <c r="L920" t="n">
        <v>0</v>
      </c>
      <c r="M920" t="n">
        <v>0</v>
      </c>
      <c r="N920" t="n">
        <v>0</v>
      </c>
      <c r="O920" t="n">
        <v>0</v>
      </c>
      <c r="P920" t="n">
        <v>0</v>
      </c>
      <c r="Q920" t="n">
        <v>0</v>
      </c>
      <c r="R920" s="2" t="inlineStr"/>
    </row>
    <row r="921" ht="15" customHeight="1">
      <c r="A921" t="inlineStr">
        <is>
          <t>A 56170-2025</t>
        </is>
      </c>
      <c r="B921" s="1" t="n">
        <v>45974.39398148148</v>
      </c>
      <c r="C921" s="1" t="n">
        <v>46035</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60935-2024</t>
        </is>
      </c>
      <c r="B922" s="1" t="n">
        <v>45645.36740740741</v>
      </c>
      <c r="C922" s="1" t="n">
        <v>46035</v>
      </c>
      <c r="D922" t="inlineStr">
        <is>
          <t>JÄMTLANDS LÄN</t>
        </is>
      </c>
      <c r="E922" t="inlineStr">
        <is>
          <t>RAGUNDA</t>
        </is>
      </c>
      <c r="G922" t="n">
        <v>2.6</v>
      </c>
      <c r="H922" t="n">
        <v>0</v>
      </c>
      <c r="I922" t="n">
        <v>0</v>
      </c>
      <c r="J922" t="n">
        <v>0</v>
      </c>
      <c r="K922" t="n">
        <v>0</v>
      </c>
      <c r="L922" t="n">
        <v>0</v>
      </c>
      <c r="M922" t="n">
        <v>0</v>
      </c>
      <c r="N922" t="n">
        <v>0</v>
      </c>
      <c r="O922" t="n">
        <v>0</v>
      </c>
      <c r="P922" t="n">
        <v>0</v>
      </c>
      <c r="Q922" t="n">
        <v>0</v>
      </c>
      <c r="R922" s="2" t="inlineStr"/>
    </row>
    <row r="923" ht="15" customHeight="1">
      <c r="A923" t="inlineStr">
        <is>
          <t>A 14156-2024</t>
        </is>
      </c>
      <c r="B923" s="1" t="n">
        <v>45392</v>
      </c>
      <c r="C923" s="1" t="n">
        <v>46035</v>
      </c>
      <c r="D923" t="inlineStr">
        <is>
          <t>JÄMTLANDS LÄN</t>
        </is>
      </c>
      <c r="E923" t="inlineStr">
        <is>
          <t>RAGUNDA</t>
        </is>
      </c>
      <c r="G923" t="n">
        <v>0.6</v>
      </c>
      <c r="H923" t="n">
        <v>0</v>
      </c>
      <c r="I923" t="n">
        <v>0</v>
      </c>
      <c r="J923" t="n">
        <v>0</v>
      </c>
      <c r="K923" t="n">
        <v>0</v>
      </c>
      <c r="L923" t="n">
        <v>0</v>
      </c>
      <c r="M923" t="n">
        <v>0</v>
      </c>
      <c r="N923" t="n">
        <v>0</v>
      </c>
      <c r="O923" t="n">
        <v>0</v>
      </c>
      <c r="P923" t="n">
        <v>0</v>
      </c>
      <c r="Q923" t="n">
        <v>0</v>
      </c>
      <c r="R923" s="2" t="inlineStr"/>
    </row>
    <row r="924" ht="15" customHeight="1">
      <c r="A924" t="inlineStr">
        <is>
          <t>A 14157-2024</t>
        </is>
      </c>
      <c r="B924" s="1" t="n">
        <v>45392.92903935185</v>
      </c>
      <c r="C924" s="1" t="n">
        <v>46035</v>
      </c>
      <c r="D924" t="inlineStr">
        <is>
          <t>JÄMTLANDS LÄN</t>
        </is>
      </c>
      <c r="E924" t="inlineStr">
        <is>
          <t>RAGUNDA</t>
        </is>
      </c>
      <c r="G924" t="n">
        <v>1.7</v>
      </c>
      <c r="H924" t="n">
        <v>0</v>
      </c>
      <c r="I924" t="n">
        <v>0</v>
      </c>
      <c r="J924" t="n">
        <v>0</v>
      </c>
      <c r="K924" t="n">
        <v>0</v>
      </c>
      <c r="L924" t="n">
        <v>0</v>
      </c>
      <c r="M924" t="n">
        <v>0</v>
      </c>
      <c r="N924" t="n">
        <v>0</v>
      </c>
      <c r="O924" t="n">
        <v>0</v>
      </c>
      <c r="P924" t="n">
        <v>0</v>
      </c>
      <c r="Q924" t="n">
        <v>0</v>
      </c>
      <c r="R924" s="2" t="inlineStr"/>
    </row>
    <row r="925" ht="15" customHeight="1">
      <c r="A925" t="inlineStr">
        <is>
          <t>A 55897-2025</t>
        </is>
      </c>
      <c r="B925" s="1" t="n">
        <v>45973.38600694444</v>
      </c>
      <c r="C925" s="1" t="n">
        <v>46035</v>
      </c>
      <c r="D925" t="inlineStr">
        <is>
          <t>JÄMTLANDS LÄN</t>
        </is>
      </c>
      <c r="E925" t="inlineStr">
        <is>
          <t>RAGUNDA</t>
        </is>
      </c>
      <c r="F925" t="inlineStr">
        <is>
          <t>SCA</t>
        </is>
      </c>
      <c r="G925" t="n">
        <v>14.1</v>
      </c>
      <c r="H925" t="n">
        <v>0</v>
      </c>
      <c r="I925" t="n">
        <v>0</v>
      </c>
      <c r="J925" t="n">
        <v>0</v>
      </c>
      <c r="K925" t="n">
        <v>0</v>
      </c>
      <c r="L925" t="n">
        <v>0</v>
      </c>
      <c r="M925" t="n">
        <v>0</v>
      </c>
      <c r="N925" t="n">
        <v>0</v>
      </c>
      <c r="O925" t="n">
        <v>0</v>
      </c>
      <c r="P925" t="n">
        <v>0</v>
      </c>
      <c r="Q925" t="n">
        <v>0</v>
      </c>
      <c r="R925" s="2" t="inlineStr"/>
    </row>
    <row r="926" ht="15" customHeight="1">
      <c r="A926" t="inlineStr">
        <is>
          <t>A 55797-2025</t>
        </is>
      </c>
      <c r="B926" s="1" t="n">
        <v>45972.65693287037</v>
      </c>
      <c r="C926" s="1" t="n">
        <v>46035</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44727-2024</t>
        </is>
      </c>
      <c r="B927" s="1" t="n">
        <v>45574.57967592592</v>
      </c>
      <c r="C927" s="1" t="n">
        <v>46035</v>
      </c>
      <c r="D927" t="inlineStr">
        <is>
          <t>JÄMTLANDS LÄN</t>
        </is>
      </c>
      <c r="E927" t="inlineStr">
        <is>
          <t>RAGUNDA</t>
        </is>
      </c>
      <c r="G927" t="n">
        <v>4.7</v>
      </c>
      <c r="H927" t="n">
        <v>0</v>
      </c>
      <c r="I927" t="n">
        <v>0</v>
      </c>
      <c r="J927" t="n">
        <v>0</v>
      </c>
      <c r="K927" t="n">
        <v>0</v>
      </c>
      <c r="L927" t="n">
        <v>0</v>
      </c>
      <c r="M927" t="n">
        <v>0</v>
      </c>
      <c r="N927" t="n">
        <v>0</v>
      </c>
      <c r="O927" t="n">
        <v>0</v>
      </c>
      <c r="P927" t="n">
        <v>0</v>
      </c>
      <c r="Q927" t="n">
        <v>0</v>
      </c>
      <c r="R927" s="2" t="inlineStr"/>
    </row>
    <row r="928" ht="15" customHeight="1">
      <c r="A928" t="inlineStr">
        <is>
          <t>A 21661-2023</t>
        </is>
      </c>
      <c r="B928" s="1" t="n">
        <v>45063</v>
      </c>
      <c r="C928" s="1" t="n">
        <v>46035</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7281-2024</t>
        </is>
      </c>
      <c r="B929" s="1" t="n">
        <v>45344</v>
      </c>
      <c r="C929" s="1" t="n">
        <v>46035</v>
      </c>
      <c r="D929" t="inlineStr">
        <is>
          <t>JÄMTLANDS LÄN</t>
        </is>
      </c>
      <c r="E929" t="inlineStr">
        <is>
          <t>RAGUNDA</t>
        </is>
      </c>
      <c r="G929" t="n">
        <v>1.2</v>
      </c>
      <c r="H929" t="n">
        <v>0</v>
      </c>
      <c r="I929" t="n">
        <v>0</v>
      </c>
      <c r="J929" t="n">
        <v>0</v>
      </c>
      <c r="K929" t="n">
        <v>0</v>
      </c>
      <c r="L929" t="n">
        <v>0</v>
      </c>
      <c r="M929" t="n">
        <v>0</v>
      </c>
      <c r="N929" t="n">
        <v>0</v>
      </c>
      <c r="O929" t="n">
        <v>0</v>
      </c>
      <c r="P929" t="n">
        <v>0</v>
      </c>
      <c r="Q929" t="n">
        <v>0</v>
      </c>
      <c r="R929" s="2" t="inlineStr"/>
    </row>
    <row r="930" ht="15" customHeight="1">
      <c r="A930" t="inlineStr">
        <is>
          <t>A 56806-2025</t>
        </is>
      </c>
      <c r="B930" s="1" t="n">
        <v>45978.44842592593</v>
      </c>
      <c r="C930" s="1" t="n">
        <v>46035</v>
      </c>
      <c r="D930" t="inlineStr">
        <is>
          <t>JÄMTLANDS LÄN</t>
        </is>
      </c>
      <c r="E930" t="inlineStr">
        <is>
          <t>RAGUNDA</t>
        </is>
      </c>
      <c r="F930" t="inlineStr">
        <is>
          <t>SCA</t>
        </is>
      </c>
      <c r="G930" t="n">
        <v>7.5</v>
      </c>
      <c r="H930" t="n">
        <v>0</v>
      </c>
      <c r="I930" t="n">
        <v>0</v>
      </c>
      <c r="J930" t="n">
        <v>0</v>
      </c>
      <c r="K930" t="n">
        <v>0</v>
      </c>
      <c r="L930" t="n">
        <v>0</v>
      </c>
      <c r="M930" t="n">
        <v>0</v>
      </c>
      <c r="N930" t="n">
        <v>0</v>
      </c>
      <c r="O930" t="n">
        <v>0</v>
      </c>
      <c r="P930" t="n">
        <v>0</v>
      </c>
      <c r="Q930" t="n">
        <v>0</v>
      </c>
      <c r="R930" s="2" t="inlineStr"/>
    </row>
    <row r="931" ht="15" customHeight="1">
      <c r="A931" t="inlineStr">
        <is>
          <t>A 19382-2025</t>
        </is>
      </c>
      <c r="B931" s="1" t="n">
        <v>45769.65659722222</v>
      </c>
      <c r="C931" s="1" t="n">
        <v>46035</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19403-2025</t>
        </is>
      </c>
      <c r="B932" s="1" t="n">
        <v>45769.67790509259</v>
      </c>
      <c r="C932" s="1" t="n">
        <v>46035</v>
      </c>
      <c r="D932" t="inlineStr">
        <is>
          <t>JÄMTLANDS LÄN</t>
        </is>
      </c>
      <c r="E932" t="inlineStr">
        <is>
          <t>RAGUNDA</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46035</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61045-2022</t>
        </is>
      </c>
      <c r="B934" s="1" t="n">
        <v>44914</v>
      </c>
      <c r="C934" s="1" t="n">
        <v>46035</v>
      </c>
      <c r="D934" t="inlineStr">
        <is>
          <t>JÄMTLANDS LÄN</t>
        </is>
      </c>
      <c r="E934" t="inlineStr">
        <is>
          <t>RAGUNDA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57111-2025</t>
        </is>
      </c>
      <c r="B935" s="1" t="n">
        <v>45978</v>
      </c>
      <c r="C935" s="1" t="n">
        <v>46035</v>
      </c>
      <c r="D935" t="inlineStr">
        <is>
          <t>JÄMTLANDS LÄN</t>
        </is>
      </c>
      <c r="E935" t="inlineStr">
        <is>
          <t>RAGUNDA</t>
        </is>
      </c>
      <c r="G935" t="n">
        <v>2.3</v>
      </c>
      <c r="H935" t="n">
        <v>0</v>
      </c>
      <c r="I935" t="n">
        <v>0</v>
      </c>
      <c r="J935" t="n">
        <v>0</v>
      </c>
      <c r="K935" t="n">
        <v>0</v>
      </c>
      <c r="L935" t="n">
        <v>0</v>
      </c>
      <c r="M935" t="n">
        <v>0</v>
      </c>
      <c r="N935" t="n">
        <v>0</v>
      </c>
      <c r="O935" t="n">
        <v>0</v>
      </c>
      <c r="P935" t="n">
        <v>0</v>
      </c>
      <c r="Q935" t="n">
        <v>0</v>
      </c>
      <c r="R935" s="2" t="inlineStr"/>
    </row>
    <row r="936" ht="15" customHeight="1">
      <c r="A936" t="inlineStr">
        <is>
          <t>A 57117-2025</t>
        </is>
      </c>
      <c r="B936" s="1" t="n">
        <v>45978</v>
      </c>
      <c r="C936" s="1" t="n">
        <v>46035</v>
      </c>
      <c r="D936" t="inlineStr">
        <is>
          <t>JÄMTLANDS LÄN</t>
        </is>
      </c>
      <c r="E936" t="inlineStr">
        <is>
          <t>RAGUNDA</t>
        </is>
      </c>
      <c r="G936" t="n">
        <v>4.2</v>
      </c>
      <c r="H936" t="n">
        <v>0</v>
      </c>
      <c r="I936" t="n">
        <v>0</v>
      </c>
      <c r="J936" t="n">
        <v>0</v>
      </c>
      <c r="K936" t="n">
        <v>0</v>
      </c>
      <c r="L936" t="n">
        <v>0</v>
      </c>
      <c r="M936" t="n">
        <v>0</v>
      </c>
      <c r="N936" t="n">
        <v>0</v>
      </c>
      <c r="O936" t="n">
        <v>0</v>
      </c>
      <c r="P936" t="n">
        <v>0</v>
      </c>
      <c r="Q936" t="n">
        <v>0</v>
      </c>
      <c r="R936" s="2" t="inlineStr"/>
    </row>
    <row r="937" ht="15" customHeight="1">
      <c r="A937" t="inlineStr">
        <is>
          <t>A 56751-2025</t>
        </is>
      </c>
      <c r="B937" s="1" t="n">
        <v>45978.36538194444</v>
      </c>
      <c r="C937" s="1" t="n">
        <v>46035</v>
      </c>
      <c r="D937" t="inlineStr">
        <is>
          <t>JÄMTLANDS LÄN</t>
        </is>
      </c>
      <c r="E937" t="inlineStr">
        <is>
          <t>RAGUNDA</t>
        </is>
      </c>
      <c r="F937" t="inlineStr">
        <is>
          <t>SCA</t>
        </is>
      </c>
      <c r="G937" t="n">
        <v>34.5</v>
      </c>
      <c r="H937" t="n">
        <v>0</v>
      </c>
      <c r="I937" t="n">
        <v>0</v>
      </c>
      <c r="J937" t="n">
        <v>0</v>
      </c>
      <c r="K937" t="n">
        <v>0</v>
      </c>
      <c r="L937" t="n">
        <v>0</v>
      </c>
      <c r="M937" t="n">
        <v>0</v>
      </c>
      <c r="N937" t="n">
        <v>0</v>
      </c>
      <c r="O937" t="n">
        <v>0</v>
      </c>
      <c r="P937" t="n">
        <v>0</v>
      </c>
      <c r="Q937" t="n">
        <v>0</v>
      </c>
      <c r="R937" s="2" t="inlineStr"/>
    </row>
    <row r="938" ht="15" customHeight="1">
      <c r="A938" t="inlineStr">
        <is>
          <t>A 63828-2025</t>
        </is>
      </c>
      <c r="B938" s="1" t="n">
        <v>46020.37814814815</v>
      </c>
      <c r="C938" s="1" t="n">
        <v>46035</v>
      </c>
      <c r="D938" t="inlineStr">
        <is>
          <t>JÄMTLANDS LÄN</t>
        </is>
      </c>
      <c r="E938" t="inlineStr">
        <is>
          <t>RAGUNDA</t>
        </is>
      </c>
      <c r="G938" t="n">
        <v>4.7</v>
      </c>
      <c r="H938" t="n">
        <v>0</v>
      </c>
      <c r="I938" t="n">
        <v>0</v>
      </c>
      <c r="J938" t="n">
        <v>0</v>
      </c>
      <c r="K938" t="n">
        <v>0</v>
      </c>
      <c r="L938" t="n">
        <v>0</v>
      </c>
      <c r="M938" t="n">
        <v>0</v>
      </c>
      <c r="N938" t="n">
        <v>0</v>
      </c>
      <c r="O938" t="n">
        <v>0</v>
      </c>
      <c r="P938" t="n">
        <v>0</v>
      </c>
      <c r="Q938" t="n">
        <v>0</v>
      </c>
      <c r="R938" s="2" t="inlineStr"/>
    </row>
    <row r="939" ht="15" customHeight="1">
      <c r="A939" t="inlineStr">
        <is>
          <t>A 16320-2025</t>
        </is>
      </c>
      <c r="B939" s="1" t="n">
        <v>45751.34859953704</v>
      </c>
      <c r="C939" s="1" t="n">
        <v>46035</v>
      </c>
      <c r="D939" t="inlineStr">
        <is>
          <t>JÄMTLANDS LÄN</t>
        </is>
      </c>
      <c r="E939" t="inlineStr">
        <is>
          <t>RAGUNDA</t>
        </is>
      </c>
      <c r="F939" t="inlineStr">
        <is>
          <t>SCA</t>
        </is>
      </c>
      <c r="G939" t="n">
        <v>16.2</v>
      </c>
      <c r="H939" t="n">
        <v>0</v>
      </c>
      <c r="I939" t="n">
        <v>0</v>
      </c>
      <c r="J939" t="n">
        <v>0</v>
      </c>
      <c r="K939" t="n">
        <v>0</v>
      </c>
      <c r="L939" t="n">
        <v>0</v>
      </c>
      <c r="M939" t="n">
        <v>0</v>
      </c>
      <c r="N939" t="n">
        <v>0</v>
      </c>
      <c r="O939" t="n">
        <v>0</v>
      </c>
      <c r="P939" t="n">
        <v>0</v>
      </c>
      <c r="Q939" t="n">
        <v>0</v>
      </c>
      <c r="R939" s="2" t="inlineStr"/>
    </row>
    <row r="940" ht="15" customHeight="1">
      <c r="A940" t="inlineStr">
        <is>
          <t>A 56435-2025</t>
        </is>
      </c>
      <c r="B940" s="1" t="n">
        <v>45975.34679398148</v>
      </c>
      <c r="C940" s="1" t="n">
        <v>46035</v>
      </c>
      <c r="D940" t="inlineStr">
        <is>
          <t>JÄMTLANDS LÄN</t>
        </is>
      </c>
      <c r="E940" t="inlineStr">
        <is>
          <t>RAGUNDA</t>
        </is>
      </c>
      <c r="F940" t="inlineStr">
        <is>
          <t>SCA</t>
        </is>
      </c>
      <c r="G940" t="n">
        <v>9.199999999999999</v>
      </c>
      <c r="H940" t="n">
        <v>0</v>
      </c>
      <c r="I940" t="n">
        <v>0</v>
      </c>
      <c r="J940" t="n">
        <v>0</v>
      </c>
      <c r="K940" t="n">
        <v>0</v>
      </c>
      <c r="L940" t="n">
        <v>0</v>
      </c>
      <c r="M940" t="n">
        <v>0</v>
      </c>
      <c r="N940" t="n">
        <v>0</v>
      </c>
      <c r="O940" t="n">
        <v>0</v>
      </c>
      <c r="P940" t="n">
        <v>0</v>
      </c>
      <c r="Q940" t="n">
        <v>0</v>
      </c>
      <c r="R940" s="2" t="inlineStr"/>
      <c r="U940">
        <f>HYPERLINK("https://klasma.github.io/Logging_2303/knärot/A 56435-2025 karta knärot.png", "A 56435-2025")</f>
        <v/>
      </c>
      <c r="V940">
        <f>HYPERLINK("https://klasma.github.io/Logging_2303/klagomål/A 56435-2025 FSC-klagomål.docx", "A 56435-2025")</f>
        <v/>
      </c>
      <c r="W940">
        <f>HYPERLINK("https://klasma.github.io/Logging_2303/klagomålsmail/A 56435-2025 FSC-klagomål mail.docx", "A 56435-2025")</f>
        <v/>
      </c>
      <c r="X940">
        <f>HYPERLINK("https://klasma.github.io/Logging_2303/tillsyn/A 56435-2025 tillsynsbegäran.docx", "A 56435-2025")</f>
        <v/>
      </c>
      <c r="Y940">
        <f>HYPERLINK("https://klasma.github.io/Logging_2303/tillsynsmail/A 56435-2025 tillsynsbegäran mail.docx", "A 56435-2025")</f>
        <v/>
      </c>
    </row>
    <row r="941" ht="15" customHeight="1">
      <c r="A941" t="inlineStr">
        <is>
          <t>A 11557-2023</t>
        </is>
      </c>
      <c r="B941" s="1" t="n">
        <v>44993.94950231481</v>
      </c>
      <c r="C941" s="1" t="n">
        <v>46035</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11562-2023</t>
        </is>
      </c>
      <c r="B942" s="1" t="n">
        <v>44993</v>
      </c>
      <c r="C942" s="1" t="n">
        <v>46035</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63714-2025</t>
        </is>
      </c>
      <c r="B943" s="1" t="n">
        <v>46014</v>
      </c>
      <c r="C943" s="1" t="n">
        <v>46035</v>
      </c>
      <c r="D943" t="inlineStr">
        <is>
          <t>JÄMTLANDS LÄN</t>
        </is>
      </c>
      <c r="E943" t="inlineStr">
        <is>
          <t>RAGUNDA</t>
        </is>
      </c>
      <c r="F943" t="inlineStr">
        <is>
          <t>Sveaskog</t>
        </is>
      </c>
      <c r="G943" t="n">
        <v>8.5</v>
      </c>
      <c r="H943" t="n">
        <v>0</v>
      </c>
      <c r="I943" t="n">
        <v>0</v>
      </c>
      <c r="J943" t="n">
        <v>0</v>
      </c>
      <c r="K943" t="n">
        <v>0</v>
      </c>
      <c r="L943" t="n">
        <v>0</v>
      </c>
      <c r="M943" t="n">
        <v>0</v>
      </c>
      <c r="N943" t="n">
        <v>0</v>
      </c>
      <c r="O943" t="n">
        <v>0</v>
      </c>
      <c r="P943" t="n">
        <v>0</v>
      </c>
      <c r="Q943" t="n">
        <v>0</v>
      </c>
      <c r="R943" s="2" t="inlineStr"/>
    </row>
    <row r="944" ht="15" customHeight="1">
      <c r="A944" t="inlineStr">
        <is>
          <t>A 5175-2023</t>
        </is>
      </c>
      <c r="B944" s="1" t="n">
        <v>44958.94298611111</v>
      </c>
      <c r="C944" s="1" t="n">
        <v>46035</v>
      </c>
      <c r="D944" t="inlineStr">
        <is>
          <t>JÄMTLANDS LÄN</t>
        </is>
      </c>
      <c r="E944" t="inlineStr">
        <is>
          <t>RAGUNDA</t>
        </is>
      </c>
      <c r="F944" t="inlineStr">
        <is>
          <t>SCA</t>
        </is>
      </c>
      <c r="G944" t="n">
        <v>17.9</v>
      </c>
      <c r="H944" t="n">
        <v>0</v>
      </c>
      <c r="I944" t="n">
        <v>0</v>
      </c>
      <c r="J944" t="n">
        <v>0</v>
      </c>
      <c r="K944" t="n">
        <v>0</v>
      </c>
      <c r="L944" t="n">
        <v>0</v>
      </c>
      <c r="M944" t="n">
        <v>0</v>
      </c>
      <c r="N944" t="n">
        <v>0</v>
      </c>
      <c r="O944" t="n">
        <v>0</v>
      </c>
      <c r="P944" t="n">
        <v>0</v>
      </c>
      <c r="Q944" t="n">
        <v>0</v>
      </c>
      <c r="R944" s="2" t="inlineStr"/>
    </row>
    <row r="945" ht="15" customHeight="1">
      <c r="A945" t="inlineStr">
        <is>
          <t>A 57332-2025</t>
        </is>
      </c>
      <c r="B945" s="1" t="n">
        <v>45980.34467592592</v>
      </c>
      <c r="C945" s="1" t="n">
        <v>46035</v>
      </c>
      <c r="D945" t="inlineStr">
        <is>
          <t>JÄMTLANDS LÄN</t>
        </is>
      </c>
      <c r="E945" t="inlineStr">
        <is>
          <t>RAGUNDA</t>
        </is>
      </c>
      <c r="F945" t="inlineStr">
        <is>
          <t>SCA</t>
        </is>
      </c>
      <c r="G945" t="n">
        <v>22.6</v>
      </c>
      <c r="H945" t="n">
        <v>0</v>
      </c>
      <c r="I945" t="n">
        <v>0</v>
      </c>
      <c r="J945" t="n">
        <v>0</v>
      </c>
      <c r="K945" t="n">
        <v>0</v>
      </c>
      <c r="L945" t="n">
        <v>0</v>
      </c>
      <c r="M945" t="n">
        <v>0</v>
      </c>
      <c r="N945" t="n">
        <v>0</v>
      </c>
      <c r="O945" t="n">
        <v>0</v>
      </c>
      <c r="P945" t="n">
        <v>0</v>
      </c>
      <c r="Q945" t="n">
        <v>0</v>
      </c>
      <c r="R945" s="2" t="inlineStr"/>
    </row>
    <row r="946" ht="15" customHeight="1">
      <c r="A946" t="inlineStr">
        <is>
          <t>A 57561-2025</t>
        </is>
      </c>
      <c r="B946" s="1" t="n">
        <v>45980.69885416667</v>
      </c>
      <c r="C946" s="1" t="n">
        <v>46035</v>
      </c>
      <c r="D946" t="inlineStr">
        <is>
          <t>JÄMTLANDS LÄN</t>
        </is>
      </c>
      <c r="E946" t="inlineStr">
        <is>
          <t>RAGUNDA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41343-2024</t>
        </is>
      </c>
      <c r="B947" s="1" t="n">
        <v>45559.67745370371</v>
      </c>
      <c r="C947" s="1" t="n">
        <v>46035</v>
      </c>
      <c r="D947" t="inlineStr">
        <is>
          <t>JÄMTLANDS LÄN</t>
        </is>
      </c>
      <c r="E947" t="inlineStr">
        <is>
          <t>RAGUNDA</t>
        </is>
      </c>
      <c r="F947" t="inlineStr">
        <is>
          <t>SCA</t>
        </is>
      </c>
      <c r="G947" t="n">
        <v>25.1</v>
      </c>
      <c r="H947" t="n">
        <v>0</v>
      </c>
      <c r="I947" t="n">
        <v>0</v>
      </c>
      <c r="J947" t="n">
        <v>0</v>
      </c>
      <c r="K947" t="n">
        <v>0</v>
      </c>
      <c r="L947" t="n">
        <v>0</v>
      </c>
      <c r="M947" t="n">
        <v>0</v>
      </c>
      <c r="N947" t="n">
        <v>0</v>
      </c>
      <c r="O947" t="n">
        <v>0</v>
      </c>
      <c r="P947" t="n">
        <v>0</v>
      </c>
      <c r="Q947" t="n">
        <v>0</v>
      </c>
      <c r="R947" s="2" t="inlineStr"/>
    </row>
    <row r="948" ht="15" customHeight="1">
      <c r="A948" t="inlineStr">
        <is>
          <t>A 57560-2025</t>
        </is>
      </c>
      <c r="B948" s="1" t="n">
        <v>45980.6987962963</v>
      </c>
      <c r="C948" s="1" t="n">
        <v>46035</v>
      </c>
      <c r="D948" t="inlineStr">
        <is>
          <t>JÄMTLANDS LÄN</t>
        </is>
      </c>
      <c r="E948" t="inlineStr">
        <is>
          <t>RAGUNDA</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64108-2025</t>
        </is>
      </c>
      <c r="B949" s="1" t="n">
        <v>46013</v>
      </c>
      <c r="C949" s="1" t="n">
        <v>46035</v>
      </c>
      <c r="D949" t="inlineStr">
        <is>
          <t>JÄMTLANDS LÄN</t>
        </is>
      </c>
      <c r="E949" t="inlineStr">
        <is>
          <t>RAGUNDA</t>
        </is>
      </c>
      <c r="F949" t="inlineStr">
        <is>
          <t>Kyrkan</t>
        </is>
      </c>
      <c r="G949" t="n">
        <v>1.6</v>
      </c>
      <c r="H949" t="n">
        <v>0</v>
      </c>
      <c r="I949" t="n">
        <v>0</v>
      </c>
      <c r="J949" t="n">
        <v>0</v>
      </c>
      <c r="K949" t="n">
        <v>0</v>
      </c>
      <c r="L949" t="n">
        <v>0</v>
      </c>
      <c r="M949" t="n">
        <v>0</v>
      </c>
      <c r="N949" t="n">
        <v>0</v>
      </c>
      <c r="O949" t="n">
        <v>0</v>
      </c>
      <c r="P949" t="n">
        <v>0</v>
      </c>
      <c r="Q949" t="n">
        <v>0</v>
      </c>
      <c r="R949" s="2" t="inlineStr"/>
    </row>
    <row r="950" ht="15" customHeight="1">
      <c r="A950" t="inlineStr">
        <is>
          <t>A 12039-2023</t>
        </is>
      </c>
      <c r="B950" s="1" t="n">
        <v>44995.98341435185</v>
      </c>
      <c r="C950" s="1" t="n">
        <v>46035</v>
      </c>
      <c r="D950" t="inlineStr">
        <is>
          <t>JÄMTLANDS LÄN</t>
        </is>
      </c>
      <c r="E950" t="inlineStr">
        <is>
          <t>RAGUNDA</t>
        </is>
      </c>
      <c r="F950" t="inlineStr">
        <is>
          <t>SCA</t>
        </is>
      </c>
      <c r="G950" t="n">
        <v>0.5</v>
      </c>
      <c r="H950" t="n">
        <v>0</v>
      </c>
      <c r="I950" t="n">
        <v>0</v>
      </c>
      <c r="J950" t="n">
        <v>0</v>
      </c>
      <c r="K950" t="n">
        <v>0</v>
      </c>
      <c r="L950" t="n">
        <v>0</v>
      </c>
      <c r="M950" t="n">
        <v>0</v>
      </c>
      <c r="N950" t="n">
        <v>0</v>
      </c>
      <c r="O950" t="n">
        <v>0</v>
      </c>
      <c r="P950" t="n">
        <v>0</v>
      </c>
      <c r="Q950" t="n">
        <v>0</v>
      </c>
      <c r="R950" s="2" t="inlineStr"/>
    </row>
    <row r="951" ht="15" customHeight="1">
      <c r="A951" t="inlineStr">
        <is>
          <t>A 12050-2023</t>
        </is>
      </c>
      <c r="B951" s="1" t="n">
        <v>44995.98644675926</v>
      </c>
      <c r="C951" s="1" t="n">
        <v>46035</v>
      </c>
      <c r="D951" t="inlineStr">
        <is>
          <t>JÄMTLANDS LÄN</t>
        </is>
      </c>
      <c r="E951" t="inlineStr">
        <is>
          <t>RAGUNDA</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2751-2024</t>
        </is>
      </c>
      <c r="B952" s="1" t="n">
        <v>45314</v>
      </c>
      <c r="C952" s="1" t="n">
        <v>46035</v>
      </c>
      <c r="D952" t="inlineStr">
        <is>
          <t>JÄMTLANDS LÄN</t>
        </is>
      </c>
      <c r="E952" t="inlineStr">
        <is>
          <t>RAGUNDA</t>
        </is>
      </c>
      <c r="G952" t="n">
        <v>1.8</v>
      </c>
      <c r="H952" t="n">
        <v>0</v>
      </c>
      <c r="I952" t="n">
        <v>0</v>
      </c>
      <c r="J952" t="n">
        <v>0</v>
      </c>
      <c r="K952" t="n">
        <v>0</v>
      </c>
      <c r="L952" t="n">
        <v>0</v>
      </c>
      <c r="M952" t="n">
        <v>0</v>
      </c>
      <c r="N952" t="n">
        <v>0</v>
      </c>
      <c r="O952" t="n">
        <v>0</v>
      </c>
      <c r="P952" t="n">
        <v>0</v>
      </c>
      <c r="Q952" t="n">
        <v>0</v>
      </c>
      <c r="R952" s="2" t="inlineStr"/>
    </row>
    <row r="953" ht="15" customHeight="1">
      <c r="A953" t="inlineStr">
        <is>
          <t>A 36986-2023</t>
        </is>
      </c>
      <c r="B953" s="1" t="n">
        <v>45154.95525462963</v>
      </c>
      <c r="C953" s="1" t="n">
        <v>46035</v>
      </c>
      <c r="D953" t="inlineStr">
        <is>
          <t>JÄMTLANDS LÄN</t>
        </is>
      </c>
      <c r="E953" t="inlineStr">
        <is>
          <t>RAGUNDA</t>
        </is>
      </c>
      <c r="F953" t="inlineStr">
        <is>
          <t>SCA</t>
        </is>
      </c>
      <c r="G953" t="n">
        <v>0.2</v>
      </c>
      <c r="H953" t="n">
        <v>0</v>
      </c>
      <c r="I953" t="n">
        <v>0</v>
      </c>
      <c r="J953" t="n">
        <v>0</v>
      </c>
      <c r="K953" t="n">
        <v>0</v>
      </c>
      <c r="L953" t="n">
        <v>0</v>
      </c>
      <c r="M953" t="n">
        <v>0</v>
      </c>
      <c r="N953" t="n">
        <v>0</v>
      </c>
      <c r="O953" t="n">
        <v>0</v>
      </c>
      <c r="P953" t="n">
        <v>0</v>
      </c>
      <c r="Q953" t="n">
        <v>0</v>
      </c>
      <c r="R953" s="2" t="inlineStr"/>
    </row>
    <row r="954" ht="15" customHeight="1">
      <c r="A954" t="inlineStr">
        <is>
          <t>A 57184-2025</t>
        </is>
      </c>
      <c r="B954" s="1" t="n">
        <v>45979.57361111111</v>
      </c>
      <c r="C954" s="1" t="n">
        <v>46035</v>
      </c>
      <c r="D954" t="inlineStr">
        <is>
          <t>JÄMTLANDS LÄN</t>
        </is>
      </c>
      <c r="E954" t="inlineStr">
        <is>
          <t>RAGUNDA</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14368-2024</t>
        </is>
      </c>
      <c r="B955" s="1" t="n">
        <v>45393.94431712963</v>
      </c>
      <c r="C955" s="1" t="n">
        <v>46035</v>
      </c>
      <c r="D955" t="inlineStr">
        <is>
          <t>JÄMTLANDS LÄN</t>
        </is>
      </c>
      <c r="E955" t="inlineStr">
        <is>
          <t>RAGUNDA</t>
        </is>
      </c>
      <c r="F955" t="inlineStr">
        <is>
          <t>Naturvårdsverket</t>
        </is>
      </c>
      <c r="G955" t="n">
        <v>1.6</v>
      </c>
      <c r="H955" t="n">
        <v>0</v>
      </c>
      <c r="I955" t="n">
        <v>0</v>
      </c>
      <c r="J955" t="n">
        <v>0</v>
      </c>
      <c r="K955" t="n">
        <v>0</v>
      </c>
      <c r="L955" t="n">
        <v>0</v>
      </c>
      <c r="M955" t="n">
        <v>0</v>
      </c>
      <c r="N955" t="n">
        <v>0</v>
      </c>
      <c r="O955" t="n">
        <v>0</v>
      </c>
      <c r="P955" t="n">
        <v>0</v>
      </c>
      <c r="Q955" t="n">
        <v>0</v>
      </c>
      <c r="R955" s="2" t="inlineStr"/>
    </row>
    <row r="956" ht="15" customHeight="1">
      <c r="A956" t="inlineStr">
        <is>
          <t>A 122-2026</t>
        </is>
      </c>
      <c r="B956" s="1" t="n">
        <v>46024.57335648148</v>
      </c>
      <c r="C956" s="1" t="n">
        <v>46035</v>
      </c>
      <c r="D956" t="inlineStr">
        <is>
          <t>JÄMTLANDS LÄN</t>
        </is>
      </c>
      <c r="E956" t="inlineStr">
        <is>
          <t>RAGUNDA</t>
        </is>
      </c>
      <c r="F956" t="inlineStr">
        <is>
          <t>SCA</t>
        </is>
      </c>
      <c r="G956" t="n">
        <v>15.3</v>
      </c>
      <c r="H956" t="n">
        <v>0</v>
      </c>
      <c r="I956" t="n">
        <v>0</v>
      </c>
      <c r="J956" t="n">
        <v>0</v>
      </c>
      <c r="K956" t="n">
        <v>0</v>
      </c>
      <c r="L956" t="n">
        <v>0</v>
      </c>
      <c r="M956" t="n">
        <v>0</v>
      </c>
      <c r="N956" t="n">
        <v>0</v>
      </c>
      <c r="O956" t="n">
        <v>0</v>
      </c>
      <c r="P956" t="n">
        <v>0</v>
      </c>
      <c r="Q956" t="n">
        <v>0</v>
      </c>
      <c r="R956" s="2" t="inlineStr"/>
    </row>
    <row r="957" ht="15" customHeight="1">
      <c r="A957" t="inlineStr">
        <is>
          <t>A 18159-2023</t>
        </is>
      </c>
      <c r="B957" s="1" t="n">
        <v>45040.94277777777</v>
      </c>
      <c r="C957" s="1" t="n">
        <v>46035</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57833-2025</t>
        </is>
      </c>
      <c r="B958" s="1" t="n">
        <v>45981.61541666667</v>
      </c>
      <c r="C958" s="1" t="n">
        <v>46035</v>
      </c>
      <c r="D958" t="inlineStr">
        <is>
          <t>JÄMTLANDS LÄN</t>
        </is>
      </c>
      <c r="E958" t="inlineStr">
        <is>
          <t>RAGUNDA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13700-2023</t>
        </is>
      </c>
      <c r="B959" s="1" t="n">
        <v>45006</v>
      </c>
      <c r="C959" s="1" t="n">
        <v>46035</v>
      </c>
      <c r="D959" t="inlineStr">
        <is>
          <t>JÄMTLANDS LÄN</t>
        </is>
      </c>
      <c r="E959" t="inlineStr">
        <is>
          <t>RAGUNDA</t>
        </is>
      </c>
      <c r="F959" t="inlineStr">
        <is>
          <t>SCA</t>
        </is>
      </c>
      <c r="G959" t="n">
        <v>50.3</v>
      </c>
      <c r="H959" t="n">
        <v>0</v>
      </c>
      <c r="I959" t="n">
        <v>0</v>
      </c>
      <c r="J959" t="n">
        <v>0</v>
      </c>
      <c r="K959" t="n">
        <v>0</v>
      </c>
      <c r="L959" t="n">
        <v>0</v>
      </c>
      <c r="M959" t="n">
        <v>0</v>
      </c>
      <c r="N959" t="n">
        <v>0</v>
      </c>
      <c r="O959" t="n">
        <v>0</v>
      </c>
      <c r="P959" t="n">
        <v>0</v>
      </c>
      <c r="Q959" t="n">
        <v>0</v>
      </c>
      <c r="R959" s="2" t="inlineStr"/>
    </row>
    <row r="960" ht="15" customHeight="1">
      <c r="A960" t="inlineStr">
        <is>
          <t>A 37543-2023</t>
        </is>
      </c>
      <c r="B960" s="1" t="n">
        <v>45158.94231481481</v>
      </c>
      <c r="C960" s="1" t="n">
        <v>46035</v>
      </c>
      <c r="D960" t="inlineStr">
        <is>
          <t>JÄMTLANDS LÄN</t>
        </is>
      </c>
      <c r="E960" t="inlineStr">
        <is>
          <t>RAGUNDA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58076-2025</t>
        </is>
      </c>
      <c r="B961" s="1" t="n">
        <v>45982.55273148148</v>
      </c>
      <c r="C961" s="1" t="n">
        <v>46035</v>
      </c>
      <c r="D961" t="inlineStr">
        <is>
          <t>JÄMTLANDS LÄN</t>
        </is>
      </c>
      <c r="E961" t="inlineStr">
        <is>
          <t>RAGUNDA</t>
        </is>
      </c>
      <c r="G961" t="n">
        <v>0.1</v>
      </c>
      <c r="H961" t="n">
        <v>0</v>
      </c>
      <c r="I961" t="n">
        <v>0</v>
      </c>
      <c r="J961" t="n">
        <v>0</v>
      </c>
      <c r="K961" t="n">
        <v>0</v>
      </c>
      <c r="L961" t="n">
        <v>0</v>
      </c>
      <c r="M961" t="n">
        <v>0</v>
      </c>
      <c r="N961" t="n">
        <v>0</v>
      </c>
      <c r="O961" t="n">
        <v>0</v>
      </c>
      <c r="P961" t="n">
        <v>0</v>
      </c>
      <c r="Q961" t="n">
        <v>0</v>
      </c>
      <c r="R961" s="2" t="inlineStr"/>
    </row>
    <row r="962" ht="15" customHeight="1">
      <c r="A962" t="inlineStr">
        <is>
          <t>A 58093-2025</t>
        </is>
      </c>
      <c r="B962" s="1" t="n">
        <v>45982.5741087963</v>
      </c>
      <c r="C962" s="1" t="n">
        <v>46035</v>
      </c>
      <c r="D962" t="inlineStr">
        <is>
          <t>JÄMTLANDS LÄN</t>
        </is>
      </c>
      <c r="E962" t="inlineStr">
        <is>
          <t>RAGUNDA</t>
        </is>
      </c>
      <c r="G962" t="n">
        <v>22.2</v>
      </c>
      <c r="H962" t="n">
        <v>0</v>
      </c>
      <c r="I962" t="n">
        <v>0</v>
      </c>
      <c r="J962" t="n">
        <v>0</v>
      </c>
      <c r="K962" t="n">
        <v>0</v>
      </c>
      <c r="L962" t="n">
        <v>0</v>
      </c>
      <c r="M962" t="n">
        <v>0</v>
      </c>
      <c r="N962" t="n">
        <v>0</v>
      </c>
      <c r="O962" t="n">
        <v>0</v>
      </c>
      <c r="P962" t="n">
        <v>0</v>
      </c>
      <c r="Q962" t="n">
        <v>0</v>
      </c>
      <c r="R962" s="2" t="inlineStr"/>
    </row>
    <row r="963" ht="15" customHeight="1">
      <c r="A963" t="inlineStr">
        <is>
          <t>A 57914-2025</t>
        </is>
      </c>
      <c r="B963" s="1" t="n">
        <v>45981</v>
      </c>
      <c r="C963" s="1" t="n">
        <v>46035</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53171-2024</t>
        </is>
      </c>
      <c r="B964" s="1" t="n">
        <v>45611.65679398148</v>
      </c>
      <c r="C964" s="1" t="n">
        <v>46035</v>
      </c>
      <c r="D964" t="inlineStr">
        <is>
          <t>JÄMTLANDS LÄN</t>
        </is>
      </c>
      <c r="E964" t="inlineStr">
        <is>
          <t>RAGUNDA</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1523-2024</t>
        </is>
      </c>
      <c r="B965" s="1" t="n">
        <v>45306</v>
      </c>
      <c r="C965" s="1" t="n">
        <v>46035</v>
      </c>
      <c r="D965" t="inlineStr">
        <is>
          <t>JÄMTLANDS LÄN</t>
        </is>
      </c>
      <c r="E965" t="inlineStr">
        <is>
          <t>RAGUNDA</t>
        </is>
      </c>
      <c r="G965" t="n">
        <v>4.1</v>
      </c>
      <c r="H965" t="n">
        <v>0</v>
      </c>
      <c r="I965" t="n">
        <v>0</v>
      </c>
      <c r="J965" t="n">
        <v>0</v>
      </c>
      <c r="K965" t="n">
        <v>0</v>
      </c>
      <c r="L965" t="n">
        <v>0</v>
      </c>
      <c r="M965" t="n">
        <v>0</v>
      </c>
      <c r="N965" t="n">
        <v>0</v>
      </c>
      <c r="O965" t="n">
        <v>0</v>
      </c>
      <c r="P965" t="n">
        <v>0</v>
      </c>
      <c r="Q965" t="n">
        <v>0</v>
      </c>
      <c r="R965" s="2" t="inlineStr"/>
    </row>
    <row r="966" ht="15" customHeight="1">
      <c r="A966" t="inlineStr">
        <is>
          <t>A 64265-2023</t>
        </is>
      </c>
      <c r="B966" s="1" t="n">
        <v>45279.94572916667</v>
      </c>
      <c r="C966" s="1" t="n">
        <v>46035</v>
      </c>
      <c r="D966" t="inlineStr">
        <is>
          <t>JÄMTLANDS LÄN</t>
        </is>
      </c>
      <c r="E966" t="inlineStr">
        <is>
          <t>RAGUNDA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57915-2025</t>
        </is>
      </c>
      <c r="B967" s="1" t="n">
        <v>45981</v>
      </c>
      <c r="C967" s="1" t="n">
        <v>46035</v>
      </c>
      <c r="D967" t="inlineStr">
        <is>
          <t>JÄMTLANDS LÄN</t>
        </is>
      </c>
      <c r="E967" t="inlineStr">
        <is>
          <t>RAGUNDA</t>
        </is>
      </c>
      <c r="G967" t="n">
        <v>6.4</v>
      </c>
      <c r="H967" t="n">
        <v>0</v>
      </c>
      <c r="I967" t="n">
        <v>0</v>
      </c>
      <c r="J967" t="n">
        <v>0</v>
      </c>
      <c r="K967" t="n">
        <v>0</v>
      </c>
      <c r="L967" t="n">
        <v>0</v>
      </c>
      <c r="M967" t="n">
        <v>0</v>
      </c>
      <c r="N967" t="n">
        <v>0</v>
      </c>
      <c r="O967" t="n">
        <v>0</v>
      </c>
      <c r="P967" t="n">
        <v>0</v>
      </c>
      <c r="Q967" t="n">
        <v>0</v>
      </c>
      <c r="R967" s="2" t="inlineStr"/>
    </row>
    <row r="968" ht="15" customHeight="1">
      <c r="A968" t="inlineStr">
        <is>
          <t>A 57963-2025</t>
        </is>
      </c>
      <c r="B968" s="1" t="n">
        <v>45982.37800925926</v>
      </c>
      <c r="C968" s="1" t="n">
        <v>46035</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57916-2025</t>
        </is>
      </c>
      <c r="B969" s="1" t="n">
        <v>45981</v>
      </c>
      <c r="C969" s="1" t="n">
        <v>46035</v>
      </c>
      <c r="D969" t="inlineStr">
        <is>
          <t>JÄMTLANDS LÄN</t>
        </is>
      </c>
      <c r="E969" t="inlineStr">
        <is>
          <t>RAGUNDA</t>
        </is>
      </c>
      <c r="G969" t="n">
        <v>5.3</v>
      </c>
      <c r="H969" t="n">
        <v>0</v>
      </c>
      <c r="I969" t="n">
        <v>0</v>
      </c>
      <c r="J969" t="n">
        <v>0</v>
      </c>
      <c r="K969" t="n">
        <v>0</v>
      </c>
      <c r="L969" t="n">
        <v>0</v>
      </c>
      <c r="M969" t="n">
        <v>0</v>
      </c>
      <c r="N969" t="n">
        <v>0</v>
      </c>
      <c r="O969" t="n">
        <v>0</v>
      </c>
      <c r="P969" t="n">
        <v>0</v>
      </c>
      <c r="Q969" t="n">
        <v>0</v>
      </c>
      <c r="R969" s="2" t="inlineStr"/>
    </row>
    <row r="970" ht="15" customHeight="1">
      <c r="A970" t="inlineStr">
        <is>
          <t>A 57970-2025</t>
        </is>
      </c>
      <c r="B970" s="1" t="n">
        <v>45982.38582175926</v>
      </c>
      <c r="C970" s="1" t="n">
        <v>46035</v>
      </c>
      <c r="D970" t="inlineStr">
        <is>
          <t>JÄMTLANDS LÄN</t>
        </is>
      </c>
      <c r="E970" t="inlineStr">
        <is>
          <t>RAGUNDA</t>
        </is>
      </c>
      <c r="G970" t="n">
        <v>4.9</v>
      </c>
      <c r="H970" t="n">
        <v>0</v>
      </c>
      <c r="I970" t="n">
        <v>0</v>
      </c>
      <c r="J970" t="n">
        <v>0</v>
      </c>
      <c r="K970" t="n">
        <v>0</v>
      </c>
      <c r="L970" t="n">
        <v>0</v>
      </c>
      <c r="M970" t="n">
        <v>0</v>
      </c>
      <c r="N970" t="n">
        <v>0</v>
      </c>
      <c r="O970" t="n">
        <v>0</v>
      </c>
      <c r="P970" t="n">
        <v>0</v>
      </c>
      <c r="Q970" t="n">
        <v>0</v>
      </c>
      <c r="R970" s="2" t="inlineStr"/>
    </row>
    <row r="971" ht="15" customHeight="1">
      <c r="A971" t="inlineStr">
        <is>
          <t>A 57785-2025</t>
        </is>
      </c>
      <c r="B971" s="1" t="n">
        <v>45981.57393518519</v>
      </c>
      <c r="C971" s="1" t="n">
        <v>46035</v>
      </c>
      <c r="D971" t="inlineStr">
        <is>
          <t>JÄMTLANDS LÄN</t>
        </is>
      </c>
      <c r="E971" t="inlineStr">
        <is>
          <t>RAGUNDA</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44605-2024</t>
        </is>
      </c>
      <c r="B972" s="1" t="n">
        <v>45574.51185185185</v>
      </c>
      <c r="C972" s="1" t="n">
        <v>46035</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265-2026</t>
        </is>
      </c>
      <c r="B973" s="1" t="n">
        <v>46027.44956018519</v>
      </c>
      <c r="C973" s="1" t="n">
        <v>46035</v>
      </c>
      <c r="D973" t="inlineStr">
        <is>
          <t>JÄMTLANDS LÄN</t>
        </is>
      </c>
      <c r="E973" t="inlineStr">
        <is>
          <t>RAGUNDA</t>
        </is>
      </c>
      <c r="G973" t="n">
        <v>3.8</v>
      </c>
      <c r="H973" t="n">
        <v>0</v>
      </c>
      <c r="I973" t="n">
        <v>0</v>
      </c>
      <c r="J973" t="n">
        <v>0</v>
      </c>
      <c r="K973" t="n">
        <v>0</v>
      </c>
      <c r="L973" t="n">
        <v>0</v>
      </c>
      <c r="M973" t="n">
        <v>0</v>
      </c>
      <c r="N973" t="n">
        <v>0</v>
      </c>
      <c r="O973" t="n">
        <v>0</v>
      </c>
      <c r="P973" t="n">
        <v>0</v>
      </c>
      <c r="Q973" t="n">
        <v>0</v>
      </c>
      <c r="R973" s="2" t="inlineStr"/>
    </row>
    <row r="974" ht="15" customHeight="1">
      <c r="A974" t="inlineStr">
        <is>
          <t>A 53136-2024</t>
        </is>
      </c>
      <c r="B974" s="1" t="n">
        <v>45611.5953125</v>
      </c>
      <c r="C974" s="1" t="n">
        <v>46035</v>
      </c>
      <c r="D974" t="inlineStr">
        <is>
          <t>JÄMTLANDS LÄN</t>
        </is>
      </c>
      <c r="E974" t="inlineStr">
        <is>
          <t>RAGUNDA</t>
        </is>
      </c>
      <c r="G974" t="n">
        <v>3.8</v>
      </c>
      <c r="H974" t="n">
        <v>0</v>
      </c>
      <c r="I974" t="n">
        <v>0</v>
      </c>
      <c r="J974" t="n">
        <v>0</v>
      </c>
      <c r="K974" t="n">
        <v>0</v>
      </c>
      <c r="L974" t="n">
        <v>0</v>
      </c>
      <c r="M974" t="n">
        <v>0</v>
      </c>
      <c r="N974" t="n">
        <v>0</v>
      </c>
      <c r="O974" t="n">
        <v>0</v>
      </c>
      <c r="P974" t="n">
        <v>0</v>
      </c>
      <c r="Q974" t="n">
        <v>0</v>
      </c>
      <c r="R974" s="2" t="inlineStr"/>
    </row>
    <row r="975" ht="15" customHeight="1">
      <c r="A975" t="inlineStr">
        <is>
          <t>A 52228-2024</t>
        </is>
      </c>
      <c r="B975" s="1" t="n">
        <v>45608.6078587963</v>
      </c>
      <c r="C975" s="1" t="n">
        <v>46035</v>
      </c>
      <c r="D975" t="inlineStr">
        <is>
          <t>JÄMTLANDS LÄN</t>
        </is>
      </c>
      <c r="E975" t="inlineStr">
        <is>
          <t>RAGUNDA</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58638-2025</t>
        </is>
      </c>
      <c r="B976" s="1" t="n">
        <v>45986.49016203704</v>
      </c>
      <c r="C976" s="1" t="n">
        <v>46035</v>
      </c>
      <c r="D976" t="inlineStr">
        <is>
          <t>JÄMTLANDS LÄN</t>
        </is>
      </c>
      <c r="E976" t="inlineStr">
        <is>
          <t>RAGUNDA</t>
        </is>
      </c>
      <c r="G976" t="n">
        <v>1.3</v>
      </c>
      <c r="H976" t="n">
        <v>0</v>
      </c>
      <c r="I976" t="n">
        <v>0</v>
      </c>
      <c r="J976" t="n">
        <v>0</v>
      </c>
      <c r="K976" t="n">
        <v>0</v>
      </c>
      <c r="L976" t="n">
        <v>0</v>
      </c>
      <c r="M976" t="n">
        <v>0</v>
      </c>
      <c r="N976" t="n">
        <v>0</v>
      </c>
      <c r="O976" t="n">
        <v>0</v>
      </c>
      <c r="P976" t="n">
        <v>0</v>
      </c>
      <c r="Q976" t="n">
        <v>0</v>
      </c>
      <c r="R976" s="2" t="inlineStr"/>
    </row>
    <row r="977" ht="15" customHeight="1">
      <c r="A977" t="inlineStr">
        <is>
          <t>A 59372-2024</t>
        </is>
      </c>
      <c r="B977" s="1" t="n">
        <v>45638.34431712963</v>
      </c>
      <c r="C977" s="1" t="n">
        <v>46035</v>
      </c>
      <c r="D977" t="inlineStr">
        <is>
          <t>JÄMTLANDS LÄN</t>
        </is>
      </c>
      <c r="E977" t="inlineStr">
        <is>
          <t>RAGUNDA</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62115-2024</t>
        </is>
      </c>
      <c r="B978" s="1" t="n">
        <v>45656</v>
      </c>
      <c r="C978" s="1" t="n">
        <v>46035</v>
      </c>
      <c r="D978" t="inlineStr">
        <is>
          <t>JÄMTLANDS LÄN</t>
        </is>
      </c>
      <c r="E978" t="inlineStr">
        <is>
          <t>RAGUNDA</t>
        </is>
      </c>
      <c r="G978" t="n">
        <v>3.3</v>
      </c>
      <c r="H978" t="n">
        <v>0</v>
      </c>
      <c r="I978" t="n">
        <v>0</v>
      </c>
      <c r="J978" t="n">
        <v>0</v>
      </c>
      <c r="K978" t="n">
        <v>0</v>
      </c>
      <c r="L978" t="n">
        <v>0</v>
      </c>
      <c r="M978" t="n">
        <v>0</v>
      </c>
      <c r="N978" t="n">
        <v>0</v>
      </c>
      <c r="O978" t="n">
        <v>0</v>
      </c>
      <c r="P978" t="n">
        <v>0</v>
      </c>
      <c r="Q978" t="n">
        <v>0</v>
      </c>
      <c r="R978" s="2" t="inlineStr"/>
    </row>
    <row r="979" ht="15" customHeight="1">
      <c r="A979" t="inlineStr">
        <is>
          <t>A 4594-2024</t>
        </is>
      </c>
      <c r="B979" s="1" t="n">
        <v>45327.94459490741</v>
      </c>
      <c r="C979" s="1" t="n">
        <v>46035</v>
      </c>
      <c r="D979" t="inlineStr">
        <is>
          <t>JÄMTLANDS LÄN</t>
        </is>
      </c>
      <c r="E979" t="inlineStr">
        <is>
          <t>RAGUNDA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3018-2024</t>
        </is>
      </c>
      <c r="B980" s="1" t="n">
        <v>45315.9492824074</v>
      </c>
      <c r="C980" s="1" t="n">
        <v>46035</v>
      </c>
      <c r="D980" t="inlineStr">
        <is>
          <t>JÄMTLANDS LÄN</t>
        </is>
      </c>
      <c r="E980" t="inlineStr">
        <is>
          <t>RAGUNDA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222-2026</t>
        </is>
      </c>
      <c r="B981" s="1" t="n">
        <v>46026.84054398148</v>
      </c>
      <c r="C981" s="1" t="n">
        <v>46035</v>
      </c>
      <c r="D981" t="inlineStr">
        <is>
          <t>JÄMTLANDS LÄN</t>
        </is>
      </c>
      <c r="E981" t="inlineStr">
        <is>
          <t>RAGUNDA</t>
        </is>
      </c>
      <c r="G981" t="n">
        <v>10.6</v>
      </c>
      <c r="H981" t="n">
        <v>0</v>
      </c>
      <c r="I981" t="n">
        <v>0</v>
      </c>
      <c r="J981" t="n">
        <v>0</v>
      </c>
      <c r="K981" t="n">
        <v>0</v>
      </c>
      <c r="L981" t="n">
        <v>0</v>
      </c>
      <c r="M981" t="n">
        <v>0</v>
      </c>
      <c r="N981" t="n">
        <v>0</v>
      </c>
      <c r="O981" t="n">
        <v>0</v>
      </c>
      <c r="P981" t="n">
        <v>0</v>
      </c>
      <c r="Q981" t="n">
        <v>0</v>
      </c>
      <c r="R981" s="2" t="inlineStr"/>
    </row>
    <row r="982" ht="15" customHeight="1">
      <c r="A982" t="inlineStr">
        <is>
          <t>A 58559-2025</t>
        </is>
      </c>
      <c r="B982" s="1" t="n">
        <v>45986.34475694445</v>
      </c>
      <c r="C982" s="1" t="n">
        <v>46035</v>
      </c>
      <c r="D982" t="inlineStr">
        <is>
          <t>JÄMTLANDS LÄN</t>
        </is>
      </c>
      <c r="E982" t="inlineStr">
        <is>
          <t>RAGUNDA</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48065-2023</t>
        </is>
      </c>
      <c r="B983" s="1" t="n">
        <v>45204.94399305555</v>
      </c>
      <c r="C983" s="1" t="n">
        <v>46035</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44597-2024</t>
        </is>
      </c>
      <c r="B984" s="1" t="n">
        <v>45574.51087962963</v>
      </c>
      <c r="C984" s="1" t="n">
        <v>46035</v>
      </c>
      <c r="D984" t="inlineStr">
        <is>
          <t>JÄMTLANDS LÄN</t>
        </is>
      </c>
      <c r="E984" t="inlineStr">
        <is>
          <t>RAGUNDA</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44598-2024</t>
        </is>
      </c>
      <c r="B985" s="1" t="n">
        <v>45574.51090277778</v>
      </c>
      <c r="C985" s="1" t="n">
        <v>46035</v>
      </c>
      <c r="D985" t="inlineStr">
        <is>
          <t>JÄMTLANDS LÄN</t>
        </is>
      </c>
      <c r="E985" t="inlineStr">
        <is>
          <t>RAGUNDA</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49659-2023</t>
        </is>
      </c>
      <c r="B986" s="1" t="n">
        <v>45211.95134259259</v>
      </c>
      <c r="C986" s="1" t="n">
        <v>46035</v>
      </c>
      <c r="D986" t="inlineStr">
        <is>
          <t>JÄMTLANDS LÄN</t>
        </is>
      </c>
      <c r="E986" t="inlineStr">
        <is>
          <t>RAGUNDA</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23734-2024</t>
        </is>
      </c>
      <c r="B987" s="1" t="n">
        <v>45454.95960648148</v>
      </c>
      <c r="C987" s="1" t="n">
        <v>46035</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12653-2024</t>
        </is>
      </c>
      <c r="B988" s="1" t="n">
        <v>45384</v>
      </c>
      <c r="C988" s="1" t="n">
        <v>46035</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34483-2023</t>
        </is>
      </c>
      <c r="B989" s="1" t="n">
        <v>45139.94681712963</v>
      </c>
      <c r="C989" s="1" t="n">
        <v>46035</v>
      </c>
      <c r="D989" t="inlineStr">
        <is>
          <t>JÄMTLANDS LÄN</t>
        </is>
      </c>
      <c r="E989" t="inlineStr">
        <is>
          <t>RAGUNDA</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23567-2024</t>
        </is>
      </c>
      <c r="B990" s="1" t="n">
        <v>45453.95538194444</v>
      </c>
      <c r="C990" s="1" t="n">
        <v>46035</v>
      </c>
      <c r="D990" t="inlineStr">
        <is>
          <t>JÄMTLANDS LÄN</t>
        </is>
      </c>
      <c r="E990" t="inlineStr">
        <is>
          <t>RAGUNDA</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57116-2024</t>
        </is>
      </c>
      <c r="B991" s="1" t="n">
        <v>45629.36513888889</v>
      </c>
      <c r="C991" s="1" t="n">
        <v>46035</v>
      </c>
      <c r="D991" t="inlineStr">
        <is>
          <t>JÄMTLANDS LÄN</t>
        </is>
      </c>
      <c r="E991" t="inlineStr">
        <is>
          <t>RAGUNDA</t>
        </is>
      </c>
      <c r="G991" t="n">
        <v>0.6</v>
      </c>
      <c r="H991" t="n">
        <v>0</v>
      </c>
      <c r="I991" t="n">
        <v>0</v>
      </c>
      <c r="J991" t="n">
        <v>0</v>
      </c>
      <c r="K991" t="n">
        <v>0</v>
      </c>
      <c r="L991" t="n">
        <v>0</v>
      </c>
      <c r="M991" t="n">
        <v>0</v>
      </c>
      <c r="N991" t="n">
        <v>0</v>
      </c>
      <c r="O991" t="n">
        <v>0</v>
      </c>
      <c r="P991" t="n">
        <v>0</v>
      </c>
      <c r="Q991" t="n">
        <v>0</v>
      </c>
      <c r="R991" s="2" t="inlineStr"/>
    </row>
    <row r="992" ht="15" customHeight="1">
      <c r="A992" t="inlineStr">
        <is>
          <t>A 38312-2024</t>
        </is>
      </c>
      <c r="B992" s="1" t="n">
        <v>45545.64957175926</v>
      </c>
      <c r="C992" s="1" t="n">
        <v>46035</v>
      </c>
      <c r="D992" t="inlineStr">
        <is>
          <t>JÄMTLANDS LÄN</t>
        </is>
      </c>
      <c r="E992" t="inlineStr">
        <is>
          <t>RAGUNDA</t>
        </is>
      </c>
      <c r="G992" t="n">
        <v>1.2</v>
      </c>
      <c r="H992" t="n">
        <v>0</v>
      </c>
      <c r="I992" t="n">
        <v>0</v>
      </c>
      <c r="J992" t="n">
        <v>0</v>
      </c>
      <c r="K992" t="n">
        <v>0</v>
      </c>
      <c r="L992" t="n">
        <v>0</v>
      </c>
      <c r="M992" t="n">
        <v>0</v>
      </c>
      <c r="N992" t="n">
        <v>0</v>
      </c>
      <c r="O992" t="n">
        <v>0</v>
      </c>
      <c r="P992" t="n">
        <v>0</v>
      </c>
      <c r="Q992" t="n">
        <v>0</v>
      </c>
      <c r="R992" s="2" t="inlineStr"/>
    </row>
    <row r="993" ht="15" customHeight="1">
      <c r="A993" t="inlineStr">
        <is>
          <t>A 9262-2025</t>
        </is>
      </c>
      <c r="B993" s="1" t="n">
        <v>45714.60649305556</v>
      </c>
      <c r="C993" s="1" t="n">
        <v>46035</v>
      </c>
      <c r="D993" t="inlineStr">
        <is>
          <t>JÄMTLANDS LÄN</t>
        </is>
      </c>
      <c r="E993" t="inlineStr">
        <is>
          <t>RAGUNDA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16982-2024</t>
        </is>
      </c>
      <c r="B994" s="1" t="n">
        <v>45412.02506944445</v>
      </c>
      <c r="C994" s="1" t="n">
        <v>46035</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53109-2025</t>
        </is>
      </c>
      <c r="B995" s="1" t="n">
        <v>45958</v>
      </c>
      <c r="C995" s="1" t="n">
        <v>46035</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59214-2025</t>
        </is>
      </c>
      <c r="B996" s="1" t="n">
        <v>45988.61623842592</v>
      </c>
      <c r="C996" s="1" t="n">
        <v>46035</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58564-2024</t>
        </is>
      </c>
      <c r="B997" s="1" t="n">
        <v>45635.47243055556</v>
      </c>
      <c r="C997" s="1" t="n">
        <v>46035</v>
      </c>
      <c r="D997" t="inlineStr">
        <is>
          <t>JÄMTLANDS LÄN</t>
        </is>
      </c>
      <c r="E997" t="inlineStr">
        <is>
          <t>RAGUNDA</t>
        </is>
      </c>
      <c r="G997" t="n">
        <v>2.6</v>
      </c>
      <c r="H997" t="n">
        <v>0</v>
      </c>
      <c r="I997" t="n">
        <v>0</v>
      </c>
      <c r="J997" t="n">
        <v>0</v>
      </c>
      <c r="K997" t="n">
        <v>0</v>
      </c>
      <c r="L997" t="n">
        <v>0</v>
      </c>
      <c r="M997" t="n">
        <v>0</v>
      </c>
      <c r="N997" t="n">
        <v>0</v>
      </c>
      <c r="O997" t="n">
        <v>0</v>
      </c>
      <c r="P997" t="n">
        <v>0</v>
      </c>
      <c r="Q997" t="n">
        <v>0</v>
      </c>
      <c r="R997" s="2" t="inlineStr"/>
    </row>
    <row r="998" ht="15" customHeight="1">
      <c r="A998" t="inlineStr">
        <is>
          <t>A 53144-2024</t>
        </is>
      </c>
      <c r="B998" s="1" t="n">
        <v>45611</v>
      </c>
      <c r="C998" s="1" t="n">
        <v>46035</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58918-2025</t>
        </is>
      </c>
      <c r="B999" s="1" t="n">
        <v>45987.52952546296</v>
      </c>
      <c r="C999" s="1" t="n">
        <v>46035</v>
      </c>
      <c r="D999" t="inlineStr">
        <is>
          <t>JÄMTLANDS LÄN</t>
        </is>
      </c>
      <c r="E999" t="inlineStr">
        <is>
          <t>RAGUNDA</t>
        </is>
      </c>
      <c r="G999" t="n">
        <v>2</v>
      </c>
      <c r="H999" t="n">
        <v>0</v>
      </c>
      <c r="I999" t="n">
        <v>0</v>
      </c>
      <c r="J999" t="n">
        <v>0</v>
      </c>
      <c r="K999" t="n">
        <v>0</v>
      </c>
      <c r="L999" t="n">
        <v>0</v>
      </c>
      <c r="M999" t="n">
        <v>0</v>
      </c>
      <c r="N999" t="n">
        <v>0</v>
      </c>
      <c r="O999" t="n">
        <v>0</v>
      </c>
      <c r="P999" t="n">
        <v>0</v>
      </c>
      <c r="Q999" t="n">
        <v>0</v>
      </c>
      <c r="R999" s="2" t="inlineStr"/>
    </row>
    <row r="1000" ht="15" customHeight="1">
      <c r="A1000" t="inlineStr">
        <is>
          <t>A 5806-2025</t>
        </is>
      </c>
      <c r="B1000" s="1" t="n">
        <v>45694.69826388889</v>
      </c>
      <c r="C1000" s="1" t="n">
        <v>46035</v>
      </c>
      <c r="D1000" t="inlineStr">
        <is>
          <t>JÄMTLANDS LÄN</t>
        </is>
      </c>
      <c r="E1000" t="inlineStr">
        <is>
          <t>RAGUNDA</t>
        </is>
      </c>
      <c r="F1000" t="inlineStr">
        <is>
          <t>SCA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557-2026</t>
        </is>
      </c>
      <c r="B1001" s="1" t="n">
        <v>46021</v>
      </c>
      <c r="C1001" s="1" t="n">
        <v>46035</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20773-2024</t>
        </is>
      </c>
      <c r="B1002" s="1" t="n">
        <v>45436.94636574074</v>
      </c>
      <c r="C1002" s="1" t="n">
        <v>46035</v>
      </c>
      <c r="D1002" t="inlineStr">
        <is>
          <t>JÄMTLANDS LÄN</t>
        </is>
      </c>
      <c r="E1002" t="inlineStr">
        <is>
          <t>RAGUNDA</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647-2026</t>
        </is>
      </c>
      <c r="B1003" s="1" t="n">
        <v>46029.57357638889</v>
      </c>
      <c r="C1003" s="1" t="n">
        <v>46035</v>
      </c>
      <c r="D1003" t="inlineStr">
        <is>
          <t>JÄMTLANDS LÄN</t>
        </is>
      </c>
      <c r="E1003" t="inlineStr">
        <is>
          <t>RAGUNDA</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14076-2023</t>
        </is>
      </c>
      <c r="B1004" s="1" t="n">
        <v>45009.0897337963</v>
      </c>
      <c r="C1004" s="1" t="n">
        <v>46035</v>
      </c>
      <c r="D1004" t="inlineStr">
        <is>
          <t>JÄMTLANDS LÄN</t>
        </is>
      </c>
      <c r="E1004" t="inlineStr">
        <is>
          <t>RAGUNDA</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45335-2023</t>
        </is>
      </c>
      <c r="B1005" s="1" t="n">
        <v>45191</v>
      </c>
      <c r="C1005" s="1" t="n">
        <v>46035</v>
      </c>
      <c r="D1005" t="inlineStr">
        <is>
          <t>JÄMTLANDS LÄN</t>
        </is>
      </c>
      <c r="E1005" t="inlineStr">
        <is>
          <t>RAGUNDA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10972-2022</t>
        </is>
      </c>
      <c r="B1006" s="1" t="n">
        <v>44628</v>
      </c>
      <c r="C1006" s="1" t="n">
        <v>46035</v>
      </c>
      <c r="D1006" t="inlineStr">
        <is>
          <t>JÄMTLANDS LÄN</t>
        </is>
      </c>
      <c r="E1006" t="inlineStr">
        <is>
          <t>RAGUNDA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59692-2025</t>
        </is>
      </c>
      <c r="B1007" s="1" t="n">
        <v>45992.49001157407</v>
      </c>
      <c r="C1007" s="1" t="n">
        <v>46035</v>
      </c>
      <c r="D1007" t="inlineStr">
        <is>
          <t>JÄMTLANDS LÄN</t>
        </is>
      </c>
      <c r="E1007" t="inlineStr">
        <is>
          <t>RAGUNDA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59693-2025</t>
        </is>
      </c>
      <c r="B1008" s="1" t="n">
        <v>45992.49009259259</v>
      </c>
      <c r="C1008" s="1" t="n">
        <v>46035</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43102-2023</t>
        </is>
      </c>
      <c r="B1009" s="1" t="n">
        <v>45182</v>
      </c>
      <c r="C1009" s="1" t="n">
        <v>46035</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59491-2025</t>
        </is>
      </c>
      <c r="B1010" s="1" t="n">
        <v>45989.60376157407</v>
      </c>
      <c r="C1010" s="1" t="n">
        <v>46035</v>
      </c>
      <c r="D1010" t="inlineStr">
        <is>
          <t>JÄMTLANDS LÄN</t>
        </is>
      </c>
      <c r="E1010" t="inlineStr">
        <is>
          <t>RAGUNDA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59499-2025</t>
        </is>
      </c>
      <c r="B1011" s="1" t="n">
        <v>45989.61846064815</v>
      </c>
      <c r="C1011" s="1" t="n">
        <v>46035</v>
      </c>
      <c r="D1011" t="inlineStr">
        <is>
          <t>JÄMTLANDS LÄN</t>
        </is>
      </c>
      <c r="E1011" t="inlineStr">
        <is>
          <t>RAGUNDA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59503-2025</t>
        </is>
      </c>
      <c r="B1012" s="1" t="n">
        <v>45989.62703703704</v>
      </c>
      <c r="C1012" s="1" t="n">
        <v>46035</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6694-2024</t>
        </is>
      </c>
      <c r="B1013" s="1" t="n">
        <v>45341.95381944445</v>
      </c>
      <c r="C1013" s="1" t="n">
        <v>46035</v>
      </c>
      <c r="D1013" t="inlineStr">
        <is>
          <t>JÄMTLANDS LÄN</t>
        </is>
      </c>
      <c r="E1013" t="inlineStr">
        <is>
          <t>RAGUNDA</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21083-2024</t>
        </is>
      </c>
      <c r="B1014" s="1" t="n">
        <v>45439.92752314815</v>
      </c>
      <c r="C1014" s="1" t="n">
        <v>46035</v>
      </c>
      <c r="D1014" t="inlineStr">
        <is>
          <t>JÄMTLANDS LÄN</t>
        </is>
      </c>
      <c r="E1014" t="inlineStr">
        <is>
          <t>RAGUNDA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59740-2025</t>
        </is>
      </c>
      <c r="B1015" s="1" t="n">
        <v>45992.5743287037</v>
      </c>
      <c r="C1015" s="1" t="n">
        <v>46035</v>
      </c>
      <c r="D1015" t="inlineStr">
        <is>
          <t>JÄMTLANDS LÄN</t>
        </is>
      </c>
      <c r="E1015" t="inlineStr">
        <is>
          <t>RAGUNDA</t>
        </is>
      </c>
      <c r="F1015" t="inlineStr">
        <is>
          <t>SCA</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59759-2024</t>
        </is>
      </c>
      <c r="B1016" s="1" t="n">
        <v>45639.55240740741</v>
      </c>
      <c r="C1016" s="1" t="n">
        <v>46035</v>
      </c>
      <c r="D1016" t="inlineStr">
        <is>
          <t>JÄMTLANDS LÄN</t>
        </is>
      </c>
      <c r="E1016" t="inlineStr">
        <is>
          <t>RAGUNDA</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12204-2025</t>
        </is>
      </c>
      <c r="B1017" s="1" t="n">
        <v>45729.51074074074</v>
      </c>
      <c r="C1017" s="1" t="n">
        <v>46035</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11245-2025</t>
        </is>
      </c>
      <c r="B1018" s="1" t="n">
        <v>45726.38575231482</v>
      </c>
      <c r="C1018" s="1" t="n">
        <v>46035</v>
      </c>
      <c r="D1018" t="inlineStr">
        <is>
          <t>JÄMTLANDS LÄN</t>
        </is>
      </c>
      <c r="E1018" t="inlineStr">
        <is>
          <t>RAGUNDA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13905-2025</t>
        </is>
      </c>
      <c r="B1019" s="1" t="n">
        <v>45737.63574074074</v>
      </c>
      <c r="C1019" s="1" t="n">
        <v>46035</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59738-2025</t>
        </is>
      </c>
      <c r="B1020" s="1" t="n">
        <v>45992.57408564815</v>
      </c>
      <c r="C1020" s="1" t="n">
        <v>46035</v>
      </c>
      <c r="D1020" t="inlineStr">
        <is>
          <t>JÄMTLANDS LÄN</t>
        </is>
      </c>
      <c r="E1020" t="inlineStr">
        <is>
          <t>RAGUNDA</t>
        </is>
      </c>
      <c r="F1020" t="inlineStr">
        <is>
          <t>SCA</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59739-2025</t>
        </is>
      </c>
      <c r="B1021" s="1" t="n">
        <v>45992.57417824074</v>
      </c>
      <c r="C1021" s="1" t="n">
        <v>46035</v>
      </c>
      <c r="D1021" t="inlineStr">
        <is>
          <t>JÄMTLANDS LÄN</t>
        </is>
      </c>
      <c r="E1021" t="inlineStr">
        <is>
          <t>RAGUNDA</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61755-2025</t>
        </is>
      </c>
      <c r="B1022" s="1" t="n">
        <v>46002</v>
      </c>
      <c r="C1022" s="1" t="n">
        <v>46035</v>
      </c>
      <c r="D1022" t="inlineStr">
        <is>
          <t>JÄMTLANDS LÄN</t>
        </is>
      </c>
      <c r="E1022" t="inlineStr">
        <is>
          <t>RAGUNDA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4125-2024</t>
        </is>
      </c>
      <c r="B1023" s="1" t="n">
        <v>45323</v>
      </c>
      <c r="C1023" s="1" t="n">
        <v>46035</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44980-2023</t>
        </is>
      </c>
      <c r="B1024" s="1" t="n">
        <v>45190</v>
      </c>
      <c r="C1024" s="1" t="n">
        <v>46035</v>
      </c>
      <c r="D1024" t="inlineStr">
        <is>
          <t>JÄMTLANDS LÄN</t>
        </is>
      </c>
      <c r="E1024" t="inlineStr">
        <is>
          <t>RAGUNDA</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27777-2022</t>
        </is>
      </c>
      <c r="B1025" s="1" t="n">
        <v>44743</v>
      </c>
      <c r="C1025" s="1" t="n">
        <v>46035</v>
      </c>
      <c r="D1025" t="inlineStr">
        <is>
          <t>JÄMTLANDS LÄN</t>
        </is>
      </c>
      <c r="E1025" t="inlineStr">
        <is>
          <t>RAGUNDA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51245-2024</t>
        </is>
      </c>
      <c r="B1026" s="1" t="n">
        <v>45603.67850694444</v>
      </c>
      <c r="C1026" s="1" t="n">
        <v>46035</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1333-2026</t>
        </is>
      </c>
      <c r="B1027" s="1" t="n">
        <v>46031.57340277778</v>
      </c>
      <c r="C1027" s="1" t="n">
        <v>46035</v>
      </c>
      <c r="D1027" t="inlineStr">
        <is>
          <t>JÄMTLANDS LÄN</t>
        </is>
      </c>
      <c r="E1027" t="inlineStr">
        <is>
          <t>RAGUNDA</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61923-2024</t>
        </is>
      </c>
      <c r="B1028" s="1" t="n">
        <v>45653.44836805556</v>
      </c>
      <c r="C1028" s="1" t="n">
        <v>46035</v>
      </c>
      <c r="D1028" t="inlineStr">
        <is>
          <t>JÄMTLANDS LÄN</t>
        </is>
      </c>
      <c r="E1028" t="inlineStr">
        <is>
          <t>RAGUNDA</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50503-2024</t>
        </is>
      </c>
      <c r="B1029" s="1" t="n">
        <v>45601.5315625</v>
      </c>
      <c r="C1029" s="1" t="n">
        <v>46035</v>
      </c>
      <c r="D1029" t="inlineStr">
        <is>
          <t>JÄMTLANDS LÄN</t>
        </is>
      </c>
      <c r="E1029" t="inlineStr">
        <is>
          <t>RAGUNDA</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59556-2024</t>
        </is>
      </c>
      <c r="B1030" s="1" t="n">
        <v>45638.63600694444</v>
      </c>
      <c r="C1030" s="1" t="n">
        <v>46035</v>
      </c>
      <c r="D1030" t="inlineStr">
        <is>
          <t>JÄMTLANDS LÄN</t>
        </is>
      </c>
      <c r="E1030" t="inlineStr">
        <is>
          <t>RAGUNDA</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13302-2022</t>
        </is>
      </c>
      <c r="B1031" s="1" t="n">
        <v>44644</v>
      </c>
      <c r="C1031" s="1" t="n">
        <v>46035</v>
      </c>
      <c r="D1031" t="inlineStr">
        <is>
          <t>JÄMTLANDS LÄN</t>
        </is>
      </c>
      <c r="E1031" t="inlineStr">
        <is>
          <t>RAGUNDA</t>
        </is>
      </c>
      <c r="F1031" t="inlineStr">
        <is>
          <t>SCA</t>
        </is>
      </c>
      <c r="G1031" t="n">
        <v>35.6</v>
      </c>
      <c r="H1031" t="n">
        <v>0</v>
      </c>
      <c r="I1031" t="n">
        <v>0</v>
      </c>
      <c r="J1031" t="n">
        <v>0</v>
      </c>
      <c r="K1031" t="n">
        <v>0</v>
      </c>
      <c r="L1031" t="n">
        <v>0</v>
      </c>
      <c r="M1031" t="n">
        <v>0</v>
      </c>
      <c r="N1031" t="n">
        <v>0</v>
      </c>
      <c r="O1031" t="n">
        <v>0</v>
      </c>
      <c r="P1031" t="n">
        <v>0</v>
      </c>
      <c r="Q1031" t="n">
        <v>0</v>
      </c>
      <c r="R1031" s="2" t="inlineStr"/>
    </row>
    <row r="1032" ht="15" customHeight="1">
      <c r="A1032" t="inlineStr">
        <is>
          <t>A 18225-2024</t>
        </is>
      </c>
      <c r="B1032" s="1" t="n">
        <v>45420</v>
      </c>
      <c r="C1032" s="1" t="n">
        <v>46035</v>
      </c>
      <c r="D1032" t="inlineStr">
        <is>
          <t>JÄMTLANDS LÄN</t>
        </is>
      </c>
      <c r="E1032" t="inlineStr">
        <is>
          <t>RAGUNDA</t>
        </is>
      </c>
      <c r="F1032" t="inlineStr">
        <is>
          <t>SCA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61598-2024</t>
        </is>
      </c>
      <c r="B1033" s="1" t="n">
        <v>45646.63605324074</v>
      </c>
      <c r="C1033" s="1" t="n">
        <v>46035</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7280-2024</t>
        </is>
      </c>
      <c r="B1034" s="1" t="n">
        <v>45344</v>
      </c>
      <c r="C1034" s="1" t="n">
        <v>46035</v>
      </c>
      <c r="D1034" t="inlineStr">
        <is>
          <t>JÄMTLANDS LÄN</t>
        </is>
      </c>
      <c r="E1034" t="inlineStr">
        <is>
          <t>RAGUNDA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21662-2023</t>
        </is>
      </c>
      <c r="B1035" s="1" t="n">
        <v>45063</v>
      </c>
      <c r="C1035" s="1" t="n">
        <v>46035</v>
      </c>
      <c r="D1035" t="inlineStr">
        <is>
          <t>JÄMTLANDS LÄN</t>
        </is>
      </c>
      <c r="E1035" t="inlineStr">
        <is>
          <t>RAGUNDA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61107-2024</t>
        </is>
      </c>
      <c r="B1036" s="1" t="n">
        <v>45645.55665509259</v>
      </c>
      <c r="C1036" s="1" t="n">
        <v>46035</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5313-2025</t>
        </is>
      </c>
      <c r="B1037" s="1" t="n">
        <v>45692.51069444444</v>
      </c>
      <c r="C1037" s="1" t="n">
        <v>46035</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5357-2025</t>
        </is>
      </c>
      <c r="B1038" s="1" t="n">
        <v>45692.57326388889</v>
      </c>
      <c r="C1038" s="1" t="n">
        <v>46035</v>
      </c>
      <c r="D1038" t="inlineStr">
        <is>
          <t>JÄMTLANDS LÄN</t>
        </is>
      </c>
      <c r="E1038" t="inlineStr">
        <is>
          <t>RAGUNDA</t>
        </is>
      </c>
      <c r="F1038" t="inlineStr">
        <is>
          <t>SCA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44494-2024</t>
        </is>
      </c>
      <c r="B1039" s="1" t="n">
        <v>45574.39081018518</v>
      </c>
      <c r="C1039" s="1" t="n">
        <v>46035</v>
      </c>
      <c r="D1039" t="inlineStr">
        <is>
          <t>JÄMTLANDS LÄN</t>
        </is>
      </c>
      <c r="E1039" t="inlineStr">
        <is>
          <t>RAGUNDA</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12983-2025</t>
        </is>
      </c>
      <c r="B1040" s="1" t="n">
        <v>45734.4633912037</v>
      </c>
      <c r="C1040" s="1" t="n">
        <v>46035</v>
      </c>
      <c r="D1040" t="inlineStr">
        <is>
          <t>JÄMTLANDS LÄN</t>
        </is>
      </c>
      <c r="E1040" t="inlineStr">
        <is>
          <t>RAGUNDA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39626-2024</t>
        </is>
      </c>
      <c r="B1041" s="1" t="n">
        <v>45552.44096064815</v>
      </c>
      <c r="C1041" s="1" t="n">
        <v>46035</v>
      </c>
      <c r="D1041" t="inlineStr">
        <is>
          <t>JÄMTLANDS LÄN</t>
        </is>
      </c>
      <c r="E1041" t="inlineStr">
        <is>
          <t>RAGUNDA</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45631-2024</t>
        </is>
      </c>
      <c r="B1042" s="1" t="n">
        <v>45579.47052083333</v>
      </c>
      <c r="C1042" s="1" t="n">
        <v>46035</v>
      </c>
      <c r="D1042" t="inlineStr">
        <is>
          <t>JÄMTLANDS LÄN</t>
        </is>
      </c>
      <c r="E1042" t="inlineStr">
        <is>
          <t>RAGUNDA</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62135-2024</t>
        </is>
      </c>
      <c r="B1043" s="1" t="n">
        <v>45656.64223379629</v>
      </c>
      <c r="C1043" s="1" t="n">
        <v>46035</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8802-2022</t>
        </is>
      </c>
      <c r="B1044" s="1" t="n">
        <v>44614</v>
      </c>
      <c r="C1044" s="1" t="n">
        <v>46035</v>
      </c>
      <c r="D1044" t="inlineStr">
        <is>
          <t>JÄMTLANDS LÄN</t>
        </is>
      </c>
      <c r="E1044" t="inlineStr">
        <is>
          <t>RAGUNDA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9823-2025</t>
        </is>
      </c>
      <c r="B1045" s="1" t="n">
        <v>45716</v>
      </c>
      <c r="C1045" s="1" t="n">
        <v>46035</v>
      </c>
      <c r="D1045" t="inlineStr">
        <is>
          <t>JÄMTLANDS LÄN</t>
        </is>
      </c>
      <c r="E1045" t="inlineStr">
        <is>
          <t>RAGUNDA</t>
        </is>
      </c>
      <c r="F1045" t="inlineStr">
        <is>
          <t>SCA</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9847-2025</t>
        </is>
      </c>
      <c r="B1046" s="1" t="n">
        <v>45716.61487268518</v>
      </c>
      <c r="C1046" s="1" t="n">
        <v>46035</v>
      </c>
      <c r="D1046" t="inlineStr">
        <is>
          <t>JÄMTLANDS LÄN</t>
        </is>
      </c>
      <c r="E1046" t="inlineStr">
        <is>
          <t>RAGUNDA</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20987-2023</t>
        </is>
      </c>
      <c r="B1047" s="1" t="n">
        <v>45056</v>
      </c>
      <c r="C1047" s="1" t="n">
        <v>46035</v>
      </c>
      <c r="D1047" t="inlineStr">
        <is>
          <t>JÄMTLANDS LÄN</t>
        </is>
      </c>
      <c r="E1047" t="inlineStr">
        <is>
          <t>RAGUNDA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20994-2023</t>
        </is>
      </c>
      <c r="B1048" s="1" t="n">
        <v>45056</v>
      </c>
      <c r="C1048" s="1" t="n">
        <v>46035</v>
      </c>
      <c r="D1048" t="inlineStr">
        <is>
          <t>JÄMTLANDS LÄN</t>
        </is>
      </c>
      <c r="E1048" t="inlineStr">
        <is>
          <t>RAGUNDA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6490-2022</t>
        </is>
      </c>
      <c r="B1049" s="1" t="n">
        <v>44601</v>
      </c>
      <c r="C1049" s="1" t="n">
        <v>46035</v>
      </c>
      <c r="D1049" t="inlineStr">
        <is>
          <t>JÄMTLANDS LÄN</t>
        </is>
      </c>
      <c r="E1049" t="inlineStr">
        <is>
          <t>RAGUNDA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23287-2024</t>
        </is>
      </c>
      <c r="B1050" s="1" t="n">
        <v>45453.42041666667</v>
      </c>
      <c r="C1050" s="1" t="n">
        <v>46035</v>
      </c>
      <c r="D1050" t="inlineStr">
        <is>
          <t>JÄMTLANDS LÄN</t>
        </is>
      </c>
      <c r="E1050" t="inlineStr">
        <is>
          <t>RAGUNDA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53740-2024</t>
        </is>
      </c>
      <c r="B1051" s="1" t="n">
        <v>45615.47091435185</v>
      </c>
      <c r="C1051" s="1" t="n">
        <v>46035</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1325-2025</t>
        </is>
      </c>
      <c r="B1052" s="1" t="n">
        <v>45667.57342592593</v>
      </c>
      <c r="C1052" s="1" t="n">
        <v>46035</v>
      </c>
      <c r="D1052" t="inlineStr">
        <is>
          <t>JÄMTLANDS LÄN</t>
        </is>
      </c>
      <c r="E1052" t="inlineStr">
        <is>
          <t>RAGUNDA</t>
        </is>
      </c>
      <c r="F1052" t="inlineStr">
        <is>
          <t>SCA</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1326-2025</t>
        </is>
      </c>
      <c r="B1053" s="1" t="n">
        <v>45667.57347222222</v>
      </c>
      <c r="C1053" s="1" t="n">
        <v>46035</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14696-2022</t>
        </is>
      </c>
      <c r="B1054" s="1" t="n">
        <v>44655</v>
      </c>
      <c r="C1054" s="1" t="n">
        <v>46035</v>
      </c>
      <c r="D1054" t="inlineStr">
        <is>
          <t>JÄMTLANDS LÄN</t>
        </is>
      </c>
      <c r="E1054" t="inlineStr">
        <is>
          <t>RAGUNDA</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45952-2023</t>
        </is>
      </c>
      <c r="B1055" s="1" t="n">
        <v>45195</v>
      </c>
      <c r="C1055" s="1" t="n">
        <v>46035</v>
      </c>
      <c r="D1055" t="inlineStr">
        <is>
          <t>JÄMTLANDS LÄN</t>
        </is>
      </c>
      <c r="E1055" t="inlineStr">
        <is>
          <t>RAGUNDA</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45954-2023</t>
        </is>
      </c>
      <c r="B1056" s="1" t="n">
        <v>45195.94679398148</v>
      </c>
      <c r="C1056" s="1" t="n">
        <v>46035</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45955-2023</t>
        </is>
      </c>
      <c r="B1057" s="1" t="n">
        <v>45195.94685185186</v>
      </c>
      <c r="C1057" s="1" t="n">
        <v>46035</v>
      </c>
      <c r="D1057" t="inlineStr">
        <is>
          <t>JÄMTLANDS LÄN</t>
        </is>
      </c>
      <c r="E1057" t="inlineStr">
        <is>
          <t>RAGUNDA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8787-2022</t>
        </is>
      </c>
      <c r="B1058" s="1" t="n">
        <v>44614</v>
      </c>
      <c r="C1058" s="1" t="n">
        <v>46035</v>
      </c>
      <c r="D1058" t="inlineStr">
        <is>
          <t>JÄMTLANDS LÄN</t>
        </is>
      </c>
      <c r="E1058" t="inlineStr">
        <is>
          <t>RAGUNDA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5308-2025</t>
        </is>
      </c>
      <c r="B1059" s="1" t="n">
        <v>45692.49008101852</v>
      </c>
      <c r="C1059" s="1" t="n">
        <v>46035</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45253-2023</t>
        </is>
      </c>
      <c r="B1060" s="1" t="n">
        <v>45187</v>
      </c>
      <c r="C1060" s="1" t="n">
        <v>46035</v>
      </c>
      <c r="D1060" t="inlineStr">
        <is>
          <t>JÄMTLANDS LÄN</t>
        </is>
      </c>
      <c r="E1060" t="inlineStr">
        <is>
          <t>RAGUNDA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3104-2025</t>
        </is>
      </c>
      <c r="B1061" s="1" t="n">
        <v>45678.67761574074</v>
      </c>
      <c r="C1061" s="1" t="n">
        <v>46035</v>
      </c>
      <c r="D1061" t="inlineStr">
        <is>
          <t>JÄMTLANDS LÄN</t>
        </is>
      </c>
      <c r="E1061" t="inlineStr">
        <is>
          <t>RAGUNDA</t>
        </is>
      </c>
      <c r="F1061" t="inlineStr">
        <is>
          <t>SCA</t>
        </is>
      </c>
      <c r="G1061" t="n">
        <v>46.2</v>
      </c>
      <c r="H1061" t="n">
        <v>0</v>
      </c>
      <c r="I1061" t="n">
        <v>0</v>
      </c>
      <c r="J1061" t="n">
        <v>0</v>
      </c>
      <c r="K1061" t="n">
        <v>0</v>
      </c>
      <c r="L1061" t="n">
        <v>0</v>
      </c>
      <c r="M1061" t="n">
        <v>0</v>
      </c>
      <c r="N1061" t="n">
        <v>0</v>
      </c>
      <c r="O1061" t="n">
        <v>0</v>
      </c>
      <c r="P1061" t="n">
        <v>0</v>
      </c>
      <c r="Q1061" t="n">
        <v>0</v>
      </c>
      <c r="R1061" s="2" t="inlineStr"/>
    </row>
    <row r="1062" ht="15" customHeight="1">
      <c r="A1062" t="inlineStr">
        <is>
          <t>A 36046-2023</t>
        </is>
      </c>
      <c r="B1062" s="1" t="n">
        <v>45148</v>
      </c>
      <c r="C1062" s="1" t="n">
        <v>46035</v>
      </c>
      <c r="D1062" t="inlineStr">
        <is>
          <t>JÄMTLANDS LÄN</t>
        </is>
      </c>
      <c r="E1062" t="inlineStr">
        <is>
          <t>RAGUNDA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18193-2022</t>
        </is>
      </c>
      <c r="B1063" s="1" t="n">
        <v>44684.94032407407</v>
      </c>
      <c r="C1063" s="1" t="n">
        <v>46035</v>
      </c>
      <c r="D1063" t="inlineStr">
        <is>
          <t>JÄMTLANDS LÄN</t>
        </is>
      </c>
      <c r="E1063" t="inlineStr">
        <is>
          <t>RAGUNDA</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34323-2023</t>
        </is>
      </c>
      <c r="B1064" s="1" t="n">
        <v>45138.94925925926</v>
      </c>
      <c r="C1064" s="1" t="n">
        <v>46035</v>
      </c>
      <c r="D1064" t="inlineStr">
        <is>
          <t>JÄMTLANDS LÄN</t>
        </is>
      </c>
      <c r="E1064" t="inlineStr">
        <is>
          <t>RAGUNDA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58843-2024</t>
        </is>
      </c>
      <c r="B1065" s="1" t="n">
        <v>45636.38599537037</v>
      </c>
      <c r="C1065" s="1" t="n">
        <v>46035</v>
      </c>
      <c r="D1065" t="inlineStr">
        <is>
          <t>JÄMTLANDS LÄN</t>
        </is>
      </c>
      <c r="E1065" t="inlineStr">
        <is>
          <t>RAGUNDA</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45953-2023</t>
        </is>
      </c>
      <c r="B1066" s="1" t="n">
        <v>45195.94672453704</v>
      </c>
      <c r="C1066" s="1" t="n">
        <v>46035</v>
      </c>
      <c r="D1066" t="inlineStr">
        <is>
          <t>JÄMTLANDS LÄN</t>
        </is>
      </c>
      <c r="E1066" t="inlineStr">
        <is>
          <t>RAGUNDA</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30824-2023</t>
        </is>
      </c>
      <c r="B1067" s="1" t="n">
        <v>45112.94303240741</v>
      </c>
      <c r="C1067" s="1" t="n">
        <v>46035</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30825-2023</t>
        </is>
      </c>
      <c r="B1068" s="1" t="n">
        <v>45112.94310185185</v>
      </c>
      <c r="C1068" s="1" t="n">
        <v>46035</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31506-2024</t>
        </is>
      </c>
      <c r="B1069" s="1" t="n">
        <v>45505</v>
      </c>
      <c r="C1069" s="1" t="n">
        <v>46035</v>
      </c>
      <c r="D1069" t="inlineStr">
        <is>
          <t>JÄMTLANDS LÄN</t>
        </is>
      </c>
      <c r="E1069" t="inlineStr">
        <is>
          <t>RAGUNDA</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55222-2024</t>
        </is>
      </c>
      <c r="B1070" s="1" t="n">
        <v>45621.57395833333</v>
      </c>
      <c r="C1070" s="1" t="n">
        <v>46035</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44755-2024</t>
        </is>
      </c>
      <c r="B1071" s="1" t="n">
        <v>45574.61184027778</v>
      </c>
      <c r="C1071" s="1" t="n">
        <v>46035</v>
      </c>
      <c r="D1071" t="inlineStr">
        <is>
          <t>JÄMTLANDS LÄN</t>
        </is>
      </c>
      <c r="E1071" t="inlineStr">
        <is>
          <t>RAGUNDA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44766-2024</t>
        </is>
      </c>
      <c r="B1072" s="1" t="n">
        <v>45574.62297453704</v>
      </c>
      <c r="C1072" s="1" t="n">
        <v>46035</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44778-2024</t>
        </is>
      </c>
      <c r="B1073" s="1" t="n">
        <v>45574.63355324074</v>
      </c>
      <c r="C1073" s="1" t="n">
        <v>46035</v>
      </c>
      <c r="D1073" t="inlineStr">
        <is>
          <t>JÄMTLANDS LÄN</t>
        </is>
      </c>
      <c r="E1073" t="inlineStr">
        <is>
          <t>RAGUNDA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8795-2022</t>
        </is>
      </c>
      <c r="B1074" s="1" t="n">
        <v>44614</v>
      </c>
      <c r="C1074" s="1" t="n">
        <v>46035</v>
      </c>
      <c r="D1074" t="inlineStr">
        <is>
          <t>JÄMTLANDS LÄN</t>
        </is>
      </c>
      <c r="E1074" t="inlineStr">
        <is>
          <t>RAGUNDA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14905-2022</t>
        </is>
      </c>
      <c r="B1075" s="1" t="n">
        <v>44656.94708333333</v>
      </c>
      <c r="C1075" s="1" t="n">
        <v>46035</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6257-2025</t>
        </is>
      </c>
      <c r="B1076" s="1" t="n">
        <v>45698.59409722222</v>
      </c>
      <c r="C1076" s="1" t="n">
        <v>46035</v>
      </c>
      <c r="D1076" t="inlineStr">
        <is>
          <t>JÄMTLANDS LÄN</t>
        </is>
      </c>
      <c r="E1076" t="inlineStr">
        <is>
          <t>RAGUNDA</t>
        </is>
      </c>
      <c r="F1076" t="inlineStr">
        <is>
          <t>SCA</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42508-2023</t>
        </is>
      </c>
      <c r="B1077" s="1" t="n">
        <v>45180.95907407408</v>
      </c>
      <c r="C1077" s="1" t="n">
        <v>46035</v>
      </c>
      <c r="D1077" t="inlineStr">
        <is>
          <t>JÄMTLANDS LÄN</t>
        </is>
      </c>
      <c r="E1077" t="inlineStr">
        <is>
          <t>RAGUNDA</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59286-2023</t>
        </is>
      </c>
      <c r="B1078" s="1" t="n">
        <v>45253</v>
      </c>
      <c r="C1078" s="1" t="n">
        <v>46035</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7284-2025</t>
        </is>
      </c>
      <c r="B1079" s="1" t="n">
        <v>45702.63604166666</v>
      </c>
      <c r="C1079" s="1" t="n">
        <v>46035</v>
      </c>
      <c r="D1079" t="inlineStr">
        <is>
          <t>JÄMTLANDS LÄN</t>
        </is>
      </c>
      <c r="E1079" t="inlineStr">
        <is>
          <t>RAGUNDA</t>
        </is>
      </c>
      <c r="F1079" t="inlineStr">
        <is>
          <t>SCA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60012-2023</t>
        </is>
      </c>
      <c r="B1080" s="1" t="n">
        <v>45257</v>
      </c>
      <c r="C1080" s="1" t="n">
        <v>46035</v>
      </c>
      <c r="D1080" t="inlineStr">
        <is>
          <t>JÄMTLANDS LÄN</t>
        </is>
      </c>
      <c r="E1080" t="inlineStr">
        <is>
          <t>RAGUNDA</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20221-2025</t>
        </is>
      </c>
      <c r="B1081" s="1" t="n">
        <v>45772.6565625</v>
      </c>
      <c r="C1081" s="1" t="n">
        <v>46035</v>
      </c>
      <c r="D1081" t="inlineStr">
        <is>
          <t>JÄMTLANDS LÄN</t>
        </is>
      </c>
      <c r="E1081" t="inlineStr">
        <is>
          <t>RAGUNDA</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35265-2023</t>
        </is>
      </c>
      <c r="B1082" s="1" t="n">
        <v>45145.95326388889</v>
      </c>
      <c r="C1082" s="1" t="n">
        <v>46035</v>
      </c>
      <c r="D1082" t="inlineStr">
        <is>
          <t>JÄMTLANDS LÄN</t>
        </is>
      </c>
      <c r="E1082" t="inlineStr">
        <is>
          <t>RAGUNDA</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31435-2022</t>
        </is>
      </c>
      <c r="B1083" s="1" t="n">
        <v>44774</v>
      </c>
      <c r="C1083" s="1" t="n">
        <v>46035</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50211-2023</t>
        </is>
      </c>
      <c r="B1084" s="1" t="n">
        <v>45215.94657407407</v>
      </c>
      <c r="C1084" s="1" t="n">
        <v>46035</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16529-2022</t>
        </is>
      </c>
      <c r="B1085" s="1" t="n">
        <v>44671</v>
      </c>
      <c r="C1085" s="1" t="n">
        <v>46035</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40269-2022</t>
        </is>
      </c>
      <c r="B1086" s="1" t="n">
        <v>44820</v>
      </c>
      <c r="C1086" s="1" t="n">
        <v>46035</v>
      </c>
      <c r="D1086" t="inlineStr">
        <is>
          <t>JÄMTLANDS LÄN</t>
        </is>
      </c>
      <c r="E1086" t="inlineStr">
        <is>
          <t>RAGUNDA</t>
        </is>
      </c>
      <c r="F1086" t="inlineStr">
        <is>
          <t>SCA</t>
        </is>
      </c>
      <c r="G1086" t="n">
        <v>77.8</v>
      </c>
      <c r="H1086" t="n">
        <v>0</v>
      </c>
      <c r="I1086" t="n">
        <v>0</v>
      </c>
      <c r="J1086" t="n">
        <v>0</v>
      </c>
      <c r="K1086" t="n">
        <v>0</v>
      </c>
      <c r="L1086" t="n">
        <v>0</v>
      </c>
      <c r="M1086" t="n">
        <v>0</v>
      </c>
      <c r="N1086" t="n">
        <v>0</v>
      </c>
      <c r="O1086" t="n">
        <v>0</v>
      </c>
      <c r="P1086" t="n">
        <v>0</v>
      </c>
      <c r="Q1086" t="n">
        <v>0</v>
      </c>
      <c r="R1086" s="2" t="inlineStr"/>
    </row>
    <row r="1087" ht="15" customHeight="1">
      <c r="A1087" t="inlineStr">
        <is>
          <t>A 44536-2022</t>
        </is>
      </c>
      <c r="B1087" s="1" t="n">
        <v>44839</v>
      </c>
      <c r="C1087" s="1" t="n">
        <v>46035</v>
      </c>
      <c r="D1087" t="inlineStr">
        <is>
          <t>JÄMTLANDS LÄN</t>
        </is>
      </c>
      <c r="E1087" t="inlineStr">
        <is>
          <t>RAGUNDA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36212-2023</t>
        </is>
      </c>
      <c r="B1088" s="1" t="n">
        <v>45149.95241898148</v>
      </c>
      <c r="C1088" s="1" t="n">
        <v>46035</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53860-2023</t>
        </is>
      </c>
      <c r="B1089" s="1" t="n">
        <v>45224</v>
      </c>
      <c r="C1089" s="1" t="n">
        <v>46035</v>
      </c>
      <c r="D1089" t="inlineStr">
        <is>
          <t>JÄMTLANDS LÄN</t>
        </is>
      </c>
      <c r="E1089" t="inlineStr">
        <is>
          <t>RAGUNDA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54599-2023</t>
        </is>
      </c>
      <c r="B1090" s="1" t="n">
        <v>45233.92591435185</v>
      </c>
      <c r="C1090" s="1" t="n">
        <v>46035</v>
      </c>
      <c r="D1090" t="inlineStr">
        <is>
          <t>JÄMTLANDS LÄN</t>
        </is>
      </c>
      <c r="E1090" t="inlineStr">
        <is>
          <t>RAGUNDA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10610-2024</t>
        </is>
      </c>
      <c r="B1091" s="1" t="n">
        <v>45367.04693287037</v>
      </c>
      <c r="C1091" s="1" t="n">
        <v>46035</v>
      </c>
      <c r="D1091" t="inlineStr">
        <is>
          <t>JÄMTLANDS LÄN</t>
        </is>
      </c>
      <c r="E1091" t="inlineStr">
        <is>
          <t>RAGUNDA</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8779-2025</t>
        </is>
      </c>
      <c r="B1092" s="1" t="n">
        <v>45712.61552083334</v>
      </c>
      <c r="C1092" s="1" t="n">
        <v>46035</v>
      </c>
      <c r="D1092" t="inlineStr">
        <is>
          <t>JÄMTLANDS LÄN</t>
        </is>
      </c>
      <c r="E1092" t="inlineStr">
        <is>
          <t>RAGUNDA</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20574-2025</t>
        </is>
      </c>
      <c r="B1093" s="1" t="n">
        <v>45775.67747685185</v>
      </c>
      <c r="C1093" s="1" t="n">
        <v>46035</v>
      </c>
      <c r="D1093" t="inlineStr">
        <is>
          <t>JÄMTLANDS LÄN</t>
        </is>
      </c>
      <c r="E1093" t="inlineStr">
        <is>
          <t>RAGUNDA</t>
        </is>
      </c>
      <c r="F1093" t="inlineStr">
        <is>
          <t>SCA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16676-2022</t>
        </is>
      </c>
      <c r="B1094" s="1" t="n">
        <v>44672.94018518519</v>
      </c>
      <c r="C1094" s="1" t="n">
        <v>46035</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57078-2023</t>
        </is>
      </c>
      <c r="B1095" s="1" t="n">
        <v>45244.96774305555</v>
      </c>
      <c r="C1095" s="1" t="n">
        <v>46035</v>
      </c>
      <c r="D1095" t="inlineStr">
        <is>
          <t>JÄMTLANDS LÄN</t>
        </is>
      </c>
      <c r="E1095" t="inlineStr">
        <is>
          <t>RAGUNDA</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12976-2025</t>
        </is>
      </c>
      <c r="B1096" s="1" t="n">
        <v>45734.45268518518</v>
      </c>
      <c r="C1096" s="1" t="n">
        <v>46035</v>
      </c>
      <c r="D1096" t="inlineStr">
        <is>
          <t>JÄMTLANDS LÄN</t>
        </is>
      </c>
      <c r="E1096" t="inlineStr">
        <is>
          <t>RAGUNDA</t>
        </is>
      </c>
      <c r="G1096" t="n">
        <v>24.2</v>
      </c>
      <c r="H1096" t="n">
        <v>0</v>
      </c>
      <c r="I1096" t="n">
        <v>0</v>
      </c>
      <c r="J1096" t="n">
        <v>0</v>
      </c>
      <c r="K1096" t="n">
        <v>0</v>
      </c>
      <c r="L1096" t="n">
        <v>0</v>
      </c>
      <c r="M1096" t="n">
        <v>0</v>
      </c>
      <c r="N1096" t="n">
        <v>0</v>
      </c>
      <c r="O1096" t="n">
        <v>0</v>
      </c>
      <c r="P1096" t="n">
        <v>0</v>
      </c>
      <c r="Q1096" t="n">
        <v>0</v>
      </c>
      <c r="R1096" s="2" t="inlineStr"/>
    </row>
    <row r="1097" ht="15" customHeight="1">
      <c r="A1097" t="inlineStr">
        <is>
          <t>A 56286-2023</t>
        </is>
      </c>
      <c r="B1097" s="1" t="n">
        <v>45241.95741898148</v>
      </c>
      <c r="C1097" s="1" t="n">
        <v>46035</v>
      </c>
      <c r="D1097" t="inlineStr">
        <is>
          <t>JÄMTLANDS LÄN</t>
        </is>
      </c>
      <c r="E1097" t="inlineStr">
        <is>
          <t>RAGUNDA</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56287-2023</t>
        </is>
      </c>
      <c r="B1098" s="1" t="n">
        <v>45241</v>
      </c>
      <c r="C1098" s="1" t="n">
        <v>46035</v>
      </c>
      <c r="D1098" t="inlineStr">
        <is>
          <t>JÄMTLANDS LÄN</t>
        </is>
      </c>
      <c r="E1098" t="inlineStr">
        <is>
          <t>RAGUNDA</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59658-2023</t>
        </is>
      </c>
      <c r="B1099" s="1" t="n">
        <v>45254.96402777778</v>
      </c>
      <c r="C1099" s="1" t="n">
        <v>46035</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28081-2022</t>
        </is>
      </c>
      <c r="B1100" s="1" t="n">
        <v>44746</v>
      </c>
      <c r="C1100" s="1" t="n">
        <v>46035</v>
      </c>
      <c r="D1100" t="inlineStr">
        <is>
          <t>JÄMTLANDS LÄN</t>
        </is>
      </c>
      <c r="E1100" t="inlineStr">
        <is>
          <t>RAGUNDA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37324-2022</t>
        </is>
      </c>
      <c r="B1101" s="1" t="n">
        <v>44806</v>
      </c>
      <c r="C1101" s="1" t="n">
        <v>46035</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62106-2023</t>
        </is>
      </c>
      <c r="B1102" s="1" t="n">
        <v>45266.95082175926</v>
      </c>
      <c r="C1102" s="1" t="n">
        <v>46035</v>
      </c>
      <c r="D1102" t="inlineStr">
        <is>
          <t>JÄMTLANDS LÄN</t>
        </is>
      </c>
      <c r="E1102" t="inlineStr">
        <is>
          <t>RAGUNDA</t>
        </is>
      </c>
      <c r="F1102" t="inlineStr">
        <is>
          <t>SCA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4592-2024</t>
        </is>
      </c>
      <c r="B1103" s="1" t="n">
        <v>45327.94443287037</v>
      </c>
      <c r="C1103" s="1" t="n">
        <v>46035</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18984-2023</t>
        </is>
      </c>
      <c r="B1104" s="1" t="n">
        <v>45044</v>
      </c>
      <c r="C1104" s="1" t="n">
        <v>46035</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8241-2024</t>
        </is>
      </c>
      <c r="B1105" s="1" t="n">
        <v>45351.98496527778</v>
      </c>
      <c r="C1105" s="1" t="n">
        <v>46035</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14512-2025</t>
        </is>
      </c>
      <c r="B1106" s="1" t="n">
        <v>45741.63659722222</v>
      </c>
      <c r="C1106" s="1" t="n">
        <v>46035</v>
      </c>
      <c r="D1106" t="inlineStr">
        <is>
          <t>JÄMTLANDS LÄN</t>
        </is>
      </c>
      <c r="E1106" t="inlineStr">
        <is>
          <t>RAGUNDA</t>
        </is>
      </c>
      <c r="F1106" t="inlineStr">
        <is>
          <t>SCA</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53019-2023</t>
        </is>
      </c>
      <c r="B1107" s="1" t="n">
        <v>45222</v>
      </c>
      <c r="C1107" s="1" t="n">
        <v>46035</v>
      </c>
      <c r="D1107" t="inlineStr">
        <is>
          <t>JÄMTLANDS LÄN</t>
        </is>
      </c>
      <c r="E1107" t="inlineStr">
        <is>
          <t>RAGUNDA</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59996-2023</t>
        </is>
      </c>
      <c r="B1108" s="1" t="n">
        <v>45257.92826388889</v>
      </c>
      <c r="C1108" s="1" t="n">
        <v>46035</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1537-2024</t>
        </is>
      </c>
      <c r="B1109" s="1" t="n">
        <v>45306</v>
      </c>
      <c r="C1109" s="1" t="n">
        <v>46035</v>
      </c>
      <c r="D1109" t="inlineStr">
        <is>
          <t>JÄMTLANDS LÄN</t>
        </is>
      </c>
      <c r="E1109" t="inlineStr">
        <is>
          <t>RAGUNDA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29257-2024</t>
        </is>
      </c>
      <c r="B1110" s="1" t="n">
        <v>45482.94815972223</v>
      </c>
      <c r="C1110" s="1" t="n">
        <v>46035</v>
      </c>
      <c r="D1110" t="inlineStr">
        <is>
          <t>JÄMTLANDS LÄN</t>
        </is>
      </c>
      <c r="E1110" t="inlineStr">
        <is>
          <t>RAGUNDA</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55487-2023</t>
        </is>
      </c>
      <c r="B1111" s="1" t="n">
        <v>45238</v>
      </c>
      <c r="C1111" s="1" t="n">
        <v>46035</v>
      </c>
      <c r="D1111" t="inlineStr">
        <is>
          <t>JÄMTLANDS LÄN</t>
        </is>
      </c>
      <c r="E1111" t="inlineStr">
        <is>
          <t>RAGUNDA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20770-2024</t>
        </is>
      </c>
      <c r="B1112" s="1" t="n">
        <v>45436.94613425926</v>
      </c>
      <c r="C1112" s="1" t="n">
        <v>46035</v>
      </c>
      <c r="D1112" t="inlineStr">
        <is>
          <t>JÄMTLANDS LÄN</t>
        </is>
      </c>
      <c r="E1112" t="inlineStr">
        <is>
          <t>RAGUNDA</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19383-2025</t>
        </is>
      </c>
      <c r="B1113" s="1" t="n">
        <v>45769.65688657408</v>
      </c>
      <c r="C1113" s="1" t="n">
        <v>46035</v>
      </c>
      <c r="D1113" t="inlineStr">
        <is>
          <t>JÄMTLANDS LÄN</t>
        </is>
      </c>
      <c r="E1113" t="inlineStr">
        <is>
          <t>RAGUNDA</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12783-2023</t>
        </is>
      </c>
      <c r="B1114" s="1" t="n">
        <v>45000</v>
      </c>
      <c r="C1114" s="1" t="n">
        <v>46035</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35153-2024</t>
        </is>
      </c>
      <c r="B1115" s="1" t="n">
        <v>45530</v>
      </c>
      <c r="C1115" s="1" t="n">
        <v>46035</v>
      </c>
      <c r="D1115" t="inlineStr">
        <is>
          <t>JÄMTLANDS LÄN</t>
        </is>
      </c>
      <c r="E1115" t="inlineStr">
        <is>
          <t>RAGUNDA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61197-2023</t>
        </is>
      </c>
      <c r="B1116" s="1" t="n">
        <v>45260</v>
      </c>
      <c r="C1116" s="1" t="n">
        <v>46035</v>
      </c>
      <c r="D1116" t="inlineStr">
        <is>
          <t>JÄMTLANDS LÄN</t>
        </is>
      </c>
      <c r="E1116" t="inlineStr">
        <is>
          <t>RAGUNDA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46035</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13767-2022</t>
        </is>
      </c>
      <c r="B1118" s="1" t="n">
        <v>44649.47048611111</v>
      </c>
      <c r="C1118" s="1" t="n">
        <v>46035</v>
      </c>
      <c r="D1118" t="inlineStr">
        <is>
          <t>JÄMTLANDS LÄN</t>
        </is>
      </c>
      <c r="E1118" t="inlineStr">
        <is>
          <t>RAGUNDA</t>
        </is>
      </c>
      <c r="F1118" t="inlineStr">
        <is>
          <t>Kommuner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22569-2023</t>
        </is>
      </c>
      <c r="B1119" s="1" t="n">
        <v>45069</v>
      </c>
      <c r="C1119" s="1" t="n">
        <v>46035</v>
      </c>
      <c r="D1119" t="inlineStr">
        <is>
          <t>JÄMTLANDS LÄN</t>
        </is>
      </c>
      <c r="E1119" t="inlineStr">
        <is>
          <t>RAGUNDA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4212-2024</t>
        </is>
      </c>
      <c r="B1120" s="1" t="n">
        <v>45324</v>
      </c>
      <c r="C1120" s="1" t="n">
        <v>46035</v>
      </c>
      <c r="D1120" t="inlineStr">
        <is>
          <t>JÄMTLANDS LÄN</t>
        </is>
      </c>
      <c r="E1120" t="inlineStr">
        <is>
          <t>RAGUNDA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43405-2023</t>
        </is>
      </c>
      <c r="B1121" s="1" t="n">
        <v>45183.95563657407</v>
      </c>
      <c r="C1121" s="1" t="n">
        <v>46035</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56984-2022</t>
        </is>
      </c>
      <c r="B1122" s="1" t="n">
        <v>44894.79018518519</v>
      </c>
      <c r="C1122" s="1" t="n">
        <v>46035</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5958-2023</t>
        </is>
      </c>
      <c r="B1123" s="1" t="n">
        <v>44963</v>
      </c>
      <c r="C1123" s="1" t="n">
        <v>46035</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50521-2024</t>
        </is>
      </c>
      <c r="B1124" s="1" t="n">
        <v>45601.55331018518</v>
      </c>
      <c r="C1124" s="1" t="n">
        <v>46035</v>
      </c>
      <c r="D1124" t="inlineStr">
        <is>
          <t>JÄMTLANDS LÄN</t>
        </is>
      </c>
      <c r="E1124" t="inlineStr">
        <is>
          <t>RAGUNDA</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29920-2024</t>
        </is>
      </c>
      <c r="B1125" s="1" t="n">
        <v>45487.92856481481</v>
      </c>
      <c r="C1125" s="1" t="n">
        <v>46035</v>
      </c>
      <c r="D1125" t="inlineStr">
        <is>
          <t>JÄMTLANDS LÄN</t>
        </is>
      </c>
      <c r="E1125" t="inlineStr">
        <is>
          <t>RAGUNDA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62011-2022</t>
        </is>
      </c>
      <c r="B1126" s="1" t="n">
        <v>44914</v>
      </c>
      <c r="C1126" s="1" t="n">
        <v>46035</v>
      </c>
      <c r="D1126" t="inlineStr">
        <is>
          <t>JÄMTLANDS LÄN</t>
        </is>
      </c>
      <c r="E1126" t="inlineStr">
        <is>
          <t>RAGUNDA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22311-2024</t>
        </is>
      </c>
      <c r="B1127" s="1" t="n">
        <v>45446.57052083333</v>
      </c>
      <c r="C1127" s="1" t="n">
        <v>46035</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19866-2023</t>
        </is>
      </c>
      <c r="B1128" s="1" t="n">
        <v>45053.94313657407</v>
      </c>
      <c r="C1128" s="1" t="n">
        <v>46035</v>
      </c>
      <c r="D1128" t="inlineStr">
        <is>
          <t>JÄMTLANDS LÄN</t>
        </is>
      </c>
      <c r="E1128" t="inlineStr">
        <is>
          <t>RAGUNDA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53935-2022</t>
        </is>
      </c>
      <c r="B1129" s="1" t="n">
        <v>44880</v>
      </c>
      <c r="C1129" s="1" t="n">
        <v>46035</v>
      </c>
      <c r="D1129" t="inlineStr">
        <is>
          <t>JÄMTLANDS LÄN</t>
        </is>
      </c>
      <c r="E1129" t="inlineStr">
        <is>
          <t>RAGUNDA</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18631-2024</t>
        </is>
      </c>
      <c r="B1130" s="1" t="n">
        <v>45425.96494212963</v>
      </c>
      <c r="C1130" s="1" t="n">
        <v>46035</v>
      </c>
      <c r="D1130" t="inlineStr">
        <is>
          <t>JÄMTLANDS LÄN</t>
        </is>
      </c>
      <c r="E1130" t="inlineStr">
        <is>
          <t>RAGUNDA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12805-2025</t>
        </is>
      </c>
      <c r="B1131" s="1" t="n">
        <v>45733.61497685185</v>
      </c>
      <c r="C1131" s="1" t="n">
        <v>46035</v>
      </c>
      <c r="D1131" t="inlineStr">
        <is>
          <t>JÄMTLANDS LÄN</t>
        </is>
      </c>
      <c r="E1131" t="inlineStr">
        <is>
          <t>RAGUNDA</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11062-2023</t>
        </is>
      </c>
      <c r="B1132" s="1" t="n">
        <v>44991</v>
      </c>
      <c r="C1132" s="1" t="n">
        <v>46035</v>
      </c>
      <c r="D1132" t="inlineStr">
        <is>
          <t>JÄMTLANDS LÄN</t>
        </is>
      </c>
      <c r="E1132" t="inlineStr">
        <is>
          <t>RAGUNDA</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69153-2021</t>
        </is>
      </c>
      <c r="B1133" s="1" t="n">
        <v>44530.94694444445</v>
      </c>
      <c r="C1133" s="1" t="n">
        <v>46035</v>
      </c>
      <c r="D1133" t="inlineStr">
        <is>
          <t>JÄMTLANDS LÄN</t>
        </is>
      </c>
      <c r="E1133" t="inlineStr">
        <is>
          <t>RAGUNDA</t>
        </is>
      </c>
      <c r="F1133" t="inlineStr">
        <is>
          <t>SCA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4882-2023</t>
        </is>
      </c>
      <c r="B1134" s="1" t="n">
        <v>44957.94075231482</v>
      </c>
      <c r="C1134" s="1" t="n">
        <v>46035</v>
      </c>
      <c r="D1134" t="inlineStr">
        <is>
          <t>JÄMTLANDS LÄN</t>
        </is>
      </c>
      <c r="E1134" t="inlineStr">
        <is>
          <t>RAGUNDA</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39608-2024</t>
        </is>
      </c>
      <c r="B1135" s="1" t="n">
        <v>45552.39113425926</v>
      </c>
      <c r="C1135" s="1" t="n">
        <v>46035</v>
      </c>
      <c r="D1135" t="inlineStr">
        <is>
          <t>JÄMTLANDS LÄN</t>
        </is>
      </c>
      <c r="E1135" t="inlineStr">
        <is>
          <t>RAGUNDA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18454-2021</t>
        </is>
      </c>
      <c r="B1136" s="1" t="n">
        <v>44305.92047453704</v>
      </c>
      <c r="C1136" s="1" t="n">
        <v>46035</v>
      </c>
      <c r="D1136" t="inlineStr">
        <is>
          <t>JÄMTLANDS LÄN</t>
        </is>
      </c>
      <c r="E1136" t="inlineStr">
        <is>
          <t>RAGUNDA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26455-2023</t>
        </is>
      </c>
      <c r="B1137" s="1" t="n">
        <v>45092</v>
      </c>
      <c r="C1137" s="1" t="n">
        <v>46035</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6801-2023</t>
        </is>
      </c>
      <c r="B1138" s="1" t="n">
        <v>44966.95328703704</v>
      </c>
      <c r="C1138" s="1" t="n">
        <v>46035</v>
      </c>
      <c r="D1138" t="inlineStr">
        <is>
          <t>JÄMTLANDS LÄN</t>
        </is>
      </c>
      <c r="E1138" t="inlineStr">
        <is>
          <t>RAGUNDA</t>
        </is>
      </c>
      <c r="F1138" t="inlineStr">
        <is>
          <t>SCA</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5967-2021</t>
        </is>
      </c>
      <c r="B1139" s="1" t="n">
        <v>44231</v>
      </c>
      <c r="C1139" s="1" t="n">
        <v>46035</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10641-2024</t>
        </is>
      </c>
      <c r="B1140" s="1" t="n">
        <v>45367.69850694444</v>
      </c>
      <c r="C1140" s="1" t="n">
        <v>46035</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10644-2024</t>
        </is>
      </c>
      <c r="B1141" s="1" t="n">
        <v>45367.71348379629</v>
      </c>
      <c r="C1141" s="1" t="n">
        <v>46035</v>
      </c>
      <c r="D1141" t="inlineStr">
        <is>
          <t>JÄMTLANDS LÄN</t>
        </is>
      </c>
      <c r="E1141" t="inlineStr">
        <is>
          <t>RAGUNDA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17559-2023</t>
        </is>
      </c>
      <c r="B1142" s="1" t="n">
        <v>45034</v>
      </c>
      <c r="C1142" s="1" t="n">
        <v>46035</v>
      </c>
      <c r="D1142" t="inlineStr">
        <is>
          <t>JÄMTLANDS LÄN</t>
        </is>
      </c>
      <c r="E1142" t="inlineStr">
        <is>
          <t>RAGUNDA</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46035</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56191-2022</t>
        </is>
      </c>
      <c r="B1144" s="1" t="n">
        <v>44889.95015046297</v>
      </c>
      <c r="C1144" s="1" t="n">
        <v>46035</v>
      </c>
      <c r="D1144" t="inlineStr">
        <is>
          <t>JÄMTLANDS LÄN</t>
        </is>
      </c>
      <c r="E1144" t="inlineStr">
        <is>
          <t>RAGUNDA</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33621-2023</t>
        </is>
      </c>
      <c r="B1145" s="1" t="n">
        <v>45119</v>
      </c>
      <c r="C1145" s="1" t="n">
        <v>46035</v>
      </c>
      <c r="D1145" t="inlineStr">
        <is>
          <t>JÄMTLANDS LÄN</t>
        </is>
      </c>
      <c r="E1145" t="inlineStr">
        <is>
          <t>RAGUNDA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65216-2023</t>
        </is>
      </c>
      <c r="B1146" s="1" t="n">
        <v>45289</v>
      </c>
      <c r="C1146" s="1" t="n">
        <v>46035</v>
      </c>
      <c r="D1146" t="inlineStr">
        <is>
          <t>JÄMTLANDS LÄN</t>
        </is>
      </c>
      <c r="E1146" t="inlineStr">
        <is>
          <t>RAGUNDA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60838-2023</t>
        </is>
      </c>
      <c r="B1147" s="1" t="n">
        <v>45260.92561342593</v>
      </c>
      <c r="C1147" s="1" t="n">
        <v>46035</v>
      </c>
      <c r="D1147" t="inlineStr">
        <is>
          <t>JÄMTLANDS LÄN</t>
        </is>
      </c>
      <c r="E1147" t="inlineStr">
        <is>
          <t>RAGUNDA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2133-2023</t>
        </is>
      </c>
      <c r="B1148" s="1" t="n">
        <v>44939</v>
      </c>
      <c r="C1148" s="1" t="n">
        <v>46035</v>
      </c>
      <c r="D1148" t="inlineStr">
        <is>
          <t>JÄMTLANDS LÄN</t>
        </is>
      </c>
      <c r="E1148" t="inlineStr">
        <is>
          <t>RAGUNDA</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49647-2024</t>
        </is>
      </c>
      <c r="B1149" s="1" t="n">
        <v>45596.61533564814</v>
      </c>
      <c r="C1149" s="1" t="n">
        <v>46035</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6802-2021</t>
        </is>
      </c>
      <c r="B1150" s="1" t="n">
        <v>44236</v>
      </c>
      <c r="C1150" s="1" t="n">
        <v>46035</v>
      </c>
      <c r="D1150" t="inlineStr">
        <is>
          <t>JÄMTLANDS LÄN</t>
        </is>
      </c>
      <c r="E1150" t="inlineStr">
        <is>
          <t>RAGUNDA</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64415-2023</t>
        </is>
      </c>
      <c r="B1151" s="1" t="n">
        <v>45280</v>
      </c>
      <c r="C1151" s="1" t="n">
        <v>46035</v>
      </c>
      <c r="D1151" t="inlineStr">
        <is>
          <t>JÄMTLANDS LÄN</t>
        </is>
      </c>
      <c r="E1151" t="inlineStr">
        <is>
          <t>RAGUNDA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38782-2021</t>
        </is>
      </c>
      <c r="B1152" s="1" t="n">
        <v>44410</v>
      </c>
      <c r="C1152" s="1" t="n">
        <v>46035</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16250-2022</t>
        </is>
      </c>
      <c r="B1153" s="1" t="n">
        <v>44670</v>
      </c>
      <c r="C1153" s="1" t="n">
        <v>46035</v>
      </c>
      <c r="D1153" t="inlineStr">
        <is>
          <t>JÄMTLANDS LÄN</t>
        </is>
      </c>
      <c r="E1153" t="inlineStr">
        <is>
          <t>RAGUNDA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13334-2024</t>
        </is>
      </c>
      <c r="B1154" s="1" t="n">
        <v>45386</v>
      </c>
      <c r="C1154" s="1" t="n">
        <v>46035</v>
      </c>
      <c r="D1154" t="inlineStr">
        <is>
          <t>JÄMTLANDS LÄN</t>
        </is>
      </c>
      <c r="E1154" t="inlineStr">
        <is>
          <t>RAGUNDA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55669-2023</t>
        </is>
      </c>
      <c r="B1155" s="1" t="n">
        <v>45238.96797453704</v>
      </c>
      <c r="C1155" s="1" t="n">
        <v>46035</v>
      </c>
      <c r="D1155" t="inlineStr">
        <is>
          <t>JÄMTLANDS LÄN</t>
        </is>
      </c>
      <c r="E1155" t="inlineStr">
        <is>
          <t>RAGUNDA</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51389-2024</t>
        </is>
      </c>
      <c r="B1156" s="1" t="n">
        <v>45604.40540509259</v>
      </c>
      <c r="C1156" s="1" t="n">
        <v>46035</v>
      </c>
      <c r="D1156" t="inlineStr">
        <is>
          <t>JÄMTLANDS LÄN</t>
        </is>
      </c>
      <c r="E1156" t="inlineStr">
        <is>
          <t>RAGUNDA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51393-2024</t>
        </is>
      </c>
      <c r="B1157" s="1" t="n">
        <v>45604.41625</v>
      </c>
      <c r="C1157" s="1" t="n">
        <v>46035</v>
      </c>
      <c r="D1157" t="inlineStr">
        <is>
          <t>JÄMTLANDS LÄN</t>
        </is>
      </c>
      <c r="E1157" t="inlineStr">
        <is>
          <t>RAGUNDA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43339-2024</t>
        </is>
      </c>
      <c r="B1158" s="1" t="n">
        <v>45568.51075231482</v>
      </c>
      <c r="C1158" s="1" t="n">
        <v>46035</v>
      </c>
      <c r="D1158" t="inlineStr">
        <is>
          <t>JÄMTLANDS LÄN</t>
        </is>
      </c>
      <c r="E1158" t="inlineStr">
        <is>
          <t>RAGUNDA</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38548-2024</t>
        </is>
      </c>
      <c r="B1159" s="1" t="n">
        <v>45546</v>
      </c>
      <c r="C1159" s="1" t="n">
        <v>46035</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26026-2024</t>
        </is>
      </c>
      <c r="B1160" s="1" t="n">
        <v>45467.96207175926</v>
      </c>
      <c r="C1160" s="1" t="n">
        <v>46035</v>
      </c>
      <c r="D1160" t="inlineStr">
        <is>
          <t>JÄMTLANDS LÄN</t>
        </is>
      </c>
      <c r="E1160" t="inlineStr">
        <is>
          <t>RAGUNDA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5971-2025</t>
        </is>
      </c>
      <c r="B1161" s="1" t="n">
        <v>45695.51070601852</v>
      </c>
      <c r="C1161" s="1" t="n">
        <v>46035</v>
      </c>
      <c r="D1161" t="inlineStr">
        <is>
          <t>JÄMTLANDS LÄN</t>
        </is>
      </c>
      <c r="E1161" t="inlineStr">
        <is>
          <t>RAGUNDA</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51537-2022</t>
        </is>
      </c>
      <c r="B1162" s="1" t="n">
        <v>44869</v>
      </c>
      <c r="C1162" s="1" t="n">
        <v>46035</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12995-2023</t>
        </is>
      </c>
      <c r="B1163" s="1" t="n">
        <v>45002.0328125</v>
      </c>
      <c r="C1163" s="1" t="n">
        <v>46035</v>
      </c>
      <c r="D1163" t="inlineStr">
        <is>
          <t>JÄMTLANDS LÄN</t>
        </is>
      </c>
      <c r="E1163" t="inlineStr">
        <is>
          <t>RAGUNDA</t>
        </is>
      </c>
      <c r="F1163" t="inlineStr">
        <is>
          <t>SCA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8800-2025</t>
        </is>
      </c>
      <c r="B1164" s="1" t="n">
        <v>45712.65671296296</v>
      </c>
      <c r="C1164" s="1" t="n">
        <v>46035</v>
      </c>
      <c r="D1164" t="inlineStr">
        <is>
          <t>JÄMTLANDS LÄN</t>
        </is>
      </c>
      <c r="E1164" t="inlineStr">
        <is>
          <t>RAGUNDA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56284-2023</t>
        </is>
      </c>
      <c r="B1165" s="1" t="n">
        <v>45241.95724537037</v>
      </c>
      <c r="C1165" s="1" t="n">
        <v>46035</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18610-2024</t>
        </is>
      </c>
      <c r="B1166" s="1" t="n">
        <v>45425.96230324074</v>
      </c>
      <c r="C1166" s="1" t="n">
        <v>46035</v>
      </c>
      <c r="D1166" t="inlineStr">
        <is>
          <t>JÄMTLANDS LÄN</t>
        </is>
      </c>
      <c r="E1166" t="inlineStr">
        <is>
          <t>RAGUNDA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45111.92793981481</v>
      </c>
      <c r="C1167" s="1" t="n">
        <v>46035</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8886-2024</t>
        </is>
      </c>
      <c r="B1168" s="1" t="n">
        <v>45357.05300925926</v>
      </c>
      <c r="C1168" s="1" t="n">
        <v>46035</v>
      </c>
      <c r="D1168" t="inlineStr">
        <is>
          <t>JÄMTLANDS LÄN</t>
        </is>
      </c>
      <c r="E1168" t="inlineStr">
        <is>
          <t>RAGUNDA</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18615-2024</t>
        </is>
      </c>
      <c r="B1169" s="1" t="n">
        <v>45425.96275462963</v>
      </c>
      <c r="C1169" s="1" t="n">
        <v>46035</v>
      </c>
      <c r="D1169" t="inlineStr">
        <is>
          <t>JÄMTLANDS LÄN</t>
        </is>
      </c>
      <c r="E1169" t="inlineStr">
        <is>
          <t>RAGUNDA</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23303-2024</t>
        </is>
      </c>
      <c r="B1170" s="1" t="n">
        <v>45453.4444212963</v>
      </c>
      <c r="C1170" s="1" t="n">
        <v>46035</v>
      </c>
      <c r="D1170" t="inlineStr">
        <is>
          <t>JÄMTLANDS LÄN</t>
        </is>
      </c>
      <c r="E1170" t="inlineStr">
        <is>
          <t>RAGUNDA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465-2023</t>
        </is>
      </c>
      <c r="B1171" s="1" t="n">
        <v>44929</v>
      </c>
      <c r="C1171" s="1" t="n">
        <v>46035</v>
      </c>
      <c r="D1171" t="inlineStr">
        <is>
          <t>JÄMTLANDS LÄN</t>
        </is>
      </c>
      <c r="E1171" t="inlineStr">
        <is>
          <t>RAGUNDA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32832-2021</t>
        </is>
      </c>
      <c r="B1172" s="1" t="n">
        <v>44375</v>
      </c>
      <c r="C1172" s="1" t="n">
        <v>46035</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3938-2024</t>
        </is>
      </c>
      <c r="B1173" s="1" t="n">
        <v>45322</v>
      </c>
      <c r="C1173" s="1" t="n">
        <v>46035</v>
      </c>
      <c r="D1173" t="inlineStr">
        <is>
          <t>JÄMTLANDS LÄN</t>
        </is>
      </c>
      <c r="E1173" t="inlineStr">
        <is>
          <t>RAGUNDA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62081-2022</t>
        </is>
      </c>
      <c r="B1174" s="1" t="n">
        <v>44918</v>
      </c>
      <c r="C1174" s="1" t="n">
        <v>46035</v>
      </c>
      <c r="D1174" t="inlineStr">
        <is>
          <t>JÄMTLANDS LÄN</t>
        </is>
      </c>
      <c r="E1174" t="inlineStr">
        <is>
          <t>RAGUNDA</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55508-2024</t>
        </is>
      </c>
      <c r="B1175" s="1" t="n">
        <v>45622.46200231482</v>
      </c>
      <c r="C1175" s="1" t="n">
        <v>46035</v>
      </c>
      <c r="D1175" t="inlineStr">
        <is>
          <t>JÄMTLANDS LÄN</t>
        </is>
      </c>
      <c r="E1175" t="inlineStr">
        <is>
          <t>RAGUNDA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12521-2023</t>
        </is>
      </c>
      <c r="B1176" s="1" t="n">
        <v>45000</v>
      </c>
      <c r="C1176" s="1" t="n">
        <v>46035</v>
      </c>
      <c r="D1176" t="inlineStr">
        <is>
          <t>JÄMTLANDS LÄN</t>
        </is>
      </c>
      <c r="E1176" t="inlineStr">
        <is>
          <t>RAGUNDA</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3720-2025</t>
        </is>
      </c>
      <c r="B1177" s="1" t="n">
        <v>45681.5315625</v>
      </c>
      <c r="C1177" s="1" t="n">
        <v>46035</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2339-2025</t>
        </is>
      </c>
      <c r="B1178" s="1" t="n">
        <v>45673.66358796296</v>
      </c>
      <c r="C1178" s="1" t="n">
        <v>46035</v>
      </c>
      <c r="D1178" t="inlineStr">
        <is>
          <t>JÄMTLANDS LÄN</t>
        </is>
      </c>
      <c r="E1178" t="inlineStr">
        <is>
          <t>RAGUNDA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17742-2022</t>
        </is>
      </c>
      <c r="B1179" s="1" t="n">
        <v>44680.95246527778</v>
      </c>
      <c r="C1179" s="1" t="n">
        <v>46035</v>
      </c>
      <c r="D1179" t="inlineStr">
        <is>
          <t>JÄMTLANDS LÄN</t>
        </is>
      </c>
      <c r="E1179" t="inlineStr">
        <is>
          <t>RAGUNDA</t>
        </is>
      </c>
      <c r="F1179" t="inlineStr">
        <is>
          <t>SCA</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50555-2024</t>
        </is>
      </c>
      <c r="B1180" s="1" t="n">
        <v>45601.59518518519</v>
      </c>
      <c r="C1180" s="1" t="n">
        <v>46035</v>
      </c>
      <c r="D1180" t="inlineStr">
        <is>
          <t>JÄMTLANDS LÄN</t>
        </is>
      </c>
      <c r="E1180" t="inlineStr">
        <is>
          <t>RAGUNDA</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53676-2022</t>
        </is>
      </c>
      <c r="B1181" s="1" t="n">
        <v>44879</v>
      </c>
      <c r="C1181" s="1" t="n">
        <v>46035</v>
      </c>
      <c r="D1181" t="inlineStr">
        <is>
          <t>JÄMTLANDS LÄN</t>
        </is>
      </c>
      <c r="E1181" t="inlineStr">
        <is>
          <t>RAGUNDA</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14212-2023</t>
        </is>
      </c>
      <c r="B1182" s="1" t="n">
        <v>45009</v>
      </c>
      <c r="C1182" s="1" t="n">
        <v>46035</v>
      </c>
      <c r="D1182" t="inlineStr">
        <is>
          <t>JÄMTLANDS LÄN</t>
        </is>
      </c>
      <c r="E1182" t="inlineStr">
        <is>
          <t>RAGUNDA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20772-2024</t>
        </is>
      </c>
      <c r="B1183" s="1" t="n">
        <v>45436.94628472222</v>
      </c>
      <c r="C1183" s="1" t="n">
        <v>46035</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18614-2024</t>
        </is>
      </c>
      <c r="B1184" s="1" t="n">
        <v>45425.96263888889</v>
      </c>
      <c r="C1184" s="1" t="n">
        <v>46035</v>
      </c>
      <c r="D1184" t="inlineStr">
        <is>
          <t>JÄMTLANDS LÄN</t>
        </is>
      </c>
      <c r="E1184" t="inlineStr">
        <is>
          <t>RAGUNDA</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53757-2024</t>
        </is>
      </c>
      <c r="B1185" s="1" t="n">
        <v>45615.50034722222</v>
      </c>
      <c r="C1185" s="1" t="n">
        <v>46035</v>
      </c>
      <c r="D1185" t="inlineStr">
        <is>
          <t>JÄMTLANDS LÄN</t>
        </is>
      </c>
      <c r="E1185" t="inlineStr">
        <is>
          <t>RAGUNDA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19246-2023</t>
        </is>
      </c>
      <c r="B1186" s="1" t="n">
        <v>45048.94340277778</v>
      </c>
      <c r="C1186" s="1" t="n">
        <v>46035</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464-2023</t>
        </is>
      </c>
      <c r="B1187" s="1" t="n">
        <v>44929.92489583333</v>
      </c>
      <c r="C1187" s="1" t="n">
        <v>46035</v>
      </c>
      <c r="D1187" t="inlineStr">
        <is>
          <t>JÄMTLANDS LÄN</t>
        </is>
      </c>
      <c r="E1187" t="inlineStr">
        <is>
          <t>RAGUNDA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49649-2024</t>
        </is>
      </c>
      <c r="B1188" s="1" t="n">
        <v>45596.61553240741</v>
      </c>
      <c r="C1188" s="1" t="n">
        <v>46035</v>
      </c>
      <c r="D1188" t="inlineStr">
        <is>
          <t>JÄMTLANDS LÄN</t>
        </is>
      </c>
      <c r="E1188" t="inlineStr">
        <is>
          <t>RAGUNDA</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20426-2024</t>
        </is>
      </c>
      <c r="B1189" s="1" t="n">
        <v>45435</v>
      </c>
      <c r="C1189" s="1" t="n">
        <v>46035</v>
      </c>
      <c r="D1189" t="inlineStr">
        <is>
          <t>JÄMTLANDS LÄN</t>
        </is>
      </c>
      <c r="E1189" t="inlineStr">
        <is>
          <t>RAGUNDA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41344-2024</t>
        </is>
      </c>
      <c r="B1190" s="1" t="n">
        <v>45559.67759259259</v>
      </c>
      <c r="C1190" s="1" t="n">
        <v>46035</v>
      </c>
      <c r="D1190" t="inlineStr">
        <is>
          <t>JÄMTLANDS LÄN</t>
        </is>
      </c>
      <c r="E1190" t="inlineStr">
        <is>
          <t>RAGUNDA</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58955-2024</t>
        </is>
      </c>
      <c r="B1191" s="1" t="n">
        <v>45636.57329861111</v>
      </c>
      <c r="C1191" s="1" t="n">
        <v>46035</v>
      </c>
      <c r="D1191" t="inlineStr">
        <is>
          <t>JÄMTLANDS LÄN</t>
        </is>
      </c>
      <c r="E1191" t="inlineStr">
        <is>
          <t>RAGUNDA</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4878-2022</t>
        </is>
      </c>
      <c r="B1192" s="1" t="n">
        <v>44593</v>
      </c>
      <c r="C1192" s="1" t="n">
        <v>46035</v>
      </c>
      <c r="D1192" t="inlineStr">
        <is>
          <t>JÄMTLANDS LÄN</t>
        </is>
      </c>
      <c r="E1192" t="inlineStr">
        <is>
          <t>RAGUNDA</t>
        </is>
      </c>
      <c r="G1192" t="n">
        <v>21.7</v>
      </c>
      <c r="H1192" t="n">
        <v>0</v>
      </c>
      <c r="I1192" t="n">
        <v>0</v>
      </c>
      <c r="J1192" t="n">
        <v>0</v>
      </c>
      <c r="K1192" t="n">
        <v>0</v>
      </c>
      <c r="L1192" t="n">
        <v>0</v>
      </c>
      <c r="M1192" t="n">
        <v>0</v>
      </c>
      <c r="N1192" t="n">
        <v>0</v>
      </c>
      <c r="O1192" t="n">
        <v>0</v>
      </c>
      <c r="P1192" t="n">
        <v>0</v>
      </c>
      <c r="Q1192" t="n">
        <v>0</v>
      </c>
      <c r="R1192" s="2" t="inlineStr"/>
    </row>
    <row r="1193" ht="15" customHeight="1">
      <c r="A1193" t="inlineStr">
        <is>
          <t>A 39489-2023</t>
        </is>
      </c>
      <c r="B1193" s="1" t="n">
        <v>45166</v>
      </c>
      <c r="C1193" s="1" t="n">
        <v>46035</v>
      </c>
      <c r="D1193" t="inlineStr">
        <is>
          <t>JÄMTLANDS LÄN</t>
        </is>
      </c>
      <c r="E1193" t="inlineStr">
        <is>
          <t>RAGUNDA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11058-2025</t>
        </is>
      </c>
      <c r="B1194" s="1" t="n">
        <v>45723.51079861111</v>
      </c>
      <c r="C1194" s="1" t="n">
        <v>46035</v>
      </c>
      <c r="D1194" t="inlineStr">
        <is>
          <t>JÄMTLANDS LÄN</t>
        </is>
      </c>
      <c r="E1194" t="inlineStr">
        <is>
          <t>RAGUNDA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15554-2025</t>
        </is>
      </c>
      <c r="B1195" s="1" t="n">
        <v>45747.67739583334</v>
      </c>
      <c r="C1195" s="1" t="n">
        <v>46035</v>
      </c>
      <c r="D1195" t="inlineStr">
        <is>
          <t>JÄMTLANDS LÄN</t>
        </is>
      </c>
      <c r="E1195" t="inlineStr">
        <is>
          <t>RAGUNDA</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57170-2024</t>
        </is>
      </c>
      <c r="B1196" s="1" t="n">
        <v>45629.42759259259</v>
      </c>
      <c r="C1196" s="1" t="n">
        <v>46035</v>
      </c>
      <c r="D1196" t="inlineStr">
        <is>
          <t>JÄMTLANDS LÄN</t>
        </is>
      </c>
      <c r="E1196" t="inlineStr">
        <is>
          <t>RAGUNDA</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29940-2023</t>
        </is>
      </c>
      <c r="B1197" s="1" t="n">
        <v>45107</v>
      </c>
      <c r="C1197" s="1" t="n">
        <v>46035</v>
      </c>
      <c r="D1197" t="inlineStr">
        <is>
          <t>JÄMTLANDS LÄN</t>
        </is>
      </c>
      <c r="E1197" t="inlineStr">
        <is>
          <t>RAGUNDA</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66471-2021</t>
        </is>
      </c>
      <c r="B1198" s="1" t="n">
        <v>44518</v>
      </c>
      <c r="C1198" s="1" t="n">
        <v>46035</v>
      </c>
      <c r="D1198" t="inlineStr">
        <is>
          <t>JÄMTLANDS LÄN</t>
        </is>
      </c>
      <c r="E1198" t="inlineStr">
        <is>
          <t>RAGUNDA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22731-2023</t>
        </is>
      </c>
      <c r="B1199" s="1" t="n">
        <v>45071</v>
      </c>
      <c r="C1199" s="1" t="n">
        <v>46035</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33877-2023</t>
        </is>
      </c>
      <c r="B1200" s="1" t="n">
        <v>45133</v>
      </c>
      <c r="C1200" s="1" t="n">
        <v>46035</v>
      </c>
      <c r="D1200" t="inlineStr">
        <is>
          <t>JÄMTLANDS LÄN</t>
        </is>
      </c>
      <c r="E1200" t="inlineStr">
        <is>
          <t>RAGUNDA</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8775-2025</t>
        </is>
      </c>
      <c r="B1201" s="1" t="n">
        <v>45712.61502314815</v>
      </c>
      <c r="C1201" s="1" t="n">
        <v>46035</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8776-2025</t>
        </is>
      </c>
      <c r="B1202" s="1" t="n">
        <v>45712.61510416667</v>
      </c>
      <c r="C1202" s="1" t="n">
        <v>46035</v>
      </c>
      <c r="D1202" t="inlineStr">
        <is>
          <t>JÄMTLANDS LÄN</t>
        </is>
      </c>
      <c r="E1202" t="inlineStr">
        <is>
          <t>RAGUNDA</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57749-2024</t>
        </is>
      </c>
      <c r="B1203" s="1" t="n">
        <v>45630.7862037037</v>
      </c>
      <c r="C1203" s="1" t="n">
        <v>46035</v>
      </c>
      <c r="D1203" t="inlineStr">
        <is>
          <t>JÄMTLANDS LÄN</t>
        </is>
      </c>
      <c r="E1203" t="inlineStr">
        <is>
          <t>RAGUNDA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5067-2024</t>
        </is>
      </c>
      <c r="B1204" s="1" t="n">
        <v>45329.95806712963</v>
      </c>
      <c r="C1204" s="1" t="n">
        <v>46035</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5429-2024</t>
        </is>
      </c>
      <c r="B1205" s="1" t="n">
        <v>45331.92746527777</v>
      </c>
      <c r="C1205" s="1" t="n">
        <v>46035</v>
      </c>
      <c r="D1205" t="inlineStr">
        <is>
          <t>JÄMTLANDS LÄN</t>
        </is>
      </c>
      <c r="E1205" t="inlineStr">
        <is>
          <t>RAGUNDA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28742-2023</t>
        </is>
      </c>
      <c r="B1206" s="1" t="n">
        <v>45103</v>
      </c>
      <c r="C1206" s="1" t="n">
        <v>46035</v>
      </c>
      <c r="D1206" t="inlineStr">
        <is>
          <t>JÄMTLANDS LÄN</t>
        </is>
      </c>
      <c r="E1206" t="inlineStr">
        <is>
          <t>RAGUNDA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22981-2023</t>
        </is>
      </c>
      <c r="B1207" s="1" t="n">
        <v>45072.92737268518</v>
      </c>
      <c r="C1207" s="1" t="n">
        <v>46035</v>
      </c>
      <c r="D1207" t="inlineStr">
        <is>
          <t>JÄMTLANDS LÄN</t>
        </is>
      </c>
      <c r="E1207" t="inlineStr">
        <is>
          <t>RAGUNDA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21726-2023</t>
        </is>
      </c>
      <c r="B1208" s="1" t="n">
        <v>45065.42894675926</v>
      </c>
      <c r="C1208" s="1" t="n">
        <v>46035</v>
      </c>
      <c r="D1208" t="inlineStr">
        <is>
          <t>JÄMTLANDS LÄN</t>
        </is>
      </c>
      <c r="E1208" t="inlineStr">
        <is>
          <t>RAGUNDA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55514-2024</t>
        </is>
      </c>
      <c r="B1209" s="1" t="n">
        <v>45622.46910879629</v>
      </c>
      <c r="C1209" s="1" t="n">
        <v>46035</v>
      </c>
      <c r="D1209" t="inlineStr">
        <is>
          <t>JÄMTLANDS LÄN</t>
        </is>
      </c>
      <c r="E1209" t="inlineStr">
        <is>
          <t>RAGUNDA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24441-2024</t>
        </is>
      </c>
      <c r="B1210" s="1" t="n">
        <v>45457.96372685185</v>
      </c>
      <c r="C1210" s="1" t="n">
        <v>46035</v>
      </c>
      <c r="D1210" t="inlineStr">
        <is>
          <t>JÄMTLANDS LÄN</t>
        </is>
      </c>
      <c r="E1210" t="inlineStr">
        <is>
          <t>RAGUNDA</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934-2023</t>
        </is>
      </c>
      <c r="B1211" s="1" t="n">
        <v>44932.93927083333</v>
      </c>
      <c r="C1211" s="1" t="n">
        <v>46035</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37242-2024</t>
        </is>
      </c>
      <c r="B1212" s="1" t="n">
        <v>45540.34428240741</v>
      </c>
      <c r="C1212" s="1" t="n">
        <v>46035</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9232-2025</t>
        </is>
      </c>
      <c r="B1213" s="1" t="n">
        <v>45714.55064814815</v>
      </c>
      <c r="C1213" s="1" t="n">
        <v>46035</v>
      </c>
      <c r="D1213" t="inlineStr">
        <is>
          <t>JÄMTLANDS LÄN</t>
        </is>
      </c>
      <c r="E1213" t="inlineStr">
        <is>
          <t>RAGUNDA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41656-2023</t>
        </is>
      </c>
      <c r="B1214" s="1" t="n">
        <v>45175</v>
      </c>
      <c r="C1214" s="1" t="n">
        <v>46035</v>
      </c>
      <c r="D1214" t="inlineStr">
        <is>
          <t>JÄMTLANDS LÄN</t>
        </is>
      </c>
      <c r="E1214" t="inlineStr">
        <is>
          <t>RAGUNDA</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36317-2024</t>
        </is>
      </c>
      <c r="B1215" s="1" t="n">
        <v>45534.63537037037</v>
      </c>
      <c r="C1215" s="1" t="n">
        <v>46035</v>
      </c>
      <c r="D1215" t="inlineStr">
        <is>
          <t>JÄMTLANDS LÄN</t>
        </is>
      </c>
      <c r="E1215" t="inlineStr">
        <is>
          <t>RAGUNDA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36226-2023</t>
        </is>
      </c>
      <c r="B1216" s="1" t="n">
        <v>45149.95372685185</v>
      </c>
      <c r="C1216" s="1" t="n">
        <v>46035</v>
      </c>
      <c r="D1216" t="inlineStr">
        <is>
          <t>JÄMTLANDS LÄN</t>
        </is>
      </c>
      <c r="E1216" t="inlineStr">
        <is>
          <t>RAGUNDA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59368-2022</t>
        </is>
      </c>
      <c r="B1217" s="1" t="n">
        <v>44904.94824074074</v>
      </c>
      <c r="C1217" s="1" t="n">
        <v>46035</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893-2025</t>
        </is>
      </c>
      <c r="B1218" s="1" t="n">
        <v>45665.65684027778</v>
      </c>
      <c r="C1218" s="1" t="n">
        <v>46035</v>
      </c>
      <c r="D1218" t="inlineStr">
        <is>
          <t>JÄMTLANDS LÄN</t>
        </is>
      </c>
      <c r="E1218" t="inlineStr">
        <is>
          <t>RAGUNDA</t>
        </is>
      </c>
      <c r="F1218" t="inlineStr">
        <is>
          <t>SCA</t>
        </is>
      </c>
      <c r="G1218" t="n">
        <v>45.1</v>
      </c>
      <c r="H1218" t="n">
        <v>0</v>
      </c>
      <c r="I1218" t="n">
        <v>0</v>
      </c>
      <c r="J1218" t="n">
        <v>0</v>
      </c>
      <c r="K1218" t="n">
        <v>0</v>
      </c>
      <c r="L1218" t="n">
        <v>0</v>
      </c>
      <c r="M1218" t="n">
        <v>0</v>
      </c>
      <c r="N1218" t="n">
        <v>0</v>
      </c>
      <c r="O1218" t="n">
        <v>0</v>
      </c>
      <c r="P1218" t="n">
        <v>0</v>
      </c>
      <c r="Q1218" t="n">
        <v>0</v>
      </c>
      <c r="R1218" s="2" t="inlineStr"/>
    </row>
    <row r="1219" ht="15" customHeight="1">
      <c r="A1219" t="inlineStr">
        <is>
          <t>A 7520-2023</t>
        </is>
      </c>
      <c r="B1219" s="1" t="n">
        <v>44971</v>
      </c>
      <c r="C1219" s="1" t="n">
        <v>46035</v>
      </c>
      <c r="D1219" t="inlineStr">
        <is>
          <t>JÄMTLANDS LÄN</t>
        </is>
      </c>
      <c r="E1219" t="inlineStr">
        <is>
          <t>RAGUNDA</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53549-2024</t>
        </is>
      </c>
      <c r="B1220" s="1" t="n">
        <v>45614.63869212963</v>
      </c>
      <c r="C1220" s="1" t="n">
        <v>46035</v>
      </c>
      <c r="D1220" t="inlineStr">
        <is>
          <t>JÄMTLANDS LÄN</t>
        </is>
      </c>
      <c r="E1220" t="inlineStr">
        <is>
          <t>RAGUNDA</t>
        </is>
      </c>
      <c r="F1220" t="inlineStr">
        <is>
          <t>Kyrkan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53955-2022</t>
        </is>
      </c>
      <c r="B1221" s="1" t="n">
        <v>44880.95741898148</v>
      </c>
      <c r="C1221" s="1" t="n">
        <v>46035</v>
      </c>
      <c r="D1221" t="inlineStr">
        <is>
          <t>JÄMTLANDS LÄN</t>
        </is>
      </c>
      <c r="E1221" t="inlineStr">
        <is>
          <t>RAGUNDA</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9567-2025</t>
        </is>
      </c>
      <c r="B1222" s="1" t="n">
        <v>45715.61523148148</v>
      </c>
      <c r="C1222" s="1" t="n">
        <v>46035</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53287-2022</t>
        </is>
      </c>
      <c r="B1223" s="1" t="n">
        <v>44876</v>
      </c>
      <c r="C1223" s="1" t="n">
        <v>46035</v>
      </c>
      <c r="D1223" t="inlineStr">
        <is>
          <t>JÄMTLANDS LÄN</t>
        </is>
      </c>
      <c r="E1223" t="inlineStr">
        <is>
          <t>RAGUNDA</t>
        </is>
      </c>
      <c r="F1223" t="inlineStr">
        <is>
          <t>SCA</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51646-2023</t>
        </is>
      </c>
      <c r="B1224" s="1" t="n">
        <v>45215</v>
      </c>
      <c r="C1224" s="1" t="n">
        <v>46035</v>
      </c>
      <c r="D1224" t="inlineStr">
        <is>
          <t>JÄMTLANDS LÄN</t>
        </is>
      </c>
      <c r="E1224" t="inlineStr">
        <is>
          <t>RAGUNDA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29319-2023</t>
        </is>
      </c>
      <c r="B1225" s="1" t="n">
        <v>45105</v>
      </c>
      <c r="C1225" s="1" t="n">
        <v>46035</v>
      </c>
      <c r="D1225" t="inlineStr">
        <is>
          <t>JÄMTLANDS LÄN</t>
        </is>
      </c>
      <c r="E1225" t="inlineStr">
        <is>
          <t>RAGUNDA</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17323-2025</t>
        </is>
      </c>
      <c r="B1226" s="1" t="n">
        <v>45756.63601851852</v>
      </c>
      <c r="C1226" s="1" t="n">
        <v>46035</v>
      </c>
      <c r="D1226" t="inlineStr">
        <is>
          <t>JÄMTLANDS LÄN</t>
        </is>
      </c>
      <c r="E1226" t="inlineStr">
        <is>
          <t>RAGUNDA</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19486-2024</t>
        </is>
      </c>
      <c r="B1227" s="1" t="n">
        <v>45429</v>
      </c>
      <c r="C1227" s="1" t="n">
        <v>46035</v>
      </c>
      <c r="D1227" t="inlineStr">
        <is>
          <t>JÄMTLANDS LÄN</t>
        </is>
      </c>
      <c r="E1227" t="inlineStr">
        <is>
          <t>RAGUNDA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13941-2025</t>
        </is>
      </c>
      <c r="B1228" s="1" t="n">
        <v>45737.69822916666</v>
      </c>
      <c r="C1228" s="1" t="n">
        <v>46035</v>
      </c>
      <c r="D1228" t="inlineStr">
        <is>
          <t>JÄMTLANDS LÄN</t>
        </is>
      </c>
      <c r="E1228" t="inlineStr">
        <is>
          <t>RAGUNDA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26646-2023</t>
        </is>
      </c>
      <c r="B1229" s="1" t="n">
        <v>45092</v>
      </c>
      <c r="C1229" s="1" t="n">
        <v>46035</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27291-2022</t>
        </is>
      </c>
      <c r="B1230" s="1" t="n">
        <v>44741.94070601852</v>
      </c>
      <c r="C1230" s="1" t="n">
        <v>46035</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49650-2024</t>
        </is>
      </c>
      <c r="B1231" s="1" t="n">
        <v>45596.61569444444</v>
      </c>
      <c r="C1231" s="1" t="n">
        <v>46035</v>
      </c>
      <c r="D1231" t="inlineStr">
        <is>
          <t>JÄMTLANDS LÄN</t>
        </is>
      </c>
      <c r="E1231" t="inlineStr">
        <is>
          <t>RAGUNDA</t>
        </is>
      </c>
      <c r="F1231" t="inlineStr">
        <is>
          <t>Naturvårdsverket</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49651-2024</t>
        </is>
      </c>
      <c r="B1232" s="1" t="n">
        <v>45596.61582175926</v>
      </c>
      <c r="C1232" s="1" t="n">
        <v>46035</v>
      </c>
      <c r="D1232" t="inlineStr">
        <is>
          <t>JÄMTLANDS LÄN</t>
        </is>
      </c>
      <c r="E1232" t="inlineStr">
        <is>
          <t>RAGUNDA</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6477-2024</t>
        </is>
      </c>
      <c r="B1233" s="1" t="n">
        <v>45338.95405092592</v>
      </c>
      <c r="C1233" s="1" t="n">
        <v>46035</v>
      </c>
      <c r="D1233" t="inlineStr">
        <is>
          <t>JÄMTLANDS LÄN</t>
        </is>
      </c>
      <c r="E1233" t="inlineStr">
        <is>
          <t>RAGUNDA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60443-2023</t>
        </is>
      </c>
      <c r="B1234" s="1" t="n">
        <v>45258</v>
      </c>
      <c r="C1234" s="1" t="n">
        <v>46035</v>
      </c>
      <c r="D1234" t="inlineStr">
        <is>
          <t>JÄMTLANDS LÄN</t>
        </is>
      </c>
      <c r="E1234" t="inlineStr">
        <is>
          <t>RAGUNDA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44759-2024</t>
        </is>
      </c>
      <c r="B1235" s="1" t="n">
        <v>45574.61634259259</v>
      </c>
      <c r="C1235" s="1" t="n">
        <v>46035</v>
      </c>
      <c r="D1235" t="inlineStr">
        <is>
          <t>JÄMTLANDS LÄN</t>
        </is>
      </c>
      <c r="E1235" t="inlineStr">
        <is>
          <t>RAGUNDA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993-2025</t>
        </is>
      </c>
      <c r="B1236" s="1" t="n">
        <v>45666.44943287037</v>
      </c>
      <c r="C1236" s="1" t="n">
        <v>46035</v>
      </c>
      <c r="D1236" t="inlineStr">
        <is>
          <t>JÄMTLANDS LÄN</t>
        </is>
      </c>
      <c r="E1236" t="inlineStr">
        <is>
          <t>RAGUNDA</t>
        </is>
      </c>
      <c r="G1236" t="n">
        <v>11.3</v>
      </c>
      <c r="H1236" t="n">
        <v>0</v>
      </c>
      <c r="I1236" t="n">
        <v>0</v>
      </c>
      <c r="J1236" t="n">
        <v>0</v>
      </c>
      <c r="K1236" t="n">
        <v>0</v>
      </c>
      <c r="L1236" t="n">
        <v>0</v>
      </c>
      <c r="M1236" t="n">
        <v>0</v>
      </c>
      <c r="N1236" t="n">
        <v>0</v>
      </c>
      <c r="O1236" t="n">
        <v>0</v>
      </c>
      <c r="P1236" t="n">
        <v>0</v>
      </c>
      <c r="Q1236" t="n">
        <v>0</v>
      </c>
      <c r="R1236" s="2" t="inlineStr"/>
    </row>
    <row r="1237">
      <c r="A1237" t="inlineStr">
        <is>
          <t>A 57064-2024</t>
        </is>
      </c>
      <c r="B1237" s="1" t="n">
        <v>45629.35326388889</v>
      </c>
      <c r="C1237" s="1" t="n">
        <v>46035</v>
      </c>
      <c r="D1237" t="inlineStr">
        <is>
          <t>JÄMTLANDS LÄN</t>
        </is>
      </c>
      <c r="E1237" t="inlineStr">
        <is>
          <t>RAGUNDA</t>
        </is>
      </c>
      <c r="F1237" t="inlineStr">
        <is>
          <t>Naturvårdsverket</t>
        </is>
      </c>
      <c r="G1237" t="n">
        <v>0.5</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2026-01-13T10:49:12Z</dcterms:created>
  <dcterms:modified xmlns:dcterms="http://purl.org/dc/terms/" xmlns:xsi="http://www.w3.org/2001/XMLSchema-instance" xsi:type="dcterms:W3CDTF">2026-01-13T10:49:14Z</dcterms:modified>
</cp:coreProperties>
</file>