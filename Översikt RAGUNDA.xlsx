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55408-2024</t>
        </is>
      </c>
      <c r="B3" s="1" t="n">
        <v>45622</v>
      </c>
      <c r="C3" s="1" t="n">
        <v>46033</v>
      </c>
      <c r="D3" t="inlineStr">
        <is>
          <t>JÄMTLANDS LÄN</t>
        </is>
      </c>
      <c r="E3" t="inlineStr">
        <is>
          <t>RAGUNDA</t>
        </is>
      </c>
      <c r="G3" t="n">
        <v>3.1</v>
      </c>
      <c r="H3" t="n">
        <v>3</v>
      </c>
      <c r="I3" t="n">
        <v>5</v>
      </c>
      <c r="J3" t="n">
        <v>16</v>
      </c>
      <c r="K3" t="n">
        <v>2</v>
      </c>
      <c r="L3" t="n">
        <v>0</v>
      </c>
      <c r="M3" t="n">
        <v>0</v>
      </c>
      <c r="N3" t="n">
        <v>0</v>
      </c>
      <c r="O3" t="n">
        <v>18</v>
      </c>
      <c r="P3" t="n">
        <v>2</v>
      </c>
      <c r="Q3" t="n">
        <v>24</v>
      </c>
      <c r="R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3">
        <f>HYPERLINK("https://klasma.github.io/Logging_2303/artfynd/A 55408-2024 artfynd.xlsx", "A 55408-2024")</f>
        <v/>
      </c>
      <c r="T3">
        <f>HYPERLINK("https://klasma.github.io/Logging_2303/kartor/A 55408-2024 karta.png", "A 55408-2024")</f>
        <v/>
      </c>
      <c r="U3">
        <f>HYPERLINK("https://klasma.github.io/Logging_2303/knärot/A 55408-2024 karta knärot.png", "A 55408-2024")</f>
        <v/>
      </c>
      <c r="V3">
        <f>HYPERLINK("https://klasma.github.io/Logging_2303/klagomål/A 55408-2024 FSC-klagomål.docx", "A 55408-2024")</f>
        <v/>
      </c>
      <c r="W3">
        <f>HYPERLINK("https://klasma.github.io/Logging_2303/klagomålsmail/A 55408-2024 FSC-klagomål mail.docx", "A 55408-2024")</f>
        <v/>
      </c>
      <c r="X3">
        <f>HYPERLINK("https://klasma.github.io/Logging_2303/tillsyn/A 55408-2024 tillsynsbegäran.docx", "A 55408-2024")</f>
        <v/>
      </c>
      <c r="Y3">
        <f>HYPERLINK("https://klasma.github.io/Logging_2303/tillsynsmail/A 55408-2024 tillsynsbegäran mail.docx", "A 55408-2024")</f>
        <v/>
      </c>
      <c r="Z3">
        <f>HYPERLINK("https://klasma.github.io/Logging_2303/fåglar/A 55408-2024 prioriterade fågelarter.docx", "A 55408-2024")</f>
        <v/>
      </c>
    </row>
    <row r="4" ht="15" customHeight="1">
      <c r="A4" t="inlineStr">
        <is>
          <t>A 41411-2024</t>
        </is>
      </c>
      <c r="B4" s="1" t="n">
        <v>45560</v>
      </c>
      <c r="C4" s="1" t="n">
        <v>46033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46033</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46033</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46033</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46033</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46033</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46033</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46033</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46033</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46033</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46033</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46033</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46033</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46033</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46033</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46033</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46033</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46033</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46033</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46033</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46033</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46033</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46033</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46033</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46033</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46033</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46033</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46033</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46033</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46033</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46033</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46033</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46033</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46033</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46033</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42393-2025</t>
        </is>
      </c>
      <c r="B41" s="1" t="n">
        <v>45905</v>
      </c>
      <c r="C41" s="1" t="n">
        <v>46033</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58876-2025</t>
        </is>
      </c>
      <c r="B42" s="1" t="n">
        <v>45987.46929398148</v>
      </c>
      <c r="C42" s="1" t="n">
        <v>46033</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45008-2023</t>
        </is>
      </c>
      <c r="B43" s="1" t="n">
        <v>45190.96092592592</v>
      </c>
      <c r="C43" s="1" t="n">
        <v>46033</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46033</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46033</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46033</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51037-2025</t>
        </is>
      </c>
      <c r="B47" s="1" t="n">
        <v>45947.40729166667</v>
      </c>
      <c r="C47" s="1" t="n">
        <v>46033</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3634-2024</t>
        </is>
      </c>
      <c r="B48" s="1" t="n">
        <v>45320</v>
      </c>
      <c r="C48" s="1" t="n">
        <v>46033</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46033</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60129-2025</t>
        </is>
      </c>
      <c r="B50" s="1" t="n">
        <v>45994.34461805555</v>
      </c>
      <c r="C50" s="1" t="n">
        <v>46033</v>
      </c>
      <c r="D50" t="inlineStr">
        <is>
          <t>JÄMTLANDS LÄN</t>
        </is>
      </c>
      <c r="E50" t="inlineStr">
        <is>
          <t>RAGUNDA</t>
        </is>
      </c>
      <c r="G50" t="n">
        <v>5.9</v>
      </c>
      <c r="H50" t="n">
        <v>2</v>
      </c>
      <c r="I50" t="n">
        <v>4</v>
      </c>
      <c r="J50" t="n">
        <v>3</v>
      </c>
      <c r="K50" t="n">
        <v>0</v>
      </c>
      <c r="L50" t="n">
        <v>0</v>
      </c>
      <c r="M50" t="n">
        <v>0</v>
      </c>
      <c r="N50" t="n">
        <v>0</v>
      </c>
      <c r="O50" t="n">
        <v>3</v>
      </c>
      <c r="P50" t="n">
        <v>0</v>
      </c>
      <c r="Q50" t="n">
        <v>8</v>
      </c>
      <c r="R50" s="2" t="inlineStr">
        <is>
          <t>Garnlav
Lunglav
Spillkråka
Luddlav
Skinnlav
Stor aspticka
Stuplav
Revlummer</t>
        </is>
      </c>
      <c r="S50">
        <f>HYPERLINK("https://klasma.github.io/Logging_2303/artfynd/A 60129-2025 artfynd.xlsx", "A 60129-2025")</f>
        <v/>
      </c>
      <c r="T50">
        <f>HYPERLINK("https://klasma.github.io/Logging_2303/kartor/A 60129-2025 karta.png", "A 60129-2025")</f>
        <v/>
      </c>
      <c r="V50">
        <f>HYPERLINK("https://klasma.github.io/Logging_2303/klagomål/A 60129-2025 FSC-klagomål.docx", "A 60129-2025")</f>
        <v/>
      </c>
      <c r="W50">
        <f>HYPERLINK("https://klasma.github.io/Logging_2303/klagomålsmail/A 60129-2025 FSC-klagomål mail.docx", "A 60129-2025")</f>
        <v/>
      </c>
      <c r="X50">
        <f>HYPERLINK("https://klasma.github.io/Logging_2303/tillsyn/A 60129-2025 tillsynsbegäran.docx", "A 60129-2025")</f>
        <v/>
      </c>
      <c r="Y50">
        <f>HYPERLINK("https://klasma.github.io/Logging_2303/tillsynsmail/A 60129-2025 tillsynsbegäran mail.docx", "A 60129-2025")</f>
        <v/>
      </c>
      <c r="Z50">
        <f>HYPERLINK("https://klasma.github.io/Logging_2303/fåglar/A 60129-2025 prioriterade fågelarter.docx", "A 60129-2025")</f>
        <v/>
      </c>
    </row>
    <row r="51" ht="15" customHeight="1">
      <c r="A51" t="inlineStr">
        <is>
          <t>A 30335-2025</t>
        </is>
      </c>
      <c r="B51" s="1" t="n">
        <v>45827.5110300926</v>
      </c>
      <c r="C51" s="1" t="n">
        <v>46033</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32475-2023</t>
        </is>
      </c>
      <c r="B52" s="1" t="n">
        <v>45120</v>
      </c>
      <c r="C52" s="1" t="n">
        <v>46033</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62738-2025</t>
        </is>
      </c>
      <c r="B53" s="1" t="n">
        <v>46008.57341435185</v>
      </c>
      <c r="C53" s="1" t="n">
        <v>46033</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59107-2025</t>
        </is>
      </c>
      <c r="B54" s="1" t="n">
        <v>45988.46924768519</v>
      </c>
      <c r="C54" s="1" t="n">
        <v>46033</v>
      </c>
      <c r="D54" t="inlineStr">
        <is>
          <t>JÄMTLANDS LÄN</t>
        </is>
      </c>
      <c r="E54" t="inlineStr">
        <is>
          <t>RAGUNDA</t>
        </is>
      </c>
      <c r="F54" t="inlineStr">
        <is>
          <t>SCA</t>
        </is>
      </c>
      <c r="G54" t="n">
        <v>22.6</v>
      </c>
      <c r="H54" t="n">
        <v>1</v>
      </c>
      <c r="I54" t="n">
        <v>4</v>
      </c>
      <c r="J54" t="n">
        <v>4</v>
      </c>
      <c r="K54" t="n">
        <v>0</v>
      </c>
      <c r="L54" t="n">
        <v>0</v>
      </c>
      <c r="M54" t="n">
        <v>0</v>
      </c>
      <c r="N54" t="n">
        <v>0</v>
      </c>
      <c r="O54" t="n">
        <v>4</v>
      </c>
      <c r="P54" t="n">
        <v>0</v>
      </c>
      <c r="Q54" t="n">
        <v>8</v>
      </c>
      <c r="R54" s="2" t="inlineStr">
        <is>
          <t>Garnlav
Lunglav
Skrovellav
Tretåig hackspett
Bårdlav
Luddlav
Skinnlav
Stuplav</t>
        </is>
      </c>
      <c r="S54">
        <f>HYPERLINK("https://klasma.github.io/Logging_2303/artfynd/A 59107-2025 artfynd.xlsx", "A 59107-2025")</f>
        <v/>
      </c>
      <c r="T54">
        <f>HYPERLINK("https://klasma.github.io/Logging_2303/kartor/A 59107-2025 karta.png", "A 59107-2025")</f>
        <v/>
      </c>
      <c r="V54">
        <f>HYPERLINK("https://klasma.github.io/Logging_2303/klagomål/A 59107-2025 FSC-klagomål.docx", "A 59107-2025")</f>
        <v/>
      </c>
      <c r="W54">
        <f>HYPERLINK("https://klasma.github.io/Logging_2303/klagomålsmail/A 59107-2025 FSC-klagomål mail.docx", "A 59107-2025")</f>
        <v/>
      </c>
      <c r="X54">
        <f>HYPERLINK("https://klasma.github.io/Logging_2303/tillsyn/A 59107-2025 tillsynsbegäran.docx", "A 59107-2025")</f>
        <v/>
      </c>
      <c r="Y54">
        <f>HYPERLINK("https://klasma.github.io/Logging_2303/tillsynsmail/A 59107-2025 tillsynsbegäran mail.docx", "A 59107-2025")</f>
        <v/>
      </c>
      <c r="Z54">
        <f>HYPERLINK("https://klasma.github.io/Logging_2303/fåglar/A 59107-2025 prioriterade fågelarter.docx", "A 59107-2025")</f>
        <v/>
      </c>
    </row>
    <row r="55" ht="15" customHeight="1">
      <c r="A55" t="inlineStr">
        <is>
          <t>A 15665-2022</t>
        </is>
      </c>
      <c r="B55" s="1" t="n">
        <v>44662</v>
      </c>
      <c r="C55" s="1" t="n">
        <v>46033</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46033</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46033</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26750-2025</t>
        </is>
      </c>
      <c r="B58" s="1" t="n">
        <v>45810.55061342593</v>
      </c>
      <c r="C58" s="1" t="n">
        <v>46033</v>
      </c>
      <c r="D58" t="inlineStr">
        <is>
          <t>JÄMTLANDS LÄN</t>
        </is>
      </c>
      <c r="E58" t="inlineStr">
        <is>
          <t>RAGUNDA</t>
        </is>
      </c>
      <c r="G58" t="n">
        <v>18</v>
      </c>
      <c r="H58" t="n">
        <v>0</v>
      </c>
      <c r="I58" t="n">
        <v>3</v>
      </c>
      <c r="J58" t="n">
        <v>4</v>
      </c>
      <c r="K58" t="n">
        <v>0</v>
      </c>
      <c r="L58" t="n">
        <v>0</v>
      </c>
      <c r="M58" t="n">
        <v>0</v>
      </c>
      <c r="N58" t="n">
        <v>0</v>
      </c>
      <c r="O58" t="n">
        <v>4</v>
      </c>
      <c r="P58" t="n">
        <v>0</v>
      </c>
      <c r="Q58" t="n">
        <v>7</v>
      </c>
      <c r="R58" s="2" t="inlineStr">
        <is>
          <t>Blå taggsvamp
Orange taggsvamp
Skrovlig taggsvamp
Svartvit taggsvamp
Dropptaggsvamp
Rödfläckig zontaggsvamp
Skarp dropptaggsvamp</t>
        </is>
      </c>
      <c r="S58">
        <f>HYPERLINK("https://klasma.github.io/Logging_2303/artfynd/A 26750-2025 artfynd.xlsx", "A 26750-2025")</f>
        <v/>
      </c>
      <c r="T58">
        <f>HYPERLINK("https://klasma.github.io/Logging_2303/kartor/A 26750-2025 karta.png", "A 26750-2025")</f>
        <v/>
      </c>
      <c r="V58">
        <f>HYPERLINK("https://klasma.github.io/Logging_2303/klagomål/A 26750-2025 FSC-klagomål.docx", "A 26750-2025")</f>
        <v/>
      </c>
      <c r="W58">
        <f>HYPERLINK("https://klasma.github.io/Logging_2303/klagomålsmail/A 26750-2025 FSC-klagomål mail.docx", "A 26750-2025")</f>
        <v/>
      </c>
      <c r="X58">
        <f>HYPERLINK("https://klasma.github.io/Logging_2303/tillsyn/A 26750-2025 tillsynsbegäran.docx", "A 26750-2025")</f>
        <v/>
      </c>
      <c r="Y58">
        <f>HYPERLINK("https://klasma.github.io/Logging_2303/tillsynsmail/A 26750-2025 tillsynsbegäran mail.docx", "A 26750-2025")</f>
        <v/>
      </c>
    </row>
    <row r="59" ht="15" customHeight="1">
      <c r="A59" t="inlineStr">
        <is>
          <t>A 11829-2023</t>
        </is>
      </c>
      <c r="B59" s="1" t="n">
        <v>44994</v>
      </c>
      <c r="C59" s="1" t="n">
        <v>46033</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19399-2025</t>
        </is>
      </c>
      <c r="B60" s="1" t="n">
        <v>45769.67740740741</v>
      </c>
      <c r="C60" s="1" t="n">
        <v>46033</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41929-2023</t>
        </is>
      </c>
      <c r="B61" s="1" t="n">
        <v>45176</v>
      </c>
      <c r="C61" s="1" t="n">
        <v>46033</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46033</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33806-2023</t>
        </is>
      </c>
      <c r="B63" s="1" t="n">
        <v>45121</v>
      </c>
      <c r="C63" s="1" t="n">
        <v>46033</v>
      </c>
      <c r="D63" t="inlineStr">
        <is>
          <t>JÄMTLANDS LÄN</t>
        </is>
      </c>
      <c r="E63" t="inlineStr">
        <is>
          <t>RAGUNDA</t>
        </is>
      </c>
      <c r="G63" t="n">
        <v>12</v>
      </c>
      <c r="H63" t="n">
        <v>2</v>
      </c>
      <c r="I63" t="n">
        <v>0</v>
      </c>
      <c r="J63" t="n">
        <v>5</v>
      </c>
      <c r="K63" t="n">
        <v>1</v>
      </c>
      <c r="L63" t="n">
        <v>0</v>
      </c>
      <c r="M63" t="n">
        <v>0</v>
      </c>
      <c r="N63" t="n">
        <v>0</v>
      </c>
      <c r="O63" t="n">
        <v>6</v>
      </c>
      <c r="P63" t="n">
        <v>1</v>
      </c>
      <c r="Q63" t="n">
        <v>7</v>
      </c>
      <c r="R63" s="2" t="inlineStr">
        <is>
          <t>Knärot
Granticka
Koralltaggsvamp
Lunglav
Persiljespindling
Äggvaxskivling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27913-2024</t>
        </is>
      </c>
      <c r="B64" s="1" t="n">
        <v>45475.94796296296</v>
      </c>
      <c r="C64" s="1" t="n">
        <v>46033</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46033</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46033</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46033</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46033</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46033</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46033</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34317-2025</t>
        </is>
      </c>
      <c r="B71" s="1" t="n">
        <v>45846.41361111111</v>
      </c>
      <c r="C71" s="1" t="n">
        <v>46033</v>
      </c>
      <c r="D71" t="inlineStr">
        <is>
          <t>JÄMTLANDS LÄN</t>
        </is>
      </c>
      <c r="E71" t="inlineStr">
        <is>
          <t>RAGUNDA</t>
        </is>
      </c>
      <c r="G71" t="n">
        <v>8.300000000000001</v>
      </c>
      <c r="H71" t="n">
        <v>2</v>
      </c>
      <c r="I71" t="n">
        <v>1</v>
      </c>
      <c r="J71" t="n">
        <v>4</v>
      </c>
      <c r="K71" t="n">
        <v>1</v>
      </c>
      <c r="L71" t="n">
        <v>0</v>
      </c>
      <c r="M71" t="n">
        <v>0</v>
      </c>
      <c r="N71" t="n">
        <v>0</v>
      </c>
      <c r="O71" t="n">
        <v>5</v>
      </c>
      <c r="P71" t="n">
        <v>1</v>
      </c>
      <c r="Q71" t="n">
        <v>6</v>
      </c>
      <c r="R71" s="2" t="inlineStr">
        <is>
          <t>Knärot
Garnlav
Lunglav
Nordtagging
Talltita
Skinnlav</t>
        </is>
      </c>
      <c r="S71">
        <f>HYPERLINK("https://klasma.github.io/Logging_2303/artfynd/A 34317-2025 artfynd.xlsx", "A 34317-2025")</f>
        <v/>
      </c>
      <c r="T71">
        <f>HYPERLINK("https://klasma.github.io/Logging_2303/kartor/A 34317-2025 karta.png", "A 34317-2025")</f>
        <v/>
      </c>
      <c r="U71">
        <f>HYPERLINK("https://klasma.github.io/Logging_2303/knärot/A 34317-2025 karta knärot.png", "A 34317-2025")</f>
        <v/>
      </c>
      <c r="V71">
        <f>HYPERLINK("https://klasma.github.io/Logging_2303/klagomål/A 34317-2025 FSC-klagomål.docx", "A 34317-2025")</f>
        <v/>
      </c>
      <c r="W71">
        <f>HYPERLINK("https://klasma.github.io/Logging_2303/klagomålsmail/A 34317-2025 FSC-klagomål mail.docx", "A 34317-2025")</f>
        <v/>
      </c>
      <c r="X71">
        <f>HYPERLINK("https://klasma.github.io/Logging_2303/tillsyn/A 34317-2025 tillsynsbegäran.docx", "A 34317-2025")</f>
        <v/>
      </c>
      <c r="Y71">
        <f>HYPERLINK("https://klasma.github.io/Logging_2303/tillsynsmail/A 34317-2025 tillsynsbegäran mail.docx", "A 34317-2025")</f>
        <v/>
      </c>
      <c r="Z71">
        <f>HYPERLINK("https://klasma.github.io/Logging_2303/fåglar/A 34317-2025 prioriterade fågelarter.docx", "A 34317-2025")</f>
        <v/>
      </c>
    </row>
    <row r="72" ht="15" customHeight="1">
      <c r="A72" t="inlineStr">
        <is>
          <t>A 19402-2025</t>
        </is>
      </c>
      <c r="B72" s="1" t="n">
        <v>45769.67778935185</v>
      </c>
      <c r="C72" s="1" t="n">
        <v>46033</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30884-2025</t>
        </is>
      </c>
      <c r="B73" s="1" t="n">
        <v>45832.34564814815</v>
      </c>
      <c r="C73" s="1" t="n">
        <v>46033</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55646-2023</t>
        </is>
      </c>
      <c r="B74" s="1" t="n">
        <v>45238</v>
      </c>
      <c r="C74" s="1" t="n">
        <v>46033</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49291-2025</t>
        </is>
      </c>
      <c r="B75" s="1" t="n">
        <v>45938.53188657408</v>
      </c>
      <c r="C75" s="1" t="n">
        <v>46033</v>
      </c>
      <c r="D75" t="inlineStr">
        <is>
          <t>JÄMTLANDS LÄN</t>
        </is>
      </c>
      <c r="E75" t="inlineStr">
        <is>
          <t>RAGUNDA</t>
        </is>
      </c>
      <c r="F75" t="inlineStr">
        <is>
          <t>SCA</t>
        </is>
      </c>
      <c r="G75" t="n">
        <v>4.2</v>
      </c>
      <c r="H75" t="n">
        <v>1</v>
      </c>
      <c r="I75" t="n">
        <v>3</v>
      </c>
      <c r="J75" t="n">
        <v>2</v>
      </c>
      <c r="K75" t="n">
        <v>0</v>
      </c>
      <c r="L75" t="n">
        <v>0</v>
      </c>
      <c r="M75" t="n">
        <v>0</v>
      </c>
      <c r="N75" t="n">
        <v>0</v>
      </c>
      <c r="O75" t="n">
        <v>2</v>
      </c>
      <c r="P75" t="n">
        <v>0</v>
      </c>
      <c r="Q75" t="n">
        <v>6</v>
      </c>
      <c r="R75" s="2" t="inlineStr">
        <is>
          <t>Kolflarnlav
Lunglav
Korallblylav
Skinnlav
Vårärt
Blåsippa</t>
        </is>
      </c>
      <c r="S75">
        <f>HYPERLINK("https://klasma.github.io/Logging_2303/artfynd/A 49291-2025 artfynd.xlsx", "A 49291-2025")</f>
        <v/>
      </c>
      <c r="T75">
        <f>HYPERLINK("https://klasma.github.io/Logging_2303/kartor/A 49291-2025 karta.png", "A 49291-2025")</f>
        <v/>
      </c>
      <c r="V75">
        <f>HYPERLINK("https://klasma.github.io/Logging_2303/klagomål/A 49291-2025 FSC-klagomål.docx", "A 49291-2025")</f>
        <v/>
      </c>
      <c r="W75">
        <f>HYPERLINK("https://klasma.github.io/Logging_2303/klagomålsmail/A 49291-2025 FSC-klagomål mail.docx", "A 49291-2025")</f>
        <v/>
      </c>
      <c r="X75">
        <f>HYPERLINK("https://klasma.github.io/Logging_2303/tillsyn/A 49291-2025 tillsynsbegäran.docx", "A 49291-2025")</f>
        <v/>
      </c>
      <c r="Y75">
        <f>HYPERLINK("https://klasma.github.io/Logging_2303/tillsynsmail/A 49291-2025 tillsynsbegäran mail.docx", "A 49291-2025")</f>
        <v/>
      </c>
    </row>
    <row r="76" ht="15" customHeight="1">
      <c r="A76" t="inlineStr">
        <is>
          <t>A 30637-2024</t>
        </is>
      </c>
      <c r="B76" s="1" t="n">
        <v>45495.56244212963</v>
      </c>
      <c r="C76" s="1" t="n">
        <v>46033</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53021-2022</t>
        </is>
      </c>
      <c r="B77" s="1" t="n">
        <v>44875</v>
      </c>
      <c r="C77" s="1" t="n">
        <v>46033</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36276-2025</t>
        </is>
      </c>
      <c r="B78" s="1" t="n">
        <v>45867.63619212963</v>
      </c>
      <c r="C78" s="1" t="n">
        <v>46033</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v>
      </c>
      <c r="C79" s="1" t="n">
        <v>46033</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46033</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46033</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46033</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46033</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46033</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46033</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46033</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46033</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39974-2025</t>
        </is>
      </c>
      <c r="B88" s="1" t="n">
        <v>45893.38599537037</v>
      </c>
      <c r="C88" s="1" t="n">
        <v>46033</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39365-2024</t>
        </is>
      </c>
      <c r="B89" s="1" t="n">
        <v>45551.46912037037</v>
      </c>
      <c r="C89" s="1" t="n">
        <v>46033</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15244-2025</t>
        </is>
      </c>
      <c r="B90" s="1" t="n">
        <v>45744.61550925926</v>
      </c>
      <c r="C90" s="1" t="n">
        <v>46033</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30886-2025</t>
        </is>
      </c>
      <c r="B91" s="1" t="n">
        <v>45832.34578703704</v>
      </c>
      <c r="C91" s="1" t="n">
        <v>46033</v>
      </c>
      <c r="D91" t="inlineStr">
        <is>
          <t>JÄMTLANDS LÄN</t>
        </is>
      </c>
      <c r="E91" t="inlineStr">
        <is>
          <t>RAGUNDA</t>
        </is>
      </c>
      <c r="F91" t="inlineStr">
        <is>
          <t>SCA</t>
        </is>
      </c>
      <c r="G91" t="n">
        <v>4.4</v>
      </c>
      <c r="H91" t="n">
        <v>3</v>
      </c>
      <c r="I91" t="n">
        <v>1</v>
      </c>
      <c r="J91" t="n">
        <v>2</v>
      </c>
      <c r="K91" t="n">
        <v>1</v>
      </c>
      <c r="L91" t="n">
        <v>0</v>
      </c>
      <c r="M91" t="n">
        <v>0</v>
      </c>
      <c r="N91" t="n">
        <v>0</v>
      </c>
      <c r="O91" t="n">
        <v>3</v>
      </c>
      <c r="P91" t="n">
        <v>1</v>
      </c>
      <c r="Q91" t="n">
        <v>5</v>
      </c>
      <c r="R91" s="2" t="inlineStr">
        <is>
          <t>Knärot
Järpe
Lunglav
Ögonpyrola
Nattviol</t>
        </is>
      </c>
      <c r="S91">
        <f>HYPERLINK("https://klasma.github.io/Logging_2303/artfynd/A 30886-2025 artfynd.xlsx", "A 30886-2025")</f>
        <v/>
      </c>
      <c r="T91">
        <f>HYPERLINK("https://klasma.github.io/Logging_2303/kartor/A 30886-2025 karta.png", "A 30886-2025")</f>
        <v/>
      </c>
      <c r="U91">
        <f>HYPERLINK("https://klasma.github.io/Logging_2303/knärot/A 30886-2025 karta knärot.png", "A 30886-2025")</f>
        <v/>
      </c>
      <c r="V91">
        <f>HYPERLINK("https://klasma.github.io/Logging_2303/klagomål/A 30886-2025 FSC-klagomål.docx", "A 30886-2025")</f>
        <v/>
      </c>
      <c r="W91">
        <f>HYPERLINK("https://klasma.github.io/Logging_2303/klagomålsmail/A 30886-2025 FSC-klagomål mail.docx", "A 30886-2025")</f>
        <v/>
      </c>
      <c r="X91">
        <f>HYPERLINK("https://klasma.github.io/Logging_2303/tillsyn/A 30886-2025 tillsynsbegäran.docx", "A 30886-2025")</f>
        <v/>
      </c>
      <c r="Y91">
        <f>HYPERLINK("https://klasma.github.io/Logging_2303/tillsynsmail/A 30886-2025 tillsynsbegäran mail.docx", "A 30886-2025")</f>
        <v/>
      </c>
      <c r="Z91">
        <f>HYPERLINK("https://klasma.github.io/Logging_2303/fåglar/A 30886-2025 prioriterade fågelarter.docx", "A 30886-2025")</f>
        <v/>
      </c>
    </row>
    <row r="92" ht="15" customHeight="1">
      <c r="A92" t="inlineStr">
        <is>
          <t>A 27313-2024</t>
        </is>
      </c>
      <c r="B92" s="1" t="n">
        <v>45471.94623842592</v>
      </c>
      <c r="C92" s="1" t="n">
        <v>46033</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35344-2025</t>
        </is>
      </c>
      <c r="B93" s="1" t="n">
        <v>45854.61494212963</v>
      </c>
      <c r="C93" s="1" t="n">
        <v>46033</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46033</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46033</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46033</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46033</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46033</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46033</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46033</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46033</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46033</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46033</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46033</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46033</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46033</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12640-2024</t>
        </is>
      </c>
      <c r="B107" s="1" t="n">
        <v>45384</v>
      </c>
      <c r="C107" s="1" t="n">
        <v>46033</v>
      </c>
      <c r="D107" t="inlineStr">
        <is>
          <t>JÄMTLANDS LÄN</t>
        </is>
      </c>
      <c r="E107" t="inlineStr">
        <is>
          <t>RAGUNDA</t>
        </is>
      </c>
      <c r="G107" t="n">
        <v>3.3</v>
      </c>
      <c r="H107" t="n">
        <v>0</v>
      </c>
      <c r="I107" t="n">
        <v>2</v>
      </c>
      <c r="J107" t="n">
        <v>1</v>
      </c>
      <c r="K107" t="n">
        <v>1</v>
      </c>
      <c r="L107" t="n">
        <v>0</v>
      </c>
      <c r="M107" t="n">
        <v>0</v>
      </c>
      <c r="N107" t="n">
        <v>0</v>
      </c>
      <c r="O107" t="n">
        <v>2</v>
      </c>
      <c r="P107" t="n">
        <v>1</v>
      </c>
      <c r="Q107" t="n">
        <v>4</v>
      </c>
      <c r="R107" s="2" t="inlineStr">
        <is>
          <t>Spadskinn
Vedskivlav
Dropptaggsvamp
Skarp dropptaggsvamp</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12268-2024</t>
        </is>
      </c>
      <c r="B108" s="1" t="n">
        <v>45378</v>
      </c>
      <c r="C108" s="1" t="n">
        <v>46033</v>
      </c>
      <c r="D108" t="inlineStr">
        <is>
          <t>JÄMTLANDS LÄN</t>
        </is>
      </c>
      <c r="E108" t="inlineStr">
        <is>
          <t>RAGUNDA</t>
        </is>
      </c>
      <c r="F108" t="inlineStr">
        <is>
          <t>Kommuner</t>
        </is>
      </c>
      <c r="G108" t="n">
        <v>15.7</v>
      </c>
      <c r="H108" t="n">
        <v>0</v>
      </c>
      <c r="I108" t="n">
        <v>0</v>
      </c>
      <c r="J108" t="n">
        <v>4</v>
      </c>
      <c r="K108" t="n">
        <v>0</v>
      </c>
      <c r="L108" t="n">
        <v>0</v>
      </c>
      <c r="M108" t="n">
        <v>0</v>
      </c>
      <c r="N108" t="n">
        <v>0</v>
      </c>
      <c r="O108" t="n">
        <v>4</v>
      </c>
      <c r="P108" t="n">
        <v>0</v>
      </c>
      <c r="Q108" t="n">
        <v>4</v>
      </c>
      <c r="R108" s="2" t="inlineStr">
        <is>
          <t>Granticka
Mörk kolflarnlav
Vedskivlav
Vitgrynig nållav</t>
        </is>
      </c>
      <c r="S108">
        <f>HYPERLINK("https://klasma.github.io/Logging_2303/artfynd/A 12268-2024 artfynd.xlsx", "A 12268-2024")</f>
        <v/>
      </c>
      <c r="T108">
        <f>HYPERLINK("https://klasma.github.io/Logging_2303/kartor/A 12268-2024 karta.png", "A 12268-2024")</f>
        <v/>
      </c>
      <c r="V108">
        <f>HYPERLINK("https://klasma.github.io/Logging_2303/klagomål/A 12268-2024 FSC-klagomål.docx", "A 12268-2024")</f>
        <v/>
      </c>
      <c r="W108">
        <f>HYPERLINK("https://klasma.github.io/Logging_2303/klagomålsmail/A 12268-2024 FSC-klagomål mail.docx", "A 12268-2024")</f>
        <v/>
      </c>
      <c r="X108">
        <f>HYPERLINK("https://klasma.github.io/Logging_2303/tillsyn/A 12268-2024 tillsynsbegäran.docx", "A 12268-2024")</f>
        <v/>
      </c>
      <c r="Y108">
        <f>HYPERLINK("https://klasma.github.io/Logging_2303/tillsynsmail/A 12268-2024 tillsynsbegäran mail.docx", "A 12268-2024")</f>
        <v/>
      </c>
    </row>
    <row r="109" ht="15" customHeight="1">
      <c r="A109" t="inlineStr">
        <is>
          <t>A 23682-2021</t>
        </is>
      </c>
      <c r="B109" s="1" t="n">
        <v>44334</v>
      </c>
      <c r="C109" s="1" t="n">
        <v>46033</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46033</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32903-2024</t>
        </is>
      </c>
      <c r="B111" s="1" t="n">
        <v>45516.94723379629</v>
      </c>
      <c r="C111" s="1" t="n">
        <v>46033</v>
      </c>
      <c r="D111" t="inlineStr">
        <is>
          <t>JÄMTLANDS LÄN</t>
        </is>
      </c>
      <c r="E111" t="inlineStr">
        <is>
          <t>RAGUNDA</t>
        </is>
      </c>
      <c r="F111" t="inlineStr">
        <is>
          <t>SCA</t>
        </is>
      </c>
      <c r="G111" t="n">
        <v>4.7</v>
      </c>
      <c r="H111" t="n">
        <v>0</v>
      </c>
      <c r="I111" t="n">
        <v>2</v>
      </c>
      <c r="J111" t="n">
        <v>1</v>
      </c>
      <c r="K111" t="n">
        <v>1</v>
      </c>
      <c r="L111" t="n">
        <v>0</v>
      </c>
      <c r="M111" t="n">
        <v>0</v>
      </c>
      <c r="N111" t="n">
        <v>0</v>
      </c>
      <c r="O111" t="n">
        <v>2</v>
      </c>
      <c r="P111" t="n">
        <v>1</v>
      </c>
      <c r="Q111" t="n">
        <v>4</v>
      </c>
      <c r="R111" s="2" t="inlineStr">
        <is>
          <t>Lappticka
Lunglav
Bollvitmossa
Luddlav</t>
        </is>
      </c>
      <c r="S111">
        <f>HYPERLINK("https://klasma.github.io/Logging_2303/artfynd/A 32903-2024 artfynd.xlsx", "A 32903-2024")</f>
        <v/>
      </c>
      <c r="T111">
        <f>HYPERLINK("https://klasma.github.io/Logging_2303/kartor/A 32903-2024 karta.png", "A 32903-2024")</f>
        <v/>
      </c>
      <c r="V111">
        <f>HYPERLINK("https://klasma.github.io/Logging_2303/klagomål/A 32903-2024 FSC-klagomål.docx", "A 32903-2024")</f>
        <v/>
      </c>
      <c r="W111">
        <f>HYPERLINK("https://klasma.github.io/Logging_2303/klagomålsmail/A 32903-2024 FSC-klagomål mail.docx", "A 32903-2024")</f>
        <v/>
      </c>
      <c r="X111">
        <f>HYPERLINK("https://klasma.github.io/Logging_2303/tillsyn/A 32903-2024 tillsynsbegäran.docx", "A 32903-2024")</f>
        <v/>
      </c>
      <c r="Y111">
        <f>HYPERLINK("https://klasma.github.io/Logging_2303/tillsynsmail/A 32903-2024 tillsynsbegäran mail.docx", "A 32903-2024")</f>
        <v/>
      </c>
    </row>
    <row r="112" ht="15" customHeight="1">
      <c r="A112" t="inlineStr">
        <is>
          <t>A 40653-2025</t>
        </is>
      </c>
      <c r="B112" s="1" t="n">
        <v>45896.63618055556</v>
      </c>
      <c r="C112" s="1" t="n">
        <v>46033</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26082-2025</t>
        </is>
      </c>
      <c r="B113" s="1" t="n">
        <v>45805.34415509259</v>
      </c>
      <c r="C113" s="1" t="n">
        <v>46033</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52168-2025</t>
        </is>
      </c>
      <c r="B114" s="1" t="n">
        <v>45953.365625</v>
      </c>
      <c r="C114" s="1" t="n">
        <v>46033</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43960-2023</t>
        </is>
      </c>
      <c r="B115" s="1" t="n">
        <v>45187</v>
      </c>
      <c r="C115" s="1" t="n">
        <v>46033</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30483-2024</t>
        </is>
      </c>
      <c r="B116" s="1" t="n">
        <v>45491</v>
      </c>
      <c r="C116" s="1" t="n">
        <v>46033</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23931-2024</t>
        </is>
      </c>
      <c r="B117" s="1" t="n">
        <v>45455.96195601852</v>
      </c>
      <c r="C117" s="1" t="n">
        <v>46033</v>
      </c>
      <c r="D117" t="inlineStr">
        <is>
          <t>JÄMTLANDS LÄN</t>
        </is>
      </c>
      <c r="E117" t="inlineStr">
        <is>
          <t>RAGUNDA</t>
        </is>
      </c>
      <c r="F117" t="inlineStr">
        <is>
          <t>SCA</t>
        </is>
      </c>
      <c r="G117" t="n">
        <v>4</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23931-2024 artfynd.xlsx", "A 23931-2024")</f>
        <v/>
      </c>
      <c r="T117">
        <f>HYPERLINK("https://klasma.github.io/Logging_2303/kartor/A 23931-2024 karta.png", "A 23931-2024")</f>
        <v/>
      </c>
      <c r="U117">
        <f>HYPERLINK("https://klasma.github.io/Logging_2303/knärot/A 23931-2024 karta knärot.png", "A 23931-2024")</f>
        <v/>
      </c>
      <c r="V117">
        <f>HYPERLINK("https://klasma.github.io/Logging_2303/klagomål/A 23931-2024 FSC-klagomål.docx", "A 23931-2024")</f>
        <v/>
      </c>
      <c r="W117">
        <f>HYPERLINK("https://klasma.github.io/Logging_2303/klagomålsmail/A 23931-2024 FSC-klagomål mail.docx", "A 23931-2024")</f>
        <v/>
      </c>
      <c r="X117">
        <f>HYPERLINK("https://klasma.github.io/Logging_2303/tillsyn/A 23931-2024 tillsynsbegäran.docx", "A 23931-2024")</f>
        <v/>
      </c>
      <c r="Y117">
        <f>HYPERLINK("https://klasma.github.io/Logging_2303/tillsynsmail/A 23931-2024 tillsynsbegäran mail.docx", "A 23931-2024")</f>
        <v/>
      </c>
    </row>
    <row r="118" ht="15" customHeight="1">
      <c r="A118" t="inlineStr">
        <is>
          <t>A 30465-2024</t>
        </is>
      </c>
      <c r="B118" s="1" t="n">
        <v>45491</v>
      </c>
      <c r="C118" s="1" t="n">
        <v>46033</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32067-2024</t>
        </is>
      </c>
      <c r="B119" s="1" t="n">
        <v>45510</v>
      </c>
      <c r="C119" s="1" t="n">
        <v>46033</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46033</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50342-2025</t>
        </is>
      </c>
      <c r="B121" s="1" t="n">
        <v>45944.53186342592</v>
      </c>
      <c r="C121" s="1" t="n">
        <v>46033</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52644-2024</t>
        </is>
      </c>
      <c r="B122" s="1" t="n">
        <v>45610.34415509259</v>
      </c>
      <c r="C122" s="1" t="n">
        <v>46033</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19401-2025</t>
        </is>
      </c>
      <c r="B123" s="1" t="n">
        <v>45769.67767361111</v>
      </c>
      <c r="C123" s="1" t="n">
        <v>46033</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17092-2022</t>
        </is>
      </c>
      <c r="B124" s="1" t="n">
        <v>44677</v>
      </c>
      <c r="C124" s="1" t="n">
        <v>46033</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21372-2025</t>
        </is>
      </c>
      <c r="B125" s="1" t="n">
        <v>45782.44871527778</v>
      </c>
      <c r="C125" s="1" t="n">
        <v>46033</v>
      </c>
      <c r="D125" t="inlineStr">
        <is>
          <t>JÄMTLANDS LÄN</t>
        </is>
      </c>
      <c r="E125" t="inlineStr">
        <is>
          <t>RAGUNDA</t>
        </is>
      </c>
      <c r="F125" t="inlineStr">
        <is>
          <t>SCA</t>
        </is>
      </c>
      <c r="G125" t="n">
        <v>2.7</v>
      </c>
      <c r="H125" t="n">
        <v>1</v>
      </c>
      <c r="I125" t="n">
        <v>1</v>
      </c>
      <c r="J125" t="n">
        <v>2</v>
      </c>
      <c r="K125" t="n">
        <v>0</v>
      </c>
      <c r="L125" t="n">
        <v>0</v>
      </c>
      <c r="M125" t="n">
        <v>0</v>
      </c>
      <c r="N125" t="n">
        <v>0</v>
      </c>
      <c r="O125" t="n">
        <v>2</v>
      </c>
      <c r="P125" t="n">
        <v>0</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48052-2022</t>
        </is>
      </c>
      <c r="B126" s="1" t="n">
        <v>44855</v>
      </c>
      <c r="C126" s="1" t="n">
        <v>46033</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46033</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46033</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46033</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46033</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25769-2025</t>
        </is>
      </c>
      <c r="B131" s="1" t="n">
        <v>45804.34474537037</v>
      </c>
      <c r="C131" s="1" t="n">
        <v>46033</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53022-2022</t>
        </is>
      </c>
      <c r="B132" s="1" t="n">
        <v>44875</v>
      </c>
      <c r="C132" s="1" t="n">
        <v>46033</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30470-2024</t>
        </is>
      </c>
      <c r="B133" s="1" t="n">
        <v>45491.94715277778</v>
      </c>
      <c r="C133" s="1" t="n">
        <v>46033</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22571-2025</t>
        </is>
      </c>
      <c r="B134" s="1" t="n">
        <v>45789.36503472222</v>
      </c>
      <c r="C134" s="1" t="n">
        <v>46033</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58737-2022</t>
        </is>
      </c>
      <c r="B135" s="1" t="n">
        <v>44902</v>
      </c>
      <c r="C135" s="1" t="n">
        <v>46033</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34585-2025</t>
        </is>
      </c>
      <c r="B136" s="1" t="n">
        <v>45847.61498842593</v>
      </c>
      <c r="C136" s="1" t="n">
        <v>46033</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46033</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28178-2023</t>
        </is>
      </c>
      <c r="B138" s="1" t="n">
        <v>45093</v>
      </c>
      <c r="C138" s="1" t="n">
        <v>46033</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61954-2025</t>
        </is>
      </c>
      <c r="B139" s="1" t="n">
        <v>46003.57381944444</v>
      </c>
      <c r="C139" s="1" t="n">
        <v>46033</v>
      </c>
      <c r="D139" t="inlineStr">
        <is>
          <t>JÄMTLANDS LÄN</t>
        </is>
      </c>
      <c r="E139" t="inlineStr">
        <is>
          <t>RAGUNDA</t>
        </is>
      </c>
      <c r="F139" t="inlineStr">
        <is>
          <t>SCA</t>
        </is>
      </c>
      <c r="G139" t="n">
        <v>6.5</v>
      </c>
      <c r="H139" t="n">
        <v>0</v>
      </c>
      <c r="I139" t="n">
        <v>1</v>
      </c>
      <c r="J139" t="n">
        <v>2</v>
      </c>
      <c r="K139" t="n">
        <v>0</v>
      </c>
      <c r="L139" t="n">
        <v>0</v>
      </c>
      <c r="M139" t="n">
        <v>0</v>
      </c>
      <c r="N139" t="n">
        <v>0</v>
      </c>
      <c r="O139" t="n">
        <v>2</v>
      </c>
      <c r="P139" t="n">
        <v>0</v>
      </c>
      <c r="Q139" t="n">
        <v>3</v>
      </c>
      <c r="R139" s="2" t="inlineStr">
        <is>
          <t>Garnlav
Lunglav
Trådticka</t>
        </is>
      </c>
      <c r="S139">
        <f>HYPERLINK("https://klasma.github.io/Logging_2303/artfynd/A 61954-2025 artfynd.xlsx", "A 61954-2025")</f>
        <v/>
      </c>
      <c r="T139">
        <f>HYPERLINK("https://klasma.github.io/Logging_2303/kartor/A 61954-2025 karta.png", "A 61954-2025")</f>
        <v/>
      </c>
      <c r="V139">
        <f>HYPERLINK("https://klasma.github.io/Logging_2303/klagomål/A 61954-2025 FSC-klagomål.docx", "A 61954-2025")</f>
        <v/>
      </c>
      <c r="W139">
        <f>HYPERLINK("https://klasma.github.io/Logging_2303/klagomålsmail/A 61954-2025 FSC-klagomål mail.docx", "A 61954-2025")</f>
        <v/>
      </c>
      <c r="X139">
        <f>HYPERLINK("https://klasma.github.io/Logging_2303/tillsyn/A 61954-2025 tillsynsbegäran.docx", "A 61954-2025")</f>
        <v/>
      </c>
      <c r="Y139">
        <f>HYPERLINK("https://klasma.github.io/Logging_2303/tillsynsmail/A 61954-2025 tillsynsbegäran mail.docx", "A 61954-2025")</f>
        <v/>
      </c>
    </row>
    <row r="140" ht="15" customHeight="1">
      <c r="A140" t="inlineStr">
        <is>
          <t>A 49047-2023</t>
        </is>
      </c>
      <c r="B140" s="1" t="n">
        <v>45209</v>
      </c>
      <c r="C140" s="1" t="n">
        <v>46033</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57941-2024</t>
        </is>
      </c>
      <c r="B141" s="1" t="n">
        <v>45631</v>
      </c>
      <c r="C141" s="1" t="n">
        <v>46033</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14814-2024</t>
        </is>
      </c>
      <c r="B142" s="1" t="n">
        <v>45397.95748842593</v>
      </c>
      <c r="C142" s="1" t="n">
        <v>46033</v>
      </c>
      <c r="D142" t="inlineStr">
        <is>
          <t>JÄMTLANDS LÄN</t>
        </is>
      </c>
      <c r="E142" t="inlineStr">
        <is>
          <t>RAGUNDA</t>
        </is>
      </c>
      <c r="F142" t="inlineStr">
        <is>
          <t>SCA</t>
        </is>
      </c>
      <c r="G142" t="n">
        <v>10.5</v>
      </c>
      <c r="H142" t="n">
        <v>0</v>
      </c>
      <c r="I142" t="n">
        <v>2</v>
      </c>
      <c r="J142" t="n">
        <v>1</v>
      </c>
      <c r="K142" t="n">
        <v>0</v>
      </c>
      <c r="L142" t="n">
        <v>0</v>
      </c>
      <c r="M142" t="n">
        <v>0</v>
      </c>
      <c r="N142" t="n">
        <v>0</v>
      </c>
      <c r="O142" t="n">
        <v>1</v>
      </c>
      <c r="P142" t="n">
        <v>0</v>
      </c>
      <c r="Q142" t="n">
        <v>3</v>
      </c>
      <c r="R142" s="2" t="inlineStr">
        <is>
          <t>Rosenticka
Svart trolldruva
Tibast</t>
        </is>
      </c>
      <c r="S142">
        <f>HYPERLINK("https://klasma.github.io/Logging_2303/artfynd/A 14814-2024 artfynd.xlsx", "A 14814-2024")</f>
        <v/>
      </c>
      <c r="T142">
        <f>HYPERLINK("https://klasma.github.io/Logging_2303/kartor/A 14814-2024 karta.png", "A 14814-2024")</f>
        <v/>
      </c>
      <c r="V142">
        <f>HYPERLINK("https://klasma.github.io/Logging_2303/klagomål/A 14814-2024 FSC-klagomål.docx", "A 14814-2024")</f>
        <v/>
      </c>
      <c r="W142">
        <f>HYPERLINK("https://klasma.github.io/Logging_2303/klagomålsmail/A 14814-2024 FSC-klagomål mail.docx", "A 14814-2024")</f>
        <v/>
      </c>
      <c r="X142">
        <f>HYPERLINK("https://klasma.github.io/Logging_2303/tillsyn/A 14814-2024 tillsynsbegäran.docx", "A 14814-2024")</f>
        <v/>
      </c>
      <c r="Y142">
        <f>HYPERLINK("https://klasma.github.io/Logging_2303/tillsynsmail/A 14814-2024 tillsynsbegäran mail.docx", "A 14814-2024")</f>
        <v/>
      </c>
    </row>
    <row r="143" ht="15" customHeight="1">
      <c r="A143" t="inlineStr">
        <is>
          <t>A 33278-2022</t>
        </is>
      </c>
      <c r="B143" s="1" t="n">
        <v>44788</v>
      </c>
      <c r="C143" s="1" t="n">
        <v>46033</v>
      </c>
      <c r="D143" t="inlineStr">
        <is>
          <t>JÄMTLANDS LÄN</t>
        </is>
      </c>
      <c r="E143" t="inlineStr">
        <is>
          <t>RAGUNDA</t>
        </is>
      </c>
      <c r="G143" t="n">
        <v>3.2</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HYPERLINK("https://klasma.github.io/Logging_2303/artfynd/A 33278-2022 artfynd.xlsx", "A 33278-2022")</f>
        <v/>
      </c>
      <c r="T143">
        <f>HYPERLINK("https://klasma.github.io/Logging_2303/kartor/A 33278-2022 karta.png", "A 33278-2022")</f>
        <v/>
      </c>
      <c r="U143">
        <f>HYPERLINK("https://klasma.github.io/Logging_2303/knärot/A 33278-2022 karta knärot.png", "A 33278-2022")</f>
        <v/>
      </c>
      <c r="V143">
        <f>HYPERLINK("https://klasma.github.io/Logging_2303/klagomål/A 33278-2022 FSC-klagomål.docx", "A 33278-2022")</f>
        <v/>
      </c>
      <c r="W143">
        <f>HYPERLINK("https://klasma.github.io/Logging_2303/klagomålsmail/A 33278-2022 FSC-klagomål mail.docx", "A 33278-2022")</f>
        <v/>
      </c>
      <c r="X143">
        <f>HYPERLINK("https://klasma.github.io/Logging_2303/tillsyn/A 33278-2022 tillsynsbegäran.docx", "A 33278-2022")</f>
        <v/>
      </c>
      <c r="Y143">
        <f>HYPERLINK("https://klasma.github.io/Logging_2303/tillsynsmail/A 33278-2022 tillsynsbegäran mail.docx", "A 33278-2022")</f>
        <v/>
      </c>
      <c r="Z143">
        <f>HYPERLINK("https://klasma.github.io/Logging_2303/fåglar/A 33278-2022 prioriterade fågelarter.docx", "A 33278-2022")</f>
        <v/>
      </c>
    </row>
    <row r="144" ht="15" customHeight="1">
      <c r="A144" t="inlineStr">
        <is>
          <t>A 7519-2023</t>
        </is>
      </c>
      <c r="B144" s="1" t="n">
        <v>44971</v>
      </c>
      <c r="C144" s="1" t="n">
        <v>46033</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57667-2025</t>
        </is>
      </c>
      <c r="B145" s="1" t="n">
        <v>45981.42767361111</v>
      </c>
      <c r="C145" s="1" t="n">
        <v>46033</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12737-2025</t>
        </is>
      </c>
      <c r="B146" s="1" t="n">
        <v>45733</v>
      </c>
      <c r="C146" s="1" t="n">
        <v>46033</v>
      </c>
      <c r="D146" t="inlineStr">
        <is>
          <t>JÄMTLANDS LÄN</t>
        </is>
      </c>
      <c r="E146" t="inlineStr">
        <is>
          <t>RAGUNDA</t>
        </is>
      </c>
      <c r="G146" t="n">
        <v>16.1</v>
      </c>
      <c r="H146" t="n">
        <v>2</v>
      </c>
      <c r="I146" t="n">
        <v>2</v>
      </c>
      <c r="J146" t="n">
        <v>0</v>
      </c>
      <c r="K146" t="n">
        <v>1</v>
      </c>
      <c r="L146" t="n">
        <v>0</v>
      </c>
      <c r="M146" t="n">
        <v>0</v>
      </c>
      <c r="N146" t="n">
        <v>0</v>
      </c>
      <c r="O146" t="n">
        <v>1</v>
      </c>
      <c r="P146" t="n">
        <v>1</v>
      </c>
      <c r="Q146" t="n">
        <v>3</v>
      </c>
      <c r="R146" s="2" t="inlineStr">
        <is>
          <t>Knärot
Plattlummer
Skarp dropptaggsvamp</t>
        </is>
      </c>
      <c r="S146">
        <f>HYPERLINK("https://klasma.github.io/Logging_2303/artfynd/A 12737-2025 artfynd.xlsx", "A 12737-2025")</f>
        <v/>
      </c>
      <c r="T146">
        <f>HYPERLINK("https://klasma.github.io/Logging_2303/kartor/A 12737-2025 karta.png", "A 12737-2025")</f>
        <v/>
      </c>
      <c r="U146">
        <f>HYPERLINK("https://klasma.github.io/Logging_2303/knärot/A 12737-2025 karta knärot.png", "A 12737-2025")</f>
        <v/>
      </c>
      <c r="V146">
        <f>HYPERLINK("https://klasma.github.io/Logging_2303/klagomål/A 12737-2025 FSC-klagomål.docx", "A 12737-2025")</f>
        <v/>
      </c>
      <c r="W146">
        <f>HYPERLINK("https://klasma.github.io/Logging_2303/klagomålsmail/A 12737-2025 FSC-klagomål mail.docx", "A 12737-2025")</f>
        <v/>
      </c>
      <c r="X146">
        <f>HYPERLINK("https://klasma.github.io/Logging_2303/tillsyn/A 12737-2025 tillsynsbegäran.docx", "A 12737-2025")</f>
        <v/>
      </c>
      <c r="Y146">
        <f>HYPERLINK("https://klasma.github.io/Logging_2303/tillsynsmail/A 12737-2025 tillsynsbegäran mail.docx", "A 12737-2025")</f>
        <v/>
      </c>
    </row>
    <row r="147" ht="15" customHeight="1">
      <c r="A147" t="inlineStr">
        <is>
          <t>A 5048-2025</t>
        </is>
      </c>
      <c r="B147" s="1" t="n">
        <v>45691.44769675926</v>
      </c>
      <c r="C147" s="1" t="n">
        <v>46033</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59179-2025</t>
        </is>
      </c>
      <c r="B148" s="1" t="n">
        <v>45988.57350694444</v>
      </c>
      <c r="C148" s="1" t="n">
        <v>46033</v>
      </c>
      <c r="D148" t="inlineStr">
        <is>
          <t>JÄMTLANDS LÄN</t>
        </is>
      </c>
      <c r="E148" t="inlineStr">
        <is>
          <t>RAGUNDA</t>
        </is>
      </c>
      <c r="F148" t="inlineStr">
        <is>
          <t>SCA</t>
        </is>
      </c>
      <c r="G148" t="n">
        <v>2.3</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HYPERLINK("https://klasma.github.io/Logging_2303/artfynd/A 59179-2025 artfynd.xlsx", "A 59179-2025")</f>
        <v/>
      </c>
      <c r="T148">
        <f>HYPERLINK("https://klasma.github.io/Logging_2303/kartor/A 59179-2025 karta.png", "A 59179-2025")</f>
        <v/>
      </c>
      <c r="V148">
        <f>HYPERLINK("https://klasma.github.io/Logging_2303/klagomål/A 59179-2025 FSC-klagomål.docx", "A 59179-2025")</f>
        <v/>
      </c>
      <c r="W148">
        <f>HYPERLINK("https://klasma.github.io/Logging_2303/klagomålsmail/A 59179-2025 FSC-klagomål mail.docx", "A 59179-2025")</f>
        <v/>
      </c>
      <c r="X148">
        <f>HYPERLINK("https://klasma.github.io/Logging_2303/tillsyn/A 59179-2025 tillsynsbegäran.docx", "A 59179-2025")</f>
        <v/>
      </c>
      <c r="Y148">
        <f>HYPERLINK("https://klasma.github.io/Logging_2303/tillsynsmail/A 59179-2025 tillsynsbegäran mail.docx", "A 59179-2025")</f>
        <v/>
      </c>
    </row>
    <row r="149" ht="15" customHeight="1">
      <c r="A149" t="inlineStr">
        <is>
          <t>A 61790-2023</t>
        </is>
      </c>
      <c r="B149" s="1" t="n">
        <v>45265</v>
      </c>
      <c r="C149" s="1" t="n">
        <v>46033</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46033</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46033</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46033</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46033</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46033</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46033</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46033</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46033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46033</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25155-2025</t>
        </is>
      </c>
      <c r="B160" s="1" t="n">
        <v>45800.42782407408</v>
      </c>
      <c r="C160" s="1" t="n">
        <v>46033</v>
      </c>
      <c r="D160" t="inlineStr">
        <is>
          <t>JÄMTLANDS LÄN</t>
        </is>
      </c>
      <c r="E160" t="inlineStr">
        <is>
          <t>RAGUNDA</t>
        </is>
      </c>
      <c r="F160" t="inlineStr">
        <is>
          <t>SCA</t>
        </is>
      </c>
      <c r="G160" t="n">
        <v>1.7</v>
      </c>
      <c r="H160" t="n">
        <v>1</v>
      </c>
      <c r="I160" t="n">
        <v>0</v>
      </c>
      <c r="J160" t="n">
        <v>1</v>
      </c>
      <c r="K160" t="n">
        <v>0</v>
      </c>
      <c r="L160" t="n">
        <v>0</v>
      </c>
      <c r="M160" t="n">
        <v>0</v>
      </c>
      <c r="N160" t="n">
        <v>0</v>
      </c>
      <c r="O160" t="n">
        <v>1</v>
      </c>
      <c r="P160" t="n">
        <v>0</v>
      </c>
      <c r="Q160" t="n">
        <v>2</v>
      </c>
      <c r="R160" s="2" t="inlineStr">
        <is>
          <t>Leptoporus mollis
Fläcknycklar</t>
        </is>
      </c>
      <c r="S160">
        <f>HYPERLINK("https://klasma.github.io/Logging_2303/artfynd/A 25155-2025 artfynd.xlsx", "A 25155-2025")</f>
        <v/>
      </c>
      <c r="T160">
        <f>HYPERLINK("https://klasma.github.io/Logging_2303/kartor/A 25155-2025 karta.png", "A 25155-2025")</f>
        <v/>
      </c>
      <c r="V160">
        <f>HYPERLINK("https://klasma.github.io/Logging_2303/klagomål/A 25155-2025 FSC-klagomål.docx", "A 25155-2025")</f>
        <v/>
      </c>
      <c r="W160">
        <f>HYPERLINK("https://klasma.github.io/Logging_2303/klagomålsmail/A 25155-2025 FSC-klagomål mail.docx", "A 25155-2025")</f>
        <v/>
      </c>
      <c r="X160">
        <f>HYPERLINK("https://klasma.github.io/Logging_2303/tillsyn/A 25155-2025 tillsynsbegäran.docx", "A 25155-2025")</f>
        <v/>
      </c>
      <c r="Y160">
        <f>HYPERLINK("https://klasma.github.io/Logging_2303/tillsynsmail/A 25155-2025 tillsynsbegäran mail.docx", "A 25155-2025")</f>
        <v/>
      </c>
    </row>
    <row r="161" ht="15" customHeight="1">
      <c r="A161" t="inlineStr">
        <is>
          <t>A 32736-2023</t>
        </is>
      </c>
      <c r="B161" s="1" t="n">
        <v>45121</v>
      </c>
      <c r="C161" s="1" t="n">
        <v>46033</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48427-2023</t>
        </is>
      </c>
      <c r="B162" s="1" t="n">
        <v>45205</v>
      </c>
      <c r="C162" s="1" t="n">
        <v>46033</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47850-2025</t>
        </is>
      </c>
      <c r="B163" s="1" t="n">
        <v>45932.38626157407</v>
      </c>
      <c r="C163" s="1" t="n">
        <v>46033</v>
      </c>
      <c r="D163" t="inlineStr">
        <is>
          <t>JÄMTLANDS LÄN</t>
        </is>
      </c>
      <c r="E163" t="inlineStr">
        <is>
          <t>RAGUNDA</t>
        </is>
      </c>
      <c r="F163" t="inlineStr">
        <is>
          <t>SCA</t>
        </is>
      </c>
      <c r="G163" t="n">
        <v>2.4</v>
      </c>
      <c r="H163" t="n">
        <v>1</v>
      </c>
      <c r="I163" t="n">
        <v>0</v>
      </c>
      <c r="J163" t="n">
        <v>1</v>
      </c>
      <c r="K163" t="n">
        <v>0</v>
      </c>
      <c r="L163" t="n">
        <v>0</v>
      </c>
      <c r="M163" t="n">
        <v>0</v>
      </c>
      <c r="N163" t="n">
        <v>0</v>
      </c>
      <c r="O163" t="n">
        <v>1</v>
      </c>
      <c r="P163" t="n">
        <v>0</v>
      </c>
      <c r="Q163" t="n">
        <v>2</v>
      </c>
      <c r="R163" s="2" t="inlineStr">
        <is>
          <t>Kolflarnlav
Blåsippa</t>
        </is>
      </c>
      <c r="S163">
        <f>HYPERLINK("https://klasma.github.io/Logging_2303/artfynd/A 47850-2025 artfynd.xlsx", "A 47850-2025")</f>
        <v/>
      </c>
      <c r="T163">
        <f>HYPERLINK("https://klasma.github.io/Logging_2303/kartor/A 47850-2025 karta.png", "A 47850-2025")</f>
        <v/>
      </c>
      <c r="V163">
        <f>HYPERLINK("https://klasma.github.io/Logging_2303/klagomål/A 47850-2025 FSC-klagomål.docx", "A 47850-2025")</f>
        <v/>
      </c>
      <c r="W163">
        <f>HYPERLINK("https://klasma.github.io/Logging_2303/klagomålsmail/A 47850-2025 FSC-klagomål mail.docx", "A 47850-2025")</f>
        <v/>
      </c>
      <c r="X163">
        <f>HYPERLINK("https://klasma.github.io/Logging_2303/tillsyn/A 47850-2025 tillsynsbegäran.docx", "A 47850-2025")</f>
        <v/>
      </c>
      <c r="Y163">
        <f>HYPERLINK("https://klasma.github.io/Logging_2303/tillsynsmail/A 47850-2025 tillsynsbegäran mail.docx", "A 47850-2025")</f>
        <v/>
      </c>
    </row>
    <row r="164" ht="15" customHeight="1">
      <c r="A164" t="inlineStr">
        <is>
          <t>A 55647-2023</t>
        </is>
      </c>
      <c r="B164" s="1" t="n">
        <v>45238</v>
      </c>
      <c r="C164" s="1" t="n">
        <v>46033</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31960-2025</t>
        </is>
      </c>
      <c r="B165" s="1" t="n">
        <v>45835.344375</v>
      </c>
      <c r="C165" s="1" t="n">
        <v>46033</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47267-2022</t>
        </is>
      </c>
      <c r="B166" s="1" t="n">
        <v>44852</v>
      </c>
      <c r="C166" s="1" t="n">
        <v>46033</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45021-2023</t>
        </is>
      </c>
      <c r="B167" s="1" t="n">
        <v>45190</v>
      </c>
      <c r="C167" s="1" t="n">
        <v>46033</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35131-2025</t>
        </is>
      </c>
      <c r="B168" s="1" t="n">
        <v>45852.63597222222</v>
      </c>
      <c r="C168" s="1" t="n">
        <v>46033</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30053-2024</t>
        </is>
      </c>
      <c r="B169" s="1" t="n">
        <v>45488.94747685185</v>
      </c>
      <c r="C169" s="1" t="n">
        <v>46033</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50089-2022</t>
        </is>
      </c>
      <c r="B170" s="1" t="n">
        <v>44865</v>
      </c>
      <c r="C170" s="1" t="n">
        <v>46033</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57940-2024</t>
        </is>
      </c>
      <c r="B171" s="1" t="n">
        <v>45631</v>
      </c>
      <c r="C171" s="1" t="n">
        <v>46033</v>
      </c>
      <c r="D171" t="inlineStr">
        <is>
          <t>JÄMTLANDS LÄN</t>
        </is>
      </c>
      <c r="E171" t="inlineStr">
        <is>
          <t>RAGUNDA</t>
        </is>
      </c>
      <c r="F171" t="inlineStr">
        <is>
          <t>SCA</t>
        </is>
      </c>
      <c r="G171" t="n">
        <v>1.9</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HYPERLINK("https://klasma.github.io/Logging_2303/artfynd/A 57940-2024 artfynd.xlsx", "A 57940-2024")</f>
        <v/>
      </c>
      <c r="T171">
        <f>HYPERLINK("https://klasma.github.io/Logging_2303/kartor/A 57940-2024 karta.png", "A 57940-2024")</f>
        <v/>
      </c>
      <c r="V171">
        <f>HYPERLINK("https://klasma.github.io/Logging_2303/klagomål/A 57940-2024 FSC-klagomål.docx", "A 57940-2024")</f>
        <v/>
      </c>
      <c r="W171">
        <f>HYPERLINK("https://klasma.github.io/Logging_2303/klagomålsmail/A 57940-2024 FSC-klagomål mail.docx", "A 57940-2024")</f>
        <v/>
      </c>
      <c r="X171">
        <f>HYPERLINK("https://klasma.github.io/Logging_2303/tillsyn/A 57940-2024 tillsynsbegäran.docx", "A 57940-2024")</f>
        <v/>
      </c>
      <c r="Y171">
        <f>HYPERLINK("https://klasma.github.io/Logging_2303/tillsynsmail/A 57940-2024 tillsynsbegäran mail.docx", "A 57940-2024")</f>
        <v/>
      </c>
      <c r="Z171">
        <f>HYPERLINK("https://klasma.github.io/Logging_2303/fåglar/A 57940-2024 prioriterade fågelarter.docx", "A 57940-2024")</f>
        <v/>
      </c>
    </row>
    <row r="172" ht="15" customHeight="1">
      <c r="A172" t="inlineStr">
        <is>
          <t>A 62636-2025</t>
        </is>
      </c>
      <c r="B172" s="1" t="n">
        <v>46008.3653587963</v>
      </c>
      <c r="C172" s="1" t="n">
        <v>46033</v>
      </c>
      <c r="D172" t="inlineStr">
        <is>
          <t>JÄMTLANDS LÄN</t>
        </is>
      </c>
      <c r="E172" t="inlineStr">
        <is>
          <t>RAGUNDA</t>
        </is>
      </c>
      <c r="G172" t="n">
        <v>3.1</v>
      </c>
      <c r="H172" t="n">
        <v>1</v>
      </c>
      <c r="I172" t="n">
        <v>0</v>
      </c>
      <c r="J172" t="n">
        <v>2</v>
      </c>
      <c r="K172" t="n">
        <v>0</v>
      </c>
      <c r="L172" t="n">
        <v>0</v>
      </c>
      <c r="M172" t="n">
        <v>0</v>
      </c>
      <c r="N172" t="n">
        <v>0</v>
      </c>
      <c r="O172" t="n">
        <v>2</v>
      </c>
      <c r="P172" t="n">
        <v>0</v>
      </c>
      <c r="Q172" t="n">
        <v>2</v>
      </c>
      <c r="R172" s="2" t="inlineStr">
        <is>
          <t>Garnlav
Talltita</t>
        </is>
      </c>
      <c r="S172">
        <f>HYPERLINK("https://klasma.github.io/Logging_2303/artfynd/A 62636-2025 artfynd.xlsx", "A 62636-2025")</f>
        <v/>
      </c>
      <c r="T172">
        <f>HYPERLINK("https://klasma.github.io/Logging_2303/kartor/A 62636-2025 karta.png", "A 62636-2025")</f>
        <v/>
      </c>
      <c r="V172">
        <f>HYPERLINK("https://klasma.github.io/Logging_2303/klagomål/A 62636-2025 FSC-klagomål.docx", "A 62636-2025")</f>
        <v/>
      </c>
      <c r="W172">
        <f>HYPERLINK("https://klasma.github.io/Logging_2303/klagomålsmail/A 62636-2025 FSC-klagomål mail.docx", "A 62636-2025")</f>
        <v/>
      </c>
      <c r="X172">
        <f>HYPERLINK("https://klasma.github.io/Logging_2303/tillsyn/A 62636-2025 tillsynsbegäran.docx", "A 62636-2025")</f>
        <v/>
      </c>
      <c r="Y172">
        <f>HYPERLINK("https://klasma.github.io/Logging_2303/tillsynsmail/A 62636-2025 tillsynsbegäran mail.docx", "A 62636-2025")</f>
        <v/>
      </c>
      <c r="Z172">
        <f>HYPERLINK("https://klasma.github.io/Logging_2303/fåglar/A 62636-2025 prioriterade fågelarter.docx", "A 62636-2025")</f>
        <v/>
      </c>
    </row>
    <row r="173" ht="15" customHeight="1">
      <c r="A173" t="inlineStr">
        <is>
          <t>A 11086-2025</t>
        </is>
      </c>
      <c r="B173" s="1" t="n">
        <v>45723.57329861111</v>
      </c>
      <c r="C173" s="1" t="n">
        <v>46033</v>
      </c>
      <c r="D173" t="inlineStr">
        <is>
          <t>JÄMTLANDS LÄN</t>
        </is>
      </c>
      <c r="E173" t="inlineStr">
        <is>
          <t>RAGUNDA</t>
        </is>
      </c>
      <c r="F173" t="inlineStr">
        <is>
          <t>SCA</t>
        </is>
      </c>
      <c r="G173" t="n">
        <v>10.8</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HYPERLINK("https://klasma.github.io/Logging_2303/artfynd/A 11086-2025 artfynd.xlsx", "A 11086-2025")</f>
        <v/>
      </c>
      <c r="T173">
        <f>HYPERLINK("https://klasma.github.io/Logging_2303/kartor/A 11086-2025 karta.png", "A 11086-2025")</f>
        <v/>
      </c>
      <c r="V173">
        <f>HYPERLINK("https://klasma.github.io/Logging_2303/klagomål/A 11086-2025 FSC-klagomål.docx", "A 11086-2025")</f>
        <v/>
      </c>
      <c r="W173">
        <f>HYPERLINK("https://klasma.github.io/Logging_2303/klagomålsmail/A 11086-2025 FSC-klagomål mail.docx", "A 11086-2025")</f>
        <v/>
      </c>
      <c r="X173">
        <f>HYPERLINK("https://klasma.github.io/Logging_2303/tillsyn/A 11086-2025 tillsynsbegäran.docx", "A 11086-2025")</f>
        <v/>
      </c>
      <c r="Y173">
        <f>HYPERLINK("https://klasma.github.io/Logging_2303/tillsynsmail/A 11086-2025 tillsynsbegäran mail.docx", "A 11086-2025")</f>
        <v/>
      </c>
    </row>
    <row r="174" ht="15" customHeight="1">
      <c r="A174" t="inlineStr">
        <is>
          <t>A 56634-2025</t>
        </is>
      </c>
      <c r="B174" s="1" t="n">
        <v>45975.61619212963</v>
      </c>
      <c r="C174" s="1" t="n">
        <v>46033</v>
      </c>
      <c r="D174" t="inlineStr">
        <is>
          <t>JÄMTLANDS LÄN</t>
        </is>
      </c>
      <c r="E174" t="inlineStr">
        <is>
          <t>RAGUNDA</t>
        </is>
      </c>
      <c r="F174" t="inlineStr">
        <is>
          <t>SCA</t>
        </is>
      </c>
      <c r="G174" t="n">
        <v>86.59999999999999</v>
      </c>
      <c r="H174" t="n">
        <v>0</v>
      </c>
      <c r="I174" t="n">
        <v>1</v>
      </c>
      <c r="J174" t="n">
        <v>1</v>
      </c>
      <c r="K174" t="n">
        <v>0</v>
      </c>
      <c r="L174" t="n">
        <v>0</v>
      </c>
      <c r="M174" t="n">
        <v>0</v>
      </c>
      <c r="N174" t="n">
        <v>0</v>
      </c>
      <c r="O174" t="n">
        <v>1</v>
      </c>
      <c r="P174" t="n">
        <v>0</v>
      </c>
      <c r="Q174" t="n">
        <v>2</v>
      </c>
      <c r="R174" s="2" t="inlineStr">
        <is>
          <t>Garnlav
Skuggblåslav</t>
        </is>
      </c>
      <c r="S174">
        <f>HYPERLINK("https://klasma.github.io/Logging_2303/artfynd/A 56634-2025 artfynd.xlsx", "A 56634-2025")</f>
        <v/>
      </c>
      <c r="T174">
        <f>HYPERLINK("https://klasma.github.io/Logging_2303/kartor/A 56634-2025 karta.png", "A 56634-2025")</f>
        <v/>
      </c>
      <c r="V174">
        <f>HYPERLINK("https://klasma.github.io/Logging_2303/klagomål/A 56634-2025 FSC-klagomål.docx", "A 56634-2025")</f>
        <v/>
      </c>
      <c r="W174">
        <f>HYPERLINK("https://klasma.github.io/Logging_2303/klagomålsmail/A 56634-2025 FSC-klagomål mail.docx", "A 56634-2025")</f>
        <v/>
      </c>
      <c r="X174">
        <f>HYPERLINK("https://klasma.github.io/Logging_2303/tillsyn/A 56634-2025 tillsynsbegäran.docx", "A 56634-2025")</f>
        <v/>
      </c>
      <c r="Y174">
        <f>HYPERLINK("https://klasma.github.io/Logging_2303/tillsynsmail/A 56634-2025 tillsynsbegäran mail.docx", "A 56634-2025")</f>
        <v/>
      </c>
    </row>
    <row r="175" ht="15" customHeight="1">
      <c r="A175" t="inlineStr">
        <is>
          <t>A 40826-2023</t>
        </is>
      </c>
      <c r="B175" s="1" t="n">
        <v>45171</v>
      </c>
      <c r="C175" s="1" t="n">
        <v>46033</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41490-2022</t>
        </is>
      </c>
      <c r="B176" s="1" t="n">
        <v>44826.94976851852</v>
      </c>
      <c r="C176" s="1" t="n">
        <v>46033</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14502-2024</t>
        </is>
      </c>
      <c r="B177" s="1" t="n">
        <v>45394</v>
      </c>
      <c r="C177" s="1" t="n">
        <v>46033</v>
      </c>
      <c r="D177" t="inlineStr">
        <is>
          <t>JÄMTLANDS LÄN</t>
        </is>
      </c>
      <c r="E177" t="inlineStr">
        <is>
          <t>RAGUNDA</t>
        </is>
      </c>
      <c r="G177" t="n">
        <v>11.6</v>
      </c>
      <c r="H177" t="n">
        <v>0</v>
      </c>
      <c r="I177" t="n">
        <v>0</v>
      </c>
      <c r="J177" t="n">
        <v>2</v>
      </c>
      <c r="K177" t="n">
        <v>0</v>
      </c>
      <c r="L177" t="n">
        <v>0</v>
      </c>
      <c r="M177" t="n">
        <v>0</v>
      </c>
      <c r="N177" t="n">
        <v>0</v>
      </c>
      <c r="O177" t="n">
        <v>2</v>
      </c>
      <c r="P177" t="n">
        <v>0</v>
      </c>
      <c r="Q177" t="n">
        <v>2</v>
      </c>
      <c r="R177" s="2" t="inlineStr">
        <is>
          <t>Garnlav
Stjärntagging</t>
        </is>
      </c>
      <c r="S177">
        <f>HYPERLINK("https://klasma.github.io/Logging_2303/artfynd/A 14502-2024 artfynd.xlsx", "A 14502-2024")</f>
        <v/>
      </c>
      <c r="T177">
        <f>HYPERLINK("https://klasma.github.io/Logging_2303/kartor/A 14502-2024 karta.png", "A 14502-2024")</f>
        <v/>
      </c>
      <c r="V177">
        <f>HYPERLINK("https://klasma.github.io/Logging_2303/klagomål/A 14502-2024 FSC-klagomål.docx", "A 14502-2024")</f>
        <v/>
      </c>
      <c r="W177">
        <f>HYPERLINK("https://klasma.github.io/Logging_2303/klagomålsmail/A 14502-2024 FSC-klagomål mail.docx", "A 14502-2024")</f>
        <v/>
      </c>
      <c r="X177">
        <f>HYPERLINK("https://klasma.github.io/Logging_2303/tillsyn/A 14502-2024 tillsynsbegäran.docx", "A 14502-2024")</f>
        <v/>
      </c>
      <c r="Y177">
        <f>HYPERLINK("https://klasma.github.io/Logging_2303/tillsynsmail/A 14502-2024 tillsynsbegäran mail.docx", "A 14502-2024")</f>
        <v/>
      </c>
    </row>
    <row r="178" ht="15" customHeight="1">
      <c r="A178" t="inlineStr">
        <is>
          <t>A 46771-2024</t>
        </is>
      </c>
      <c r="B178" s="1" t="n">
        <v>45583.49642361111</v>
      </c>
      <c r="C178" s="1" t="n">
        <v>46033</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44409-2023</t>
        </is>
      </c>
      <c r="B179" s="1" t="n">
        <v>45188</v>
      </c>
      <c r="C179" s="1" t="n">
        <v>46033</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46033</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46033</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46033</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46033</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46033</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46033</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46033</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46033</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46033</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46033</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46033</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46033</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46033</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46033</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46033</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46033</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46033</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46033</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46033</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46033</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46033</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46033</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46033</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46033</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46033</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16316-2025</t>
        </is>
      </c>
      <c r="B205" s="1" t="n">
        <v>45751.34795138889</v>
      </c>
      <c r="C205" s="1" t="n">
        <v>46033</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59104-2023</t>
        </is>
      </c>
      <c r="B206" s="1" t="n">
        <v>45252</v>
      </c>
      <c r="C206" s="1" t="n">
        <v>46033</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25694-2023</t>
        </is>
      </c>
      <c r="B207" s="1" t="n">
        <v>45089</v>
      </c>
      <c r="C207" s="1" t="n">
        <v>46033</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11040-2023</t>
        </is>
      </c>
      <c r="B208" s="1" t="n">
        <v>44991</v>
      </c>
      <c r="C208" s="1" t="n">
        <v>46033</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44066-2024</t>
        </is>
      </c>
      <c r="B209" s="1" t="n">
        <v>45572.60363425926</v>
      </c>
      <c r="C209" s="1" t="n">
        <v>46033</v>
      </c>
      <c r="D209" t="inlineStr">
        <is>
          <t>JÄMTLANDS LÄN</t>
        </is>
      </c>
      <c r="E209" t="inlineStr">
        <is>
          <t>RAGUNDA</t>
        </is>
      </c>
      <c r="G209" t="n">
        <v>6.4</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44066-2024 artfynd.xlsx", "A 44066-2024")</f>
        <v/>
      </c>
      <c r="T209">
        <f>HYPERLINK("https://klasma.github.io/Logging_2303/kartor/A 44066-2024 karta.png", "A 44066-2024")</f>
        <v/>
      </c>
      <c r="V209">
        <f>HYPERLINK("https://klasma.github.io/Logging_2303/klagomål/A 44066-2024 FSC-klagomål.docx", "A 44066-2024")</f>
        <v/>
      </c>
      <c r="W209">
        <f>HYPERLINK("https://klasma.github.io/Logging_2303/klagomålsmail/A 44066-2024 FSC-klagomål mail.docx", "A 44066-2024")</f>
        <v/>
      </c>
      <c r="X209">
        <f>HYPERLINK("https://klasma.github.io/Logging_2303/tillsyn/A 44066-2024 tillsynsbegäran.docx", "A 44066-2024")</f>
        <v/>
      </c>
      <c r="Y209">
        <f>HYPERLINK("https://klasma.github.io/Logging_2303/tillsynsmail/A 44066-2024 tillsynsbegäran mail.docx", "A 44066-2024")</f>
        <v/>
      </c>
      <c r="Z209">
        <f>HYPERLINK("https://klasma.github.io/Logging_2303/fåglar/A 44066-2024 prioriterade fågelarter.docx", "A 44066-2024")</f>
        <v/>
      </c>
    </row>
    <row r="210" ht="15" customHeight="1">
      <c r="A210" t="inlineStr">
        <is>
          <t>A 36975-2023</t>
        </is>
      </c>
      <c r="B210" s="1" t="n">
        <v>45154</v>
      </c>
      <c r="C210" s="1" t="n">
        <v>46033</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50233-2024</t>
        </is>
      </c>
      <c r="B211" s="1" t="n">
        <v>45600.55265046296</v>
      </c>
      <c r="C211" s="1" t="n">
        <v>46033</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40841-2025</t>
        </is>
      </c>
      <c r="B212" s="1" t="n">
        <v>45897.531875</v>
      </c>
      <c r="C212" s="1" t="n">
        <v>46033</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36224-2023</t>
        </is>
      </c>
      <c r="B213" s="1" t="n">
        <v>45149</v>
      </c>
      <c r="C213" s="1" t="n">
        <v>46033</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43526-2025</t>
        </is>
      </c>
      <c r="B214" s="1" t="n">
        <v>45911</v>
      </c>
      <c r="C214" s="1" t="n">
        <v>46033</v>
      </c>
      <c r="D214" t="inlineStr">
        <is>
          <t>JÄMTLANDS LÄN</t>
        </is>
      </c>
      <c r="E214" t="inlineStr">
        <is>
          <t>RAGUNDA</t>
        </is>
      </c>
      <c r="G214" t="n">
        <v>5.5</v>
      </c>
      <c r="H214" t="n">
        <v>0</v>
      </c>
      <c r="I214" t="n">
        <v>0</v>
      </c>
      <c r="J214" t="n">
        <v>1</v>
      </c>
      <c r="K214" t="n">
        <v>0</v>
      </c>
      <c r="L214" t="n">
        <v>0</v>
      </c>
      <c r="M214" t="n">
        <v>0</v>
      </c>
      <c r="N214" t="n">
        <v>0</v>
      </c>
      <c r="O214" t="n">
        <v>1</v>
      </c>
      <c r="P214" t="n">
        <v>0</v>
      </c>
      <c r="Q214" t="n">
        <v>1</v>
      </c>
      <c r="R214" s="2" t="inlineStr">
        <is>
          <t>Lunglav</t>
        </is>
      </c>
      <c r="S214">
        <f>HYPERLINK("https://klasma.github.io/Logging_2303/artfynd/A 43526-2025 artfynd.xlsx", "A 43526-2025")</f>
        <v/>
      </c>
      <c r="T214">
        <f>HYPERLINK("https://klasma.github.io/Logging_2303/kartor/A 43526-2025 karta.png", "A 43526-2025")</f>
        <v/>
      </c>
      <c r="V214">
        <f>HYPERLINK("https://klasma.github.io/Logging_2303/klagomål/A 43526-2025 FSC-klagomål.docx", "A 43526-2025")</f>
        <v/>
      </c>
      <c r="W214">
        <f>HYPERLINK("https://klasma.github.io/Logging_2303/klagomålsmail/A 43526-2025 FSC-klagomål mail.docx", "A 43526-2025")</f>
        <v/>
      </c>
      <c r="X214">
        <f>HYPERLINK("https://klasma.github.io/Logging_2303/tillsyn/A 43526-2025 tillsynsbegäran.docx", "A 43526-2025")</f>
        <v/>
      </c>
      <c r="Y214">
        <f>HYPERLINK("https://klasma.github.io/Logging_2303/tillsynsmail/A 43526-2025 tillsynsbegäran mail.docx", "A 43526-2025")</f>
        <v/>
      </c>
    </row>
    <row r="215" ht="15" customHeight="1">
      <c r="A215" t="inlineStr">
        <is>
          <t>A 27573-2025</t>
        </is>
      </c>
      <c r="B215" s="1" t="n">
        <v>45813.49061342593</v>
      </c>
      <c r="C215" s="1" t="n">
        <v>46033</v>
      </c>
      <c r="D215" t="inlineStr">
        <is>
          <t>JÄMTLANDS LÄN</t>
        </is>
      </c>
      <c r="E215" t="inlineStr">
        <is>
          <t>RAGUNDA</t>
        </is>
      </c>
      <c r="F215" t="inlineStr">
        <is>
          <t>SCA</t>
        </is>
      </c>
      <c r="G215" t="n">
        <v>14.9</v>
      </c>
      <c r="H215" t="n">
        <v>0</v>
      </c>
      <c r="I215" t="n">
        <v>1</v>
      </c>
      <c r="J215" t="n">
        <v>0</v>
      </c>
      <c r="K215" t="n">
        <v>0</v>
      </c>
      <c r="L215" t="n">
        <v>0</v>
      </c>
      <c r="M215" t="n">
        <v>0</v>
      </c>
      <c r="N215" t="n">
        <v>0</v>
      </c>
      <c r="O215" t="n">
        <v>0</v>
      </c>
      <c r="P215" t="n">
        <v>0</v>
      </c>
      <c r="Q215" t="n">
        <v>1</v>
      </c>
      <c r="R215" s="2" t="inlineStr">
        <is>
          <t>Skinnlav</t>
        </is>
      </c>
      <c r="S215">
        <f>HYPERLINK("https://klasma.github.io/Logging_2303/artfynd/A 27573-2025 artfynd.xlsx", "A 27573-2025")</f>
        <v/>
      </c>
      <c r="T215">
        <f>HYPERLINK("https://klasma.github.io/Logging_2303/kartor/A 27573-2025 karta.png", "A 27573-2025")</f>
        <v/>
      </c>
      <c r="U215">
        <f>HYPERLINK("https://klasma.github.io/Logging_2303/knärot/A 27573-2025 karta knärot.png", "A 27573-2025")</f>
        <v/>
      </c>
      <c r="V215">
        <f>HYPERLINK("https://klasma.github.io/Logging_2303/klagomål/A 27573-2025 FSC-klagomål.docx", "A 27573-2025")</f>
        <v/>
      </c>
      <c r="W215">
        <f>HYPERLINK("https://klasma.github.io/Logging_2303/klagomålsmail/A 27573-2025 FSC-klagomål mail.docx", "A 27573-2025")</f>
        <v/>
      </c>
      <c r="X215">
        <f>HYPERLINK("https://klasma.github.io/Logging_2303/tillsyn/A 27573-2025 tillsynsbegäran.docx", "A 27573-2025")</f>
        <v/>
      </c>
      <c r="Y215">
        <f>HYPERLINK("https://klasma.github.io/Logging_2303/tillsynsmail/A 27573-2025 tillsynsbegäran mail.docx", "A 27573-2025")</f>
        <v/>
      </c>
    </row>
    <row r="216" ht="15" customHeight="1">
      <c r="A216" t="inlineStr">
        <is>
          <t>A 43404-2023</t>
        </is>
      </c>
      <c r="B216" s="1" t="n">
        <v>45183</v>
      </c>
      <c r="C216" s="1" t="n">
        <v>46033</v>
      </c>
      <c r="D216" t="inlineStr">
        <is>
          <t>JÄMTLANDS LÄN</t>
        </is>
      </c>
      <c r="E216" t="inlineStr">
        <is>
          <t>RAGUNDA</t>
        </is>
      </c>
      <c r="F216" t="inlineStr">
        <is>
          <t>SCA</t>
        </is>
      </c>
      <c r="G216" t="n">
        <v>0.9</v>
      </c>
      <c r="H216" t="n">
        <v>0</v>
      </c>
      <c r="I216" t="n">
        <v>1</v>
      </c>
      <c r="J216" t="n">
        <v>0</v>
      </c>
      <c r="K216" t="n">
        <v>0</v>
      </c>
      <c r="L216" t="n">
        <v>0</v>
      </c>
      <c r="M216" t="n">
        <v>0</v>
      </c>
      <c r="N216" t="n">
        <v>0</v>
      </c>
      <c r="O216" t="n">
        <v>0</v>
      </c>
      <c r="P216" t="n">
        <v>0</v>
      </c>
      <c r="Q216" t="n">
        <v>1</v>
      </c>
      <c r="R216" s="2" t="inlineStr">
        <is>
          <t>Kryddspindling</t>
        </is>
      </c>
      <c r="S216">
        <f>HYPERLINK("https://klasma.github.io/Logging_2303/artfynd/A 43404-2023 artfynd.xlsx", "A 43404-2023")</f>
        <v/>
      </c>
      <c r="T216">
        <f>HYPERLINK("https://klasma.github.io/Logging_2303/kartor/A 43404-2023 karta.png", "A 43404-2023")</f>
        <v/>
      </c>
      <c r="V216">
        <f>HYPERLINK("https://klasma.github.io/Logging_2303/klagomål/A 43404-2023 FSC-klagomål.docx", "A 43404-2023")</f>
        <v/>
      </c>
      <c r="W216">
        <f>HYPERLINK("https://klasma.github.io/Logging_2303/klagomålsmail/A 43404-2023 FSC-klagomål mail.docx", "A 43404-2023")</f>
        <v/>
      </c>
      <c r="X216">
        <f>HYPERLINK("https://klasma.github.io/Logging_2303/tillsyn/A 43404-2023 tillsynsbegäran.docx", "A 43404-2023")</f>
        <v/>
      </c>
      <c r="Y216">
        <f>HYPERLINK("https://klasma.github.io/Logging_2303/tillsynsmail/A 43404-2023 tillsynsbegäran mail.docx", "A 43404-2023")</f>
        <v/>
      </c>
    </row>
    <row r="217" ht="15" customHeight="1">
      <c r="A217" t="inlineStr">
        <is>
          <t>A 51912-2025</t>
        </is>
      </c>
      <c r="B217" s="1" t="n">
        <v>45952.46939814815</v>
      </c>
      <c r="C217" s="1" t="n">
        <v>46033</v>
      </c>
      <c r="D217" t="inlineStr">
        <is>
          <t>JÄMTLANDS LÄN</t>
        </is>
      </c>
      <c r="E217" t="inlineStr">
        <is>
          <t>RAGUNDA</t>
        </is>
      </c>
      <c r="F217" t="inlineStr">
        <is>
          <t>SCA</t>
        </is>
      </c>
      <c r="G217" t="n">
        <v>24.2</v>
      </c>
      <c r="H217" t="n">
        <v>1</v>
      </c>
      <c r="I217" t="n">
        <v>0</v>
      </c>
      <c r="J217" t="n">
        <v>0</v>
      </c>
      <c r="K217" t="n">
        <v>1</v>
      </c>
      <c r="L217" t="n">
        <v>0</v>
      </c>
      <c r="M217" t="n">
        <v>0</v>
      </c>
      <c r="N217" t="n">
        <v>0</v>
      </c>
      <c r="O217" t="n">
        <v>1</v>
      </c>
      <c r="P217" t="n">
        <v>1</v>
      </c>
      <c r="Q217" t="n">
        <v>1</v>
      </c>
      <c r="R217" s="2" t="inlineStr">
        <is>
          <t>Norna</t>
        </is>
      </c>
      <c r="S217">
        <f>HYPERLINK("https://klasma.github.io/Logging_2303/artfynd/A 51912-2025 artfynd.xlsx", "A 51912-2025")</f>
        <v/>
      </c>
      <c r="T217">
        <f>HYPERLINK("https://klasma.github.io/Logging_2303/kartor/A 51912-2025 karta.png", "A 51912-2025")</f>
        <v/>
      </c>
      <c r="V217">
        <f>HYPERLINK("https://klasma.github.io/Logging_2303/klagomål/A 51912-2025 FSC-klagomål.docx", "A 51912-2025")</f>
        <v/>
      </c>
      <c r="W217">
        <f>HYPERLINK("https://klasma.github.io/Logging_2303/klagomålsmail/A 51912-2025 FSC-klagomål mail.docx", "A 51912-2025")</f>
        <v/>
      </c>
      <c r="X217">
        <f>HYPERLINK("https://klasma.github.io/Logging_2303/tillsyn/A 51912-2025 tillsynsbegäran.docx", "A 51912-2025")</f>
        <v/>
      </c>
      <c r="Y217">
        <f>HYPERLINK("https://klasma.github.io/Logging_2303/tillsynsmail/A 51912-2025 tillsynsbegäran mail.docx", "A 51912-2025")</f>
        <v/>
      </c>
    </row>
    <row r="218" ht="15" customHeight="1">
      <c r="A218" t="inlineStr">
        <is>
          <t>A 30390-2025</t>
        </is>
      </c>
      <c r="B218" s="1" t="n">
        <v>45827.57371527778</v>
      </c>
      <c r="C218" s="1" t="n">
        <v>46033</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22054-2025</t>
        </is>
      </c>
      <c r="B219" s="1" t="n">
        <v>45785.36525462963</v>
      </c>
      <c r="C219" s="1" t="n">
        <v>46033</v>
      </c>
      <c r="D219" t="inlineStr">
        <is>
          <t>JÄMTLANDS LÄN</t>
        </is>
      </c>
      <c r="E219" t="inlineStr">
        <is>
          <t>RAGUNDA</t>
        </is>
      </c>
      <c r="F219" t="inlineStr">
        <is>
          <t>SCA</t>
        </is>
      </c>
      <c r="G219" t="n">
        <v>4</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22054-2025 artfynd.xlsx", "A 22054-2025")</f>
        <v/>
      </c>
      <c r="T219">
        <f>HYPERLINK("https://klasma.github.io/Logging_2303/kartor/A 22054-2025 karta.png", "A 22054-2025")</f>
        <v/>
      </c>
      <c r="V219">
        <f>HYPERLINK("https://klasma.github.io/Logging_2303/klagomål/A 22054-2025 FSC-klagomål.docx", "A 22054-2025")</f>
        <v/>
      </c>
      <c r="W219">
        <f>HYPERLINK("https://klasma.github.io/Logging_2303/klagomålsmail/A 22054-2025 FSC-klagomål mail.docx", "A 22054-2025")</f>
        <v/>
      </c>
      <c r="X219">
        <f>HYPERLINK("https://klasma.github.io/Logging_2303/tillsyn/A 22054-2025 tillsynsbegäran.docx", "A 22054-2025")</f>
        <v/>
      </c>
      <c r="Y219">
        <f>HYPERLINK("https://klasma.github.io/Logging_2303/tillsynsmail/A 22054-2025 tillsynsbegäran mail.docx", "A 22054-2025")</f>
        <v/>
      </c>
      <c r="Z219">
        <f>HYPERLINK("https://klasma.github.io/Logging_2303/fåglar/A 22054-2025 prioriterade fågelarter.docx", "A 22054-2025")</f>
        <v/>
      </c>
    </row>
    <row r="220" ht="15" customHeight="1">
      <c r="A220" t="inlineStr">
        <is>
          <t>A 24443-2024</t>
        </is>
      </c>
      <c r="B220" s="1" t="n">
        <v>45457.9640625</v>
      </c>
      <c r="C220" s="1" t="n">
        <v>46033</v>
      </c>
      <c r="D220" t="inlineStr">
        <is>
          <t>JÄMTLANDS LÄN</t>
        </is>
      </c>
      <c r="E220" t="inlineStr">
        <is>
          <t>RAGUNDA</t>
        </is>
      </c>
      <c r="F220" t="inlineStr">
        <is>
          <t>SCA</t>
        </is>
      </c>
      <c r="G220" t="n">
        <v>2.1</v>
      </c>
      <c r="H220" t="n">
        <v>0</v>
      </c>
      <c r="I220" t="n">
        <v>0</v>
      </c>
      <c r="J220" t="n">
        <v>1</v>
      </c>
      <c r="K220" t="n">
        <v>0</v>
      </c>
      <c r="L220" t="n">
        <v>0</v>
      </c>
      <c r="M220" t="n">
        <v>0</v>
      </c>
      <c r="N220" t="n">
        <v>0</v>
      </c>
      <c r="O220" t="n">
        <v>1</v>
      </c>
      <c r="P220" t="n">
        <v>0</v>
      </c>
      <c r="Q220" t="n">
        <v>1</v>
      </c>
      <c r="R220" s="2" t="inlineStr">
        <is>
          <t>Lunglav</t>
        </is>
      </c>
      <c r="S220">
        <f>HYPERLINK("https://klasma.github.io/Logging_2303/artfynd/A 24443-2024 artfynd.xlsx", "A 24443-2024")</f>
        <v/>
      </c>
      <c r="T220">
        <f>HYPERLINK("https://klasma.github.io/Logging_2303/kartor/A 24443-2024 karta.png", "A 24443-2024")</f>
        <v/>
      </c>
      <c r="U220">
        <f>HYPERLINK("https://klasma.github.io/Logging_2303/knärot/A 24443-2024 karta knärot.png", "A 24443-2024")</f>
        <v/>
      </c>
      <c r="V220">
        <f>HYPERLINK("https://klasma.github.io/Logging_2303/klagomål/A 24443-2024 FSC-klagomål.docx", "A 24443-2024")</f>
        <v/>
      </c>
      <c r="W220">
        <f>HYPERLINK("https://klasma.github.io/Logging_2303/klagomålsmail/A 24443-2024 FSC-klagomål mail.docx", "A 24443-2024")</f>
        <v/>
      </c>
      <c r="X220">
        <f>HYPERLINK("https://klasma.github.io/Logging_2303/tillsyn/A 24443-2024 tillsynsbegäran.docx", "A 24443-2024")</f>
        <v/>
      </c>
      <c r="Y220">
        <f>HYPERLINK("https://klasma.github.io/Logging_2303/tillsynsmail/A 24443-2024 tillsynsbegäran mail.docx", "A 24443-2024")</f>
        <v/>
      </c>
    </row>
    <row r="221" ht="15" customHeight="1">
      <c r="A221" t="inlineStr">
        <is>
          <t>A 23930-2024</t>
        </is>
      </c>
      <c r="B221" s="1" t="n">
        <v>45455.96184027778</v>
      </c>
      <c r="C221" s="1" t="n">
        <v>46033</v>
      </c>
      <c r="D221" t="inlineStr">
        <is>
          <t>JÄMTLANDS LÄN</t>
        </is>
      </c>
      <c r="E221" t="inlineStr">
        <is>
          <t>RAGUNDA</t>
        </is>
      </c>
      <c r="F221" t="inlineStr">
        <is>
          <t>SCA</t>
        </is>
      </c>
      <c r="G221" t="n">
        <v>4.2</v>
      </c>
      <c r="H221" t="n">
        <v>1</v>
      </c>
      <c r="I221" t="n">
        <v>1</v>
      </c>
      <c r="J221" t="n">
        <v>0</v>
      </c>
      <c r="K221" t="n">
        <v>0</v>
      </c>
      <c r="L221" t="n">
        <v>0</v>
      </c>
      <c r="M221" t="n">
        <v>0</v>
      </c>
      <c r="N221" t="n">
        <v>0</v>
      </c>
      <c r="O221" t="n">
        <v>0</v>
      </c>
      <c r="P221" t="n">
        <v>0</v>
      </c>
      <c r="Q221" t="n">
        <v>1</v>
      </c>
      <c r="R221" s="2" t="inlineStr">
        <is>
          <t>Guckusko</t>
        </is>
      </c>
      <c r="S221">
        <f>HYPERLINK("https://klasma.github.io/Logging_2303/artfynd/A 23930-2024 artfynd.xlsx", "A 23930-2024")</f>
        <v/>
      </c>
      <c r="T221">
        <f>HYPERLINK("https://klasma.github.io/Logging_2303/kartor/A 23930-2024 karta.png", "A 23930-2024")</f>
        <v/>
      </c>
      <c r="V221">
        <f>HYPERLINK("https://klasma.github.io/Logging_2303/klagomål/A 23930-2024 FSC-klagomål.docx", "A 23930-2024")</f>
        <v/>
      </c>
      <c r="W221">
        <f>HYPERLINK("https://klasma.github.io/Logging_2303/klagomålsmail/A 23930-2024 FSC-klagomål mail.docx", "A 23930-2024")</f>
        <v/>
      </c>
      <c r="X221">
        <f>HYPERLINK("https://klasma.github.io/Logging_2303/tillsyn/A 23930-2024 tillsynsbegäran.docx", "A 23930-2024")</f>
        <v/>
      </c>
      <c r="Y221">
        <f>HYPERLINK("https://klasma.github.io/Logging_2303/tillsynsmail/A 23930-2024 tillsynsbegäran mail.docx", "A 23930-2024")</f>
        <v/>
      </c>
    </row>
    <row r="222" ht="15" customHeight="1">
      <c r="A222" t="inlineStr">
        <is>
          <t>A 32445-2025</t>
        </is>
      </c>
      <c r="B222" s="1" t="n">
        <v>45838.38627314815</v>
      </c>
      <c r="C222" s="1" t="n">
        <v>46033</v>
      </c>
      <c r="D222" t="inlineStr">
        <is>
          <t>JÄMTLANDS LÄN</t>
        </is>
      </c>
      <c r="E222" t="inlineStr">
        <is>
          <t>RAGUNDA</t>
        </is>
      </c>
      <c r="F222" t="inlineStr">
        <is>
          <t>SCA</t>
        </is>
      </c>
      <c r="G222" t="n">
        <v>1.6</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32445-2025 artfynd.xlsx", "A 32445-2025")</f>
        <v/>
      </c>
      <c r="T222">
        <f>HYPERLINK("https://klasma.github.io/Logging_2303/kartor/A 32445-2025 karta.png", "A 32445-2025")</f>
        <v/>
      </c>
      <c r="V222">
        <f>HYPERLINK("https://klasma.github.io/Logging_2303/klagomål/A 32445-2025 FSC-klagomål.docx", "A 32445-2025")</f>
        <v/>
      </c>
      <c r="W222">
        <f>HYPERLINK("https://klasma.github.io/Logging_2303/klagomålsmail/A 32445-2025 FSC-klagomål mail.docx", "A 32445-2025")</f>
        <v/>
      </c>
      <c r="X222">
        <f>HYPERLINK("https://klasma.github.io/Logging_2303/tillsyn/A 32445-2025 tillsynsbegäran.docx", "A 32445-2025")</f>
        <v/>
      </c>
      <c r="Y222">
        <f>HYPERLINK("https://klasma.github.io/Logging_2303/tillsynsmail/A 32445-2025 tillsynsbegäran mail.docx", "A 32445-2025")</f>
        <v/>
      </c>
      <c r="Z222">
        <f>HYPERLINK("https://klasma.github.io/Logging_2303/fåglar/A 32445-2025 prioriterade fågelarter.docx", "A 32445-2025")</f>
        <v/>
      </c>
    </row>
    <row r="223" ht="15" customHeight="1">
      <c r="A223" t="inlineStr">
        <is>
          <t>A 49053-2025</t>
        </is>
      </c>
      <c r="B223" s="1" t="n">
        <v>45937.64009259259</v>
      </c>
      <c r="C223" s="1" t="n">
        <v>46033</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34474-2025</t>
        </is>
      </c>
      <c r="B224" s="1" t="n">
        <v>45847.36528935185</v>
      </c>
      <c r="C224" s="1" t="n">
        <v>46033</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978-2024</t>
        </is>
      </c>
      <c r="B225" s="1" t="n">
        <v>45301</v>
      </c>
      <c r="C225" s="1" t="n">
        <v>46033</v>
      </c>
      <c r="D225" t="inlineStr">
        <is>
          <t>JÄMTLANDS LÄN</t>
        </is>
      </c>
      <c r="E225" t="inlineStr">
        <is>
          <t>RAGUNDA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978-2024 artfynd.xlsx", "A 978-2024")</f>
        <v/>
      </c>
      <c r="T225">
        <f>HYPERLINK("https://klasma.github.io/Logging_2303/kartor/A 978-2024 karta.png", "A 978-2024")</f>
        <v/>
      </c>
      <c r="V225">
        <f>HYPERLINK("https://klasma.github.io/Logging_2303/klagomål/A 978-2024 FSC-klagomål.docx", "A 978-2024")</f>
        <v/>
      </c>
      <c r="W225">
        <f>HYPERLINK("https://klasma.github.io/Logging_2303/klagomålsmail/A 978-2024 FSC-klagomål mail.docx", "A 978-2024")</f>
        <v/>
      </c>
      <c r="X225">
        <f>HYPERLINK("https://klasma.github.io/Logging_2303/tillsyn/A 978-2024 tillsynsbegäran.docx", "A 978-2024")</f>
        <v/>
      </c>
      <c r="Y225">
        <f>HYPERLINK("https://klasma.github.io/Logging_2303/tillsynsmail/A 978-2024 tillsynsbegäran mail.docx", "A 978-2024")</f>
        <v/>
      </c>
      <c r="Z225">
        <f>HYPERLINK("https://klasma.github.io/Logging_2303/fåglar/A 978-2024 prioriterade fågelarter.docx", "A 978-2024")</f>
        <v/>
      </c>
    </row>
    <row r="226" ht="15" customHeight="1">
      <c r="A226" t="inlineStr">
        <is>
          <t>A 1057-2024</t>
        </is>
      </c>
      <c r="B226" s="1" t="n">
        <v>45301</v>
      </c>
      <c r="C226" s="1" t="n">
        <v>46033</v>
      </c>
      <c r="D226" t="inlineStr">
        <is>
          <t>JÄMTLANDS LÄN</t>
        </is>
      </c>
      <c r="E226" t="inlineStr">
        <is>
          <t>RAGUNDA</t>
        </is>
      </c>
      <c r="F226" t="inlineStr">
        <is>
          <t>SCA</t>
        </is>
      </c>
      <c r="G226" t="n">
        <v>6.8</v>
      </c>
      <c r="H226" t="n">
        <v>0</v>
      </c>
      <c r="I226" t="n">
        <v>1</v>
      </c>
      <c r="J226" t="n">
        <v>0</v>
      </c>
      <c r="K226" t="n">
        <v>0</v>
      </c>
      <c r="L226" t="n">
        <v>0</v>
      </c>
      <c r="M226" t="n">
        <v>0</v>
      </c>
      <c r="N226" t="n">
        <v>0</v>
      </c>
      <c r="O226" t="n">
        <v>0</v>
      </c>
      <c r="P226" t="n">
        <v>0</v>
      </c>
      <c r="Q226" t="n">
        <v>1</v>
      </c>
      <c r="R226" s="2" t="inlineStr">
        <is>
          <t>Stor aspticka</t>
        </is>
      </c>
      <c r="S226">
        <f>HYPERLINK("https://klasma.github.io/Logging_2303/artfynd/A 1057-2024 artfynd.xlsx", "A 1057-2024")</f>
        <v/>
      </c>
      <c r="T226">
        <f>HYPERLINK("https://klasma.github.io/Logging_2303/kartor/A 1057-2024 karta.png", "A 1057-2024")</f>
        <v/>
      </c>
      <c r="V226">
        <f>HYPERLINK("https://klasma.github.io/Logging_2303/klagomål/A 1057-2024 FSC-klagomål.docx", "A 1057-2024")</f>
        <v/>
      </c>
      <c r="W226">
        <f>HYPERLINK("https://klasma.github.io/Logging_2303/klagomålsmail/A 1057-2024 FSC-klagomål mail.docx", "A 1057-2024")</f>
        <v/>
      </c>
      <c r="X226">
        <f>HYPERLINK("https://klasma.github.io/Logging_2303/tillsyn/A 1057-2024 tillsynsbegäran.docx", "A 1057-2024")</f>
        <v/>
      </c>
      <c r="Y226">
        <f>HYPERLINK("https://klasma.github.io/Logging_2303/tillsynsmail/A 1057-2024 tillsynsbegäran mail.docx", "A 1057-2024")</f>
        <v/>
      </c>
    </row>
    <row r="227" ht="15" customHeight="1">
      <c r="A227" t="inlineStr">
        <is>
          <t>A 31773-2021</t>
        </is>
      </c>
      <c r="B227" s="1" t="n">
        <v>44369</v>
      </c>
      <c r="C227" s="1" t="n">
        <v>46033</v>
      </c>
      <c r="D227" t="inlineStr">
        <is>
          <t>JÄMTLANDS LÄN</t>
        </is>
      </c>
      <c r="E227" t="inlineStr">
        <is>
          <t>RAGUNDA</t>
        </is>
      </c>
      <c r="G227" t="n">
        <v>0.8</v>
      </c>
      <c r="H227" t="n">
        <v>0</v>
      </c>
      <c r="I227" t="n">
        <v>0</v>
      </c>
      <c r="J227" t="n">
        <v>0</v>
      </c>
      <c r="K227" t="n">
        <v>1</v>
      </c>
      <c r="L227" t="n">
        <v>0</v>
      </c>
      <c r="M227" t="n">
        <v>0</v>
      </c>
      <c r="N227" t="n">
        <v>0</v>
      </c>
      <c r="O227" t="n">
        <v>1</v>
      </c>
      <c r="P227" t="n">
        <v>1</v>
      </c>
      <c r="Q227" t="n">
        <v>1</v>
      </c>
      <c r="R227" s="2" t="inlineStr">
        <is>
          <t>Strandsandjägare</t>
        </is>
      </c>
      <c r="S227">
        <f>HYPERLINK("https://klasma.github.io/Logging_2303/artfynd/A 31773-2021 artfynd.xlsx", "A 31773-2021")</f>
        <v/>
      </c>
      <c r="T227">
        <f>HYPERLINK("https://klasma.github.io/Logging_2303/kartor/A 31773-2021 karta.png", "A 31773-2021")</f>
        <v/>
      </c>
      <c r="V227">
        <f>HYPERLINK("https://klasma.github.io/Logging_2303/klagomål/A 31773-2021 FSC-klagomål.docx", "A 31773-2021")</f>
        <v/>
      </c>
      <c r="W227">
        <f>HYPERLINK("https://klasma.github.io/Logging_2303/klagomålsmail/A 31773-2021 FSC-klagomål mail.docx", "A 31773-2021")</f>
        <v/>
      </c>
      <c r="X227">
        <f>HYPERLINK("https://klasma.github.io/Logging_2303/tillsyn/A 31773-2021 tillsynsbegäran.docx", "A 31773-2021")</f>
        <v/>
      </c>
      <c r="Y227">
        <f>HYPERLINK("https://klasma.github.io/Logging_2303/tillsynsmail/A 31773-2021 tillsynsbegäran mail.docx", "A 31773-2021")</f>
        <v/>
      </c>
    </row>
    <row r="228" ht="15" customHeight="1">
      <c r="A228" t="inlineStr">
        <is>
          <t>A 26317-2024</t>
        </is>
      </c>
      <c r="B228" s="1" t="n">
        <v>45468</v>
      </c>
      <c r="C228" s="1" t="n">
        <v>46033</v>
      </c>
      <c r="D228" t="inlineStr">
        <is>
          <t>JÄMTLANDS LÄN</t>
        </is>
      </c>
      <c r="E228" t="inlineStr">
        <is>
          <t>RAGUNDA</t>
        </is>
      </c>
      <c r="F228" t="inlineStr">
        <is>
          <t>SCA</t>
        </is>
      </c>
      <c r="G228" t="n">
        <v>3.8</v>
      </c>
      <c r="H228" t="n">
        <v>0</v>
      </c>
      <c r="I228" t="n">
        <v>0</v>
      </c>
      <c r="J228" t="n">
        <v>1</v>
      </c>
      <c r="K228" t="n">
        <v>0</v>
      </c>
      <c r="L228" t="n">
        <v>0</v>
      </c>
      <c r="M228" t="n">
        <v>0</v>
      </c>
      <c r="N228" t="n">
        <v>0</v>
      </c>
      <c r="O228" t="n">
        <v>1</v>
      </c>
      <c r="P228" t="n">
        <v>0</v>
      </c>
      <c r="Q228" t="n">
        <v>1</v>
      </c>
      <c r="R228" s="2" t="inlineStr">
        <is>
          <t>Kortskaftad ärgspik</t>
        </is>
      </c>
      <c r="S228">
        <f>HYPERLINK("https://klasma.github.io/Logging_2303/artfynd/A 26317-2024 artfynd.xlsx", "A 26317-2024")</f>
        <v/>
      </c>
      <c r="T228">
        <f>HYPERLINK("https://klasma.github.io/Logging_2303/kartor/A 26317-2024 karta.png", "A 26317-2024")</f>
        <v/>
      </c>
      <c r="V228">
        <f>HYPERLINK("https://klasma.github.io/Logging_2303/klagomål/A 26317-2024 FSC-klagomål.docx", "A 26317-2024")</f>
        <v/>
      </c>
      <c r="W228">
        <f>HYPERLINK("https://klasma.github.io/Logging_2303/klagomålsmail/A 26317-2024 FSC-klagomål mail.docx", "A 26317-2024")</f>
        <v/>
      </c>
      <c r="X228">
        <f>HYPERLINK("https://klasma.github.io/Logging_2303/tillsyn/A 26317-2024 tillsynsbegäran.docx", "A 26317-2024")</f>
        <v/>
      </c>
      <c r="Y228">
        <f>HYPERLINK("https://klasma.github.io/Logging_2303/tillsynsmail/A 26317-2024 tillsynsbegäran mail.docx", "A 26317-2024")</f>
        <v/>
      </c>
    </row>
    <row r="229" ht="15" customHeight="1">
      <c r="A229" t="inlineStr">
        <is>
          <t>A 49091-2022</t>
        </is>
      </c>
      <c r="B229" s="1" t="n">
        <v>44860</v>
      </c>
      <c r="C229" s="1" t="n">
        <v>46033</v>
      </c>
      <c r="D229" t="inlineStr">
        <is>
          <t>JÄMTLANDS LÄN</t>
        </is>
      </c>
      <c r="E229" t="inlineStr">
        <is>
          <t>RAGUNDA</t>
        </is>
      </c>
      <c r="G229" t="n">
        <v>3.5</v>
      </c>
      <c r="H229" t="n">
        <v>1</v>
      </c>
      <c r="I229" t="n">
        <v>0</v>
      </c>
      <c r="J229" t="n">
        <v>0</v>
      </c>
      <c r="K229" t="n">
        <v>1</v>
      </c>
      <c r="L229" t="n">
        <v>0</v>
      </c>
      <c r="M229" t="n">
        <v>0</v>
      </c>
      <c r="N229" t="n">
        <v>0</v>
      </c>
      <c r="O229" t="n">
        <v>1</v>
      </c>
      <c r="P229" t="n">
        <v>1</v>
      </c>
      <c r="Q229" t="n">
        <v>1</v>
      </c>
      <c r="R229" s="2" t="inlineStr">
        <is>
          <t>Doftticka</t>
        </is>
      </c>
      <c r="S229">
        <f>HYPERLINK("https://klasma.github.io/Logging_2303/artfynd/A 49091-2022 artfynd.xlsx", "A 49091-2022")</f>
        <v/>
      </c>
      <c r="T229">
        <f>HYPERLINK("https://klasma.github.io/Logging_2303/kartor/A 49091-2022 karta.png", "A 49091-2022")</f>
        <v/>
      </c>
      <c r="V229">
        <f>HYPERLINK("https://klasma.github.io/Logging_2303/klagomål/A 49091-2022 FSC-klagomål.docx", "A 49091-2022")</f>
        <v/>
      </c>
      <c r="W229">
        <f>HYPERLINK("https://klasma.github.io/Logging_2303/klagomålsmail/A 49091-2022 FSC-klagomål mail.docx", "A 49091-2022")</f>
        <v/>
      </c>
      <c r="X229">
        <f>HYPERLINK("https://klasma.github.io/Logging_2303/tillsyn/A 49091-2022 tillsynsbegäran.docx", "A 49091-2022")</f>
        <v/>
      </c>
      <c r="Y229">
        <f>HYPERLINK("https://klasma.github.io/Logging_2303/tillsynsmail/A 49091-2022 tillsynsbegäran mail.docx", "A 49091-2022")</f>
        <v/>
      </c>
    </row>
    <row r="230" ht="15" customHeight="1">
      <c r="A230" t="inlineStr">
        <is>
          <t>A 50164-2023</t>
        </is>
      </c>
      <c r="B230" s="1" t="n">
        <v>45208</v>
      </c>
      <c r="C230" s="1" t="n">
        <v>46033</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48429-2023</t>
        </is>
      </c>
      <c r="B231" s="1" t="n">
        <v>45205</v>
      </c>
      <c r="C231" s="1" t="n">
        <v>46033</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48429-2023 artfynd.xlsx", "A 48429-2023")</f>
        <v/>
      </c>
      <c r="T231">
        <f>HYPERLINK("https://klasma.github.io/Logging_2303/kartor/A 48429-2023 karta.png", "A 48429-2023")</f>
        <v/>
      </c>
      <c r="V231">
        <f>HYPERLINK("https://klasma.github.io/Logging_2303/klagomål/A 48429-2023 FSC-klagomål.docx", "A 48429-2023")</f>
        <v/>
      </c>
      <c r="W231">
        <f>HYPERLINK("https://klasma.github.io/Logging_2303/klagomålsmail/A 48429-2023 FSC-klagomål mail.docx", "A 48429-2023")</f>
        <v/>
      </c>
      <c r="X231">
        <f>HYPERLINK("https://klasma.github.io/Logging_2303/tillsyn/A 48429-2023 tillsynsbegäran.docx", "A 48429-2023")</f>
        <v/>
      </c>
      <c r="Y231">
        <f>HYPERLINK("https://klasma.github.io/Logging_2303/tillsynsmail/A 48429-2023 tillsynsbegäran mail.docx", "A 48429-2023")</f>
        <v/>
      </c>
    </row>
    <row r="232" ht="15" customHeight="1">
      <c r="A232" t="inlineStr">
        <is>
          <t>A 55756-2025</t>
        </is>
      </c>
      <c r="B232" s="1" t="n">
        <v>45972.59438657408</v>
      </c>
      <c r="C232" s="1" t="n">
        <v>46033</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56599-2025</t>
        </is>
      </c>
      <c r="B233" s="1" t="n">
        <v>45975.5734837963</v>
      </c>
      <c r="C233" s="1" t="n">
        <v>46033</v>
      </c>
      <c r="D233" t="inlineStr">
        <is>
          <t>JÄMTLANDS LÄN</t>
        </is>
      </c>
      <c r="E233" t="inlineStr">
        <is>
          <t>RAGUNDA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HYPERLINK("https://klasma.github.io/Logging_2303/artfynd/A 56599-2025 artfynd.xlsx", "A 56599-2025")</f>
        <v/>
      </c>
      <c r="T233">
        <f>HYPERLINK("https://klasma.github.io/Logging_2303/kartor/A 56599-2025 karta.png", "A 56599-2025")</f>
        <v/>
      </c>
      <c r="V233">
        <f>HYPERLINK("https://klasma.github.io/Logging_2303/klagomål/A 56599-2025 FSC-klagomål.docx", "A 56599-2025")</f>
        <v/>
      </c>
      <c r="W233">
        <f>HYPERLINK("https://klasma.github.io/Logging_2303/klagomålsmail/A 56599-2025 FSC-klagomål mail.docx", "A 56599-2025")</f>
        <v/>
      </c>
      <c r="X233">
        <f>HYPERLINK("https://klasma.github.io/Logging_2303/tillsyn/A 56599-2025 tillsynsbegäran.docx", "A 56599-2025")</f>
        <v/>
      </c>
      <c r="Y233">
        <f>HYPERLINK("https://klasma.github.io/Logging_2303/tillsynsmail/A 56599-2025 tillsynsbegäran mail.docx", "A 56599-2025")</f>
        <v/>
      </c>
    </row>
    <row r="234" ht="15" customHeight="1">
      <c r="A234" t="inlineStr">
        <is>
          <t>A 57253-2025</t>
        </is>
      </c>
      <c r="B234" s="1" t="n">
        <v>45979.64381944444</v>
      </c>
      <c r="C234" s="1" t="n">
        <v>46033</v>
      </c>
      <c r="D234" t="inlineStr">
        <is>
          <t>JÄMTLANDS LÄN</t>
        </is>
      </c>
      <c r="E234" t="inlineStr">
        <is>
          <t>RAGUNDA</t>
        </is>
      </c>
      <c r="G234" t="n">
        <v>1.2</v>
      </c>
      <c r="H234" t="n">
        <v>0</v>
      </c>
      <c r="I234" t="n">
        <v>1</v>
      </c>
      <c r="J234" t="n">
        <v>0</v>
      </c>
      <c r="K234" t="n">
        <v>0</v>
      </c>
      <c r="L234" t="n">
        <v>0</v>
      </c>
      <c r="M234" t="n">
        <v>0</v>
      </c>
      <c r="N234" t="n">
        <v>0</v>
      </c>
      <c r="O234" t="n">
        <v>0</v>
      </c>
      <c r="P234" t="n">
        <v>0</v>
      </c>
      <c r="Q234" t="n">
        <v>1</v>
      </c>
      <c r="R234" s="2" t="inlineStr">
        <is>
          <t>Skinnlav</t>
        </is>
      </c>
      <c r="S234">
        <f>HYPERLINK("https://klasma.github.io/Logging_2303/artfynd/A 57253-2025 artfynd.xlsx", "A 57253-2025")</f>
        <v/>
      </c>
      <c r="T234">
        <f>HYPERLINK("https://klasma.github.io/Logging_2303/kartor/A 57253-2025 karta.png", "A 57253-2025")</f>
        <v/>
      </c>
      <c r="V234">
        <f>HYPERLINK("https://klasma.github.io/Logging_2303/klagomål/A 57253-2025 FSC-klagomål.docx", "A 57253-2025")</f>
        <v/>
      </c>
      <c r="W234">
        <f>HYPERLINK("https://klasma.github.io/Logging_2303/klagomålsmail/A 57253-2025 FSC-klagomål mail.docx", "A 57253-2025")</f>
        <v/>
      </c>
      <c r="X234">
        <f>HYPERLINK("https://klasma.github.io/Logging_2303/tillsyn/A 57253-2025 tillsynsbegäran.docx", "A 57253-2025")</f>
        <v/>
      </c>
      <c r="Y234">
        <f>HYPERLINK("https://klasma.github.io/Logging_2303/tillsynsmail/A 57253-2025 tillsynsbegäran mail.docx", "A 57253-2025")</f>
        <v/>
      </c>
    </row>
    <row r="235" ht="15" customHeight="1">
      <c r="A235" t="inlineStr">
        <is>
          <t>A 17340-2023</t>
        </is>
      </c>
      <c r="B235" s="1" t="n">
        <v>45033</v>
      </c>
      <c r="C235" s="1" t="n">
        <v>46033</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57479-2025</t>
        </is>
      </c>
      <c r="B236" s="1" t="n">
        <v>45980.5737037037</v>
      </c>
      <c r="C236" s="1" t="n">
        <v>46033</v>
      </c>
      <c r="D236" t="inlineStr">
        <is>
          <t>JÄMTLANDS LÄN</t>
        </is>
      </c>
      <c r="E236" t="inlineStr">
        <is>
          <t>RAGUNDA</t>
        </is>
      </c>
      <c r="F236" t="inlineStr">
        <is>
          <t>SCA</t>
        </is>
      </c>
      <c r="G236" t="n">
        <v>12</v>
      </c>
      <c r="H236" t="n">
        <v>0</v>
      </c>
      <c r="I236" t="n">
        <v>0</v>
      </c>
      <c r="J236" t="n">
        <v>1</v>
      </c>
      <c r="K236" t="n">
        <v>0</v>
      </c>
      <c r="L236" t="n">
        <v>0</v>
      </c>
      <c r="M236" t="n">
        <v>0</v>
      </c>
      <c r="N236" t="n">
        <v>0</v>
      </c>
      <c r="O236" t="n">
        <v>1</v>
      </c>
      <c r="P236" t="n">
        <v>0</v>
      </c>
      <c r="Q236" t="n">
        <v>1</v>
      </c>
      <c r="R236" s="2" t="inlineStr">
        <is>
          <t>Kolflarnlav</t>
        </is>
      </c>
      <c r="S236">
        <f>HYPERLINK("https://klasma.github.io/Logging_2303/artfynd/A 57479-2025 artfynd.xlsx", "A 57479-2025")</f>
        <v/>
      </c>
      <c r="T236">
        <f>HYPERLINK("https://klasma.github.io/Logging_2303/kartor/A 57479-2025 karta.png", "A 57479-2025")</f>
        <v/>
      </c>
      <c r="V236">
        <f>HYPERLINK("https://klasma.github.io/Logging_2303/klagomål/A 57479-2025 FSC-klagomål.docx", "A 57479-2025")</f>
        <v/>
      </c>
      <c r="W236">
        <f>HYPERLINK("https://klasma.github.io/Logging_2303/klagomålsmail/A 57479-2025 FSC-klagomål mail.docx", "A 57479-2025")</f>
        <v/>
      </c>
      <c r="X236">
        <f>HYPERLINK("https://klasma.github.io/Logging_2303/tillsyn/A 57479-2025 tillsynsbegäran.docx", "A 57479-2025")</f>
        <v/>
      </c>
      <c r="Y236">
        <f>HYPERLINK("https://klasma.github.io/Logging_2303/tillsynsmail/A 57479-2025 tillsynsbegäran mail.docx", "A 57479-2025")</f>
        <v/>
      </c>
    </row>
    <row r="237" ht="15" customHeight="1">
      <c r="A237" t="inlineStr">
        <is>
          <t>A 57478-2025</t>
        </is>
      </c>
      <c r="B237" s="1" t="n">
        <v>45980.57349537037</v>
      </c>
      <c r="C237" s="1" t="n">
        <v>46033</v>
      </c>
      <c r="D237" t="inlineStr">
        <is>
          <t>JÄMTLANDS LÄN</t>
        </is>
      </c>
      <c r="E237" t="inlineStr">
        <is>
          <t>RAGUNDA</t>
        </is>
      </c>
      <c r="F237" t="inlineStr">
        <is>
          <t>SCA</t>
        </is>
      </c>
      <c r="G237" t="n">
        <v>3.3</v>
      </c>
      <c r="H237" t="n">
        <v>0</v>
      </c>
      <c r="I237" t="n">
        <v>0</v>
      </c>
      <c r="J237" t="n">
        <v>1</v>
      </c>
      <c r="K237" t="n">
        <v>0</v>
      </c>
      <c r="L237" t="n">
        <v>0</v>
      </c>
      <c r="M237" t="n">
        <v>0</v>
      </c>
      <c r="N237" t="n">
        <v>0</v>
      </c>
      <c r="O237" t="n">
        <v>1</v>
      </c>
      <c r="P237" t="n">
        <v>0</v>
      </c>
      <c r="Q237" t="n">
        <v>1</v>
      </c>
      <c r="R237" s="2" t="inlineStr">
        <is>
          <t>Lunglav</t>
        </is>
      </c>
      <c r="S237">
        <f>HYPERLINK("https://klasma.github.io/Logging_2303/artfynd/A 57478-2025 artfynd.xlsx", "A 57478-2025")</f>
        <v/>
      </c>
      <c r="T237">
        <f>HYPERLINK("https://klasma.github.io/Logging_2303/kartor/A 57478-2025 karta.png", "A 57478-2025")</f>
        <v/>
      </c>
      <c r="V237">
        <f>HYPERLINK("https://klasma.github.io/Logging_2303/klagomål/A 57478-2025 FSC-klagomål.docx", "A 57478-2025")</f>
        <v/>
      </c>
      <c r="W237">
        <f>HYPERLINK("https://klasma.github.io/Logging_2303/klagomålsmail/A 57478-2025 FSC-klagomål mail.docx", "A 57478-2025")</f>
        <v/>
      </c>
      <c r="X237">
        <f>HYPERLINK("https://klasma.github.io/Logging_2303/tillsyn/A 57478-2025 tillsynsbegäran.docx", "A 57478-2025")</f>
        <v/>
      </c>
      <c r="Y237">
        <f>HYPERLINK("https://klasma.github.io/Logging_2303/tillsynsmail/A 57478-2025 tillsynsbegäran mail.docx", "A 57478-2025")</f>
        <v/>
      </c>
    </row>
    <row r="238" ht="15" customHeight="1">
      <c r="A238" t="inlineStr">
        <is>
          <t>A 26322-2024</t>
        </is>
      </c>
      <c r="B238" s="1" t="n">
        <v>45468.97461805555</v>
      </c>
      <c r="C238" s="1" t="n">
        <v>46033</v>
      </c>
      <c r="D238" t="inlineStr">
        <is>
          <t>JÄMTLANDS LÄN</t>
        </is>
      </c>
      <c r="E238" t="inlineStr">
        <is>
          <t>RAGUNDA</t>
        </is>
      </c>
      <c r="F238" t="inlineStr">
        <is>
          <t>SCA</t>
        </is>
      </c>
      <c r="G238" t="n">
        <v>9.6</v>
      </c>
      <c r="H238" t="n">
        <v>0</v>
      </c>
      <c r="I238" t="n">
        <v>0</v>
      </c>
      <c r="J238" t="n">
        <v>1</v>
      </c>
      <c r="K238" t="n">
        <v>0</v>
      </c>
      <c r="L238" t="n">
        <v>0</v>
      </c>
      <c r="M238" t="n">
        <v>0</v>
      </c>
      <c r="N238" t="n">
        <v>0</v>
      </c>
      <c r="O238" t="n">
        <v>1</v>
      </c>
      <c r="P238" t="n">
        <v>0</v>
      </c>
      <c r="Q238" t="n">
        <v>1</v>
      </c>
      <c r="R238" s="2" t="inlineStr">
        <is>
          <t>Rosenticka</t>
        </is>
      </c>
      <c r="S238">
        <f>HYPERLINK("https://klasma.github.io/Logging_2303/artfynd/A 26322-2024 artfynd.xlsx", "A 26322-2024")</f>
        <v/>
      </c>
      <c r="T238">
        <f>HYPERLINK("https://klasma.github.io/Logging_2303/kartor/A 26322-2024 karta.png", "A 26322-2024")</f>
        <v/>
      </c>
      <c r="U238">
        <f>HYPERLINK("https://klasma.github.io/Logging_2303/knärot/A 26322-2024 karta knärot.png", "A 26322-2024")</f>
        <v/>
      </c>
      <c r="V238">
        <f>HYPERLINK("https://klasma.github.io/Logging_2303/klagomål/A 26322-2024 FSC-klagomål.docx", "A 26322-2024")</f>
        <v/>
      </c>
      <c r="W238">
        <f>HYPERLINK("https://klasma.github.io/Logging_2303/klagomålsmail/A 26322-2024 FSC-klagomål mail.docx", "A 26322-2024")</f>
        <v/>
      </c>
      <c r="X238">
        <f>HYPERLINK("https://klasma.github.io/Logging_2303/tillsyn/A 26322-2024 tillsynsbegäran.docx", "A 26322-2024")</f>
        <v/>
      </c>
      <c r="Y238">
        <f>HYPERLINK("https://klasma.github.io/Logging_2303/tillsynsmail/A 26322-2024 tillsynsbegäran mail.docx", "A 26322-2024")</f>
        <v/>
      </c>
    </row>
    <row r="239" ht="15" customHeight="1">
      <c r="A239" t="inlineStr">
        <is>
          <t>A 58990-2025</t>
        </is>
      </c>
      <c r="B239" s="1" t="n">
        <v>45987</v>
      </c>
      <c r="C239" s="1" t="n">
        <v>46033</v>
      </c>
      <c r="D239" t="inlineStr">
        <is>
          <t>JÄMTLANDS LÄN</t>
        </is>
      </c>
      <c r="E239" t="inlineStr">
        <is>
          <t>RAGUNDA</t>
        </is>
      </c>
      <c r="F239" t="inlineStr">
        <is>
          <t>SCA</t>
        </is>
      </c>
      <c r="G239" t="n">
        <v>4.6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58990-2025 artfynd.xlsx", "A 58990-2025")</f>
        <v/>
      </c>
      <c r="T239">
        <f>HYPERLINK("https://klasma.github.io/Logging_2303/kartor/A 58990-2025 karta.png", "A 58990-2025")</f>
        <v/>
      </c>
      <c r="V239">
        <f>HYPERLINK("https://klasma.github.io/Logging_2303/klagomål/A 58990-2025 FSC-klagomål.docx", "A 58990-2025")</f>
        <v/>
      </c>
      <c r="W239">
        <f>HYPERLINK("https://klasma.github.io/Logging_2303/klagomålsmail/A 58990-2025 FSC-klagomål mail.docx", "A 58990-2025")</f>
        <v/>
      </c>
      <c r="X239">
        <f>HYPERLINK("https://klasma.github.io/Logging_2303/tillsyn/A 58990-2025 tillsynsbegäran.docx", "A 58990-2025")</f>
        <v/>
      </c>
      <c r="Y239">
        <f>HYPERLINK("https://klasma.github.io/Logging_2303/tillsynsmail/A 58990-2025 tillsynsbegäran mail.docx", "A 58990-2025")</f>
        <v/>
      </c>
      <c r="Z239">
        <f>HYPERLINK("https://klasma.github.io/Logging_2303/fåglar/A 58990-2025 prioriterade fågelarter.docx", "A 58990-2025")</f>
        <v/>
      </c>
    </row>
    <row r="240" ht="15" customHeight="1">
      <c r="A240" t="inlineStr">
        <is>
          <t>A 48477-2023</t>
        </is>
      </c>
      <c r="B240" s="1" t="n">
        <v>45206</v>
      </c>
      <c r="C240" s="1" t="n">
        <v>46033</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16724-2025</t>
        </is>
      </c>
      <c r="B241" s="1" t="n">
        <v>45754.51064814815</v>
      </c>
      <c r="C241" s="1" t="n">
        <v>46033</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29921-2024</t>
        </is>
      </c>
      <c r="B242" s="1" t="n">
        <v>45487.92863425926</v>
      </c>
      <c r="C242" s="1" t="n">
        <v>46033</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49770-2024</t>
        </is>
      </c>
      <c r="B243" s="1" t="n">
        <v>45597.34461805555</v>
      </c>
      <c r="C243" s="1" t="n">
        <v>46033</v>
      </c>
      <c r="D243" t="inlineStr">
        <is>
          <t>JÄMTLANDS LÄN</t>
        </is>
      </c>
      <c r="E243" t="inlineStr">
        <is>
          <t>RAGUNDA</t>
        </is>
      </c>
      <c r="F243" t="inlineStr">
        <is>
          <t>Naturvårdsverket</t>
        </is>
      </c>
      <c r="G243" t="n">
        <v>8.9</v>
      </c>
      <c r="H243" t="n">
        <v>1</v>
      </c>
      <c r="I243" t="n">
        <v>0</v>
      </c>
      <c r="J243" t="n">
        <v>0</v>
      </c>
      <c r="K243" t="n">
        <v>1</v>
      </c>
      <c r="L243" t="n">
        <v>0</v>
      </c>
      <c r="M243" t="n">
        <v>0</v>
      </c>
      <c r="N243" t="n">
        <v>0</v>
      </c>
      <c r="O243" t="n">
        <v>1</v>
      </c>
      <c r="P243" t="n">
        <v>1</v>
      </c>
      <c r="Q243" t="n">
        <v>1</v>
      </c>
      <c r="R243" s="2" t="inlineStr">
        <is>
          <t>Doftticka</t>
        </is>
      </c>
      <c r="S243">
        <f>HYPERLINK("https://klasma.github.io/Logging_2303/artfynd/A 49770-2024 artfynd.xlsx", "A 49770-2024")</f>
        <v/>
      </c>
      <c r="T243">
        <f>HYPERLINK("https://klasma.github.io/Logging_2303/kartor/A 49770-2024 karta.png", "A 49770-2024")</f>
        <v/>
      </c>
      <c r="V243">
        <f>HYPERLINK("https://klasma.github.io/Logging_2303/klagomål/A 49770-2024 FSC-klagomål.docx", "A 49770-2024")</f>
        <v/>
      </c>
      <c r="W243">
        <f>HYPERLINK("https://klasma.github.io/Logging_2303/klagomålsmail/A 49770-2024 FSC-klagomål mail.docx", "A 49770-2024")</f>
        <v/>
      </c>
      <c r="X243">
        <f>HYPERLINK("https://klasma.github.io/Logging_2303/tillsyn/A 49770-2024 tillsynsbegäran.docx", "A 49770-2024")</f>
        <v/>
      </c>
      <c r="Y243">
        <f>HYPERLINK("https://klasma.github.io/Logging_2303/tillsynsmail/A 49770-2024 tillsynsbegäran mail.docx", "A 49770-2024")</f>
        <v/>
      </c>
    </row>
    <row r="244" ht="15" customHeight="1">
      <c r="A244" t="inlineStr">
        <is>
          <t>A 30485-2024</t>
        </is>
      </c>
      <c r="B244" s="1" t="n">
        <v>45491.95008101852</v>
      </c>
      <c r="C244" s="1" t="n">
        <v>46033</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61324-2024</t>
        </is>
      </c>
      <c r="B245" s="1" t="n">
        <v>45646.34438657408</v>
      </c>
      <c r="C245" s="1" t="n">
        <v>46033</v>
      </c>
      <c r="D245" t="inlineStr">
        <is>
          <t>JÄMTLANDS LÄN</t>
        </is>
      </c>
      <c r="E245" t="inlineStr">
        <is>
          <t>RAGUNDA</t>
        </is>
      </c>
      <c r="F245" t="inlineStr">
        <is>
          <t>SCA</t>
        </is>
      </c>
      <c r="G245" t="n">
        <v>11.2</v>
      </c>
      <c r="H245" t="n">
        <v>1</v>
      </c>
      <c r="I245" t="n">
        <v>0</v>
      </c>
      <c r="J245" t="n">
        <v>0</v>
      </c>
      <c r="K245" t="n">
        <v>0</v>
      </c>
      <c r="L245" t="n">
        <v>0</v>
      </c>
      <c r="M245" t="n">
        <v>0</v>
      </c>
      <c r="N245" t="n">
        <v>0</v>
      </c>
      <c r="O245" t="n">
        <v>0</v>
      </c>
      <c r="P245" t="n">
        <v>0</v>
      </c>
      <c r="Q245" t="n">
        <v>1</v>
      </c>
      <c r="R245" s="2" t="inlineStr">
        <is>
          <t>Trana</t>
        </is>
      </c>
      <c r="S245">
        <f>HYPERLINK("https://klasma.github.io/Logging_2303/artfynd/A 61324-2024 artfynd.xlsx", "A 61324-2024")</f>
        <v/>
      </c>
      <c r="T245">
        <f>HYPERLINK("https://klasma.github.io/Logging_2303/kartor/A 61324-2024 karta.png", "A 61324-2024")</f>
        <v/>
      </c>
      <c r="V245">
        <f>HYPERLINK("https://klasma.github.io/Logging_2303/klagomål/A 61324-2024 FSC-klagomål.docx", "A 61324-2024")</f>
        <v/>
      </c>
      <c r="W245">
        <f>HYPERLINK("https://klasma.github.io/Logging_2303/klagomålsmail/A 61324-2024 FSC-klagomål mail.docx", "A 61324-2024")</f>
        <v/>
      </c>
      <c r="X245">
        <f>HYPERLINK("https://klasma.github.io/Logging_2303/tillsyn/A 61324-2024 tillsynsbegäran.docx", "A 61324-2024")</f>
        <v/>
      </c>
      <c r="Y245">
        <f>HYPERLINK("https://klasma.github.io/Logging_2303/tillsynsmail/A 61324-2024 tillsynsbegäran mail.docx", "A 61324-2024")</f>
        <v/>
      </c>
      <c r="Z245">
        <f>HYPERLINK("https://klasma.github.io/Logging_2303/fåglar/A 61324-2024 prioriterade fågelarter.docx", "A 61324-2024")</f>
        <v/>
      </c>
    </row>
    <row r="246" ht="15" customHeight="1">
      <c r="A246" t="inlineStr">
        <is>
          <t>A 32069-2024</t>
        </is>
      </c>
      <c r="B246" s="1" t="n">
        <v>45510</v>
      </c>
      <c r="C246" s="1" t="n">
        <v>46033</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19751-2025</t>
        </is>
      </c>
      <c r="B247" s="1" t="n">
        <v>45771.3859837963</v>
      </c>
      <c r="C247" s="1" t="n">
        <v>46033</v>
      </c>
      <c r="D247" t="inlineStr">
        <is>
          <t>JÄMTLANDS LÄN</t>
        </is>
      </c>
      <c r="E247" t="inlineStr">
        <is>
          <t>RAGUNDA</t>
        </is>
      </c>
      <c r="F247" t="inlineStr">
        <is>
          <t>SCA</t>
        </is>
      </c>
      <c r="G247" t="n">
        <v>1.1</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19751-2025 artfynd.xlsx", "A 19751-2025")</f>
        <v/>
      </c>
      <c r="T247">
        <f>HYPERLINK("https://klasma.github.io/Logging_2303/kartor/A 19751-2025 karta.png", "A 19751-2025")</f>
        <v/>
      </c>
      <c r="V247">
        <f>HYPERLINK("https://klasma.github.io/Logging_2303/klagomål/A 19751-2025 FSC-klagomål.docx", "A 19751-2025")</f>
        <v/>
      </c>
      <c r="W247">
        <f>HYPERLINK("https://klasma.github.io/Logging_2303/klagomålsmail/A 19751-2025 FSC-klagomål mail.docx", "A 19751-2025")</f>
        <v/>
      </c>
      <c r="X247">
        <f>HYPERLINK("https://klasma.github.io/Logging_2303/tillsyn/A 19751-2025 tillsynsbegäran.docx", "A 19751-2025")</f>
        <v/>
      </c>
      <c r="Y247">
        <f>HYPERLINK("https://klasma.github.io/Logging_2303/tillsynsmail/A 19751-2025 tillsynsbegäran mail.docx", "A 19751-2025")</f>
        <v/>
      </c>
      <c r="Z247">
        <f>HYPERLINK("https://klasma.github.io/Logging_2303/fåglar/A 19751-2025 prioriterade fågelarter.docx", "A 19751-2025")</f>
        <v/>
      </c>
    </row>
    <row r="248" ht="15" customHeight="1">
      <c r="A248" t="inlineStr">
        <is>
          <t>A 19387-2025</t>
        </is>
      </c>
      <c r="B248" s="1" t="n">
        <v>45769.65736111111</v>
      </c>
      <c r="C248" s="1" t="n">
        <v>46033</v>
      </c>
      <c r="D248" t="inlineStr">
        <is>
          <t>JÄMTLANDS LÄN</t>
        </is>
      </c>
      <c r="E248" t="inlineStr">
        <is>
          <t>RAGUNDA</t>
        </is>
      </c>
      <c r="F248" t="inlineStr">
        <is>
          <t>SCA</t>
        </is>
      </c>
      <c r="G248" t="n">
        <v>16.4</v>
      </c>
      <c r="H248" t="n">
        <v>1</v>
      </c>
      <c r="I248" t="n">
        <v>0</v>
      </c>
      <c r="J248" t="n">
        <v>0</v>
      </c>
      <c r="K248" t="n">
        <v>1</v>
      </c>
      <c r="L248" t="n">
        <v>0</v>
      </c>
      <c r="M248" t="n">
        <v>0</v>
      </c>
      <c r="N248" t="n">
        <v>0</v>
      </c>
      <c r="O248" t="n">
        <v>1</v>
      </c>
      <c r="P248" t="n">
        <v>1</v>
      </c>
      <c r="Q248" t="n">
        <v>1</v>
      </c>
      <c r="R248" s="2" t="inlineStr">
        <is>
          <t>Norna</t>
        </is>
      </c>
      <c r="S248">
        <f>HYPERLINK("https://klasma.github.io/Logging_2303/artfynd/A 19387-2025 artfynd.xlsx", "A 19387-2025")</f>
        <v/>
      </c>
      <c r="T248">
        <f>HYPERLINK("https://klasma.github.io/Logging_2303/kartor/A 19387-2025 karta.png", "A 19387-2025")</f>
        <v/>
      </c>
      <c r="V248">
        <f>HYPERLINK("https://klasma.github.io/Logging_2303/klagomål/A 19387-2025 FSC-klagomål.docx", "A 19387-2025")</f>
        <v/>
      </c>
      <c r="W248">
        <f>HYPERLINK("https://klasma.github.io/Logging_2303/klagomålsmail/A 19387-2025 FSC-klagomål mail.docx", "A 19387-2025")</f>
        <v/>
      </c>
      <c r="X248">
        <f>HYPERLINK("https://klasma.github.io/Logging_2303/tillsyn/A 19387-2025 tillsynsbegäran.docx", "A 19387-2025")</f>
        <v/>
      </c>
      <c r="Y248">
        <f>HYPERLINK("https://klasma.github.io/Logging_2303/tillsynsmail/A 19387-2025 tillsynsbegäran mail.docx", "A 19387-2025")</f>
        <v/>
      </c>
    </row>
    <row r="249" ht="15" customHeight="1">
      <c r="A249" t="inlineStr">
        <is>
          <t>A 2929-2024</t>
        </is>
      </c>
      <c r="B249" s="1" t="n">
        <v>45315</v>
      </c>
      <c r="C249" s="1" t="n">
        <v>46033</v>
      </c>
      <c r="D249" t="inlineStr">
        <is>
          <t>JÄMTLANDS LÄN</t>
        </is>
      </c>
      <c r="E249" t="inlineStr">
        <is>
          <t>RAGUNDA</t>
        </is>
      </c>
      <c r="G249" t="n">
        <v>1</v>
      </c>
      <c r="H249" t="n">
        <v>0</v>
      </c>
      <c r="I249" t="n">
        <v>0</v>
      </c>
      <c r="J249" t="n">
        <v>1</v>
      </c>
      <c r="K249" t="n">
        <v>0</v>
      </c>
      <c r="L249" t="n">
        <v>0</v>
      </c>
      <c r="M249" t="n">
        <v>0</v>
      </c>
      <c r="N249" t="n">
        <v>0</v>
      </c>
      <c r="O249" t="n">
        <v>1</v>
      </c>
      <c r="P249" t="n">
        <v>0</v>
      </c>
      <c r="Q249" t="n">
        <v>1</v>
      </c>
      <c r="R249" s="2" t="inlineStr">
        <is>
          <t>Klådris</t>
        </is>
      </c>
      <c r="S249">
        <f>HYPERLINK("https://klasma.github.io/Logging_2303/artfynd/A 2929-2024 artfynd.xlsx", "A 2929-2024")</f>
        <v/>
      </c>
      <c r="T249">
        <f>HYPERLINK("https://klasma.github.io/Logging_2303/kartor/A 2929-2024 karta.png", "A 2929-2024")</f>
        <v/>
      </c>
      <c r="V249">
        <f>HYPERLINK("https://klasma.github.io/Logging_2303/klagomål/A 2929-2024 FSC-klagomål.docx", "A 2929-2024")</f>
        <v/>
      </c>
      <c r="W249">
        <f>HYPERLINK("https://klasma.github.io/Logging_2303/klagomålsmail/A 2929-2024 FSC-klagomål mail.docx", "A 2929-2024")</f>
        <v/>
      </c>
      <c r="X249">
        <f>HYPERLINK("https://klasma.github.io/Logging_2303/tillsyn/A 2929-2024 tillsynsbegäran.docx", "A 2929-2024")</f>
        <v/>
      </c>
      <c r="Y249">
        <f>HYPERLINK("https://klasma.github.io/Logging_2303/tillsynsmail/A 2929-2024 tillsynsbegäran mail.docx", "A 2929-2024")</f>
        <v/>
      </c>
    </row>
    <row r="250" ht="15" customHeight="1">
      <c r="A250" t="inlineStr">
        <is>
          <t>A 58846-2024</t>
        </is>
      </c>
      <c r="B250" s="1" t="n">
        <v>45636.3863425926</v>
      </c>
      <c r="C250" s="1" t="n">
        <v>46033</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36854-2023</t>
        </is>
      </c>
      <c r="B251" s="1" t="n">
        <v>45153</v>
      </c>
      <c r="C251" s="1" t="n">
        <v>46033</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46033</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35750-2023</t>
        </is>
      </c>
      <c r="B253" s="1" t="n">
        <v>45147</v>
      </c>
      <c r="C253" s="1" t="n">
        <v>46033</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62072-2023</t>
        </is>
      </c>
      <c r="B254" s="1" t="n">
        <v>45266</v>
      </c>
      <c r="C254" s="1" t="n">
        <v>46033</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Lappuggla</t>
        </is>
      </c>
      <c r="S254">
        <f>HYPERLINK("https://klasma.github.io/Logging_2303/artfynd/A 62072-2023 artfynd.xlsx", "A 62072-2023")</f>
        <v/>
      </c>
      <c r="T254">
        <f>HYPERLINK("https://klasma.github.io/Logging_2303/kartor/A 62072-2023 karta.png", "A 62072-2023")</f>
        <v/>
      </c>
      <c r="V254">
        <f>HYPERLINK("https://klasma.github.io/Logging_2303/klagomål/A 62072-2023 FSC-klagomål.docx", "A 62072-2023")</f>
        <v/>
      </c>
      <c r="W254">
        <f>HYPERLINK("https://klasma.github.io/Logging_2303/klagomålsmail/A 62072-2023 FSC-klagomål mail.docx", "A 62072-2023")</f>
        <v/>
      </c>
      <c r="X254">
        <f>HYPERLINK("https://klasma.github.io/Logging_2303/tillsyn/A 62072-2023 tillsynsbegäran.docx", "A 62072-2023")</f>
        <v/>
      </c>
      <c r="Y254">
        <f>HYPERLINK("https://klasma.github.io/Logging_2303/tillsynsmail/A 62072-2023 tillsynsbegäran mail.docx", "A 62072-2023")</f>
        <v/>
      </c>
      <c r="Z254">
        <f>HYPERLINK("https://klasma.github.io/Logging_2303/fåglar/A 62072-2023 prioriterade fågelarter.docx", "A 62072-2023")</f>
        <v/>
      </c>
    </row>
    <row r="255" ht="15" customHeight="1">
      <c r="A255" t="inlineStr">
        <is>
          <t>A 20774-2024</t>
        </is>
      </c>
      <c r="B255" s="1" t="n">
        <v>45436.94644675926</v>
      </c>
      <c r="C255" s="1" t="n">
        <v>46033</v>
      </c>
      <c r="D255" t="inlineStr">
        <is>
          <t>JÄMTLANDS LÄN</t>
        </is>
      </c>
      <c r="E255" t="inlineStr">
        <is>
          <t>RAGUNDA</t>
        </is>
      </c>
      <c r="F255" t="inlineStr">
        <is>
          <t>SCA</t>
        </is>
      </c>
      <c r="G255" t="n">
        <v>2.3</v>
      </c>
      <c r="H255" t="n">
        <v>0</v>
      </c>
      <c r="I255" t="n">
        <v>1</v>
      </c>
      <c r="J255" t="n">
        <v>0</v>
      </c>
      <c r="K255" t="n">
        <v>0</v>
      </c>
      <c r="L255" t="n">
        <v>0</v>
      </c>
      <c r="M255" t="n">
        <v>0</v>
      </c>
      <c r="N255" t="n">
        <v>0</v>
      </c>
      <c r="O255" t="n">
        <v>0</v>
      </c>
      <c r="P255" t="n">
        <v>0</v>
      </c>
      <c r="Q255" t="n">
        <v>1</v>
      </c>
      <c r="R255" s="2" t="inlineStr">
        <is>
          <t>Fjällig taggsvamp s.str.</t>
        </is>
      </c>
      <c r="S255">
        <f>HYPERLINK("https://klasma.github.io/Logging_2303/artfynd/A 20774-2024 artfynd.xlsx", "A 20774-2024")</f>
        <v/>
      </c>
      <c r="T255">
        <f>HYPERLINK("https://klasma.github.io/Logging_2303/kartor/A 20774-2024 karta.png", "A 20774-2024")</f>
        <v/>
      </c>
      <c r="V255">
        <f>HYPERLINK("https://klasma.github.io/Logging_2303/klagomål/A 20774-2024 FSC-klagomål.docx", "A 20774-2024")</f>
        <v/>
      </c>
      <c r="W255">
        <f>HYPERLINK("https://klasma.github.io/Logging_2303/klagomålsmail/A 20774-2024 FSC-klagomål mail.docx", "A 20774-2024")</f>
        <v/>
      </c>
      <c r="X255">
        <f>HYPERLINK("https://klasma.github.io/Logging_2303/tillsyn/A 20774-2024 tillsynsbegäran.docx", "A 20774-2024")</f>
        <v/>
      </c>
      <c r="Y255">
        <f>HYPERLINK("https://klasma.github.io/Logging_2303/tillsynsmail/A 20774-2024 tillsynsbegäran mail.docx", "A 20774-2024")</f>
        <v/>
      </c>
    </row>
    <row r="256" ht="15" customHeight="1">
      <c r="A256" t="inlineStr">
        <is>
          <t>A 36757-2023</t>
        </is>
      </c>
      <c r="B256" s="1" t="n">
        <v>45153</v>
      </c>
      <c r="C256" s="1" t="n">
        <v>46033</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21212-2025</t>
        </is>
      </c>
      <c r="B257" s="1" t="n">
        <v>45779.48993055556</v>
      </c>
      <c r="C257" s="1" t="n">
        <v>46033</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2469-2021</t>
        </is>
      </c>
      <c r="B258" s="1" t="n">
        <v>44214</v>
      </c>
      <c r="C258" s="1" t="n">
        <v>46033</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46033</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46033</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46033</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46033</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46033</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46033</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46033</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46033</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46033</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46033</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46033</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46033</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46033</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46033</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46033</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46033</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46033</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46033</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46033</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46033</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46033</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46033</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46033</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46033</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46033</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46033</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46033</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46033</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49197-2022</t>
        </is>
      </c>
      <c r="B287" s="1" t="n">
        <v>44860</v>
      </c>
      <c r="C287" s="1" t="n">
        <v>46033</v>
      </c>
      <c r="D287" t="inlineStr">
        <is>
          <t>JÄMTLANDS LÄN</t>
        </is>
      </c>
      <c r="E287" t="inlineStr">
        <is>
          <t>RAGUNDA</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46033</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46033</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46033</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46033</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46033</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46033</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46033</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46033</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46033</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46033</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46033</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46033</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46033</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46033</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46033</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46033</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46033</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46033</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46033</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46033</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46033</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46033</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46033</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46033</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46033</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46033</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46033</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46033</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25028-2022</t>
        </is>
      </c>
      <c r="B316" s="1" t="n">
        <v>44728.94398148148</v>
      </c>
      <c r="C316" s="1" t="n">
        <v>46033</v>
      </c>
      <c r="D316" t="inlineStr">
        <is>
          <t>JÄMTLANDS LÄN</t>
        </is>
      </c>
      <c r="E316" t="inlineStr">
        <is>
          <t>RAGUNDA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46033</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46033</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46033</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46033</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46033</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46033</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46033</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46033</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46033</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46033</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46033</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46033</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46033</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46033</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46033</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46033</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46033</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46033</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46033</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46033</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46033</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46033</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46033</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46033</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46033</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46033</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46033</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46033</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46033</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46033</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46033</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46033</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46033</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46033</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46033</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46033</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46033</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46033</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46033</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46033</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46033</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46033</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46033</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46033</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46033</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46033</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46033</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46033</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46033</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46033</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46033</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46033</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46033</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46033</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46033</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46033</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46033</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46033</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46033</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46033</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46033</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46033</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46033</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46033</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46033</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46033</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46033</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46033</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46033</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46033</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46033</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46033</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46033</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46033</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46033</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46033</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46033</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46033</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46033</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46033</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46033</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46033</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46033</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46033</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46033</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46033</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46033</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5175-2023</t>
        </is>
      </c>
      <c r="B404" s="1" t="n">
        <v>44958.94298611111</v>
      </c>
      <c r="C404" s="1" t="n">
        <v>46033</v>
      </c>
      <c r="D404" t="inlineStr">
        <is>
          <t>JÄMTLANDS LÄN</t>
        </is>
      </c>
      <c r="E404" t="inlineStr">
        <is>
          <t>RAGUNDA</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58537-2022</t>
        </is>
      </c>
      <c r="B405" s="1" t="n">
        <v>44894</v>
      </c>
      <c r="C405" s="1" t="n">
        <v>46033</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14896-2022</t>
        </is>
      </c>
      <c r="B406" s="1" t="n">
        <v>44656</v>
      </c>
      <c r="C406" s="1" t="n">
        <v>46033</v>
      </c>
      <c r="D406" t="inlineStr">
        <is>
          <t>JÄMTLANDS LÄN</t>
        </is>
      </c>
      <c r="E406" t="inlineStr">
        <is>
          <t>RAGUNDA</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24197-2024</t>
        </is>
      </c>
      <c r="B407" s="1" t="n">
        <v>45456.96601851852</v>
      </c>
      <c r="C407" s="1" t="n">
        <v>46033</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46033</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20574-2025</t>
        </is>
      </c>
      <c r="B409" s="1" t="n">
        <v>45775.67747685185</v>
      </c>
      <c r="C409" s="1" t="n">
        <v>46033</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36246-2024</t>
        </is>
      </c>
      <c r="B410" s="1" t="n">
        <v>45534</v>
      </c>
      <c r="C410" s="1" t="n">
        <v>46033</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46033</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46033</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14156-2024</t>
        </is>
      </c>
      <c r="B413" s="1" t="n">
        <v>45392</v>
      </c>
      <c r="C413" s="1" t="n">
        <v>46033</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14157-2024</t>
        </is>
      </c>
      <c r="B414" s="1" t="n">
        <v>45392.92903935185</v>
      </c>
      <c r="C414" s="1" t="n">
        <v>46033</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46033</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46033</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46033</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46033</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46033</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46033</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21550-2025</t>
        </is>
      </c>
      <c r="B421" s="1" t="n">
        <v>45782.67758101852</v>
      </c>
      <c r="C421" s="1" t="n">
        <v>46033</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45335-2023</t>
        </is>
      </c>
      <c r="B422" s="1" t="n">
        <v>45191</v>
      </c>
      <c r="C422" s="1" t="n">
        <v>46033</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44630-2023</t>
        </is>
      </c>
      <c r="B423" s="1" t="n">
        <v>45184</v>
      </c>
      <c r="C423" s="1" t="n">
        <v>46033</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55487-2023</t>
        </is>
      </c>
      <c r="B424" s="1" t="n">
        <v>45238</v>
      </c>
      <c r="C424" s="1" t="n">
        <v>46033</v>
      </c>
      <c r="D424" t="inlineStr">
        <is>
          <t>JÄMTLANDS LÄN</t>
        </is>
      </c>
      <c r="E424" t="inlineStr">
        <is>
          <t>RAGUNDA</t>
        </is>
      </c>
      <c r="G424" t="n">
        <v>3</v>
      </c>
      <c r="H424" t="n">
        <v>0</v>
      </c>
      <c r="I424" t="n">
        <v>0</v>
      </c>
      <c r="J424" t="n">
        <v>0</v>
      </c>
      <c r="K424" t="n">
        <v>0</v>
      </c>
      <c r="L424" t="n">
        <v>0</v>
      </c>
      <c r="M424" t="n">
        <v>0</v>
      </c>
      <c r="N424" t="n">
        <v>0</v>
      </c>
      <c r="O424" t="n">
        <v>0</v>
      </c>
      <c r="P424" t="n">
        <v>0</v>
      </c>
      <c r="Q424" t="n">
        <v>0</v>
      </c>
      <c r="R424" s="2" t="inlineStr"/>
    </row>
    <row r="425" ht="15" customHeight="1">
      <c r="A425" t="inlineStr">
        <is>
          <t>A 18454-2021</t>
        </is>
      </c>
      <c r="B425" s="1" t="n">
        <v>44305.92047453704</v>
      </c>
      <c r="C425" s="1" t="n">
        <v>46033</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9360-2023</t>
        </is>
      </c>
      <c r="B426" s="1" t="n">
        <v>44980.93865740741</v>
      </c>
      <c r="C426" s="1" t="n">
        <v>46033</v>
      </c>
      <c r="D426" t="inlineStr">
        <is>
          <t>JÄMTLANDS LÄN</t>
        </is>
      </c>
      <c r="E426" t="inlineStr">
        <is>
          <t>RAGUNDA</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50711-2025</t>
        </is>
      </c>
      <c r="B427" s="1" t="n">
        <v>45946.34431712963</v>
      </c>
      <c r="C427" s="1" t="n">
        <v>46033</v>
      </c>
      <c r="D427" t="inlineStr">
        <is>
          <t>JÄMTLANDS LÄN</t>
        </is>
      </c>
      <c r="E427" t="inlineStr">
        <is>
          <t>RAGUNDA</t>
        </is>
      </c>
      <c r="F427" t="inlineStr">
        <is>
          <t>SCA</t>
        </is>
      </c>
      <c r="G427" t="n">
        <v>8</v>
      </c>
      <c r="H427" t="n">
        <v>0</v>
      </c>
      <c r="I427" t="n">
        <v>0</v>
      </c>
      <c r="J427" t="n">
        <v>0</v>
      </c>
      <c r="K427" t="n">
        <v>0</v>
      </c>
      <c r="L427" t="n">
        <v>0</v>
      </c>
      <c r="M427" t="n">
        <v>0</v>
      </c>
      <c r="N427" t="n">
        <v>0</v>
      </c>
      <c r="O427" t="n">
        <v>0</v>
      </c>
      <c r="P427" t="n">
        <v>0</v>
      </c>
      <c r="Q427" t="n">
        <v>0</v>
      </c>
      <c r="R427" s="2" t="inlineStr"/>
    </row>
    <row r="428" ht="15" customHeight="1">
      <c r="A428" t="inlineStr">
        <is>
          <t>A 50716-2025</t>
        </is>
      </c>
      <c r="B428" s="1" t="n">
        <v>45946.34572916666</v>
      </c>
      <c r="C428" s="1" t="n">
        <v>46033</v>
      </c>
      <c r="D428" t="inlineStr">
        <is>
          <t>JÄMTLANDS LÄN</t>
        </is>
      </c>
      <c r="E428" t="inlineStr">
        <is>
          <t>RAGUNDA</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13767-2022</t>
        </is>
      </c>
      <c r="B429" s="1" t="n">
        <v>44649.47048611111</v>
      </c>
      <c r="C429" s="1" t="n">
        <v>46033</v>
      </c>
      <c r="D429" t="inlineStr">
        <is>
          <t>JÄMTLANDS LÄN</t>
        </is>
      </c>
      <c r="E429" t="inlineStr">
        <is>
          <t>RAGUNDA</t>
        </is>
      </c>
      <c r="F429" t="inlineStr">
        <is>
          <t>Kommuner</t>
        </is>
      </c>
      <c r="G429" t="n">
        <v>3.1</v>
      </c>
      <c r="H429" t="n">
        <v>0</v>
      </c>
      <c r="I429" t="n">
        <v>0</v>
      </c>
      <c r="J429" t="n">
        <v>0</v>
      </c>
      <c r="K429" t="n">
        <v>0</v>
      </c>
      <c r="L429" t="n">
        <v>0</v>
      </c>
      <c r="M429" t="n">
        <v>0</v>
      </c>
      <c r="N429" t="n">
        <v>0</v>
      </c>
      <c r="O429" t="n">
        <v>0</v>
      </c>
      <c r="P429" t="n">
        <v>0</v>
      </c>
      <c r="Q429" t="n">
        <v>0</v>
      </c>
      <c r="R429" s="2" t="inlineStr"/>
    </row>
    <row r="430" ht="15" customHeight="1">
      <c r="A430" t="inlineStr">
        <is>
          <t>A 1308-2025</t>
        </is>
      </c>
      <c r="B430" s="1" t="n">
        <v>45667.55239583334</v>
      </c>
      <c r="C430" s="1" t="n">
        <v>46033</v>
      </c>
      <c r="D430" t="inlineStr">
        <is>
          <t>JÄMTLANDS LÄN</t>
        </is>
      </c>
      <c r="E430" t="inlineStr">
        <is>
          <t>RAGUNDA</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57889-2024</t>
        </is>
      </c>
      <c r="B431" s="1" t="n">
        <v>45631.46665509259</v>
      </c>
      <c r="C431" s="1" t="n">
        <v>46033</v>
      </c>
      <c r="D431" t="inlineStr">
        <is>
          <t>JÄMTLANDS LÄN</t>
        </is>
      </c>
      <c r="E431" t="inlineStr">
        <is>
          <t>RAGUNDA</t>
        </is>
      </c>
      <c r="G431" t="n">
        <v>11.1</v>
      </c>
      <c r="H431" t="n">
        <v>0</v>
      </c>
      <c r="I431" t="n">
        <v>0</v>
      </c>
      <c r="J431" t="n">
        <v>0</v>
      </c>
      <c r="K431" t="n">
        <v>0</v>
      </c>
      <c r="L431" t="n">
        <v>0</v>
      </c>
      <c r="M431" t="n">
        <v>0</v>
      </c>
      <c r="N431" t="n">
        <v>0</v>
      </c>
      <c r="O431" t="n">
        <v>0</v>
      </c>
      <c r="P431" t="n">
        <v>0</v>
      </c>
      <c r="Q431" t="n">
        <v>0</v>
      </c>
      <c r="R431" s="2" t="inlineStr"/>
    </row>
    <row r="432" ht="15" customHeight="1">
      <c r="A432" t="inlineStr">
        <is>
          <t>A 11252-2025</t>
        </is>
      </c>
      <c r="B432" s="1" t="n">
        <v>45726.38615740741</v>
      </c>
      <c r="C432" s="1" t="n">
        <v>46033</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22569-2023</t>
        </is>
      </c>
      <c r="B433" s="1" t="n">
        <v>45069</v>
      </c>
      <c r="C433" s="1" t="n">
        <v>46033</v>
      </c>
      <c r="D433" t="inlineStr">
        <is>
          <t>JÄMTLANDS LÄN</t>
        </is>
      </c>
      <c r="E433" t="inlineStr">
        <is>
          <t>RAGUNDA</t>
        </is>
      </c>
      <c r="G433" t="n">
        <v>6.6</v>
      </c>
      <c r="H433" t="n">
        <v>0</v>
      </c>
      <c r="I433" t="n">
        <v>0</v>
      </c>
      <c r="J433" t="n">
        <v>0</v>
      </c>
      <c r="K433" t="n">
        <v>0</v>
      </c>
      <c r="L433" t="n">
        <v>0</v>
      </c>
      <c r="M433" t="n">
        <v>0</v>
      </c>
      <c r="N433" t="n">
        <v>0</v>
      </c>
      <c r="O433" t="n">
        <v>0</v>
      </c>
      <c r="P433" t="n">
        <v>0</v>
      </c>
      <c r="Q433" t="n">
        <v>0</v>
      </c>
      <c r="R433" s="2" t="inlineStr"/>
    </row>
    <row r="434" ht="15" customHeight="1">
      <c r="A434" t="inlineStr">
        <is>
          <t>A 50719-2025</t>
        </is>
      </c>
      <c r="B434" s="1" t="n">
        <v>45946.34642361111</v>
      </c>
      <c r="C434" s="1" t="n">
        <v>46033</v>
      </c>
      <c r="D434" t="inlineStr">
        <is>
          <t>JÄMTLANDS LÄN</t>
        </is>
      </c>
      <c r="E434" t="inlineStr">
        <is>
          <t>RAGUNDA</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60629-2023</t>
        </is>
      </c>
      <c r="B435" s="1" t="n">
        <v>45259</v>
      </c>
      <c r="C435" s="1" t="n">
        <v>46033</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11048-2023</t>
        </is>
      </c>
      <c r="B436" s="1" t="n">
        <v>44991</v>
      </c>
      <c r="C436" s="1" t="n">
        <v>46033</v>
      </c>
      <c r="D436" t="inlineStr">
        <is>
          <t>JÄMTLANDS LÄN</t>
        </is>
      </c>
      <c r="E436" t="inlineStr">
        <is>
          <t>RAGUNDA</t>
        </is>
      </c>
      <c r="F436" t="inlineStr">
        <is>
          <t>SCA</t>
        </is>
      </c>
      <c r="G436" t="n">
        <v>13.5</v>
      </c>
      <c r="H436" t="n">
        <v>0</v>
      </c>
      <c r="I436" t="n">
        <v>0</v>
      </c>
      <c r="J436" t="n">
        <v>0</v>
      </c>
      <c r="K436" t="n">
        <v>0</v>
      </c>
      <c r="L436" t="n">
        <v>0</v>
      </c>
      <c r="M436" t="n">
        <v>0</v>
      </c>
      <c r="N436" t="n">
        <v>0</v>
      </c>
      <c r="O436" t="n">
        <v>0</v>
      </c>
      <c r="P436" t="n">
        <v>0</v>
      </c>
      <c r="Q436" t="n">
        <v>0</v>
      </c>
      <c r="R436" s="2" t="inlineStr"/>
    </row>
    <row r="437" ht="15" customHeight="1">
      <c r="A437" t="inlineStr">
        <is>
          <t>A 11062-2023</t>
        </is>
      </c>
      <c r="B437" s="1" t="n">
        <v>44991</v>
      </c>
      <c r="C437" s="1" t="n">
        <v>46033</v>
      </c>
      <c r="D437" t="inlineStr">
        <is>
          <t>JÄMTLANDS LÄN</t>
        </is>
      </c>
      <c r="E437" t="inlineStr">
        <is>
          <t>RAGUNDA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51019-2025</t>
        </is>
      </c>
      <c r="B438" s="1" t="n">
        <v>45947.38623842593</v>
      </c>
      <c r="C438" s="1" t="n">
        <v>46033</v>
      </c>
      <c r="D438" t="inlineStr">
        <is>
          <t>JÄMTLANDS LÄN</t>
        </is>
      </c>
      <c r="E438" t="inlineStr">
        <is>
          <t>RAGUNDA</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57064-2024</t>
        </is>
      </c>
      <c r="B439" s="1" t="n">
        <v>45629.35326388889</v>
      </c>
      <c r="C439" s="1" t="n">
        <v>46033</v>
      </c>
      <c r="D439" t="inlineStr">
        <is>
          <t>JÄMTLANDS LÄN</t>
        </is>
      </c>
      <c r="E439" t="inlineStr">
        <is>
          <t>RAGUNDA</t>
        </is>
      </c>
      <c r="F439" t="inlineStr">
        <is>
          <t>Naturvårdsverket</t>
        </is>
      </c>
      <c r="G439" t="n">
        <v>0.5</v>
      </c>
      <c r="H439" t="n">
        <v>0</v>
      </c>
      <c r="I439" t="n">
        <v>0</v>
      </c>
      <c r="J439" t="n">
        <v>0</v>
      </c>
      <c r="K439" t="n">
        <v>0</v>
      </c>
      <c r="L439" t="n">
        <v>0</v>
      </c>
      <c r="M439" t="n">
        <v>0</v>
      </c>
      <c r="N439" t="n">
        <v>0</v>
      </c>
      <c r="O439" t="n">
        <v>0</v>
      </c>
      <c r="P439" t="n">
        <v>0</v>
      </c>
      <c r="Q439" t="n">
        <v>0</v>
      </c>
      <c r="R439" s="2" t="inlineStr"/>
    </row>
    <row r="440" ht="15" customHeight="1">
      <c r="A440" t="inlineStr">
        <is>
          <t>A 22388-2025</t>
        </is>
      </c>
      <c r="B440" s="1" t="n">
        <v>45786.51077546296</v>
      </c>
      <c r="C440" s="1" t="n">
        <v>46033</v>
      </c>
      <c r="D440" t="inlineStr">
        <is>
          <t>JÄMTLANDS LÄN</t>
        </is>
      </c>
      <c r="E440" t="inlineStr">
        <is>
          <t>RAGUNDA</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55524-2024</t>
        </is>
      </c>
      <c r="B441" s="1" t="n">
        <v>45622.47435185185</v>
      </c>
      <c r="C441" s="1" t="n">
        <v>46033</v>
      </c>
      <c r="D441" t="inlineStr">
        <is>
          <t>JÄMTLANDS LÄN</t>
        </is>
      </c>
      <c r="E441" t="inlineStr">
        <is>
          <t>RAGUNDA</t>
        </is>
      </c>
      <c r="G441" t="n">
        <v>1.4</v>
      </c>
      <c r="H441" t="n">
        <v>0</v>
      </c>
      <c r="I441" t="n">
        <v>0</v>
      </c>
      <c r="J441" t="n">
        <v>0</v>
      </c>
      <c r="K441" t="n">
        <v>0</v>
      </c>
      <c r="L441" t="n">
        <v>0</v>
      </c>
      <c r="M441" t="n">
        <v>0</v>
      </c>
      <c r="N441" t="n">
        <v>0</v>
      </c>
      <c r="O441" t="n">
        <v>0</v>
      </c>
      <c r="P441" t="n">
        <v>0</v>
      </c>
      <c r="Q441" t="n">
        <v>0</v>
      </c>
      <c r="R441" s="2" t="inlineStr"/>
    </row>
    <row r="442" ht="15" customHeight="1">
      <c r="A442" t="inlineStr">
        <is>
          <t>A 50985-2025</t>
        </is>
      </c>
      <c r="B442" s="1" t="n">
        <v>45947.34506944445</v>
      </c>
      <c r="C442" s="1" t="n">
        <v>46033</v>
      </c>
      <c r="D442" t="inlineStr">
        <is>
          <t>JÄMTLANDS LÄN</t>
        </is>
      </c>
      <c r="E442" t="inlineStr">
        <is>
          <t>RAGUNDA</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25332-2023</t>
        </is>
      </c>
      <c r="B443" s="1" t="n">
        <v>45086.94010416666</v>
      </c>
      <c r="C443" s="1" t="n">
        <v>46033</v>
      </c>
      <c r="D443" t="inlineStr">
        <is>
          <t>JÄMTLANDS LÄN</t>
        </is>
      </c>
      <c r="E443" t="inlineStr">
        <is>
          <t>RAGUNDA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51034-2025</t>
        </is>
      </c>
      <c r="B444" s="1" t="n">
        <v>45947.40670138889</v>
      </c>
      <c r="C444" s="1" t="n">
        <v>46033</v>
      </c>
      <c r="D444" t="inlineStr">
        <is>
          <t>JÄMTLANDS LÄN</t>
        </is>
      </c>
      <c r="E444" t="inlineStr">
        <is>
          <t>RAGUNDA</t>
        </is>
      </c>
      <c r="F444" t="inlineStr">
        <is>
          <t>SCA</t>
        </is>
      </c>
      <c r="G444" t="n">
        <v>44.1</v>
      </c>
      <c r="H444" t="n">
        <v>0</v>
      </c>
      <c r="I444" t="n">
        <v>0</v>
      </c>
      <c r="J444" t="n">
        <v>0</v>
      </c>
      <c r="K444" t="n">
        <v>0</v>
      </c>
      <c r="L444" t="n">
        <v>0</v>
      </c>
      <c r="M444" t="n">
        <v>0</v>
      </c>
      <c r="N444" t="n">
        <v>0</v>
      </c>
      <c r="O444" t="n">
        <v>0</v>
      </c>
      <c r="P444" t="n">
        <v>0</v>
      </c>
      <c r="Q444" t="n">
        <v>0</v>
      </c>
      <c r="R444" s="2" t="inlineStr"/>
    </row>
    <row r="445" ht="15" customHeight="1">
      <c r="A445" t="inlineStr">
        <is>
          <t>A 29920-2024</t>
        </is>
      </c>
      <c r="B445" s="1" t="n">
        <v>45487.92856481481</v>
      </c>
      <c r="C445" s="1" t="n">
        <v>46033</v>
      </c>
      <c r="D445" t="inlineStr">
        <is>
          <t>JÄMTLANDS LÄN</t>
        </is>
      </c>
      <c r="E445" t="inlineStr">
        <is>
          <t>RAGUNDA</t>
        </is>
      </c>
      <c r="G445" t="n">
        <v>3.4</v>
      </c>
      <c r="H445" t="n">
        <v>0</v>
      </c>
      <c r="I445" t="n">
        <v>0</v>
      </c>
      <c r="J445" t="n">
        <v>0</v>
      </c>
      <c r="K445" t="n">
        <v>0</v>
      </c>
      <c r="L445" t="n">
        <v>0</v>
      </c>
      <c r="M445" t="n">
        <v>0</v>
      </c>
      <c r="N445" t="n">
        <v>0</v>
      </c>
      <c r="O445" t="n">
        <v>0</v>
      </c>
      <c r="P445" t="n">
        <v>0</v>
      </c>
      <c r="Q445" t="n">
        <v>0</v>
      </c>
      <c r="R445" s="2" t="inlineStr"/>
    </row>
    <row r="446" ht="15" customHeight="1">
      <c r="A446" t="inlineStr">
        <is>
          <t>A 51592-2025</t>
        </is>
      </c>
      <c r="B446" s="1" t="n">
        <v>45951.36541666667</v>
      </c>
      <c r="C446" s="1" t="n">
        <v>46033</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3767-2025</t>
        </is>
      </c>
      <c r="B447" s="1" t="n">
        <v>45681.60203703704</v>
      </c>
      <c r="C447" s="1" t="n">
        <v>46033</v>
      </c>
      <c r="D447" t="inlineStr">
        <is>
          <t>JÄMTLANDS LÄN</t>
        </is>
      </c>
      <c r="E447" t="inlineStr">
        <is>
          <t>RAGUNDA</t>
        </is>
      </c>
      <c r="G447" t="n">
        <v>4.9</v>
      </c>
      <c r="H447" t="n">
        <v>0</v>
      </c>
      <c r="I447" t="n">
        <v>0</v>
      </c>
      <c r="J447" t="n">
        <v>0</v>
      </c>
      <c r="K447" t="n">
        <v>0</v>
      </c>
      <c r="L447" t="n">
        <v>0</v>
      </c>
      <c r="M447" t="n">
        <v>0</v>
      </c>
      <c r="N447" t="n">
        <v>0</v>
      </c>
      <c r="O447" t="n">
        <v>0</v>
      </c>
      <c r="P447" t="n">
        <v>0</v>
      </c>
      <c r="Q447" t="n">
        <v>0</v>
      </c>
      <c r="R447" s="2" t="inlineStr"/>
    </row>
    <row r="448" ht="15" customHeight="1">
      <c r="A448" t="inlineStr">
        <is>
          <t>A 22898-2025</t>
        </is>
      </c>
      <c r="B448" s="1" t="n">
        <v>45790.40670138889</v>
      </c>
      <c r="C448" s="1" t="n">
        <v>46033</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7280-2024</t>
        </is>
      </c>
      <c r="B449" s="1" t="n">
        <v>45344</v>
      </c>
      <c r="C449" s="1" t="n">
        <v>46033</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39192-2025</t>
        </is>
      </c>
      <c r="B450" s="1" t="n">
        <v>45888.6775</v>
      </c>
      <c r="C450" s="1" t="n">
        <v>46033</v>
      </c>
      <c r="D450" t="inlineStr">
        <is>
          <t>JÄMTLANDS LÄN</t>
        </is>
      </c>
      <c r="E450" t="inlineStr">
        <is>
          <t>RAGUNDA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51395-2025</t>
        </is>
      </c>
      <c r="B451" s="1" t="n">
        <v>45950.46989583333</v>
      </c>
      <c r="C451" s="1" t="n">
        <v>46033</v>
      </c>
      <c r="D451" t="inlineStr">
        <is>
          <t>JÄMTLANDS LÄN</t>
        </is>
      </c>
      <c r="E451" t="inlineStr">
        <is>
          <t>RAGUNDA</t>
        </is>
      </c>
      <c r="F451" t="inlineStr">
        <is>
          <t>SCA</t>
        </is>
      </c>
      <c r="G451" t="n">
        <v>30.7</v>
      </c>
      <c r="H451" t="n">
        <v>0</v>
      </c>
      <c r="I451" t="n">
        <v>0</v>
      </c>
      <c r="J451" t="n">
        <v>0</v>
      </c>
      <c r="K451" t="n">
        <v>0</v>
      </c>
      <c r="L451" t="n">
        <v>0</v>
      </c>
      <c r="M451" t="n">
        <v>0</v>
      </c>
      <c r="N451" t="n">
        <v>0</v>
      </c>
      <c r="O451" t="n">
        <v>0</v>
      </c>
      <c r="P451" t="n">
        <v>0</v>
      </c>
      <c r="Q451" t="n">
        <v>0</v>
      </c>
      <c r="R451" s="2" t="inlineStr"/>
    </row>
    <row r="452" ht="15" customHeight="1">
      <c r="A452" t="inlineStr">
        <is>
          <t>A 44778-2024</t>
        </is>
      </c>
      <c r="B452" s="1" t="n">
        <v>45574.63355324074</v>
      </c>
      <c r="C452" s="1" t="n">
        <v>46033</v>
      </c>
      <c r="D452" t="inlineStr">
        <is>
          <t>JÄMTLANDS LÄN</t>
        </is>
      </c>
      <c r="E452" t="inlineStr">
        <is>
          <t>RAGUNDA</t>
        </is>
      </c>
      <c r="G452" t="n">
        <v>5.5</v>
      </c>
      <c r="H452" t="n">
        <v>0</v>
      </c>
      <c r="I452" t="n">
        <v>0</v>
      </c>
      <c r="J452" t="n">
        <v>0</v>
      </c>
      <c r="K452" t="n">
        <v>0</v>
      </c>
      <c r="L452" t="n">
        <v>0</v>
      </c>
      <c r="M452" t="n">
        <v>0</v>
      </c>
      <c r="N452" t="n">
        <v>0</v>
      </c>
      <c r="O452" t="n">
        <v>0</v>
      </c>
      <c r="P452" t="n">
        <v>0</v>
      </c>
      <c r="Q452" t="n">
        <v>0</v>
      </c>
      <c r="R452" s="2" t="inlineStr"/>
    </row>
    <row r="453" ht="15" customHeight="1">
      <c r="A453" t="inlineStr">
        <is>
          <t>A 2673-2024</t>
        </is>
      </c>
      <c r="B453" s="1" t="n">
        <v>45314</v>
      </c>
      <c r="C453" s="1" t="n">
        <v>46033</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64492-2023</t>
        </is>
      </c>
      <c r="B454" s="1" t="n">
        <v>45280.92645833334</v>
      </c>
      <c r="C454" s="1" t="n">
        <v>46033</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23253-2025</t>
        </is>
      </c>
      <c r="B455" s="1" t="n">
        <v>45791.53238425926</v>
      </c>
      <c r="C455" s="1" t="n">
        <v>46033</v>
      </c>
      <c r="D455" t="inlineStr">
        <is>
          <t>JÄMTLANDS LÄN</t>
        </is>
      </c>
      <c r="E455" t="inlineStr">
        <is>
          <t>RAGUNDA</t>
        </is>
      </c>
      <c r="G455" t="n">
        <v>0.7</v>
      </c>
      <c r="H455" t="n">
        <v>0</v>
      </c>
      <c r="I455" t="n">
        <v>0</v>
      </c>
      <c r="J455" t="n">
        <v>0</v>
      </c>
      <c r="K455" t="n">
        <v>0</v>
      </c>
      <c r="L455" t="n">
        <v>0</v>
      </c>
      <c r="M455" t="n">
        <v>0</v>
      </c>
      <c r="N455" t="n">
        <v>0</v>
      </c>
      <c r="O455" t="n">
        <v>0</v>
      </c>
      <c r="P455" t="n">
        <v>0</v>
      </c>
      <c r="Q455" t="n">
        <v>0</v>
      </c>
      <c r="R455" s="2" t="inlineStr"/>
    </row>
    <row r="456" ht="15" customHeight="1">
      <c r="A456" t="inlineStr">
        <is>
          <t>A 23413-2025</t>
        </is>
      </c>
      <c r="B456" s="1" t="n">
        <v>45792.34606481482</v>
      </c>
      <c r="C456" s="1" t="n">
        <v>46033</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59692-2025</t>
        </is>
      </c>
      <c r="B457" s="1" t="n">
        <v>45992.49001157407</v>
      </c>
      <c r="C457" s="1" t="n">
        <v>46033</v>
      </c>
      <c r="D457" t="inlineStr">
        <is>
          <t>JÄMTLANDS LÄN</t>
        </is>
      </c>
      <c r="E457" t="inlineStr">
        <is>
          <t>RAGUNDA</t>
        </is>
      </c>
      <c r="G457" t="n">
        <v>2.7</v>
      </c>
      <c r="H457" t="n">
        <v>0</v>
      </c>
      <c r="I457" t="n">
        <v>0</v>
      </c>
      <c r="J457" t="n">
        <v>0</v>
      </c>
      <c r="K457" t="n">
        <v>0</v>
      </c>
      <c r="L457" t="n">
        <v>0</v>
      </c>
      <c r="M457" t="n">
        <v>0</v>
      </c>
      <c r="N457" t="n">
        <v>0</v>
      </c>
      <c r="O457" t="n">
        <v>0</v>
      </c>
      <c r="P457" t="n">
        <v>0</v>
      </c>
      <c r="Q457" t="n">
        <v>0</v>
      </c>
      <c r="R457" s="2" t="inlineStr"/>
    </row>
    <row r="458" ht="15" customHeight="1">
      <c r="A458" t="inlineStr">
        <is>
          <t>A 14368-2024</t>
        </is>
      </c>
      <c r="B458" s="1" t="n">
        <v>45393.94431712963</v>
      </c>
      <c r="C458" s="1" t="n">
        <v>46033</v>
      </c>
      <c r="D458" t="inlineStr">
        <is>
          <t>JÄMTLANDS LÄN</t>
        </is>
      </c>
      <c r="E458" t="inlineStr">
        <is>
          <t>RAGUNDA</t>
        </is>
      </c>
      <c r="F458" t="inlineStr">
        <is>
          <t>Naturvårdsverket</t>
        </is>
      </c>
      <c r="G458" t="n">
        <v>1.6</v>
      </c>
      <c r="H458" t="n">
        <v>0</v>
      </c>
      <c r="I458" t="n">
        <v>0</v>
      </c>
      <c r="J458" t="n">
        <v>0</v>
      </c>
      <c r="K458" t="n">
        <v>0</v>
      </c>
      <c r="L458" t="n">
        <v>0</v>
      </c>
      <c r="M458" t="n">
        <v>0</v>
      </c>
      <c r="N458" t="n">
        <v>0</v>
      </c>
      <c r="O458" t="n">
        <v>0</v>
      </c>
      <c r="P458" t="n">
        <v>0</v>
      </c>
      <c r="Q458" t="n">
        <v>0</v>
      </c>
      <c r="R458" s="2" t="inlineStr"/>
    </row>
    <row r="459" ht="15" customHeight="1">
      <c r="A459" t="inlineStr">
        <is>
          <t>A 23586-2025</t>
        </is>
      </c>
      <c r="B459" s="1" t="n">
        <v>45792.63584490741</v>
      </c>
      <c r="C459" s="1" t="n">
        <v>46033</v>
      </c>
      <c r="D459" t="inlineStr">
        <is>
          <t>JÄMTLANDS LÄN</t>
        </is>
      </c>
      <c r="E459" t="inlineStr">
        <is>
          <t>RAGUNDA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51678-2025</t>
        </is>
      </c>
      <c r="B460" s="1" t="n">
        <v>45951.51106481482</v>
      </c>
      <c r="C460" s="1" t="n">
        <v>46033</v>
      </c>
      <c r="D460" t="inlineStr">
        <is>
          <t>JÄMTLANDS LÄN</t>
        </is>
      </c>
      <c r="E460" t="inlineStr">
        <is>
          <t>RAGUNDA</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23841-2025</t>
        </is>
      </c>
      <c r="B461" s="1" t="n">
        <v>45793.61523148148</v>
      </c>
      <c r="C461" s="1" t="n">
        <v>46033</v>
      </c>
      <c r="D461" t="inlineStr">
        <is>
          <t>JÄMTLANDS LÄN</t>
        </is>
      </c>
      <c r="E461" t="inlineStr">
        <is>
          <t>RAGUNDA</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39384-2025</t>
        </is>
      </c>
      <c r="B462" s="1" t="n">
        <v>45889.61517361111</v>
      </c>
      <c r="C462" s="1" t="n">
        <v>46033</v>
      </c>
      <c r="D462" t="inlineStr">
        <is>
          <t>JÄMTLANDS LÄN</t>
        </is>
      </c>
      <c r="E462" t="inlineStr">
        <is>
          <t>RAGUNDA</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28216-2025</t>
        </is>
      </c>
      <c r="B463" s="1" t="n">
        <v>45818.46898148148</v>
      </c>
      <c r="C463" s="1" t="n">
        <v>46033</v>
      </c>
      <c r="D463" t="inlineStr">
        <is>
          <t>JÄMTLANDS LÄN</t>
        </is>
      </c>
      <c r="E463" t="inlineStr">
        <is>
          <t>RAGUNDA</t>
        </is>
      </c>
      <c r="G463" t="n">
        <v>6.6</v>
      </c>
      <c r="H463" t="n">
        <v>0</v>
      </c>
      <c r="I463" t="n">
        <v>0</v>
      </c>
      <c r="J463" t="n">
        <v>0</v>
      </c>
      <c r="K463" t="n">
        <v>0</v>
      </c>
      <c r="L463" t="n">
        <v>0</v>
      </c>
      <c r="M463" t="n">
        <v>0</v>
      </c>
      <c r="N463" t="n">
        <v>0</v>
      </c>
      <c r="O463" t="n">
        <v>0</v>
      </c>
      <c r="P463" t="n">
        <v>0</v>
      </c>
      <c r="Q463" t="n">
        <v>0</v>
      </c>
      <c r="R463" s="2" t="inlineStr"/>
    </row>
    <row r="464" ht="15" customHeight="1">
      <c r="A464" t="inlineStr">
        <is>
          <t>A 23507-2025</t>
        </is>
      </c>
      <c r="B464" s="1" t="n">
        <v>45792.49023148148</v>
      </c>
      <c r="C464" s="1" t="n">
        <v>46033</v>
      </c>
      <c r="D464" t="inlineStr">
        <is>
          <t>JÄMTLANDS LÄN</t>
        </is>
      </c>
      <c r="E464" t="inlineStr">
        <is>
          <t>RAGUNDA</t>
        </is>
      </c>
      <c r="F464" t="inlineStr">
        <is>
          <t>SCA</t>
        </is>
      </c>
      <c r="G464" t="n">
        <v>16.4</v>
      </c>
      <c r="H464" t="n">
        <v>0</v>
      </c>
      <c r="I464" t="n">
        <v>0</v>
      </c>
      <c r="J464" t="n">
        <v>0</v>
      </c>
      <c r="K464" t="n">
        <v>0</v>
      </c>
      <c r="L464" t="n">
        <v>0</v>
      </c>
      <c r="M464" t="n">
        <v>0</v>
      </c>
      <c r="N464" t="n">
        <v>0</v>
      </c>
      <c r="O464" t="n">
        <v>0</v>
      </c>
      <c r="P464" t="n">
        <v>0</v>
      </c>
      <c r="Q464" t="n">
        <v>0</v>
      </c>
      <c r="R464" s="2" t="inlineStr"/>
    </row>
    <row r="465" ht="15" customHeight="1">
      <c r="A465" t="inlineStr">
        <is>
          <t>A 23840-2025</t>
        </is>
      </c>
      <c r="B465" s="1" t="n">
        <v>45793</v>
      </c>
      <c r="C465" s="1" t="n">
        <v>46033</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59693-2025</t>
        </is>
      </c>
      <c r="B466" s="1" t="n">
        <v>45992.49009259259</v>
      </c>
      <c r="C466" s="1" t="n">
        <v>46033</v>
      </c>
      <c r="D466" t="inlineStr">
        <is>
          <t>JÄMTLANDS LÄN</t>
        </is>
      </c>
      <c r="E466" t="inlineStr">
        <is>
          <t>RAGUNDA</t>
        </is>
      </c>
      <c r="G466" t="n">
        <v>0.7</v>
      </c>
      <c r="H466" t="n">
        <v>0</v>
      </c>
      <c r="I466" t="n">
        <v>0</v>
      </c>
      <c r="J466" t="n">
        <v>0</v>
      </c>
      <c r="K466" t="n">
        <v>0</v>
      </c>
      <c r="L466" t="n">
        <v>0</v>
      </c>
      <c r="M466" t="n">
        <v>0</v>
      </c>
      <c r="N466" t="n">
        <v>0</v>
      </c>
      <c r="O466" t="n">
        <v>0</v>
      </c>
      <c r="P466" t="n">
        <v>0</v>
      </c>
      <c r="Q466" t="n">
        <v>0</v>
      </c>
      <c r="R466" s="2" t="inlineStr"/>
    </row>
    <row r="467" ht="15" customHeight="1">
      <c r="A467" t="inlineStr">
        <is>
          <t>A 23654-2025</t>
        </is>
      </c>
      <c r="B467" s="1" t="n">
        <v>45792.71905092592</v>
      </c>
      <c r="C467" s="1" t="n">
        <v>46033</v>
      </c>
      <c r="D467" t="inlineStr">
        <is>
          <t>JÄMTLANDS LÄN</t>
        </is>
      </c>
      <c r="E467" t="inlineStr">
        <is>
          <t>RAGUNDA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12783-2023</t>
        </is>
      </c>
      <c r="B468" s="1" t="n">
        <v>45000</v>
      </c>
      <c r="C468" s="1" t="n">
        <v>46033</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23405-2025</t>
        </is>
      </c>
      <c r="B469" s="1" t="n">
        <v>45792.34527777778</v>
      </c>
      <c r="C469" s="1" t="n">
        <v>46033</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53171-2024</t>
        </is>
      </c>
      <c r="B470" s="1" t="n">
        <v>45611.65679398148</v>
      </c>
      <c r="C470" s="1" t="n">
        <v>46033</v>
      </c>
      <c r="D470" t="inlineStr">
        <is>
          <t>JÄMTLANDS LÄN</t>
        </is>
      </c>
      <c r="E470" t="inlineStr">
        <is>
          <t>RAGUNDA</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7279-2024</t>
        </is>
      </c>
      <c r="B471" s="1" t="n">
        <v>45344.92822916667</v>
      </c>
      <c r="C471" s="1" t="n">
        <v>46033</v>
      </c>
      <c r="D471" t="inlineStr">
        <is>
          <t>JÄMTLANDS LÄN</t>
        </is>
      </c>
      <c r="E471" t="inlineStr">
        <is>
          <t>RAGUNDA</t>
        </is>
      </c>
      <c r="G471" t="n">
        <v>2.1</v>
      </c>
      <c r="H471" t="n">
        <v>0</v>
      </c>
      <c r="I471" t="n">
        <v>0</v>
      </c>
      <c r="J471" t="n">
        <v>0</v>
      </c>
      <c r="K471" t="n">
        <v>0</v>
      </c>
      <c r="L471" t="n">
        <v>0</v>
      </c>
      <c r="M471" t="n">
        <v>0</v>
      </c>
      <c r="N471" t="n">
        <v>0</v>
      </c>
      <c r="O471" t="n">
        <v>0</v>
      </c>
      <c r="P471" t="n">
        <v>0</v>
      </c>
      <c r="Q471" t="n">
        <v>0</v>
      </c>
      <c r="R471" s="2" t="inlineStr"/>
    </row>
    <row r="472" ht="15" customHeight="1">
      <c r="A472" t="inlineStr">
        <is>
          <t>A 18284-2025</t>
        </is>
      </c>
      <c r="B472" s="1" t="n">
        <v>45762.39876157408</v>
      </c>
      <c r="C472" s="1" t="n">
        <v>46033</v>
      </c>
      <c r="D472" t="inlineStr">
        <is>
          <t>JÄMTLANDS LÄN</t>
        </is>
      </c>
      <c r="E472" t="inlineStr">
        <is>
          <t>RAGUNDA</t>
        </is>
      </c>
      <c r="G472" t="n">
        <v>0.2</v>
      </c>
      <c r="H472" t="n">
        <v>0</v>
      </c>
      <c r="I472" t="n">
        <v>0</v>
      </c>
      <c r="J472" t="n">
        <v>0</v>
      </c>
      <c r="K472" t="n">
        <v>0</v>
      </c>
      <c r="L472" t="n">
        <v>0</v>
      </c>
      <c r="M472" t="n">
        <v>0</v>
      </c>
      <c r="N472" t="n">
        <v>0</v>
      </c>
      <c r="O472" t="n">
        <v>0</v>
      </c>
      <c r="P472" t="n">
        <v>0</v>
      </c>
      <c r="Q472" t="n">
        <v>0</v>
      </c>
      <c r="R472" s="2" t="inlineStr"/>
      <c r="U472">
        <f>HYPERLINK("https://klasma.github.io/Logging_2303/knärot/A 18284-2025 karta knärot.png", "A 18284-2025")</f>
        <v/>
      </c>
      <c r="V472">
        <f>HYPERLINK("https://klasma.github.io/Logging_2303/klagomål/A 18284-2025 FSC-klagomål.docx", "A 18284-2025")</f>
        <v/>
      </c>
      <c r="W472">
        <f>HYPERLINK("https://klasma.github.io/Logging_2303/klagomålsmail/A 18284-2025 FSC-klagomål mail.docx", "A 18284-2025")</f>
        <v/>
      </c>
      <c r="X472">
        <f>HYPERLINK("https://klasma.github.io/Logging_2303/tillsyn/A 18284-2025 tillsynsbegäran.docx", "A 18284-2025")</f>
        <v/>
      </c>
      <c r="Y472">
        <f>HYPERLINK("https://klasma.github.io/Logging_2303/tillsynsmail/A 18284-2025 tillsynsbegäran mail.docx", "A 18284-2025")</f>
        <v/>
      </c>
    </row>
    <row r="473" ht="15" customHeight="1">
      <c r="A473" t="inlineStr">
        <is>
          <t>A 54599-2023</t>
        </is>
      </c>
      <c r="B473" s="1" t="n">
        <v>45233.92591435185</v>
      </c>
      <c r="C473" s="1" t="n">
        <v>46033</v>
      </c>
      <c r="D473" t="inlineStr">
        <is>
          <t>JÄMTLANDS LÄN</t>
        </is>
      </c>
      <c r="E473" t="inlineStr">
        <is>
          <t>RAGUNDA</t>
        </is>
      </c>
      <c r="G473" t="n">
        <v>3.7</v>
      </c>
      <c r="H473" t="n">
        <v>0</v>
      </c>
      <c r="I473" t="n">
        <v>0</v>
      </c>
      <c r="J473" t="n">
        <v>0</v>
      </c>
      <c r="K473" t="n">
        <v>0</v>
      </c>
      <c r="L473" t="n">
        <v>0</v>
      </c>
      <c r="M473" t="n">
        <v>0</v>
      </c>
      <c r="N473" t="n">
        <v>0</v>
      </c>
      <c r="O473" t="n">
        <v>0</v>
      </c>
      <c r="P473" t="n">
        <v>0</v>
      </c>
      <c r="Q473" t="n">
        <v>0</v>
      </c>
      <c r="R473" s="2" t="inlineStr"/>
    </row>
    <row r="474" ht="15" customHeight="1">
      <c r="A474" t="inlineStr">
        <is>
          <t>A 19263-2025</t>
        </is>
      </c>
      <c r="B474" s="1" t="n">
        <v>45769.51075231482</v>
      </c>
      <c r="C474" s="1" t="n">
        <v>46033</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24158-2025</t>
        </is>
      </c>
      <c r="B475" s="1" t="n">
        <v>45796</v>
      </c>
      <c r="C475" s="1" t="n">
        <v>46033</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c r="U475">
        <f>HYPERLINK("https://klasma.github.io/Logging_2303/knärot/A 24158-2025 karta knärot.png", "A 24158-2025")</f>
        <v/>
      </c>
      <c r="V475">
        <f>HYPERLINK("https://klasma.github.io/Logging_2303/klagomål/A 24158-2025 FSC-klagomål.docx", "A 24158-2025")</f>
        <v/>
      </c>
      <c r="W475">
        <f>HYPERLINK("https://klasma.github.io/Logging_2303/klagomålsmail/A 24158-2025 FSC-klagomål mail.docx", "A 24158-2025")</f>
        <v/>
      </c>
      <c r="X475">
        <f>HYPERLINK("https://klasma.github.io/Logging_2303/tillsyn/A 24158-2025 tillsynsbegäran.docx", "A 24158-2025")</f>
        <v/>
      </c>
      <c r="Y475">
        <f>HYPERLINK("https://klasma.github.io/Logging_2303/tillsynsmail/A 24158-2025 tillsynsbegäran mail.docx", "A 24158-2025")</f>
        <v/>
      </c>
    </row>
    <row r="476" ht="15" customHeight="1">
      <c r="A476" t="inlineStr">
        <is>
          <t>A 24161-2025</t>
        </is>
      </c>
      <c r="B476" s="1" t="n">
        <v>45796</v>
      </c>
      <c r="C476" s="1" t="n">
        <v>46033</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39947-2025</t>
        </is>
      </c>
      <c r="B477" s="1" t="n">
        <v>45892.34438657408</v>
      </c>
      <c r="C477" s="1" t="n">
        <v>46033</v>
      </c>
      <c r="D477" t="inlineStr">
        <is>
          <t>JÄMTLANDS LÄN</t>
        </is>
      </c>
      <c r="E477" t="inlineStr">
        <is>
          <t>RAGUNDA</t>
        </is>
      </c>
      <c r="G477" t="n">
        <v>6.6</v>
      </c>
      <c r="H477" t="n">
        <v>0</v>
      </c>
      <c r="I477" t="n">
        <v>0</v>
      </c>
      <c r="J477" t="n">
        <v>0</v>
      </c>
      <c r="K477" t="n">
        <v>0</v>
      </c>
      <c r="L477" t="n">
        <v>0</v>
      </c>
      <c r="M477" t="n">
        <v>0</v>
      </c>
      <c r="N477" t="n">
        <v>0</v>
      </c>
      <c r="O477" t="n">
        <v>0</v>
      </c>
      <c r="P477" t="n">
        <v>0</v>
      </c>
      <c r="Q477" t="n">
        <v>0</v>
      </c>
      <c r="R477" s="2" t="inlineStr"/>
    </row>
    <row r="478" ht="15" customHeight="1">
      <c r="A478" t="inlineStr">
        <is>
          <t>A 39951-2025</t>
        </is>
      </c>
      <c r="B478" s="1" t="n">
        <v>45892.38657407407</v>
      </c>
      <c r="C478" s="1" t="n">
        <v>46033</v>
      </c>
      <c r="D478" t="inlineStr">
        <is>
          <t>JÄMTLANDS LÄN</t>
        </is>
      </c>
      <c r="E478" t="inlineStr">
        <is>
          <t>RAGUNDA</t>
        </is>
      </c>
      <c r="G478" t="n">
        <v>2.3</v>
      </c>
      <c r="H478" t="n">
        <v>0</v>
      </c>
      <c r="I478" t="n">
        <v>0</v>
      </c>
      <c r="J478" t="n">
        <v>0</v>
      </c>
      <c r="K478" t="n">
        <v>0</v>
      </c>
      <c r="L478" t="n">
        <v>0</v>
      </c>
      <c r="M478" t="n">
        <v>0</v>
      </c>
      <c r="N478" t="n">
        <v>0</v>
      </c>
      <c r="O478" t="n">
        <v>0</v>
      </c>
      <c r="P478" t="n">
        <v>0</v>
      </c>
      <c r="Q478" t="n">
        <v>0</v>
      </c>
      <c r="R478" s="2" t="inlineStr"/>
    </row>
    <row r="479" ht="15" customHeight="1">
      <c r="A479" t="inlineStr">
        <is>
          <t>A 39948-2025</t>
        </is>
      </c>
      <c r="B479" s="1" t="n">
        <v>45892.38591435185</v>
      </c>
      <c r="C479" s="1" t="n">
        <v>46033</v>
      </c>
      <c r="D479" t="inlineStr">
        <is>
          <t>JÄMTLANDS LÄN</t>
        </is>
      </c>
      <c r="E479" t="inlineStr">
        <is>
          <t>RAGUNDA</t>
        </is>
      </c>
      <c r="G479" t="n">
        <v>5</v>
      </c>
      <c r="H479" t="n">
        <v>0</v>
      </c>
      <c r="I479" t="n">
        <v>0</v>
      </c>
      <c r="J479" t="n">
        <v>0</v>
      </c>
      <c r="K479" t="n">
        <v>0</v>
      </c>
      <c r="L479" t="n">
        <v>0</v>
      </c>
      <c r="M479" t="n">
        <v>0</v>
      </c>
      <c r="N479" t="n">
        <v>0</v>
      </c>
      <c r="O479" t="n">
        <v>0</v>
      </c>
      <c r="P479" t="n">
        <v>0</v>
      </c>
      <c r="Q479" t="n">
        <v>0</v>
      </c>
      <c r="R479" s="2" t="inlineStr"/>
    </row>
    <row r="480" ht="15" customHeight="1">
      <c r="A480" t="inlineStr">
        <is>
          <t>A 39946-2025</t>
        </is>
      </c>
      <c r="B480" s="1" t="n">
        <v>45892.34423611111</v>
      </c>
      <c r="C480" s="1" t="n">
        <v>46033</v>
      </c>
      <c r="D480" t="inlineStr">
        <is>
          <t>JÄMTLANDS LÄN</t>
        </is>
      </c>
      <c r="E480" t="inlineStr">
        <is>
          <t>RAGUNDA</t>
        </is>
      </c>
      <c r="G480" t="n">
        <v>4.7</v>
      </c>
      <c r="H480" t="n">
        <v>0</v>
      </c>
      <c r="I480" t="n">
        <v>0</v>
      </c>
      <c r="J480" t="n">
        <v>0</v>
      </c>
      <c r="K480" t="n">
        <v>0</v>
      </c>
      <c r="L480" t="n">
        <v>0</v>
      </c>
      <c r="M480" t="n">
        <v>0</v>
      </c>
      <c r="N480" t="n">
        <v>0</v>
      </c>
      <c r="O480" t="n">
        <v>0</v>
      </c>
      <c r="P480" t="n">
        <v>0</v>
      </c>
      <c r="Q480" t="n">
        <v>0</v>
      </c>
      <c r="R480" s="2" t="inlineStr"/>
    </row>
    <row r="481" ht="15" customHeight="1">
      <c r="A481" t="inlineStr">
        <is>
          <t>A 39950-2025</t>
        </is>
      </c>
      <c r="B481" s="1" t="n">
        <v>45892.38641203703</v>
      </c>
      <c r="C481" s="1" t="n">
        <v>46033</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39955-2025</t>
        </is>
      </c>
      <c r="B482" s="1" t="n">
        <v>45892.44824074074</v>
      </c>
      <c r="C482" s="1" t="n">
        <v>46033</v>
      </c>
      <c r="D482" t="inlineStr">
        <is>
          <t>JÄMTLANDS LÄN</t>
        </is>
      </c>
      <c r="E482" t="inlineStr">
        <is>
          <t>RAGUNDA</t>
        </is>
      </c>
      <c r="G482" t="n">
        <v>1.4</v>
      </c>
      <c r="H482" t="n">
        <v>0</v>
      </c>
      <c r="I482" t="n">
        <v>0</v>
      </c>
      <c r="J482" t="n">
        <v>0</v>
      </c>
      <c r="K482" t="n">
        <v>0</v>
      </c>
      <c r="L482" t="n">
        <v>0</v>
      </c>
      <c r="M482" t="n">
        <v>0</v>
      </c>
      <c r="N482" t="n">
        <v>0</v>
      </c>
      <c r="O482" t="n">
        <v>0</v>
      </c>
      <c r="P482" t="n">
        <v>0</v>
      </c>
      <c r="Q482" t="n">
        <v>0</v>
      </c>
      <c r="R482" s="2" t="inlineStr"/>
    </row>
    <row r="483" ht="15" customHeight="1">
      <c r="A483" t="inlineStr">
        <is>
          <t>A 39956-2025</t>
        </is>
      </c>
      <c r="B483" s="1" t="n">
        <v>45892.44840277778</v>
      </c>
      <c r="C483" s="1" t="n">
        <v>46033</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24159-2025</t>
        </is>
      </c>
      <c r="B484" s="1" t="n">
        <v>45796</v>
      </c>
      <c r="C484" s="1" t="n">
        <v>46033</v>
      </c>
      <c r="D484" t="inlineStr">
        <is>
          <t>JÄMTLANDS LÄN</t>
        </is>
      </c>
      <c r="E484" t="inlineStr">
        <is>
          <t>RAGUNDA</t>
        </is>
      </c>
      <c r="G484" t="n">
        <v>0.8</v>
      </c>
      <c r="H484" t="n">
        <v>0</v>
      </c>
      <c r="I484" t="n">
        <v>0</v>
      </c>
      <c r="J484" t="n">
        <v>0</v>
      </c>
      <c r="K484" t="n">
        <v>0</v>
      </c>
      <c r="L484" t="n">
        <v>0</v>
      </c>
      <c r="M484" t="n">
        <v>0</v>
      </c>
      <c r="N484" t="n">
        <v>0</v>
      </c>
      <c r="O484" t="n">
        <v>0</v>
      </c>
      <c r="P484" t="n">
        <v>0</v>
      </c>
      <c r="Q484" t="n">
        <v>0</v>
      </c>
      <c r="R484" s="2" t="inlineStr"/>
    </row>
    <row r="485" ht="15" customHeight="1">
      <c r="A485" t="inlineStr">
        <is>
          <t>A 24391-2025</t>
        </is>
      </c>
      <c r="B485" s="1" t="n">
        <v>45797.63627314815</v>
      </c>
      <c r="C485" s="1" t="n">
        <v>46033</v>
      </c>
      <c r="D485" t="inlineStr">
        <is>
          <t>JÄMTLANDS LÄN</t>
        </is>
      </c>
      <c r="E485" t="inlineStr">
        <is>
          <t>RAGUNDA</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46033</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12660-2024</t>
        </is>
      </c>
      <c r="B487" s="1" t="n">
        <v>45384</v>
      </c>
      <c r="C487" s="1" t="n">
        <v>46033</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55649-2023</t>
        </is>
      </c>
      <c r="B488" s="1" t="n">
        <v>45238</v>
      </c>
      <c r="C488" s="1" t="n">
        <v>46033</v>
      </c>
      <c r="D488" t="inlineStr">
        <is>
          <t>JÄMTLANDS LÄN</t>
        </is>
      </c>
      <c r="E488" t="inlineStr">
        <is>
          <t>RAGUNDA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62407-2023</t>
        </is>
      </c>
      <c r="B489" s="1" t="n">
        <v>45266</v>
      </c>
      <c r="C489" s="1" t="n">
        <v>46033</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40586-2025</t>
        </is>
      </c>
      <c r="B490" s="1" t="n">
        <v>45896.52478009259</v>
      </c>
      <c r="C490" s="1" t="n">
        <v>46033</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12521-2023</t>
        </is>
      </c>
      <c r="B491" s="1" t="n">
        <v>45000</v>
      </c>
      <c r="C491" s="1" t="n">
        <v>46033</v>
      </c>
      <c r="D491" t="inlineStr">
        <is>
          <t>JÄMTLANDS LÄN</t>
        </is>
      </c>
      <c r="E491" t="inlineStr">
        <is>
          <t>RAGUNDA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21524-2024</t>
        </is>
      </c>
      <c r="B492" s="1" t="n">
        <v>45441</v>
      </c>
      <c r="C492" s="1" t="n">
        <v>46033</v>
      </c>
      <c r="D492" t="inlineStr">
        <is>
          <t>JÄMTLANDS LÄN</t>
        </is>
      </c>
      <c r="E492" t="inlineStr">
        <is>
          <t>RAGUNDA</t>
        </is>
      </c>
      <c r="G492" t="n">
        <v>1.6</v>
      </c>
      <c r="H492" t="n">
        <v>0</v>
      </c>
      <c r="I492" t="n">
        <v>0</v>
      </c>
      <c r="J492" t="n">
        <v>0</v>
      </c>
      <c r="K492" t="n">
        <v>0</v>
      </c>
      <c r="L492" t="n">
        <v>0</v>
      </c>
      <c r="M492" t="n">
        <v>0</v>
      </c>
      <c r="N492" t="n">
        <v>0</v>
      </c>
      <c r="O492" t="n">
        <v>0</v>
      </c>
      <c r="P492" t="n">
        <v>0</v>
      </c>
      <c r="Q492" t="n">
        <v>0</v>
      </c>
      <c r="R492" s="2" t="inlineStr"/>
    </row>
    <row r="493" ht="15" customHeight="1">
      <c r="A493" t="inlineStr">
        <is>
          <t>A 38191-2024</t>
        </is>
      </c>
      <c r="B493" s="1" t="n">
        <v>45545.49078703704</v>
      </c>
      <c r="C493" s="1" t="n">
        <v>46033</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29319-2023</t>
        </is>
      </c>
      <c r="B494" s="1" t="n">
        <v>45105</v>
      </c>
      <c r="C494" s="1" t="n">
        <v>46033</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18612-2024</t>
        </is>
      </c>
      <c r="B495" s="1" t="n">
        <v>45425.96239583333</v>
      </c>
      <c r="C495" s="1" t="n">
        <v>46033</v>
      </c>
      <c r="D495" t="inlineStr">
        <is>
          <t>JÄMTLANDS LÄN</t>
        </is>
      </c>
      <c r="E495" t="inlineStr">
        <is>
          <t>RAGUNDA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41161-2025</t>
        </is>
      </c>
      <c r="B496" s="1" t="n">
        <v>45898.53193287037</v>
      </c>
      <c r="C496" s="1" t="n">
        <v>46033</v>
      </c>
      <c r="D496" t="inlineStr">
        <is>
          <t>JÄMTLANDS LÄN</t>
        </is>
      </c>
      <c r="E496" t="inlineStr">
        <is>
          <t>RAGUNDA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41233-2025</t>
        </is>
      </c>
      <c r="B497" s="1" t="n">
        <v>45898.59295138889</v>
      </c>
      <c r="C497" s="1" t="n">
        <v>46033</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59931-2025</t>
        </is>
      </c>
      <c r="B498" s="1" t="n">
        <v>45993.40177083333</v>
      </c>
      <c r="C498" s="1" t="n">
        <v>46033</v>
      </c>
      <c r="D498" t="inlineStr">
        <is>
          <t>JÄMTLANDS LÄN</t>
        </is>
      </c>
      <c r="E498" t="inlineStr">
        <is>
          <t>RAGUNDA</t>
        </is>
      </c>
      <c r="G498" t="n">
        <v>4</v>
      </c>
      <c r="H498" t="n">
        <v>0</v>
      </c>
      <c r="I498" t="n">
        <v>0</v>
      </c>
      <c r="J498" t="n">
        <v>0</v>
      </c>
      <c r="K498" t="n">
        <v>0</v>
      </c>
      <c r="L498" t="n">
        <v>0</v>
      </c>
      <c r="M498" t="n">
        <v>0</v>
      </c>
      <c r="N498" t="n">
        <v>0</v>
      </c>
      <c r="O498" t="n">
        <v>0</v>
      </c>
      <c r="P498" t="n">
        <v>0</v>
      </c>
      <c r="Q498" t="n">
        <v>0</v>
      </c>
      <c r="R498" s="2" t="inlineStr"/>
    </row>
    <row r="499" ht="15" customHeight="1">
      <c r="A499" t="inlineStr">
        <is>
          <t>A 51593-2025</t>
        </is>
      </c>
      <c r="B499" s="1" t="n">
        <v>45951.36548611111</v>
      </c>
      <c r="C499" s="1" t="n">
        <v>46033</v>
      </c>
      <c r="D499" t="inlineStr">
        <is>
          <t>JÄMTLANDS LÄN</t>
        </is>
      </c>
      <c r="E499" t="inlineStr">
        <is>
          <t>RAGUNDA</t>
        </is>
      </c>
      <c r="G499" t="n">
        <v>1.5</v>
      </c>
      <c r="H499" t="n">
        <v>0</v>
      </c>
      <c r="I499" t="n">
        <v>0</v>
      </c>
      <c r="J499" t="n">
        <v>0</v>
      </c>
      <c r="K499" t="n">
        <v>0</v>
      </c>
      <c r="L499" t="n">
        <v>0</v>
      </c>
      <c r="M499" t="n">
        <v>0</v>
      </c>
      <c r="N499" t="n">
        <v>0</v>
      </c>
      <c r="O499" t="n">
        <v>0</v>
      </c>
      <c r="P499" t="n">
        <v>0</v>
      </c>
      <c r="Q499" t="n">
        <v>0</v>
      </c>
      <c r="R499" s="2" t="inlineStr"/>
    </row>
    <row r="500" ht="15" customHeight="1">
      <c r="A500" t="inlineStr">
        <is>
          <t>A 464-2023</t>
        </is>
      </c>
      <c r="B500" s="1" t="n">
        <v>44929.92489583333</v>
      </c>
      <c r="C500" s="1" t="n">
        <v>46033</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53769-2023</t>
        </is>
      </c>
      <c r="B501" s="1" t="n">
        <v>45230</v>
      </c>
      <c r="C501" s="1" t="n">
        <v>46033</v>
      </c>
      <c r="D501" t="inlineStr">
        <is>
          <t>JÄMTLANDS LÄN</t>
        </is>
      </c>
      <c r="E501" t="inlineStr">
        <is>
          <t>RAGUNDA</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41262-2025</t>
        </is>
      </c>
      <c r="B502" s="1" t="n">
        <v>45898.61502314815</v>
      </c>
      <c r="C502" s="1" t="n">
        <v>46033</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52228-2024</t>
        </is>
      </c>
      <c r="B503" s="1" t="n">
        <v>45608.6078587963</v>
      </c>
      <c r="C503" s="1" t="n">
        <v>46033</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60062-2025</t>
        </is>
      </c>
      <c r="B504" s="1" t="n">
        <v>45993.65694444445</v>
      </c>
      <c r="C504" s="1" t="n">
        <v>46033</v>
      </c>
      <c r="D504" t="inlineStr">
        <is>
          <t>JÄMTLANDS LÄN</t>
        </is>
      </c>
      <c r="E504" t="inlineStr">
        <is>
          <t>RAGUNDA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59738-2025</t>
        </is>
      </c>
      <c r="B505" s="1" t="n">
        <v>45992.57408564815</v>
      </c>
      <c r="C505" s="1" t="n">
        <v>46033</v>
      </c>
      <c r="D505" t="inlineStr">
        <is>
          <t>JÄMTLANDS LÄN</t>
        </is>
      </c>
      <c r="E505" t="inlineStr">
        <is>
          <t>RAGUNDA</t>
        </is>
      </c>
      <c r="F505" t="inlineStr">
        <is>
          <t>SCA</t>
        </is>
      </c>
      <c r="G505" t="n">
        <v>12.5</v>
      </c>
      <c r="H505" t="n">
        <v>0</v>
      </c>
      <c r="I505" t="n">
        <v>0</v>
      </c>
      <c r="J505" t="n">
        <v>0</v>
      </c>
      <c r="K505" t="n">
        <v>0</v>
      </c>
      <c r="L505" t="n">
        <v>0</v>
      </c>
      <c r="M505" t="n">
        <v>0</v>
      </c>
      <c r="N505" t="n">
        <v>0</v>
      </c>
      <c r="O505" t="n">
        <v>0</v>
      </c>
      <c r="P505" t="n">
        <v>0</v>
      </c>
      <c r="Q505" t="n">
        <v>0</v>
      </c>
      <c r="R505" s="2" t="inlineStr"/>
    </row>
    <row r="506" ht="15" customHeight="1">
      <c r="A506" t="inlineStr">
        <is>
          <t>A 51484-2025</t>
        </is>
      </c>
      <c r="B506" s="1" t="n">
        <v>45950.62196759259</v>
      </c>
      <c r="C506" s="1" t="n">
        <v>46033</v>
      </c>
      <c r="D506" t="inlineStr">
        <is>
          <t>JÄMTLANDS LÄN</t>
        </is>
      </c>
      <c r="E506" t="inlineStr">
        <is>
          <t>RAGUNDA</t>
        </is>
      </c>
      <c r="F506" t="inlineStr">
        <is>
          <t>SCA</t>
        </is>
      </c>
      <c r="G506" t="n">
        <v>23.1</v>
      </c>
      <c r="H506" t="n">
        <v>0</v>
      </c>
      <c r="I506" t="n">
        <v>0</v>
      </c>
      <c r="J506" t="n">
        <v>0</v>
      </c>
      <c r="K506" t="n">
        <v>0</v>
      </c>
      <c r="L506" t="n">
        <v>0</v>
      </c>
      <c r="M506" t="n">
        <v>0</v>
      </c>
      <c r="N506" t="n">
        <v>0</v>
      </c>
      <c r="O506" t="n">
        <v>0</v>
      </c>
      <c r="P506" t="n">
        <v>0</v>
      </c>
      <c r="Q506" t="n">
        <v>0</v>
      </c>
      <c r="R506" s="2" t="inlineStr"/>
    </row>
    <row r="507" ht="15" customHeight="1">
      <c r="A507" t="inlineStr">
        <is>
          <t>A 25631-2025</t>
        </is>
      </c>
      <c r="B507" s="1" t="n">
        <v>45803.5946875</v>
      </c>
      <c r="C507" s="1" t="n">
        <v>46033</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51491-2025</t>
        </is>
      </c>
      <c r="B508" s="1" t="n">
        <v>45950.63362268519</v>
      </c>
      <c r="C508" s="1" t="n">
        <v>46033</v>
      </c>
      <c r="D508" t="inlineStr">
        <is>
          <t>JÄMTLANDS LÄN</t>
        </is>
      </c>
      <c r="E508" t="inlineStr">
        <is>
          <t>RAGUNDA</t>
        </is>
      </c>
      <c r="G508" t="n">
        <v>1.1</v>
      </c>
      <c r="H508" t="n">
        <v>0</v>
      </c>
      <c r="I508" t="n">
        <v>0</v>
      </c>
      <c r="J508" t="n">
        <v>0</v>
      </c>
      <c r="K508" t="n">
        <v>0</v>
      </c>
      <c r="L508" t="n">
        <v>0</v>
      </c>
      <c r="M508" t="n">
        <v>0</v>
      </c>
      <c r="N508" t="n">
        <v>0</v>
      </c>
      <c r="O508" t="n">
        <v>0</v>
      </c>
      <c r="P508" t="n">
        <v>0</v>
      </c>
      <c r="Q508" t="n">
        <v>0</v>
      </c>
      <c r="R508" s="2" t="inlineStr"/>
    </row>
    <row r="509" ht="15" customHeight="1">
      <c r="A509" t="inlineStr">
        <is>
          <t>A 41423-2025</t>
        </is>
      </c>
      <c r="B509" s="1" t="n">
        <v>45901.38578703703</v>
      </c>
      <c r="C509" s="1" t="n">
        <v>46033</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25376-2025</t>
        </is>
      </c>
      <c r="B510" s="1" t="n">
        <v>45800.63619212963</v>
      </c>
      <c r="C510" s="1" t="n">
        <v>46033</v>
      </c>
      <c r="D510" t="inlineStr">
        <is>
          <t>JÄMTLANDS LÄN</t>
        </is>
      </c>
      <c r="E510" t="inlineStr">
        <is>
          <t>RAGUNDA</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2242-2024</t>
        </is>
      </c>
      <c r="B511" s="1" t="n">
        <v>45309</v>
      </c>
      <c r="C511" s="1" t="n">
        <v>46033</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2248-2024</t>
        </is>
      </c>
      <c r="B512" s="1" t="n">
        <v>45309</v>
      </c>
      <c r="C512" s="1" t="n">
        <v>46033</v>
      </c>
      <c r="D512" t="inlineStr">
        <is>
          <t>JÄMTLANDS LÄN</t>
        </is>
      </c>
      <c r="E512" t="inlineStr">
        <is>
          <t>RAGUNDA</t>
        </is>
      </c>
      <c r="G512" t="n">
        <v>4.2</v>
      </c>
      <c r="H512" t="n">
        <v>0</v>
      </c>
      <c r="I512" t="n">
        <v>0</v>
      </c>
      <c r="J512" t="n">
        <v>0</v>
      </c>
      <c r="K512" t="n">
        <v>0</v>
      </c>
      <c r="L512" t="n">
        <v>0</v>
      </c>
      <c r="M512" t="n">
        <v>0</v>
      </c>
      <c r="N512" t="n">
        <v>0</v>
      </c>
      <c r="O512" t="n">
        <v>0</v>
      </c>
      <c r="P512" t="n">
        <v>0</v>
      </c>
      <c r="Q512" t="n">
        <v>0</v>
      </c>
      <c r="R512" s="2" t="inlineStr"/>
    </row>
    <row r="513" ht="15" customHeight="1">
      <c r="A513" t="inlineStr">
        <is>
          <t>A 41424-2025</t>
        </is>
      </c>
      <c r="B513" s="1" t="n">
        <v>45901.38584490741</v>
      </c>
      <c r="C513" s="1" t="n">
        <v>46033</v>
      </c>
      <c r="D513" t="inlineStr">
        <is>
          <t>JÄMTLANDS LÄN</t>
        </is>
      </c>
      <c r="E513" t="inlineStr">
        <is>
          <t>RAGUNDA</t>
        </is>
      </c>
      <c r="G513" t="n">
        <v>3</v>
      </c>
      <c r="H513" t="n">
        <v>0</v>
      </c>
      <c r="I513" t="n">
        <v>0</v>
      </c>
      <c r="J513" t="n">
        <v>0</v>
      </c>
      <c r="K513" t="n">
        <v>0</v>
      </c>
      <c r="L513" t="n">
        <v>0</v>
      </c>
      <c r="M513" t="n">
        <v>0</v>
      </c>
      <c r="N513" t="n">
        <v>0</v>
      </c>
      <c r="O513" t="n">
        <v>0</v>
      </c>
      <c r="P513" t="n">
        <v>0</v>
      </c>
      <c r="Q513" t="n">
        <v>0</v>
      </c>
      <c r="R513" s="2" t="inlineStr"/>
    </row>
    <row r="514" ht="15" customHeight="1">
      <c r="A514" t="inlineStr">
        <is>
          <t>A 41140-2025</t>
        </is>
      </c>
      <c r="B514" s="1" t="n">
        <v>45898.49012731481</v>
      </c>
      <c r="C514" s="1" t="n">
        <v>46033</v>
      </c>
      <c r="D514" t="inlineStr">
        <is>
          <t>JÄMTLANDS LÄN</t>
        </is>
      </c>
      <c r="E514" t="inlineStr">
        <is>
          <t>RAGUNDA</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41422-2025</t>
        </is>
      </c>
      <c r="B515" s="1" t="n">
        <v>45901.38572916666</v>
      </c>
      <c r="C515" s="1" t="n">
        <v>46033</v>
      </c>
      <c r="D515" t="inlineStr">
        <is>
          <t>JÄMTLANDS LÄN</t>
        </is>
      </c>
      <c r="E515" t="inlineStr">
        <is>
          <t>RAGUNDA</t>
        </is>
      </c>
      <c r="G515" t="n">
        <v>4.3</v>
      </c>
      <c r="H515" t="n">
        <v>0</v>
      </c>
      <c r="I515" t="n">
        <v>0</v>
      </c>
      <c r="J515" t="n">
        <v>0</v>
      </c>
      <c r="K515" t="n">
        <v>0</v>
      </c>
      <c r="L515" t="n">
        <v>0</v>
      </c>
      <c r="M515" t="n">
        <v>0</v>
      </c>
      <c r="N515" t="n">
        <v>0</v>
      </c>
      <c r="O515" t="n">
        <v>0</v>
      </c>
      <c r="P515" t="n">
        <v>0</v>
      </c>
      <c r="Q515" t="n">
        <v>0</v>
      </c>
      <c r="R515" s="2" t="inlineStr"/>
    </row>
    <row r="516" ht="15" customHeight="1">
      <c r="A516" t="inlineStr">
        <is>
          <t>A 41876-2025</t>
        </is>
      </c>
      <c r="B516" s="1" t="n">
        <v>45903.34555555556</v>
      </c>
      <c r="C516" s="1" t="n">
        <v>46033</v>
      </c>
      <c r="D516" t="inlineStr">
        <is>
          <t>JÄMTLANDS LÄN</t>
        </is>
      </c>
      <c r="E516" t="inlineStr">
        <is>
          <t>RAGUNDA</t>
        </is>
      </c>
      <c r="G516" t="n">
        <v>2</v>
      </c>
      <c r="H516" t="n">
        <v>0</v>
      </c>
      <c r="I516" t="n">
        <v>0</v>
      </c>
      <c r="J516" t="n">
        <v>0</v>
      </c>
      <c r="K516" t="n">
        <v>0</v>
      </c>
      <c r="L516" t="n">
        <v>0</v>
      </c>
      <c r="M516" t="n">
        <v>0</v>
      </c>
      <c r="N516" t="n">
        <v>0</v>
      </c>
      <c r="O516" t="n">
        <v>0</v>
      </c>
      <c r="P516" t="n">
        <v>0</v>
      </c>
      <c r="Q516" t="n">
        <v>0</v>
      </c>
      <c r="R516" s="2" t="inlineStr"/>
    </row>
    <row r="517" ht="15" customHeight="1">
      <c r="A517" t="inlineStr">
        <is>
          <t>A 25175-2025</t>
        </is>
      </c>
      <c r="B517" s="1" t="n">
        <v>45800.44822916666</v>
      </c>
      <c r="C517" s="1" t="n">
        <v>46033</v>
      </c>
      <c r="D517" t="inlineStr">
        <is>
          <t>JÄMTLANDS LÄN</t>
        </is>
      </c>
      <c r="E517" t="inlineStr">
        <is>
          <t>RAGUNDA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25177-2025</t>
        </is>
      </c>
      <c r="B518" s="1" t="n">
        <v>45800.44862268519</v>
      </c>
      <c r="C518" s="1" t="n">
        <v>46033</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25659-2025</t>
        </is>
      </c>
      <c r="B519" s="1" t="n">
        <v>45803.61552083334</v>
      </c>
      <c r="C519" s="1" t="n">
        <v>46033</v>
      </c>
      <c r="D519" t="inlineStr">
        <is>
          <t>JÄMTLANDS LÄN</t>
        </is>
      </c>
      <c r="E519" t="inlineStr">
        <is>
          <t>RAGUNDA</t>
        </is>
      </c>
      <c r="G519" t="n">
        <v>1.5</v>
      </c>
      <c r="H519" t="n">
        <v>0</v>
      </c>
      <c r="I519" t="n">
        <v>0</v>
      </c>
      <c r="J519" t="n">
        <v>0</v>
      </c>
      <c r="K519" t="n">
        <v>0</v>
      </c>
      <c r="L519" t="n">
        <v>0</v>
      </c>
      <c r="M519" t="n">
        <v>0</v>
      </c>
      <c r="N519" t="n">
        <v>0</v>
      </c>
      <c r="O519" t="n">
        <v>0</v>
      </c>
      <c r="P519" t="n">
        <v>0</v>
      </c>
      <c r="Q519" t="n">
        <v>0</v>
      </c>
      <c r="R519" s="2" t="inlineStr"/>
    </row>
    <row r="520" ht="15" customHeight="1">
      <c r="A520" t="inlineStr">
        <is>
          <t>A 25661-2025</t>
        </is>
      </c>
      <c r="B520" s="1" t="n">
        <v>45803.61557870371</v>
      </c>
      <c r="C520" s="1" t="n">
        <v>46033</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25350-2025</t>
        </is>
      </c>
      <c r="B521" s="1" t="n">
        <v>45800</v>
      </c>
      <c r="C521" s="1" t="n">
        <v>46033</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25152-2025</t>
        </is>
      </c>
      <c r="B522" s="1" t="n">
        <v>45800.42743055556</v>
      </c>
      <c r="C522" s="1" t="n">
        <v>46033</v>
      </c>
      <c r="D522" t="inlineStr">
        <is>
          <t>JÄMTLANDS LÄN</t>
        </is>
      </c>
      <c r="E522" t="inlineStr">
        <is>
          <t>RAGUNDA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41656-2025</t>
        </is>
      </c>
      <c r="B523" s="1" t="n">
        <v>45902.34423611111</v>
      </c>
      <c r="C523" s="1" t="n">
        <v>46033</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19264-2025</t>
        </is>
      </c>
      <c r="B524" s="1" t="n">
        <v>45769.51087962963</v>
      </c>
      <c r="C524" s="1" t="n">
        <v>46033</v>
      </c>
      <c r="D524" t="inlineStr">
        <is>
          <t>JÄMTLANDS LÄN</t>
        </is>
      </c>
      <c r="E524" t="inlineStr">
        <is>
          <t>RAGUNDA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19613-2023</t>
        </is>
      </c>
      <c r="B525" s="1" t="n">
        <v>45050.94020833333</v>
      </c>
      <c r="C525" s="1" t="n">
        <v>46033</v>
      </c>
      <c r="D525" t="inlineStr">
        <is>
          <t>JÄMTLANDS LÄN</t>
        </is>
      </c>
      <c r="E525" t="inlineStr">
        <is>
          <t>RAGUNDA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25814-2025</t>
        </is>
      </c>
      <c r="B526" s="1" t="n">
        <v>45804.42642361111</v>
      </c>
      <c r="C526" s="1" t="n">
        <v>46033</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25944-2025</t>
        </is>
      </c>
      <c r="B527" s="1" t="n">
        <v>45804.59487268519</v>
      </c>
      <c r="C527" s="1" t="n">
        <v>46033</v>
      </c>
      <c r="D527" t="inlineStr">
        <is>
          <t>JÄMTLANDS LÄN</t>
        </is>
      </c>
      <c r="E527" t="inlineStr">
        <is>
          <t>RAGUNDA</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29263-2024</t>
        </is>
      </c>
      <c r="B528" s="1" t="n">
        <v>45482.94891203703</v>
      </c>
      <c r="C528" s="1" t="n">
        <v>46033</v>
      </c>
      <c r="D528" t="inlineStr">
        <is>
          <t>JÄMTLANDS LÄN</t>
        </is>
      </c>
      <c r="E528" t="inlineStr">
        <is>
          <t>RAGUNDA</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59740-2025</t>
        </is>
      </c>
      <c r="B529" s="1" t="n">
        <v>45992.5743287037</v>
      </c>
      <c r="C529" s="1" t="n">
        <v>46033</v>
      </c>
      <c r="D529" t="inlineStr">
        <is>
          <t>JÄMTLANDS LÄN</t>
        </is>
      </c>
      <c r="E529" t="inlineStr">
        <is>
          <t>RAGUNDA</t>
        </is>
      </c>
      <c r="F529" t="inlineStr">
        <is>
          <t>SCA</t>
        </is>
      </c>
      <c r="G529" t="n">
        <v>14.1</v>
      </c>
      <c r="H529" t="n">
        <v>0</v>
      </c>
      <c r="I529" t="n">
        <v>0</v>
      </c>
      <c r="J529" t="n">
        <v>0</v>
      </c>
      <c r="K529" t="n">
        <v>0</v>
      </c>
      <c r="L529" t="n">
        <v>0</v>
      </c>
      <c r="M529" t="n">
        <v>0</v>
      </c>
      <c r="N529" t="n">
        <v>0</v>
      </c>
      <c r="O529" t="n">
        <v>0</v>
      </c>
      <c r="P529" t="n">
        <v>0</v>
      </c>
      <c r="Q529" t="n">
        <v>0</v>
      </c>
      <c r="R529" s="2" t="inlineStr"/>
    </row>
    <row r="530" ht="15" customHeight="1">
      <c r="A530" t="inlineStr">
        <is>
          <t>A 8800-2025</t>
        </is>
      </c>
      <c r="B530" s="1" t="n">
        <v>45712.65671296296</v>
      </c>
      <c r="C530" s="1" t="n">
        <v>46033</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26283-2025</t>
        </is>
      </c>
      <c r="B531" s="1" t="n">
        <v>45805.61495370371</v>
      </c>
      <c r="C531" s="1" t="n">
        <v>46033</v>
      </c>
      <c r="D531" t="inlineStr">
        <is>
          <t>JÄMTLANDS LÄN</t>
        </is>
      </c>
      <c r="E531" t="inlineStr">
        <is>
          <t>RAGUNDA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10788-2025</t>
        </is>
      </c>
      <c r="B532" s="1" t="n">
        <v>45722.48982638889</v>
      </c>
      <c r="C532" s="1" t="n">
        <v>46033</v>
      </c>
      <c r="D532" t="inlineStr">
        <is>
          <t>JÄMTLANDS LÄN</t>
        </is>
      </c>
      <c r="E532" t="inlineStr">
        <is>
          <t>RAGUNDA</t>
        </is>
      </c>
      <c r="G532" t="n">
        <v>3.5</v>
      </c>
      <c r="H532" t="n">
        <v>0</v>
      </c>
      <c r="I532" t="n">
        <v>0</v>
      </c>
      <c r="J532" t="n">
        <v>0</v>
      </c>
      <c r="K532" t="n">
        <v>0</v>
      </c>
      <c r="L532" t="n">
        <v>0</v>
      </c>
      <c r="M532" t="n">
        <v>0</v>
      </c>
      <c r="N532" t="n">
        <v>0</v>
      </c>
      <c r="O532" t="n">
        <v>0</v>
      </c>
      <c r="P532" t="n">
        <v>0</v>
      </c>
      <c r="Q532" t="n">
        <v>0</v>
      </c>
      <c r="R532" s="2" t="inlineStr"/>
    </row>
    <row r="533" ht="15" customHeight="1">
      <c r="A533" t="inlineStr">
        <is>
          <t>A 24258-2025</t>
        </is>
      </c>
      <c r="B533" s="1" t="n">
        <v>45797.40800925926</v>
      </c>
      <c r="C533" s="1" t="n">
        <v>46033</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25994-2025</t>
        </is>
      </c>
      <c r="B534" s="1" t="n">
        <v>45804.65672453704</v>
      </c>
      <c r="C534" s="1" t="n">
        <v>46033</v>
      </c>
      <c r="D534" t="inlineStr">
        <is>
          <t>JÄMTLANDS LÄN</t>
        </is>
      </c>
      <c r="E534" t="inlineStr">
        <is>
          <t>RAGUNDA</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29265-2024</t>
        </is>
      </c>
      <c r="B535" s="1" t="n">
        <v>45482.9491087963</v>
      </c>
      <c r="C535" s="1" t="n">
        <v>46033</v>
      </c>
      <c r="D535" t="inlineStr">
        <is>
          <t>JÄMTLANDS LÄN</t>
        </is>
      </c>
      <c r="E535" t="inlineStr">
        <is>
          <t>RAGUNDA</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27291-2022</t>
        </is>
      </c>
      <c r="B536" s="1" t="n">
        <v>44741.94070601852</v>
      </c>
      <c r="C536" s="1" t="n">
        <v>46033</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26172-2025</t>
        </is>
      </c>
      <c r="B537" s="1" t="n">
        <v>45805.46613425926</v>
      </c>
      <c r="C537" s="1" t="n">
        <v>46033</v>
      </c>
      <c r="D537" t="inlineStr">
        <is>
          <t>JÄMTLANDS LÄN</t>
        </is>
      </c>
      <c r="E537" t="inlineStr">
        <is>
          <t>RAGUNDA</t>
        </is>
      </c>
      <c r="G537" t="n">
        <v>2.1</v>
      </c>
      <c r="H537" t="n">
        <v>0</v>
      </c>
      <c r="I537" t="n">
        <v>0</v>
      </c>
      <c r="J537" t="n">
        <v>0</v>
      </c>
      <c r="K537" t="n">
        <v>0</v>
      </c>
      <c r="L537" t="n">
        <v>0</v>
      </c>
      <c r="M537" t="n">
        <v>0</v>
      </c>
      <c r="N537" t="n">
        <v>0</v>
      </c>
      <c r="O537" t="n">
        <v>0</v>
      </c>
      <c r="P537" t="n">
        <v>0</v>
      </c>
      <c r="Q537" t="n">
        <v>0</v>
      </c>
      <c r="R537" s="2" t="inlineStr"/>
    </row>
    <row r="538" ht="15" customHeight="1">
      <c r="A538" t="inlineStr">
        <is>
          <t>A 8776-2025</t>
        </is>
      </c>
      <c r="B538" s="1" t="n">
        <v>45712.61510416667</v>
      </c>
      <c r="C538" s="1" t="n">
        <v>46033</v>
      </c>
      <c r="D538" t="inlineStr">
        <is>
          <t>JÄMTLANDS LÄN</t>
        </is>
      </c>
      <c r="E538" t="inlineStr">
        <is>
          <t>RAGUNDA</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26246-2025</t>
        </is>
      </c>
      <c r="B539" s="1" t="n">
        <v>45805.57390046296</v>
      </c>
      <c r="C539" s="1" t="n">
        <v>46033</v>
      </c>
      <c r="D539" t="inlineStr">
        <is>
          <t>JÄMTLANDS LÄN</t>
        </is>
      </c>
      <c r="E539" t="inlineStr">
        <is>
          <t>RAGUNDA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59739-2025</t>
        </is>
      </c>
      <c r="B540" s="1" t="n">
        <v>45992.57417824074</v>
      </c>
      <c r="C540" s="1" t="n">
        <v>46033</v>
      </c>
      <c r="D540" t="inlineStr">
        <is>
          <t>JÄMTLANDS LÄN</t>
        </is>
      </c>
      <c r="E540" t="inlineStr">
        <is>
          <t>RAGUNDA</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14821-2025</t>
        </is>
      </c>
      <c r="B541" s="1" t="n">
        <v>45743.36</v>
      </c>
      <c r="C541" s="1" t="n">
        <v>46033</v>
      </c>
      <c r="D541" t="inlineStr">
        <is>
          <t>JÄMTLANDS LÄN</t>
        </is>
      </c>
      <c r="E541" t="inlineStr">
        <is>
          <t>RAGUNDA</t>
        </is>
      </c>
      <c r="F541" t="inlineStr">
        <is>
          <t>Kyrkan</t>
        </is>
      </c>
      <c r="G541" t="n">
        <v>6.4</v>
      </c>
      <c r="H541" t="n">
        <v>0</v>
      </c>
      <c r="I541" t="n">
        <v>0</v>
      </c>
      <c r="J541" t="n">
        <v>0</v>
      </c>
      <c r="K541" t="n">
        <v>0</v>
      </c>
      <c r="L541" t="n">
        <v>0</v>
      </c>
      <c r="M541" t="n">
        <v>0</v>
      </c>
      <c r="N541" t="n">
        <v>0</v>
      </c>
      <c r="O541" t="n">
        <v>0</v>
      </c>
      <c r="P541" t="n">
        <v>0</v>
      </c>
      <c r="Q541" t="n">
        <v>0</v>
      </c>
      <c r="R541" s="2" t="inlineStr"/>
    </row>
    <row r="542" ht="15" customHeight="1">
      <c r="A542" t="inlineStr">
        <is>
          <t>A 73278-2021</t>
        </is>
      </c>
      <c r="B542" s="1" t="n">
        <v>44550.92168981482</v>
      </c>
      <c r="C542" s="1" t="n">
        <v>46033</v>
      </c>
      <c r="D542" t="inlineStr">
        <is>
          <t>JÄMTLANDS LÄN</t>
        </is>
      </c>
      <c r="E542" t="inlineStr">
        <is>
          <t>RAGUNDA</t>
        </is>
      </c>
      <c r="G542" t="n">
        <v>4.4</v>
      </c>
      <c r="H542" t="n">
        <v>0</v>
      </c>
      <c r="I542" t="n">
        <v>0</v>
      </c>
      <c r="J542" t="n">
        <v>0</v>
      </c>
      <c r="K542" t="n">
        <v>0</v>
      </c>
      <c r="L542" t="n">
        <v>0</v>
      </c>
      <c r="M542" t="n">
        <v>0</v>
      </c>
      <c r="N542" t="n">
        <v>0</v>
      </c>
      <c r="O542" t="n">
        <v>0</v>
      </c>
      <c r="P542" t="n">
        <v>0</v>
      </c>
      <c r="Q542" t="n">
        <v>0</v>
      </c>
      <c r="R542" s="2" t="inlineStr"/>
    </row>
    <row r="543" ht="15" customHeight="1">
      <c r="A543" t="inlineStr">
        <is>
          <t>A 51791-2025</t>
        </is>
      </c>
      <c r="B543" s="1" t="n">
        <v>45951.69833333333</v>
      </c>
      <c r="C543" s="1" t="n">
        <v>46033</v>
      </c>
      <c r="D543" t="inlineStr">
        <is>
          <t>JÄMTLANDS LÄN</t>
        </is>
      </c>
      <c r="E543" t="inlineStr">
        <is>
          <t>RAGUNDA</t>
        </is>
      </c>
      <c r="F543" t="inlineStr">
        <is>
          <t>SCA</t>
        </is>
      </c>
      <c r="G543" t="n">
        <v>43.3</v>
      </c>
      <c r="H543" t="n">
        <v>0</v>
      </c>
      <c r="I543" t="n">
        <v>0</v>
      </c>
      <c r="J543" t="n">
        <v>0</v>
      </c>
      <c r="K543" t="n">
        <v>0</v>
      </c>
      <c r="L543" t="n">
        <v>0</v>
      </c>
      <c r="M543" t="n">
        <v>0</v>
      </c>
      <c r="N543" t="n">
        <v>0</v>
      </c>
      <c r="O543" t="n">
        <v>0</v>
      </c>
      <c r="P543" t="n">
        <v>0</v>
      </c>
      <c r="Q543" t="n">
        <v>0</v>
      </c>
      <c r="R543" s="2" t="inlineStr"/>
    </row>
    <row r="544" ht="15" customHeight="1">
      <c r="A544" t="inlineStr">
        <is>
          <t>A 42269-2025</t>
        </is>
      </c>
      <c r="B544" s="1" t="n">
        <v>45904.60431712963</v>
      </c>
      <c r="C544" s="1" t="n">
        <v>46033</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51396-2024</t>
        </is>
      </c>
      <c r="B545" s="1" t="n">
        <v>45604.4190625</v>
      </c>
      <c r="C545" s="1" t="n">
        <v>46033</v>
      </c>
      <c r="D545" t="inlineStr">
        <is>
          <t>JÄMTLANDS LÄN</t>
        </is>
      </c>
      <c r="E545" t="inlineStr">
        <is>
          <t>RAGUNDA</t>
        </is>
      </c>
      <c r="G545" t="n">
        <v>0.8</v>
      </c>
      <c r="H545" t="n">
        <v>0</v>
      </c>
      <c r="I545" t="n">
        <v>0</v>
      </c>
      <c r="J545" t="n">
        <v>0</v>
      </c>
      <c r="K545" t="n">
        <v>0</v>
      </c>
      <c r="L545" t="n">
        <v>0</v>
      </c>
      <c r="M545" t="n">
        <v>0</v>
      </c>
      <c r="N545" t="n">
        <v>0</v>
      </c>
      <c r="O545" t="n">
        <v>0</v>
      </c>
      <c r="P545" t="n">
        <v>0</v>
      </c>
      <c r="Q545" t="n">
        <v>0</v>
      </c>
      <c r="R545" s="2" t="inlineStr"/>
    </row>
    <row r="546" ht="15" customHeight="1">
      <c r="A546" t="inlineStr">
        <is>
          <t>A 36375-2022</t>
        </is>
      </c>
      <c r="B546" s="1" t="n">
        <v>44803.94351851852</v>
      </c>
      <c r="C546" s="1" t="n">
        <v>46033</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26640-2025</t>
        </is>
      </c>
      <c r="B547" s="1" t="n">
        <v>45810.36495370371</v>
      </c>
      <c r="C547" s="1" t="n">
        <v>46033</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8679-2023</t>
        </is>
      </c>
      <c r="B548" s="1" t="n">
        <v>44977.98670138889</v>
      </c>
      <c r="C548" s="1" t="n">
        <v>46033</v>
      </c>
      <c r="D548" t="inlineStr">
        <is>
          <t>JÄMTLANDS LÄN</t>
        </is>
      </c>
      <c r="E548" t="inlineStr">
        <is>
          <t>RAGUNDA</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51702-2025</t>
        </is>
      </c>
      <c r="B549" s="1" t="n">
        <v>45951.55305555555</v>
      </c>
      <c r="C549" s="1" t="n">
        <v>46033</v>
      </c>
      <c r="D549" t="inlineStr">
        <is>
          <t>JÄMTLANDS LÄN</t>
        </is>
      </c>
      <c r="E549" t="inlineStr">
        <is>
          <t>RAGUNDA</t>
        </is>
      </c>
      <c r="G549" t="n">
        <v>11.4</v>
      </c>
      <c r="H549" t="n">
        <v>0</v>
      </c>
      <c r="I549" t="n">
        <v>0</v>
      </c>
      <c r="J549" t="n">
        <v>0</v>
      </c>
      <c r="K549" t="n">
        <v>0</v>
      </c>
      <c r="L549" t="n">
        <v>0</v>
      </c>
      <c r="M549" t="n">
        <v>0</v>
      </c>
      <c r="N549" t="n">
        <v>0</v>
      </c>
      <c r="O549" t="n">
        <v>0</v>
      </c>
      <c r="P549" t="n">
        <v>0</v>
      </c>
      <c r="Q549" t="n">
        <v>0</v>
      </c>
      <c r="R549" s="2" t="inlineStr"/>
    </row>
    <row r="550" ht="15" customHeight="1">
      <c r="A550" t="inlineStr">
        <is>
          <t>A 9325-2024</t>
        </is>
      </c>
      <c r="B550" s="1" t="n">
        <v>45358.95813657407</v>
      </c>
      <c r="C550" s="1" t="n">
        <v>46033</v>
      </c>
      <c r="D550" t="inlineStr">
        <is>
          <t>JÄMTLANDS LÄN</t>
        </is>
      </c>
      <c r="E550" t="inlineStr">
        <is>
          <t>RAGUNDA</t>
        </is>
      </c>
      <c r="G550" t="n">
        <v>3.1</v>
      </c>
      <c r="H550" t="n">
        <v>0</v>
      </c>
      <c r="I550" t="n">
        <v>0</v>
      </c>
      <c r="J550" t="n">
        <v>0</v>
      </c>
      <c r="K550" t="n">
        <v>0</v>
      </c>
      <c r="L550" t="n">
        <v>0</v>
      </c>
      <c r="M550" t="n">
        <v>0</v>
      </c>
      <c r="N550" t="n">
        <v>0</v>
      </c>
      <c r="O550" t="n">
        <v>0</v>
      </c>
      <c r="P550" t="n">
        <v>0</v>
      </c>
      <c r="Q550" t="n">
        <v>0</v>
      </c>
      <c r="R550" s="2" t="inlineStr"/>
    </row>
    <row r="551" ht="15" customHeight="1">
      <c r="A551" t="inlineStr">
        <is>
          <t>A 2001-2025</t>
        </is>
      </c>
      <c r="B551" s="1" t="n">
        <v>45672.44898148148</v>
      </c>
      <c r="C551" s="1" t="n">
        <v>46033</v>
      </c>
      <c r="D551" t="inlineStr">
        <is>
          <t>JÄMTLANDS LÄN</t>
        </is>
      </c>
      <c r="E551" t="inlineStr">
        <is>
          <t>RAGUNDA</t>
        </is>
      </c>
      <c r="F551" t="inlineStr">
        <is>
          <t>SCA</t>
        </is>
      </c>
      <c r="G551" t="n">
        <v>16.2</v>
      </c>
      <c r="H551" t="n">
        <v>0</v>
      </c>
      <c r="I551" t="n">
        <v>0</v>
      </c>
      <c r="J551" t="n">
        <v>0</v>
      </c>
      <c r="K551" t="n">
        <v>0</v>
      </c>
      <c r="L551" t="n">
        <v>0</v>
      </c>
      <c r="M551" t="n">
        <v>0</v>
      </c>
      <c r="N551" t="n">
        <v>0</v>
      </c>
      <c r="O551" t="n">
        <v>0</v>
      </c>
      <c r="P551" t="n">
        <v>0</v>
      </c>
      <c r="Q551" t="n">
        <v>0</v>
      </c>
      <c r="R551" s="2" t="inlineStr"/>
    </row>
    <row r="552" ht="15" customHeight="1">
      <c r="A552" t="inlineStr">
        <is>
          <t>A 53762-2023</t>
        </is>
      </c>
      <c r="B552" s="1" t="n">
        <v>45230.96376157407</v>
      </c>
      <c r="C552" s="1" t="n">
        <v>46033</v>
      </c>
      <c r="D552" t="inlineStr">
        <is>
          <t>JÄMTLANDS LÄN</t>
        </is>
      </c>
      <c r="E552" t="inlineStr">
        <is>
          <t>RAGUNDA</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5930-2025</t>
        </is>
      </c>
      <c r="B553" s="1" t="n">
        <v>45695.44724537037</v>
      </c>
      <c r="C553" s="1" t="n">
        <v>46033</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57170-2024</t>
        </is>
      </c>
      <c r="B554" s="1" t="n">
        <v>45629.42759259259</v>
      </c>
      <c r="C554" s="1" t="n">
        <v>46033</v>
      </c>
      <c r="D554" t="inlineStr">
        <is>
          <t>JÄMTLANDS LÄN</t>
        </is>
      </c>
      <c r="E554" t="inlineStr">
        <is>
          <t>RAGUNDA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33763-2025</t>
        </is>
      </c>
      <c r="B555" s="1" t="n">
        <v>45842.38579861111</v>
      </c>
      <c r="C555" s="1" t="n">
        <v>46033</v>
      </c>
      <c r="D555" t="inlineStr">
        <is>
          <t>JÄMTLANDS LÄN</t>
        </is>
      </c>
      <c r="E555" t="inlineStr">
        <is>
          <t>RAGUNDA</t>
        </is>
      </c>
      <c r="F555" t="inlineStr">
        <is>
          <t>SCA</t>
        </is>
      </c>
      <c r="G555" t="n">
        <v>13.4</v>
      </c>
      <c r="H555" t="n">
        <v>0</v>
      </c>
      <c r="I555" t="n">
        <v>0</v>
      </c>
      <c r="J555" t="n">
        <v>0</v>
      </c>
      <c r="K555" t="n">
        <v>0</v>
      </c>
      <c r="L555" t="n">
        <v>0</v>
      </c>
      <c r="M555" t="n">
        <v>0</v>
      </c>
      <c r="N555" t="n">
        <v>0</v>
      </c>
      <c r="O555" t="n">
        <v>0</v>
      </c>
      <c r="P555" t="n">
        <v>0</v>
      </c>
      <c r="Q555" t="n">
        <v>0</v>
      </c>
      <c r="R555" s="2" t="inlineStr"/>
    </row>
    <row r="556" ht="15" customHeight="1">
      <c r="A556" t="inlineStr">
        <is>
          <t>A 19089-2024</t>
        </is>
      </c>
      <c r="B556" s="1" t="n">
        <v>45428.00471064815</v>
      </c>
      <c r="C556" s="1" t="n">
        <v>46033</v>
      </c>
      <c r="D556" t="inlineStr">
        <is>
          <t>JÄMTLANDS LÄN</t>
        </is>
      </c>
      <c r="E556" t="inlineStr">
        <is>
          <t>RAGUNDA</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51394-2025</t>
        </is>
      </c>
      <c r="B557" s="1" t="n">
        <v>45950.46972222222</v>
      </c>
      <c r="C557" s="1" t="n">
        <v>46033</v>
      </c>
      <c r="D557" t="inlineStr">
        <is>
          <t>JÄMTLANDS LÄN</t>
        </is>
      </c>
      <c r="E557" t="inlineStr">
        <is>
          <t>RAGUNDA</t>
        </is>
      </c>
      <c r="F557" t="inlineStr">
        <is>
          <t>SCA</t>
        </is>
      </c>
      <c r="G557" t="n">
        <v>36.5</v>
      </c>
      <c r="H557" t="n">
        <v>0</v>
      </c>
      <c r="I557" t="n">
        <v>0</v>
      </c>
      <c r="J557" t="n">
        <v>0</v>
      </c>
      <c r="K557" t="n">
        <v>0</v>
      </c>
      <c r="L557" t="n">
        <v>0</v>
      </c>
      <c r="M557" t="n">
        <v>0</v>
      </c>
      <c r="N557" t="n">
        <v>0</v>
      </c>
      <c r="O557" t="n">
        <v>0</v>
      </c>
      <c r="P557" t="n">
        <v>0</v>
      </c>
      <c r="Q557" t="n">
        <v>0</v>
      </c>
      <c r="R557" s="2" t="inlineStr"/>
    </row>
    <row r="558" ht="15" customHeight="1">
      <c r="A558" t="inlineStr">
        <is>
          <t>A 43177-2025</t>
        </is>
      </c>
      <c r="B558" s="1" t="n">
        <v>45910.40667824074</v>
      </c>
      <c r="C558" s="1" t="n">
        <v>46033</v>
      </c>
      <c r="D558" t="inlineStr">
        <is>
          <t>JÄMTLANDS LÄN</t>
        </is>
      </c>
      <c r="E558" t="inlineStr">
        <is>
          <t>RAGUNDA</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43181-2025</t>
        </is>
      </c>
      <c r="B559" s="1" t="n">
        <v>45910.40721064815</v>
      </c>
      <c r="C559" s="1" t="n">
        <v>46033</v>
      </c>
      <c r="D559" t="inlineStr">
        <is>
          <t>JÄMTLANDS LÄN</t>
        </is>
      </c>
      <c r="E559" t="inlineStr">
        <is>
          <t>RAGUNDA</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27510-2025</t>
        </is>
      </c>
      <c r="B560" s="1" t="n">
        <v>45813.42790509259</v>
      </c>
      <c r="C560" s="1" t="n">
        <v>46033</v>
      </c>
      <c r="D560" t="inlineStr">
        <is>
          <t>JÄMTLANDS LÄN</t>
        </is>
      </c>
      <c r="E560" t="inlineStr">
        <is>
          <t>RAGUNDA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52317-2025</t>
        </is>
      </c>
      <c r="B561" s="1" t="n">
        <v>45953.65675925926</v>
      </c>
      <c r="C561" s="1" t="n">
        <v>46033</v>
      </c>
      <c r="D561" t="inlineStr">
        <is>
          <t>JÄMTLANDS LÄN</t>
        </is>
      </c>
      <c r="E561" t="inlineStr">
        <is>
          <t>RAGUNDA</t>
        </is>
      </c>
      <c r="F561" t="inlineStr">
        <is>
          <t>SCA</t>
        </is>
      </c>
      <c r="G561" t="n">
        <v>27.2</v>
      </c>
      <c r="H561" t="n">
        <v>0</v>
      </c>
      <c r="I561" t="n">
        <v>0</v>
      </c>
      <c r="J561" t="n">
        <v>0</v>
      </c>
      <c r="K561" t="n">
        <v>0</v>
      </c>
      <c r="L561" t="n">
        <v>0</v>
      </c>
      <c r="M561" t="n">
        <v>0</v>
      </c>
      <c r="N561" t="n">
        <v>0</v>
      </c>
      <c r="O561" t="n">
        <v>0</v>
      </c>
      <c r="P561" t="n">
        <v>0</v>
      </c>
      <c r="Q561" t="n">
        <v>0</v>
      </c>
      <c r="R561" s="2" t="inlineStr"/>
    </row>
    <row r="562" ht="15" customHeight="1">
      <c r="A562" t="inlineStr">
        <is>
          <t>A 60389-2025</t>
        </is>
      </c>
      <c r="B562" s="1" t="n">
        <v>45995.38628472222</v>
      </c>
      <c r="C562" s="1" t="n">
        <v>46033</v>
      </c>
      <c r="D562" t="inlineStr">
        <is>
          <t>JÄMTLANDS LÄN</t>
        </is>
      </c>
      <c r="E562" t="inlineStr">
        <is>
          <t>RAGUNDA</t>
        </is>
      </c>
      <c r="G562" t="n">
        <v>3.3</v>
      </c>
      <c r="H562" t="n">
        <v>0</v>
      </c>
      <c r="I562" t="n">
        <v>0</v>
      </c>
      <c r="J562" t="n">
        <v>0</v>
      </c>
      <c r="K562" t="n">
        <v>0</v>
      </c>
      <c r="L562" t="n">
        <v>0</v>
      </c>
      <c r="M562" t="n">
        <v>0</v>
      </c>
      <c r="N562" t="n">
        <v>0</v>
      </c>
      <c r="O562" t="n">
        <v>0</v>
      </c>
      <c r="P562" t="n">
        <v>0</v>
      </c>
      <c r="Q562" t="n">
        <v>0</v>
      </c>
      <c r="R562" s="2" t="inlineStr"/>
    </row>
    <row r="563" ht="15" customHeight="1">
      <c r="A563" t="inlineStr">
        <is>
          <t>A 19404-2025</t>
        </is>
      </c>
      <c r="B563" s="1" t="n">
        <v>45769.67802083334</v>
      </c>
      <c r="C563" s="1" t="n">
        <v>46033</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c r="U563">
        <f>HYPERLINK("https://klasma.github.io/Logging_2303/knärot/A 19404-2025 karta knärot.png", "A 19404-2025")</f>
        <v/>
      </c>
      <c r="V563">
        <f>HYPERLINK("https://klasma.github.io/Logging_2303/klagomål/A 19404-2025 FSC-klagomål.docx", "A 19404-2025")</f>
        <v/>
      </c>
      <c r="W563">
        <f>HYPERLINK("https://klasma.github.io/Logging_2303/klagomålsmail/A 19404-2025 FSC-klagomål mail.docx", "A 19404-2025")</f>
        <v/>
      </c>
      <c r="X563">
        <f>HYPERLINK("https://klasma.github.io/Logging_2303/tillsyn/A 19404-2025 tillsynsbegäran.docx", "A 19404-2025")</f>
        <v/>
      </c>
      <c r="Y563">
        <f>HYPERLINK("https://klasma.github.io/Logging_2303/tillsynsmail/A 19404-2025 tillsynsbegäran mail.docx", "A 19404-2025")</f>
        <v/>
      </c>
    </row>
    <row r="564" ht="15" customHeight="1">
      <c r="A564" t="inlineStr">
        <is>
          <t>A 43330-2025</t>
        </is>
      </c>
      <c r="B564" s="1" t="n">
        <v>45910.67766203704</v>
      </c>
      <c r="C564" s="1" t="n">
        <v>46033</v>
      </c>
      <c r="D564" t="inlineStr">
        <is>
          <t>JÄMTLANDS LÄN</t>
        </is>
      </c>
      <c r="E564" t="inlineStr">
        <is>
          <t>RAGUNDA</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60130-2025</t>
        </is>
      </c>
      <c r="B565" s="1" t="n">
        <v>45994.34467592592</v>
      </c>
      <c r="C565" s="1" t="n">
        <v>46033</v>
      </c>
      <c r="D565" t="inlineStr">
        <is>
          <t>JÄMTLANDS LÄN</t>
        </is>
      </c>
      <c r="E565" t="inlineStr">
        <is>
          <t>RAGUNDA</t>
        </is>
      </c>
      <c r="G565" t="n">
        <v>4.9</v>
      </c>
      <c r="H565" t="n">
        <v>0</v>
      </c>
      <c r="I565" t="n">
        <v>0</v>
      </c>
      <c r="J565" t="n">
        <v>0</v>
      </c>
      <c r="K565" t="n">
        <v>0</v>
      </c>
      <c r="L565" t="n">
        <v>0</v>
      </c>
      <c r="M565" t="n">
        <v>0</v>
      </c>
      <c r="N565" t="n">
        <v>0</v>
      </c>
      <c r="O565" t="n">
        <v>0</v>
      </c>
      <c r="P565" t="n">
        <v>0</v>
      </c>
      <c r="Q565" t="n">
        <v>0</v>
      </c>
      <c r="R565" s="2" t="inlineStr"/>
    </row>
    <row r="566" ht="15" customHeight="1">
      <c r="A566" t="inlineStr">
        <is>
          <t>A 52122-2025</t>
        </is>
      </c>
      <c r="B566" s="1" t="n">
        <v>45952.71946759259</v>
      </c>
      <c r="C566" s="1" t="n">
        <v>46033</v>
      </c>
      <c r="D566" t="inlineStr">
        <is>
          <t>JÄMTLANDS LÄN</t>
        </is>
      </c>
      <c r="E566" t="inlineStr">
        <is>
          <t>RAGUNDA</t>
        </is>
      </c>
      <c r="F566" t="inlineStr">
        <is>
          <t>SCA</t>
        </is>
      </c>
      <c r="G566" t="n">
        <v>8</v>
      </c>
      <c r="H566" t="n">
        <v>0</v>
      </c>
      <c r="I566" t="n">
        <v>0</v>
      </c>
      <c r="J566" t="n">
        <v>0</v>
      </c>
      <c r="K566" t="n">
        <v>0</v>
      </c>
      <c r="L566" t="n">
        <v>0</v>
      </c>
      <c r="M566" t="n">
        <v>0</v>
      </c>
      <c r="N566" t="n">
        <v>0</v>
      </c>
      <c r="O566" t="n">
        <v>0</v>
      </c>
      <c r="P566" t="n">
        <v>0</v>
      </c>
      <c r="Q566" t="n">
        <v>0</v>
      </c>
      <c r="R566" s="2" t="inlineStr"/>
    </row>
    <row r="567" ht="15" customHeight="1">
      <c r="A567" t="inlineStr">
        <is>
          <t>A 8795-2022</t>
        </is>
      </c>
      <c r="B567" s="1" t="n">
        <v>44614</v>
      </c>
      <c r="C567" s="1" t="n">
        <v>46033</v>
      </c>
      <c r="D567" t="inlineStr">
        <is>
          <t>JÄMTLANDS LÄN</t>
        </is>
      </c>
      <c r="E567" t="inlineStr">
        <is>
          <t>RAGUNDA</t>
        </is>
      </c>
      <c r="G567" t="n">
        <v>3.9</v>
      </c>
      <c r="H567" t="n">
        <v>0</v>
      </c>
      <c r="I567" t="n">
        <v>0</v>
      </c>
      <c r="J567" t="n">
        <v>0</v>
      </c>
      <c r="K567" t="n">
        <v>0</v>
      </c>
      <c r="L567" t="n">
        <v>0</v>
      </c>
      <c r="M567" t="n">
        <v>0</v>
      </c>
      <c r="N567" t="n">
        <v>0</v>
      </c>
      <c r="O567" t="n">
        <v>0</v>
      </c>
      <c r="P567" t="n">
        <v>0</v>
      </c>
      <c r="Q567" t="n">
        <v>0</v>
      </c>
      <c r="R567" s="2" t="inlineStr"/>
    </row>
    <row r="568" ht="15" customHeight="1">
      <c r="A568" t="inlineStr">
        <is>
          <t>A 35265-2023</t>
        </is>
      </c>
      <c r="B568" s="1" t="n">
        <v>45145.95326388889</v>
      </c>
      <c r="C568" s="1" t="n">
        <v>46033</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60128-2025</t>
        </is>
      </c>
      <c r="B569" s="1" t="n">
        <v>45994.34456018519</v>
      </c>
      <c r="C569" s="1" t="n">
        <v>46033</v>
      </c>
      <c r="D569" t="inlineStr">
        <is>
          <t>JÄMTLANDS LÄN</t>
        </is>
      </c>
      <c r="E569" t="inlineStr">
        <is>
          <t>RAGUNDA</t>
        </is>
      </c>
      <c r="G569" t="n">
        <v>7.1</v>
      </c>
      <c r="H569" t="n">
        <v>0</v>
      </c>
      <c r="I569" t="n">
        <v>0</v>
      </c>
      <c r="J569" t="n">
        <v>0</v>
      </c>
      <c r="K569" t="n">
        <v>0</v>
      </c>
      <c r="L569" t="n">
        <v>0</v>
      </c>
      <c r="M569" t="n">
        <v>0</v>
      </c>
      <c r="N569" t="n">
        <v>0</v>
      </c>
      <c r="O569" t="n">
        <v>0</v>
      </c>
      <c r="P569" t="n">
        <v>0</v>
      </c>
      <c r="Q569" t="n">
        <v>0</v>
      </c>
      <c r="R569" s="2" t="inlineStr"/>
    </row>
    <row r="570" ht="15" customHeight="1">
      <c r="A570" t="inlineStr">
        <is>
          <t>A 5148-2023</t>
        </is>
      </c>
      <c r="B570" s="1" t="n">
        <v>44958</v>
      </c>
      <c r="C570" s="1" t="n">
        <v>46033</v>
      </c>
      <c r="D570" t="inlineStr">
        <is>
          <t>JÄMTLANDS LÄN</t>
        </is>
      </c>
      <c r="E570" t="inlineStr">
        <is>
          <t>RAGUNDA</t>
        </is>
      </c>
      <c r="G570" t="n">
        <v>2.9</v>
      </c>
      <c r="H570" t="n">
        <v>0</v>
      </c>
      <c r="I570" t="n">
        <v>0</v>
      </c>
      <c r="J570" t="n">
        <v>0</v>
      </c>
      <c r="K570" t="n">
        <v>0</v>
      </c>
      <c r="L570" t="n">
        <v>0</v>
      </c>
      <c r="M570" t="n">
        <v>0</v>
      </c>
      <c r="N570" t="n">
        <v>0</v>
      </c>
      <c r="O570" t="n">
        <v>0</v>
      </c>
      <c r="P570" t="n">
        <v>0</v>
      </c>
      <c r="Q570" t="n">
        <v>0</v>
      </c>
      <c r="R570" s="2" t="inlineStr"/>
    </row>
    <row r="571" ht="15" customHeight="1">
      <c r="A571" t="inlineStr">
        <is>
          <t>A 60387-2025</t>
        </is>
      </c>
      <c r="B571" s="1" t="n">
        <v>45995.38611111111</v>
      </c>
      <c r="C571" s="1" t="n">
        <v>46033</v>
      </c>
      <c r="D571" t="inlineStr">
        <is>
          <t>JÄMTLANDS LÄN</t>
        </is>
      </c>
      <c r="E571" t="inlineStr">
        <is>
          <t>RAGUNDA</t>
        </is>
      </c>
      <c r="G571" t="n">
        <v>8.5</v>
      </c>
      <c r="H571" t="n">
        <v>0</v>
      </c>
      <c r="I571" t="n">
        <v>0</v>
      </c>
      <c r="J571" t="n">
        <v>0</v>
      </c>
      <c r="K571" t="n">
        <v>0</v>
      </c>
      <c r="L571" t="n">
        <v>0</v>
      </c>
      <c r="M571" t="n">
        <v>0</v>
      </c>
      <c r="N571" t="n">
        <v>0</v>
      </c>
      <c r="O571" t="n">
        <v>0</v>
      </c>
      <c r="P571" t="n">
        <v>0</v>
      </c>
      <c r="Q571" t="n">
        <v>0</v>
      </c>
      <c r="R571" s="2" t="inlineStr"/>
    </row>
    <row r="572" ht="15" customHeight="1">
      <c r="A572" t="inlineStr">
        <is>
          <t>A 18989-2025</t>
        </is>
      </c>
      <c r="B572" s="1" t="n">
        <v>45764</v>
      </c>
      <c r="C572" s="1" t="n">
        <v>46033</v>
      </c>
      <c r="D572" t="inlineStr">
        <is>
          <t>JÄMTLANDS LÄN</t>
        </is>
      </c>
      <c r="E572" t="inlineStr">
        <is>
          <t>RAGUNDA</t>
        </is>
      </c>
      <c r="G572" t="n">
        <v>0.9</v>
      </c>
      <c r="H572" t="n">
        <v>0</v>
      </c>
      <c r="I572" t="n">
        <v>0</v>
      </c>
      <c r="J572" t="n">
        <v>0</v>
      </c>
      <c r="K572" t="n">
        <v>0</v>
      </c>
      <c r="L572" t="n">
        <v>0</v>
      </c>
      <c r="M572" t="n">
        <v>0</v>
      </c>
      <c r="N572" t="n">
        <v>0</v>
      </c>
      <c r="O572" t="n">
        <v>0</v>
      </c>
      <c r="P572" t="n">
        <v>0</v>
      </c>
      <c r="Q572" t="n">
        <v>0</v>
      </c>
      <c r="R572" s="2" t="inlineStr"/>
    </row>
    <row r="573" ht="15" customHeight="1">
      <c r="A573" t="inlineStr">
        <is>
          <t>A 66471-2021</t>
        </is>
      </c>
      <c r="B573" s="1" t="n">
        <v>44518</v>
      </c>
      <c r="C573" s="1" t="n">
        <v>46033</v>
      </c>
      <c r="D573" t="inlineStr">
        <is>
          <t>JÄMTLANDS LÄN</t>
        </is>
      </c>
      <c r="E573" t="inlineStr">
        <is>
          <t>RAGUNDA</t>
        </is>
      </c>
      <c r="G573" t="n">
        <v>13.4</v>
      </c>
      <c r="H573" t="n">
        <v>0</v>
      </c>
      <c r="I573" t="n">
        <v>0</v>
      </c>
      <c r="J573" t="n">
        <v>0</v>
      </c>
      <c r="K573" t="n">
        <v>0</v>
      </c>
      <c r="L573" t="n">
        <v>0</v>
      </c>
      <c r="M573" t="n">
        <v>0</v>
      </c>
      <c r="N573" t="n">
        <v>0</v>
      </c>
      <c r="O573" t="n">
        <v>0</v>
      </c>
      <c r="P573" t="n">
        <v>0</v>
      </c>
      <c r="Q573" t="n">
        <v>0</v>
      </c>
      <c r="R573" s="2" t="inlineStr"/>
    </row>
    <row r="574" ht="15" customHeight="1">
      <c r="A574" t="inlineStr">
        <is>
          <t>A 18778-2024</t>
        </is>
      </c>
      <c r="B574" s="1" t="n">
        <v>45426</v>
      </c>
      <c r="C574" s="1" t="n">
        <v>46033</v>
      </c>
      <c r="D574" t="inlineStr">
        <is>
          <t>JÄMTLANDS LÄN</t>
        </is>
      </c>
      <c r="E574" t="inlineStr">
        <is>
          <t>RAGUNDA</t>
        </is>
      </c>
      <c r="G574" t="n">
        <v>0.9</v>
      </c>
      <c r="H574" t="n">
        <v>0</v>
      </c>
      <c r="I574" t="n">
        <v>0</v>
      </c>
      <c r="J574" t="n">
        <v>0</v>
      </c>
      <c r="K574" t="n">
        <v>0</v>
      </c>
      <c r="L574" t="n">
        <v>0</v>
      </c>
      <c r="M574" t="n">
        <v>0</v>
      </c>
      <c r="N574" t="n">
        <v>0</v>
      </c>
      <c r="O574" t="n">
        <v>0</v>
      </c>
      <c r="P574" t="n">
        <v>0</v>
      </c>
      <c r="Q574" t="n">
        <v>0</v>
      </c>
      <c r="R574" s="2" t="inlineStr"/>
    </row>
    <row r="575" ht="15" customHeight="1">
      <c r="A575" t="inlineStr">
        <is>
          <t>A 59556-2024</t>
        </is>
      </c>
      <c r="B575" s="1" t="n">
        <v>45638.63600694444</v>
      </c>
      <c r="C575" s="1" t="n">
        <v>46033</v>
      </c>
      <c r="D575" t="inlineStr">
        <is>
          <t>JÄMTLANDS LÄN</t>
        </is>
      </c>
      <c r="E575" t="inlineStr">
        <is>
          <t>RAGUNDA</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43776-2025</t>
        </is>
      </c>
      <c r="B576" s="1" t="n">
        <v>45912.51086805556</v>
      </c>
      <c r="C576" s="1" t="n">
        <v>46033</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43971-2025</t>
        </is>
      </c>
      <c r="B577" s="1" t="n">
        <v>45915.40694444445</v>
      </c>
      <c r="C577" s="1" t="n">
        <v>46033</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43804-2025</t>
        </is>
      </c>
      <c r="B578" s="1" t="n">
        <v>45912.57373842593</v>
      </c>
      <c r="C578" s="1" t="n">
        <v>46033</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16529-2022</t>
        </is>
      </c>
      <c r="B579" s="1" t="n">
        <v>44671</v>
      </c>
      <c r="C579" s="1" t="n">
        <v>46033</v>
      </c>
      <c r="D579" t="inlineStr">
        <is>
          <t>JÄMTLANDS LÄN</t>
        </is>
      </c>
      <c r="E579" t="inlineStr">
        <is>
          <t>RAGUNDA</t>
        </is>
      </c>
      <c r="G579" t="n">
        <v>1.5</v>
      </c>
      <c r="H579" t="n">
        <v>0</v>
      </c>
      <c r="I579" t="n">
        <v>0</v>
      </c>
      <c r="J579" t="n">
        <v>0</v>
      </c>
      <c r="K579" t="n">
        <v>0</v>
      </c>
      <c r="L579" t="n">
        <v>0</v>
      </c>
      <c r="M579" t="n">
        <v>0</v>
      </c>
      <c r="N579" t="n">
        <v>0</v>
      </c>
      <c r="O579" t="n">
        <v>0</v>
      </c>
      <c r="P579" t="n">
        <v>0</v>
      </c>
      <c r="Q579" t="n">
        <v>0</v>
      </c>
      <c r="R579" s="2" t="inlineStr"/>
    </row>
    <row r="580" ht="15" customHeight="1">
      <c r="A580" t="inlineStr">
        <is>
          <t>A 45279-2025</t>
        </is>
      </c>
      <c r="B580" s="1" t="n">
        <v>45919.71912037037</v>
      </c>
      <c r="C580" s="1" t="n">
        <v>46033</v>
      </c>
      <c r="D580" t="inlineStr">
        <is>
          <t>JÄMTLANDS LÄN</t>
        </is>
      </c>
      <c r="E580" t="inlineStr">
        <is>
          <t>RAGUNDA</t>
        </is>
      </c>
      <c r="F580" t="inlineStr">
        <is>
          <t>SCA</t>
        </is>
      </c>
      <c r="G580" t="n">
        <v>11.5</v>
      </c>
      <c r="H580" t="n">
        <v>0</v>
      </c>
      <c r="I580" t="n">
        <v>0</v>
      </c>
      <c r="J580" t="n">
        <v>0</v>
      </c>
      <c r="K580" t="n">
        <v>0</v>
      </c>
      <c r="L580" t="n">
        <v>0</v>
      </c>
      <c r="M580" t="n">
        <v>0</v>
      </c>
      <c r="N580" t="n">
        <v>0</v>
      </c>
      <c r="O580" t="n">
        <v>0</v>
      </c>
      <c r="P580" t="n">
        <v>0</v>
      </c>
      <c r="Q580" t="n">
        <v>0</v>
      </c>
      <c r="R580" s="2" t="inlineStr"/>
    </row>
    <row r="581" ht="15" customHeight="1">
      <c r="A581" t="inlineStr">
        <is>
          <t>A 28637-2025</t>
        </is>
      </c>
      <c r="B581" s="1" t="n">
        <v>45819.6359375</v>
      </c>
      <c r="C581" s="1" t="n">
        <v>46033</v>
      </c>
      <c r="D581" t="inlineStr">
        <is>
          <t>JÄMTLANDS LÄN</t>
        </is>
      </c>
      <c r="E581" t="inlineStr">
        <is>
          <t>RAGUNDA</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61934-2022</t>
        </is>
      </c>
      <c r="B582" s="1" t="n">
        <v>44917</v>
      </c>
      <c r="C582" s="1" t="n">
        <v>46033</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28973-2025</t>
        </is>
      </c>
      <c r="B583" s="1" t="n">
        <v>45821.34513888889</v>
      </c>
      <c r="C583" s="1" t="n">
        <v>46033</v>
      </c>
      <c r="D583" t="inlineStr">
        <is>
          <t>JÄMTLANDS LÄN</t>
        </is>
      </c>
      <c r="E583" t="inlineStr">
        <is>
          <t>RAGUNDA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8678-2023</t>
        </is>
      </c>
      <c r="B584" s="1" t="n">
        <v>44977.98660879629</v>
      </c>
      <c r="C584" s="1" t="n">
        <v>46033</v>
      </c>
      <c r="D584" t="inlineStr">
        <is>
          <t>JÄMTLANDS LÄN</t>
        </is>
      </c>
      <c r="E584" t="inlineStr">
        <is>
          <t>RAGUNDA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44954-2025</t>
        </is>
      </c>
      <c r="B585" s="1" t="n">
        <v>45918.61203703703</v>
      </c>
      <c r="C585" s="1" t="n">
        <v>46033</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28742-2023</t>
        </is>
      </c>
      <c r="B586" s="1" t="n">
        <v>45103</v>
      </c>
      <c r="C586" s="1" t="n">
        <v>46033</v>
      </c>
      <c r="D586" t="inlineStr">
        <is>
          <t>JÄMTLANDS LÄN</t>
        </is>
      </c>
      <c r="E586" t="inlineStr">
        <is>
          <t>RAGUNDA</t>
        </is>
      </c>
      <c r="G586" t="n">
        <v>1.8</v>
      </c>
      <c r="H586" t="n">
        <v>0</v>
      </c>
      <c r="I586" t="n">
        <v>0</v>
      </c>
      <c r="J586" t="n">
        <v>0</v>
      </c>
      <c r="K586" t="n">
        <v>0</v>
      </c>
      <c r="L586" t="n">
        <v>0</v>
      </c>
      <c r="M586" t="n">
        <v>0</v>
      </c>
      <c r="N586" t="n">
        <v>0</v>
      </c>
      <c r="O586" t="n">
        <v>0</v>
      </c>
      <c r="P586" t="n">
        <v>0</v>
      </c>
      <c r="Q586" t="n">
        <v>0</v>
      </c>
      <c r="R586" s="2" t="inlineStr"/>
    </row>
    <row r="587" ht="15" customHeight="1">
      <c r="A587" t="inlineStr">
        <is>
          <t>A 17323-2025</t>
        </is>
      </c>
      <c r="B587" s="1" t="n">
        <v>45756.63601851852</v>
      </c>
      <c r="C587" s="1" t="n">
        <v>46033</v>
      </c>
      <c r="D587" t="inlineStr">
        <is>
          <t>JÄMTLANDS LÄN</t>
        </is>
      </c>
      <c r="E587" t="inlineStr">
        <is>
          <t>RAGUNDA</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29731-2025</t>
        </is>
      </c>
      <c r="B588" s="1" t="n">
        <v>45825.58252314815</v>
      </c>
      <c r="C588" s="1" t="n">
        <v>46033</v>
      </c>
      <c r="D588" t="inlineStr">
        <is>
          <t>JÄMTLANDS LÄN</t>
        </is>
      </c>
      <c r="E588" t="inlineStr">
        <is>
          <t>RAGUNDA</t>
        </is>
      </c>
      <c r="G588" t="n">
        <v>2.3</v>
      </c>
      <c r="H588" t="n">
        <v>0</v>
      </c>
      <c r="I588" t="n">
        <v>0</v>
      </c>
      <c r="J588" t="n">
        <v>0</v>
      </c>
      <c r="K588" t="n">
        <v>0</v>
      </c>
      <c r="L588" t="n">
        <v>0</v>
      </c>
      <c r="M588" t="n">
        <v>0</v>
      </c>
      <c r="N588" t="n">
        <v>0</v>
      </c>
      <c r="O588" t="n">
        <v>0</v>
      </c>
      <c r="P588" t="n">
        <v>0</v>
      </c>
      <c r="Q588" t="n">
        <v>0</v>
      </c>
      <c r="R588" s="2" t="inlineStr"/>
    </row>
    <row r="589" ht="15" customHeight="1">
      <c r="A589" t="inlineStr">
        <is>
          <t>A 29723-2025</t>
        </is>
      </c>
      <c r="B589" s="1" t="n">
        <v>45825.57675925926</v>
      </c>
      <c r="C589" s="1" t="n">
        <v>46033</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52330-2025</t>
        </is>
      </c>
      <c r="B590" s="1" t="n">
        <v>45953.67752314815</v>
      </c>
      <c r="C590" s="1" t="n">
        <v>46033</v>
      </c>
      <c r="D590" t="inlineStr">
        <is>
          <t>JÄMTLANDS LÄN</t>
        </is>
      </c>
      <c r="E590" t="inlineStr">
        <is>
          <t>RAGUNDA</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16364-2023</t>
        </is>
      </c>
      <c r="B591" s="1" t="n">
        <v>45028</v>
      </c>
      <c r="C591" s="1" t="n">
        <v>46033</v>
      </c>
      <c r="D591" t="inlineStr">
        <is>
          <t>JÄMTLANDS LÄN</t>
        </is>
      </c>
      <c r="E591" t="inlineStr">
        <is>
          <t>RAGUNDA</t>
        </is>
      </c>
      <c r="G591" t="n">
        <v>0.5</v>
      </c>
      <c r="H591" t="n">
        <v>0</v>
      </c>
      <c r="I591" t="n">
        <v>0</v>
      </c>
      <c r="J591" t="n">
        <v>0</v>
      </c>
      <c r="K591" t="n">
        <v>0</v>
      </c>
      <c r="L591" t="n">
        <v>0</v>
      </c>
      <c r="M591" t="n">
        <v>0</v>
      </c>
      <c r="N591" t="n">
        <v>0</v>
      </c>
      <c r="O591" t="n">
        <v>0</v>
      </c>
      <c r="P591" t="n">
        <v>0</v>
      </c>
      <c r="Q591" t="n">
        <v>0</v>
      </c>
      <c r="R591" s="2" t="inlineStr"/>
    </row>
    <row r="592" ht="15" customHeight="1">
      <c r="A592" t="inlineStr">
        <is>
          <t>A 59136-2023</t>
        </is>
      </c>
      <c r="B592" s="1" t="n">
        <v>45251</v>
      </c>
      <c r="C592" s="1" t="n">
        <v>46033</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52093-2025</t>
        </is>
      </c>
      <c r="B593" s="1" t="n">
        <v>45952.67865740741</v>
      </c>
      <c r="C593" s="1" t="n">
        <v>46033</v>
      </c>
      <c r="D593" t="inlineStr">
        <is>
          <t>JÄMTLANDS LÄN</t>
        </is>
      </c>
      <c r="E593" t="inlineStr">
        <is>
          <t>RAGUNDA</t>
        </is>
      </c>
      <c r="F593" t="inlineStr">
        <is>
          <t>SCA</t>
        </is>
      </c>
      <c r="G593" t="n">
        <v>22.7</v>
      </c>
      <c r="H593" t="n">
        <v>0</v>
      </c>
      <c r="I593" t="n">
        <v>0</v>
      </c>
      <c r="J593" t="n">
        <v>0</v>
      </c>
      <c r="K593" t="n">
        <v>0</v>
      </c>
      <c r="L593" t="n">
        <v>0</v>
      </c>
      <c r="M593" t="n">
        <v>0</v>
      </c>
      <c r="N593" t="n">
        <v>0</v>
      </c>
      <c r="O593" t="n">
        <v>0</v>
      </c>
      <c r="P593" t="n">
        <v>0</v>
      </c>
      <c r="Q593" t="n">
        <v>0</v>
      </c>
      <c r="R593" s="2" t="inlineStr"/>
    </row>
    <row r="594" ht="15" customHeight="1">
      <c r="A594" t="inlineStr">
        <is>
          <t>A 45894-2025</t>
        </is>
      </c>
      <c r="B594" s="1" t="n">
        <v>45923.67765046296</v>
      </c>
      <c r="C594" s="1" t="n">
        <v>46033</v>
      </c>
      <c r="D594" t="inlineStr">
        <is>
          <t>JÄMTLANDS LÄN</t>
        </is>
      </c>
      <c r="E594" t="inlineStr">
        <is>
          <t>RAGUNDA</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46192-2025</t>
        </is>
      </c>
      <c r="B595" s="1" t="n">
        <v>45924.67789351852</v>
      </c>
      <c r="C595" s="1" t="n">
        <v>46033</v>
      </c>
      <c r="D595" t="inlineStr">
        <is>
          <t>JÄMTLANDS LÄN</t>
        </is>
      </c>
      <c r="E595" t="inlineStr">
        <is>
          <t>RAGUNDA</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49659-2023</t>
        </is>
      </c>
      <c r="B596" s="1" t="n">
        <v>45211.95134259259</v>
      </c>
      <c r="C596" s="1" t="n">
        <v>46033</v>
      </c>
      <c r="D596" t="inlineStr">
        <is>
          <t>JÄMTLANDS LÄN</t>
        </is>
      </c>
      <c r="E596" t="inlineStr">
        <is>
          <t>RAGUNDA</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51882-2025</t>
        </is>
      </c>
      <c r="B597" s="1" t="n">
        <v>45952.40685185185</v>
      </c>
      <c r="C597" s="1" t="n">
        <v>46033</v>
      </c>
      <c r="D597" t="inlineStr">
        <is>
          <t>JÄMTLANDS LÄN</t>
        </is>
      </c>
      <c r="E597" t="inlineStr">
        <is>
          <t>RAGUNDA</t>
        </is>
      </c>
      <c r="F597" t="inlineStr">
        <is>
          <t>SCA</t>
        </is>
      </c>
      <c r="G597" t="n">
        <v>11.9</v>
      </c>
      <c r="H597" t="n">
        <v>0</v>
      </c>
      <c r="I597" t="n">
        <v>0</v>
      </c>
      <c r="J597" t="n">
        <v>0</v>
      </c>
      <c r="K597" t="n">
        <v>0</v>
      </c>
      <c r="L597" t="n">
        <v>0</v>
      </c>
      <c r="M597" t="n">
        <v>0</v>
      </c>
      <c r="N597" t="n">
        <v>0</v>
      </c>
      <c r="O597" t="n">
        <v>0</v>
      </c>
      <c r="P597" t="n">
        <v>0</v>
      </c>
      <c r="Q597" t="n">
        <v>0</v>
      </c>
      <c r="R597" s="2" t="inlineStr"/>
    </row>
    <row r="598" ht="15" customHeight="1">
      <c r="A598" t="inlineStr">
        <is>
          <t>A 51903-2025</t>
        </is>
      </c>
      <c r="B598" s="1" t="n">
        <v>45952.44857638889</v>
      </c>
      <c r="C598" s="1" t="n">
        <v>46033</v>
      </c>
      <c r="D598" t="inlineStr">
        <is>
          <t>JÄMTLANDS LÄN</t>
        </is>
      </c>
      <c r="E598" t="inlineStr">
        <is>
          <t>RAGUNDA</t>
        </is>
      </c>
      <c r="F598" t="inlineStr">
        <is>
          <t>SCA</t>
        </is>
      </c>
      <c r="G598" t="n">
        <v>20.8</v>
      </c>
      <c r="H598" t="n">
        <v>0</v>
      </c>
      <c r="I598" t="n">
        <v>0</v>
      </c>
      <c r="J598" t="n">
        <v>0</v>
      </c>
      <c r="K598" t="n">
        <v>0</v>
      </c>
      <c r="L598" t="n">
        <v>0</v>
      </c>
      <c r="M598" t="n">
        <v>0</v>
      </c>
      <c r="N598" t="n">
        <v>0</v>
      </c>
      <c r="O598" t="n">
        <v>0</v>
      </c>
      <c r="P598" t="n">
        <v>0</v>
      </c>
      <c r="Q598" t="n">
        <v>0</v>
      </c>
      <c r="R598" s="2" t="inlineStr"/>
    </row>
    <row r="599" ht="15" customHeight="1">
      <c r="A599" t="inlineStr">
        <is>
          <t>A 30088-2025</t>
        </is>
      </c>
      <c r="B599" s="1" t="n">
        <v>45826.65759259259</v>
      </c>
      <c r="C599" s="1" t="n">
        <v>46033</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30348-2025</t>
        </is>
      </c>
      <c r="B600" s="1" t="n">
        <v>45827.53178240741</v>
      </c>
      <c r="C600" s="1" t="n">
        <v>46033</v>
      </c>
      <c r="D600" t="inlineStr">
        <is>
          <t>JÄMTLANDS LÄN</t>
        </is>
      </c>
      <c r="E600" t="inlineStr">
        <is>
          <t>RAGUNDA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51932-2025</t>
        </is>
      </c>
      <c r="B601" s="1" t="n">
        <v>45952.51094907407</v>
      </c>
      <c r="C601" s="1" t="n">
        <v>46033</v>
      </c>
      <c r="D601" t="inlineStr">
        <is>
          <t>JÄMTLANDS LÄN</t>
        </is>
      </c>
      <c r="E601" t="inlineStr">
        <is>
          <t>RAGUNDA</t>
        </is>
      </c>
      <c r="F601" t="inlineStr">
        <is>
          <t>SCA</t>
        </is>
      </c>
      <c r="G601" t="n">
        <v>39.2</v>
      </c>
      <c r="H601" t="n">
        <v>0</v>
      </c>
      <c r="I601" t="n">
        <v>0</v>
      </c>
      <c r="J601" t="n">
        <v>0</v>
      </c>
      <c r="K601" t="n">
        <v>0</v>
      </c>
      <c r="L601" t="n">
        <v>0</v>
      </c>
      <c r="M601" t="n">
        <v>0</v>
      </c>
      <c r="N601" t="n">
        <v>0</v>
      </c>
      <c r="O601" t="n">
        <v>0</v>
      </c>
      <c r="P601" t="n">
        <v>0</v>
      </c>
      <c r="Q601" t="n">
        <v>0</v>
      </c>
      <c r="R601" s="2" t="inlineStr"/>
    </row>
    <row r="602" ht="15" customHeight="1">
      <c r="A602" t="inlineStr">
        <is>
          <t>A 50521-2024</t>
        </is>
      </c>
      <c r="B602" s="1" t="n">
        <v>45601.55331018518</v>
      </c>
      <c r="C602" s="1" t="n">
        <v>46033</v>
      </c>
      <c r="D602" t="inlineStr">
        <is>
          <t>JÄMTLANDS LÄN</t>
        </is>
      </c>
      <c r="E602" t="inlineStr">
        <is>
          <t>RAGUNDA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4916-2025</t>
        </is>
      </c>
      <c r="B603" s="1" t="n">
        <v>45688.68196759259</v>
      </c>
      <c r="C603" s="1" t="n">
        <v>46033</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30434-2025</t>
        </is>
      </c>
      <c r="B604" s="1" t="n">
        <v>45827.63582175926</v>
      </c>
      <c r="C604" s="1" t="n">
        <v>46033</v>
      </c>
      <c r="D604" t="inlineStr">
        <is>
          <t>JÄMTLANDS LÄN</t>
        </is>
      </c>
      <c r="E604" t="inlineStr">
        <is>
          <t>RAGUNDA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59557-2023</t>
        </is>
      </c>
      <c r="B605" s="1" t="n">
        <v>45253</v>
      </c>
      <c r="C605" s="1" t="n">
        <v>46033</v>
      </c>
      <c r="D605" t="inlineStr">
        <is>
          <t>JÄMTLANDS LÄN</t>
        </is>
      </c>
      <c r="E605" t="inlineStr">
        <is>
          <t>RAGUNDA</t>
        </is>
      </c>
      <c r="G605" t="n">
        <v>1</v>
      </c>
      <c r="H605" t="n">
        <v>0</v>
      </c>
      <c r="I605" t="n">
        <v>0</v>
      </c>
      <c r="J605" t="n">
        <v>0</v>
      </c>
      <c r="K605" t="n">
        <v>0</v>
      </c>
      <c r="L605" t="n">
        <v>0</v>
      </c>
      <c r="M605" t="n">
        <v>0</v>
      </c>
      <c r="N605" t="n">
        <v>0</v>
      </c>
      <c r="O605" t="n">
        <v>0</v>
      </c>
      <c r="P605" t="n">
        <v>0</v>
      </c>
      <c r="Q605" t="n">
        <v>0</v>
      </c>
      <c r="R605" s="2" t="inlineStr"/>
    </row>
    <row r="606" ht="15" customHeight="1">
      <c r="A606" t="inlineStr">
        <is>
          <t>A 57112-2024</t>
        </is>
      </c>
      <c r="B606" s="1" t="n">
        <v>45629.36486111111</v>
      </c>
      <c r="C606" s="1" t="n">
        <v>46033</v>
      </c>
      <c r="D606" t="inlineStr">
        <is>
          <t>JÄMTLANDS LÄN</t>
        </is>
      </c>
      <c r="E606" t="inlineStr">
        <is>
          <t>RAGUNDA</t>
        </is>
      </c>
      <c r="G606" t="n">
        <v>0.7</v>
      </c>
      <c r="H606" t="n">
        <v>0</v>
      </c>
      <c r="I606" t="n">
        <v>0</v>
      </c>
      <c r="J606" t="n">
        <v>0</v>
      </c>
      <c r="K606" t="n">
        <v>0</v>
      </c>
      <c r="L606" t="n">
        <v>0</v>
      </c>
      <c r="M606" t="n">
        <v>0</v>
      </c>
      <c r="N606" t="n">
        <v>0</v>
      </c>
      <c r="O606" t="n">
        <v>0</v>
      </c>
      <c r="P606" t="n">
        <v>0</v>
      </c>
      <c r="Q606" t="n">
        <v>0</v>
      </c>
      <c r="R606" s="2" t="inlineStr"/>
    </row>
    <row r="607" ht="15" customHeight="1">
      <c r="A607" t="inlineStr">
        <is>
          <t>A 53136-2024</t>
        </is>
      </c>
      <c r="B607" s="1" t="n">
        <v>45611.5953125</v>
      </c>
      <c r="C607" s="1" t="n">
        <v>46033</v>
      </c>
      <c r="D607" t="inlineStr">
        <is>
          <t>JÄMTLANDS LÄN</t>
        </is>
      </c>
      <c r="E607" t="inlineStr">
        <is>
          <t>RAGUNDA</t>
        </is>
      </c>
      <c r="G607" t="n">
        <v>3.8</v>
      </c>
      <c r="H607" t="n">
        <v>0</v>
      </c>
      <c r="I607" t="n">
        <v>0</v>
      </c>
      <c r="J607" t="n">
        <v>0</v>
      </c>
      <c r="K607" t="n">
        <v>0</v>
      </c>
      <c r="L607" t="n">
        <v>0</v>
      </c>
      <c r="M607" t="n">
        <v>0</v>
      </c>
      <c r="N607" t="n">
        <v>0</v>
      </c>
      <c r="O607" t="n">
        <v>0</v>
      </c>
      <c r="P607" t="n">
        <v>0</v>
      </c>
      <c r="Q607" t="n">
        <v>0</v>
      </c>
      <c r="R607" s="2" t="inlineStr"/>
    </row>
    <row r="608" ht="15" customHeight="1">
      <c r="A608" t="inlineStr">
        <is>
          <t>A 46275-2025</t>
        </is>
      </c>
      <c r="B608" s="1" t="n">
        <v>45925.3711574074</v>
      </c>
      <c r="C608" s="1" t="n">
        <v>46033</v>
      </c>
      <c r="D608" t="inlineStr">
        <is>
          <t>JÄMTLANDS LÄN</t>
        </is>
      </c>
      <c r="E608" t="inlineStr">
        <is>
          <t>RAGUNDA</t>
        </is>
      </c>
      <c r="G608" t="n">
        <v>2.7</v>
      </c>
      <c r="H608" t="n">
        <v>0</v>
      </c>
      <c r="I608" t="n">
        <v>0</v>
      </c>
      <c r="J608" t="n">
        <v>0</v>
      </c>
      <c r="K608" t="n">
        <v>0</v>
      </c>
      <c r="L608" t="n">
        <v>0</v>
      </c>
      <c r="M608" t="n">
        <v>0</v>
      </c>
      <c r="N608" t="n">
        <v>0</v>
      </c>
      <c r="O608" t="n">
        <v>0</v>
      </c>
      <c r="P608" t="n">
        <v>0</v>
      </c>
      <c r="Q608" t="n">
        <v>0</v>
      </c>
      <c r="R608" s="2" t="inlineStr"/>
    </row>
    <row r="609" ht="15" customHeight="1">
      <c r="A609" t="inlineStr">
        <is>
          <t>A 33621-2023</t>
        </is>
      </c>
      <c r="B609" s="1" t="n">
        <v>45119</v>
      </c>
      <c r="C609" s="1" t="n">
        <v>46033</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6694-2024</t>
        </is>
      </c>
      <c r="B610" s="1" t="n">
        <v>45341.95381944445</v>
      </c>
      <c r="C610" s="1" t="n">
        <v>46033</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31463-2024</t>
        </is>
      </c>
      <c r="B611" s="1" t="n">
        <v>45505</v>
      </c>
      <c r="C611" s="1" t="n">
        <v>46033</v>
      </c>
      <c r="D611" t="inlineStr">
        <is>
          <t>JÄMTLANDS LÄN</t>
        </is>
      </c>
      <c r="E611" t="inlineStr">
        <is>
          <t>RAGUNDA</t>
        </is>
      </c>
      <c r="F611" t="inlineStr">
        <is>
          <t>SCA</t>
        </is>
      </c>
      <c r="G611" t="n">
        <v>20.3</v>
      </c>
      <c r="H611" t="n">
        <v>0</v>
      </c>
      <c r="I611" t="n">
        <v>0</v>
      </c>
      <c r="J611" t="n">
        <v>0</v>
      </c>
      <c r="K611" t="n">
        <v>0</v>
      </c>
      <c r="L611" t="n">
        <v>0</v>
      </c>
      <c r="M611" t="n">
        <v>0</v>
      </c>
      <c r="N611" t="n">
        <v>0</v>
      </c>
      <c r="O611" t="n">
        <v>0</v>
      </c>
      <c r="P611" t="n">
        <v>0</v>
      </c>
      <c r="Q611" t="n">
        <v>0</v>
      </c>
      <c r="R611" s="2" t="inlineStr"/>
    </row>
    <row r="612" ht="15" customHeight="1">
      <c r="A612" t="inlineStr">
        <is>
          <t>A 1537-2024</t>
        </is>
      </c>
      <c r="B612" s="1" t="n">
        <v>45306</v>
      </c>
      <c r="C612" s="1" t="n">
        <v>46033</v>
      </c>
      <c r="D612" t="inlineStr">
        <is>
          <t>JÄMTLANDS LÄN</t>
        </is>
      </c>
      <c r="E612" t="inlineStr">
        <is>
          <t>RAGUNDA</t>
        </is>
      </c>
      <c r="G612" t="n">
        <v>0.2</v>
      </c>
      <c r="H612" t="n">
        <v>0</v>
      </c>
      <c r="I612" t="n">
        <v>0</v>
      </c>
      <c r="J612" t="n">
        <v>0</v>
      </c>
      <c r="K612" t="n">
        <v>0</v>
      </c>
      <c r="L612" t="n">
        <v>0</v>
      </c>
      <c r="M612" t="n">
        <v>0</v>
      </c>
      <c r="N612" t="n">
        <v>0</v>
      </c>
      <c r="O612" t="n">
        <v>0</v>
      </c>
      <c r="P612" t="n">
        <v>0</v>
      </c>
      <c r="Q612" t="n">
        <v>0</v>
      </c>
      <c r="R612" s="2" t="inlineStr"/>
    </row>
    <row r="613" ht="15" customHeight="1">
      <c r="A613" t="inlineStr">
        <is>
          <t>A 46825-2025</t>
        </is>
      </c>
      <c r="B613" s="1" t="n">
        <v>45926.92506944444</v>
      </c>
      <c r="C613" s="1" t="n">
        <v>46033</v>
      </c>
      <c r="D613" t="inlineStr">
        <is>
          <t>JÄMTLANDS LÄN</t>
        </is>
      </c>
      <c r="E613" t="inlineStr">
        <is>
          <t>RAGUNDA</t>
        </is>
      </c>
      <c r="G613" t="n">
        <v>1.4</v>
      </c>
      <c r="H613" t="n">
        <v>0</v>
      </c>
      <c r="I613" t="n">
        <v>0</v>
      </c>
      <c r="J613" t="n">
        <v>0</v>
      </c>
      <c r="K613" t="n">
        <v>0</v>
      </c>
      <c r="L613" t="n">
        <v>0</v>
      </c>
      <c r="M613" t="n">
        <v>0</v>
      </c>
      <c r="N613" t="n">
        <v>0</v>
      </c>
      <c r="O613" t="n">
        <v>0</v>
      </c>
      <c r="P613" t="n">
        <v>0</v>
      </c>
      <c r="Q613" t="n">
        <v>0</v>
      </c>
      <c r="R613" s="2" t="inlineStr"/>
    </row>
    <row r="614" ht="15" customHeight="1">
      <c r="A614" t="inlineStr">
        <is>
          <t>A 60935-2024</t>
        </is>
      </c>
      <c r="B614" s="1" t="n">
        <v>45645.36740740741</v>
      </c>
      <c r="C614" s="1" t="n">
        <v>46033</v>
      </c>
      <c r="D614" t="inlineStr">
        <is>
          <t>JÄMTLANDS LÄN</t>
        </is>
      </c>
      <c r="E614" t="inlineStr">
        <is>
          <t>RAGUNDA</t>
        </is>
      </c>
      <c r="G614" t="n">
        <v>2.6</v>
      </c>
      <c r="H614" t="n">
        <v>0</v>
      </c>
      <c r="I614" t="n">
        <v>0</v>
      </c>
      <c r="J614" t="n">
        <v>0</v>
      </c>
      <c r="K614" t="n">
        <v>0</v>
      </c>
      <c r="L614" t="n">
        <v>0</v>
      </c>
      <c r="M614" t="n">
        <v>0</v>
      </c>
      <c r="N614" t="n">
        <v>0</v>
      </c>
      <c r="O614" t="n">
        <v>0</v>
      </c>
      <c r="P614" t="n">
        <v>0</v>
      </c>
      <c r="Q614" t="n">
        <v>0</v>
      </c>
      <c r="R614" s="2" t="inlineStr"/>
    </row>
    <row r="615" ht="15" customHeight="1">
      <c r="A615" t="inlineStr">
        <is>
          <t>A 46710-2025</t>
        </is>
      </c>
      <c r="B615" s="1" t="n">
        <v>45926.57337962963</v>
      </c>
      <c r="C615" s="1" t="n">
        <v>46033</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51906-2025</t>
        </is>
      </c>
      <c r="B616" s="1" t="n">
        <v>45952.4615162037</v>
      </c>
      <c r="C616" s="1" t="n">
        <v>46033</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30887-2025</t>
        </is>
      </c>
      <c r="B617" s="1" t="n">
        <v>45832.3459375</v>
      </c>
      <c r="C617" s="1" t="n">
        <v>46033</v>
      </c>
      <c r="D617" t="inlineStr">
        <is>
          <t>JÄMTLANDS LÄN</t>
        </is>
      </c>
      <c r="E617" t="inlineStr">
        <is>
          <t>RAGUNDA</t>
        </is>
      </c>
      <c r="F617" t="inlineStr">
        <is>
          <t>SCA</t>
        </is>
      </c>
      <c r="G617" t="n">
        <v>10.1</v>
      </c>
      <c r="H617" t="n">
        <v>0</v>
      </c>
      <c r="I617" t="n">
        <v>0</v>
      </c>
      <c r="J617" t="n">
        <v>0</v>
      </c>
      <c r="K617" t="n">
        <v>0</v>
      </c>
      <c r="L617" t="n">
        <v>0</v>
      </c>
      <c r="M617" t="n">
        <v>0</v>
      </c>
      <c r="N617" t="n">
        <v>0</v>
      </c>
      <c r="O617" t="n">
        <v>0</v>
      </c>
      <c r="P617" t="n">
        <v>0</v>
      </c>
      <c r="Q617" t="n">
        <v>0</v>
      </c>
      <c r="R617" s="2" t="inlineStr"/>
    </row>
    <row r="618" ht="15" customHeight="1">
      <c r="A618" t="inlineStr">
        <is>
          <t>A 30883-2025</t>
        </is>
      </c>
      <c r="B618" s="1" t="n">
        <v>45832.34552083333</v>
      </c>
      <c r="C618" s="1" t="n">
        <v>46033</v>
      </c>
      <c r="D618" t="inlineStr">
        <is>
          <t>JÄMTLANDS LÄN</t>
        </is>
      </c>
      <c r="E618" t="inlineStr">
        <is>
          <t>RAGUNDA</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47075-2025</t>
        </is>
      </c>
      <c r="B619" s="1" t="n">
        <v>45929.63728009259</v>
      </c>
      <c r="C619" s="1" t="n">
        <v>46033</v>
      </c>
      <c r="D619" t="inlineStr">
        <is>
          <t>JÄMTLANDS LÄN</t>
        </is>
      </c>
      <c r="E619" t="inlineStr">
        <is>
          <t>RAGUNDA</t>
        </is>
      </c>
      <c r="F619" t="inlineStr">
        <is>
          <t>SCA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47119-2025</t>
        </is>
      </c>
      <c r="B620" s="1" t="n">
        <v>45929.67795138889</v>
      </c>
      <c r="C620" s="1" t="n">
        <v>46033</v>
      </c>
      <c r="D620" t="inlineStr">
        <is>
          <t>JÄMTLANDS LÄN</t>
        </is>
      </c>
      <c r="E620" t="inlineStr">
        <is>
          <t>RAGUNDA</t>
        </is>
      </c>
      <c r="F620" t="inlineStr">
        <is>
          <t>SCA</t>
        </is>
      </c>
      <c r="G620" t="n">
        <v>22.7</v>
      </c>
      <c r="H620" t="n">
        <v>0</v>
      </c>
      <c r="I620" t="n">
        <v>0</v>
      </c>
      <c r="J620" t="n">
        <v>0</v>
      </c>
      <c r="K620" t="n">
        <v>0</v>
      </c>
      <c r="L620" t="n">
        <v>0</v>
      </c>
      <c r="M620" t="n">
        <v>0</v>
      </c>
      <c r="N620" t="n">
        <v>0</v>
      </c>
      <c r="O620" t="n">
        <v>0</v>
      </c>
      <c r="P620" t="n">
        <v>0</v>
      </c>
      <c r="Q620" t="n">
        <v>0</v>
      </c>
      <c r="R620" s="2" t="inlineStr"/>
    </row>
    <row r="621" ht="15" customHeight="1">
      <c r="A621" t="inlineStr">
        <is>
          <t>A 46689-2025</t>
        </is>
      </c>
      <c r="B621" s="1" t="n">
        <v>45926.55307870371</v>
      </c>
      <c r="C621" s="1" t="n">
        <v>46033</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46909-2025</t>
        </is>
      </c>
      <c r="B622" s="1" t="n">
        <v>45929.40673611111</v>
      </c>
      <c r="C622" s="1" t="n">
        <v>46033</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6257-2025</t>
        </is>
      </c>
      <c r="B623" s="1" t="n">
        <v>45698.59409722222</v>
      </c>
      <c r="C623" s="1" t="n">
        <v>46033</v>
      </c>
      <c r="D623" t="inlineStr">
        <is>
          <t>JÄMTLANDS LÄN</t>
        </is>
      </c>
      <c r="E623" t="inlineStr">
        <is>
          <t>RAGUNDA</t>
        </is>
      </c>
      <c r="F623" t="inlineStr">
        <is>
          <t>SCA</t>
        </is>
      </c>
      <c r="G623" t="n">
        <v>7</v>
      </c>
      <c r="H623" t="n">
        <v>0</v>
      </c>
      <c r="I623" t="n">
        <v>0</v>
      </c>
      <c r="J623" t="n">
        <v>0</v>
      </c>
      <c r="K623" t="n">
        <v>0</v>
      </c>
      <c r="L623" t="n">
        <v>0</v>
      </c>
      <c r="M623" t="n">
        <v>0</v>
      </c>
      <c r="N623" t="n">
        <v>0</v>
      </c>
      <c r="O623" t="n">
        <v>0</v>
      </c>
      <c r="P623" t="n">
        <v>0</v>
      </c>
      <c r="Q623" t="n">
        <v>0</v>
      </c>
      <c r="R623" s="2" t="inlineStr"/>
    </row>
    <row r="624" ht="15" customHeight="1">
      <c r="A624" t="inlineStr">
        <is>
          <t>A 47122-2025</t>
        </is>
      </c>
      <c r="B624" s="1" t="n">
        <v>45929.67878472222</v>
      </c>
      <c r="C624" s="1" t="n">
        <v>46033</v>
      </c>
      <c r="D624" t="inlineStr">
        <is>
          <t>JÄMTLANDS LÄN</t>
        </is>
      </c>
      <c r="E624" t="inlineStr">
        <is>
          <t>RAGUNDA</t>
        </is>
      </c>
      <c r="F624" t="inlineStr">
        <is>
          <t>SCA</t>
        </is>
      </c>
      <c r="G624" t="n">
        <v>31.1</v>
      </c>
      <c r="H624" t="n">
        <v>0</v>
      </c>
      <c r="I624" t="n">
        <v>0</v>
      </c>
      <c r="J624" t="n">
        <v>0</v>
      </c>
      <c r="K624" t="n">
        <v>0</v>
      </c>
      <c r="L624" t="n">
        <v>0</v>
      </c>
      <c r="M624" t="n">
        <v>0</v>
      </c>
      <c r="N624" t="n">
        <v>0</v>
      </c>
      <c r="O624" t="n">
        <v>0</v>
      </c>
      <c r="P624" t="n">
        <v>0</v>
      </c>
      <c r="Q624" t="n">
        <v>0</v>
      </c>
      <c r="R624" s="2" t="inlineStr"/>
    </row>
    <row r="625" ht="15" customHeight="1">
      <c r="A625" t="inlineStr">
        <is>
          <t>A 14074-2023</t>
        </is>
      </c>
      <c r="B625" s="1" t="n">
        <v>45009.089375</v>
      </c>
      <c r="C625" s="1" t="n">
        <v>46033</v>
      </c>
      <c r="D625" t="inlineStr">
        <is>
          <t>JÄMTLANDS LÄN</t>
        </is>
      </c>
      <c r="E625" t="inlineStr">
        <is>
          <t>RAGUNDA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37265-2024</t>
        </is>
      </c>
      <c r="B626" s="1" t="n">
        <v>45540.38564814815</v>
      </c>
      <c r="C626" s="1" t="n">
        <v>46033</v>
      </c>
      <c r="D626" t="inlineStr">
        <is>
          <t>JÄMTLANDS LÄN</t>
        </is>
      </c>
      <c r="E626" t="inlineStr">
        <is>
          <t>RAGUNDA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46033</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46751-2025</t>
        </is>
      </c>
      <c r="B628" s="1" t="n">
        <v>45926.6153125</v>
      </c>
      <c r="C628" s="1" t="n">
        <v>46033</v>
      </c>
      <c r="D628" t="inlineStr">
        <is>
          <t>JÄMTLANDS LÄN</t>
        </is>
      </c>
      <c r="E628" t="inlineStr">
        <is>
          <t>RAGUNDA</t>
        </is>
      </c>
      <c r="F628" t="inlineStr">
        <is>
          <t>SCA</t>
        </is>
      </c>
      <c r="G628" t="n">
        <v>7.8</v>
      </c>
      <c r="H628" t="n">
        <v>0</v>
      </c>
      <c r="I628" t="n">
        <v>0</v>
      </c>
      <c r="J628" t="n">
        <v>0</v>
      </c>
      <c r="K628" t="n">
        <v>0</v>
      </c>
      <c r="L628" t="n">
        <v>0</v>
      </c>
      <c r="M628" t="n">
        <v>0</v>
      </c>
      <c r="N628" t="n">
        <v>0</v>
      </c>
      <c r="O628" t="n">
        <v>0</v>
      </c>
      <c r="P628" t="n">
        <v>0</v>
      </c>
      <c r="Q628" t="n">
        <v>0</v>
      </c>
      <c r="R628" s="2" t="inlineStr"/>
    </row>
    <row r="629" ht="15" customHeight="1">
      <c r="A629" t="inlineStr">
        <is>
          <t>A 46753-2025</t>
        </is>
      </c>
      <c r="B629" s="1" t="n">
        <v>45926.61552083334</v>
      </c>
      <c r="C629" s="1" t="n">
        <v>46033</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60307-2025</t>
        </is>
      </c>
      <c r="B630" s="1" t="n">
        <v>45994.6842824074</v>
      </c>
      <c r="C630" s="1" t="n">
        <v>46033</v>
      </c>
      <c r="D630" t="inlineStr">
        <is>
          <t>JÄMTLANDS LÄN</t>
        </is>
      </c>
      <c r="E630" t="inlineStr">
        <is>
          <t>RAGUNDA</t>
        </is>
      </c>
      <c r="G630" t="n">
        <v>4</v>
      </c>
      <c r="H630" t="n">
        <v>0</v>
      </c>
      <c r="I630" t="n">
        <v>0</v>
      </c>
      <c r="J630" t="n">
        <v>0</v>
      </c>
      <c r="K630" t="n">
        <v>0</v>
      </c>
      <c r="L630" t="n">
        <v>0</v>
      </c>
      <c r="M630" t="n">
        <v>0</v>
      </c>
      <c r="N630" t="n">
        <v>0</v>
      </c>
      <c r="O630" t="n">
        <v>0</v>
      </c>
      <c r="P630" t="n">
        <v>0</v>
      </c>
      <c r="Q630" t="n">
        <v>0</v>
      </c>
      <c r="R630" s="2" t="inlineStr"/>
    </row>
    <row r="631" ht="15" customHeight="1">
      <c r="A631" t="inlineStr">
        <is>
          <t>A 47037-2025</t>
        </is>
      </c>
      <c r="B631" s="1" t="n">
        <v>45929.59456018519</v>
      </c>
      <c r="C631" s="1" t="n">
        <v>46033</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18777-2024</t>
        </is>
      </c>
      <c r="B632" s="1" t="n">
        <v>45426</v>
      </c>
      <c r="C632" s="1" t="n">
        <v>46033</v>
      </c>
      <c r="D632" t="inlineStr">
        <is>
          <t>JÄMTLANDS LÄN</t>
        </is>
      </c>
      <c r="E632" t="inlineStr">
        <is>
          <t>RAGUNDA</t>
        </is>
      </c>
      <c r="G632" t="n">
        <v>1.9</v>
      </c>
      <c r="H632" t="n">
        <v>0</v>
      </c>
      <c r="I632" t="n">
        <v>0</v>
      </c>
      <c r="J632" t="n">
        <v>0</v>
      </c>
      <c r="K632" t="n">
        <v>0</v>
      </c>
      <c r="L632" t="n">
        <v>0</v>
      </c>
      <c r="M632" t="n">
        <v>0</v>
      </c>
      <c r="N632" t="n">
        <v>0</v>
      </c>
      <c r="O632" t="n">
        <v>0</v>
      </c>
      <c r="P632" t="n">
        <v>0</v>
      </c>
      <c r="Q632" t="n">
        <v>0</v>
      </c>
      <c r="R632" s="2" t="inlineStr"/>
    </row>
    <row r="633" ht="15" customHeight="1">
      <c r="A633" t="inlineStr">
        <is>
          <t>A 30880-2025</t>
        </is>
      </c>
      <c r="B633" s="1" t="n">
        <v>45832.34524305556</v>
      </c>
      <c r="C633" s="1" t="n">
        <v>46033</v>
      </c>
      <c r="D633" t="inlineStr">
        <is>
          <t>JÄMTLANDS LÄN</t>
        </is>
      </c>
      <c r="E633" t="inlineStr">
        <is>
          <t>RAGUNDA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19438-2023</t>
        </is>
      </c>
      <c r="B634" s="1" t="n">
        <v>45049</v>
      </c>
      <c r="C634" s="1" t="n">
        <v>46033</v>
      </c>
      <c r="D634" t="inlineStr">
        <is>
          <t>JÄMTLANDS LÄN</t>
        </is>
      </c>
      <c r="E634" t="inlineStr">
        <is>
          <t>RAGUNDA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47749-2025</t>
        </is>
      </c>
      <c r="B635" s="1" t="n">
        <v>45931.65711805555</v>
      </c>
      <c r="C635" s="1" t="n">
        <v>46033</v>
      </c>
      <c r="D635" t="inlineStr">
        <is>
          <t>JÄMTLANDS LÄN</t>
        </is>
      </c>
      <c r="E635" t="inlineStr">
        <is>
          <t>RAGUNDA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58564-2024</t>
        </is>
      </c>
      <c r="B636" s="1" t="n">
        <v>45635.47243055556</v>
      </c>
      <c r="C636" s="1" t="n">
        <v>46033</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47228-2025</t>
        </is>
      </c>
      <c r="B637" s="1" t="n">
        <v>45930.3990162037</v>
      </c>
      <c r="C637" s="1" t="n">
        <v>46033</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8243-2024</t>
        </is>
      </c>
      <c r="B638" s="1" t="n">
        <v>45351.98532407408</v>
      </c>
      <c r="C638" s="1" t="n">
        <v>46033</v>
      </c>
      <c r="D638" t="inlineStr">
        <is>
          <t>JÄMTLANDS LÄN</t>
        </is>
      </c>
      <c r="E638" t="inlineStr">
        <is>
          <t>RAGUNDA</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1325-2025</t>
        </is>
      </c>
      <c r="B639" s="1" t="n">
        <v>45667.57342592593</v>
      </c>
      <c r="C639" s="1" t="n">
        <v>46033</v>
      </c>
      <c r="D639" t="inlineStr">
        <is>
          <t>JÄMTLANDS LÄN</t>
        </is>
      </c>
      <c r="E639" t="inlineStr">
        <is>
          <t>RAGUNDA</t>
        </is>
      </c>
      <c r="F639" t="inlineStr">
        <is>
          <t>SCA</t>
        </is>
      </c>
      <c r="G639" t="n">
        <v>20.2</v>
      </c>
      <c r="H639" t="n">
        <v>0</v>
      </c>
      <c r="I639" t="n">
        <v>0</v>
      </c>
      <c r="J639" t="n">
        <v>0</v>
      </c>
      <c r="K639" t="n">
        <v>0</v>
      </c>
      <c r="L639" t="n">
        <v>0</v>
      </c>
      <c r="M639" t="n">
        <v>0</v>
      </c>
      <c r="N639" t="n">
        <v>0</v>
      </c>
      <c r="O639" t="n">
        <v>0</v>
      </c>
      <c r="P639" t="n">
        <v>0</v>
      </c>
      <c r="Q639" t="n">
        <v>0</v>
      </c>
      <c r="R639" s="2" t="inlineStr"/>
    </row>
    <row r="640" ht="15" customHeight="1">
      <c r="A640" t="inlineStr">
        <is>
          <t>A 47229-2025</t>
        </is>
      </c>
      <c r="B640" s="1" t="n">
        <v>45930.40166666666</v>
      </c>
      <c r="C640" s="1" t="n">
        <v>46033</v>
      </c>
      <c r="D640" t="inlineStr">
        <is>
          <t>JÄMTLANDS LÄN</t>
        </is>
      </c>
      <c r="E640" t="inlineStr">
        <is>
          <t>RAGUNDA</t>
        </is>
      </c>
      <c r="G640" t="n">
        <v>1.8</v>
      </c>
      <c r="H640" t="n">
        <v>0</v>
      </c>
      <c r="I640" t="n">
        <v>0</v>
      </c>
      <c r="J640" t="n">
        <v>0</v>
      </c>
      <c r="K640" t="n">
        <v>0</v>
      </c>
      <c r="L640" t="n">
        <v>0</v>
      </c>
      <c r="M640" t="n">
        <v>0</v>
      </c>
      <c r="N640" t="n">
        <v>0</v>
      </c>
      <c r="O640" t="n">
        <v>0</v>
      </c>
      <c r="P640" t="n">
        <v>0</v>
      </c>
      <c r="Q640" t="n">
        <v>0</v>
      </c>
      <c r="R640" s="2" t="inlineStr"/>
    </row>
    <row r="641" ht="15" customHeight="1">
      <c r="A641" t="inlineStr">
        <is>
          <t>A 32096-2025</t>
        </is>
      </c>
      <c r="B641" s="1" t="n">
        <v>45835.46334490741</v>
      </c>
      <c r="C641" s="1" t="n">
        <v>46033</v>
      </c>
      <c r="D641" t="inlineStr">
        <is>
          <t>JÄMTLANDS LÄN</t>
        </is>
      </c>
      <c r="E641" t="inlineStr">
        <is>
          <t>RAGUNDA</t>
        </is>
      </c>
      <c r="G641" t="n">
        <v>0.9</v>
      </c>
      <c r="H641" t="n">
        <v>0</v>
      </c>
      <c r="I641" t="n">
        <v>0</v>
      </c>
      <c r="J641" t="n">
        <v>0</v>
      </c>
      <c r="K641" t="n">
        <v>0</v>
      </c>
      <c r="L641" t="n">
        <v>0</v>
      </c>
      <c r="M641" t="n">
        <v>0</v>
      </c>
      <c r="N641" t="n">
        <v>0</v>
      </c>
      <c r="O641" t="n">
        <v>0</v>
      </c>
      <c r="P641" t="n">
        <v>0</v>
      </c>
      <c r="Q641" t="n">
        <v>0</v>
      </c>
      <c r="R641" s="2" t="inlineStr"/>
    </row>
    <row r="642" ht="15" customHeight="1">
      <c r="A642" t="inlineStr">
        <is>
          <t>A 47748-2025</t>
        </is>
      </c>
      <c r="B642" s="1" t="n">
        <v>45931.65693287037</v>
      </c>
      <c r="C642" s="1" t="n">
        <v>46033</v>
      </c>
      <c r="D642" t="inlineStr">
        <is>
          <t>JÄMTLANDS LÄN</t>
        </is>
      </c>
      <c r="E642" t="inlineStr">
        <is>
          <t>RAGUNDA</t>
        </is>
      </c>
      <c r="F642" t="inlineStr">
        <is>
          <t>SCA</t>
        </is>
      </c>
      <c r="G642" t="n">
        <v>8.6</v>
      </c>
      <c r="H642" t="n">
        <v>0</v>
      </c>
      <c r="I642" t="n">
        <v>0</v>
      </c>
      <c r="J642" t="n">
        <v>0</v>
      </c>
      <c r="K642" t="n">
        <v>0</v>
      </c>
      <c r="L642" t="n">
        <v>0</v>
      </c>
      <c r="M642" t="n">
        <v>0</v>
      </c>
      <c r="N642" t="n">
        <v>0</v>
      </c>
      <c r="O642" t="n">
        <v>0</v>
      </c>
      <c r="P642" t="n">
        <v>0</v>
      </c>
      <c r="Q642" t="n">
        <v>0</v>
      </c>
      <c r="R642" s="2" t="inlineStr"/>
    </row>
    <row r="643" ht="15" customHeight="1">
      <c r="A643" t="inlineStr">
        <is>
          <t>A 32151-2025</t>
        </is>
      </c>
      <c r="B643" s="1" t="n">
        <v>45835.53166666667</v>
      </c>
      <c r="C643" s="1" t="n">
        <v>46033</v>
      </c>
      <c r="D643" t="inlineStr">
        <is>
          <t>JÄMTLANDS LÄN</t>
        </is>
      </c>
      <c r="E643" t="inlineStr">
        <is>
          <t>RAGUNDA</t>
        </is>
      </c>
      <c r="F643" t="inlineStr">
        <is>
          <t>SCA</t>
        </is>
      </c>
      <c r="G643" t="n">
        <v>12.3</v>
      </c>
      <c r="H643" t="n">
        <v>0</v>
      </c>
      <c r="I643" t="n">
        <v>0</v>
      </c>
      <c r="J643" t="n">
        <v>0</v>
      </c>
      <c r="K643" t="n">
        <v>0</v>
      </c>
      <c r="L643" t="n">
        <v>0</v>
      </c>
      <c r="M643" t="n">
        <v>0</v>
      </c>
      <c r="N643" t="n">
        <v>0</v>
      </c>
      <c r="O643" t="n">
        <v>0</v>
      </c>
      <c r="P643" t="n">
        <v>0</v>
      </c>
      <c r="Q643" t="n">
        <v>0</v>
      </c>
      <c r="R643" s="2" t="inlineStr"/>
    </row>
    <row r="644" ht="15" customHeight="1">
      <c r="A644" t="inlineStr">
        <is>
          <t>A 18159-2023</t>
        </is>
      </c>
      <c r="B644" s="1" t="n">
        <v>45040.94277777777</v>
      </c>
      <c r="C644" s="1" t="n">
        <v>46033</v>
      </c>
      <c r="D644" t="inlineStr">
        <is>
          <t>JÄMTLANDS LÄN</t>
        </is>
      </c>
      <c r="E644" t="inlineStr">
        <is>
          <t>RAGUNDA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21332-2025</t>
        </is>
      </c>
      <c r="B645" s="1" t="n">
        <v>45782.36506944444</v>
      </c>
      <c r="C645" s="1" t="n">
        <v>46033</v>
      </c>
      <c r="D645" t="inlineStr">
        <is>
          <t>JÄMTLANDS LÄN</t>
        </is>
      </c>
      <c r="E645" t="inlineStr">
        <is>
          <t>RAGUNDA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52972-2025</t>
        </is>
      </c>
      <c r="B646" s="1" t="n">
        <v>45957.67783564814</v>
      </c>
      <c r="C646" s="1" t="n">
        <v>46033</v>
      </c>
      <c r="D646" t="inlineStr">
        <is>
          <t>JÄMTLANDS LÄN</t>
        </is>
      </c>
      <c r="E646" t="inlineStr">
        <is>
          <t>RAGUNDA</t>
        </is>
      </c>
      <c r="F646" t="inlineStr">
        <is>
          <t>SCA</t>
        </is>
      </c>
      <c r="G646" t="n">
        <v>53.4</v>
      </c>
      <c r="H646" t="n">
        <v>0</v>
      </c>
      <c r="I646" t="n">
        <v>0</v>
      </c>
      <c r="J646" t="n">
        <v>0</v>
      </c>
      <c r="K646" t="n">
        <v>0</v>
      </c>
      <c r="L646" t="n">
        <v>0</v>
      </c>
      <c r="M646" t="n">
        <v>0</v>
      </c>
      <c r="N646" t="n">
        <v>0</v>
      </c>
      <c r="O646" t="n">
        <v>0</v>
      </c>
      <c r="P646" t="n">
        <v>0</v>
      </c>
      <c r="Q646" t="n">
        <v>0</v>
      </c>
      <c r="R646" s="2" t="inlineStr"/>
    </row>
    <row r="647" ht="15" customHeight="1">
      <c r="A647" t="inlineStr">
        <is>
          <t>A 32306-2025</t>
        </is>
      </c>
      <c r="B647" s="1" t="n">
        <v>45835.72046296296</v>
      </c>
      <c r="C647" s="1" t="n">
        <v>46033</v>
      </c>
      <c r="D647" t="inlineStr">
        <is>
          <t>JÄMTLANDS LÄN</t>
        </is>
      </c>
      <c r="E647" t="inlineStr">
        <is>
          <t>RAGUNDA</t>
        </is>
      </c>
      <c r="G647" t="n">
        <v>10.2</v>
      </c>
      <c r="H647" t="n">
        <v>0</v>
      </c>
      <c r="I647" t="n">
        <v>0</v>
      </c>
      <c r="J647" t="n">
        <v>0</v>
      </c>
      <c r="K647" t="n">
        <v>0</v>
      </c>
      <c r="L647" t="n">
        <v>0</v>
      </c>
      <c r="M647" t="n">
        <v>0</v>
      </c>
      <c r="N647" t="n">
        <v>0</v>
      </c>
      <c r="O647" t="n">
        <v>0</v>
      </c>
      <c r="P647" t="n">
        <v>0</v>
      </c>
      <c r="Q647" t="n">
        <v>0</v>
      </c>
      <c r="R647" s="2" t="inlineStr"/>
    </row>
    <row r="648" ht="15" customHeight="1">
      <c r="A648" t="inlineStr">
        <is>
          <t>A 19486-2024</t>
        </is>
      </c>
      <c r="B648" s="1" t="n">
        <v>45429</v>
      </c>
      <c r="C648" s="1" t="n">
        <v>46033</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1326-2025</t>
        </is>
      </c>
      <c r="B649" s="1" t="n">
        <v>45667.57347222222</v>
      </c>
      <c r="C649" s="1" t="n">
        <v>46033</v>
      </c>
      <c r="D649" t="inlineStr">
        <is>
          <t>JÄMTLANDS LÄN</t>
        </is>
      </c>
      <c r="E649" t="inlineStr">
        <is>
          <t>RAGUNDA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32021-2025</t>
        </is>
      </c>
      <c r="B650" s="1" t="n">
        <v>45835.40668981482</v>
      </c>
      <c r="C650" s="1" t="n">
        <v>46033</v>
      </c>
      <c r="D650" t="inlineStr">
        <is>
          <t>JÄMTLANDS LÄN</t>
        </is>
      </c>
      <c r="E650" t="inlineStr">
        <is>
          <t>RAGUNDA</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31882-2025</t>
        </is>
      </c>
      <c r="B651" s="1" t="n">
        <v>45834.65662037037</v>
      </c>
      <c r="C651" s="1" t="n">
        <v>46033</v>
      </c>
      <c r="D651" t="inlineStr">
        <is>
          <t>JÄMTLANDS LÄN</t>
        </is>
      </c>
      <c r="E651" t="inlineStr">
        <is>
          <t>RAGUNDA</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30642-2024</t>
        </is>
      </c>
      <c r="B652" s="1" t="n">
        <v>45495.57677083334</v>
      </c>
      <c r="C652" s="1" t="n">
        <v>46033</v>
      </c>
      <c r="D652" t="inlineStr">
        <is>
          <t>JÄMTLANDS LÄN</t>
        </is>
      </c>
      <c r="E652" t="inlineStr">
        <is>
          <t>RAGUNDA</t>
        </is>
      </c>
      <c r="G652" t="n">
        <v>2.7</v>
      </c>
      <c r="H652" t="n">
        <v>0</v>
      </c>
      <c r="I652" t="n">
        <v>0</v>
      </c>
      <c r="J652" t="n">
        <v>0</v>
      </c>
      <c r="K652" t="n">
        <v>0</v>
      </c>
      <c r="L652" t="n">
        <v>0</v>
      </c>
      <c r="M652" t="n">
        <v>0</v>
      </c>
      <c r="N652" t="n">
        <v>0</v>
      </c>
      <c r="O652" t="n">
        <v>0</v>
      </c>
      <c r="P652" t="n">
        <v>0</v>
      </c>
      <c r="Q652" t="n">
        <v>0</v>
      </c>
      <c r="R652" s="2" t="inlineStr"/>
    </row>
    <row r="653" ht="15" customHeight="1">
      <c r="A653" t="inlineStr">
        <is>
          <t>A 993-2025</t>
        </is>
      </c>
      <c r="B653" s="1" t="n">
        <v>45666.44943287037</v>
      </c>
      <c r="C653" s="1" t="n">
        <v>46033</v>
      </c>
      <c r="D653" t="inlineStr">
        <is>
          <t>JÄMTLANDS LÄN</t>
        </is>
      </c>
      <c r="E653" t="inlineStr">
        <is>
          <t>RAGUNDA</t>
        </is>
      </c>
      <c r="G653" t="n">
        <v>11.3</v>
      </c>
      <c r="H653" t="n">
        <v>0</v>
      </c>
      <c r="I653" t="n">
        <v>0</v>
      </c>
      <c r="J653" t="n">
        <v>0</v>
      </c>
      <c r="K653" t="n">
        <v>0</v>
      </c>
      <c r="L653" t="n">
        <v>0</v>
      </c>
      <c r="M653" t="n">
        <v>0</v>
      </c>
      <c r="N653" t="n">
        <v>0</v>
      </c>
      <c r="O653" t="n">
        <v>0</v>
      </c>
      <c r="P653" t="n">
        <v>0</v>
      </c>
      <c r="Q653" t="n">
        <v>0</v>
      </c>
      <c r="R653" s="2" t="inlineStr"/>
    </row>
    <row r="654" ht="15" customHeight="1">
      <c r="A654" t="inlineStr">
        <is>
          <t>A 58193-2022</t>
        </is>
      </c>
      <c r="B654" s="1" t="n">
        <v>44900.95700231481</v>
      </c>
      <c r="C654" s="1" t="n">
        <v>46033</v>
      </c>
      <c r="D654" t="inlineStr">
        <is>
          <t>JÄMTLANDS LÄN</t>
        </is>
      </c>
      <c r="E654" t="inlineStr">
        <is>
          <t>RAGUNDA</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32796-2025</t>
        </is>
      </c>
      <c r="B655" s="1" t="n">
        <v>45839.49082175926</v>
      </c>
      <c r="C655" s="1" t="n">
        <v>46033</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32655-2025</t>
        </is>
      </c>
      <c r="B656" s="1" t="n">
        <v>45838.67800925926</v>
      </c>
      <c r="C656" s="1" t="n">
        <v>46033</v>
      </c>
      <c r="D656" t="inlineStr">
        <is>
          <t>JÄMTLANDS LÄN</t>
        </is>
      </c>
      <c r="E656" t="inlineStr">
        <is>
          <t>RAGUNDA</t>
        </is>
      </c>
      <c r="G656" t="n">
        <v>2.8</v>
      </c>
      <c r="H656" t="n">
        <v>0</v>
      </c>
      <c r="I656" t="n">
        <v>0</v>
      </c>
      <c r="J656" t="n">
        <v>0</v>
      </c>
      <c r="K656" t="n">
        <v>0</v>
      </c>
      <c r="L656" t="n">
        <v>0</v>
      </c>
      <c r="M656" t="n">
        <v>0</v>
      </c>
      <c r="N656" t="n">
        <v>0</v>
      </c>
      <c r="O656" t="n">
        <v>0</v>
      </c>
      <c r="P656" t="n">
        <v>0</v>
      </c>
      <c r="Q656" t="n">
        <v>0</v>
      </c>
      <c r="R656" s="2" t="inlineStr"/>
    </row>
    <row r="657" ht="15" customHeight="1">
      <c r="A657" t="inlineStr">
        <is>
          <t>A 28081-2022</t>
        </is>
      </c>
      <c r="B657" s="1" t="n">
        <v>44746</v>
      </c>
      <c r="C657" s="1" t="n">
        <v>46033</v>
      </c>
      <c r="D657" t="inlineStr">
        <is>
          <t>JÄMTLANDS LÄN</t>
        </is>
      </c>
      <c r="E657" t="inlineStr">
        <is>
          <t>RAGUNDA</t>
        </is>
      </c>
      <c r="G657" t="n">
        <v>7.2</v>
      </c>
      <c r="H657" t="n">
        <v>0</v>
      </c>
      <c r="I657" t="n">
        <v>0</v>
      </c>
      <c r="J657" t="n">
        <v>0</v>
      </c>
      <c r="K657" t="n">
        <v>0</v>
      </c>
      <c r="L657" t="n">
        <v>0</v>
      </c>
      <c r="M657" t="n">
        <v>0</v>
      </c>
      <c r="N657" t="n">
        <v>0</v>
      </c>
      <c r="O657" t="n">
        <v>0</v>
      </c>
      <c r="P657" t="n">
        <v>0</v>
      </c>
      <c r="Q657" t="n">
        <v>0</v>
      </c>
      <c r="R657" s="2" t="inlineStr"/>
    </row>
    <row r="658" ht="15" customHeight="1">
      <c r="A658" t="inlineStr">
        <is>
          <t>A 32751-2025</t>
        </is>
      </c>
      <c r="B658" s="1" t="n">
        <v>45839.42864583333</v>
      </c>
      <c r="C658" s="1" t="n">
        <v>46033</v>
      </c>
      <c r="D658" t="inlineStr">
        <is>
          <t>JÄMTLANDS LÄN</t>
        </is>
      </c>
      <c r="E658" t="inlineStr">
        <is>
          <t>RAGUNDA</t>
        </is>
      </c>
      <c r="F658" t="inlineStr">
        <is>
          <t>SCA</t>
        </is>
      </c>
      <c r="G658" t="n">
        <v>10</v>
      </c>
      <c r="H658" t="n">
        <v>0</v>
      </c>
      <c r="I658" t="n">
        <v>0</v>
      </c>
      <c r="J658" t="n">
        <v>0</v>
      </c>
      <c r="K658" t="n">
        <v>0</v>
      </c>
      <c r="L658" t="n">
        <v>0</v>
      </c>
      <c r="M658" t="n">
        <v>0</v>
      </c>
      <c r="N658" t="n">
        <v>0</v>
      </c>
      <c r="O658" t="n">
        <v>0</v>
      </c>
      <c r="P658" t="n">
        <v>0</v>
      </c>
      <c r="Q658" t="n">
        <v>0</v>
      </c>
      <c r="R658" s="2" t="inlineStr"/>
    </row>
    <row r="659" ht="15" customHeight="1">
      <c r="A659" t="inlineStr">
        <is>
          <t>A 32777-2025</t>
        </is>
      </c>
      <c r="B659" s="1" t="n">
        <v>45839.46915509259</v>
      </c>
      <c r="C659" s="1" t="n">
        <v>46033</v>
      </c>
      <c r="D659" t="inlineStr">
        <is>
          <t>JÄMTLANDS LÄN</t>
        </is>
      </c>
      <c r="E659" t="inlineStr">
        <is>
          <t>RAGUNDA</t>
        </is>
      </c>
      <c r="F659" t="inlineStr">
        <is>
          <t>SCA</t>
        </is>
      </c>
      <c r="G659" t="n">
        <v>21.7</v>
      </c>
      <c r="H659" t="n">
        <v>0</v>
      </c>
      <c r="I659" t="n">
        <v>0</v>
      </c>
      <c r="J659" t="n">
        <v>0</v>
      </c>
      <c r="K659" t="n">
        <v>0</v>
      </c>
      <c r="L659" t="n">
        <v>0</v>
      </c>
      <c r="M659" t="n">
        <v>0</v>
      </c>
      <c r="N659" t="n">
        <v>0</v>
      </c>
      <c r="O659" t="n">
        <v>0</v>
      </c>
      <c r="P659" t="n">
        <v>0</v>
      </c>
      <c r="Q659" t="n">
        <v>0</v>
      </c>
      <c r="R659" s="2" t="inlineStr"/>
    </row>
    <row r="660" ht="15" customHeight="1">
      <c r="A660" t="inlineStr">
        <is>
          <t>A 48748-2025</t>
        </is>
      </c>
      <c r="B660" s="1" t="n">
        <v>45936.67912037037</v>
      </c>
      <c r="C660" s="1" t="n">
        <v>46033</v>
      </c>
      <c r="D660" t="inlineStr">
        <is>
          <t>JÄMTLANDS LÄN</t>
        </is>
      </c>
      <c r="E660" t="inlineStr">
        <is>
          <t>RAGUNDA</t>
        </is>
      </c>
      <c r="F660" t="inlineStr">
        <is>
          <t>SCA</t>
        </is>
      </c>
      <c r="G660" t="n">
        <v>11.1</v>
      </c>
      <c r="H660" t="n">
        <v>0</v>
      </c>
      <c r="I660" t="n">
        <v>0</v>
      </c>
      <c r="J660" t="n">
        <v>0</v>
      </c>
      <c r="K660" t="n">
        <v>0</v>
      </c>
      <c r="L660" t="n">
        <v>0</v>
      </c>
      <c r="M660" t="n">
        <v>0</v>
      </c>
      <c r="N660" t="n">
        <v>0</v>
      </c>
      <c r="O660" t="n">
        <v>0</v>
      </c>
      <c r="P660" t="n">
        <v>0</v>
      </c>
      <c r="Q660" t="n">
        <v>0</v>
      </c>
      <c r="R660" s="2" t="inlineStr"/>
    </row>
    <row r="661" ht="15" customHeight="1">
      <c r="A661" t="inlineStr">
        <is>
          <t>A 32430-2025</t>
        </is>
      </c>
      <c r="B661" s="1" t="n">
        <v>45838.36532407408</v>
      </c>
      <c r="C661" s="1" t="n">
        <v>46033</v>
      </c>
      <c r="D661" t="inlineStr">
        <is>
          <t>JÄMTLANDS LÄN</t>
        </is>
      </c>
      <c r="E661" t="inlineStr">
        <is>
          <t>RAGUNDA</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32747-2025</t>
        </is>
      </c>
      <c r="B662" s="1" t="n">
        <v>45839.42810185185</v>
      </c>
      <c r="C662" s="1" t="n">
        <v>46033</v>
      </c>
      <c r="D662" t="inlineStr">
        <is>
          <t>JÄMTLANDS LÄN</t>
        </is>
      </c>
      <c r="E662" t="inlineStr">
        <is>
          <t>RAGUNDA</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32757-2025</t>
        </is>
      </c>
      <c r="B663" s="1" t="n">
        <v>45838</v>
      </c>
      <c r="C663" s="1" t="n">
        <v>46033</v>
      </c>
      <c r="D663" t="inlineStr">
        <is>
          <t>JÄMTLANDS LÄN</t>
        </is>
      </c>
      <c r="E663" t="inlineStr">
        <is>
          <t>RAGUNDA</t>
        </is>
      </c>
      <c r="G663" t="n">
        <v>4.5</v>
      </c>
      <c r="H663" t="n">
        <v>0</v>
      </c>
      <c r="I663" t="n">
        <v>0</v>
      </c>
      <c r="J663" t="n">
        <v>0</v>
      </c>
      <c r="K663" t="n">
        <v>0</v>
      </c>
      <c r="L663" t="n">
        <v>0</v>
      </c>
      <c r="M663" t="n">
        <v>0</v>
      </c>
      <c r="N663" t="n">
        <v>0</v>
      </c>
      <c r="O663" t="n">
        <v>0</v>
      </c>
      <c r="P663" t="n">
        <v>0</v>
      </c>
      <c r="Q663" t="n">
        <v>0</v>
      </c>
      <c r="R663" s="2" t="inlineStr"/>
    </row>
    <row r="664" ht="15" customHeight="1">
      <c r="A664" t="inlineStr">
        <is>
          <t>A 48528-2025</t>
        </is>
      </c>
      <c r="B664" s="1" t="n">
        <v>45936.40758101852</v>
      </c>
      <c r="C664" s="1" t="n">
        <v>46033</v>
      </c>
      <c r="D664" t="inlineStr">
        <is>
          <t>JÄMTLANDS LÄN</t>
        </is>
      </c>
      <c r="E664" t="inlineStr">
        <is>
          <t>RAGUNDA</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48742-2025</t>
        </is>
      </c>
      <c r="B665" s="1" t="n">
        <v>45936.67810185185</v>
      </c>
      <c r="C665" s="1" t="n">
        <v>46033</v>
      </c>
      <c r="D665" t="inlineStr">
        <is>
          <t>JÄMTLANDS LÄN</t>
        </is>
      </c>
      <c r="E665" t="inlineStr">
        <is>
          <t>RAGUNDA</t>
        </is>
      </c>
      <c r="F665" t="inlineStr">
        <is>
          <t>SCA</t>
        </is>
      </c>
      <c r="G665" t="n">
        <v>8.9</v>
      </c>
      <c r="H665" t="n">
        <v>0</v>
      </c>
      <c r="I665" t="n">
        <v>0</v>
      </c>
      <c r="J665" t="n">
        <v>0</v>
      </c>
      <c r="K665" t="n">
        <v>0</v>
      </c>
      <c r="L665" t="n">
        <v>0</v>
      </c>
      <c r="M665" t="n">
        <v>0</v>
      </c>
      <c r="N665" t="n">
        <v>0</v>
      </c>
      <c r="O665" t="n">
        <v>0</v>
      </c>
      <c r="P665" t="n">
        <v>0</v>
      </c>
      <c r="Q665" t="n">
        <v>0</v>
      </c>
      <c r="R665" s="2" t="inlineStr"/>
    </row>
    <row r="666" ht="15" customHeight="1">
      <c r="A666" t="inlineStr">
        <is>
          <t>A 51049-2024</t>
        </is>
      </c>
      <c r="B666" s="1" t="n">
        <v>45603.44644675926</v>
      </c>
      <c r="C666" s="1" t="n">
        <v>46033</v>
      </c>
      <c r="D666" t="inlineStr">
        <is>
          <t>JÄMTLANDS LÄN</t>
        </is>
      </c>
      <c r="E666" t="inlineStr">
        <is>
          <t>RAGUNDA</t>
        </is>
      </c>
      <c r="F666" t="inlineStr">
        <is>
          <t>SCA</t>
        </is>
      </c>
      <c r="G666" t="n">
        <v>6.9</v>
      </c>
      <c r="H666" t="n">
        <v>0</v>
      </c>
      <c r="I666" t="n">
        <v>0</v>
      </c>
      <c r="J666" t="n">
        <v>0</v>
      </c>
      <c r="K666" t="n">
        <v>0</v>
      </c>
      <c r="L666" t="n">
        <v>0</v>
      </c>
      <c r="M666" t="n">
        <v>0</v>
      </c>
      <c r="N666" t="n">
        <v>0</v>
      </c>
      <c r="O666" t="n">
        <v>0</v>
      </c>
      <c r="P666" t="n">
        <v>0</v>
      </c>
      <c r="Q666" t="n">
        <v>0</v>
      </c>
      <c r="R666" s="2" t="inlineStr"/>
    </row>
    <row r="667" ht="15" customHeight="1">
      <c r="A667" t="inlineStr">
        <is>
          <t>A 44759-2024</t>
        </is>
      </c>
      <c r="B667" s="1" t="n">
        <v>45574.61634259259</v>
      </c>
      <c r="C667" s="1" t="n">
        <v>46033</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37324-2022</t>
        </is>
      </c>
      <c r="B668" s="1" t="n">
        <v>44806</v>
      </c>
      <c r="C668" s="1" t="n">
        <v>46033</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32846-2025</t>
        </is>
      </c>
      <c r="B669" s="1" t="n">
        <v>45839.57331018519</v>
      </c>
      <c r="C669" s="1" t="n">
        <v>46033</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52430-2025</t>
        </is>
      </c>
      <c r="B670" s="1" t="n">
        <v>45954.38592592593</v>
      </c>
      <c r="C670" s="1" t="n">
        <v>46033</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41343-2024</t>
        </is>
      </c>
      <c r="B671" s="1" t="n">
        <v>45559.67745370371</v>
      </c>
      <c r="C671" s="1" t="n">
        <v>46033</v>
      </c>
      <c r="D671" t="inlineStr">
        <is>
          <t>JÄMTLANDS LÄN</t>
        </is>
      </c>
      <c r="E671" t="inlineStr">
        <is>
          <t>RAGUNDA</t>
        </is>
      </c>
      <c r="F671" t="inlineStr">
        <is>
          <t>SCA</t>
        </is>
      </c>
      <c r="G671" t="n">
        <v>25.1</v>
      </c>
      <c r="H671" t="n">
        <v>0</v>
      </c>
      <c r="I671" t="n">
        <v>0</v>
      </c>
      <c r="J671" t="n">
        <v>0</v>
      </c>
      <c r="K671" t="n">
        <v>0</v>
      </c>
      <c r="L671" t="n">
        <v>0</v>
      </c>
      <c r="M671" t="n">
        <v>0</v>
      </c>
      <c r="N671" t="n">
        <v>0</v>
      </c>
      <c r="O671" t="n">
        <v>0</v>
      </c>
      <c r="P671" t="n">
        <v>0</v>
      </c>
      <c r="Q671" t="n">
        <v>0</v>
      </c>
      <c r="R671" s="2" t="inlineStr"/>
    </row>
    <row r="672" ht="15" customHeight="1">
      <c r="A672" t="inlineStr">
        <is>
          <t>A 60760-2025</t>
        </is>
      </c>
      <c r="B672" s="1" t="n">
        <v>45999.38597222222</v>
      </c>
      <c r="C672" s="1" t="n">
        <v>46033</v>
      </c>
      <c r="D672" t="inlineStr">
        <is>
          <t>JÄMTLANDS LÄN</t>
        </is>
      </c>
      <c r="E672" t="inlineStr">
        <is>
          <t>RAGUNDA</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48746-2025</t>
        </is>
      </c>
      <c r="B673" s="1" t="n">
        <v>45936.67878472222</v>
      </c>
      <c r="C673" s="1" t="n">
        <v>46033</v>
      </c>
      <c r="D673" t="inlineStr">
        <is>
          <t>JÄMTLANDS LÄN</t>
        </is>
      </c>
      <c r="E673" t="inlineStr">
        <is>
          <t>RAGUNDA</t>
        </is>
      </c>
      <c r="F673" t="inlineStr">
        <is>
          <t>SCA</t>
        </is>
      </c>
      <c r="G673" t="n">
        <v>6.5</v>
      </c>
      <c r="H673" t="n">
        <v>0</v>
      </c>
      <c r="I673" t="n">
        <v>0</v>
      </c>
      <c r="J673" t="n">
        <v>0</v>
      </c>
      <c r="K673" t="n">
        <v>0</v>
      </c>
      <c r="L673" t="n">
        <v>0</v>
      </c>
      <c r="M673" t="n">
        <v>0</v>
      </c>
      <c r="N673" t="n">
        <v>0</v>
      </c>
      <c r="O673" t="n">
        <v>0</v>
      </c>
      <c r="P673" t="n">
        <v>0</v>
      </c>
      <c r="Q673" t="n">
        <v>0</v>
      </c>
      <c r="R673" s="2" t="inlineStr"/>
    </row>
    <row r="674" ht="15" customHeight="1">
      <c r="A674" t="inlineStr">
        <is>
          <t>A 32748-2025</t>
        </is>
      </c>
      <c r="B674" s="1" t="n">
        <v>45839.42822916667</v>
      </c>
      <c r="C674" s="1" t="n">
        <v>46033</v>
      </c>
      <c r="D674" t="inlineStr">
        <is>
          <t>JÄMTLANDS LÄN</t>
        </is>
      </c>
      <c r="E674" t="inlineStr">
        <is>
          <t>RAGUNDA</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45953-2023</t>
        </is>
      </c>
      <c r="B675" s="1" t="n">
        <v>45195.94672453704</v>
      </c>
      <c r="C675" s="1" t="n">
        <v>46033</v>
      </c>
      <c r="D675" t="inlineStr">
        <is>
          <t>JÄMTLANDS LÄN</t>
        </is>
      </c>
      <c r="E675" t="inlineStr">
        <is>
          <t>RAGUNDA</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32762-2025</t>
        </is>
      </c>
      <c r="B676" s="1" t="n">
        <v>45838</v>
      </c>
      <c r="C676" s="1" t="n">
        <v>46033</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16982-2024</t>
        </is>
      </c>
      <c r="B677" s="1" t="n">
        <v>45412.02506944445</v>
      </c>
      <c r="C677" s="1" t="n">
        <v>46033</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32660-2025</t>
        </is>
      </c>
      <c r="B678" s="1" t="n">
        <v>45838.67887731481</v>
      </c>
      <c r="C678" s="1" t="n">
        <v>46033</v>
      </c>
      <c r="D678" t="inlineStr">
        <is>
          <t>JÄMTLANDS LÄN</t>
        </is>
      </c>
      <c r="E678" t="inlineStr">
        <is>
          <t>RAGUNDA</t>
        </is>
      </c>
      <c r="F678" t="inlineStr">
        <is>
          <t>SCA</t>
        </is>
      </c>
      <c r="G678" t="n">
        <v>10.3</v>
      </c>
      <c r="H678" t="n">
        <v>0</v>
      </c>
      <c r="I678" t="n">
        <v>0</v>
      </c>
      <c r="J678" t="n">
        <v>0</v>
      </c>
      <c r="K678" t="n">
        <v>0</v>
      </c>
      <c r="L678" t="n">
        <v>0</v>
      </c>
      <c r="M678" t="n">
        <v>0</v>
      </c>
      <c r="N678" t="n">
        <v>0</v>
      </c>
      <c r="O678" t="n">
        <v>0</v>
      </c>
      <c r="P678" t="n">
        <v>0</v>
      </c>
      <c r="Q678" t="n">
        <v>0</v>
      </c>
      <c r="R678" s="2" t="inlineStr"/>
    </row>
    <row r="679" ht="15" customHeight="1">
      <c r="A679" t="inlineStr">
        <is>
          <t>A 49650-2024</t>
        </is>
      </c>
      <c r="B679" s="1" t="n">
        <v>45596.61569444444</v>
      </c>
      <c r="C679" s="1" t="n">
        <v>46033</v>
      </c>
      <c r="D679" t="inlineStr">
        <is>
          <t>JÄMTLANDS LÄN</t>
        </is>
      </c>
      <c r="E679" t="inlineStr">
        <is>
          <t>RAGUNDA</t>
        </is>
      </c>
      <c r="F679" t="inlineStr">
        <is>
          <t>Naturvårdsverket</t>
        </is>
      </c>
      <c r="G679" t="n">
        <v>3</v>
      </c>
      <c r="H679" t="n">
        <v>0</v>
      </c>
      <c r="I679" t="n">
        <v>0</v>
      </c>
      <c r="J679" t="n">
        <v>0</v>
      </c>
      <c r="K679" t="n">
        <v>0</v>
      </c>
      <c r="L679" t="n">
        <v>0</v>
      </c>
      <c r="M679" t="n">
        <v>0</v>
      </c>
      <c r="N679" t="n">
        <v>0</v>
      </c>
      <c r="O679" t="n">
        <v>0</v>
      </c>
      <c r="P679" t="n">
        <v>0</v>
      </c>
      <c r="Q679" t="n">
        <v>0</v>
      </c>
      <c r="R679" s="2" t="inlineStr"/>
    </row>
    <row r="680" ht="15" customHeight="1">
      <c r="A680" t="inlineStr">
        <is>
          <t>A 49651-2024</t>
        </is>
      </c>
      <c r="B680" s="1" t="n">
        <v>45596.61582175926</v>
      </c>
      <c r="C680" s="1" t="n">
        <v>46033</v>
      </c>
      <c r="D680" t="inlineStr">
        <is>
          <t>JÄMTLANDS LÄN</t>
        </is>
      </c>
      <c r="E680" t="inlineStr">
        <is>
          <t>RAGUNDA</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32527-2025</t>
        </is>
      </c>
      <c r="B681" s="1" t="n">
        <v>45838.48996527777</v>
      </c>
      <c r="C681" s="1" t="n">
        <v>46033</v>
      </c>
      <c r="D681" t="inlineStr">
        <is>
          <t>JÄMTLANDS LÄN</t>
        </is>
      </c>
      <c r="E681" t="inlineStr">
        <is>
          <t>RAGUNDA</t>
        </is>
      </c>
      <c r="G681" t="n">
        <v>5</v>
      </c>
      <c r="H681" t="n">
        <v>0</v>
      </c>
      <c r="I681" t="n">
        <v>0</v>
      </c>
      <c r="J681" t="n">
        <v>0</v>
      </c>
      <c r="K681" t="n">
        <v>0</v>
      </c>
      <c r="L681" t="n">
        <v>0</v>
      </c>
      <c r="M681" t="n">
        <v>0</v>
      </c>
      <c r="N681" t="n">
        <v>0</v>
      </c>
      <c r="O681" t="n">
        <v>0</v>
      </c>
      <c r="P681" t="n">
        <v>0</v>
      </c>
      <c r="Q681" t="n">
        <v>0</v>
      </c>
      <c r="R681" s="2" t="inlineStr"/>
    </row>
    <row r="682" ht="15" customHeight="1">
      <c r="A682" t="inlineStr">
        <is>
          <t>A 60775-2025</t>
        </is>
      </c>
      <c r="B682" s="1" t="n">
        <v>45999.3905787037</v>
      </c>
      <c r="C682" s="1" t="n">
        <v>46033</v>
      </c>
      <c r="D682" t="inlineStr">
        <is>
          <t>JÄMTLANDS LÄN</t>
        </is>
      </c>
      <c r="E682" t="inlineStr">
        <is>
          <t>RAGUNDA</t>
        </is>
      </c>
      <c r="G682" t="n">
        <v>15.7</v>
      </c>
      <c r="H682" t="n">
        <v>0</v>
      </c>
      <c r="I682" t="n">
        <v>0</v>
      </c>
      <c r="J682" t="n">
        <v>0</v>
      </c>
      <c r="K682" t="n">
        <v>0</v>
      </c>
      <c r="L682" t="n">
        <v>0</v>
      </c>
      <c r="M682" t="n">
        <v>0</v>
      </c>
      <c r="N682" t="n">
        <v>0</v>
      </c>
      <c r="O682" t="n">
        <v>0</v>
      </c>
      <c r="P682" t="n">
        <v>0</v>
      </c>
      <c r="Q682" t="n">
        <v>0</v>
      </c>
      <c r="R682" s="2" t="inlineStr"/>
    </row>
    <row r="683" ht="15" customHeight="1">
      <c r="A683" t="inlineStr">
        <is>
          <t>A 52875-2025</t>
        </is>
      </c>
      <c r="B683" s="1" t="n">
        <v>45957.53211805555</v>
      </c>
      <c r="C683" s="1" t="n">
        <v>46033</v>
      </c>
      <c r="D683" t="inlineStr">
        <is>
          <t>JÄMTLANDS LÄN</t>
        </is>
      </c>
      <c r="E683" t="inlineStr">
        <is>
          <t>RAGUNDA</t>
        </is>
      </c>
      <c r="F683" t="inlineStr">
        <is>
          <t>SCA</t>
        </is>
      </c>
      <c r="G683" t="n">
        <v>34.3</v>
      </c>
      <c r="H683" t="n">
        <v>0</v>
      </c>
      <c r="I683" t="n">
        <v>0</v>
      </c>
      <c r="J683" t="n">
        <v>0</v>
      </c>
      <c r="K683" t="n">
        <v>0</v>
      </c>
      <c r="L683" t="n">
        <v>0</v>
      </c>
      <c r="M683" t="n">
        <v>0</v>
      </c>
      <c r="N683" t="n">
        <v>0</v>
      </c>
      <c r="O683" t="n">
        <v>0</v>
      </c>
      <c r="P683" t="n">
        <v>0</v>
      </c>
      <c r="Q683" t="n">
        <v>0</v>
      </c>
      <c r="R683" s="2" t="inlineStr"/>
    </row>
    <row r="684" ht="15" customHeight="1">
      <c r="A684" t="inlineStr">
        <is>
          <t>A 33140-2025</t>
        </is>
      </c>
      <c r="B684" s="1" t="n">
        <v>45840.52225694444</v>
      </c>
      <c r="C684" s="1" t="n">
        <v>46033</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33556-2025</t>
        </is>
      </c>
      <c r="B685" s="1" t="n">
        <v>45841.57427083333</v>
      </c>
      <c r="C685" s="1" t="n">
        <v>46033</v>
      </c>
      <c r="D685" t="inlineStr">
        <is>
          <t>JÄMTLANDS LÄN</t>
        </is>
      </c>
      <c r="E685" t="inlineStr">
        <is>
          <t>RAGUNDA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49639-2025</t>
        </is>
      </c>
      <c r="B686" s="1" t="n">
        <v>45939.61253472222</v>
      </c>
      <c r="C686" s="1" t="n">
        <v>46033</v>
      </c>
      <c r="D686" t="inlineStr">
        <is>
          <t>JÄMTLANDS LÄN</t>
        </is>
      </c>
      <c r="E686" t="inlineStr">
        <is>
          <t>RAGUNDA</t>
        </is>
      </c>
      <c r="F686" t="inlineStr">
        <is>
          <t>Kommuner</t>
        </is>
      </c>
      <c r="G686" t="n">
        <v>13.6</v>
      </c>
      <c r="H686" t="n">
        <v>0</v>
      </c>
      <c r="I686" t="n">
        <v>0</v>
      </c>
      <c r="J686" t="n">
        <v>0</v>
      </c>
      <c r="K686" t="n">
        <v>0</v>
      </c>
      <c r="L686" t="n">
        <v>0</v>
      </c>
      <c r="M686" t="n">
        <v>0</v>
      </c>
      <c r="N686" t="n">
        <v>0</v>
      </c>
      <c r="O686" t="n">
        <v>0</v>
      </c>
      <c r="P686" t="n">
        <v>0</v>
      </c>
      <c r="Q686" t="n">
        <v>0</v>
      </c>
      <c r="R686" s="2" t="inlineStr"/>
    </row>
    <row r="687" ht="15" customHeight="1">
      <c r="A687" t="inlineStr">
        <is>
          <t>A 64264-2023</t>
        </is>
      </c>
      <c r="B687" s="1" t="n">
        <v>45279.94564814815</v>
      </c>
      <c r="C687" s="1" t="n">
        <v>46033</v>
      </c>
      <c r="D687" t="inlineStr">
        <is>
          <t>JÄMTLANDS LÄN</t>
        </is>
      </c>
      <c r="E687" t="inlineStr">
        <is>
          <t>RAGUNDA</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49059-2025</t>
        </is>
      </c>
      <c r="B688" s="1" t="n">
        <v>45937.64123842592</v>
      </c>
      <c r="C688" s="1" t="n">
        <v>46033</v>
      </c>
      <c r="D688" t="inlineStr">
        <is>
          <t>JÄMTLANDS LÄN</t>
        </is>
      </c>
      <c r="E688" t="inlineStr">
        <is>
          <t>RAGUNDA</t>
        </is>
      </c>
      <c r="G688" t="n">
        <v>2.1</v>
      </c>
      <c r="H688" t="n">
        <v>0</v>
      </c>
      <c r="I688" t="n">
        <v>0</v>
      </c>
      <c r="J688" t="n">
        <v>0</v>
      </c>
      <c r="K688" t="n">
        <v>0</v>
      </c>
      <c r="L688" t="n">
        <v>0</v>
      </c>
      <c r="M688" t="n">
        <v>0</v>
      </c>
      <c r="N688" t="n">
        <v>0</v>
      </c>
      <c r="O688" t="n">
        <v>0</v>
      </c>
      <c r="P688" t="n">
        <v>0</v>
      </c>
      <c r="Q688" t="n">
        <v>0</v>
      </c>
      <c r="R688" s="2" t="inlineStr"/>
    </row>
    <row r="689" ht="15" customHeight="1">
      <c r="A689" t="inlineStr">
        <is>
          <t>A 49193-2025</t>
        </is>
      </c>
      <c r="B689" s="1" t="n">
        <v>45938.40831018519</v>
      </c>
      <c r="C689" s="1" t="n">
        <v>46033</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42893-2022</t>
        </is>
      </c>
      <c r="B690" s="1" t="n">
        <v>44832</v>
      </c>
      <c r="C690" s="1" t="n">
        <v>46033</v>
      </c>
      <c r="D690" t="inlineStr">
        <is>
          <t>JÄMTLANDS LÄN</t>
        </is>
      </c>
      <c r="E690" t="inlineStr">
        <is>
          <t>RAGUNDA</t>
        </is>
      </c>
      <c r="F690" t="inlineStr">
        <is>
          <t>SCA</t>
        </is>
      </c>
      <c r="G690" t="n">
        <v>28.4</v>
      </c>
      <c r="H690" t="n">
        <v>0</v>
      </c>
      <c r="I690" t="n">
        <v>0</v>
      </c>
      <c r="J690" t="n">
        <v>0</v>
      </c>
      <c r="K690" t="n">
        <v>0</v>
      </c>
      <c r="L690" t="n">
        <v>0</v>
      </c>
      <c r="M690" t="n">
        <v>0</v>
      </c>
      <c r="N690" t="n">
        <v>0</v>
      </c>
      <c r="O690" t="n">
        <v>0</v>
      </c>
      <c r="P690" t="n">
        <v>0</v>
      </c>
      <c r="Q690" t="n">
        <v>0</v>
      </c>
      <c r="R690" s="2" t="inlineStr"/>
    </row>
    <row r="691" ht="15" customHeight="1">
      <c r="A691" t="inlineStr">
        <is>
          <t>A 49238-2025</t>
        </is>
      </c>
      <c r="B691" s="1" t="n">
        <v>45938.48231481481</v>
      </c>
      <c r="C691" s="1" t="n">
        <v>46033</v>
      </c>
      <c r="D691" t="inlineStr">
        <is>
          <t>JÄMTLANDS LÄN</t>
        </is>
      </c>
      <c r="E691" t="inlineStr">
        <is>
          <t>RAGUNDA</t>
        </is>
      </c>
      <c r="G691" t="n">
        <v>4.7</v>
      </c>
      <c r="H691" t="n">
        <v>0</v>
      </c>
      <c r="I691" t="n">
        <v>0</v>
      </c>
      <c r="J691" t="n">
        <v>0</v>
      </c>
      <c r="K691" t="n">
        <v>0</v>
      </c>
      <c r="L691" t="n">
        <v>0</v>
      </c>
      <c r="M691" t="n">
        <v>0</v>
      </c>
      <c r="N691" t="n">
        <v>0</v>
      </c>
      <c r="O691" t="n">
        <v>0</v>
      </c>
      <c r="P691" t="n">
        <v>0</v>
      </c>
      <c r="Q691" t="n">
        <v>0</v>
      </c>
      <c r="R691" s="2" t="inlineStr"/>
    </row>
    <row r="692" ht="15" customHeight="1">
      <c r="A692" t="inlineStr">
        <is>
          <t>A 49290-2025</t>
        </is>
      </c>
      <c r="B692" s="1" t="n">
        <v>45938.53168981482</v>
      </c>
      <c r="C692" s="1" t="n">
        <v>46033</v>
      </c>
      <c r="D692" t="inlineStr">
        <is>
          <t>JÄMTLANDS LÄN</t>
        </is>
      </c>
      <c r="E692" t="inlineStr">
        <is>
          <t>RAGUNDA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49092-2025</t>
        </is>
      </c>
      <c r="B693" s="1" t="n">
        <v>45937.67792824074</v>
      </c>
      <c r="C693" s="1" t="n">
        <v>46033</v>
      </c>
      <c r="D693" t="inlineStr">
        <is>
          <t>JÄMTLANDS LÄN</t>
        </is>
      </c>
      <c r="E693" t="inlineStr">
        <is>
          <t>RAGUNDA</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34088-2025</t>
        </is>
      </c>
      <c r="B694" s="1" t="n">
        <v>45845</v>
      </c>
      <c r="C694" s="1" t="n">
        <v>46033</v>
      </c>
      <c r="D694" t="inlineStr">
        <is>
          <t>JÄMTLANDS LÄN</t>
        </is>
      </c>
      <c r="E694" t="inlineStr">
        <is>
          <t>RAGUNDA</t>
        </is>
      </c>
      <c r="G694" t="n">
        <v>1.4</v>
      </c>
      <c r="H694" t="n">
        <v>0</v>
      </c>
      <c r="I694" t="n">
        <v>0</v>
      </c>
      <c r="J694" t="n">
        <v>0</v>
      </c>
      <c r="K694" t="n">
        <v>0</v>
      </c>
      <c r="L694" t="n">
        <v>0</v>
      </c>
      <c r="M694" t="n">
        <v>0</v>
      </c>
      <c r="N694" t="n">
        <v>0</v>
      </c>
      <c r="O694" t="n">
        <v>0</v>
      </c>
      <c r="P694" t="n">
        <v>0</v>
      </c>
      <c r="Q694" t="n">
        <v>0</v>
      </c>
      <c r="R694" s="2" t="inlineStr"/>
    </row>
    <row r="695" ht="15" customHeight="1">
      <c r="A695" t="inlineStr">
        <is>
          <t>A 50215-2025</t>
        </is>
      </c>
      <c r="B695" s="1" t="n">
        <v>45943.67842592593</v>
      </c>
      <c r="C695" s="1" t="n">
        <v>46033</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29940-2023</t>
        </is>
      </c>
      <c r="B696" s="1" t="n">
        <v>45107</v>
      </c>
      <c r="C696" s="1" t="n">
        <v>46033</v>
      </c>
      <c r="D696" t="inlineStr">
        <is>
          <t>JÄMTLANDS LÄN</t>
        </is>
      </c>
      <c r="E696" t="inlineStr">
        <is>
          <t>RAGUNDA</t>
        </is>
      </c>
      <c r="G696" t="n">
        <v>13.5</v>
      </c>
      <c r="H696" t="n">
        <v>0</v>
      </c>
      <c r="I696" t="n">
        <v>0</v>
      </c>
      <c r="J696" t="n">
        <v>0</v>
      </c>
      <c r="K696" t="n">
        <v>0</v>
      </c>
      <c r="L696" t="n">
        <v>0</v>
      </c>
      <c r="M696" t="n">
        <v>0</v>
      </c>
      <c r="N696" t="n">
        <v>0</v>
      </c>
      <c r="O696" t="n">
        <v>0</v>
      </c>
      <c r="P696" t="n">
        <v>0</v>
      </c>
      <c r="Q696" t="n">
        <v>0</v>
      </c>
      <c r="R696" s="2" t="inlineStr"/>
    </row>
    <row r="697" ht="15" customHeight="1">
      <c r="A697" t="inlineStr">
        <is>
          <t>A 49991-2025</t>
        </is>
      </c>
      <c r="B697" s="1" t="n">
        <v>45942.91568287037</v>
      </c>
      <c r="C697" s="1" t="n">
        <v>46033</v>
      </c>
      <c r="D697" t="inlineStr">
        <is>
          <t>JÄMTLANDS LÄN</t>
        </is>
      </c>
      <c r="E697" t="inlineStr">
        <is>
          <t>RAGUNDA</t>
        </is>
      </c>
      <c r="G697" t="n">
        <v>9</v>
      </c>
      <c r="H697" t="n">
        <v>0</v>
      </c>
      <c r="I697" t="n">
        <v>0</v>
      </c>
      <c r="J697" t="n">
        <v>0</v>
      </c>
      <c r="K697" t="n">
        <v>0</v>
      </c>
      <c r="L697" t="n">
        <v>0</v>
      </c>
      <c r="M697" t="n">
        <v>0</v>
      </c>
      <c r="N697" t="n">
        <v>0</v>
      </c>
      <c r="O697" t="n">
        <v>0</v>
      </c>
      <c r="P697" t="n">
        <v>0</v>
      </c>
      <c r="Q697" t="n">
        <v>0</v>
      </c>
      <c r="R697" s="2" t="inlineStr"/>
    </row>
    <row r="698" ht="15" customHeight="1">
      <c r="A698" t="inlineStr">
        <is>
          <t>A 49993-2025</t>
        </is>
      </c>
      <c r="B698" s="1" t="n">
        <v>45942.94371527778</v>
      </c>
      <c r="C698" s="1" t="n">
        <v>46033</v>
      </c>
      <c r="D698" t="inlineStr">
        <is>
          <t>JÄMTLANDS LÄN</t>
        </is>
      </c>
      <c r="E698" t="inlineStr">
        <is>
          <t>RAGUNDA</t>
        </is>
      </c>
      <c r="G698" t="n">
        <v>1.5</v>
      </c>
      <c r="H698" t="n">
        <v>0</v>
      </c>
      <c r="I698" t="n">
        <v>0</v>
      </c>
      <c r="J698" t="n">
        <v>0</v>
      </c>
      <c r="K698" t="n">
        <v>0</v>
      </c>
      <c r="L698" t="n">
        <v>0</v>
      </c>
      <c r="M698" t="n">
        <v>0</v>
      </c>
      <c r="N698" t="n">
        <v>0</v>
      </c>
      <c r="O698" t="n">
        <v>0</v>
      </c>
      <c r="P698" t="n">
        <v>0</v>
      </c>
      <c r="Q698" t="n">
        <v>0</v>
      </c>
      <c r="R698" s="2" t="inlineStr"/>
    </row>
    <row r="699" ht="15" customHeight="1">
      <c r="A699" t="inlineStr">
        <is>
          <t>A 49994-2025</t>
        </is>
      </c>
      <c r="B699" s="1" t="n">
        <v>45942.96922453704</v>
      </c>
      <c r="C699" s="1" t="n">
        <v>46033</v>
      </c>
      <c r="D699" t="inlineStr">
        <is>
          <t>JÄMTLANDS LÄN</t>
        </is>
      </c>
      <c r="E699" t="inlineStr">
        <is>
          <t>RAGUNDA</t>
        </is>
      </c>
      <c r="G699" t="n">
        <v>4.5</v>
      </c>
      <c r="H699" t="n">
        <v>0</v>
      </c>
      <c r="I699" t="n">
        <v>0</v>
      </c>
      <c r="J699" t="n">
        <v>0</v>
      </c>
      <c r="K699" t="n">
        <v>0</v>
      </c>
      <c r="L699" t="n">
        <v>0</v>
      </c>
      <c r="M699" t="n">
        <v>0</v>
      </c>
      <c r="N699" t="n">
        <v>0</v>
      </c>
      <c r="O699" t="n">
        <v>0</v>
      </c>
      <c r="P699" t="n">
        <v>0</v>
      </c>
      <c r="Q699" t="n">
        <v>0</v>
      </c>
      <c r="R699" s="2" t="inlineStr"/>
    </row>
    <row r="700" ht="15" customHeight="1">
      <c r="A700" t="inlineStr">
        <is>
          <t>A 49995-2025</t>
        </is>
      </c>
      <c r="B700" s="1" t="n">
        <v>45943.00986111111</v>
      </c>
      <c r="C700" s="1" t="n">
        <v>46033</v>
      </c>
      <c r="D700" t="inlineStr">
        <is>
          <t>JÄMTLANDS LÄN</t>
        </is>
      </c>
      <c r="E700" t="inlineStr">
        <is>
          <t>RAGUNDA</t>
        </is>
      </c>
      <c r="G700" t="n">
        <v>2.5</v>
      </c>
      <c r="H700" t="n">
        <v>0</v>
      </c>
      <c r="I700" t="n">
        <v>0</v>
      </c>
      <c r="J700" t="n">
        <v>0</v>
      </c>
      <c r="K700" t="n">
        <v>0</v>
      </c>
      <c r="L700" t="n">
        <v>0</v>
      </c>
      <c r="M700" t="n">
        <v>0</v>
      </c>
      <c r="N700" t="n">
        <v>0</v>
      </c>
      <c r="O700" t="n">
        <v>0</v>
      </c>
      <c r="P700" t="n">
        <v>0</v>
      </c>
      <c r="Q700" t="n">
        <v>0</v>
      </c>
      <c r="R700" s="2" t="inlineStr"/>
    </row>
    <row r="701" ht="15" customHeight="1">
      <c r="A701" t="inlineStr">
        <is>
          <t>A 50126-2025</t>
        </is>
      </c>
      <c r="B701" s="1" t="n">
        <v>45943.55271990741</v>
      </c>
      <c r="C701" s="1" t="n">
        <v>46033</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50098-2025</t>
        </is>
      </c>
      <c r="B702" s="1" t="n">
        <v>45943.51086805556</v>
      </c>
      <c r="C702" s="1" t="n">
        <v>46033</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50125-2025</t>
        </is>
      </c>
      <c r="B703" s="1" t="n">
        <v>45943.55262731481</v>
      </c>
      <c r="C703" s="1" t="n">
        <v>46033</v>
      </c>
      <c r="D703" t="inlineStr">
        <is>
          <t>JÄMTLANDS LÄN</t>
        </is>
      </c>
      <c r="E703" t="inlineStr">
        <is>
          <t>RAGUNDA</t>
        </is>
      </c>
      <c r="F703" t="inlineStr">
        <is>
          <t>Sveaskog</t>
        </is>
      </c>
      <c r="G703" t="n">
        <v>23.2</v>
      </c>
      <c r="H703" t="n">
        <v>0</v>
      </c>
      <c r="I703" t="n">
        <v>0</v>
      </c>
      <c r="J703" t="n">
        <v>0</v>
      </c>
      <c r="K703" t="n">
        <v>0</v>
      </c>
      <c r="L703" t="n">
        <v>0</v>
      </c>
      <c r="M703" t="n">
        <v>0</v>
      </c>
      <c r="N703" t="n">
        <v>0</v>
      </c>
      <c r="O703" t="n">
        <v>0</v>
      </c>
      <c r="P703" t="n">
        <v>0</v>
      </c>
      <c r="Q703" t="n">
        <v>0</v>
      </c>
      <c r="R703" s="2" t="inlineStr"/>
    </row>
    <row r="704" ht="15" customHeight="1">
      <c r="A704" t="inlineStr">
        <is>
          <t>A 23303-2024</t>
        </is>
      </c>
      <c r="B704" s="1" t="n">
        <v>45453.4444212963</v>
      </c>
      <c r="C704" s="1" t="n">
        <v>46033</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179-2025</t>
        </is>
      </c>
      <c r="B705" s="1" t="n">
        <v>45659.69822916666</v>
      </c>
      <c r="C705" s="1" t="n">
        <v>46033</v>
      </c>
      <c r="D705" t="inlineStr">
        <is>
          <t>JÄMTLANDS LÄN</t>
        </is>
      </c>
      <c r="E705" t="inlineStr">
        <is>
          <t>RAGUNDA</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50081-2025</t>
        </is>
      </c>
      <c r="B706" s="1" t="n">
        <v>45943.46954861111</v>
      </c>
      <c r="C706" s="1" t="n">
        <v>46033</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50055-2025</t>
        </is>
      </c>
      <c r="B707" s="1" t="n">
        <v>45943.43287037037</v>
      </c>
      <c r="C707" s="1" t="n">
        <v>46033</v>
      </c>
      <c r="D707" t="inlineStr">
        <is>
          <t>JÄMTLANDS LÄN</t>
        </is>
      </c>
      <c r="E707" t="inlineStr">
        <is>
          <t>RAGUNDA</t>
        </is>
      </c>
      <c r="G707" t="n">
        <v>17.6</v>
      </c>
      <c r="H707" t="n">
        <v>0</v>
      </c>
      <c r="I707" t="n">
        <v>0</v>
      </c>
      <c r="J707" t="n">
        <v>0</v>
      </c>
      <c r="K707" t="n">
        <v>0</v>
      </c>
      <c r="L707" t="n">
        <v>0</v>
      </c>
      <c r="M707" t="n">
        <v>0</v>
      </c>
      <c r="N707" t="n">
        <v>0</v>
      </c>
      <c r="O707" t="n">
        <v>0</v>
      </c>
      <c r="P707" t="n">
        <v>0</v>
      </c>
      <c r="Q707" t="n">
        <v>0</v>
      </c>
      <c r="R707" s="2" t="inlineStr"/>
    </row>
    <row r="708" ht="15" customHeight="1">
      <c r="A708" t="inlineStr">
        <is>
          <t>A 50080-2025</t>
        </is>
      </c>
      <c r="B708" s="1" t="n">
        <v>45943.469375</v>
      </c>
      <c r="C708" s="1" t="n">
        <v>46033</v>
      </c>
      <c r="D708" t="inlineStr">
        <is>
          <t>JÄMTLANDS LÄN</t>
        </is>
      </c>
      <c r="E708" t="inlineStr">
        <is>
          <t>RAGUNDA</t>
        </is>
      </c>
      <c r="F708" t="inlineStr">
        <is>
          <t>Naturvårdsverket</t>
        </is>
      </c>
      <c r="G708" t="n">
        <v>6.1</v>
      </c>
      <c r="H708" t="n">
        <v>0</v>
      </c>
      <c r="I708" t="n">
        <v>0</v>
      </c>
      <c r="J708" t="n">
        <v>0</v>
      </c>
      <c r="K708" t="n">
        <v>0</v>
      </c>
      <c r="L708" t="n">
        <v>0</v>
      </c>
      <c r="M708" t="n">
        <v>0</v>
      </c>
      <c r="N708" t="n">
        <v>0</v>
      </c>
      <c r="O708" t="n">
        <v>0</v>
      </c>
      <c r="P708" t="n">
        <v>0</v>
      </c>
      <c r="Q708" t="n">
        <v>0</v>
      </c>
      <c r="R708" s="2" t="inlineStr"/>
    </row>
    <row r="709" ht="15" customHeight="1">
      <c r="A709" t="inlineStr">
        <is>
          <t>A 22412-2024</t>
        </is>
      </c>
      <c r="B709" s="1" t="n">
        <v>45446.68947916666</v>
      </c>
      <c r="C709" s="1" t="n">
        <v>46033</v>
      </c>
      <c r="D709" t="inlineStr">
        <is>
          <t>JÄMTLANDS LÄN</t>
        </is>
      </c>
      <c r="E709" t="inlineStr">
        <is>
          <t>RAGUNDA</t>
        </is>
      </c>
      <c r="G709" t="n">
        <v>0.8</v>
      </c>
      <c r="H709" t="n">
        <v>0</v>
      </c>
      <c r="I709" t="n">
        <v>0</v>
      </c>
      <c r="J709" t="n">
        <v>0</v>
      </c>
      <c r="K709" t="n">
        <v>0</v>
      </c>
      <c r="L709" t="n">
        <v>0</v>
      </c>
      <c r="M709" t="n">
        <v>0</v>
      </c>
      <c r="N709" t="n">
        <v>0</v>
      </c>
      <c r="O709" t="n">
        <v>0</v>
      </c>
      <c r="P709" t="n">
        <v>0</v>
      </c>
      <c r="Q709" t="n">
        <v>0</v>
      </c>
      <c r="R709" s="2" t="inlineStr"/>
    </row>
    <row r="710" ht="15" customHeight="1">
      <c r="A710" t="inlineStr">
        <is>
          <t>A 33790-2025</t>
        </is>
      </c>
      <c r="B710" s="1" t="n">
        <v>45842.42608796297</v>
      </c>
      <c r="C710" s="1" t="n">
        <v>46033</v>
      </c>
      <c r="D710" t="inlineStr">
        <is>
          <t>JÄMTLANDS LÄN</t>
        </is>
      </c>
      <c r="E710" t="inlineStr">
        <is>
          <t>RAGUNDA</t>
        </is>
      </c>
      <c r="G710" t="n">
        <v>0.3</v>
      </c>
      <c r="H710" t="n">
        <v>0</v>
      </c>
      <c r="I710" t="n">
        <v>0</v>
      </c>
      <c r="J710" t="n">
        <v>0</v>
      </c>
      <c r="K710" t="n">
        <v>0</v>
      </c>
      <c r="L710" t="n">
        <v>0</v>
      </c>
      <c r="M710" t="n">
        <v>0</v>
      </c>
      <c r="N710" t="n">
        <v>0</v>
      </c>
      <c r="O710" t="n">
        <v>0</v>
      </c>
      <c r="P710" t="n">
        <v>0</v>
      </c>
      <c r="Q710" t="n">
        <v>0</v>
      </c>
      <c r="R710" s="2" t="inlineStr"/>
    </row>
    <row r="711" ht="15" customHeight="1">
      <c r="A711" t="inlineStr">
        <is>
          <t>A 50260-2025</t>
        </is>
      </c>
      <c r="B711" s="1" t="n">
        <v>45944.34515046296</v>
      </c>
      <c r="C711" s="1" t="n">
        <v>46033</v>
      </c>
      <c r="D711" t="inlineStr">
        <is>
          <t>JÄMTLANDS LÄN</t>
        </is>
      </c>
      <c r="E711" t="inlineStr">
        <is>
          <t>RAGUNDA</t>
        </is>
      </c>
      <c r="F711" t="inlineStr">
        <is>
          <t>SCA</t>
        </is>
      </c>
      <c r="G711" t="n">
        <v>7.9</v>
      </c>
      <c r="H711" t="n">
        <v>0</v>
      </c>
      <c r="I711" t="n">
        <v>0</v>
      </c>
      <c r="J711" t="n">
        <v>0</v>
      </c>
      <c r="K711" t="n">
        <v>0</v>
      </c>
      <c r="L711" t="n">
        <v>0</v>
      </c>
      <c r="M711" t="n">
        <v>0</v>
      </c>
      <c r="N711" t="n">
        <v>0</v>
      </c>
      <c r="O711" t="n">
        <v>0</v>
      </c>
      <c r="P711" t="n">
        <v>0</v>
      </c>
      <c r="Q711" t="n">
        <v>0</v>
      </c>
      <c r="R711" s="2" t="inlineStr"/>
    </row>
    <row r="712" ht="15" customHeight="1">
      <c r="A712" t="inlineStr">
        <is>
          <t>A 13334-2024</t>
        </is>
      </c>
      <c r="B712" s="1" t="n">
        <v>45386</v>
      </c>
      <c r="C712" s="1" t="n">
        <v>46033</v>
      </c>
      <c r="D712" t="inlineStr">
        <is>
          <t>JÄMTLANDS LÄN</t>
        </is>
      </c>
      <c r="E712" t="inlineStr">
        <is>
          <t>RAGUNDA</t>
        </is>
      </c>
      <c r="G712" t="n">
        <v>8.6</v>
      </c>
      <c r="H712" t="n">
        <v>0</v>
      </c>
      <c r="I712" t="n">
        <v>0</v>
      </c>
      <c r="J712" t="n">
        <v>0</v>
      </c>
      <c r="K712" t="n">
        <v>0</v>
      </c>
      <c r="L712" t="n">
        <v>0</v>
      </c>
      <c r="M712" t="n">
        <v>0</v>
      </c>
      <c r="N712" t="n">
        <v>0</v>
      </c>
      <c r="O712" t="n">
        <v>0</v>
      </c>
      <c r="P712" t="n">
        <v>0</v>
      </c>
      <c r="Q712" t="n">
        <v>0</v>
      </c>
      <c r="R712" s="2" t="inlineStr"/>
    </row>
    <row r="713" ht="15" customHeight="1">
      <c r="A713" t="inlineStr">
        <is>
          <t>A 60443-2023</t>
        </is>
      </c>
      <c r="B713" s="1" t="n">
        <v>45258</v>
      </c>
      <c r="C713" s="1" t="n">
        <v>46033</v>
      </c>
      <c r="D713" t="inlineStr">
        <is>
          <t>JÄMTLANDS LÄN</t>
        </is>
      </c>
      <c r="E713" t="inlineStr">
        <is>
          <t>RAGUNDA</t>
        </is>
      </c>
      <c r="G713" t="n">
        <v>2.9</v>
      </c>
      <c r="H713" t="n">
        <v>0</v>
      </c>
      <c r="I713" t="n">
        <v>0</v>
      </c>
      <c r="J713" t="n">
        <v>0</v>
      </c>
      <c r="K713" t="n">
        <v>0</v>
      </c>
      <c r="L713" t="n">
        <v>0</v>
      </c>
      <c r="M713" t="n">
        <v>0</v>
      </c>
      <c r="N713" t="n">
        <v>0</v>
      </c>
      <c r="O713" t="n">
        <v>0</v>
      </c>
      <c r="P713" t="n">
        <v>0</v>
      </c>
      <c r="Q713" t="n">
        <v>0</v>
      </c>
      <c r="R713" s="2" t="inlineStr"/>
    </row>
    <row r="714" ht="15" customHeight="1">
      <c r="A714" t="inlineStr">
        <is>
          <t>A 50473-2025</t>
        </is>
      </c>
      <c r="B714" s="1" t="n">
        <v>45945.36520833334</v>
      </c>
      <c r="C714" s="1" t="n">
        <v>46033</v>
      </c>
      <c r="D714" t="inlineStr">
        <is>
          <t>JÄMTLANDS LÄN</t>
        </is>
      </c>
      <c r="E714" t="inlineStr">
        <is>
          <t>RAGUNDA</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34607-2025</t>
        </is>
      </c>
      <c r="B715" s="1" t="n">
        <v>45847.65703703704</v>
      </c>
      <c r="C715" s="1" t="n">
        <v>46033</v>
      </c>
      <c r="D715" t="inlineStr">
        <is>
          <t>JÄMTLANDS LÄN</t>
        </is>
      </c>
      <c r="E715" t="inlineStr">
        <is>
          <t>RAGUNDA</t>
        </is>
      </c>
      <c r="F715" t="inlineStr">
        <is>
          <t>SCA</t>
        </is>
      </c>
      <c r="G715" t="n">
        <v>31.4</v>
      </c>
      <c r="H715" t="n">
        <v>0</v>
      </c>
      <c r="I715" t="n">
        <v>0</v>
      </c>
      <c r="J715" t="n">
        <v>0</v>
      </c>
      <c r="K715" t="n">
        <v>0</v>
      </c>
      <c r="L715" t="n">
        <v>0</v>
      </c>
      <c r="M715" t="n">
        <v>0</v>
      </c>
      <c r="N715" t="n">
        <v>0</v>
      </c>
      <c r="O715" t="n">
        <v>0</v>
      </c>
      <c r="P715" t="n">
        <v>0</v>
      </c>
      <c r="Q715" t="n">
        <v>0</v>
      </c>
      <c r="R715" s="2" t="inlineStr"/>
    </row>
    <row r="716" ht="15" customHeight="1">
      <c r="A716" t="inlineStr">
        <is>
          <t>A 21726-2023</t>
        </is>
      </c>
      <c r="B716" s="1" t="n">
        <v>45065.42894675926</v>
      </c>
      <c r="C716" s="1" t="n">
        <v>46033</v>
      </c>
      <c r="D716" t="inlineStr">
        <is>
          <t>JÄMTLANDS LÄN</t>
        </is>
      </c>
      <c r="E716" t="inlineStr">
        <is>
          <t>RAGUNDA</t>
        </is>
      </c>
      <c r="G716" t="n">
        <v>0.4</v>
      </c>
      <c r="H716" t="n">
        <v>0</v>
      </c>
      <c r="I716" t="n">
        <v>0</v>
      </c>
      <c r="J716" t="n">
        <v>0</v>
      </c>
      <c r="K716" t="n">
        <v>0</v>
      </c>
      <c r="L716" t="n">
        <v>0</v>
      </c>
      <c r="M716" t="n">
        <v>0</v>
      </c>
      <c r="N716" t="n">
        <v>0</v>
      </c>
      <c r="O716" t="n">
        <v>0</v>
      </c>
      <c r="P716" t="n">
        <v>0</v>
      </c>
      <c r="Q716" t="n">
        <v>0</v>
      </c>
      <c r="R716" s="2" t="inlineStr"/>
    </row>
    <row r="717" ht="15" customHeight="1">
      <c r="A717" t="inlineStr">
        <is>
          <t>A 34461-2025</t>
        </is>
      </c>
      <c r="B717" s="1" t="n">
        <v>45847.34474537037</v>
      </c>
      <c r="C717" s="1" t="n">
        <v>46033</v>
      </c>
      <c r="D717" t="inlineStr">
        <is>
          <t>JÄMTLANDS LÄN</t>
        </is>
      </c>
      <c r="E717" t="inlineStr">
        <is>
          <t>RAGUNDA</t>
        </is>
      </c>
      <c r="F717" t="inlineStr">
        <is>
          <t>SCA</t>
        </is>
      </c>
      <c r="G717" t="n">
        <v>44.8</v>
      </c>
      <c r="H717" t="n">
        <v>0</v>
      </c>
      <c r="I717" t="n">
        <v>0</v>
      </c>
      <c r="J717" t="n">
        <v>0</v>
      </c>
      <c r="K717" t="n">
        <v>0</v>
      </c>
      <c r="L717" t="n">
        <v>0</v>
      </c>
      <c r="M717" t="n">
        <v>0</v>
      </c>
      <c r="N717" t="n">
        <v>0</v>
      </c>
      <c r="O717" t="n">
        <v>0</v>
      </c>
      <c r="P717" t="n">
        <v>0</v>
      </c>
      <c r="Q717" t="n">
        <v>0</v>
      </c>
      <c r="R717" s="2" t="inlineStr"/>
    </row>
    <row r="718" ht="15" customHeight="1">
      <c r="A718" t="inlineStr">
        <is>
          <t>A 34464-2025</t>
        </is>
      </c>
      <c r="B718" s="1" t="n">
        <v>45847.34528935186</v>
      </c>
      <c r="C718" s="1" t="n">
        <v>46033</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50504-2025</t>
        </is>
      </c>
      <c r="B719" s="1" t="n">
        <v>45945.4284837963</v>
      </c>
      <c r="C719" s="1" t="n">
        <v>46033</v>
      </c>
      <c r="D719" t="inlineStr">
        <is>
          <t>JÄMTLANDS LÄN</t>
        </is>
      </c>
      <c r="E719" t="inlineStr">
        <is>
          <t>RAGUNDA</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34468-2025</t>
        </is>
      </c>
      <c r="B720" s="1" t="n">
        <v>45847.34597222223</v>
      </c>
      <c r="C720" s="1" t="n">
        <v>46033</v>
      </c>
      <c r="D720" t="inlineStr">
        <is>
          <t>JÄMTLANDS LÄN</t>
        </is>
      </c>
      <c r="E720" t="inlineStr">
        <is>
          <t>RAGUNDA</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34466-2025</t>
        </is>
      </c>
      <c r="B721" s="1" t="n">
        <v>45847.34565972222</v>
      </c>
      <c r="C721" s="1" t="n">
        <v>46033</v>
      </c>
      <c r="D721" t="inlineStr">
        <is>
          <t>JÄMTLANDS LÄN</t>
        </is>
      </c>
      <c r="E721" t="inlineStr">
        <is>
          <t>RAGUNDA</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34463-2025</t>
        </is>
      </c>
      <c r="B722" s="1" t="n">
        <v>45847.34515046296</v>
      </c>
      <c r="C722" s="1" t="n">
        <v>46033</v>
      </c>
      <c r="D722" t="inlineStr">
        <is>
          <t>JÄMTLANDS LÄN</t>
        </is>
      </c>
      <c r="E722" t="inlineStr">
        <is>
          <t>RAGUNDA</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45952-2023</t>
        </is>
      </c>
      <c r="B723" s="1" t="n">
        <v>45195</v>
      </c>
      <c r="C723" s="1" t="n">
        <v>46033</v>
      </c>
      <c r="D723" t="inlineStr">
        <is>
          <t>JÄMTLANDS LÄN</t>
        </is>
      </c>
      <c r="E723" t="inlineStr">
        <is>
          <t>RAGUNDA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45954-2023</t>
        </is>
      </c>
      <c r="B724" s="1" t="n">
        <v>45195.94679398148</v>
      </c>
      <c r="C724" s="1" t="n">
        <v>46033</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45955-2023</t>
        </is>
      </c>
      <c r="B725" s="1" t="n">
        <v>45195.94685185186</v>
      </c>
      <c r="C725" s="1" t="n">
        <v>46033</v>
      </c>
      <c r="D725" t="inlineStr">
        <is>
          <t>JÄMTLANDS LÄN</t>
        </is>
      </c>
      <c r="E725" t="inlineStr">
        <is>
          <t>RAGUNDA</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50503-2025</t>
        </is>
      </c>
      <c r="B726" s="1" t="n">
        <v>45945.42746527777</v>
      </c>
      <c r="C726" s="1" t="n">
        <v>46033</v>
      </c>
      <c r="D726" t="inlineStr">
        <is>
          <t>JÄMTLANDS LÄN</t>
        </is>
      </c>
      <c r="E726" t="inlineStr">
        <is>
          <t>RAGUNDA</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33650-2025</t>
        </is>
      </c>
      <c r="B727" s="1" t="n">
        <v>45841</v>
      </c>
      <c r="C727" s="1" t="n">
        <v>46033</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52394-2025</t>
        </is>
      </c>
      <c r="B728" s="1" t="n">
        <v>45954.34466435185</v>
      </c>
      <c r="C728" s="1" t="n">
        <v>46033</v>
      </c>
      <c r="D728" t="inlineStr">
        <is>
          <t>JÄMTLANDS LÄN</t>
        </is>
      </c>
      <c r="E728" t="inlineStr">
        <is>
          <t>RAGUNDA</t>
        </is>
      </c>
      <c r="F728" t="inlineStr">
        <is>
          <t>SCA</t>
        </is>
      </c>
      <c r="G728" t="n">
        <v>53.8</v>
      </c>
      <c r="H728" t="n">
        <v>0</v>
      </c>
      <c r="I728" t="n">
        <v>0</v>
      </c>
      <c r="J728" t="n">
        <v>0</v>
      </c>
      <c r="K728" t="n">
        <v>0</v>
      </c>
      <c r="L728" t="n">
        <v>0</v>
      </c>
      <c r="M728" t="n">
        <v>0</v>
      </c>
      <c r="N728" t="n">
        <v>0</v>
      </c>
      <c r="O728" t="n">
        <v>0</v>
      </c>
      <c r="P728" t="n">
        <v>0</v>
      </c>
      <c r="Q728" t="n">
        <v>0</v>
      </c>
      <c r="R728" s="2" t="inlineStr"/>
    </row>
    <row r="729" ht="15" customHeight="1">
      <c r="A729" t="inlineStr">
        <is>
          <t>A 60456-2023</t>
        </is>
      </c>
      <c r="B729" s="1" t="n">
        <v>45258</v>
      </c>
      <c r="C729" s="1" t="n">
        <v>46033</v>
      </c>
      <c r="D729" t="inlineStr">
        <is>
          <t>JÄMTLANDS LÄN</t>
        </is>
      </c>
      <c r="E729" t="inlineStr">
        <is>
          <t>RAGUNDA</t>
        </is>
      </c>
      <c r="G729" t="n">
        <v>1.8</v>
      </c>
      <c r="H729" t="n">
        <v>0</v>
      </c>
      <c r="I729" t="n">
        <v>0</v>
      </c>
      <c r="J729" t="n">
        <v>0</v>
      </c>
      <c r="K729" t="n">
        <v>0</v>
      </c>
      <c r="L729" t="n">
        <v>0</v>
      </c>
      <c r="M729" t="n">
        <v>0</v>
      </c>
      <c r="N729" t="n">
        <v>0</v>
      </c>
      <c r="O729" t="n">
        <v>0</v>
      </c>
      <c r="P729" t="n">
        <v>0</v>
      </c>
      <c r="Q729" t="n">
        <v>0</v>
      </c>
      <c r="R729" s="2" t="inlineStr"/>
    </row>
    <row r="730" ht="15" customHeight="1">
      <c r="A730" t="inlineStr">
        <is>
          <t>A 16334-2025</t>
        </is>
      </c>
      <c r="B730" s="1" t="n">
        <v>45751.36490740741</v>
      </c>
      <c r="C730" s="1" t="n">
        <v>46033</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52395-2025</t>
        </is>
      </c>
      <c r="B731" s="1" t="n">
        <v>45954.34487268519</v>
      </c>
      <c r="C731" s="1" t="n">
        <v>46033</v>
      </c>
      <c r="D731" t="inlineStr">
        <is>
          <t>JÄMTLANDS LÄN</t>
        </is>
      </c>
      <c r="E731" t="inlineStr">
        <is>
          <t>RAGUNDA</t>
        </is>
      </c>
      <c r="F731" t="inlineStr">
        <is>
          <t>SCA</t>
        </is>
      </c>
      <c r="G731" t="n">
        <v>14.2</v>
      </c>
      <c r="H731" t="n">
        <v>0</v>
      </c>
      <c r="I731" t="n">
        <v>0</v>
      </c>
      <c r="J731" t="n">
        <v>0</v>
      </c>
      <c r="K731" t="n">
        <v>0</v>
      </c>
      <c r="L731" t="n">
        <v>0</v>
      </c>
      <c r="M731" t="n">
        <v>0</v>
      </c>
      <c r="N731" t="n">
        <v>0</v>
      </c>
      <c r="O731" t="n">
        <v>0</v>
      </c>
      <c r="P731" t="n">
        <v>0</v>
      </c>
      <c r="Q731" t="n">
        <v>0</v>
      </c>
      <c r="R731" s="2" t="inlineStr"/>
    </row>
    <row r="732" ht="15" customHeight="1">
      <c r="A732" t="inlineStr">
        <is>
          <t>A 34586-2025</t>
        </is>
      </c>
      <c r="B732" s="1" t="n">
        <v>45847.61513888889</v>
      </c>
      <c r="C732" s="1" t="n">
        <v>46033</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60630-2025</t>
        </is>
      </c>
      <c r="B733" s="1" t="n">
        <v>45996.42120370371</v>
      </c>
      <c r="C733" s="1" t="n">
        <v>46033</v>
      </c>
      <c r="D733" t="inlineStr">
        <is>
          <t>JÄMTLANDS LÄN</t>
        </is>
      </c>
      <c r="E733" t="inlineStr">
        <is>
          <t>RAGUNDA</t>
        </is>
      </c>
      <c r="G733" t="n">
        <v>13.2</v>
      </c>
      <c r="H733" t="n">
        <v>0</v>
      </c>
      <c r="I733" t="n">
        <v>0</v>
      </c>
      <c r="J733" t="n">
        <v>0</v>
      </c>
      <c r="K733" t="n">
        <v>0</v>
      </c>
      <c r="L733" t="n">
        <v>0</v>
      </c>
      <c r="M733" t="n">
        <v>0</v>
      </c>
      <c r="N733" t="n">
        <v>0</v>
      </c>
      <c r="O733" t="n">
        <v>0</v>
      </c>
      <c r="P733" t="n">
        <v>0</v>
      </c>
      <c r="Q733" t="n">
        <v>0</v>
      </c>
      <c r="R733" s="2" t="inlineStr"/>
    </row>
    <row r="734" ht="15" customHeight="1">
      <c r="A734" t="inlineStr">
        <is>
          <t>A 34588-2025</t>
        </is>
      </c>
      <c r="B734" s="1" t="n">
        <v>45847.61548611111</v>
      </c>
      <c r="C734" s="1" t="n">
        <v>46033</v>
      </c>
      <c r="D734" t="inlineStr">
        <is>
          <t>JÄMTLANDS LÄN</t>
        </is>
      </c>
      <c r="E734" t="inlineStr">
        <is>
          <t>RAGUNDA</t>
        </is>
      </c>
      <c r="G734" t="n">
        <v>32.3</v>
      </c>
      <c r="H734" t="n">
        <v>0</v>
      </c>
      <c r="I734" t="n">
        <v>0</v>
      </c>
      <c r="J734" t="n">
        <v>0</v>
      </c>
      <c r="K734" t="n">
        <v>0</v>
      </c>
      <c r="L734" t="n">
        <v>0</v>
      </c>
      <c r="M734" t="n">
        <v>0</v>
      </c>
      <c r="N734" t="n">
        <v>0</v>
      </c>
      <c r="O734" t="n">
        <v>0</v>
      </c>
      <c r="P734" t="n">
        <v>0</v>
      </c>
      <c r="Q734" t="n">
        <v>0</v>
      </c>
      <c r="R734" s="2" t="inlineStr"/>
    </row>
    <row r="735" ht="15" customHeight="1">
      <c r="A735" t="inlineStr">
        <is>
          <t>A 34296-2025</t>
        </is>
      </c>
      <c r="B735" s="1" t="n">
        <v>45846.34454861111</v>
      </c>
      <c r="C735" s="1" t="n">
        <v>46033</v>
      </c>
      <c r="D735" t="inlineStr">
        <is>
          <t>JÄMTLANDS LÄN</t>
        </is>
      </c>
      <c r="E735" t="inlineStr">
        <is>
          <t>RAGUNDA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58438-2022</t>
        </is>
      </c>
      <c r="B736" s="1" t="n">
        <v>44901</v>
      </c>
      <c r="C736" s="1" t="n">
        <v>46033</v>
      </c>
      <c r="D736" t="inlineStr">
        <is>
          <t>JÄMTLANDS LÄN</t>
        </is>
      </c>
      <c r="E736" t="inlineStr">
        <is>
          <t>RAGUNDA</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58442-2022</t>
        </is>
      </c>
      <c r="B737" s="1" t="n">
        <v>44901</v>
      </c>
      <c r="C737" s="1" t="n">
        <v>46033</v>
      </c>
      <c r="D737" t="inlineStr">
        <is>
          <t>JÄMTLANDS LÄN</t>
        </is>
      </c>
      <c r="E737" t="inlineStr">
        <is>
          <t>RAGUNDA</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5806-2025</t>
        </is>
      </c>
      <c r="B738" s="1" t="n">
        <v>45694.69826388889</v>
      </c>
      <c r="C738" s="1" t="n">
        <v>46033</v>
      </c>
      <c r="D738" t="inlineStr">
        <is>
          <t>JÄMTLANDS LÄN</t>
        </is>
      </c>
      <c r="E738" t="inlineStr">
        <is>
          <t>RAGUNDA</t>
        </is>
      </c>
      <c r="F738" t="inlineStr">
        <is>
          <t>SCA</t>
        </is>
      </c>
      <c r="G738" t="n">
        <v>5.8</v>
      </c>
      <c r="H738" t="n">
        <v>0</v>
      </c>
      <c r="I738" t="n">
        <v>0</v>
      </c>
      <c r="J738" t="n">
        <v>0</v>
      </c>
      <c r="K738" t="n">
        <v>0</v>
      </c>
      <c r="L738" t="n">
        <v>0</v>
      </c>
      <c r="M738" t="n">
        <v>0</v>
      </c>
      <c r="N738" t="n">
        <v>0</v>
      </c>
      <c r="O738" t="n">
        <v>0</v>
      </c>
      <c r="P738" t="n">
        <v>0</v>
      </c>
      <c r="Q738" t="n">
        <v>0</v>
      </c>
      <c r="R738" s="2" t="inlineStr"/>
    </row>
    <row r="739" ht="15" customHeight="1">
      <c r="A739" t="inlineStr">
        <is>
          <t>A 34709-2025</t>
        </is>
      </c>
      <c r="B739" s="1" t="n">
        <v>45848.49761574074</v>
      </c>
      <c r="C739" s="1" t="n">
        <v>46033</v>
      </c>
      <c r="D739" t="inlineStr">
        <is>
          <t>JÄMTLANDS LÄN</t>
        </is>
      </c>
      <c r="E739" t="inlineStr">
        <is>
          <t>RAGUNDA</t>
        </is>
      </c>
      <c r="G739" t="n">
        <v>3.1</v>
      </c>
      <c r="H739" t="n">
        <v>0</v>
      </c>
      <c r="I739" t="n">
        <v>0</v>
      </c>
      <c r="J739" t="n">
        <v>0</v>
      </c>
      <c r="K739" t="n">
        <v>0</v>
      </c>
      <c r="L739" t="n">
        <v>0</v>
      </c>
      <c r="M739" t="n">
        <v>0</v>
      </c>
      <c r="N739" t="n">
        <v>0</v>
      </c>
      <c r="O739" t="n">
        <v>0</v>
      </c>
      <c r="P739" t="n">
        <v>0</v>
      </c>
      <c r="Q739" t="n">
        <v>0</v>
      </c>
      <c r="R739" s="2" t="inlineStr"/>
    </row>
    <row r="740" ht="15" customHeight="1">
      <c r="A740" t="inlineStr">
        <is>
          <t>A 34772-2025</t>
        </is>
      </c>
      <c r="B740" s="1" t="n">
        <v>45848.65658564815</v>
      </c>
      <c r="C740" s="1" t="n">
        <v>46033</v>
      </c>
      <c r="D740" t="inlineStr">
        <is>
          <t>JÄMTLANDS LÄN</t>
        </is>
      </c>
      <c r="E740" t="inlineStr">
        <is>
          <t>RAGUNDA</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41179-2022</t>
        </is>
      </c>
      <c r="B741" s="1" t="n">
        <v>44825</v>
      </c>
      <c r="C741" s="1" t="n">
        <v>46033</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53211-2025</t>
        </is>
      </c>
      <c r="B742" s="1" t="n">
        <v>45958.59490740741</v>
      </c>
      <c r="C742" s="1" t="n">
        <v>46033</v>
      </c>
      <c r="D742" t="inlineStr">
        <is>
          <t>JÄMTLANDS LÄN</t>
        </is>
      </c>
      <c r="E742" t="inlineStr">
        <is>
          <t>RAGUNDA</t>
        </is>
      </c>
      <c r="F742" t="inlineStr">
        <is>
          <t>SCA</t>
        </is>
      </c>
      <c r="G742" t="n">
        <v>7.4</v>
      </c>
      <c r="H742" t="n">
        <v>0</v>
      </c>
      <c r="I742" t="n">
        <v>0</v>
      </c>
      <c r="J742" t="n">
        <v>0</v>
      </c>
      <c r="K742" t="n">
        <v>0</v>
      </c>
      <c r="L742" t="n">
        <v>0</v>
      </c>
      <c r="M742" t="n">
        <v>0</v>
      </c>
      <c r="N742" t="n">
        <v>0</v>
      </c>
      <c r="O742" t="n">
        <v>0</v>
      </c>
      <c r="P742" t="n">
        <v>0</v>
      </c>
      <c r="Q742" t="n">
        <v>0</v>
      </c>
      <c r="R742" s="2" t="inlineStr"/>
    </row>
    <row r="743" ht="15" customHeight="1">
      <c r="A743" t="inlineStr">
        <is>
          <t>A 53032-2025</t>
        </is>
      </c>
      <c r="B743" s="1" t="n">
        <v>45958.34462962963</v>
      </c>
      <c r="C743" s="1" t="n">
        <v>46033</v>
      </c>
      <c r="D743" t="inlineStr">
        <is>
          <t>JÄMTLANDS LÄN</t>
        </is>
      </c>
      <c r="E743" t="inlineStr">
        <is>
          <t>RAGUNDA</t>
        </is>
      </c>
      <c r="G743" t="n">
        <v>2.6</v>
      </c>
      <c r="H743" t="n">
        <v>0</v>
      </c>
      <c r="I743" t="n">
        <v>0</v>
      </c>
      <c r="J743" t="n">
        <v>0</v>
      </c>
      <c r="K743" t="n">
        <v>0</v>
      </c>
      <c r="L743" t="n">
        <v>0</v>
      </c>
      <c r="M743" t="n">
        <v>0</v>
      </c>
      <c r="N743" t="n">
        <v>0</v>
      </c>
      <c r="O743" t="n">
        <v>0</v>
      </c>
      <c r="P743" t="n">
        <v>0</v>
      </c>
      <c r="Q743" t="n">
        <v>0</v>
      </c>
      <c r="R743" s="2" t="inlineStr"/>
    </row>
    <row r="744" ht="15" customHeight="1">
      <c r="A744" t="inlineStr">
        <is>
          <t>A 34710-2025</t>
        </is>
      </c>
      <c r="B744" s="1" t="n">
        <v>45848.49774305556</v>
      </c>
      <c r="C744" s="1" t="n">
        <v>46033</v>
      </c>
      <c r="D744" t="inlineStr">
        <is>
          <t>JÄMTLANDS LÄN</t>
        </is>
      </c>
      <c r="E744" t="inlineStr">
        <is>
          <t>RAGUNDA</t>
        </is>
      </c>
      <c r="G744" t="n">
        <v>4.1</v>
      </c>
      <c r="H744" t="n">
        <v>0</v>
      </c>
      <c r="I744" t="n">
        <v>0</v>
      </c>
      <c r="J744" t="n">
        <v>0</v>
      </c>
      <c r="K744" t="n">
        <v>0</v>
      </c>
      <c r="L744" t="n">
        <v>0</v>
      </c>
      <c r="M744" t="n">
        <v>0</v>
      </c>
      <c r="N744" t="n">
        <v>0</v>
      </c>
      <c r="O744" t="n">
        <v>0</v>
      </c>
      <c r="P744" t="n">
        <v>0</v>
      </c>
      <c r="Q744" t="n">
        <v>0</v>
      </c>
      <c r="R744" s="2" t="inlineStr"/>
    </row>
    <row r="745" ht="15" customHeight="1">
      <c r="A745" t="inlineStr">
        <is>
          <t>A 61509-2025</t>
        </is>
      </c>
      <c r="B745" s="1" t="n">
        <v>46001.68189814815</v>
      </c>
      <c r="C745" s="1" t="n">
        <v>46033</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34968-2025</t>
        </is>
      </c>
      <c r="B746" s="1" t="n">
        <v>45849.65663194445</v>
      </c>
      <c r="C746" s="1" t="n">
        <v>46033</v>
      </c>
      <c r="D746" t="inlineStr">
        <is>
          <t>JÄMTLANDS LÄN</t>
        </is>
      </c>
      <c r="E746" t="inlineStr">
        <is>
          <t>RAGUNDA</t>
        </is>
      </c>
      <c r="F746" t="inlineStr">
        <is>
          <t>SCA</t>
        </is>
      </c>
      <c r="G746" t="n">
        <v>20.2</v>
      </c>
      <c r="H746" t="n">
        <v>0</v>
      </c>
      <c r="I746" t="n">
        <v>0</v>
      </c>
      <c r="J746" t="n">
        <v>0</v>
      </c>
      <c r="K746" t="n">
        <v>0</v>
      </c>
      <c r="L746" t="n">
        <v>0</v>
      </c>
      <c r="M746" t="n">
        <v>0</v>
      </c>
      <c r="N746" t="n">
        <v>0</v>
      </c>
      <c r="O746" t="n">
        <v>0</v>
      </c>
      <c r="P746" t="n">
        <v>0</v>
      </c>
      <c r="Q746" t="n">
        <v>0</v>
      </c>
      <c r="R746" s="2" t="inlineStr"/>
    </row>
    <row r="747" ht="15" customHeight="1">
      <c r="A747" t="inlineStr">
        <is>
          <t>A 34998-2025</t>
        </is>
      </c>
      <c r="B747" s="1" t="n">
        <v>45850.34434027778</v>
      </c>
      <c r="C747" s="1" t="n">
        <v>46033</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34999-2025</t>
        </is>
      </c>
      <c r="B748" s="1" t="n">
        <v>45850.34450231482</v>
      </c>
      <c r="C748" s="1" t="n">
        <v>46033</v>
      </c>
      <c r="D748" t="inlineStr">
        <is>
          <t>JÄMTLANDS LÄN</t>
        </is>
      </c>
      <c r="E748" t="inlineStr">
        <is>
          <t>RAGUNDA</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61598-2024</t>
        </is>
      </c>
      <c r="B749" s="1" t="n">
        <v>45646.63605324074</v>
      </c>
      <c r="C749" s="1" t="n">
        <v>46033</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17667-2025</t>
        </is>
      </c>
      <c r="B750" s="1" t="n">
        <v>45758.36487268518</v>
      </c>
      <c r="C750" s="1" t="n">
        <v>46033</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53075-2025</t>
        </is>
      </c>
      <c r="B751" s="1" t="n">
        <v>45958.38584490741</v>
      </c>
      <c r="C751" s="1" t="n">
        <v>46033</v>
      </c>
      <c r="D751" t="inlineStr">
        <is>
          <t>JÄMTLANDS LÄN</t>
        </is>
      </c>
      <c r="E751" t="inlineStr">
        <is>
          <t>RAGUNDA</t>
        </is>
      </c>
      <c r="F751" t="inlineStr">
        <is>
          <t>SCA</t>
        </is>
      </c>
      <c r="G751" t="n">
        <v>28.9</v>
      </c>
      <c r="H751" t="n">
        <v>0</v>
      </c>
      <c r="I751" t="n">
        <v>0</v>
      </c>
      <c r="J751" t="n">
        <v>0</v>
      </c>
      <c r="K751" t="n">
        <v>0</v>
      </c>
      <c r="L751" t="n">
        <v>0</v>
      </c>
      <c r="M751" t="n">
        <v>0</v>
      </c>
      <c r="N751" t="n">
        <v>0</v>
      </c>
      <c r="O751" t="n">
        <v>0</v>
      </c>
      <c r="P751" t="n">
        <v>0</v>
      </c>
      <c r="Q751" t="n">
        <v>0</v>
      </c>
      <c r="R751" s="2" t="inlineStr"/>
    </row>
    <row r="752" ht="15" customHeight="1">
      <c r="A752" t="inlineStr">
        <is>
          <t>A 35092-2025</t>
        </is>
      </c>
      <c r="B752" s="1" t="n">
        <v>45852.53185185185</v>
      </c>
      <c r="C752" s="1" t="n">
        <v>46033</v>
      </c>
      <c r="D752" t="inlineStr">
        <is>
          <t>JÄMTLANDS LÄN</t>
        </is>
      </c>
      <c r="E752" t="inlineStr">
        <is>
          <t>RAGUNDA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35091-2025</t>
        </is>
      </c>
      <c r="B753" s="1" t="n">
        <v>45852.53168981482</v>
      </c>
      <c r="C753" s="1" t="n">
        <v>46033</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12405-2025</t>
        </is>
      </c>
      <c r="B754" s="1" t="n">
        <v>45730.42738425926</v>
      </c>
      <c r="C754" s="1" t="n">
        <v>46033</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36986-2023</t>
        </is>
      </c>
      <c r="B755" s="1" t="n">
        <v>45154.95525462963</v>
      </c>
      <c r="C755" s="1" t="n">
        <v>46033</v>
      </c>
      <c r="D755" t="inlineStr">
        <is>
          <t>JÄMTLANDS LÄN</t>
        </is>
      </c>
      <c r="E755" t="inlineStr">
        <is>
          <t>RAGUNDA</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35462-2025</t>
        </is>
      </c>
      <c r="B756" s="1" t="n">
        <v>45855.61523148148</v>
      </c>
      <c r="C756" s="1" t="n">
        <v>46033</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35355-2025</t>
        </is>
      </c>
      <c r="B757" s="1" t="n">
        <v>45854.65663194445</v>
      </c>
      <c r="C757" s="1" t="n">
        <v>46033</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35477-2025</t>
        </is>
      </c>
      <c r="B758" s="1" t="n">
        <v>45855.67899305555</v>
      </c>
      <c r="C758" s="1" t="n">
        <v>46033</v>
      </c>
      <c r="D758" t="inlineStr">
        <is>
          <t>JÄMTLANDS LÄN</t>
        </is>
      </c>
      <c r="E758" t="inlineStr">
        <is>
          <t>RAGUNDA</t>
        </is>
      </c>
      <c r="G758" t="n">
        <v>3.6</v>
      </c>
      <c r="H758" t="n">
        <v>0</v>
      </c>
      <c r="I758" t="n">
        <v>0</v>
      </c>
      <c r="J758" t="n">
        <v>0</v>
      </c>
      <c r="K758" t="n">
        <v>0</v>
      </c>
      <c r="L758" t="n">
        <v>0</v>
      </c>
      <c r="M758" t="n">
        <v>0</v>
      </c>
      <c r="N758" t="n">
        <v>0</v>
      </c>
      <c r="O758" t="n">
        <v>0</v>
      </c>
      <c r="P758" t="n">
        <v>0</v>
      </c>
      <c r="Q758" t="n">
        <v>0</v>
      </c>
      <c r="R758" s="2" t="inlineStr"/>
    </row>
    <row r="759" ht="15" customHeight="1">
      <c r="A759" t="inlineStr">
        <is>
          <t>A 52578-2025</t>
        </is>
      </c>
      <c r="B759" s="1" t="n">
        <v>45954.61508101852</v>
      </c>
      <c r="C759" s="1" t="n">
        <v>46033</v>
      </c>
      <c r="D759" t="inlineStr">
        <is>
          <t>JÄMTLANDS LÄN</t>
        </is>
      </c>
      <c r="E759" t="inlineStr">
        <is>
          <t>RAGUNDA</t>
        </is>
      </c>
      <c r="F759" t="inlineStr">
        <is>
          <t>SCA</t>
        </is>
      </c>
      <c r="G759" t="n">
        <v>25.2</v>
      </c>
      <c r="H759" t="n">
        <v>0</v>
      </c>
      <c r="I759" t="n">
        <v>0</v>
      </c>
      <c r="J759" t="n">
        <v>0</v>
      </c>
      <c r="K759" t="n">
        <v>0</v>
      </c>
      <c r="L759" t="n">
        <v>0</v>
      </c>
      <c r="M759" t="n">
        <v>0</v>
      </c>
      <c r="N759" t="n">
        <v>0</v>
      </c>
      <c r="O759" t="n">
        <v>0</v>
      </c>
      <c r="P759" t="n">
        <v>0</v>
      </c>
      <c r="Q759" t="n">
        <v>0</v>
      </c>
      <c r="R759" s="2" t="inlineStr"/>
    </row>
    <row r="760" ht="15" customHeight="1">
      <c r="A760" t="inlineStr">
        <is>
          <t>A 35541-2025</t>
        </is>
      </c>
      <c r="B760" s="1" t="n">
        <v>45856.46931712963</v>
      </c>
      <c r="C760" s="1" t="n">
        <v>46033</v>
      </c>
      <c r="D760" t="inlineStr">
        <is>
          <t>JÄMTLANDS LÄN</t>
        </is>
      </c>
      <c r="E760" t="inlineStr">
        <is>
          <t>RAGUNDA</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61266-2025</t>
        </is>
      </c>
      <c r="B761" s="1" t="n">
        <v>46000.67784722222</v>
      </c>
      <c r="C761" s="1" t="n">
        <v>46033</v>
      </c>
      <c r="D761" t="inlineStr">
        <is>
          <t>JÄMTLANDS LÄN</t>
        </is>
      </c>
      <c r="E761" t="inlineStr">
        <is>
          <t>RAGUNDA</t>
        </is>
      </c>
      <c r="G761" t="n">
        <v>7.9</v>
      </c>
      <c r="H761" t="n">
        <v>0</v>
      </c>
      <c r="I761" t="n">
        <v>0</v>
      </c>
      <c r="J761" t="n">
        <v>0</v>
      </c>
      <c r="K761" t="n">
        <v>0</v>
      </c>
      <c r="L761" t="n">
        <v>0</v>
      </c>
      <c r="M761" t="n">
        <v>0</v>
      </c>
      <c r="N761" t="n">
        <v>0</v>
      </c>
      <c r="O761" t="n">
        <v>0</v>
      </c>
      <c r="P761" t="n">
        <v>0</v>
      </c>
      <c r="Q761" t="n">
        <v>0</v>
      </c>
      <c r="R761" s="2" t="inlineStr"/>
    </row>
    <row r="762" ht="15" customHeight="1">
      <c r="A762" t="inlineStr">
        <is>
          <t>A 2224-2024</t>
        </is>
      </c>
      <c r="B762" s="1" t="n">
        <v>45309.92524305556</v>
      </c>
      <c r="C762" s="1" t="n">
        <v>46033</v>
      </c>
      <c r="D762" t="inlineStr">
        <is>
          <t>JÄMTLANDS LÄN</t>
        </is>
      </c>
      <c r="E762" t="inlineStr">
        <is>
          <t>RAGUNDA</t>
        </is>
      </c>
      <c r="G762" t="n">
        <v>0.9</v>
      </c>
      <c r="H762" t="n">
        <v>0</v>
      </c>
      <c r="I762" t="n">
        <v>0</v>
      </c>
      <c r="J762" t="n">
        <v>0</v>
      </c>
      <c r="K762" t="n">
        <v>0</v>
      </c>
      <c r="L762" t="n">
        <v>0</v>
      </c>
      <c r="M762" t="n">
        <v>0</v>
      </c>
      <c r="N762" t="n">
        <v>0</v>
      </c>
      <c r="O762" t="n">
        <v>0</v>
      </c>
      <c r="P762" t="n">
        <v>0</v>
      </c>
      <c r="Q762" t="n">
        <v>0</v>
      </c>
      <c r="R762" s="2" t="inlineStr"/>
    </row>
    <row r="763" ht="15" customHeight="1">
      <c r="A763" t="inlineStr">
        <is>
          <t>A 1523-2024</t>
        </is>
      </c>
      <c r="B763" s="1" t="n">
        <v>45306</v>
      </c>
      <c r="C763" s="1" t="n">
        <v>46033</v>
      </c>
      <c r="D763" t="inlineStr">
        <is>
          <t>JÄMTLANDS LÄN</t>
        </is>
      </c>
      <c r="E763" t="inlineStr">
        <is>
          <t>RAGUNDA</t>
        </is>
      </c>
      <c r="G763" t="n">
        <v>4.1</v>
      </c>
      <c r="H763" t="n">
        <v>0</v>
      </c>
      <c r="I763" t="n">
        <v>0</v>
      </c>
      <c r="J763" t="n">
        <v>0</v>
      </c>
      <c r="K763" t="n">
        <v>0</v>
      </c>
      <c r="L763" t="n">
        <v>0</v>
      </c>
      <c r="M763" t="n">
        <v>0</v>
      </c>
      <c r="N763" t="n">
        <v>0</v>
      </c>
      <c r="O763" t="n">
        <v>0</v>
      </c>
      <c r="P763" t="n">
        <v>0</v>
      </c>
      <c r="Q763" t="n">
        <v>0</v>
      </c>
      <c r="R763" s="2" t="inlineStr"/>
    </row>
    <row r="764" ht="15" customHeight="1">
      <c r="A764" t="inlineStr">
        <is>
          <t>A 35658-2025</t>
        </is>
      </c>
      <c r="B764" s="1" t="n">
        <v>45859.594375</v>
      </c>
      <c r="C764" s="1" t="n">
        <v>46033</v>
      </c>
      <c r="D764" t="inlineStr">
        <is>
          <t>JÄMTLANDS LÄN</t>
        </is>
      </c>
      <c r="E764" t="inlineStr">
        <is>
          <t>RAGUNDA</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58630-2024</t>
        </is>
      </c>
      <c r="B765" s="1" t="n">
        <v>45635.57331018519</v>
      </c>
      <c r="C765" s="1" t="n">
        <v>46033</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46549-2023</t>
        </is>
      </c>
      <c r="B766" s="1" t="n">
        <v>45197.94171296297</v>
      </c>
      <c r="C766" s="1" t="n">
        <v>46033</v>
      </c>
      <c r="D766" t="inlineStr">
        <is>
          <t>JÄMTLANDS LÄN</t>
        </is>
      </c>
      <c r="E766" t="inlineStr">
        <is>
          <t>RAGUNDA</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35689-2025</t>
        </is>
      </c>
      <c r="B767" s="1" t="n">
        <v>45860.30229166667</v>
      </c>
      <c r="C767" s="1" t="n">
        <v>46033</v>
      </c>
      <c r="D767" t="inlineStr">
        <is>
          <t>JÄMTLANDS LÄN</t>
        </is>
      </c>
      <c r="E767" t="inlineStr">
        <is>
          <t>RAGUNDA</t>
        </is>
      </c>
      <c r="G767" t="n">
        <v>1.9</v>
      </c>
      <c r="H767" t="n">
        <v>0</v>
      </c>
      <c r="I767" t="n">
        <v>0</v>
      </c>
      <c r="J767" t="n">
        <v>0</v>
      </c>
      <c r="K767" t="n">
        <v>0</v>
      </c>
      <c r="L767" t="n">
        <v>0</v>
      </c>
      <c r="M767" t="n">
        <v>0</v>
      </c>
      <c r="N767" t="n">
        <v>0</v>
      </c>
      <c r="O767" t="n">
        <v>0</v>
      </c>
      <c r="P767" t="n">
        <v>0</v>
      </c>
      <c r="Q767" t="n">
        <v>0</v>
      </c>
      <c r="R767" s="2" t="inlineStr"/>
    </row>
    <row r="768" ht="15" customHeight="1">
      <c r="A768" t="inlineStr">
        <is>
          <t>A 32258-2024</t>
        </is>
      </c>
      <c r="B768" s="1" t="n">
        <v>45511</v>
      </c>
      <c r="C768" s="1" t="n">
        <v>46033</v>
      </c>
      <c r="D768" t="inlineStr">
        <is>
          <t>JÄMTLANDS LÄN</t>
        </is>
      </c>
      <c r="E768" t="inlineStr">
        <is>
          <t>RAGUNDA</t>
        </is>
      </c>
      <c r="F768" t="inlineStr">
        <is>
          <t>SCA</t>
        </is>
      </c>
      <c r="G768" t="n">
        <v>5.5</v>
      </c>
      <c r="H768" t="n">
        <v>0</v>
      </c>
      <c r="I768" t="n">
        <v>0</v>
      </c>
      <c r="J768" t="n">
        <v>0</v>
      </c>
      <c r="K768" t="n">
        <v>0</v>
      </c>
      <c r="L768" t="n">
        <v>0</v>
      </c>
      <c r="M768" t="n">
        <v>0</v>
      </c>
      <c r="N768" t="n">
        <v>0</v>
      </c>
      <c r="O768" t="n">
        <v>0</v>
      </c>
      <c r="P768" t="n">
        <v>0</v>
      </c>
      <c r="Q768" t="n">
        <v>0</v>
      </c>
      <c r="R768" s="2" t="inlineStr"/>
    </row>
    <row r="769" ht="15" customHeight="1">
      <c r="A769" t="inlineStr">
        <is>
          <t>A 38270-2021</t>
        </is>
      </c>
      <c r="B769" s="1" t="n">
        <v>44405.92065972222</v>
      </c>
      <c r="C769" s="1" t="n">
        <v>46033</v>
      </c>
      <c r="D769" t="inlineStr">
        <is>
          <t>JÄMTLANDS LÄN</t>
        </is>
      </c>
      <c r="E769" t="inlineStr">
        <is>
          <t>RAGUNDA</t>
        </is>
      </c>
      <c r="G769" t="n">
        <v>1.3</v>
      </c>
      <c r="H769" t="n">
        <v>0</v>
      </c>
      <c r="I769" t="n">
        <v>0</v>
      </c>
      <c r="J769" t="n">
        <v>0</v>
      </c>
      <c r="K769" t="n">
        <v>0</v>
      </c>
      <c r="L769" t="n">
        <v>0</v>
      </c>
      <c r="M769" t="n">
        <v>0</v>
      </c>
      <c r="N769" t="n">
        <v>0</v>
      </c>
      <c r="O769" t="n">
        <v>0</v>
      </c>
      <c r="P769" t="n">
        <v>0</v>
      </c>
      <c r="Q769" t="n">
        <v>0</v>
      </c>
      <c r="R769" s="2" t="inlineStr"/>
    </row>
    <row r="770" ht="15" customHeight="1">
      <c r="A770" t="inlineStr">
        <is>
          <t>A 61233-2025</t>
        </is>
      </c>
      <c r="B770" s="1" t="n">
        <v>46000.6359837963</v>
      </c>
      <c r="C770" s="1" t="n">
        <v>46033</v>
      </c>
      <c r="D770" t="inlineStr">
        <is>
          <t>JÄMTLANDS LÄN</t>
        </is>
      </c>
      <c r="E770" t="inlineStr">
        <is>
          <t>RAGUNDA</t>
        </is>
      </c>
      <c r="F770" t="inlineStr">
        <is>
          <t>SCA</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29257-2024</t>
        </is>
      </c>
      <c r="B771" s="1" t="n">
        <v>45482.94815972223</v>
      </c>
      <c r="C771" s="1" t="n">
        <v>46033</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27373-2023</t>
        </is>
      </c>
      <c r="B772" s="1" t="n">
        <v>45096.93866898148</v>
      </c>
      <c r="C772" s="1" t="n">
        <v>46033</v>
      </c>
      <c r="D772" t="inlineStr">
        <is>
          <t>JÄMTLANDS LÄN</t>
        </is>
      </c>
      <c r="E772" t="inlineStr">
        <is>
          <t>RAGUNDA</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62115-2024</t>
        </is>
      </c>
      <c r="B773" s="1" t="n">
        <v>45656</v>
      </c>
      <c r="C773" s="1" t="n">
        <v>46033</v>
      </c>
      <c r="D773" t="inlineStr">
        <is>
          <t>JÄMTLANDS LÄN</t>
        </is>
      </c>
      <c r="E773" t="inlineStr">
        <is>
          <t>RAGUNDA</t>
        </is>
      </c>
      <c r="G773" t="n">
        <v>3.3</v>
      </c>
      <c r="H773" t="n">
        <v>0</v>
      </c>
      <c r="I773" t="n">
        <v>0</v>
      </c>
      <c r="J773" t="n">
        <v>0</v>
      </c>
      <c r="K773" t="n">
        <v>0</v>
      </c>
      <c r="L773" t="n">
        <v>0</v>
      </c>
      <c r="M773" t="n">
        <v>0</v>
      </c>
      <c r="N773" t="n">
        <v>0</v>
      </c>
      <c r="O773" t="n">
        <v>0</v>
      </c>
      <c r="P773" t="n">
        <v>0</v>
      </c>
      <c r="Q773" t="n">
        <v>0</v>
      </c>
      <c r="R773" s="2" t="inlineStr"/>
    </row>
    <row r="774" ht="15" customHeight="1">
      <c r="A774" t="inlineStr">
        <is>
          <t>A 12653-2024</t>
        </is>
      </c>
      <c r="B774" s="1" t="n">
        <v>45384</v>
      </c>
      <c r="C774" s="1" t="n">
        <v>46033</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50211-2023</t>
        </is>
      </c>
      <c r="B775" s="1" t="n">
        <v>45215.94657407407</v>
      </c>
      <c r="C775" s="1" t="n">
        <v>46033</v>
      </c>
      <c r="D775" t="inlineStr">
        <is>
          <t>JÄMTLANDS LÄN</t>
        </is>
      </c>
      <c r="E775" t="inlineStr">
        <is>
          <t>RAGUNDA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54092-2024</t>
        </is>
      </c>
      <c r="B776" s="1" t="n">
        <v>45616.5108912037</v>
      </c>
      <c r="C776" s="1" t="n">
        <v>46033</v>
      </c>
      <c r="D776" t="inlineStr">
        <is>
          <t>JÄMTLANDS LÄN</t>
        </is>
      </c>
      <c r="E776" t="inlineStr">
        <is>
          <t>RAGUNDA</t>
        </is>
      </c>
      <c r="F776" t="inlineStr">
        <is>
          <t>Naturvårdsverket</t>
        </is>
      </c>
      <c r="G776" t="n">
        <v>1.3</v>
      </c>
      <c r="H776" t="n">
        <v>0</v>
      </c>
      <c r="I776" t="n">
        <v>0</v>
      </c>
      <c r="J776" t="n">
        <v>0</v>
      </c>
      <c r="K776" t="n">
        <v>0</v>
      </c>
      <c r="L776" t="n">
        <v>0</v>
      </c>
      <c r="M776" t="n">
        <v>0</v>
      </c>
      <c r="N776" t="n">
        <v>0</v>
      </c>
      <c r="O776" t="n">
        <v>0</v>
      </c>
      <c r="P776" t="n">
        <v>0</v>
      </c>
      <c r="Q776" t="n">
        <v>0</v>
      </c>
      <c r="R776" s="2" t="inlineStr"/>
    </row>
    <row r="777" ht="15" customHeight="1">
      <c r="A777" t="inlineStr">
        <is>
          <t>A 9232-2025</t>
        </is>
      </c>
      <c r="B777" s="1" t="n">
        <v>45714.55064814815</v>
      </c>
      <c r="C777" s="1" t="n">
        <v>46033</v>
      </c>
      <c r="D777" t="inlineStr">
        <is>
          <t>JÄMTLANDS LÄN</t>
        </is>
      </c>
      <c r="E777" t="inlineStr">
        <is>
          <t>RAGUNDA</t>
        </is>
      </c>
      <c r="G777" t="n">
        <v>1.9</v>
      </c>
      <c r="H777" t="n">
        <v>0</v>
      </c>
      <c r="I777" t="n">
        <v>0</v>
      </c>
      <c r="J777" t="n">
        <v>0</v>
      </c>
      <c r="K777" t="n">
        <v>0</v>
      </c>
      <c r="L777" t="n">
        <v>0</v>
      </c>
      <c r="M777" t="n">
        <v>0</v>
      </c>
      <c r="N777" t="n">
        <v>0</v>
      </c>
      <c r="O777" t="n">
        <v>0</v>
      </c>
      <c r="P777" t="n">
        <v>0</v>
      </c>
      <c r="Q777" t="n">
        <v>0</v>
      </c>
      <c r="R777" s="2" t="inlineStr"/>
    </row>
    <row r="778" ht="15" customHeight="1">
      <c r="A778" t="inlineStr">
        <is>
          <t>A 29775-2023</t>
        </is>
      </c>
      <c r="B778" s="1" t="n">
        <v>45098</v>
      </c>
      <c r="C778" s="1" t="n">
        <v>46033</v>
      </c>
      <c r="D778" t="inlineStr">
        <is>
          <t>JÄMTLANDS LÄN</t>
        </is>
      </c>
      <c r="E778" t="inlineStr">
        <is>
          <t>RAGUNDA</t>
        </is>
      </c>
      <c r="G778" t="n">
        <v>3.6</v>
      </c>
      <c r="H778" t="n">
        <v>0</v>
      </c>
      <c r="I778" t="n">
        <v>0</v>
      </c>
      <c r="J778" t="n">
        <v>0</v>
      </c>
      <c r="K778" t="n">
        <v>0</v>
      </c>
      <c r="L778" t="n">
        <v>0</v>
      </c>
      <c r="M778" t="n">
        <v>0</v>
      </c>
      <c r="N778" t="n">
        <v>0</v>
      </c>
      <c r="O778" t="n">
        <v>0</v>
      </c>
      <c r="P778" t="n">
        <v>0</v>
      </c>
      <c r="Q778" t="n">
        <v>0</v>
      </c>
      <c r="R778" s="2" t="inlineStr"/>
    </row>
    <row r="779" ht="15" customHeight="1">
      <c r="A779" t="inlineStr">
        <is>
          <t>A 44494-2024</t>
        </is>
      </c>
      <c r="B779" s="1" t="n">
        <v>45574.39081018518</v>
      </c>
      <c r="C779" s="1" t="n">
        <v>46033</v>
      </c>
      <c r="D779" t="inlineStr">
        <is>
          <t>JÄMTLANDS LÄN</t>
        </is>
      </c>
      <c r="E779" t="inlineStr">
        <is>
          <t>RAGUNDA</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53076-2025</t>
        </is>
      </c>
      <c r="B780" s="1" t="n">
        <v>45958.38604166666</v>
      </c>
      <c r="C780" s="1" t="n">
        <v>46033</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25304-2023</t>
        </is>
      </c>
      <c r="B781" s="1" t="n">
        <v>45086</v>
      </c>
      <c r="C781" s="1" t="n">
        <v>46033</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13898-2023</t>
        </is>
      </c>
      <c r="B782" s="1" t="n">
        <v>45008.01408564814</v>
      </c>
      <c r="C782" s="1" t="n">
        <v>46033</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36541-2025</t>
        </is>
      </c>
      <c r="B783" s="1" t="n">
        <v>45869.65666666667</v>
      </c>
      <c r="C783" s="1" t="n">
        <v>46033</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36544-2025</t>
        </is>
      </c>
      <c r="B784" s="1" t="n">
        <v>45869.67744212963</v>
      </c>
      <c r="C784" s="1" t="n">
        <v>46033</v>
      </c>
      <c r="D784" t="inlineStr">
        <is>
          <t>JÄMTLANDS LÄN</t>
        </is>
      </c>
      <c r="E784" t="inlineStr">
        <is>
          <t>RAGUNDA</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36553-2025</t>
        </is>
      </c>
      <c r="B785" s="1" t="n">
        <v>45870.34439814815</v>
      </c>
      <c r="C785" s="1" t="n">
        <v>46033</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53986-2025</t>
        </is>
      </c>
      <c r="B786" s="1" t="n">
        <v>45961.57381944444</v>
      </c>
      <c r="C786" s="1" t="n">
        <v>46033</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26026-2024</t>
        </is>
      </c>
      <c r="B787" s="1" t="n">
        <v>45467.96207175926</v>
      </c>
      <c r="C787" s="1" t="n">
        <v>46033</v>
      </c>
      <c r="D787" t="inlineStr">
        <is>
          <t>JÄMTLANDS LÄN</t>
        </is>
      </c>
      <c r="E787" t="inlineStr">
        <is>
          <t>RAGUNDA</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5429-2024</t>
        </is>
      </c>
      <c r="B788" s="1" t="n">
        <v>45331.92746527777</v>
      </c>
      <c r="C788" s="1" t="n">
        <v>46033</v>
      </c>
      <c r="D788" t="inlineStr">
        <is>
          <t>JÄMTLANDS LÄN</t>
        </is>
      </c>
      <c r="E788" t="inlineStr">
        <is>
          <t>RAGUNDA</t>
        </is>
      </c>
      <c r="G788" t="n">
        <v>1.1</v>
      </c>
      <c r="H788" t="n">
        <v>0</v>
      </c>
      <c r="I788" t="n">
        <v>0</v>
      </c>
      <c r="J788" t="n">
        <v>0</v>
      </c>
      <c r="K788" t="n">
        <v>0</v>
      </c>
      <c r="L788" t="n">
        <v>0</v>
      </c>
      <c r="M788" t="n">
        <v>0</v>
      </c>
      <c r="N788" t="n">
        <v>0</v>
      </c>
      <c r="O788" t="n">
        <v>0</v>
      </c>
      <c r="P788" t="n">
        <v>0</v>
      </c>
      <c r="Q788" t="n">
        <v>0</v>
      </c>
      <c r="R788" s="2" t="inlineStr"/>
    </row>
    <row r="789" ht="15" customHeight="1">
      <c r="A789" t="inlineStr">
        <is>
          <t>A 53973-2025</t>
        </is>
      </c>
      <c r="B789" s="1" t="n">
        <v>45961.55246527777</v>
      </c>
      <c r="C789" s="1" t="n">
        <v>46033</v>
      </c>
      <c r="D789" t="inlineStr">
        <is>
          <t>JÄMTLANDS LÄN</t>
        </is>
      </c>
      <c r="E789" t="inlineStr">
        <is>
          <t>RAGUNDA</t>
        </is>
      </c>
      <c r="G789" t="n">
        <v>2.4</v>
      </c>
      <c r="H789" t="n">
        <v>0</v>
      </c>
      <c r="I789" t="n">
        <v>0</v>
      </c>
      <c r="J789" t="n">
        <v>0</v>
      </c>
      <c r="K789" t="n">
        <v>0</v>
      </c>
      <c r="L789" t="n">
        <v>0</v>
      </c>
      <c r="M789" t="n">
        <v>0</v>
      </c>
      <c r="N789" t="n">
        <v>0</v>
      </c>
      <c r="O789" t="n">
        <v>0</v>
      </c>
      <c r="P789" t="n">
        <v>0</v>
      </c>
      <c r="Q789" t="n">
        <v>0</v>
      </c>
      <c r="R789" s="2" t="inlineStr"/>
    </row>
    <row r="790" ht="15" customHeight="1">
      <c r="A790" t="inlineStr">
        <is>
          <t>A 3720-2025</t>
        </is>
      </c>
      <c r="B790" s="1" t="n">
        <v>45681.5315625</v>
      </c>
      <c r="C790" s="1" t="n">
        <v>46033</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3770-2025</t>
        </is>
      </c>
      <c r="B791" s="1" t="n">
        <v>45681.6050925926</v>
      </c>
      <c r="C791" s="1" t="n">
        <v>46033</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32075-2025</t>
        </is>
      </c>
      <c r="B792" s="1" t="n">
        <v>45835.4506712963</v>
      </c>
      <c r="C792" s="1" t="n">
        <v>46033</v>
      </c>
      <c r="D792" t="inlineStr">
        <is>
          <t>JÄMTLANDS LÄN</t>
        </is>
      </c>
      <c r="E792" t="inlineStr">
        <is>
          <t>RAGUNDA</t>
        </is>
      </c>
      <c r="G792" t="n">
        <v>1.1</v>
      </c>
      <c r="H792" t="n">
        <v>0</v>
      </c>
      <c r="I792" t="n">
        <v>0</v>
      </c>
      <c r="J792" t="n">
        <v>0</v>
      </c>
      <c r="K792" t="n">
        <v>0</v>
      </c>
      <c r="L792" t="n">
        <v>0</v>
      </c>
      <c r="M792" t="n">
        <v>0</v>
      </c>
      <c r="N792" t="n">
        <v>0</v>
      </c>
      <c r="O792" t="n">
        <v>0</v>
      </c>
      <c r="P792" t="n">
        <v>0</v>
      </c>
      <c r="Q792" t="n">
        <v>0</v>
      </c>
      <c r="R792" s="2" t="inlineStr"/>
    </row>
    <row r="793" ht="15" customHeight="1">
      <c r="A793" t="inlineStr">
        <is>
          <t>A 53549-2025</t>
        </is>
      </c>
      <c r="B793" s="1" t="n">
        <v>45960.38576388889</v>
      </c>
      <c r="C793" s="1" t="n">
        <v>46033</v>
      </c>
      <c r="D793" t="inlineStr">
        <is>
          <t>JÄMTLANDS LÄN</t>
        </is>
      </c>
      <c r="E793" t="inlineStr">
        <is>
          <t>RAGUNDA</t>
        </is>
      </c>
      <c r="G793" t="n">
        <v>5.4</v>
      </c>
      <c r="H793" t="n">
        <v>0</v>
      </c>
      <c r="I793" t="n">
        <v>0</v>
      </c>
      <c r="J793" t="n">
        <v>0</v>
      </c>
      <c r="K793" t="n">
        <v>0</v>
      </c>
      <c r="L793" t="n">
        <v>0</v>
      </c>
      <c r="M793" t="n">
        <v>0</v>
      </c>
      <c r="N793" t="n">
        <v>0</v>
      </c>
      <c r="O793" t="n">
        <v>0</v>
      </c>
      <c r="P793" t="n">
        <v>0</v>
      </c>
      <c r="Q793" t="n">
        <v>0</v>
      </c>
      <c r="R793" s="2" t="inlineStr"/>
    </row>
    <row r="794" ht="15" customHeight="1">
      <c r="A794" t="inlineStr">
        <is>
          <t>A 51579-2024</t>
        </is>
      </c>
      <c r="B794" s="1" t="n">
        <v>45604.63575231482</v>
      </c>
      <c r="C794" s="1" t="n">
        <v>46033</v>
      </c>
      <c r="D794" t="inlineStr">
        <is>
          <t>JÄMTLANDS LÄN</t>
        </is>
      </c>
      <c r="E794" t="inlineStr">
        <is>
          <t>RAGUNDA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53975-2025</t>
        </is>
      </c>
      <c r="B795" s="1" t="n">
        <v>45961.55277777778</v>
      </c>
      <c r="C795" s="1" t="n">
        <v>46033</v>
      </c>
      <c r="D795" t="inlineStr">
        <is>
          <t>JÄMTLANDS LÄN</t>
        </is>
      </c>
      <c r="E795" t="inlineStr">
        <is>
          <t>RAGUNDA</t>
        </is>
      </c>
      <c r="F795" t="inlineStr">
        <is>
          <t>SCA</t>
        </is>
      </c>
      <c r="G795" t="n">
        <v>21.9</v>
      </c>
      <c r="H795" t="n">
        <v>0</v>
      </c>
      <c r="I795" t="n">
        <v>0</v>
      </c>
      <c r="J795" t="n">
        <v>0</v>
      </c>
      <c r="K795" t="n">
        <v>0</v>
      </c>
      <c r="L795" t="n">
        <v>0</v>
      </c>
      <c r="M795" t="n">
        <v>0</v>
      </c>
      <c r="N795" t="n">
        <v>0</v>
      </c>
      <c r="O795" t="n">
        <v>0</v>
      </c>
      <c r="P795" t="n">
        <v>0</v>
      </c>
      <c r="Q795" t="n">
        <v>0</v>
      </c>
      <c r="R795" s="2" t="inlineStr"/>
    </row>
    <row r="796" ht="15" customHeight="1">
      <c r="A796" t="inlineStr">
        <is>
          <t>A 8775-2025</t>
        </is>
      </c>
      <c r="B796" s="1" t="n">
        <v>45712.61502314815</v>
      </c>
      <c r="C796" s="1" t="n">
        <v>46033</v>
      </c>
      <c r="D796" t="inlineStr">
        <is>
          <t>JÄMTLANDS LÄN</t>
        </is>
      </c>
      <c r="E796" t="inlineStr">
        <is>
          <t>RAGUNDA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32874-2025</t>
        </is>
      </c>
      <c r="B797" s="1" t="n">
        <v>45839</v>
      </c>
      <c r="C797" s="1" t="n">
        <v>46033</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36994-2025</t>
        </is>
      </c>
      <c r="B798" s="1" t="n">
        <v>45874.67746527777</v>
      </c>
      <c r="C798" s="1" t="n">
        <v>46033</v>
      </c>
      <c r="D798" t="inlineStr">
        <is>
          <t>JÄMTLANDS LÄN</t>
        </is>
      </c>
      <c r="E798" t="inlineStr">
        <is>
          <t>RAGUNDA</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2339-2025</t>
        </is>
      </c>
      <c r="B799" s="1" t="n">
        <v>45673.66358796296</v>
      </c>
      <c r="C799" s="1" t="n">
        <v>46033</v>
      </c>
      <c r="D799" t="inlineStr">
        <is>
          <t>JÄMTLANDS LÄN</t>
        </is>
      </c>
      <c r="E799" t="inlineStr">
        <is>
          <t>RAGUNDA</t>
        </is>
      </c>
      <c r="G799" t="n">
        <v>5</v>
      </c>
      <c r="H799" t="n">
        <v>0</v>
      </c>
      <c r="I799" t="n">
        <v>0</v>
      </c>
      <c r="J799" t="n">
        <v>0</v>
      </c>
      <c r="K799" t="n">
        <v>0</v>
      </c>
      <c r="L799" t="n">
        <v>0</v>
      </c>
      <c r="M799" t="n">
        <v>0</v>
      </c>
      <c r="N799" t="n">
        <v>0</v>
      </c>
      <c r="O799" t="n">
        <v>0</v>
      </c>
      <c r="P799" t="n">
        <v>0</v>
      </c>
      <c r="Q799" t="n">
        <v>0</v>
      </c>
      <c r="R799" s="2" t="inlineStr"/>
    </row>
    <row r="800" ht="15" customHeight="1">
      <c r="A800" t="inlineStr">
        <is>
          <t>A 53726-2025</t>
        </is>
      </c>
      <c r="B800" s="1" t="n">
        <v>45960.63597222222</v>
      </c>
      <c r="C800" s="1" t="n">
        <v>46033</v>
      </c>
      <c r="D800" t="inlineStr">
        <is>
          <t>JÄMTLANDS LÄN</t>
        </is>
      </c>
      <c r="E800" t="inlineStr">
        <is>
          <t>RAGUNDA</t>
        </is>
      </c>
      <c r="F800" t="inlineStr">
        <is>
          <t>SCA</t>
        </is>
      </c>
      <c r="G800" t="n">
        <v>10.9</v>
      </c>
      <c r="H800" t="n">
        <v>0</v>
      </c>
      <c r="I800" t="n">
        <v>0</v>
      </c>
      <c r="J800" t="n">
        <v>0</v>
      </c>
      <c r="K800" t="n">
        <v>0</v>
      </c>
      <c r="L800" t="n">
        <v>0</v>
      </c>
      <c r="M800" t="n">
        <v>0</v>
      </c>
      <c r="N800" t="n">
        <v>0</v>
      </c>
      <c r="O800" t="n">
        <v>0</v>
      </c>
      <c r="P800" t="n">
        <v>0</v>
      </c>
      <c r="Q800" t="n">
        <v>0</v>
      </c>
      <c r="R800" s="2" t="inlineStr"/>
    </row>
    <row r="801" ht="15" customHeight="1">
      <c r="A801" t="inlineStr">
        <is>
          <t>A 27499-2024</t>
        </is>
      </c>
      <c r="B801" s="1" t="n">
        <v>45474.50608796296</v>
      </c>
      <c r="C801" s="1" t="n">
        <v>46033</v>
      </c>
      <c r="D801" t="inlineStr">
        <is>
          <t>JÄMTLANDS LÄN</t>
        </is>
      </c>
      <c r="E801" t="inlineStr">
        <is>
          <t>RAGUNDA</t>
        </is>
      </c>
      <c r="G801" t="n">
        <v>1.3</v>
      </c>
      <c r="H801" t="n">
        <v>0</v>
      </c>
      <c r="I801" t="n">
        <v>0</v>
      </c>
      <c r="J801" t="n">
        <v>0</v>
      </c>
      <c r="K801" t="n">
        <v>0</v>
      </c>
      <c r="L801" t="n">
        <v>0</v>
      </c>
      <c r="M801" t="n">
        <v>0</v>
      </c>
      <c r="N801" t="n">
        <v>0</v>
      </c>
      <c r="O801" t="n">
        <v>0</v>
      </c>
      <c r="P801" t="n">
        <v>0</v>
      </c>
      <c r="Q801" t="n">
        <v>0</v>
      </c>
      <c r="R801" s="2" t="inlineStr"/>
    </row>
    <row r="802" ht="15" customHeight="1">
      <c r="A802" t="inlineStr">
        <is>
          <t>A 57078-2023</t>
        </is>
      </c>
      <c r="B802" s="1" t="n">
        <v>45244.96774305555</v>
      </c>
      <c r="C802" s="1" t="n">
        <v>46033</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37008-2025</t>
        </is>
      </c>
      <c r="B803" s="1" t="n">
        <v>45874.69844907407</v>
      </c>
      <c r="C803" s="1" t="n">
        <v>46033</v>
      </c>
      <c r="D803" t="inlineStr">
        <is>
          <t>JÄMTLANDS LÄN</t>
        </is>
      </c>
      <c r="E803" t="inlineStr">
        <is>
          <t>RAGUNDA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53748-2025</t>
        </is>
      </c>
      <c r="B804" s="1" t="n">
        <v>45960.65673611111</v>
      </c>
      <c r="C804" s="1" t="n">
        <v>46033</v>
      </c>
      <c r="D804" t="inlineStr">
        <is>
          <t>JÄMTLANDS LÄN</t>
        </is>
      </c>
      <c r="E804" t="inlineStr">
        <is>
          <t>RAGUNDA</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59368-2022</t>
        </is>
      </c>
      <c r="B805" s="1" t="n">
        <v>44904.94824074074</v>
      </c>
      <c r="C805" s="1" t="n">
        <v>46033</v>
      </c>
      <c r="D805" t="inlineStr">
        <is>
          <t>JÄMTLANDS LÄN</t>
        </is>
      </c>
      <c r="E805" t="inlineStr">
        <is>
          <t>RAGUNDA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36947-2025</t>
        </is>
      </c>
      <c r="B806" s="1" t="n">
        <v>45874.59496527778</v>
      </c>
      <c r="C806" s="1" t="n">
        <v>46033</v>
      </c>
      <c r="D806" t="inlineStr">
        <is>
          <t>JÄMTLANDS LÄN</t>
        </is>
      </c>
      <c r="E806" t="inlineStr">
        <is>
          <t>RAGUNDA</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6801-2023</t>
        </is>
      </c>
      <c r="B807" s="1" t="n">
        <v>44966.95328703704</v>
      </c>
      <c r="C807" s="1" t="n">
        <v>46033</v>
      </c>
      <c r="D807" t="inlineStr">
        <is>
          <t>JÄMTLANDS LÄN</t>
        </is>
      </c>
      <c r="E807" t="inlineStr">
        <is>
          <t>RAGUNDA</t>
        </is>
      </c>
      <c r="F807" t="inlineStr">
        <is>
          <t>SCA</t>
        </is>
      </c>
      <c r="G807" t="n">
        <v>10.6</v>
      </c>
      <c r="H807" t="n">
        <v>0</v>
      </c>
      <c r="I807" t="n">
        <v>0</v>
      </c>
      <c r="J807" t="n">
        <v>0</v>
      </c>
      <c r="K807" t="n">
        <v>0</v>
      </c>
      <c r="L807" t="n">
        <v>0</v>
      </c>
      <c r="M807" t="n">
        <v>0</v>
      </c>
      <c r="N807" t="n">
        <v>0</v>
      </c>
      <c r="O807" t="n">
        <v>0</v>
      </c>
      <c r="P807" t="n">
        <v>0</v>
      </c>
      <c r="Q807" t="n">
        <v>0</v>
      </c>
      <c r="R807" s="2" t="inlineStr"/>
    </row>
    <row r="808" ht="15" customHeight="1">
      <c r="A808" t="inlineStr">
        <is>
          <t>A 37292-2025</t>
        </is>
      </c>
      <c r="B808" s="1" t="n">
        <v>45876.53188657408</v>
      </c>
      <c r="C808" s="1" t="n">
        <v>46033</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41656-2023</t>
        </is>
      </c>
      <c r="B809" s="1" t="n">
        <v>45175</v>
      </c>
      <c r="C809" s="1" t="n">
        <v>46033</v>
      </c>
      <c r="D809" t="inlineStr">
        <is>
          <t>JÄMTLANDS LÄN</t>
        </is>
      </c>
      <c r="E809" t="inlineStr">
        <is>
          <t>RAGUNDA</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51646-2023</t>
        </is>
      </c>
      <c r="B810" s="1" t="n">
        <v>45215</v>
      </c>
      <c r="C810" s="1" t="n">
        <v>46033</v>
      </c>
      <c r="D810" t="inlineStr">
        <is>
          <t>JÄMTLANDS LÄN</t>
        </is>
      </c>
      <c r="E810" t="inlineStr">
        <is>
          <t>RAGUNDA</t>
        </is>
      </c>
      <c r="G810" t="n">
        <v>0.7</v>
      </c>
      <c r="H810" t="n">
        <v>0</v>
      </c>
      <c r="I810" t="n">
        <v>0</v>
      </c>
      <c r="J810" t="n">
        <v>0</v>
      </c>
      <c r="K810" t="n">
        <v>0</v>
      </c>
      <c r="L810" t="n">
        <v>0</v>
      </c>
      <c r="M810" t="n">
        <v>0</v>
      </c>
      <c r="N810" t="n">
        <v>0</v>
      </c>
      <c r="O810" t="n">
        <v>0</v>
      </c>
      <c r="P810" t="n">
        <v>0</v>
      </c>
      <c r="Q810" t="n">
        <v>0</v>
      </c>
      <c r="R810" s="2" t="inlineStr"/>
    </row>
    <row r="811" ht="15" customHeight="1">
      <c r="A811" t="inlineStr">
        <is>
          <t>A 37268-2024</t>
        </is>
      </c>
      <c r="B811" s="1" t="n">
        <v>45540.38586805556</v>
      </c>
      <c r="C811" s="1" t="n">
        <v>46033</v>
      </c>
      <c r="D811" t="inlineStr">
        <is>
          <t>JÄMTLANDS LÄN</t>
        </is>
      </c>
      <c r="E811" t="inlineStr">
        <is>
          <t>RAGUNDA</t>
        </is>
      </c>
      <c r="F811" t="inlineStr">
        <is>
          <t>SCA</t>
        </is>
      </c>
      <c r="G811" t="n">
        <v>6.3</v>
      </c>
      <c r="H811" t="n">
        <v>0</v>
      </c>
      <c r="I811" t="n">
        <v>0</v>
      </c>
      <c r="J811" t="n">
        <v>0</v>
      </c>
      <c r="K811" t="n">
        <v>0</v>
      </c>
      <c r="L811" t="n">
        <v>0</v>
      </c>
      <c r="M811" t="n">
        <v>0</v>
      </c>
      <c r="N811" t="n">
        <v>0</v>
      </c>
      <c r="O811" t="n">
        <v>0</v>
      </c>
      <c r="P811" t="n">
        <v>0</v>
      </c>
      <c r="Q811" t="n">
        <v>0</v>
      </c>
      <c r="R811" s="2" t="inlineStr"/>
    </row>
    <row r="812" ht="15" customHeight="1">
      <c r="A812" t="inlineStr">
        <is>
          <t>A 53727-2025</t>
        </is>
      </c>
      <c r="B812" s="1" t="n">
        <v>45960.63630787037</v>
      </c>
      <c r="C812" s="1" t="n">
        <v>46033</v>
      </c>
      <c r="D812" t="inlineStr">
        <is>
          <t>JÄMTLANDS LÄN</t>
        </is>
      </c>
      <c r="E812" t="inlineStr">
        <is>
          <t>RAGUNDA</t>
        </is>
      </c>
      <c r="F812" t="inlineStr">
        <is>
          <t>SCA</t>
        </is>
      </c>
      <c r="G812" t="n">
        <v>6.4</v>
      </c>
      <c r="H812" t="n">
        <v>0</v>
      </c>
      <c r="I812" t="n">
        <v>0</v>
      </c>
      <c r="J812" t="n">
        <v>0</v>
      </c>
      <c r="K812" t="n">
        <v>0</v>
      </c>
      <c r="L812" t="n">
        <v>0</v>
      </c>
      <c r="M812" t="n">
        <v>0</v>
      </c>
      <c r="N812" t="n">
        <v>0</v>
      </c>
      <c r="O812" t="n">
        <v>0</v>
      </c>
      <c r="P812" t="n">
        <v>0</v>
      </c>
      <c r="Q812" t="n">
        <v>0</v>
      </c>
      <c r="R812" s="2" t="inlineStr"/>
    </row>
    <row r="813" ht="15" customHeight="1">
      <c r="A813" t="inlineStr">
        <is>
          <t>A 14512-2025</t>
        </is>
      </c>
      <c r="B813" s="1" t="n">
        <v>45741.63659722222</v>
      </c>
      <c r="C813" s="1" t="n">
        <v>46033</v>
      </c>
      <c r="D813" t="inlineStr">
        <is>
          <t>JÄMTLANDS LÄN</t>
        </is>
      </c>
      <c r="E813" t="inlineStr">
        <is>
          <t>RAGUNDA</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50649-2022</t>
        </is>
      </c>
      <c r="B814" s="1" t="n">
        <v>44866</v>
      </c>
      <c r="C814" s="1" t="n">
        <v>46033</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61697-2025</t>
        </is>
      </c>
      <c r="B815" s="1" t="n">
        <v>46002</v>
      </c>
      <c r="C815" s="1" t="n">
        <v>46033</v>
      </c>
      <c r="D815" t="inlineStr">
        <is>
          <t>JÄMTLANDS LÄN</t>
        </is>
      </c>
      <c r="E815" t="inlineStr">
        <is>
          <t>RAGUNDA</t>
        </is>
      </c>
      <c r="G815" t="n">
        <v>1.3</v>
      </c>
      <c r="H815" t="n">
        <v>0</v>
      </c>
      <c r="I815" t="n">
        <v>0</v>
      </c>
      <c r="J815" t="n">
        <v>0</v>
      </c>
      <c r="K815" t="n">
        <v>0</v>
      </c>
      <c r="L815" t="n">
        <v>0</v>
      </c>
      <c r="M815" t="n">
        <v>0</v>
      </c>
      <c r="N815" t="n">
        <v>0</v>
      </c>
      <c r="O815" t="n">
        <v>0</v>
      </c>
      <c r="P815" t="n">
        <v>0</v>
      </c>
      <c r="Q815" t="n">
        <v>0</v>
      </c>
      <c r="R815" s="2" t="inlineStr"/>
    </row>
    <row r="816" ht="15" customHeight="1">
      <c r="A816" t="inlineStr">
        <is>
          <t>A 59759-2024</t>
        </is>
      </c>
      <c r="B816" s="1" t="n">
        <v>45639.55240740741</v>
      </c>
      <c r="C816" s="1" t="n">
        <v>46033</v>
      </c>
      <c r="D816" t="inlineStr">
        <is>
          <t>JÄMTLANDS LÄN</t>
        </is>
      </c>
      <c r="E816" t="inlineStr">
        <is>
          <t>RAGUNDA</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35537-2021</t>
        </is>
      </c>
      <c r="B817" s="1" t="n">
        <v>44384</v>
      </c>
      <c r="C817" s="1" t="n">
        <v>46033</v>
      </c>
      <c r="D817" t="inlineStr">
        <is>
          <t>JÄMTLANDS LÄN</t>
        </is>
      </c>
      <c r="E817" t="inlineStr">
        <is>
          <t>RAGUNDA</t>
        </is>
      </c>
      <c r="G817" t="n">
        <v>3.1</v>
      </c>
      <c r="H817" t="n">
        <v>0</v>
      </c>
      <c r="I817" t="n">
        <v>0</v>
      </c>
      <c r="J817" t="n">
        <v>0</v>
      </c>
      <c r="K817" t="n">
        <v>0</v>
      </c>
      <c r="L817" t="n">
        <v>0</v>
      </c>
      <c r="M817" t="n">
        <v>0</v>
      </c>
      <c r="N817" t="n">
        <v>0</v>
      </c>
      <c r="O817" t="n">
        <v>0</v>
      </c>
      <c r="P817" t="n">
        <v>0</v>
      </c>
      <c r="Q817" t="n">
        <v>0</v>
      </c>
      <c r="R817" s="2" t="inlineStr"/>
    </row>
    <row r="818" ht="15" customHeight="1">
      <c r="A818" t="inlineStr">
        <is>
          <t>A 2819-2023</t>
        </is>
      </c>
      <c r="B818" s="1" t="n">
        <v>44944</v>
      </c>
      <c r="C818" s="1" t="n">
        <v>46033</v>
      </c>
      <c r="D818" t="inlineStr">
        <is>
          <t>JÄMTLANDS LÄN</t>
        </is>
      </c>
      <c r="E818" t="inlineStr">
        <is>
          <t>RAGUNDA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53765-2025</t>
        </is>
      </c>
      <c r="B819" s="1" t="n">
        <v>45960.67753472222</v>
      </c>
      <c r="C819" s="1" t="n">
        <v>46033</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44536-2022</t>
        </is>
      </c>
      <c r="B820" s="1" t="n">
        <v>44839</v>
      </c>
      <c r="C820" s="1" t="n">
        <v>46033</v>
      </c>
      <c r="D820" t="inlineStr">
        <is>
          <t>JÄMTLANDS LÄN</t>
        </is>
      </c>
      <c r="E820" t="inlineStr">
        <is>
          <t>RAGUNDA</t>
        </is>
      </c>
      <c r="G820" t="n">
        <v>4</v>
      </c>
      <c r="H820" t="n">
        <v>0</v>
      </c>
      <c r="I820" t="n">
        <v>0</v>
      </c>
      <c r="J820" t="n">
        <v>0</v>
      </c>
      <c r="K820" t="n">
        <v>0</v>
      </c>
      <c r="L820" t="n">
        <v>0</v>
      </c>
      <c r="M820" t="n">
        <v>0</v>
      </c>
      <c r="N820" t="n">
        <v>0</v>
      </c>
      <c r="O820" t="n">
        <v>0</v>
      </c>
      <c r="P820" t="n">
        <v>0</v>
      </c>
      <c r="Q820" t="n">
        <v>0</v>
      </c>
      <c r="R820" s="2" t="inlineStr"/>
    </row>
    <row r="821" ht="15" customHeight="1">
      <c r="A821" t="inlineStr">
        <is>
          <t>A 53951-2025</t>
        </is>
      </c>
      <c r="B821" s="1" t="n">
        <v>45961.50200231482</v>
      </c>
      <c r="C821" s="1" t="n">
        <v>46033</v>
      </c>
      <c r="D821" t="inlineStr">
        <is>
          <t>JÄMTLANDS LÄN</t>
        </is>
      </c>
      <c r="E821" t="inlineStr">
        <is>
          <t>RAGUNDA</t>
        </is>
      </c>
      <c r="G821" t="n">
        <v>1.8</v>
      </c>
      <c r="H821" t="n">
        <v>0</v>
      </c>
      <c r="I821" t="n">
        <v>0</v>
      </c>
      <c r="J821" t="n">
        <v>0</v>
      </c>
      <c r="K821" t="n">
        <v>0</v>
      </c>
      <c r="L821" t="n">
        <v>0</v>
      </c>
      <c r="M821" t="n">
        <v>0</v>
      </c>
      <c r="N821" t="n">
        <v>0</v>
      </c>
      <c r="O821" t="n">
        <v>0</v>
      </c>
      <c r="P821" t="n">
        <v>0</v>
      </c>
      <c r="Q821" t="n">
        <v>0</v>
      </c>
      <c r="R821" s="2" t="inlineStr"/>
    </row>
    <row r="822" ht="15" customHeight="1">
      <c r="A822" t="inlineStr">
        <is>
          <t>A 53948-2025</t>
        </is>
      </c>
      <c r="B822" s="1" t="n">
        <v>45961.50033564815</v>
      </c>
      <c r="C822" s="1" t="n">
        <v>46033</v>
      </c>
      <c r="D822" t="inlineStr">
        <is>
          <t>JÄMTLANDS LÄN</t>
        </is>
      </c>
      <c r="E822" t="inlineStr">
        <is>
          <t>RAGUNDA</t>
        </is>
      </c>
      <c r="G822" t="n">
        <v>7.9</v>
      </c>
      <c r="H822" t="n">
        <v>0</v>
      </c>
      <c r="I822" t="n">
        <v>0</v>
      </c>
      <c r="J822" t="n">
        <v>0</v>
      </c>
      <c r="K822" t="n">
        <v>0</v>
      </c>
      <c r="L822" t="n">
        <v>0</v>
      </c>
      <c r="M822" t="n">
        <v>0</v>
      </c>
      <c r="N822" t="n">
        <v>0</v>
      </c>
      <c r="O822" t="n">
        <v>0</v>
      </c>
      <c r="P822" t="n">
        <v>0</v>
      </c>
      <c r="Q822" t="n">
        <v>0</v>
      </c>
      <c r="R822" s="2" t="inlineStr"/>
    </row>
    <row r="823" ht="15" customHeight="1">
      <c r="A823" t="inlineStr">
        <is>
          <t>A 62432-2025</t>
        </is>
      </c>
      <c r="B823" s="1" t="n">
        <v>46007</v>
      </c>
      <c r="C823" s="1" t="n">
        <v>46033</v>
      </c>
      <c r="D823" t="inlineStr">
        <is>
          <t>JÄMTLANDS LÄN</t>
        </is>
      </c>
      <c r="E823" t="inlineStr">
        <is>
          <t>RAGUNDA</t>
        </is>
      </c>
      <c r="G823" t="n">
        <v>4.7</v>
      </c>
      <c r="H823" t="n">
        <v>0</v>
      </c>
      <c r="I823" t="n">
        <v>0</v>
      </c>
      <c r="J823" t="n">
        <v>0</v>
      </c>
      <c r="K823" t="n">
        <v>0</v>
      </c>
      <c r="L823" t="n">
        <v>0</v>
      </c>
      <c r="M823" t="n">
        <v>0</v>
      </c>
      <c r="N823" t="n">
        <v>0</v>
      </c>
      <c r="O823" t="n">
        <v>0</v>
      </c>
      <c r="P823" t="n">
        <v>0</v>
      </c>
      <c r="Q823" t="n">
        <v>0</v>
      </c>
      <c r="R823" s="2" t="inlineStr"/>
    </row>
    <row r="824" ht="15" customHeight="1">
      <c r="A824" t="inlineStr">
        <is>
          <t>A 62436-2025</t>
        </is>
      </c>
      <c r="B824" s="1" t="n">
        <v>46007</v>
      </c>
      <c r="C824" s="1" t="n">
        <v>46033</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62467-2025</t>
        </is>
      </c>
      <c r="B825" s="1" t="n">
        <v>46007.5108912037</v>
      </c>
      <c r="C825" s="1" t="n">
        <v>46033</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50160-2023</t>
        </is>
      </c>
      <c r="B826" s="1" t="n">
        <v>45208</v>
      </c>
      <c r="C826" s="1" t="n">
        <v>46033</v>
      </c>
      <c r="D826" t="inlineStr">
        <is>
          <t>JÄMTLANDS LÄN</t>
        </is>
      </c>
      <c r="E826" t="inlineStr">
        <is>
          <t>RAGUNDA</t>
        </is>
      </c>
      <c r="G826" t="n">
        <v>4.6</v>
      </c>
      <c r="H826" t="n">
        <v>0</v>
      </c>
      <c r="I826" t="n">
        <v>0</v>
      </c>
      <c r="J826" t="n">
        <v>0</v>
      </c>
      <c r="K826" t="n">
        <v>0</v>
      </c>
      <c r="L826" t="n">
        <v>0</v>
      </c>
      <c r="M826" t="n">
        <v>0</v>
      </c>
      <c r="N826" t="n">
        <v>0</v>
      </c>
      <c r="O826" t="n">
        <v>0</v>
      </c>
      <c r="P826" t="n">
        <v>0</v>
      </c>
      <c r="Q826" t="n">
        <v>0</v>
      </c>
      <c r="R826" s="2" t="inlineStr"/>
    </row>
    <row r="827" ht="15" customHeight="1">
      <c r="A827" t="inlineStr">
        <is>
          <t>A 54195-2025</t>
        </is>
      </c>
      <c r="B827" s="1" t="n">
        <v>45964.57413194444</v>
      </c>
      <c r="C827" s="1" t="n">
        <v>46033</v>
      </c>
      <c r="D827" t="inlineStr">
        <is>
          <t>JÄMTLANDS LÄN</t>
        </is>
      </c>
      <c r="E827" t="inlineStr">
        <is>
          <t>RAGUNDA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30459-2021</t>
        </is>
      </c>
      <c r="B828" s="1" t="n">
        <v>44362</v>
      </c>
      <c r="C828" s="1" t="n">
        <v>46033</v>
      </c>
      <c r="D828" t="inlineStr">
        <is>
          <t>JÄMTLANDS LÄN</t>
        </is>
      </c>
      <c r="E828" t="inlineStr">
        <is>
          <t>RAGUNDA</t>
        </is>
      </c>
      <c r="G828" t="n">
        <v>1</v>
      </c>
      <c r="H828" t="n">
        <v>0</v>
      </c>
      <c r="I828" t="n">
        <v>0</v>
      </c>
      <c r="J828" t="n">
        <v>0</v>
      </c>
      <c r="K828" t="n">
        <v>0</v>
      </c>
      <c r="L828" t="n">
        <v>0</v>
      </c>
      <c r="M828" t="n">
        <v>0</v>
      </c>
      <c r="N828" t="n">
        <v>0</v>
      </c>
      <c r="O828" t="n">
        <v>0</v>
      </c>
      <c r="P828" t="n">
        <v>0</v>
      </c>
      <c r="Q828" t="n">
        <v>0</v>
      </c>
      <c r="R828" s="2" t="inlineStr"/>
    </row>
    <row r="829" ht="15" customHeight="1">
      <c r="A829" t="inlineStr">
        <is>
          <t>A 9504-2025</t>
        </is>
      </c>
      <c r="B829" s="1" t="n">
        <v>45714</v>
      </c>
      <c r="C829" s="1" t="n">
        <v>46033</v>
      </c>
      <c r="D829" t="inlineStr">
        <is>
          <t>JÄMTLANDS LÄN</t>
        </is>
      </c>
      <c r="E829" t="inlineStr">
        <is>
          <t>RAGUNDA</t>
        </is>
      </c>
      <c r="G829" t="n">
        <v>6</v>
      </c>
      <c r="H829" t="n">
        <v>0</v>
      </c>
      <c r="I829" t="n">
        <v>0</v>
      </c>
      <c r="J829" t="n">
        <v>0</v>
      </c>
      <c r="K829" t="n">
        <v>0</v>
      </c>
      <c r="L829" t="n">
        <v>0</v>
      </c>
      <c r="M829" t="n">
        <v>0</v>
      </c>
      <c r="N829" t="n">
        <v>0</v>
      </c>
      <c r="O829" t="n">
        <v>0</v>
      </c>
      <c r="P829" t="n">
        <v>0</v>
      </c>
      <c r="Q829" t="n">
        <v>0</v>
      </c>
      <c r="R829" s="2" t="inlineStr"/>
    </row>
    <row r="830" ht="15" customHeight="1">
      <c r="A830" t="inlineStr">
        <is>
          <t>A 54396-2025</t>
        </is>
      </c>
      <c r="B830" s="1" t="n">
        <v>45965.44849537037</v>
      </c>
      <c r="C830" s="1" t="n">
        <v>46033</v>
      </c>
      <c r="D830" t="inlineStr">
        <is>
          <t>JÄMTLANDS LÄN</t>
        </is>
      </c>
      <c r="E830" t="inlineStr">
        <is>
          <t>RAGUNDA</t>
        </is>
      </c>
      <c r="F830" t="inlineStr">
        <is>
          <t>SCA</t>
        </is>
      </c>
      <c r="G830" t="n">
        <v>35.2</v>
      </c>
      <c r="H830" t="n">
        <v>0</v>
      </c>
      <c r="I830" t="n">
        <v>0</v>
      </c>
      <c r="J830" t="n">
        <v>0</v>
      </c>
      <c r="K830" t="n">
        <v>0</v>
      </c>
      <c r="L830" t="n">
        <v>0</v>
      </c>
      <c r="M830" t="n">
        <v>0</v>
      </c>
      <c r="N830" t="n">
        <v>0</v>
      </c>
      <c r="O830" t="n">
        <v>0</v>
      </c>
      <c r="P830" t="n">
        <v>0</v>
      </c>
      <c r="Q830" t="n">
        <v>0</v>
      </c>
      <c r="R830" s="2" t="inlineStr"/>
    </row>
    <row r="831" ht="15" customHeight="1">
      <c r="A831" t="inlineStr">
        <is>
          <t>A 37543-2023</t>
        </is>
      </c>
      <c r="B831" s="1" t="n">
        <v>45158.94231481481</v>
      </c>
      <c r="C831" s="1" t="n">
        <v>46033</v>
      </c>
      <c r="D831" t="inlineStr">
        <is>
          <t>JÄMTLANDS LÄN</t>
        </is>
      </c>
      <c r="E831" t="inlineStr">
        <is>
          <t>RAGUNDA</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62490-2025</t>
        </is>
      </c>
      <c r="B832" s="1" t="n">
        <v>46007.5697337963</v>
      </c>
      <c r="C832" s="1" t="n">
        <v>46033</v>
      </c>
      <c r="D832" t="inlineStr">
        <is>
          <t>JÄMTLANDS LÄN</t>
        </is>
      </c>
      <c r="E832" t="inlineStr">
        <is>
          <t>RAGUNDA</t>
        </is>
      </c>
      <c r="F832" t="inlineStr">
        <is>
          <t>Kommuner</t>
        </is>
      </c>
      <c r="G832" t="n">
        <v>0.8</v>
      </c>
      <c r="H832" t="n">
        <v>0</v>
      </c>
      <c r="I832" t="n">
        <v>0</v>
      </c>
      <c r="J832" t="n">
        <v>0</v>
      </c>
      <c r="K832" t="n">
        <v>0</v>
      </c>
      <c r="L832" t="n">
        <v>0</v>
      </c>
      <c r="M832" t="n">
        <v>0</v>
      </c>
      <c r="N832" t="n">
        <v>0</v>
      </c>
      <c r="O832" t="n">
        <v>0</v>
      </c>
      <c r="P832" t="n">
        <v>0</v>
      </c>
      <c r="Q832" t="n">
        <v>0</v>
      </c>
      <c r="R832" s="2" t="inlineStr"/>
    </row>
    <row r="833" ht="15" customHeight="1">
      <c r="A833" t="inlineStr">
        <is>
          <t>A 50157-2023</t>
        </is>
      </c>
      <c r="B833" s="1" t="n">
        <v>45208</v>
      </c>
      <c r="C833" s="1" t="n">
        <v>46033</v>
      </c>
      <c r="D833" t="inlineStr">
        <is>
          <t>JÄMTLANDS LÄN</t>
        </is>
      </c>
      <c r="E833" t="inlineStr">
        <is>
          <t>RAGUNDA</t>
        </is>
      </c>
      <c r="G833" t="n">
        <v>0.9</v>
      </c>
      <c r="H833" t="n">
        <v>0</v>
      </c>
      <c r="I833" t="n">
        <v>0</v>
      </c>
      <c r="J833" t="n">
        <v>0</v>
      </c>
      <c r="K833" t="n">
        <v>0</v>
      </c>
      <c r="L833" t="n">
        <v>0</v>
      </c>
      <c r="M833" t="n">
        <v>0</v>
      </c>
      <c r="N833" t="n">
        <v>0</v>
      </c>
      <c r="O833" t="n">
        <v>0</v>
      </c>
      <c r="P833" t="n">
        <v>0</v>
      </c>
      <c r="Q833" t="n">
        <v>0</v>
      </c>
      <c r="R833" s="2" t="inlineStr"/>
    </row>
    <row r="834" ht="15" customHeight="1">
      <c r="A834" t="inlineStr">
        <is>
          <t>A 7668-2025</t>
        </is>
      </c>
      <c r="B834" s="1" t="n">
        <v>45706.34450231482</v>
      </c>
      <c r="C834" s="1" t="n">
        <v>46033</v>
      </c>
      <c r="D834" t="inlineStr">
        <is>
          <t>JÄMTLANDS LÄN</t>
        </is>
      </c>
      <c r="E834" t="inlineStr">
        <is>
          <t>RAGUNDA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36046-2023</t>
        </is>
      </c>
      <c r="B835" s="1" t="n">
        <v>45148</v>
      </c>
      <c r="C835" s="1" t="n">
        <v>46033</v>
      </c>
      <c r="D835" t="inlineStr">
        <is>
          <t>JÄMTLANDS LÄN</t>
        </is>
      </c>
      <c r="E835" t="inlineStr">
        <is>
          <t>RAGUNDA</t>
        </is>
      </c>
      <c r="G835" t="n">
        <v>1.9</v>
      </c>
      <c r="H835" t="n">
        <v>0</v>
      </c>
      <c r="I835" t="n">
        <v>0</v>
      </c>
      <c r="J835" t="n">
        <v>0</v>
      </c>
      <c r="K835" t="n">
        <v>0</v>
      </c>
      <c r="L835" t="n">
        <v>0</v>
      </c>
      <c r="M835" t="n">
        <v>0</v>
      </c>
      <c r="N835" t="n">
        <v>0</v>
      </c>
      <c r="O835" t="n">
        <v>0</v>
      </c>
      <c r="P835" t="n">
        <v>0</v>
      </c>
      <c r="Q835" t="n">
        <v>0</v>
      </c>
      <c r="R835" s="2" t="inlineStr"/>
    </row>
    <row r="836" ht="15" customHeight="1">
      <c r="A836" t="inlineStr">
        <is>
          <t>A 63060-2025</t>
        </is>
      </c>
      <c r="B836" s="1" t="n">
        <v>46009.64414351852</v>
      </c>
      <c r="C836" s="1" t="n">
        <v>46033</v>
      </c>
      <c r="D836" t="inlineStr">
        <is>
          <t>JÄMTLANDS LÄN</t>
        </is>
      </c>
      <c r="E836" t="inlineStr">
        <is>
          <t>RAGUNDA</t>
        </is>
      </c>
      <c r="G836" t="n">
        <v>6.5</v>
      </c>
      <c r="H836" t="n">
        <v>0</v>
      </c>
      <c r="I836" t="n">
        <v>0</v>
      </c>
      <c r="J836" t="n">
        <v>0</v>
      </c>
      <c r="K836" t="n">
        <v>0</v>
      </c>
      <c r="L836" t="n">
        <v>0</v>
      </c>
      <c r="M836" t="n">
        <v>0</v>
      </c>
      <c r="N836" t="n">
        <v>0</v>
      </c>
      <c r="O836" t="n">
        <v>0</v>
      </c>
      <c r="P836" t="n">
        <v>0</v>
      </c>
      <c r="Q836" t="n">
        <v>0</v>
      </c>
      <c r="R836" s="2" t="inlineStr"/>
    </row>
    <row r="837" ht="15" customHeight="1">
      <c r="A837" t="inlineStr">
        <is>
          <t>A 8654-2024</t>
        </is>
      </c>
      <c r="B837" s="1" t="n">
        <v>45356.03784722222</v>
      </c>
      <c r="C837" s="1" t="n">
        <v>46033</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6902-2024</t>
        </is>
      </c>
      <c r="B838" s="1" t="n">
        <v>45342</v>
      </c>
      <c r="C838" s="1" t="n">
        <v>46033</v>
      </c>
      <c r="D838" t="inlineStr">
        <is>
          <t>JÄMTLANDS LÄN</t>
        </is>
      </c>
      <c r="E838" t="inlineStr">
        <is>
          <t>RAGUNDA</t>
        </is>
      </c>
      <c r="F838" t="inlineStr">
        <is>
          <t>SCA</t>
        </is>
      </c>
      <c r="G838" t="n">
        <v>18.7</v>
      </c>
      <c r="H838" t="n">
        <v>0</v>
      </c>
      <c r="I838" t="n">
        <v>0</v>
      </c>
      <c r="J838" t="n">
        <v>0</v>
      </c>
      <c r="K838" t="n">
        <v>0</v>
      </c>
      <c r="L838" t="n">
        <v>0</v>
      </c>
      <c r="M838" t="n">
        <v>0</v>
      </c>
      <c r="N838" t="n">
        <v>0</v>
      </c>
      <c r="O838" t="n">
        <v>0</v>
      </c>
      <c r="P838" t="n">
        <v>0</v>
      </c>
      <c r="Q838" t="n">
        <v>0</v>
      </c>
      <c r="R838" s="2" t="inlineStr"/>
    </row>
    <row r="839" ht="15" customHeight="1">
      <c r="A839" t="inlineStr">
        <is>
          <t>A 6905-2024</t>
        </is>
      </c>
      <c r="B839" s="1" t="n">
        <v>45342.9462037037</v>
      </c>
      <c r="C839" s="1" t="n">
        <v>46033</v>
      </c>
      <c r="D839" t="inlineStr">
        <is>
          <t>JÄMTLANDS LÄN</t>
        </is>
      </c>
      <c r="E839" t="inlineStr">
        <is>
          <t>RAGUNDA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22731-2023</t>
        </is>
      </c>
      <c r="B840" s="1" t="n">
        <v>45071</v>
      </c>
      <c r="C840" s="1" t="n">
        <v>46033</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11245-2025</t>
        </is>
      </c>
      <c r="B841" s="1" t="n">
        <v>45726.38575231482</v>
      </c>
      <c r="C841" s="1" t="n">
        <v>46033</v>
      </c>
      <c r="D841" t="inlineStr">
        <is>
          <t>JÄMTLANDS LÄN</t>
        </is>
      </c>
      <c r="E841" t="inlineStr">
        <is>
          <t>RAGUNDA</t>
        </is>
      </c>
      <c r="G841" t="n">
        <v>2.3</v>
      </c>
      <c r="H841" t="n">
        <v>0</v>
      </c>
      <c r="I841" t="n">
        <v>0</v>
      </c>
      <c r="J841" t="n">
        <v>0</v>
      </c>
      <c r="K841" t="n">
        <v>0</v>
      </c>
      <c r="L841" t="n">
        <v>0</v>
      </c>
      <c r="M841" t="n">
        <v>0</v>
      </c>
      <c r="N841" t="n">
        <v>0</v>
      </c>
      <c r="O841" t="n">
        <v>0</v>
      </c>
      <c r="P841" t="n">
        <v>0</v>
      </c>
      <c r="Q841" t="n">
        <v>0</v>
      </c>
      <c r="R841" s="2" t="inlineStr"/>
    </row>
    <row r="842" ht="15" customHeight="1">
      <c r="A842" t="inlineStr">
        <is>
          <t>A 54794-2025</t>
        </is>
      </c>
      <c r="B842" s="1" t="n">
        <v>45966.63592592593</v>
      </c>
      <c r="C842" s="1" t="n">
        <v>46033</v>
      </c>
      <c r="D842" t="inlineStr">
        <is>
          <t>JÄMTLANDS LÄN</t>
        </is>
      </c>
      <c r="E842" t="inlineStr">
        <is>
          <t>RAGUNDA</t>
        </is>
      </c>
      <c r="G842" t="n">
        <v>4</v>
      </c>
      <c r="H842" t="n">
        <v>0</v>
      </c>
      <c r="I842" t="n">
        <v>0</v>
      </c>
      <c r="J842" t="n">
        <v>0</v>
      </c>
      <c r="K842" t="n">
        <v>0</v>
      </c>
      <c r="L842" t="n">
        <v>0</v>
      </c>
      <c r="M842" t="n">
        <v>0</v>
      </c>
      <c r="N842" t="n">
        <v>0</v>
      </c>
      <c r="O842" t="n">
        <v>0</v>
      </c>
      <c r="P842" t="n">
        <v>0</v>
      </c>
      <c r="Q842" t="n">
        <v>0</v>
      </c>
      <c r="R842" s="2" t="inlineStr"/>
    </row>
    <row r="843" ht="15" customHeight="1">
      <c r="A843" t="inlineStr">
        <is>
          <t>A 61923-2024</t>
        </is>
      </c>
      <c r="B843" s="1" t="n">
        <v>45653.44836805556</v>
      </c>
      <c r="C843" s="1" t="n">
        <v>46033</v>
      </c>
      <c r="D843" t="inlineStr">
        <is>
          <t>JÄMTLANDS LÄN</t>
        </is>
      </c>
      <c r="E843" t="inlineStr">
        <is>
          <t>RAGUNDA</t>
        </is>
      </c>
      <c r="F843" t="inlineStr">
        <is>
          <t>SCA</t>
        </is>
      </c>
      <c r="G843" t="n">
        <v>11.1</v>
      </c>
      <c r="H843" t="n">
        <v>0</v>
      </c>
      <c r="I843" t="n">
        <v>0</v>
      </c>
      <c r="J843" t="n">
        <v>0</v>
      </c>
      <c r="K843" t="n">
        <v>0</v>
      </c>
      <c r="L843" t="n">
        <v>0</v>
      </c>
      <c r="M843" t="n">
        <v>0</v>
      </c>
      <c r="N843" t="n">
        <v>0</v>
      </c>
      <c r="O843" t="n">
        <v>0</v>
      </c>
      <c r="P843" t="n">
        <v>0</v>
      </c>
      <c r="Q843" t="n">
        <v>0</v>
      </c>
      <c r="R843" s="2" t="inlineStr"/>
    </row>
    <row r="844" ht="15" customHeight="1">
      <c r="A844" t="inlineStr">
        <is>
          <t>A 62638-2025</t>
        </is>
      </c>
      <c r="B844" s="1" t="n">
        <v>46008.36564814814</v>
      </c>
      <c r="C844" s="1" t="n">
        <v>46033</v>
      </c>
      <c r="D844" t="inlineStr">
        <is>
          <t>JÄMTLANDS LÄN</t>
        </is>
      </c>
      <c r="E844" t="inlineStr">
        <is>
          <t>RAGUNDA</t>
        </is>
      </c>
      <c r="G844" t="n">
        <v>0.9</v>
      </c>
      <c r="H844" t="n">
        <v>0</v>
      </c>
      <c r="I844" t="n">
        <v>0</v>
      </c>
      <c r="J844" t="n">
        <v>0</v>
      </c>
      <c r="K844" t="n">
        <v>0</v>
      </c>
      <c r="L844" t="n">
        <v>0</v>
      </c>
      <c r="M844" t="n">
        <v>0</v>
      </c>
      <c r="N844" t="n">
        <v>0</v>
      </c>
      <c r="O844" t="n">
        <v>0</v>
      </c>
      <c r="P844" t="n">
        <v>0</v>
      </c>
      <c r="Q844" t="n">
        <v>0</v>
      </c>
      <c r="R844" s="2" t="inlineStr"/>
    </row>
    <row r="845" ht="15" customHeight="1">
      <c r="A845" t="inlineStr">
        <is>
          <t>A 23567-2024</t>
        </is>
      </c>
      <c r="B845" s="1" t="n">
        <v>45453.95538194444</v>
      </c>
      <c r="C845" s="1" t="n">
        <v>46033</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19246-2023</t>
        </is>
      </c>
      <c r="B846" s="1" t="n">
        <v>45048.94340277778</v>
      </c>
      <c r="C846" s="1" t="n">
        <v>46033</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62691-2025</t>
        </is>
      </c>
      <c r="B847" s="1" t="n">
        <v>46008.4759837963</v>
      </c>
      <c r="C847" s="1" t="n">
        <v>46033</v>
      </c>
      <c r="D847" t="inlineStr">
        <is>
          <t>JÄMTLANDS LÄN</t>
        </is>
      </c>
      <c r="E847" t="inlineStr">
        <is>
          <t>RAGUNDA</t>
        </is>
      </c>
      <c r="G847" t="n">
        <v>2.6</v>
      </c>
      <c r="H847" t="n">
        <v>0</v>
      </c>
      <c r="I847" t="n">
        <v>0</v>
      </c>
      <c r="J847" t="n">
        <v>0</v>
      </c>
      <c r="K847" t="n">
        <v>0</v>
      </c>
      <c r="L847" t="n">
        <v>0</v>
      </c>
      <c r="M847" t="n">
        <v>0</v>
      </c>
      <c r="N847" t="n">
        <v>0</v>
      </c>
      <c r="O847" t="n">
        <v>0</v>
      </c>
      <c r="P847" t="n">
        <v>0</v>
      </c>
      <c r="Q847" t="n">
        <v>0</v>
      </c>
      <c r="R847" s="2" t="inlineStr"/>
    </row>
    <row r="848" ht="15" customHeight="1">
      <c r="A848" t="inlineStr">
        <is>
          <t>A 61109-2024</t>
        </is>
      </c>
      <c r="B848" s="1" t="n">
        <v>45645.55672453704</v>
      </c>
      <c r="C848" s="1" t="n">
        <v>46033</v>
      </c>
      <c r="D848" t="inlineStr">
        <is>
          <t>JÄMTLANDS LÄN</t>
        </is>
      </c>
      <c r="E848" t="inlineStr">
        <is>
          <t>RAGUNDA</t>
        </is>
      </c>
      <c r="G848" t="n">
        <v>4</v>
      </c>
      <c r="H848" t="n">
        <v>0</v>
      </c>
      <c r="I848" t="n">
        <v>0</v>
      </c>
      <c r="J848" t="n">
        <v>0</v>
      </c>
      <c r="K848" t="n">
        <v>0</v>
      </c>
      <c r="L848" t="n">
        <v>0</v>
      </c>
      <c r="M848" t="n">
        <v>0</v>
      </c>
      <c r="N848" t="n">
        <v>0</v>
      </c>
      <c r="O848" t="n">
        <v>0</v>
      </c>
      <c r="P848" t="n">
        <v>0</v>
      </c>
      <c r="Q848" t="n">
        <v>0</v>
      </c>
      <c r="R848" s="2" t="inlineStr"/>
    </row>
    <row r="849" ht="15" customHeight="1">
      <c r="A849" t="inlineStr">
        <is>
          <t>A 58955-2024</t>
        </is>
      </c>
      <c r="B849" s="1" t="n">
        <v>45636.57329861111</v>
      </c>
      <c r="C849" s="1" t="n">
        <v>46033</v>
      </c>
      <c r="D849" t="inlineStr">
        <is>
          <t>JÄMTLANDS LÄN</t>
        </is>
      </c>
      <c r="E849" t="inlineStr">
        <is>
          <t>RAGUNDA</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62927-2025</t>
        </is>
      </c>
      <c r="B850" s="1" t="n">
        <v>46009.38609953703</v>
      </c>
      <c r="C850" s="1" t="n">
        <v>46033</v>
      </c>
      <c r="D850" t="inlineStr">
        <is>
          <t>JÄMTLANDS LÄN</t>
        </is>
      </c>
      <c r="E850" t="inlineStr">
        <is>
          <t>RAGUNDA</t>
        </is>
      </c>
      <c r="G850" t="n">
        <v>6.3</v>
      </c>
      <c r="H850" t="n">
        <v>0</v>
      </c>
      <c r="I850" t="n">
        <v>0</v>
      </c>
      <c r="J850" t="n">
        <v>0</v>
      </c>
      <c r="K850" t="n">
        <v>0</v>
      </c>
      <c r="L850" t="n">
        <v>0</v>
      </c>
      <c r="M850" t="n">
        <v>0</v>
      </c>
      <c r="N850" t="n">
        <v>0</v>
      </c>
      <c r="O850" t="n">
        <v>0</v>
      </c>
      <c r="P850" t="n">
        <v>0</v>
      </c>
      <c r="Q850" t="n">
        <v>0</v>
      </c>
      <c r="R850" s="2" t="inlineStr"/>
      <c r="U850">
        <f>HYPERLINK("https://klasma.github.io/Logging_2303/knärot/A 62927-2025 karta knärot.png", "A 62927-2025")</f>
        <v/>
      </c>
      <c r="V850">
        <f>HYPERLINK("https://klasma.github.io/Logging_2303/klagomål/A 62927-2025 FSC-klagomål.docx", "A 62927-2025")</f>
        <v/>
      </c>
      <c r="W850">
        <f>HYPERLINK("https://klasma.github.io/Logging_2303/klagomålsmail/A 62927-2025 FSC-klagomål mail.docx", "A 62927-2025")</f>
        <v/>
      </c>
      <c r="X850">
        <f>HYPERLINK("https://klasma.github.io/Logging_2303/tillsyn/A 62927-2025 tillsynsbegäran.docx", "A 62927-2025")</f>
        <v/>
      </c>
      <c r="Y850">
        <f>HYPERLINK("https://klasma.github.io/Logging_2303/tillsynsmail/A 62927-2025 tillsynsbegäran mail.docx", "A 62927-2025")</f>
        <v/>
      </c>
    </row>
    <row r="851" ht="15" customHeight="1">
      <c r="A851" t="inlineStr">
        <is>
          <t>A 62819-2025</t>
        </is>
      </c>
      <c r="B851" s="1" t="n">
        <v>46008</v>
      </c>
      <c r="C851" s="1" t="n">
        <v>46033</v>
      </c>
      <c r="D851" t="inlineStr">
        <is>
          <t>JÄMTLANDS LÄN</t>
        </is>
      </c>
      <c r="E851" t="inlineStr">
        <is>
          <t>RAGUNDA</t>
        </is>
      </c>
      <c r="G851" t="n">
        <v>3.5</v>
      </c>
      <c r="H851" t="n">
        <v>0</v>
      </c>
      <c r="I851" t="n">
        <v>0</v>
      </c>
      <c r="J851" t="n">
        <v>0</v>
      </c>
      <c r="K851" t="n">
        <v>0</v>
      </c>
      <c r="L851" t="n">
        <v>0</v>
      </c>
      <c r="M851" t="n">
        <v>0</v>
      </c>
      <c r="N851" t="n">
        <v>0</v>
      </c>
      <c r="O851" t="n">
        <v>0</v>
      </c>
      <c r="P851" t="n">
        <v>0</v>
      </c>
      <c r="Q851" t="n">
        <v>0</v>
      </c>
      <c r="R851" s="2" t="inlineStr"/>
    </row>
    <row r="852" ht="15" customHeight="1">
      <c r="A852" t="inlineStr">
        <is>
          <t>A 33877-2023</t>
        </is>
      </c>
      <c r="B852" s="1" t="n">
        <v>45133</v>
      </c>
      <c r="C852" s="1" t="n">
        <v>46033</v>
      </c>
      <c r="D852" t="inlineStr">
        <is>
          <t>JÄMTLANDS LÄN</t>
        </is>
      </c>
      <c r="E852" t="inlineStr">
        <is>
          <t>RAGUNDA</t>
        </is>
      </c>
      <c r="F852" t="inlineStr">
        <is>
          <t>SCA</t>
        </is>
      </c>
      <c r="G852" t="n">
        <v>4.3</v>
      </c>
      <c r="H852" t="n">
        <v>0</v>
      </c>
      <c r="I852" t="n">
        <v>0</v>
      </c>
      <c r="J852" t="n">
        <v>0</v>
      </c>
      <c r="K852" t="n">
        <v>0</v>
      </c>
      <c r="L852" t="n">
        <v>0</v>
      </c>
      <c r="M852" t="n">
        <v>0</v>
      </c>
      <c r="N852" t="n">
        <v>0</v>
      </c>
      <c r="O852" t="n">
        <v>0</v>
      </c>
      <c r="P852" t="n">
        <v>0</v>
      </c>
      <c r="Q852" t="n">
        <v>0</v>
      </c>
      <c r="R852" s="2" t="inlineStr"/>
    </row>
    <row r="853" ht="15" customHeight="1">
      <c r="A853" t="inlineStr">
        <is>
          <t>A 62541-2022</t>
        </is>
      </c>
      <c r="B853" s="1" t="n">
        <v>44917</v>
      </c>
      <c r="C853" s="1" t="n">
        <v>46033</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54820-2025</t>
        </is>
      </c>
      <c r="B854" s="1" t="n">
        <v>45966.65728009259</v>
      </c>
      <c r="C854" s="1" t="n">
        <v>46033</v>
      </c>
      <c r="D854" t="inlineStr">
        <is>
          <t>JÄMTLANDS LÄN</t>
        </is>
      </c>
      <c r="E854" t="inlineStr">
        <is>
          <t>RAGUNDA</t>
        </is>
      </c>
      <c r="G854" t="n">
        <v>15.3</v>
      </c>
      <c r="H854" t="n">
        <v>0</v>
      </c>
      <c r="I854" t="n">
        <v>0</v>
      </c>
      <c r="J854" t="n">
        <v>0</v>
      </c>
      <c r="K854" t="n">
        <v>0</v>
      </c>
      <c r="L854" t="n">
        <v>0</v>
      </c>
      <c r="M854" t="n">
        <v>0</v>
      </c>
      <c r="N854" t="n">
        <v>0</v>
      </c>
      <c r="O854" t="n">
        <v>0</v>
      </c>
      <c r="P854" t="n">
        <v>0</v>
      </c>
      <c r="Q854" t="n">
        <v>0</v>
      </c>
      <c r="R854" s="2" t="inlineStr"/>
    </row>
    <row r="855" ht="15" customHeight="1">
      <c r="A855" t="inlineStr">
        <is>
          <t>A 9567-2025</t>
        </is>
      </c>
      <c r="B855" s="1" t="n">
        <v>45715.61523148148</v>
      </c>
      <c r="C855" s="1" t="n">
        <v>46033</v>
      </c>
      <c r="D855" t="inlineStr">
        <is>
          <t>JÄMTLANDS LÄN</t>
        </is>
      </c>
      <c r="E855" t="inlineStr">
        <is>
          <t>RAGUNDA</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58909-2025</t>
        </is>
      </c>
      <c r="B856" s="1" t="n">
        <v>45987</v>
      </c>
      <c r="C856" s="1" t="n">
        <v>46033</v>
      </c>
      <c r="D856" t="inlineStr">
        <is>
          <t>JÄMTLANDS LÄN</t>
        </is>
      </c>
      <c r="E856" t="inlineStr">
        <is>
          <t>RAGUNDA</t>
        </is>
      </c>
      <c r="G856" t="n">
        <v>9.5</v>
      </c>
      <c r="H856" t="n">
        <v>0</v>
      </c>
      <c r="I856" t="n">
        <v>0</v>
      </c>
      <c r="J856" t="n">
        <v>0</v>
      </c>
      <c r="K856" t="n">
        <v>0</v>
      </c>
      <c r="L856" t="n">
        <v>0</v>
      </c>
      <c r="M856" t="n">
        <v>0</v>
      </c>
      <c r="N856" t="n">
        <v>0</v>
      </c>
      <c r="O856" t="n">
        <v>0</v>
      </c>
      <c r="P856" t="n">
        <v>0</v>
      </c>
      <c r="Q856" t="n">
        <v>0</v>
      </c>
      <c r="R856" s="2" t="inlineStr"/>
    </row>
    <row r="857" ht="15" customHeight="1">
      <c r="A857" t="inlineStr">
        <is>
          <t>A 21661-2023</t>
        </is>
      </c>
      <c r="B857" s="1" t="n">
        <v>45063</v>
      </c>
      <c r="C857" s="1" t="n">
        <v>46033</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63057-2025</t>
        </is>
      </c>
      <c r="B858" s="1" t="n">
        <v>46009.63837962963</v>
      </c>
      <c r="C858" s="1" t="n">
        <v>46033</v>
      </c>
      <c r="D858" t="inlineStr">
        <is>
          <t>JÄMTLANDS LÄN</t>
        </is>
      </c>
      <c r="E858" t="inlineStr">
        <is>
          <t>RAGUNDA</t>
        </is>
      </c>
      <c r="G858" t="n">
        <v>13.7</v>
      </c>
      <c r="H858" t="n">
        <v>0</v>
      </c>
      <c r="I858" t="n">
        <v>0</v>
      </c>
      <c r="J858" t="n">
        <v>0</v>
      </c>
      <c r="K858" t="n">
        <v>0</v>
      </c>
      <c r="L858" t="n">
        <v>0</v>
      </c>
      <c r="M858" t="n">
        <v>0</v>
      </c>
      <c r="N858" t="n">
        <v>0</v>
      </c>
      <c r="O858" t="n">
        <v>0</v>
      </c>
      <c r="P858" t="n">
        <v>0</v>
      </c>
      <c r="Q858" t="n">
        <v>0</v>
      </c>
      <c r="R858" s="2" t="inlineStr"/>
    </row>
    <row r="859" ht="15" customHeight="1">
      <c r="A859" t="inlineStr">
        <is>
          <t>A 69153-2021</t>
        </is>
      </c>
      <c r="B859" s="1" t="n">
        <v>44530.94694444445</v>
      </c>
      <c r="C859" s="1" t="n">
        <v>46033</v>
      </c>
      <c r="D859" t="inlineStr">
        <is>
          <t>JÄMTLANDS LÄN</t>
        </is>
      </c>
      <c r="E859" t="inlineStr">
        <is>
          <t>RAGUNDA</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12585-2024</t>
        </is>
      </c>
      <c r="B860" s="1" t="n">
        <v>45379.93637731481</v>
      </c>
      <c r="C860" s="1" t="n">
        <v>46033</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55489-2024</t>
        </is>
      </c>
      <c r="B861" s="1" t="n">
        <v>45622.44774305556</v>
      </c>
      <c r="C861" s="1" t="n">
        <v>46033</v>
      </c>
      <c r="D861" t="inlineStr">
        <is>
          <t>JÄMTLANDS LÄN</t>
        </is>
      </c>
      <c r="E861" t="inlineStr">
        <is>
          <t>RAGUNDA</t>
        </is>
      </c>
      <c r="G861" t="n">
        <v>1.6</v>
      </c>
      <c r="H861" t="n">
        <v>0</v>
      </c>
      <c r="I861" t="n">
        <v>0</v>
      </c>
      <c r="J861" t="n">
        <v>0</v>
      </c>
      <c r="K861" t="n">
        <v>0</v>
      </c>
      <c r="L861" t="n">
        <v>0</v>
      </c>
      <c r="M861" t="n">
        <v>0</v>
      </c>
      <c r="N861" t="n">
        <v>0</v>
      </c>
      <c r="O861" t="n">
        <v>0</v>
      </c>
      <c r="P861" t="n">
        <v>0</v>
      </c>
      <c r="Q861" t="n">
        <v>0</v>
      </c>
      <c r="R861" s="2" t="inlineStr"/>
    </row>
    <row r="862" ht="15" customHeight="1">
      <c r="A862" t="inlineStr">
        <is>
          <t>A 18631-2024</t>
        </is>
      </c>
      <c r="B862" s="1" t="n">
        <v>45425.96494212963</v>
      </c>
      <c r="C862" s="1" t="n">
        <v>46033</v>
      </c>
      <c r="D862" t="inlineStr">
        <is>
          <t>JÄMTLANDS LÄN</t>
        </is>
      </c>
      <c r="E862" t="inlineStr">
        <is>
          <t>RAGUNDA</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55547-2025</t>
        </is>
      </c>
      <c r="B863" s="1" t="n">
        <v>45971</v>
      </c>
      <c r="C863" s="1" t="n">
        <v>46033</v>
      </c>
      <c r="D863" t="inlineStr">
        <is>
          <t>JÄMTLANDS LÄN</t>
        </is>
      </c>
      <c r="E863" t="inlineStr">
        <is>
          <t>RAGUNDA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63141-2025</t>
        </is>
      </c>
      <c r="B864" s="1" t="n">
        <v>46010.34440972222</v>
      </c>
      <c r="C864" s="1" t="n">
        <v>46033</v>
      </c>
      <c r="D864" t="inlineStr">
        <is>
          <t>JÄMTLANDS LÄN</t>
        </is>
      </c>
      <c r="E864" t="inlineStr">
        <is>
          <t>RAGUNDA</t>
        </is>
      </c>
      <c r="F864" t="inlineStr">
        <is>
          <t>SCA</t>
        </is>
      </c>
      <c r="G864" t="n">
        <v>24.4</v>
      </c>
      <c r="H864" t="n">
        <v>0</v>
      </c>
      <c r="I864" t="n">
        <v>0</v>
      </c>
      <c r="J864" t="n">
        <v>0</v>
      </c>
      <c r="K864" t="n">
        <v>0</v>
      </c>
      <c r="L864" t="n">
        <v>0</v>
      </c>
      <c r="M864" t="n">
        <v>0</v>
      </c>
      <c r="N864" t="n">
        <v>0</v>
      </c>
      <c r="O864" t="n">
        <v>0</v>
      </c>
      <c r="P864" t="n">
        <v>0</v>
      </c>
      <c r="Q864" t="n">
        <v>0</v>
      </c>
      <c r="R864" s="2" t="inlineStr"/>
    </row>
    <row r="865" ht="15" customHeight="1">
      <c r="A865" t="inlineStr">
        <is>
          <t>A 63578-2025</t>
        </is>
      </c>
      <c r="B865" s="1" t="n">
        <v>46013.67690972222</v>
      </c>
      <c r="C865" s="1" t="n">
        <v>46033</v>
      </c>
      <c r="D865" t="inlineStr">
        <is>
          <t>JÄMTLANDS LÄN</t>
        </is>
      </c>
      <c r="E865" t="inlineStr">
        <is>
          <t>RAGUNDA</t>
        </is>
      </c>
      <c r="G865" t="n">
        <v>2.7</v>
      </c>
      <c r="H865" t="n">
        <v>0</v>
      </c>
      <c r="I865" t="n">
        <v>0</v>
      </c>
      <c r="J865" t="n">
        <v>0</v>
      </c>
      <c r="K865" t="n">
        <v>0</v>
      </c>
      <c r="L865" t="n">
        <v>0</v>
      </c>
      <c r="M865" t="n">
        <v>0</v>
      </c>
      <c r="N865" t="n">
        <v>0</v>
      </c>
      <c r="O865" t="n">
        <v>0</v>
      </c>
      <c r="P865" t="n">
        <v>0</v>
      </c>
      <c r="Q865" t="n">
        <v>0</v>
      </c>
      <c r="R865" s="2" t="inlineStr"/>
    </row>
    <row r="866" ht="15" customHeight="1">
      <c r="A866" t="inlineStr">
        <is>
          <t>A 26646-2023</t>
        </is>
      </c>
      <c r="B866" s="1" t="n">
        <v>45092</v>
      </c>
      <c r="C866" s="1" t="n">
        <v>46033</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43405-2023</t>
        </is>
      </c>
      <c r="B867" s="1" t="n">
        <v>45183.95563657407</v>
      </c>
      <c r="C867" s="1" t="n">
        <v>46033</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59496-2024</t>
        </is>
      </c>
      <c r="B868" s="1" t="n">
        <v>45638</v>
      </c>
      <c r="C868" s="1" t="n">
        <v>46033</v>
      </c>
      <c r="D868" t="inlineStr">
        <is>
          <t>JÄMTLANDS LÄN</t>
        </is>
      </c>
      <c r="E868" t="inlineStr">
        <is>
          <t>RAGUNDA</t>
        </is>
      </c>
      <c r="G868" t="n">
        <v>13.1</v>
      </c>
      <c r="H868" t="n">
        <v>0</v>
      </c>
      <c r="I868" t="n">
        <v>0</v>
      </c>
      <c r="J868" t="n">
        <v>0</v>
      </c>
      <c r="K868" t="n">
        <v>0</v>
      </c>
      <c r="L868" t="n">
        <v>0</v>
      </c>
      <c r="M868" t="n">
        <v>0</v>
      </c>
      <c r="N868" t="n">
        <v>0</v>
      </c>
      <c r="O868" t="n">
        <v>0</v>
      </c>
      <c r="P868" t="n">
        <v>0</v>
      </c>
      <c r="Q868" t="n">
        <v>0</v>
      </c>
      <c r="R868" s="2" t="inlineStr"/>
    </row>
    <row r="869" ht="15" customHeight="1">
      <c r="A869" t="inlineStr">
        <is>
          <t>A 62106-2023</t>
        </is>
      </c>
      <c r="B869" s="1" t="n">
        <v>45266.95082175926</v>
      </c>
      <c r="C869" s="1" t="n">
        <v>46033</v>
      </c>
      <c r="D869" t="inlineStr">
        <is>
          <t>JÄMTLANDS LÄN</t>
        </is>
      </c>
      <c r="E869" t="inlineStr">
        <is>
          <t>RAGUNDA</t>
        </is>
      </c>
      <c r="F869" t="inlineStr">
        <is>
          <t>SCA</t>
        </is>
      </c>
      <c r="G869" t="n">
        <v>6.6</v>
      </c>
      <c r="H869" t="n">
        <v>0</v>
      </c>
      <c r="I869" t="n">
        <v>0</v>
      </c>
      <c r="J869" t="n">
        <v>0</v>
      </c>
      <c r="K869" t="n">
        <v>0</v>
      </c>
      <c r="L869" t="n">
        <v>0</v>
      </c>
      <c r="M869" t="n">
        <v>0</v>
      </c>
      <c r="N869" t="n">
        <v>0</v>
      </c>
      <c r="O869" t="n">
        <v>0</v>
      </c>
      <c r="P869" t="n">
        <v>0</v>
      </c>
      <c r="Q869" t="n">
        <v>0</v>
      </c>
      <c r="R869" s="2" t="inlineStr"/>
    </row>
    <row r="870" ht="15" customHeight="1">
      <c r="A870" t="inlineStr">
        <is>
          <t>A 18781-2024</t>
        </is>
      </c>
      <c r="B870" s="1" t="n">
        <v>45426</v>
      </c>
      <c r="C870" s="1" t="n">
        <v>46033</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62081-2022</t>
        </is>
      </c>
      <c r="B871" s="1" t="n">
        <v>44918</v>
      </c>
      <c r="C871" s="1" t="n">
        <v>46033</v>
      </c>
      <c r="D871" t="inlineStr">
        <is>
          <t>JÄMTLANDS LÄN</t>
        </is>
      </c>
      <c r="E871" t="inlineStr">
        <is>
          <t>RAGUNDA</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55797-2025</t>
        </is>
      </c>
      <c r="B872" s="1" t="n">
        <v>45972.65693287037</v>
      </c>
      <c r="C872" s="1" t="n">
        <v>46033</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30826-2023</t>
        </is>
      </c>
      <c r="B873" s="1" t="n">
        <v>45112</v>
      </c>
      <c r="C873" s="1" t="n">
        <v>46033</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53263-2024</t>
        </is>
      </c>
      <c r="B874" s="1" t="n">
        <v>45614.34541666666</v>
      </c>
      <c r="C874" s="1" t="n">
        <v>46033</v>
      </c>
      <c r="D874" t="inlineStr">
        <is>
          <t>JÄMTLANDS LÄN</t>
        </is>
      </c>
      <c r="E874" t="inlineStr">
        <is>
          <t>RAGUNDA</t>
        </is>
      </c>
      <c r="G874" t="n">
        <v>1.9</v>
      </c>
      <c r="H874" t="n">
        <v>0</v>
      </c>
      <c r="I874" t="n">
        <v>0</v>
      </c>
      <c r="J874" t="n">
        <v>0</v>
      </c>
      <c r="K874" t="n">
        <v>0</v>
      </c>
      <c r="L874" t="n">
        <v>0</v>
      </c>
      <c r="M874" t="n">
        <v>0</v>
      </c>
      <c r="N874" t="n">
        <v>0</v>
      </c>
      <c r="O874" t="n">
        <v>0</v>
      </c>
      <c r="P874" t="n">
        <v>0</v>
      </c>
      <c r="Q874" t="n">
        <v>0</v>
      </c>
      <c r="R874" s="2" t="inlineStr"/>
    </row>
    <row r="875" ht="15" customHeight="1">
      <c r="A875" t="inlineStr">
        <is>
          <t>A 55671-2025</t>
        </is>
      </c>
      <c r="B875" s="1" t="n">
        <v>45972</v>
      </c>
      <c r="C875" s="1" t="n">
        <v>46033</v>
      </c>
      <c r="D875" t="inlineStr">
        <is>
          <t>JÄMTLANDS LÄN</t>
        </is>
      </c>
      <c r="E875" t="inlineStr">
        <is>
          <t>RAGUNDA</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26645-2024</t>
        </is>
      </c>
      <c r="B876" s="1" t="n">
        <v>45469.94667824074</v>
      </c>
      <c r="C876" s="1" t="n">
        <v>46033</v>
      </c>
      <c r="D876" t="inlineStr">
        <is>
          <t>JÄMTLANDS LÄN</t>
        </is>
      </c>
      <c r="E876" t="inlineStr">
        <is>
          <t>RAGUNDA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55897-2025</t>
        </is>
      </c>
      <c r="B877" s="1" t="n">
        <v>45973.38600694444</v>
      </c>
      <c r="C877" s="1" t="n">
        <v>46033</v>
      </c>
      <c r="D877" t="inlineStr">
        <is>
          <t>JÄMTLANDS LÄN</t>
        </is>
      </c>
      <c r="E877" t="inlineStr">
        <is>
          <t>RAGUNDA</t>
        </is>
      </c>
      <c r="F877" t="inlineStr">
        <is>
          <t>SCA</t>
        </is>
      </c>
      <c r="G877" t="n">
        <v>14.1</v>
      </c>
      <c r="H877" t="n">
        <v>0</v>
      </c>
      <c r="I877" t="n">
        <v>0</v>
      </c>
      <c r="J877" t="n">
        <v>0</v>
      </c>
      <c r="K877" t="n">
        <v>0</v>
      </c>
      <c r="L877" t="n">
        <v>0</v>
      </c>
      <c r="M877" t="n">
        <v>0</v>
      </c>
      <c r="N877" t="n">
        <v>0</v>
      </c>
      <c r="O877" t="n">
        <v>0</v>
      </c>
      <c r="P877" t="n">
        <v>0</v>
      </c>
      <c r="Q877" t="n">
        <v>0</v>
      </c>
      <c r="R877" s="2" t="inlineStr"/>
    </row>
    <row r="878" ht="15" customHeight="1">
      <c r="A878" t="inlineStr">
        <is>
          <t>A 893-2025</t>
        </is>
      </c>
      <c r="B878" s="1" t="n">
        <v>45665.65684027778</v>
      </c>
      <c r="C878" s="1" t="n">
        <v>46033</v>
      </c>
      <c r="D878" t="inlineStr">
        <is>
          <t>JÄMTLANDS LÄN</t>
        </is>
      </c>
      <c r="E878" t="inlineStr">
        <is>
          <t>RAGUNDA</t>
        </is>
      </c>
      <c r="F878" t="inlineStr">
        <is>
          <t>SCA</t>
        </is>
      </c>
      <c r="G878" t="n">
        <v>45.1</v>
      </c>
      <c r="H878" t="n">
        <v>0</v>
      </c>
      <c r="I878" t="n">
        <v>0</v>
      </c>
      <c r="J878" t="n">
        <v>0</v>
      </c>
      <c r="K878" t="n">
        <v>0</v>
      </c>
      <c r="L878" t="n">
        <v>0</v>
      </c>
      <c r="M878" t="n">
        <v>0</v>
      </c>
      <c r="N878" t="n">
        <v>0</v>
      </c>
      <c r="O878" t="n">
        <v>0</v>
      </c>
      <c r="P878" t="n">
        <v>0</v>
      </c>
      <c r="Q878" t="n">
        <v>0</v>
      </c>
      <c r="R878" s="2" t="inlineStr"/>
    </row>
    <row r="879" ht="15" customHeight="1">
      <c r="A879" t="inlineStr">
        <is>
          <t>A 31135-2023</t>
        </is>
      </c>
      <c r="B879" s="1" t="n">
        <v>45103</v>
      </c>
      <c r="C879" s="1" t="n">
        <v>46033</v>
      </c>
      <c r="D879" t="inlineStr">
        <is>
          <t>JÄMTLANDS LÄN</t>
        </is>
      </c>
      <c r="E879" t="inlineStr">
        <is>
          <t>RAGUNDA</t>
        </is>
      </c>
      <c r="G879" t="n">
        <v>0.9</v>
      </c>
      <c r="H879" t="n">
        <v>0</v>
      </c>
      <c r="I879" t="n">
        <v>0</v>
      </c>
      <c r="J879" t="n">
        <v>0</v>
      </c>
      <c r="K879" t="n">
        <v>0</v>
      </c>
      <c r="L879" t="n">
        <v>0</v>
      </c>
      <c r="M879" t="n">
        <v>0</v>
      </c>
      <c r="N879" t="n">
        <v>0</v>
      </c>
      <c r="O879" t="n">
        <v>0</v>
      </c>
      <c r="P879" t="n">
        <v>0</v>
      </c>
      <c r="Q879" t="n">
        <v>0</v>
      </c>
      <c r="R879" s="2" t="inlineStr"/>
    </row>
    <row r="880" ht="15" customHeight="1">
      <c r="A880" t="inlineStr">
        <is>
          <t>A 63672-2025</t>
        </is>
      </c>
      <c r="B880" s="1" t="n">
        <v>46014.47575231481</v>
      </c>
      <c r="C880" s="1" t="n">
        <v>46033</v>
      </c>
      <c r="D880" t="inlineStr">
        <is>
          <t>JÄMTLANDS LÄN</t>
        </is>
      </c>
      <c r="E880" t="inlineStr">
        <is>
          <t>RAGUNDA</t>
        </is>
      </c>
      <c r="G880" t="n">
        <v>0.8</v>
      </c>
      <c r="H880" t="n">
        <v>0</v>
      </c>
      <c r="I880" t="n">
        <v>0</v>
      </c>
      <c r="J880" t="n">
        <v>0</v>
      </c>
      <c r="K880" t="n">
        <v>0</v>
      </c>
      <c r="L880" t="n">
        <v>0</v>
      </c>
      <c r="M880" t="n">
        <v>0</v>
      </c>
      <c r="N880" t="n">
        <v>0</v>
      </c>
      <c r="O880" t="n">
        <v>0</v>
      </c>
      <c r="P880" t="n">
        <v>0</v>
      </c>
      <c r="Q880" t="n">
        <v>0</v>
      </c>
      <c r="R880" s="2" t="inlineStr"/>
    </row>
    <row r="881" ht="15" customHeight="1">
      <c r="A881" t="inlineStr">
        <is>
          <t>A 55633-2025</t>
        </is>
      </c>
      <c r="B881" s="1" t="n">
        <v>45972</v>
      </c>
      <c r="C881" s="1" t="n">
        <v>46033</v>
      </c>
      <c r="D881" t="inlineStr">
        <is>
          <t>JÄMTLANDS LÄN</t>
        </is>
      </c>
      <c r="E881" t="inlineStr">
        <is>
          <t>RAGUNDA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63671-2025</t>
        </is>
      </c>
      <c r="B882" s="1" t="n">
        <v>46014.46555555556</v>
      </c>
      <c r="C882" s="1" t="n">
        <v>46033</v>
      </c>
      <c r="D882" t="inlineStr">
        <is>
          <t>JÄMTLANDS LÄN</t>
        </is>
      </c>
      <c r="E882" t="inlineStr">
        <is>
          <t>RAGUNDA</t>
        </is>
      </c>
      <c r="G882" t="n">
        <v>0.9</v>
      </c>
      <c r="H882" t="n">
        <v>0</v>
      </c>
      <c r="I882" t="n">
        <v>0</v>
      </c>
      <c r="J882" t="n">
        <v>0</v>
      </c>
      <c r="K882" t="n">
        <v>0</v>
      </c>
      <c r="L882" t="n">
        <v>0</v>
      </c>
      <c r="M882" t="n">
        <v>0</v>
      </c>
      <c r="N882" t="n">
        <v>0</v>
      </c>
      <c r="O882" t="n">
        <v>0</v>
      </c>
      <c r="P882" t="n">
        <v>0</v>
      </c>
      <c r="Q882" t="n">
        <v>0</v>
      </c>
      <c r="R882" s="2" t="inlineStr"/>
    </row>
    <row r="883" ht="15" customHeight="1">
      <c r="A883" t="inlineStr">
        <is>
          <t>A 43132-2023</t>
        </is>
      </c>
      <c r="B883" s="1" t="n">
        <v>45182</v>
      </c>
      <c r="C883" s="1" t="n">
        <v>46033</v>
      </c>
      <c r="D883" t="inlineStr">
        <is>
          <t>JÄMTLANDS LÄN</t>
        </is>
      </c>
      <c r="E883" t="inlineStr">
        <is>
          <t>RAGUNDA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56435-2025</t>
        </is>
      </c>
      <c r="B884" s="1" t="n">
        <v>45975.34679398148</v>
      </c>
      <c r="C884" s="1" t="n">
        <v>46033</v>
      </c>
      <c r="D884" t="inlineStr">
        <is>
          <t>JÄMTLANDS LÄN</t>
        </is>
      </c>
      <c r="E884" t="inlineStr">
        <is>
          <t>RAGUNDA</t>
        </is>
      </c>
      <c r="F884" t="inlineStr">
        <is>
          <t>SCA</t>
        </is>
      </c>
      <c r="G884" t="n">
        <v>9.199999999999999</v>
      </c>
      <c r="H884" t="n">
        <v>0</v>
      </c>
      <c r="I884" t="n">
        <v>0</v>
      </c>
      <c r="J884" t="n">
        <v>0</v>
      </c>
      <c r="K884" t="n">
        <v>0</v>
      </c>
      <c r="L884" t="n">
        <v>0</v>
      </c>
      <c r="M884" t="n">
        <v>0</v>
      </c>
      <c r="N884" t="n">
        <v>0</v>
      </c>
      <c r="O884" t="n">
        <v>0</v>
      </c>
      <c r="P884" t="n">
        <v>0</v>
      </c>
      <c r="Q884" t="n">
        <v>0</v>
      </c>
      <c r="R884" s="2" t="inlineStr"/>
      <c r="U884">
        <f>HYPERLINK("https://klasma.github.io/Logging_2303/knärot/A 56435-2025 karta knärot.png", "A 56435-2025")</f>
        <v/>
      </c>
      <c r="V884">
        <f>HYPERLINK("https://klasma.github.io/Logging_2303/klagomål/A 56435-2025 FSC-klagomål.docx", "A 56435-2025")</f>
        <v/>
      </c>
      <c r="W884">
        <f>HYPERLINK("https://klasma.github.io/Logging_2303/klagomålsmail/A 56435-2025 FSC-klagomål mail.docx", "A 56435-2025")</f>
        <v/>
      </c>
      <c r="X884">
        <f>HYPERLINK("https://klasma.github.io/Logging_2303/tillsyn/A 56435-2025 tillsynsbegäran.docx", "A 56435-2025")</f>
        <v/>
      </c>
      <c r="Y884">
        <f>HYPERLINK("https://klasma.github.io/Logging_2303/tillsynsmail/A 56435-2025 tillsynsbegäran mail.docx", "A 56435-2025")</f>
        <v/>
      </c>
    </row>
    <row r="885" ht="15" customHeight="1">
      <c r="A885" t="inlineStr">
        <is>
          <t>A 56170-2025</t>
        </is>
      </c>
      <c r="B885" s="1" t="n">
        <v>45974.39398148148</v>
      </c>
      <c r="C885" s="1" t="n">
        <v>46033</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56284-2023</t>
        </is>
      </c>
      <c r="B886" s="1" t="n">
        <v>45241.95724537037</v>
      </c>
      <c r="C886" s="1" t="n">
        <v>46033</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63828-2025</t>
        </is>
      </c>
      <c r="B887" s="1" t="n">
        <v>46020.37814814815</v>
      </c>
      <c r="C887" s="1" t="n">
        <v>46033</v>
      </c>
      <c r="D887" t="inlineStr">
        <is>
          <t>JÄMTLANDS LÄN</t>
        </is>
      </c>
      <c r="E887" t="inlineStr">
        <is>
          <t>RAGUNDA</t>
        </is>
      </c>
      <c r="G887" t="n">
        <v>4.7</v>
      </c>
      <c r="H887" t="n">
        <v>0</v>
      </c>
      <c r="I887" t="n">
        <v>0</v>
      </c>
      <c r="J887" t="n">
        <v>0</v>
      </c>
      <c r="K887" t="n">
        <v>0</v>
      </c>
      <c r="L887" t="n">
        <v>0</v>
      </c>
      <c r="M887" t="n">
        <v>0</v>
      </c>
      <c r="N887" t="n">
        <v>0</v>
      </c>
      <c r="O887" t="n">
        <v>0</v>
      </c>
      <c r="P887" t="n">
        <v>0</v>
      </c>
      <c r="Q887" t="n">
        <v>0</v>
      </c>
      <c r="R887" s="2" t="inlineStr"/>
    </row>
    <row r="888" ht="15" customHeight="1">
      <c r="A888" t="inlineStr">
        <is>
          <t>A 61045-2022</t>
        </is>
      </c>
      <c r="B888" s="1" t="n">
        <v>44914</v>
      </c>
      <c r="C888" s="1" t="n">
        <v>46033</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61197-2023</t>
        </is>
      </c>
      <c r="B889" s="1" t="n">
        <v>45260</v>
      </c>
      <c r="C889" s="1" t="n">
        <v>46033</v>
      </c>
      <c r="D889" t="inlineStr">
        <is>
          <t>JÄMTLANDS LÄN</t>
        </is>
      </c>
      <c r="E889" t="inlineStr">
        <is>
          <t>RAGUNDA</t>
        </is>
      </c>
      <c r="G889" t="n">
        <v>2.5</v>
      </c>
      <c r="H889" t="n">
        <v>0</v>
      </c>
      <c r="I889" t="n">
        <v>0</v>
      </c>
      <c r="J889" t="n">
        <v>0</v>
      </c>
      <c r="K889" t="n">
        <v>0</v>
      </c>
      <c r="L889" t="n">
        <v>0</v>
      </c>
      <c r="M889" t="n">
        <v>0</v>
      </c>
      <c r="N889" t="n">
        <v>0</v>
      </c>
      <c r="O889" t="n">
        <v>0</v>
      </c>
      <c r="P889" t="n">
        <v>0</v>
      </c>
      <c r="Q889" t="n">
        <v>0</v>
      </c>
      <c r="R889" s="2" t="inlineStr"/>
    </row>
    <row r="890" ht="15" customHeight="1">
      <c r="A890" t="inlineStr">
        <is>
          <t>A 13263-2025</t>
        </is>
      </c>
      <c r="B890" s="1" t="n">
        <v>45735.53177083333</v>
      </c>
      <c r="C890" s="1" t="n">
        <v>46033</v>
      </c>
      <c r="D890" t="inlineStr">
        <is>
          <t>JÄMTLANDS LÄN</t>
        </is>
      </c>
      <c r="E890" t="inlineStr">
        <is>
          <t>RAGUNDA</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48066-2022</t>
        </is>
      </c>
      <c r="B891" s="1" t="n">
        <v>44855</v>
      </c>
      <c r="C891" s="1" t="n">
        <v>46033</v>
      </c>
      <c r="D891" t="inlineStr">
        <is>
          <t>JÄMTLANDS LÄN</t>
        </is>
      </c>
      <c r="E891" t="inlineStr">
        <is>
          <t>RAGUNDA</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64415-2023</t>
        </is>
      </c>
      <c r="B892" s="1" t="n">
        <v>45280</v>
      </c>
      <c r="C892" s="1" t="n">
        <v>46033</v>
      </c>
      <c r="D892" t="inlineStr">
        <is>
          <t>JÄMTLANDS LÄN</t>
        </is>
      </c>
      <c r="E892" t="inlineStr">
        <is>
          <t>RAGUNDA</t>
        </is>
      </c>
      <c r="G892" t="n">
        <v>5.1</v>
      </c>
      <c r="H892" t="n">
        <v>0</v>
      </c>
      <c r="I892" t="n">
        <v>0</v>
      </c>
      <c r="J892" t="n">
        <v>0</v>
      </c>
      <c r="K892" t="n">
        <v>0</v>
      </c>
      <c r="L892" t="n">
        <v>0</v>
      </c>
      <c r="M892" t="n">
        <v>0</v>
      </c>
      <c r="N892" t="n">
        <v>0</v>
      </c>
      <c r="O892" t="n">
        <v>0</v>
      </c>
      <c r="P892" t="n">
        <v>0</v>
      </c>
      <c r="Q892" t="n">
        <v>0</v>
      </c>
      <c r="R892" s="2" t="inlineStr"/>
    </row>
    <row r="893" ht="15" customHeight="1">
      <c r="A893" t="inlineStr">
        <is>
          <t>A 57111-2025</t>
        </is>
      </c>
      <c r="B893" s="1" t="n">
        <v>45978</v>
      </c>
      <c r="C893" s="1" t="n">
        <v>46033</v>
      </c>
      <c r="D893" t="inlineStr">
        <is>
          <t>JÄMTLANDS LÄN</t>
        </is>
      </c>
      <c r="E893" t="inlineStr">
        <is>
          <t>RAGUNDA</t>
        </is>
      </c>
      <c r="G893" t="n">
        <v>2.3</v>
      </c>
      <c r="H893" t="n">
        <v>0</v>
      </c>
      <c r="I893" t="n">
        <v>0</v>
      </c>
      <c r="J893" t="n">
        <v>0</v>
      </c>
      <c r="K893" t="n">
        <v>0</v>
      </c>
      <c r="L893" t="n">
        <v>0</v>
      </c>
      <c r="M893" t="n">
        <v>0</v>
      </c>
      <c r="N893" t="n">
        <v>0</v>
      </c>
      <c r="O893" t="n">
        <v>0</v>
      </c>
      <c r="P893" t="n">
        <v>0</v>
      </c>
      <c r="Q893" t="n">
        <v>0</v>
      </c>
      <c r="R893" s="2" t="inlineStr"/>
    </row>
    <row r="894" ht="15" customHeight="1">
      <c r="A894" t="inlineStr">
        <is>
          <t>A 57117-2025</t>
        </is>
      </c>
      <c r="B894" s="1" t="n">
        <v>45978</v>
      </c>
      <c r="C894" s="1" t="n">
        <v>46033</v>
      </c>
      <c r="D894" t="inlineStr">
        <is>
          <t>JÄMTLANDS LÄN</t>
        </is>
      </c>
      <c r="E894" t="inlineStr">
        <is>
          <t>RAGUNDA</t>
        </is>
      </c>
      <c r="G894" t="n">
        <v>4.2</v>
      </c>
      <c r="H894" t="n">
        <v>0</v>
      </c>
      <c r="I894" t="n">
        <v>0</v>
      </c>
      <c r="J894" t="n">
        <v>0</v>
      </c>
      <c r="K894" t="n">
        <v>0</v>
      </c>
      <c r="L894" t="n">
        <v>0</v>
      </c>
      <c r="M894" t="n">
        <v>0</v>
      </c>
      <c r="N894" t="n">
        <v>0</v>
      </c>
      <c r="O894" t="n">
        <v>0</v>
      </c>
      <c r="P894" t="n">
        <v>0</v>
      </c>
      <c r="Q894" t="n">
        <v>0</v>
      </c>
      <c r="R894" s="2" t="inlineStr"/>
    </row>
    <row r="895" ht="15" customHeight="1">
      <c r="A895" t="inlineStr">
        <is>
          <t>A 60225-2022</t>
        </is>
      </c>
      <c r="B895" s="1" t="n">
        <v>44903</v>
      </c>
      <c r="C895" s="1" t="n">
        <v>46033</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56751-2025</t>
        </is>
      </c>
      <c r="B896" s="1" t="n">
        <v>45978.36538194444</v>
      </c>
      <c r="C896" s="1" t="n">
        <v>46033</v>
      </c>
      <c r="D896" t="inlineStr">
        <is>
          <t>JÄMTLANDS LÄN</t>
        </is>
      </c>
      <c r="E896" t="inlineStr">
        <is>
          <t>RAGUNDA</t>
        </is>
      </c>
      <c r="F896" t="inlineStr">
        <is>
          <t>SCA</t>
        </is>
      </c>
      <c r="G896" t="n">
        <v>34.5</v>
      </c>
      <c r="H896" t="n">
        <v>0</v>
      </c>
      <c r="I896" t="n">
        <v>0</v>
      </c>
      <c r="J896" t="n">
        <v>0</v>
      </c>
      <c r="K896" t="n">
        <v>0</v>
      </c>
      <c r="L896" t="n">
        <v>0</v>
      </c>
      <c r="M896" t="n">
        <v>0</v>
      </c>
      <c r="N896" t="n">
        <v>0</v>
      </c>
      <c r="O896" t="n">
        <v>0</v>
      </c>
      <c r="P896" t="n">
        <v>0</v>
      </c>
      <c r="Q896" t="n">
        <v>0</v>
      </c>
      <c r="R896" s="2" t="inlineStr"/>
    </row>
    <row r="897" ht="15" customHeight="1">
      <c r="A897" t="inlineStr">
        <is>
          <t>A 15864-2024</t>
        </is>
      </c>
      <c r="B897" s="1" t="n">
        <v>45404.99792824074</v>
      </c>
      <c r="C897" s="1" t="n">
        <v>46033</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c r="U897">
        <f>HYPERLINK("https://klasma.github.io/Logging_2303/knärot/A 15864-2024 karta knärot.png", "A 15864-2024")</f>
        <v/>
      </c>
      <c r="V897">
        <f>HYPERLINK("https://klasma.github.io/Logging_2303/klagomål/A 15864-2024 FSC-klagomål.docx", "A 15864-2024")</f>
        <v/>
      </c>
      <c r="W897">
        <f>HYPERLINK("https://klasma.github.io/Logging_2303/klagomålsmail/A 15864-2024 FSC-klagomål mail.docx", "A 15864-2024")</f>
        <v/>
      </c>
      <c r="X897">
        <f>HYPERLINK("https://klasma.github.io/Logging_2303/tillsyn/A 15864-2024 tillsynsbegäran.docx", "A 15864-2024")</f>
        <v/>
      </c>
      <c r="Y897">
        <f>HYPERLINK("https://klasma.github.io/Logging_2303/tillsynsmail/A 15864-2024 tillsynsbegäran mail.docx", "A 15864-2024")</f>
        <v/>
      </c>
    </row>
    <row r="898" ht="15" customHeight="1">
      <c r="A898" t="inlineStr">
        <is>
          <t>A 56806-2025</t>
        </is>
      </c>
      <c r="B898" s="1" t="n">
        <v>45978.44842592593</v>
      </c>
      <c r="C898" s="1" t="n">
        <v>46033</v>
      </c>
      <c r="D898" t="inlineStr">
        <is>
          <t>JÄMTLANDS LÄN</t>
        </is>
      </c>
      <c r="E898" t="inlineStr">
        <is>
          <t>RAGUNDA</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57749-2024</t>
        </is>
      </c>
      <c r="B899" s="1" t="n">
        <v>45630.7862037037</v>
      </c>
      <c r="C899" s="1" t="n">
        <v>46033</v>
      </c>
      <c r="D899" t="inlineStr">
        <is>
          <t>JÄMTLANDS LÄN</t>
        </is>
      </c>
      <c r="E899" t="inlineStr">
        <is>
          <t>RAGUNDA</t>
        </is>
      </c>
      <c r="G899" t="n">
        <v>1.3</v>
      </c>
      <c r="H899" t="n">
        <v>0</v>
      </c>
      <c r="I899" t="n">
        <v>0</v>
      </c>
      <c r="J899" t="n">
        <v>0</v>
      </c>
      <c r="K899" t="n">
        <v>0</v>
      </c>
      <c r="L899" t="n">
        <v>0</v>
      </c>
      <c r="M899" t="n">
        <v>0</v>
      </c>
      <c r="N899" t="n">
        <v>0</v>
      </c>
      <c r="O899" t="n">
        <v>0</v>
      </c>
      <c r="P899" t="n">
        <v>0</v>
      </c>
      <c r="Q899" t="n">
        <v>0</v>
      </c>
      <c r="R899" s="2" t="inlineStr"/>
    </row>
    <row r="900" ht="15" customHeight="1">
      <c r="A900" t="inlineStr">
        <is>
          <t>A 24280-2021</t>
        </is>
      </c>
      <c r="B900" s="1" t="n">
        <v>44336</v>
      </c>
      <c r="C900" s="1" t="n">
        <v>46033</v>
      </c>
      <c r="D900" t="inlineStr">
        <is>
          <t>JÄMTLANDS LÄN</t>
        </is>
      </c>
      <c r="E900" t="inlineStr">
        <is>
          <t>RAGUNDA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8886-2024</t>
        </is>
      </c>
      <c r="B901" s="1" t="n">
        <v>45357.05300925926</v>
      </c>
      <c r="C901" s="1" t="n">
        <v>46033</v>
      </c>
      <c r="D901" t="inlineStr">
        <is>
          <t>JÄMTLANDS LÄN</t>
        </is>
      </c>
      <c r="E901" t="inlineStr">
        <is>
          <t>RAGUNDA</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63714-2025</t>
        </is>
      </c>
      <c r="B902" s="1" t="n">
        <v>46014</v>
      </c>
      <c r="C902" s="1" t="n">
        <v>46033</v>
      </c>
      <c r="D902" t="inlineStr">
        <is>
          <t>JÄMTLANDS LÄN</t>
        </is>
      </c>
      <c r="E902" t="inlineStr">
        <is>
          <t>RAGUNDA</t>
        </is>
      </c>
      <c r="F902" t="inlineStr">
        <is>
          <t>Sveaskog</t>
        </is>
      </c>
      <c r="G902" t="n">
        <v>8.5</v>
      </c>
      <c r="H902" t="n">
        <v>0</v>
      </c>
      <c r="I902" t="n">
        <v>0</v>
      </c>
      <c r="J902" t="n">
        <v>0</v>
      </c>
      <c r="K902" t="n">
        <v>0</v>
      </c>
      <c r="L902" t="n">
        <v>0</v>
      </c>
      <c r="M902" t="n">
        <v>0</v>
      </c>
      <c r="N902" t="n">
        <v>0</v>
      </c>
      <c r="O902" t="n">
        <v>0</v>
      </c>
      <c r="P902" t="n">
        <v>0</v>
      </c>
      <c r="Q902" t="n">
        <v>0</v>
      </c>
      <c r="R902" s="2" t="inlineStr"/>
    </row>
    <row r="903" ht="15" customHeight="1">
      <c r="A903" t="inlineStr">
        <is>
          <t>A 28596-2021</t>
        </is>
      </c>
      <c r="B903" s="1" t="n">
        <v>44356</v>
      </c>
      <c r="C903" s="1" t="n">
        <v>46033</v>
      </c>
      <c r="D903" t="inlineStr">
        <is>
          <t>JÄMTLANDS LÄN</t>
        </is>
      </c>
      <c r="E903" t="inlineStr">
        <is>
          <t>RAGUNDA</t>
        </is>
      </c>
      <c r="G903" t="n">
        <v>5.4</v>
      </c>
      <c r="H903" t="n">
        <v>0</v>
      </c>
      <c r="I903" t="n">
        <v>0</v>
      </c>
      <c r="J903" t="n">
        <v>0</v>
      </c>
      <c r="K903" t="n">
        <v>0</v>
      </c>
      <c r="L903" t="n">
        <v>0</v>
      </c>
      <c r="M903" t="n">
        <v>0</v>
      </c>
      <c r="N903" t="n">
        <v>0</v>
      </c>
      <c r="O903" t="n">
        <v>0</v>
      </c>
      <c r="P903" t="n">
        <v>0</v>
      </c>
      <c r="Q903" t="n">
        <v>0</v>
      </c>
      <c r="R903" s="2" t="inlineStr"/>
    </row>
    <row r="904" ht="15" customHeight="1">
      <c r="A904" t="inlineStr">
        <is>
          <t>A 57184-2025</t>
        </is>
      </c>
      <c r="B904" s="1" t="n">
        <v>45979.57361111111</v>
      </c>
      <c r="C904" s="1" t="n">
        <v>46033</v>
      </c>
      <c r="D904" t="inlineStr">
        <is>
          <t>JÄMTLANDS LÄN</t>
        </is>
      </c>
      <c r="E904" t="inlineStr">
        <is>
          <t>RAGUNDA</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57561-2025</t>
        </is>
      </c>
      <c r="B905" s="1" t="n">
        <v>45980.69885416667</v>
      </c>
      <c r="C905" s="1" t="n">
        <v>46033</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11058-2025</t>
        </is>
      </c>
      <c r="B906" s="1" t="n">
        <v>45723.51079861111</v>
      </c>
      <c r="C906" s="1" t="n">
        <v>46033</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57332-2025</t>
        </is>
      </c>
      <c r="B907" s="1" t="n">
        <v>45980.34467592592</v>
      </c>
      <c r="C907" s="1" t="n">
        <v>46033</v>
      </c>
      <c r="D907" t="inlineStr">
        <is>
          <t>JÄMTLANDS LÄN</t>
        </is>
      </c>
      <c r="E907" t="inlineStr">
        <is>
          <t>RAGUNDA</t>
        </is>
      </c>
      <c r="F907" t="inlineStr">
        <is>
          <t>SCA</t>
        </is>
      </c>
      <c r="G907" t="n">
        <v>22.6</v>
      </c>
      <c r="H907" t="n">
        <v>0</v>
      </c>
      <c r="I907" t="n">
        <v>0</v>
      </c>
      <c r="J907" t="n">
        <v>0</v>
      </c>
      <c r="K907" t="n">
        <v>0</v>
      </c>
      <c r="L907" t="n">
        <v>0</v>
      </c>
      <c r="M907" t="n">
        <v>0</v>
      </c>
      <c r="N907" t="n">
        <v>0</v>
      </c>
      <c r="O907" t="n">
        <v>0</v>
      </c>
      <c r="P907" t="n">
        <v>0</v>
      </c>
      <c r="Q907" t="n">
        <v>0</v>
      </c>
      <c r="R907" s="2" t="inlineStr"/>
    </row>
    <row r="908" ht="15" customHeight="1">
      <c r="A908" t="inlineStr">
        <is>
          <t>A 57560-2025</t>
        </is>
      </c>
      <c r="B908" s="1" t="n">
        <v>45980.6987962963</v>
      </c>
      <c r="C908" s="1" t="n">
        <v>46033</v>
      </c>
      <c r="D908" t="inlineStr">
        <is>
          <t>JÄMTLANDS LÄN</t>
        </is>
      </c>
      <c r="E908" t="inlineStr">
        <is>
          <t>RAGUNDA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57916-2025</t>
        </is>
      </c>
      <c r="B909" s="1" t="n">
        <v>45981</v>
      </c>
      <c r="C909" s="1" t="n">
        <v>46033</v>
      </c>
      <c r="D909" t="inlineStr">
        <is>
          <t>JÄMTLANDS LÄN</t>
        </is>
      </c>
      <c r="E909" t="inlineStr">
        <is>
          <t>RAGUNDA</t>
        </is>
      </c>
      <c r="G909" t="n">
        <v>5.3</v>
      </c>
      <c r="H909" t="n">
        <v>0</v>
      </c>
      <c r="I909" t="n">
        <v>0</v>
      </c>
      <c r="J909" t="n">
        <v>0</v>
      </c>
      <c r="K909" t="n">
        <v>0</v>
      </c>
      <c r="L909" t="n">
        <v>0</v>
      </c>
      <c r="M909" t="n">
        <v>0</v>
      </c>
      <c r="N909" t="n">
        <v>0</v>
      </c>
      <c r="O909" t="n">
        <v>0</v>
      </c>
      <c r="P909" t="n">
        <v>0</v>
      </c>
      <c r="Q909" t="n">
        <v>0</v>
      </c>
      <c r="R909" s="2" t="inlineStr"/>
    </row>
    <row r="910" ht="15" customHeight="1">
      <c r="A910" t="inlineStr">
        <is>
          <t>A 38664-2022</t>
        </is>
      </c>
      <c r="B910" s="1" t="n">
        <v>44813</v>
      </c>
      <c r="C910" s="1" t="n">
        <v>46033</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57914-2025</t>
        </is>
      </c>
      <c r="B911" s="1" t="n">
        <v>45981</v>
      </c>
      <c r="C911" s="1" t="n">
        <v>46033</v>
      </c>
      <c r="D911" t="inlineStr">
        <is>
          <t>JÄMTLANDS LÄN</t>
        </is>
      </c>
      <c r="E911" t="inlineStr">
        <is>
          <t>RAGUNDA</t>
        </is>
      </c>
      <c r="G911" t="n">
        <v>3.2</v>
      </c>
      <c r="H911" t="n">
        <v>0</v>
      </c>
      <c r="I911" t="n">
        <v>0</v>
      </c>
      <c r="J911" t="n">
        <v>0</v>
      </c>
      <c r="K911" t="n">
        <v>0</v>
      </c>
      <c r="L911" t="n">
        <v>0</v>
      </c>
      <c r="M911" t="n">
        <v>0</v>
      </c>
      <c r="N911" t="n">
        <v>0</v>
      </c>
      <c r="O911" t="n">
        <v>0</v>
      </c>
      <c r="P911" t="n">
        <v>0</v>
      </c>
      <c r="Q911" t="n">
        <v>0</v>
      </c>
      <c r="R911" s="2" t="inlineStr"/>
    </row>
    <row r="912" ht="15" customHeight="1">
      <c r="A912" t="inlineStr">
        <is>
          <t>A 57915-2025</t>
        </is>
      </c>
      <c r="B912" s="1" t="n">
        <v>45981</v>
      </c>
      <c r="C912" s="1" t="n">
        <v>46033</v>
      </c>
      <c r="D912" t="inlineStr">
        <is>
          <t>JÄMTLANDS LÄN</t>
        </is>
      </c>
      <c r="E912" t="inlineStr">
        <is>
          <t>RAGUNDA</t>
        </is>
      </c>
      <c r="G912" t="n">
        <v>6.4</v>
      </c>
      <c r="H912" t="n">
        <v>0</v>
      </c>
      <c r="I912" t="n">
        <v>0</v>
      </c>
      <c r="J912" t="n">
        <v>0</v>
      </c>
      <c r="K912" t="n">
        <v>0</v>
      </c>
      <c r="L912" t="n">
        <v>0</v>
      </c>
      <c r="M912" t="n">
        <v>0</v>
      </c>
      <c r="N912" t="n">
        <v>0</v>
      </c>
      <c r="O912" t="n">
        <v>0</v>
      </c>
      <c r="P912" t="n">
        <v>0</v>
      </c>
      <c r="Q912" t="n">
        <v>0</v>
      </c>
      <c r="R912" s="2" t="inlineStr"/>
    </row>
    <row r="913" ht="15" customHeight="1">
      <c r="A913" t="inlineStr">
        <is>
          <t>A 24441-2024</t>
        </is>
      </c>
      <c r="B913" s="1" t="n">
        <v>45457.96372685185</v>
      </c>
      <c r="C913" s="1" t="n">
        <v>46033</v>
      </c>
      <c r="D913" t="inlineStr">
        <is>
          <t>JÄMTLANDS LÄN</t>
        </is>
      </c>
      <c r="E913" t="inlineStr">
        <is>
          <t>RAGUNDA</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40801-2023</t>
        </is>
      </c>
      <c r="B914" s="1" t="n">
        <v>45170</v>
      </c>
      <c r="C914" s="1" t="n">
        <v>46033</v>
      </c>
      <c r="D914" t="inlineStr">
        <is>
          <t>JÄMTLANDS LÄN</t>
        </is>
      </c>
      <c r="E914" t="inlineStr">
        <is>
          <t>RAGUNDA</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57833-2025</t>
        </is>
      </c>
      <c r="B915" s="1" t="n">
        <v>45981.61541666667</v>
      </c>
      <c r="C915" s="1" t="n">
        <v>46033</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64108-2025</t>
        </is>
      </c>
      <c r="B916" s="1" t="n">
        <v>46013</v>
      </c>
      <c r="C916" s="1" t="n">
        <v>46033</v>
      </c>
      <c r="D916" t="inlineStr">
        <is>
          <t>JÄMTLANDS LÄN</t>
        </is>
      </c>
      <c r="E916" t="inlineStr">
        <is>
          <t>RAGUNDA</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57785-2025</t>
        </is>
      </c>
      <c r="B917" s="1" t="n">
        <v>45981.57393518519</v>
      </c>
      <c r="C917" s="1" t="n">
        <v>46033</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58093-2025</t>
        </is>
      </c>
      <c r="B918" s="1" t="n">
        <v>45982.5741087963</v>
      </c>
      <c r="C918" s="1" t="n">
        <v>46033</v>
      </c>
      <c r="D918" t="inlineStr">
        <is>
          <t>JÄMTLANDS LÄN</t>
        </is>
      </c>
      <c r="E918" t="inlineStr">
        <is>
          <t>RAGUNDA</t>
        </is>
      </c>
      <c r="G918" t="n">
        <v>22.2</v>
      </c>
      <c r="H918" t="n">
        <v>0</v>
      </c>
      <c r="I918" t="n">
        <v>0</v>
      </c>
      <c r="J918" t="n">
        <v>0</v>
      </c>
      <c r="K918" t="n">
        <v>0</v>
      </c>
      <c r="L918" t="n">
        <v>0</v>
      </c>
      <c r="M918" t="n">
        <v>0</v>
      </c>
      <c r="N918" t="n">
        <v>0</v>
      </c>
      <c r="O918" t="n">
        <v>0</v>
      </c>
      <c r="P918" t="n">
        <v>0</v>
      </c>
      <c r="Q918" t="n">
        <v>0</v>
      </c>
      <c r="R918" s="2" t="inlineStr"/>
    </row>
    <row r="919" ht="15" customHeight="1">
      <c r="A919" t="inlineStr">
        <is>
          <t>A 222-2026</t>
        </is>
      </c>
      <c r="B919" s="1" t="n">
        <v>46026.84054398148</v>
      </c>
      <c r="C919" s="1" t="n">
        <v>46033</v>
      </c>
      <c r="D919" t="inlineStr">
        <is>
          <t>JÄMTLANDS LÄN</t>
        </is>
      </c>
      <c r="E919" t="inlineStr">
        <is>
          <t>RAGUNDA</t>
        </is>
      </c>
      <c r="G919" t="n">
        <v>10.6</v>
      </c>
      <c r="H919" t="n">
        <v>0</v>
      </c>
      <c r="I919" t="n">
        <v>0</v>
      </c>
      <c r="J919" t="n">
        <v>0</v>
      </c>
      <c r="K919" t="n">
        <v>0</v>
      </c>
      <c r="L919" t="n">
        <v>0</v>
      </c>
      <c r="M919" t="n">
        <v>0</v>
      </c>
      <c r="N919" t="n">
        <v>0</v>
      </c>
      <c r="O919" t="n">
        <v>0</v>
      </c>
      <c r="P919" t="n">
        <v>0</v>
      </c>
      <c r="Q919" t="n">
        <v>0</v>
      </c>
      <c r="R919" s="2" t="inlineStr"/>
    </row>
    <row r="920" ht="15" customHeight="1">
      <c r="A920" t="inlineStr">
        <is>
          <t>A 48065-2023</t>
        </is>
      </c>
      <c r="B920" s="1" t="n">
        <v>45204.94399305555</v>
      </c>
      <c r="C920" s="1" t="n">
        <v>46033</v>
      </c>
      <c r="D920" t="inlineStr">
        <is>
          <t>JÄMTLANDS LÄN</t>
        </is>
      </c>
      <c r="E920" t="inlineStr">
        <is>
          <t>RAGUNDA</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4592-2024</t>
        </is>
      </c>
      <c r="B921" s="1" t="n">
        <v>45327.94443287037</v>
      </c>
      <c r="C921" s="1" t="n">
        <v>46033</v>
      </c>
      <c r="D921" t="inlineStr">
        <is>
          <t>JÄMTLANDS LÄN</t>
        </is>
      </c>
      <c r="E921" t="inlineStr">
        <is>
          <t>RAGUNDA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60195-2023</t>
        </is>
      </c>
      <c r="B922" s="1" t="n">
        <v>45257</v>
      </c>
      <c r="C922" s="1" t="n">
        <v>46033</v>
      </c>
      <c r="D922" t="inlineStr">
        <is>
          <t>JÄMTLANDS LÄN</t>
        </is>
      </c>
      <c r="E922" t="inlineStr">
        <is>
          <t>RAGUNDA</t>
        </is>
      </c>
      <c r="G922" t="n">
        <v>1.7</v>
      </c>
      <c r="H922" t="n">
        <v>0</v>
      </c>
      <c r="I922" t="n">
        <v>0</v>
      </c>
      <c r="J922" t="n">
        <v>0</v>
      </c>
      <c r="K922" t="n">
        <v>0</v>
      </c>
      <c r="L922" t="n">
        <v>0</v>
      </c>
      <c r="M922" t="n">
        <v>0</v>
      </c>
      <c r="N922" t="n">
        <v>0</v>
      </c>
      <c r="O922" t="n">
        <v>0</v>
      </c>
      <c r="P922" t="n">
        <v>0</v>
      </c>
      <c r="Q922" t="n">
        <v>0</v>
      </c>
      <c r="R922" s="2" t="inlineStr"/>
    </row>
    <row r="923" ht="15" customHeight="1">
      <c r="A923" t="inlineStr">
        <is>
          <t>A 57970-2025</t>
        </is>
      </c>
      <c r="B923" s="1" t="n">
        <v>45982.38582175926</v>
      </c>
      <c r="C923" s="1" t="n">
        <v>46033</v>
      </c>
      <c r="D923" t="inlineStr">
        <is>
          <t>JÄMTLANDS LÄN</t>
        </is>
      </c>
      <c r="E923" t="inlineStr">
        <is>
          <t>RAGUNDA</t>
        </is>
      </c>
      <c r="G923" t="n">
        <v>4.9</v>
      </c>
      <c r="H923" t="n">
        <v>0</v>
      </c>
      <c r="I923" t="n">
        <v>0</v>
      </c>
      <c r="J923" t="n">
        <v>0</v>
      </c>
      <c r="K923" t="n">
        <v>0</v>
      </c>
      <c r="L923" t="n">
        <v>0</v>
      </c>
      <c r="M923" t="n">
        <v>0</v>
      </c>
      <c r="N923" t="n">
        <v>0</v>
      </c>
      <c r="O923" t="n">
        <v>0</v>
      </c>
      <c r="P923" t="n">
        <v>0</v>
      </c>
      <c r="Q923" t="n">
        <v>0</v>
      </c>
      <c r="R923" s="2" t="inlineStr"/>
    </row>
    <row r="924" ht="15" customHeight="1">
      <c r="A924" t="inlineStr">
        <is>
          <t>A 22981-2023</t>
        </is>
      </c>
      <c r="B924" s="1" t="n">
        <v>45072.92737268518</v>
      </c>
      <c r="C924" s="1" t="n">
        <v>46033</v>
      </c>
      <c r="D924" t="inlineStr">
        <is>
          <t>JÄMTLANDS LÄN</t>
        </is>
      </c>
      <c r="E924" t="inlineStr">
        <is>
          <t>RAGUNDA</t>
        </is>
      </c>
      <c r="G924" t="n">
        <v>3.8</v>
      </c>
      <c r="H924" t="n">
        <v>0</v>
      </c>
      <c r="I924" t="n">
        <v>0</v>
      </c>
      <c r="J924" t="n">
        <v>0</v>
      </c>
      <c r="K924" t="n">
        <v>0</v>
      </c>
      <c r="L924" t="n">
        <v>0</v>
      </c>
      <c r="M924" t="n">
        <v>0</v>
      </c>
      <c r="N924" t="n">
        <v>0</v>
      </c>
      <c r="O924" t="n">
        <v>0</v>
      </c>
      <c r="P924" t="n">
        <v>0</v>
      </c>
      <c r="Q924" t="n">
        <v>0</v>
      </c>
      <c r="R924" s="2" t="inlineStr"/>
    </row>
    <row r="925" ht="15" customHeight="1">
      <c r="A925" t="inlineStr">
        <is>
          <t>A 58076-2025</t>
        </is>
      </c>
      <c r="B925" s="1" t="n">
        <v>45982.55273148148</v>
      </c>
      <c r="C925" s="1" t="n">
        <v>46033</v>
      </c>
      <c r="D925" t="inlineStr">
        <is>
          <t>JÄMTLANDS LÄN</t>
        </is>
      </c>
      <c r="E925" t="inlineStr">
        <is>
          <t>RAGUNDA</t>
        </is>
      </c>
      <c r="G925" t="n">
        <v>0.1</v>
      </c>
      <c r="H925" t="n">
        <v>0</v>
      </c>
      <c r="I925" t="n">
        <v>0</v>
      </c>
      <c r="J925" t="n">
        <v>0</v>
      </c>
      <c r="K925" t="n">
        <v>0</v>
      </c>
      <c r="L925" t="n">
        <v>0</v>
      </c>
      <c r="M925" t="n">
        <v>0</v>
      </c>
      <c r="N925" t="n">
        <v>0</v>
      </c>
      <c r="O925" t="n">
        <v>0</v>
      </c>
      <c r="P925" t="n">
        <v>0</v>
      </c>
      <c r="Q925" t="n">
        <v>0</v>
      </c>
      <c r="R925" s="2" t="inlineStr"/>
    </row>
    <row r="926" ht="15" customHeight="1">
      <c r="A926" t="inlineStr">
        <is>
          <t>A 57963-2025</t>
        </is>
      </c>
      <c r="B926" s="1" t="n">
        <v>45982.37800925926</v>
      </c>
      <c r="C926" s="1" t="n">
        <v>46033</v>
      </c>
      <c r="D926" t="inlineStr">
        <is>
          <t>JÄMTLANDS LÄN</t>
        </is>
      </c>
      <c r="E926" t="inlineStr">
        <is>
          <t>RAGUNDA</t>
        </is>
      </c>
      <c r="G926" t="n">
        <v>1.7</v>
      </c>
      <c r="H926" t="n">
        <v>0</v>
      </c>
      <c r="I926" t="n">
        <v>0</v>
      </c>
      <c r="J926" t="n">
        <v>0</v>
      </c>
      <c r="K926" t="n">
        <v>0</v>
      </c>
      <c r="L926" t="n">
        <v>0</v>
      </c>
      <c r="M926" t="n">
        <v>0</v>
      </c>
      <c r="N926" t="n">
        <v>0</v>
      </c>
      <c r="O926" t="n">
        <v>0</v>
      </c>
      <c r="P926" t="n">
        <v>0</v>
      </c>
      <c r="Q926" t="n">
        <v>0</v>
      </c>
      <c r="R926" s="2" t="inlineStr"/>
    </row>
    <row r="927" ht="15" customHeight="1">
      <c r="A927" t="inlineStr">
        <is>
          <t>A 26942-2021</t>
        </is>
      </c>
      <c r="B927" s="1" t="n">
        <v>44349.91978009259</v>
      </c>
      <c r="C927" s="1" t="n">
        <v>46033</v>
      </c>
      <c r="D927" t="inlineStr">
        <is>
          <t>JÄMTLANDS LÄN</t>
        </is>
      </c>
      <c r="E927" t="inlineStr">
        <is>
          <t>RAGUNDA</t>
        </is>
      </c>
      <c r="G927" t="n">
        <v>6.2</v>
      </c>
      <c r="H927" t="n">
        <v>0</v>
      </c>
      <c r="I927" t="n">
        <v>0</v>
      </c>
      <c r="J927" t="n">
        <v>0</v>
      </c>
      <c r="K927" t="n">
        <v>0</v>
      </c>
      <c r="L927" t="n">
        <v>0</v>
      </c>
      <c r="M927" t="n">
        <v>0</v>
      </c>
      <c r="N927" t="n">
        <v>0</v>
      </c>
      <c r="O927" t="n">
        <v>0</v>
      </c>
      <c r="P927" t="n">
        <v>0</v>
      </c>
      <c r="Q927" t="n">
        <v>0</v>
      </c>
      <c r="R927" s="2" t="inlineStr"/>
    </row>
    <row r="928" ht="15" customHeight="1">
      <c r="A928" t="inlineStr">
        <is>
          <t>A 46546-2023</t>
        </is>
      </c>
      <c r="B928" s="1" t="n">
        <v>45197.94152777778</v>
      </c>
      <c r="C928" s="1" t="n">
        <v>46033</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122-2026</t>
        </is>
      </c>
      <c r="B929" s="1" t="n">
        <v>46024.57335648148</v>
      </c>
      <c r="C929" s="1" t="n">
        <v>46033</v>
      </c>
      <c r="D929" t="inlineStr">
        <is>
          <t>JÄMTLANDS LÄN</t>
        </is>
      </c>
      <c r="E929" t="inlineStr">
        <is>
          <t>RAGUNDA</t>
        </is>
      </c>
      <c r="F929" t="inlineStr">
        <is>
          <t>SCA</t>
        </is>
      </c>
      <c r="G929" t="n">
        <v>15.3</v>
      </c>
      <c r="H929" t="n">
        <v>0</v>
      </c>
      <c r="I929" t="n">
        <v>0</v>
      </c>
      <c r="J929" t="n">
        <v>0</v>
      </c>
      <c r="K929" t="n">
        <v>0</v>
      </c>
      <c r="L929" t="n">
        <v>0</v>
      </c>
      <c r="M929" t="n">
        <v>0</v>
      </c>
      <c r="N929" t="n">
        <v>0</v>
      </c>
      <c r="O929" t="n">
        <v>0</v>
      </c>
      <c r="P929" t="n">
        <v>0</v>
      </c>
      <c r="Q929" t="n">
        <v>0</v>
      </c>
      <c r="R929" s="2" t="inlineStr"/>
    </row>
    <row r="930" ht="15" customHeight="1">
      <c r="A930" t="inlineStr">
        <is>
          <t>A 19865-2023</t>
        </is>
      </c>
      <c r="B930" s="1" t="n">
        <v>45053.94305555556</v>
      </c>
      <c r="C930" s="1" t="n">
        <v>46033</v>
      </c>
      <c r="D930" t="inlineStr">
        <is>
          <t>JÄMTLANDS LÄN</t>
        </is>
      </c>
      <c r="E930" t="inlineStr">
        <is>
          <t>RAGUNDA</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265-2026</t>
        </is>
      </c>
      <c r="B931" s="1" t="n">
        <v>46027.44956018519</v>
      </c>
      <c r="C931" s="1" t="n">
        <v>46033</v>
      </c>
      <c r="D931" t="inlineStr">
        <is>
          <t>JÄMTLANDS LÄN</t>
        </is>
      </c>
      <c r="E931" t="inlineStr">
        <is>
          <t>RAGUNDA</t>
        </is>
      </c>
      <c r="G931" t="n">
        <v>3.8</v>
      </c>
      <c r="H931" t="n">
        <v>0</v>
      </c>
      <c r="I931" t="n">
        <v>0</v>
      </c>
      <c r="J931" t="n">
        <v>0</v>
      </c>
      <c r="K931" t="n">
        <v>0</v>
      </c>
      <c r="L931" t="n">
        <v>0</v>
      </c>
      <c r="M931" t="n">
        <v>0</v>
      </c>
      <c r="N931" t="n">
        <v>0</v>
      </c>
      <c r="O931" t="n">
        <v>0</v>
      </c>
      <c r="P931" t="n">
        <v>0</v>
      </c>
      <c r="Q931" t="n">
        <v>0</v>
      </c>
      <c r="R931" s="2" t="inlineStr"/>
    </row>
    <row r="932" ht="15" customHeight="1">
      <c r="A932" t="inlineStr">
        <is>
          <t>A 53109-2025</t>
        </is>
      </c>
      <c r="B932" s="1" t="n">
        <v>45958</v>
      </c>
      <c r="C932" s="1" t="n">
        <v>46033</v>
      </c>
      <c r="D932" t="inlineStr">
        <is>
          <t>JÄMTLANDS LÄN</t>
        </is>
      </c>
      <c r="E932" t="inlineStr">
        <is>
          <t>RAGUNDA</t>
        </is>
      </c>
      <c r="G932" t="n">
        <v>2.1</v>
      </c>
      <c r="H932" t="n">
        <v>0</v>
      </c>
      <c r="I932" t="n">
        <v>0</v>
      </c>
      <c r="J932" t="n">
        <v>0</v>
      </c>
      <c r="K932" t="n">
        <v>0</v>
      </c>
      <c r="L932" t="n">
        <v>0</v>
      </c>
      <c r="M932" t="n">
        <v>0</v>
      </c>
      <c r="N932" t="n">
        <v>0</v>
      </c>
      <c r="O932" t="n">
        <v>0</v>
      </c>
      <c r="P932" t="n">
        <v>0</v>
      </c>
      <c r="Q932" t="n">
        <v>0</v>
      </c>
      <c r="R932" s="2" t="inlineStr"/>
    </row>
    <row r="933" ht="15" customHeight="1">
      <c r="A933" t="inlineStr">
        <is>
          <t>A 58918-2025</t>
        </is>
      </c>
      <c r="B933" s="1" t="n">
        <v>45987.52952546296</v>
      </c>
      <c r="C933" s="1" t="n">
        <v>46033</v>
      </c>
      <c r="D933" t="inlineStr">
        <is>
          <t>JÄMTLANDS LÄN</t>
        </is>
      </c>
      <c r="E933" t="inlineStr">
        <is>
          <t>RAGUNDA</t>
        </is>
      </c>
      <c r="G933" t="n">
        <v>2</v>
      </c>
      <c r="H933" t="n">
        <v>0</v>
      </c>
      <c r="I933" t="n">
        <v>0</v>
      </c>
      <c r="J933" t="n">
        <v>0</v>
      </c>
      <c r="K933" t="n">
        <v>0</v>
      </c>
      <c r="L933" t="n">
        <v>0</v>
      </c>
      <c r="M933" t="n">
        <v>0</v>
      </c>
      <c r="N933" t="n">
        <v>0</v>
      </c>
      <c r="O933" t="n">
        <v>0</v>
      </c>
      <c r="P933" t="n">
        <v>0</v>
      </c>
      <c r="Q933" t="n">
        <v>0</v>
      </c>
      <c r="R933" s="2" t="inlineStr"/>
    </row>
    <row r="934" ht="15" customHeight="1">
      <c r="A934" t="inlineStr">
        <is>
          <t>A 564-2025</t>
        </is>
      </c>
      <c r="B934" s="1" t="n">
        <v>45664.55241898148</v>
      </c>
      <c r="C934" s="1" t="n">
        <v>46033</v>
      </c>
      <c r="D934" t="inlineStr">
        <is>
          <t>JÄMTLANDS LÄN</t>
        </is>
      </c>
      <c r="E934" t="inlineStr">
        <is>
          <t>RAGUNDA</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50555-2024</t>
        </is>
      </c>
      <c r="B935" s="1" t="n">
        <v>45601.59518518519</v>
      </c>
      <c r="C935" s="1" t="n">
        <v>46033</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647-2026</t>
        </is>
      </c>
      <c r="B936" s="1" t="n">
        <v>46029.57357638889</v>
      </c>
      <c r="C936" s="1" t="n">
        <v>46033</v>
      </c>
      <c r="D936" t="inlineStr">
        <is>
          <t>JÄMTLANDS LÄN</t>
        </is>
      </c>
      <c r="E936" t="inlineStr">
        <is>
          <t>RAGUNDA</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59658-2023</t>
        </is>
      </c>
      <c r="B937" s="1" t="n">
        <v>45254.96402777778</v>
      </c>
      <c r="C937" s="1" t="n">
        <v>46033</v>
      </c>
      <c r="D937" t="inlineStr">
        <is>
          <t>JÄMTLANDS LÄN</t>
        </is>
      </c>
      <c r="E937" t="inlineStr">
        <is>
          <t>RAGUNDA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49649-2024</t>
        </is>
      </c>
      <c r="B938" s="1" t="n">
        <v>45596.61553240741</v>
      </c>
      <c r="C938" s="1" t="n">
        <v>46033</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58638-2025</t>
        </is>
      </c>
      <c r="B939" s="1" t="n">
        <v>45986.49016203704</v>
      </c>
      <c r="C939" s="1" t="n">
        <v>46033</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2831-2024</t>
        </is>
      </c>
      <c r="B940" s="1" t="n">
        <v>45314.92758101852</v>
      </c>
      <c r="C940" s="1" t="n">
        <v>46033</v>
      </c>
      <c r="D940" t="inlineStr">
        <is>
          <t>JÄMTLANDS LÄN</t>
        </is>
      </c>
      <c r="E940" t="inlineStr">
        <is>
          <t>RAGUNDA</t>
        </is>
      </c>
      <c r="G940" t="n">
        <v>0.6</v>
      </c>
      <c r="H940" t="n">
        <v>0</v>
      </c>
      <c r="I940" t="n">
        <v>0</v>
      </c>
      <c r="J940" t="n">
        <v>0</v>
      </c>
      <c r="K940" t="n">
        <v>0</v>
      </c>
      <c r="L940" t="n">
        <v>0</v>
      </c>
      <c r="M940" t="n">
        <v>0</v>
      </c>
      <c r="N940" t="n">
        <v>0</v>
      </c>
      <c r="O940" t="n">
        <v>0</v>
      </c>
      <c r="P940" t="n">
        <v>0</v>
      </c>
      <c r="Q940" t="n">
        <v>0</v>
      </c>
      <c r="R940" s="2" t="inlineStr"/>
    </row>
    <row r="941" ht="15" customHeight="1">
      <c r="A941" t="inlineStr">
        <is>
          <t>A 557-2026</t>
        </is>
      </c>
      <c r="B941" s="1" t="n">
        <v>46021</v>
      </c>
      <c r="C941" s="1" t="n">
        <v>46033</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53740-2024</t>
        </is>
      </c>
      <c r="B942" s="1" t="n">
        <v>45615.47091435185</v>
      </c>
      <c r="C942" s="1" t="n">
        <v>46033</v>
      </c>
      <c r="D942" t="inlineStr">
        <is>
          <t>JÄMTLANDS LÄN</t>
        </is>
      </c>
      <c r="E942" t="inlineStr">
        <is>
          <t>RAGUNDA</t>
        </is>
      </c>
      <c r="G942" t="n">
        <v>2.7</v>
      </c>
      <c r="H942" t="n">
        <v>0</v>
      </c>
      <c r="I942" t="n">
        <v>0</v>
      </c>
      <c r="J942" t="n">
        <v>0</v>
      </c>
      <c r="K942" t="n">
        <v>0</v>
      </c>
      <c r="L942" t="n">
        <v>0</v>
      </c>
      <c r="M942" t="n">
        <v>0</v>
      </c>
      <c r="N942" t="n">
        <v>0</v>
      </c>
      <c r="O942" t="n">
        <v>0</v>
      </c>
      <c r="P942" t="n">
        <v>0</v>
      </c>
      <c r="Q942" t="n">
        <v>0</v>
      </c>
      <c r="R942" s="2" t="inlineStr"/>
    </row>
    <row r="943" ht="15" customHeight="1">
      <c r="A943" t="inlineStr">
        <is>
          <t>A 59372-2024</t>
        </is>
      </c>
      <c r="B943" s="1" t="n">
        <v>45638.34431712963</v>
      </c>
      <c r="C943" s="1" t="n">
        <v>46033</v>
      </c>
      <c r="D943" t="inlineStr">
        <is>
          <t>JÄMTLANDS LÄN</t>
        </is>
      </c>
      <c r="E943" t="inlineStr">
        <is>
          <t>RAGUNDA</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58559-2025</t>
        </is>
      </c>
      <c r="B944" s="1" t="n">
        <v>45986.34475694445</v>
      </c>
      <c r="C944" s="1" t="n">
        <v>46033</v>
      </c>
      <c r="D944" t="inlineStr">
        <is>
          <t>JÄMTLANDS LÄN</t>
        </is>
      </c>
      <c r="E944" t="inlineStr">
        <is>
          <t>RAGUNDA</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59214-2025</t>
        </is>
      </c>
      <c r="B945" s="1" t="n">
        <v>45988.61623842592</v>
      </c>
      <c r="C945" s="1" t="n">
        <v>46033</v>
      </c>
      <c r="D945" t="inlineStr">
        <is>
          <t>JÄMTLANDS LÄN</t>
        </is>
      </c>
      <c r="E945" t="inlineStr">
        <is>
          <t>RAGUNDA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59499-2025</t>
        </is>
      </c>
      <c r="B946" s="1" t="n">
        <v>45989.61846064815</v>
      </c>
      <c r="C946" s="1" t="n">
        <v>46033</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12522-2023</t>
        </is>
      </c>
      <c r="B947" s="1" t="n">
        <v>45000</v>
      </c>
      <c r="C947" s="1" t="n">
        <v>46033</v>
      </c>
      <c r="D947" t="inlineStr">
        <is>
          <t>JÄMTLANDS LÄN</t>
        </is>
      </c>
      <c r="E947" t="inlineStr">
        <is>
          <t>RAGUNDA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12523-2023</t>
        </is>
      </c>
      <c r="B948" s="1" t="n">
        <v>45000</v>
      </c>
      <c r="C948" s="1" t="n">
        <v>46033</v>
      </c>
      <c r="D948" t="inlineStr">
        <is>
          <t>JÄMTLANDS LÄN</t>
        </is>
      </c>
      <c r="E948" t="inlineStr">
        <is>
          <t>RAGUNDA</t>
        </is>
      </c>
      <c r="F948" t="inlineStr">
        <is>
          <t>SCA</t>
        </is>
      </c>
      <c r="G948" t="n">
        <v>14.3</v>
      </c>
      <c r="H948" t="n">
        <v>0</v>
      </c>
      <c r="I948" t="n">
        <v>0</v>
      </c>
      <c r="J948" t="n">
        <v>0</v>
      </c>
      <c r="K948" t="n">
        <v>0</v>
      </c>
      <c r="L948" t="n">
        <v>0</v>
      </c>
      <c r="M948" t="n">
        <v>0</v>
      </c>
      <c r="N948" t="n">
        <v>0</v>
      </c>
      <c r="O948" t="n">
        <v>0</v>
      </c>
      <c r="P948" t="n">
        <v>0</v>
      </c>
      <c r="Q948" t="n">
        <v>0</v>
      </c>
      <c r="R948" s="2" t="inlineStr"/>
    </row>
    <row r="949" ht="15" customHeight="1">
      <c r="A949" t="inlineStr">
        <is>
          <t>A 24861-2023</t>
        </is>
      </c>
      <c r="B949" s="1" t="n">
        <v>45078</v>
      </c>
      <c r="C949" s="1" t="n">
        <v>46033</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13905-2025</t>
        </is>
      </c>
      <c r="B950" s="1" t="n">
        <v>45737.63574074074</v>
      </c>
      <c r="C950" s="1" t="n">
        <v>46033</v>
      </c>
      <c r="D950" t="inlineStr">
        <is>
          <t>JÄMTLANDS LÄN</t>
        </is>
      </c>
      <c r="E950" t="inlineStr">
        <is>
          <t>RAGUNDA</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13941-2025</t>
        </is>
      </c>
      <c r="B951" s="1" t="n">
        <v>45737.69822916666</v>
      </c>
      <c r="C951" s="1" t="n">
        <v>46033</v>
      </c>
      <c r="D951" t="inlineStr">
        <is>
          <t>JÄMTLANDS LÄN</t>
        </is>
      </c>
      <c r="E951" t="inlineStr">
        <is>
          <t>RAGUNDA</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59491-2025</t>
        </is>
      </c>
      <c r="B952" s="1" t="n">
        <v>45989.60376157407</v>
      </c>
      <c r="C952" s="1" t="n">
        <v>46033</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1333-2026</t>
        </is>
      </c>
      <c r="B953" s="1" t="n">
        <v>46031.57340277778</v>
      </c>
      <c r="C953" s="1" t="n">
        <v>46033</v>
      </c>
      <c r="D953" t="inlineStr">
        <is>
          <t>JÄMTLANDS LÄN</t>
        </is>
      </c>
      <c r="E953" t="inlineStr">
        <is>
          <t>RAGUNDA</t>
        </is>
      </c>
      <c r="F953" t="inlineStr">
        <is>
          <t>SCA</t>
        </is>
      </c>
      <c r="G953" t="n">
        <v>6.2</v>
      </c>
      <c r="H953" t="n">
        <v>0</v>
      </c>
      <c r="I953" t="n">
        <v>0</v>
      </c>
      <c r="J953" t="n">
        <v>0</v>
      </c>
      <c r="K953" t="n">
        <v>0</v>
      </c>
      <c r="L953" t="n">
        <v>0</v>
      </c>
      <c r="M953" t="n">
        <v>0</v>
      </c>
      <c r="N953" t="n">
        <v>0</v>
      </c>
      <c r="O953" t="n">
        <v>0</v>
      </c>
      <c r="P953" t="n">
        <v>0</v>
      </c>
      <c r="Q953" t="n">
        <v>0</v>
      </c>
      <c r="R953" s="2" t="inlineStr"/>
    </row>
    <row r="954" ht="15" customHeight="1">
      <c r="A954" t="inlineStr">
        <is>
          <t>A 51245-2024</t>
        </is>
      </c>
      <c r="B954" s="1" t="n">
        <v>45603.67850694444</v>
      </c>
      <c r="C954" s="1" t="n">
        <v>46033</v>
      </c>
      <c r="D954" t="inlineStr">
        <is>
          <t>JÄMTLANDS LÄN</t>
        </is>
      </c>
      <c r="E954" t="inlineStr">
        <is>
          <t>RAGUNDA</t>
        </is>
      </c>
      <c r="G954" t="n">
        <v>0.9</v>
      </c>
      <c r="H954" t="n">
        <v>0</v>
      </c>
      <c r="I954" t="n">
        <v>0</v>
      </c>
      <c r="J954" t="n">
        <v>0</v>
      </c>
      <c r="K954" t="n">
        <v>0</v>
      </c>
      <c r="L954" t="n">
        <v>0</v>
      </c>
      <c r="M954" t="n">
        <v>0</v>
      </c>
      <c r="N954" t="n">
        <v>0</v>
      </c>
      <c r="O954" t="n">
        <v>0</v>
      </c>
      <c r="P954" t="n">
        <v>0</v>
      </c>
      <c r="Q954" t="n">
        <v>0</v>
      </c>
      <c r="R954" s="2" t="inlineStr"/>
    </row>
    <row r="955" ht="15" customHeight="1">
      <c r="A955" t="inlineStr">
        <is>
          <t>A 59503-2025</t>
        </is>
      </c>
      <c r="B955" s="1" t="n">
        <v>45989.62703703704</v>
      </c>
      <c r="C955" s="1" t="n">
        <v>46033</v>
      </c>
      <c r="D955" t="inlineStr">
        <is>
          <t>JÄMTLANDS LÄN</t>
        </is>
      </c>
      <c r="E955" t="inlineStr">
        <is>
          <t>RAGUNDA</t>
        </is>
      </c>
      <c r="G955" t="n">
        <v>0.6</v>
      </c>
      <c r="H955" t="n">
        <v>0</v>
      </c>
      <c r="I955" t="n">
        <v>0</v>
      </c>
      <c r="J955" t="n">
        <v>0</v>
      </c>
      <c r="K955" t="n">
        <v>0</v>
      </c>
      <c r="L955" t="n">
        <v>0</v>
      </c>
      <c r="M955" t="n">
        <v>0</v>
      </c>
      <c r="N955" t="n">
        <v>0</v>
      </c>
      <c r="O955" t="n">
        <v>0</v>
      </c>
      <c r="P955" t="n">
        <v>0</v>
      </c>
      <c r="Q955" t="n">
        <v>0</v>
      </c>
      <c r="R955" s="2" t="inlineStr"/>
    </row>
    <row r="956" ht="15" customHeight="1">
      <c r="A956" t="inlineStr">
        <is>
          <t>A 53955-2022</t>
        </is>
      </c>
      <c r="B956" s="1" t="n">
        <v>44880.95741898148</v>
      </c>
      <c r="C956" s="1" t="n">
        <v>46033</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41772-2024</t>
        </is>
      </c>
      <c r="B957" s="1" t="n">
        <v>45561.34663194444</v>
      </c>
      <c r="C957" s="1" t="n">
        <v>46033</v>
      </c>
      <c r="D957" t="inlineStr">
        <is>
          <t>JÄMTLANDS LÄN</t>
        </is>
      </c>
      <c r="E957" t="inlineStr">
        <is>
          <t>RAGUNDA</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10972-2022</t>
        </is>
      </c>
      <c r="B958" s="1" t="n">
        <v>44628</v>
      </c>
      <c r="C958" s="1" t="n">
        <v>46033</v>
      </c>
      <c r="D958" t="inlineStr">
        <is>
          <t>JÄMTLANDS LÄN</t>
        </is>
      </c>
      <c r="E958" t="inlineStr">
        <is>
          <t>RAGUNDA</t>
        </is>
      </c>
      <c r="G958" t="n">
        <v>9.5</v>
      </c>
      <c r="H958" t="n">
        <v>0</v>
      </c>
      <c r="I958" t="n">
        <v>0</v>
      </c>
      <c r="J958" t="n">
        <v>0</v>
      </c>
      <c r="K958" t="n">
        <v>0</v>
      </c>
      <c r="L958" t="n">
        <v>0</v>
      </c>
      <c r="M958" t="n">
        <v>0</v>
      </c>
      <c r="N958" t="n">
        <v>0</v>
      </c>
      <c r="O958" t="n">
        <v>0</v>
      </c>
      <c r="P958" t="n">
        <v>0</v>
      </c>
      <c r="Q958" t="n">
        <v>0</v>
      </c>
      <c r="R958" s="2" t="inlineStr"/>
    </row>
    <row r="959" ht="15" customHeight="1">
      <c r="A959" t="inlineStr">
        <is>
          <t>A 11834-2023</t>
        </is>
      </c>
      <c r="B959" s="1" t="n">
        <v>44994.94296296296</v>
      </c>
      <c r="C959" s="1" t="n">
        <v>46033</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17559-2023</t>
        </is>
      </c>
      <c r="B960" s="1" t="n">
        <v>45034</v>
      </c>
      <c r="C960" s="1" t="n">
        <v>46033</v>
      </c>
      <c r="D960" t="inlineStr">
        <is>
          <t>JÄMTLANDS LÄN</t>
        </is>
      </c>
      <c r="E960" t="inlineStr">
        <is>
          <t>RAGUNDA</t>
        </is>
      </c>
      <c r="G960" t="n">
        <v>7.5</v>
      </c>
      <c r="H960" t="n">
        <v>0</v>
      </c>
      <c r="I960" t="n">
        <v>0</v>
      </c>
      <c r="J960" t="n">
        <v>0</v>
      </c>
      <c r="K960" t="n">
        <v>0</v>
      </c>
      <c r="L960" t="n">
        <v>0</v>
      </c>
      <c r="M960" t="n">
        <v>0</v>
      </c>
      <c r="N960" t="n">
        <v>0</v>
      </c>
      <c r="O960" t="n">
        <v>0</v>
      </c>
      <c r="P960" t="n">
        <v>0</v>
      </c>
      <c r="Q960" t="n">
        <v>0</v>
      </c>
      <c r="R960" s="2" t="inlineStr"/>
    </row>
    <row r="961" ht="15" customHeight="1">
      <c r="A961" t="inlineStr">
        <is>
          <t>A 38312-2024</t>
        </is>
      </c>
      <c r="B961" s="1" t="n">
        <v>45545.64957175926</v>
      </c>
      <c r="C961" s="1" t="n">
        <v>46033</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46033</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22011-2023</t>
        </is>
      </c>
      <c r="B963" s="1" t="n">
        <v>45068</v>
      </c>
      <c r="C963" s="1" t="n">
        <v>46033</v>
      </c>
      <c r="D963" t="inlineStr">
        <is>
          <t>JÄMTLANDS LÄN</t>
        </is>
      </c>
      <c r="E963" t="inlineStr">
        <is>
          <t>RAGUNDA</t>
        </is>
      </c>
      <c r="F963" t="inlineStr">
        <is>
          <t>SCA</t>
        </is>
      </c>
      <c r="G963" t="n">
        <v>12.2</v>
      </c>
      <c r="H963" t="n">
        <v>0</v>
      </c>
      <c r="I963" t="n">
        <v>0</v>
      </c>
      <c r="J963" t="n">
        <v>0</v>
      </c>
      <c r="K963" t="n">
        <v>0</v>
      </c>
      <c r="L963" t="n">
        <v>0</v>
      </c>
      <c r="M963" t="n">
        <v>0</v>
      </c>
      <c r="N963" t="n">
        <v>0</v>
      </c>
      <c r="O963" t="n">
        <v>0</v>
      </c>
      <c r="P963" t="n">
        <v>0</v>
      </c>
      <c r="Q963" t="n">
        <v>0</v>
      </c>
      <c r="R963" s="2" t="inlineStr"/>
    </row>
    <row r="964" ht="15" customHeight="1">
      <c r="A964" t="inlineStr">
        <is>
          <t>A 14158-2024</t>
        </is>
      </c>
      <c r="B964" s="1" t="n">
        <v>45392</v>
      </c>
      <c r="C964" s="1" t="n">
        <v>46033</v>
      </c>
      <c r="D964" t="inlineStr">
        <is>
          <t>JÄMTLANDS LÄN</t>
        </is>
      </c>
      <c r="E964" t="inlineStr">
        <is>
          <t>RAGUNDA</t>
        </is>
      </c>
      <c r="G964" t="n">
        <v>0.7</v>
      </c>
      <c r="H964" t="n">
        <v>0</v>
      </c>
      <c r="I964" t="n">
        <v>0</v>
      </c>
      <c r="J964" t="n">
        <v>0</v>
      </c>
      <c r="K964" t="n">
        <v>0</v>
      </c>
      <c r="L964" t="n">
        <v>0</v>
      </c>
      <c r="M964" t="n">
        <v>0</v>
      </c>
      <c r="N964" t="n">
        <v>0</v>
      </c>
      <c r="O964" t="n">
        <v>0</v>
      </c>
      <c r="P964" t="n">
        <v>0</v>
      </c>
      <c r="Q964" t="n">
        <v>0</v>
      </c>
      <c r="R964" s="2" t="inlineStr"/>
    </row>
    <row r="965" ht="15" customHeight="1">
      <c r="A965" t="inlineStr">
        <is>
          <t>A 42508-2023</t>
        </is>
      </c>
      <c r="B965" s="1" t="n">
        <v>45180.95907407408</v>
      </c>
      <c r="C965" s="1" t="n">
        <v>46033</v>
      </c>
      <c r="D965" t="inlineStr">
        <is>
          <t>JÄMTLANDS LÄN</t>
        </is>
      </c>
      <c r="E965" t="inlineStr">
        <is>
          <t>RAGUNDA</t>
        </is>
      </c>
      <c r="F965" t="inlineStr">
        <is>
          <t>SCA</t>
        </is>
      </c>
      <c r="G965" t="n">
        <v>6.1</v>
      </c>
      <c r="H965" t="n">
        <v>0</v>
      </c>
      <c r="I965" t="n">
        <v>0</v>
      </c>
      <c r="J965" t="n">
        <v>0</v>
      </c>
      <c r="K965" t="n">
        <v>0</v>
      </c>
      <c r="L965" t="n">
        <v>0</v>
      </c>
      <c r="M965" t="n">
        <v>0</v>
      </c>
      <c r="N965" t="n">
        <v>0</v>
      </c>
      <c r="O965" t="n">
        <v>0</v>
      </c>
      <c r="P965" t="n">
        <v>0</v>
      </c>
      <c r="Q965" t="n">
        <v>0</v>
      </c>
      <c r="R965" s="2" t="inlineStr"/>
    </row>
    <row r="966" ht="15" customHeight="1">
      <c r="A966" t="inlineStr">
        <is>
          <t>A 35274-2023</t>
        </is>
      </c>
      <c r="B966" s="1" t="n">
        <v>45145</v>
      </c>
      <c r="C966" s="1" t="n">
        <v>46033</v>
      </c>
      <c r="D966" t="inlineStr">
        <is>
          <t>JÄMTLANDS LÄN</t>
        </is>
      </c>
      <c r="E966" t="inlineStr">
        <is>
          <t>RAGUNDA</t>
        </is>
      </c>
      <c r="F966" t="inlineStr">
        <is>
          <t>SCA</t>
        </is>
      </c>
      <c r="G966" t="n">
        <v>6.1</v>
      </c>
      <c r="H966" t="n">
        <v>0</v>
      </c>
      <c r="I966" t="n">
        <v>0</v>
      </c>
      <c r="J966" t="n">
        <v>0</v>
      </c>
      <c r="K966" t="n">
        <v>0</v>
      </c>
      <c r="L966" t="n">
        <v>0</v>
      </c>
      <c r="M966" t="n">
        <v>0</v>
      </c>
      <c r="N966" t="n">
        <v>0</v>
      </c>
      <c r="O966" t="n">
        <v>0</v>
      </c>
      <c r="P966" t="n">
        <v>0</v>
      </c>
      <c r="Q966" t="n">
        <v>0</v>
      </c>
      <c r="R966" s="2" t="inlineStr"/>
    </row>
    <row r="967" ht="15" customHeight="1">
      <c r="A967" t="inlineStr">
        <is>
          <t>A 12983-2025</t>
        </is>
      </c>
      <c r="B967" s="1" t="n">
        <v>45734.4633912037</v>
      </c>
      <c r="C967" s="1" t="n">
        <v>46033</v>
      </c>
      <c r="D967" t="inlineStr">
        <is>
          <t>JÄMTLANDS LÄN</t>
        </is>
      </c>
      <c r="E967" t="inlineStr">
        <is>
          <t>RAGUNDA</t>
        </is>
      </c>
      <c r="G967" t="n">
        <v>5.2</v>
      </c>
      <c r="H967" t="n">
        <v>0</v>
      </c>
      <c r="I967" t="n">
        <v>0</v>
      </c>
      <c r="J967" t="n">
        <v>0</v>
      </c>
      <c r="K967" t="n">
        <v>0</v>
      </c>
      <c r="L967" t="n">
        <v>0</v>
      </c>
      <c r="M967" t="n">
        <v>0</v>
      </c>
      <c r="N967" t="n">
        <v>0</v>
      </c>
      <c r="O967" t="n">
        <v>0</v>
      </c>
      <c r="P967" t="n">
        <v>0</v>
      </c>
      <c r="Q967" t="n">
        <v>0</v>
      </c>
      <c r="R967" s="2" t="inlineStr"/>
    </row>
    <row r="968" ht="15" customHeight="1">
      <c r="A968" t="inlineStr">
        <is>
          <t>A 17598-2021</t>
        </is>
      </c>
      <c r="B968" s="1" t="n">
        <v>44299</v>
      </c>
      <c r="C968" s="1" t="n">
        <v>46033</v>
      </c>
      <c r="D968" t="inlineStr">
        <is>
          <t>JÄMTLANDS LÄN</t>
        </is>
      </c>
      <c r="E968" t="inlineStr">
        <is>
          <t>RAGUNDA</t>
        </is>
      </c>
      <c r="G968" t="n">
        <v>4.6</v>
      </c>
      <c r="H968" t="n">
        <v>0</v>
      </c>
      <c r="I968" t="n">
        <v>0</v>
      </c>
      <c r="J968" t="n">
        <v>0</v>
      </c>
      <c r="K968" t="n">
        <v>0</v>
      </c>
      <c r="L968" t="n">
        <v>0</v>
      </c>
      <c r="M968" t="n">
        <v>0</v>
      </c>
      <c r="N968" t="n">
        <v>0</v>
      </c>
      <c r="O968" t="n">
        <v>0</v>
      </c>
      <c r="P968" t="n">
        <v>0</v>
      </c>
      <c r="Q968" t="n">
        <v>0</v>
      </c>
      <c r="R968" s="2" t="inlineStr"/>
    </row>
    <row r="969" ht="15" customHeight="1">
      <c r="A969" t="inlineStr">
        <is>
          <t>A 3938-2024</t>
        </is>
      </c>
      <c r="B969" s="1" t="n">
        <v>45322</v>
      </c>
      <c r="C969" s="1" t="n">
        <v>46033</v>
      </c>
      <c r="D969" t="inlineStr">
        <is>
          <t>JÄMTLANDS LÄN</t>
        </is>
      </c>
      <c r="E969" t="inlineStr">
        <is>
          <t>RAGUNDA</t>
        </is>
      </c>
      <c r="G969" t="n">
        <v>3.2</v>
      </c>
      <c r="H969" t="n">
        <v>0</v>
      </c>
      <c r="I969" t="n">
        <v>0</v>
      </c>
      <c r="J969" t="n">
        <v>0</v>
      </c>
      <c r="K969" t="n">
        <v>0</v>
      </c>
      <c r="L969" t="n">
        <v>0</v>
      </c>
      <c r="M969" t="n">
        <v>0</v>
      </c>
      <c r="N969" t="n">
        <v>0</v>
      </c>
      <c r="O969" t="n">
        <v>0</v>
      </c>
      <c r="P969" t="n">
        <v>0</v>
      </c>
      <c r="Q969" t="n">
        <v>0</v>
      </c>
      <c r="R969" s="2" t="inlineStr"/>
    </row>
    <row r="970" ht="15" customHeight="1">
      <c r="A970" t="inlineStr">
        <is>
          <t>A 53144-2024</t>
        </is>
      </c>
      <c r="B970" s="1" t="n">
        <v>45611</v>
      </c>
      <c r="C970" s="1" t="n">
        <v>46033</v>
      </c>
      <c r="D970" t="inlineStr">
        <is>
          <t>JÄMTLANDS LÄN</t>
        </is>
      </c>
      <c r="E970" t="inlineStr">
        <is>
          <t>RAGUNDA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22311-2024</t>
        </is>
      </c>
      <c r="B971" s="1" t="n">
        <v>45446.57052083333</v>
      </c>
      <c r="C971" s="1" t="n">
        <v>46033</v>
      </c>
      <c r="D971" t="inlineStr">
        <is>
          <t>JÄMTLANDS LÄN</t>
        </is>
      </c>
      <c r="E971" t="inlineStr">
        <is>
          <t>RAGUNDA</t>
        </is>
      </c>
      <c r="G971" t="n">
        <v>1.3</v>
      </c>
      <c r="H971" t="n">
        <v>0</v>
      </c>
      <c r="I971" t="n">
        <v>0</v>
      </c>
      <c r="J971" t="n">
        <v>0</v>
      </c>
      <c r="K971" t="n">
        <v>0</v>
      </c>
      <c r="L971" t="n">
        <v>0</v>
      </c>
      <c r="M971" t="n">
        <v>0</v>
      </c>
      <c r="N971" t="n">
        <v>0</v>
      </c>
      <c r="O971" t="n">
        <v>0</v>
      </c>
      <c r="P971" t="n">
        <v>0</v>
      </c>
      <c r="Q971" t="n">
        <v>0</v>
      </c>
      <c r="R971" s="2" t="inlineStr"/>
    </row>
    <row r="972" ht="15" customHeight="1">
      <c r="A972" t="inlineStr">
        <is>
          <t>A 19403-2025</t>
        </is>
      </c>
      <c r="B972" s="1" t="n">
        <v>45769.67790509259</v>
      </c>
      <c r="C972" s="1" t="n">
        <v>46033</v>
      </c>
      <c r="D972" t="inlineStr">
        <is>
          <t>JÄMTLANDS LÄN</t>
        </is>
      </c>
      <c r="E972" t="inlineStr">
        <is>
          <t>RAGUNDA</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11147-2025</t>
        </is>
      </c>
      <c r="B973" s="1" t="n">
        <v>45723.67777777778</v>
      </c>
      <c r="C973" s="1" t="n">
        <v>46033</v>
      </c>
      <c r="D973" t="inlineStr">
        <is>
          <t>JÄMTLANDS LÄN</t>
        </is>
      </c>
      <c r="E973" t="inlineStr">
        <is>
          <t>RAGUNDA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9847-2025</t>
        </is>
      </c>
      <c r="B974" s="1" t="n">
        <v>45716.61487268518</v>
      </c>
      <c r="C974" s="1" t="n">
        <v>46033</v>
      </c>
      <c r="D974" t="inlineStr">
        <is>
          <t>JÄMTLANDS LÄN</t>
        </is>
      </c>
      <c r="E974" t="inlineStr">
        <is>
          <t>RAGUNDA</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28173-2024</t>
        </is>
      </c>
      <c r="B975" s="1" t="n">
        <v>45476.94533564815</v>
      </c>
      <c r="C975" s="1" t="n">
        <v>46033</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23734-2024</t>
        </is>
      </c>
      <c r="B976" s="1" t="n">
        <v>45454.95960648148</v>
      </c>
      <c r="C976" s="1" t="n">
        <v>46033</v>
      </c>
      <c r="D976" t="inlineStr">
        <is>
          <t>JÄMTLANDS LÄN</t>
        </is>
      </c>
      <c r="E976" t="inlineStr">
        <is>
          <t>RAGUNDA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38425-2022</t>
        </is>
      </c>
      <c r="B977" s="1" t="n">
        <v>44812.94709490741</v>
      </c>
      <c r="C977" s="1" t="n">
        <v>46033</v>
      </c>
      <c r="D977" t="inlineStr">
        <is>
          <t>JÄMTLANDS LÄN</t>
        </is>
      </c>
      <c r="E977" t="inlineStr">
        <is>
          <t>RAGUNDA</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12995-2023</t>
        </is>
      </c>
      <c r="B978" s="1" t="n">
        <v>45002.0328125</v>
      </c>
      <c r="C978" s="1" t="n">
        <v>46033</v>
      </c>
      <c r="D978" t="inlineStr">
        <is>
          <t>JÄMTLANDS LÄN</t>
        </is>
      </c>
      <c r="E978" t="inlineStr">
        <is>
          <t>RAGUNDA</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44755-2024</t>
        </is>
      </c>
      <c r="B979" s="1" t="n">
        <v>45574.61184027778</v>
      </c>
      <c r="C979" s="1" t="n">
        <v>46033</v>
      </c>
      <c r="D979" t="inlineStr">
        <is>
          <t>JÄMTLANDS LÄN</t>
        </is>
      </c>
      <c r="E979" t="inlineStr">
        <is>
          <t>RAGUNDA</t>
        </is>
      </c>
      <c r="G979" t="n">
        <v>4.4</v>
      </c>
      <c r="H979" t="n">
        <v>0</v>
      </c>
      <c r="I979" t="n">
        <v>0</v>
      </c>
      <c r="J979" t="n">
        <v>0</v>
      </c>
      <c r="K979" t="n">
        <v>0</v>
      </c>
      <c r="L979" t="n">
        <v>0</v>
      </c>
      <c r="M979" t="n">
        <v>0</v>
      </c>
      <c r="N979" t="n">
        <v>0</v>
      </c>
      <c r="O979" t="n">
        <v>0</v>
      </c>
      <c r="P979" t="n">
        <v>0</v>
      </c>
      <c r="Q979" t="n">
        <v>0</v>
      </c>
      <c r="R979" s="2" t="inlineStr"/>
    </row>
    <row r="980" ht="15" customHeight="1">
      <c r="A980" t="inlineStr">
        <is>
          <t>A 44766-2024</t>
        </is>
      </c>
      <c r="B980" s="1" t="n">
        <v>45574.62297453704</v>
      </c>
      <c r="C980" s="1" t="n">
        <v>46033</v>
      </c>
      <c r="D980" t="inlineStr">
        <is>
          <t>JÄMTLANDS LÄN</t>
        </is>
      </c>
      <c r="E980" t="inlineStr">
        <is>
          <t>RAGUNDA</t>
        </is>
      </c>
      <c r="G980" t="n">
        <v>3.2</v>
      </c>
      <c r="H980" t="n">
        <v>0</v>
      </c>
      <c r="I980" t="n">
        <v>0</v>
      </c>
      <c r="J980" t="n">
        <v>0</v>
      </c>
      <c r="K980" t="n">
        <v>0</v>
      </c>
      <c r="L980" t="n">
        <v>0</v>
      </c>
      <c r="M980" t="n">
        <v>0</v>
      </c>
      <c r="N980" t="n">
        <v>0</v>
      </c>
      <c r="O980" t="n">
        <v>0</v>
      </c>
      <c r="P980" t="n">
        <v>0</v>
      </c>
      <c r="Q980" t="n">
        <v>0</v>
      </c>
      <c r="R980" s="2" t="inlineStr"/>
    </row>
    <row r="981" ht="15" customHeight="1">
      <c r="A981" t="inlineStr">
        <is>
          <t>A 16676-2022</t>
        </is>
      </c>
      <c r="B981" s="1" t="n">
        <v>44672.94018518519</v>
      </c>
      <c r="C981" s="1" t="n">
        <v>46033</v>
      </c>
      <c r="D981" t="inlineStr">
        <is>
          <t>JÄMTLANDS LÄN</t>
        </is>
      </c>
      <c r="E981" t="inlineStr">
        <is>
          <t>RAGUNDA</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55536-2024</t>
        </is>
      </c>
      <c r="B982" s="1" t="n">
        <v>45622</v>
      </c>
      <c r="C982" s="1" t="n">
        <v>46033</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44597-2024</t>
        </is>
      </c>
      <c r="B983" s="1" t="n">
        <v>45574.51087962963</v>
      </c>
      <c r="C983" s="1" t="n">
        <v>46033</v>
      </c>
      <c r="D983" t="inlineStr">
        <is>
          <t>JÄMTLANDS LÄN</t>
        </is>
      </c>
      <c r="E983" t="inlineStr">
        <is>
          <t>RAGUNDA</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44598-2024</t>
        </is>
      </c>
      <c r="B984" s="1" t="n">
        <v>45574.51090277778</v>
      </c>
      <c r="C984" s="1" t="n">
        <v>46033</v>
      </c>
      <c r="D984" t="inlineStr">
        <is>
          <t>JÄMTLANDS LÄN</t>
        </is>
      </c>
      <c r="E984" t="inlineStr">
        <is>
          <t>RAGUNDA</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18610-2024</t>
        </is>
      </c>
      <c r="B985" s="1" t="n">
        <v>45425.96230324074</v>
      </c>
      <c r="C985" s="1" t="n">
        <v>46033</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57116-2024</t>
        </is>
      </c>
      <c r="B986" s="1" t="n">
        <v>45629.36513888889</v>
      </c>
      <c r="C986" s="1" t="n">
        <v>46033</v>
      </c>
      <c r="D986" t="inlineStr">
        <is>
          <t>JÄMTLANDS LÄN</t>
        </is>
      </c>
      <c r="E986" t="inlineStr">
        <is>
          <t>RAGUNDA</t>
        </is>
      </c>
      <c r="G986" t="n">
        <v>0.6</v>
      </c>
      <c r="H986" t="n">
        <v>0</v>
      </c>
      <c r="I986" t="n">
        <v>0</v>
      </c>
      <c r="J986" t="n">
        <v>0</v>
      </c>
      <c r="K986" t="n">
        <v>0</v>
      </c>
      <c r="L986" t="n">
        <v>0</v>
      </c>
      <c r="M986" t="n">
        <v>0</v>
      </c>
      <c r="N986" t="n">
        <v>0</v>
      </c>
      <c r="O986" t="n">
        <v>0</v>
      </c>
      <c r="P986" t="n">
        <v>0</v>
      </c>
      <c r="Q986" t="n">
        <v>0</v>
      </c>
      <c r="R986" s="2" t="inlineStr"/>
    </row>
    <row r="987" ht="15" customHeight="1">
      <c r="A987" t="inlineStr">
        <is>
          <t>A 3104-2025</t>
        </is>
      </c>
      <c r="B987" s="1" t="n">
        <v>45678.67761574074</v>
      </c>
      <c r="C987" s="1" t="n">
        <v>46033</v>
      </c>
      <c r="D987" t="inlineStr">
        <is>
          <t>JÄMTLANDS LÄN</t>
        </is>
      </c>
      <c r="E987" t="inlineStr">
        <is>
          <t>RAGUNDA</t>
        </is>
      </c>
      <c r="F987" t="inlineStr">
        <is>
          <t>SCA</t>
        </is>
      </c>
      <c r="G987" t="n">
        <v>46.2</v>
      </c>
      <c r="H987" t="n">
        <v>0</v>
      </c>
      <c r="I987" t="n">
        <v>0</v>
      </c>
      <c r="J987" t="n">
        <v>0</v>
      </c>
      <c r="K987" t="n">
        <v>0</v>
      </c>
      <c r="L987" t="n">
        <v>0</v>
      </c>
      <c r="M987" t="n">
        <v>0</v>
      </c>
      <c r="N987" t="n">
        <v>0</v>
      </c>
      <c r="O987" t="n">
        <v>0</v>
      </c>
      <c r="P987" t="n">
        <v>0</v>
      </c>
      <c r="Q987" t="n">
        <v>0</v>
      </c>
      <c r="R987" s="2" t="inlineStr"/>
    </row>
    <row r="988" ht="15" customHeight="1">
      <c r="A988" t="inlineStr">
        <is>
          <t>A 40246-2024</t>
        </is>
      </c>
      <c r="B988" s="1" t="n">
        <v>45554.61583333334</v>
      </c>
      <c r="C988" s="1" t="n">
        <v>46033</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4878-2022</t>
        </is>
      </c>
      <c r="B989" s="1" t="n">
        <v>44593</v>
      </c>
      <c r="C989" s="1" t="n">
        <v>46033</v>
      </c>
      <c r="D989" t="inlineStr">
        <is>
          <t>JÄMTLANDS LÄN</t>
        </is>
      </c>
      <c r="E989" t="inlineStr">
        <is>
          <t>RAGUNDA</t>
        </is>
      </c>
      <c r="G989" t="n">
        <v>21.7</v>
      </c>
      <c r="H989" t="n">
        <v>0</v>
      </c>
      <c r="I989" t="n">
        <v>0</v>
      </c>
      <c r="J989" t="n">
        <v>0</v>
      </c>
      <c r="K989" t="n">
        <v>0</v>
      </c>
      <c r="L989" t="n">
        <v>0</v>
      </c>
      <c r="M989" t="n">
        <v>0</v>
      </c>
      <c r="N989" t="n">
        <v>0</v>
      </c>
      <c r="O989" t="n">
        <v>0</v>
      </c>
      <c r="P989" t="n">
        <v>0</v>
      </c>
      <c r="Q989" t="n">
        <v>0</v>
      </c>
      <c r="R989" s="2" t="inlineStr"/>
    </row>
    <row r="990" ht="15" customHeight="1">
      <c r="A990" t="inlineStr">
        <is>
          <t>A 57237-2022</t>
        </is>
      </c>
      <c r="B990" s="1" t="n">
        <v>44889</v>
      </c>
      <c r="C990" s="1" t="n">
        <v>46033</v>
      </c>
      <c r="D990" t="inlineStr">
        <is>
          <t>JÄMTLANDS LÄN</t>
        </is>
      </c>
      <c r="E990" t="inlineStr">
        <is>
          <t>RAGUNDA</t>
        </is>
      </c>
      <c r="G990" t="n">
        <v>2.2</v>
      </c>
      <c r="H990" t="n">
        <v>0</v>
      </c>
      <c r="I990" t="n">
        <v>0</v>
      </c>
      <c r="J990" t="n">
        <v>0</v>
      </c>
      <c r="K990" t="n">
        <v>0</v>
      </c>
      <c r="L990" t="n">
        <v>0</v>
      </c>
      <c r="M990" t="n">
        <v>0</v>
      </c>
      <c r="N990" t="n">
        <v>0</v>
      </c>
      <c r="O990" t="n">
        <v>0</v>
      </c>
      <c r="P990" t="n">
        <v>0</v>
      </c>
      <c r="Q990" t="n">
        <v>0</v>
      </c>
      <c r="R990" s="2" t="inlineStr"/>
    </row>
    <row r="991" ht="15" customHeight="1">
      <c r="A991" t="inlineStr">
        <is>
          <t>A 2133-2023</t>
        </is>
      </c>
      <c r="B991" s="1" t="n">
        <v>44939</v>
      </c>
      <c r="C991" s="1" t="n">
        <v>46033</v>
      </c>
      <c r="D991" t="inlineStr">
        <is>
          <t>JÄMTLANDS LÄN</t>
        </is>
      </c>
      <c r="E991" t="inlineStr">
        <is>
          <t>RAGUNDA</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19419-2024</t>
        </is>
      </c>
      <c r="B992" s="1" t="n">
        <v>45429</v>
      </c>
      <c r="C992" s="1" t="n">
        <v>46033</v>
      </c>
      <c r="D992" t="inlineStr">
        <is>
          <t>JÄMTLANDS LÄN</t>
        </is>
      </c>
      <c r="E992" t="inlineStr">
        <is>
          <t>RAGUNDA</t>
        </is>
      </c>
      <c r="G992" t="n">
        <v>3.5</v>
      </c>
      <c r="H992" t="n">
        <v>0</v>
      </c>
      <c r="I992" t="n">
        <v>0</v>
      </c>
      <c r="J992" t="n">
        <v>0</v>
      </c>
      <c r="K992" t="n">
        <v>0</v>
      </c>
      <c r="L992" t="n">
        <v>0</v>
      </c>
      <c r="M992" t="n">
        <v>0</v>
      </c>
      <c r="N992" t="n">
        <v>0</v>
      </c>
      <c r="O992" t="n">
        <v>0</v>
      </c>
      <c r="P992" t="n">
        <v>0</v>
      </c>
      <c r="Q992" t="n">
        <v>0</v>
      </c>
      <c r="R992" s="2" t="inlineStr"/>
    </row>
    <row r="993" ht="15" customHeight="1">
      <c r="A993" t="inlineStr">
        <is>
          <t>A 19383-2025</t>
        </is>
      </c>
      <c r="B993" s="1" t="n">
        <v>45769.65688657408</v>
      </c>
      <c r="C993" s="1" t="n">
        <v>46033</v>
      </c>
      <c r="D993" t="inlineStr">
        <is>
          <t>JÄMTLANDS LÄN</t>
        </is>
      </c>
      <c r="E993" t="inlineStr">
        <is>
          <t>RAGUNDA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49229-2024</t>
        </is>
      </c>
      <c r="B994" s="1" t="n">
        <v>45595.42738425926</v>
      </c>
      <c r="C994" s="1" t="n">
        <v>46033</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13700-2023</t>
        </is>
      </c>
      <c r="B995" s="1" t="n">
        <v>45006</v>
      </c>
      <c r="C995" s="1" t="n">
        <v>46033</v>
      </c>
      <c r="D995" t="inlineStr">
        <is>
          <t>JÄMTLANDS LÄN</t>
        </is>
      </c>
      <c r="E995" t="inlineStr">
        <is>
          <t>RAGUNDA</t>
        </is>
      </c>
      <c r="F995" t="inlineStr">
        <is>
          <t>SCA</t>
        </is>
      </c>
      <c r="G995" t="n">
        <v>50.3</v>
      </c>
      <c r="H995" t="n">
        <v>0</v>
      </c>
      <c r="I995" t="n">
        <v>0</v>
      </c>
      <c r="J995" t="n">
        <v>0</v>
      </c>
      <c r="K995" t="n">
        <v>0</v>
      </c>
      <c r="L995" t="n">
        <v>0</v>
      </c>
      <c r="M995" t="n">
        <v>0</v>
      </c>
      <c r="N995" t="n">
        <v>0</v>
      </c>
      <c r="O995" t="n">
        <v>0</v>
      </c>
      <c r="P995" t="n">
        <v>0</v>
      </c>
      <c r="Q995" t="n">
        <v>0</v>
      </c>
      <c r="R995" s="2" t="inlineStr"/>
    </row>
    <row r="996" ht="15" customHeight="1">
      <c r="A996" t="inlineStr">
        <is>
          <t>A 51389-2024</t>
        </is>
      </c>
      <c r="B996" s="1" t="n">
        <v>45604.40540509259</v>
      </c>
      <c r="C996" s="1" t="n">
        <v>46033</v>
      </c>
      <c r="D996" t="inlineStr">
        <is>
          <t>JÄMTLANDS LÄN</t>
        </is>
      </c>
      <c r="E996" t="inlineStr">
        <is>
          <t>RAGUNDA</t>
        </is>
      </c>
      <c r="G996" t="n">
        <v>1.7</v>
      </c>
      <c r="H996" t="n">
        <v>0</v>
      </c>
      <c r="I996" t="n">
        <v>0</v>
      </c>
      <c r="J996" t="n">
        <v>0</v>
      </c>
      <c r="K996" t="n">
        <v>0</v>
      </c>
      <c r="L996" t="n">
        <v>0</v>
      </c>
      <c r="M996" t="n">
        <v>0</v>
      </c>
      <c r="N996" t="n">
        <v>0</v>
      </c>
      <c r="O996" t="n">
        <v>0</v>
      </c>
      <c r="P996" t="n">
        <v>0</v>
      </c>
      <c r="Q996" t="n">
        <v>0</v>
      </c>
      <c r="R996" s="2" t="inlineStr"/>
    </row>
    <row r="997" ht="15" customHeight="1">
      <c r="A997" t="inlineStr">
        <is>
          <t>A 51393-2024</t>
        </is>
      </c>
      <c r="B997" s="1" t="n">
        <v>45604.41625</v>
      </c>
      <c r="C997" s="1" t="n">
        <v>46033</v>
      </c>
      <c r="D997" t="inlineStr">
        <is>
          <t>JÄMTLANDS LÄN</t>
        </is>
      </c>
      <c r="E997" t="inlineStr">
        <is>
          <t>RAGUNDA</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20987-2023</t>
        </is>
      </c>
      <c r="B998" s="1" t="n">
        <v>45056</v>
      </c>
      <c r="C998" s="1" t="n">
        <v>46033</v>
      </c>
      <c r="D998" t="inlineStr">
        <is>
          <t>JÄMTLANDS LÄN</t>
        </is>
      </c>
      <c r="E998" t="inlineStr">
        <is>
          <t>RAGUNDA</t>
        </is>
      </c>
      <c r="G998" t="n">
        <v>1.1</v>
      </c>
      <c r="H998" t="n">
        <v>0</v>
      </c>
      <c r="I998" t="n">
        <v>0</v>
      </c>
      <c r="J998" t="n">
        <v>0</v>
      </c>
      <c r="K998" t="n">
        <v>0</v>
      </c>
      <c r="L998" t="n">
        <v>0</v>
      </c>
      <c r="M998" t="n">
        <v>0</v>
      </c>
      <c r="N998" t="n">
        <v>0</v>
      </c>
      <c r="O998" t="n">
        <v>0</v>
      </c>
      <c r="P998" t="n">
        <v>0</v>
      </c>
      <c r="Q998" t="n">
        <v>0</v>
      </c>
      <c r="R998" s="2" t="inlineStr"/>
    </row>
    <row r="999" ht="15" customHeight="1">
      <c r="A999" t="inlineStr">
        <is>
          <t>A 20994-2023</t>
        </is>
      </c>
      <c r="B999" s="1" t="n">
        <v>45056</v>
      </c>
      <c r="C999" s="1" t="n">
        <v>46033</v>
      </c>
      <c r="D999" t="inlineStr">
        <is>
          <t>JÄMTLANDS LÄN</t>
        </is>
      </c>
      <c r="E999" t="inlineStr">
        <is>
          <t>RAGUNDA</t>
        </is>
      </c>
      <c r="G999" t="n">
        <v>1.3</v>
      </c>
      <c r="H999" t="n">
        <v>0</v>
      </c>
      <c r="I999" t="n">
        <v>0</v>
      </c>
      <c r="J999" t="n">
        <v>0</v>
      </c>
      <c r="K999" t="n">
        <v>0</v>
      </c>
      <c r="L999" t="n">
        <v>0</v>
      </c>
      <c r="M999" t="n">
        <v>0</v>
      </c>
      <c r="N999" t="n">
        <v>0</v>
      </c>
      <c r="O999" t="n">
        <v>0</v>
      </c>
      <c r="P999" t="n">
        <v>0</v>
      </c>
      <c r="Q999" t="n">
        <v>0</v>
      </c>
      <c r="R999" s="2" t="inlineStr"/>
    </row>
    <row r="1000" ht="15" customHeight="1">
      <c r="A1000" t="inlineStr">
        <is>
          <t>A 55669-2023</t>
        </is>
      </c>
      <c r="B1000" s="1" t="n">
        <v>45238.96797453704</v>
      </c>
      <c r="C1000" s="1" t="n">
        <v>46033</v>
      </c>
      <c r="D1000" t="inlineStr">
        <is>
          <t>JÄMTLANDS LÄN</t>
        </is>
      </c>
      <c r="E1000" t="inlineStr">
        <is>
          <t>RAGUNDA</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32063-2024</t>
        </is>
      </c>
      <c r="B1001" s="1" t="n">
        <v>45510</v>
      </c>
      <c r="C1001" s="1" t="n">
        <v>46033</v>
      </c>
      <c r="D1001" t="inlineStr">
        <is>
          <t>JÄMTLANDS LÄN</t>
        </is>
      </c>
      <c r="E1001" t="inlineStr">
        <is>
          <t>RAGUNDA</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10641-2024</t>
        </is>
      </c>
      <c r="B1002" s="1" t="n">
        <v>45367.69850694444</v>
      </c>
      <c r="C1002" s="1" t="n">
        <v>46033</v>
      </c>
      <c r="D1002" t="inlineStr">
        <is>
          <t>JÄMTLANDS LÄN</t>
        </is>
      </c>
      <c r="E1002" t="inlineStr">
        <is>
          <t>RAGUNDA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10644-2024</t>
        </is>
      </c>
      <c r="B1003" s="1" t="n">
        <v>45367.71348379629</v>
      </c>
      <c r="C1003" s="1" t="n">
        <v>46033</v>
      </c>
      <c r="D1003" t="inlineStr">
        <is>
          <t>JÄMTLANDS LÄN</t>
        </is>
      </c>
      <c r="E1003" t="inlineStr">
        <is>
          <t>RAGUNDA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20426-2024</t>
        </is>
      </c>
      <c r="B1004" s="1" t="n">
        <v>45435</v>
      </c>
      <c r="C1004" s="1" t="n">
        <v>46033</v>
      </c>
      <c r="D1004" t="inlineStr">
        <is>
          <t>JÄMTLANDS LÄN</t>
        </is>
      </c>
      <c r="E1004" t="inlineStr">
        <is>
          <t>RAGUNDA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17742-2022</t>
        </is>
      </c>
      <c r="B1005" s="1" t="n">
        <v>44680.95246527778</v>
      </c>
      <c r="C1005" s="1" t="n">
        <v>46033</v>
      </c>
      <c r="D1005" t="inlineStr">
        <is>
          <t>JÄMTLANDS LÄN</t>
        </is>
      </c>
      <c r="E1005" t="inlineStr">
        <is>
          <t>RAGUNDA</t>
        </is>
      </c>
      <c r="F1005" t="inlineStr">
        <is>
          <t>SCA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30825-2023</t>
        </is>
      </c>
      <c r="B1006" s="1" t="n">
        <v>45112.94310185185</v>
      </c>
      <c r="C1006" s="1" t="n">
        <v>46033</v>
      </c>
      <c r="D1006" t="inlineStr">
        <is>
          <t>JÄMTLANDS LÄN</t>
        </is>
      </c>
      <c r="E1006" t="inlineStr">
        <is>
          <t>RAGUNDA</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46033</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9326-2024</t>
        </is>
      </c>
      <c r="B1008" s="1" t="n">
        <v>45358.95818287037</v>
      </c>
      <c r="C1008" s="1" t="n">
        <v>46033</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46033</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21662-2023</t>
        </is>
      </c>
      <c r="B1010" s="1" t="n">
        <v>45063</v>
      </c>
      <c r="C1010" s="1" t="n">
        <v>46033</v>
      </c>
      <c r="D1010" t="inlineStr">
        <is>
          <t>JÄMTLANDS LÄN</t>
        </is>
      </c>
      <c r="E1010" t="inlineStr">
        <is>
          <t>RAGUNDA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44727-2024</t>
        </is>
      </c>
      <c r="B1011" s="1" t="n">
        <v>45574.57967592592</v>
      </c>
      <c r="C1011" s="1" t="n">
        <v>46033</v>
      </c>
      <c r="D1011" t="inlineStr">
        <is>
          <t>JÄMTLANDS LÄN</t>
        </is>
      </c>
      <c r="E1011" t="inlineStr">
        <is>
          <t>RAGUNDA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21083-2024</t>
        </is>
      </c>
      <c r="B1012" s="1" t="n">
        <v>45439.92752314815</v>
      </c>
      <c r="C1012" s="1" t="n">
        <v>46033</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462-2023</t>
        </is>
      </c>
      <c r="B1013" s="1" t="n">
        <v>44929</v>
      </c>
      <c r="C1013" s="1" t="n">
        <v>46033</v>
      </c>
      <c r="D1013" t="inlineStr">
        <is>
          <t>JÄMTLANDS LÄN</t>
        </is>
      </c>
      <c r="E1013" t="inlineStr">
        <is>
          <t>RAGUNDA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12050-2023</t>
        </is>
      </c>
      <c r="B1014" s="1" t="n">
        <v>44995.98644675926</v>
      </c>
      <c r="C1014" s="1" t="n">
        <v>46033</v>
      </c>
      <c r="D1014" t="inlineStr">
        <is>
          <t>JÄMTLANDS LÄN</t>
        </is>
      </c>
      <c r="E1014" t="inlineStr">
        <is>
          <t>RAGUNDA</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62358-2023</t>
        </is>
      </c>
      <c r="B1015" s="1" t="n">
        <v>45267</v>
      </c>
      <c r="C1015" s="1" t="n">
        <v>46033</v>
      </c>
      <c r="D1015" t="inlineStr">
        <is>
          <t>JÄMTLANDS LÄN</t>
        </is>
      </c>
      <c r="E1015" t="inlineStr">
        <is>
          <t>RAGUNDA</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18820-2023</t>
        </is>
      </c>
      <c r="B1016" s="1" t="n">
        <v>45042</v>
      </c>
      <c r="C1016" s="1" t="n">
        <v>46033</v>
      </c>
      <c r="D1016" t="inlineStr">
        <is>
          <t>JÄMTLANDS LÄN</t>
        </is>
      </c>
      <c r="E1016" t="inlineStr">
        <is>
          <t>RAGUNDA</t>
        </is>
      </c>
      <c r="G1016" t="n">
        <v>18.8</v>
      </c>
      <c r="H1016" t="n">
        <v>0</v>
      </c>
      <c r="I1016" t="n">
        <v>0</v>
      </c>
      <c r="J1016" t="n">
        <v>0</v>
      </c>
      <c r="K1016" t="n">
        <v>0</v>
      </c>
      <c r="L1016" t="n">
        <v>0</v>
      </c>
      <c r="M1016" t="n">
        <v>0</v>
      </c>
      <c r="N1016" t="n">
        <v>0</v>
      </c>
      <c r="O1016" t="n">
        <v>0</v>
      </c>
      <c r="P1016" t="n">
        <v>0</v>
      </c>
      <c r="Q1016" t="n">
        <v>0</v>
      </c>
      <c r="R1016" s="2" t="inlineStr"/>
    </row>
    <row r="1017" ht="15" customHeight="1">
      <c r="A1017" t="inlineStr">
        <is>
          <t>A 49648-2023</t>
        </is>
      </c>
      <c r="B1017" s="1" t="n">
        <v>45211.95061342593</v>
      </c>
      <c r="C1017" s="1" t="n">
        <v>46033</v>
      </c>
      <c r="D1017" t="inlineStr">
        <is>
          <t>JÄMTLANDS LÄN</t>
        </is>
      </c>
      <c r="E1017" t="inlineStr">
        <is>
          <t>RAGUNDA</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51537-2022</t>
        </is>
      </c>
      <c r="B1018" s="1" t="n">
        <v>44869</v>
      </c>
      <c r="C1018" s="1" t="n">
        <v>46033</v>
      </c>
      <c r="D1018" t="inlineStr">
        <is>
          <t>JÄMTLANDS LÄN</t>
        </is>
      </c>
      <c r="E1018" t="inlineStr">
        <is>
          <t>RAGUNDA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59044-2022</t>
        </is>
      </c>
      <c r="B1019" s="1" t="n">
        <v>44903</v>
      </c>
      <c r="C1019" s="1" t="n">
        <v>46033</v>
      </c>
      <c r="D1019" t="inlineStr">
        <is>
          <t>JÄMTLANDS LÄN</t>
        </is>
      </c>
      <c r="E1019" t="inlineStr">
        <is>
          <t>RAGUNDA</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5958-2023</t>
        </is>
      </c>
      <c r="B1020" s="1" t="n">
        <v>44963</v>
      </c>
      <c r="C1020" s="1" t="n">
        <v>46033</v>
      </c>
      <c r="D1020" t="inlineStr">
        <is>
          <t>JÄMTLANDS LÄN</t>
        </is>
      </c>
      <c r="E1020" t="inlineStr">
        <is>
          <t>RAGUNDA</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8779-2025</t>
        </is>
      </c>
      <c r="B1021" s="1" t="n">
        <v>45712.61552083334</v>
      </c>
      <c r="C1021" s="1" t="n">
        <v>46033</v>
      </c>
      <c r="D1021" t="inlineStr">
        <is>
          <t>JÄMTLANDS LÄN</t>
        </is>
      </c>
      <c r="E1021" t="inlineStr">
        <is>
          <t>RAGUNDA</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61400-2022</t>
        </is>
      </c>
      <c r="B1022" s="1" t="n">
        <v>44915</v>
      </c>
      <c r="C1022" s="1" t="n">
        <v>46033</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4348-2023</t>
        </is>
      </c>
      <c r="B1023" s="1" t="n">
        <v>44953</v>
      </c>
      <c r="C1023" s="1" t="n">
        <v>46033</v>
      </c>
      <c r="D1023" t="inlineStr">
        <is>
          <t>JÄMTLANDS LÄN</t>
        </is>
      </c>
      <c r="E1023" t="inlineStr">
        <is>
          <t>RAGUNDA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56286-2023</t>
        </is>
      </c>
      <c r="B1024" s="1" t="n">
        <v>45241.95741898148</v>
      </c>
      <c r="C1024" s="1" t="n">
        <v>46033</v>
      </c>
      <c r="D1024" t="inlineStr">
        <is>
          <t>JÄMTLANDS LÄN</t>
        </is>
      </c>
      <c r="E1024" t="inlineStr">
        <is>
          <t>RAGUNDA</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56287-2023</t>
        </is>
      </c>
      <c r="B1025" s="1" t="n">
        <v>45241</v>
      </c>
      <c r="C1025" s="1" t="n">
        <v>46033</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62135-2024</t>
        </is>
      </c>
      <c r="B1026" s="1" t="n">
        <v>45656.64223379629</v>
      </c>
      <c r="C1026" s="1" t="n">
        <v>46033</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18248-2023</t>
        </is>
      </c>
      <c r="B1027" s="1" t="n">
        <v>45040</v>
      </c>
      <c r="C1027" s="1" t="n">
        <v>46033</v>
      </c>
      <c r="D1027" t="inlineStr">
        <is>
          <t>JÄMTLANDS LÄN</t>
        </is>
      </c>
      <c r="E1027" t="inlineStr">
        <is>
          <t>RAGUNDA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8802-2022</t>
        </is>
      </c>
      <c r="B1028" s="1" t="n">
        <v>44614</v>
      </c>
      <c r="C1028" s="1" t="n">
        <v>46033</v>
      </c>
      <c r="D1028" t="inlineStr">
        <is>
          <t>JÄMTLANDS LÄN</t>
        </is>
      </c>
      <c r="E1028" t="inlineStr">
        <is>
          <t>RAGUNDA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39489-2023</t>
        </is>
      </c>
      <c r="B1029" s="1" t="n">
        <v>45166</v>
      </c>
      <c r="C1029" s="1" t="n">
        <v>46033</v>
      </c>
      <c r="D1029" t="inlineStr">
        <is>
          <t>JÄMTLANDS LÄN</t>
        </is>
      </c>
      <c r="E1029" t="inlineStr">
        <is>
          <t>RAGUNDA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55214-2022</t>
        </is>
      </c>
      <c r="B1030" s="1" t="n">
        <v>44886</v>
      </c>
      <c r="C1030" s="1" t="n">
        <v>46033</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7722-2023</t>
        </is>
      </c>
      <c r="B1031" s="1" t="n">
        <v>44972.94140046297</v>
      </c>
      <c r="C1031" s="1" t="n">
        <v>46033</v>
      </c>
      <c r="D1031" t="inlineStr">
        <is>
          <t>JÄMTLANDS LÄN</t>
        </is>
      </c>
      <c r="E1031" t="inlineStr">
        <is>
          <t>RAGUNDA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12204-2025</t>
        </is>
      </c>
      <c r="B1032" s="1" t="n">
        <v>45729.51074074074</v>
      </c>
      <c r="C1032" s="1" t="n">
        <v>46033</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13299-2024</t>
        </is>
      </c>
      <c r="B1033" s="1" t="n">
        <v>45386.68003472222</v>
      </c>
      <c r="C1033" s="1" t="n">
        <v>46033</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15024-2022</t>
        </is>
      </c>
      <c r="B1034" s="1" t="n">
        <v>44657</v>
      </c>
      <c r="C1034" s="1" t="n">
        <v>46033</v>
      </c>
      <c r="D1034" t="inlineStr">
        <is>
          <t>JÄMTLANDS LÄN</t>
        </is>
      </c>
      <c r="E1034" t="inlineStr">
        <is>
          <t>RAGUNDA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891-2022</t>
        </is>
      </c>
      <c r="B1035" s="1" t="n">
        <v>44571</v>
      </c>
      <c r="C1035" s="1" t="n">
        <v>46033</v>
      </c>
      <c r="D1035" t="inlineStr">
        <is>
          <t>JÄMTLANDS LÄN</t>
        </is>
      </c>
      <c r="E1035" t="inlineStr">
        <is>
          <t>RAGUNDA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36371-2023</t>
        </is>
      </c>
      <c r="B1036" s="1" t="n">
        <v>45149</v>
      </c>
      <c r="C1036" s="1" t="n">
        <v>46033</v>
      </c>
      <c r="D1036" t="inlineStr">
        <is>
          <t>JÄMTLANDS LÄN</t>
        </is>
      </c>
      <c r="E1036" t="inlineStr">
        <is>
          <t>RAGUNDA</t>
        </is>
      </c>
      <c r="G1036" t="n">
        <v>25.7</v>
      </c>
      <c r="H1036" t="n">
        <v>0</v>
      </c>
      <c r="I1036" t="n">
        <v>0</v>
      </c>
      <c r="J1036" t="n">
        <v>0</v>
      </c>
      <c r="K1036" t="n">
        <v>0</v>
      </c>
      <c r="L1036" t="n">
        <v>0</v>
      </c>
      <c r="M1036" t="n">
        <v>0</v>
      </c>
      <c r="N1036" t="n">
        <v>0</v>
      </c>
      <c r="O1036" t="n">
        <v>0</v>
      </c>
      <c r="P1036" t="n">
        <v>0</v>
      </c>
      <c r="Q1036" t="n">
        <v>0</v>
      </c>
      <c r="R1036" s="2" t="inlineStr"/>
    </row>
    <row r="1037" ht="15" customHeight="1">
      <c r="A1037" t="inlineStr">
        <is>
          <t>A 56702-2023</t>
        </is>
      </c>
      <c r="B1037" s="1" t="n">
        <v>45243</v>
      </c>
      <c r="C1037" s="1" t="n">
        <v>46033</v>
      </c>
      <c r="D1037" t="inlineStr">
        <is>
          <t>JÄMTLANDS LÄN</t>
        </is>
      </c>
      <c r="E1037" t="inlineStr">
        <is>
          <t>RAGUNDA</t>
        </is>
      </c>
      <c r="F1037" t="inlineStr">
        <is>
          <t>SCA</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32259-2024</t>
        </is>
      </c>
      <c r="B1038" s="1" t="n">
        <v>45511</v>
      </c>
      <c r="C1038" s="1" t="n">
        <v>46033</v>
      </c>
      <c r="D1038" t="inlineStr">
        <is>
          <t>JÄMTLANDS LÄN</t>
        </is>
      </c>
      <c r="E1038" t="inlineStr">
        <is>
          <t>RAGUNDA</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5313-2025</t>
        </is>
      </c>
      <c r="B1039" s="1" t="n">
        <v>45692.51069444444</v>
      </c>
      <c r="C1039" s="1" t="n">
        <v>46033</v>
      </c>
      <c r="D1039" t="inlineStr">
        <is>
          <t>JÄMTLANDS LÄN</t>
        </is>
      </c>
      <c r="E1039" t="inlineStr">
        <is>
          <t>RAGUNDA</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5357-2025</t>
        </is>
      </c>
      <c r="B1040" s="1" t="n">
        <v>45692.57326388889</v>
      </c>
      <c r="C1040" s="1" t="n">
        <v>46033</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3018-2024</t>
        </is>
      </c>
      <c r="B1041" s="1" t="n">
        <v>45315.9492824074</v>
      </c>
      <c r="C1041" s="1" t="n">
        <v>46033</v>
      </c>
      <c r="D1041" t="inlineStr">
        <is>
          <t>JÄMTLANDS LÄN</t>
        </is>
      </c>
      <c r="E1041" t="inlineStr">
        <is>
          <t>RAGUNDA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44605-2024</t>
        </is>
      </c>
      <c r="B1042" s="1" t="n">
        <v>45574.51185185185</v>
      </c>
      <c r="C1042" s="1" t="n">
        <v>46033</v>
      </c>
      <c r="D1042" t="inlineStr">
        <is>
          <t>JÄMTLANDS LÄN</t>
        </is>
      </c>
      <c r="E1042" t="inlineStr">
        <is>
          <t>RAGUNDA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20773-2024</t>
        </is>
      </c>
      <c r="B1043" s="1" t="n">
        <v>45436.94636574074</v>
      </c>
      <c r="C1043" s="1" t="n">
        <v>46033</v>
      </c>
      <c r="D1043" t="inlineStr">
        <is>
          <t>JÄMTLANDS LÄN</t>
        </is>
      </c>
      <c r="E1043" t="inlineStr">
        <is>
          <t>RAGUNDA</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34323-2023</t>
        </is>
      </c>
      <c r="B1044" s="1" t="n">
        <v>45138.94925925926</v>
      </c>
      <c r="C1044" s="1" t="n">
        <v>46033</v>
      </c>
      <c r="D1044" t="inlineStr">
        <is>
          <t>JÄMTLANDS LÄN</t>
        </is>
      </c>
      <c r="E1044" t="inlineStr">
        <is>
          <t>RAGUNDA</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50486-2023</t>
        </is>
      </c>
      <c r="B1045" s="1" t="n">
        <v>45216.92424768519</v>
      </c>
      <c r="C1045" s="1" t="n">
        <v>46033</v>
      </c>
      <c r="D1045" t="inlineStr">
        <is>
          <t>JÄMTLANDS LÄN</t>
        </is>
      </c>
      <c r="E1045" t="inlineStr">
        <is>
          <t>RAGUNDA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51538-2022</t>
        </is>
      </c>
      <c r="B1046" s="1" t="n">
        <v>44869</v>
      </c>
      <c r="C1046" s="1" t="n">
        <v>46033</v>
      </c>
      <c r="D1046" t="inlineStr">
        <is>
          <t>JÄMTLANDS LÄN</t>
        </is>
      </c>
      <c r="E1046" t="inlineStr">
        <is>
          <t>RAGUNDA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19854-2025</t>
        </is>
      </c>
      <c r="B1047" s="1" t="n">
        <v>45771.51074074074</v>
      </c>
      <c r="C1047" s="1" t="n">
        <v>46033</v>
      </c>
      <c r="D1047" t="inlineStr">
        <is>
          <t>JÄMTLANDS LÄN</t>
        </is>
      </c>
      <c r="E1047" t="inlineStr">
        <is>
          <t>RAGUNDA</t>
        </is>
      </c>
      <c r="F1047" t="inlineStr">
        <is>
          <t>SCA</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50503-2024</t>
        </is>
      </c>
      <c r="B1048" s="1" t="n">
        <v>45601.5315625</v>
      </c>
      <c r="C1048" s="1" t="n">
        <v>46033</v>
      </c>
      <c r="D1048" t="inlineStr">
        <is>
          <t>JÄMTLANDS LÄN</t>
        </is>
      </c>
      <c r="E1048" t="inlineStr">
        <is>
          <t>RAGUNDA</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10610-2024</t>
        </is>
      </c>
      <c r="B1049" s="1" t="n">
        <v>45367.04693287037</v>
      </c>
      <c r="C1049" s="1" t="n">
        <v>46033</v>
      </c>
      <c r="D1049" t="inlineStr">
        <is>
          <t>JÄMTLANDS LÄN</t>
        </is>
      </c>
      <c r="E1049" t="inlineStr">
        <is>
          <t>RAGUNDA</t>
        </is>
      </c>
      <c r="F1049" t="inlineStr">
        <is>
          <t>SCA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10706-2023</t>
        </is>
      </c>
      <c r="B1050" s="1" t="n">
        <v>44984</v>
      </c>
      <c r="C1050" s="1" t="n">
        <v>46033</v>
      </c>
      <c r="D1050" t="inlineStr">
        <is>
          <t>JÄMTLANDS LÄN</t>
        </is>
      </c>
      <c r="E1050" t="inlineStr">
        <is>
          <t>RAGUNDA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63708-2023</t>
        </is>
      </c>
      <c r="B1051" s="1" t="n">
        <v>45275.95060185185</v>
      </c>
      <c r="C1051" s="1" t="n">
        <v>46033</v>
      </c>
      <c r="D1051" t="inlineStr">
        <is>
          <t>JÄMTLANDS LÄN</t>
        </is>
      </c>
      <c r="E1051" t="inlineStr">
        <is>
          <t>RAGUNDA</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16250-2022</t>
        </is>
      </c>
      <c r="B1052" s="1" t="n">
        <v>44670</v>
      </c>
      <c r="C1052" s="1" t="n">
        <v>46033</v>
      </c>
      <c r="D1052" t="inlineStr">
        <is>
          <t>JÄMTLANDS LÄN</t>
        </is>
      </c>
      <c r="E1052" t="inlineStr">
        <is>
          <t>RAGUNDA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60663-2022</t>
        </is>
      </c>
      <c r="B1053" s="1" t="n">
        <v>44911.93846064815</v>
      </c>
      <c r="C1053" s="1" t="n">
        <v>46033</v>
      </c>
      <c r="D1053" t="inlineStr">
        <is>
          <t>JÄMTLANDS LÄN</t>
        </is>
      </c>
      <c r="E1053" t="inlineStr">
        <is>
          <t>RAGUNDA</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58847-2024</t>
        </is>
      </c>
      <c r="B1054" s="1" t="n">
        <v>45636.3864699074</v>
      </c>
      <c r="C1054" s="1" t="n">
        <v>46033</v>
      </c>
      <c r="D1054" t="inlineStr">
        <is>
          <t>JÄMTLANDS LÄN</t>
        </is>
      </c>
      <c r="E1054" t="inlineStr">
        <is>
          <t>RAGUNDA</t>
        </is>
      </c>
      <c r="F1054" t="inlineStr">
        <is>
          <t>SCA</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27777-2022</t>
        </is>
      </c>
      <c r="B1055" s="1" t="n">
        <v>44743</v>
      </c>
      <c r="C1055" s="1" t="n">
        <v>46033</v>
      </c>
      <c r="D1055" t="inlineStr">
        <is>
          <t>JÄMTLANDS LÄN</t>
        </is>
      </c>
      <c r="E1055" t="inlineStr">
        <is>
          <t>RAGUNDA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42875-2024</t>
        </is>
      </c>
      <c r="B1056" s="1" t="n">
        <v>45566.68125</v>
      </c>
      <c r="C1056" s="1" t="n">
        <v>46033</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53935-2022</t>
        </is>
      </c>
      <c r="B1057" s="1" t="n">
        <v>44880</v>
      </c>
      <c r="C1057" s="1" t="n">
        <v>46033</v>
      </c>
      <c r="D1057" t="inlineStr">
        <is>
          <t>JÄMTLANDS LÄN</t>
        </is>
      </c>
      <c r="E1057" t="inlineStr">
        <is>
          <t>RAGUNDA</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41262-2021</t>
        </is>
      </c>
      <c r="B1058" s="1" t="n">
        <v>44424</v>
      </c>
      <c r="C1058" s="1" t="n">
        <v>46033</v>
      </c>
      <c r="D1058" t="inlineStr">
        <is>
          <t>JÄMTLANDS LÄN</t>
        </is>
      </c>
      <c r="E1058" t="inlineStr">
        <is>
          <t>RAGUNDA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20221-2025</t>
        </is>
      </c>
      <c r="B1059" s="1" t="n">
        <v>45772.6565625</v>
      </c>
      <c r="C1059" s="1" t="n">
        <v>46033</v>
      </c>
      <c r="D1059" t="inlineStr">
        <is>
          <t>JÄMTLANDS LÄN</t>
        </is>
      </c>
      <c r="E1059" t="inlineStr">
        <is>
          <t>RAGUNDA</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4015-2022</t>
        </is>
      </c>
      <c r="B1060" s="1" t="n">
        <v>44587.92149305555</v>
      </c>
      <c r="C1060" s="1" t="n">
        <v>46033</v>
      </c>
      <c r="D1060" t="inlineStr">
        <is>
          <t>JÄMTLANDS LÄN</t>
        </is>
      </c>
      <c r="E1060" t="inlineStr">
        <is>
          <t>RAGUNDA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8416-2023</t>
        </is>
      </c>
      <c r="B1061" s="1" t="n">
        <v>44977.44373842593</v>
      </c>
      <c r="C1061" s="1" t="n">
        <v>46033</v>
      </c>
      <c r="D1061" t="inlineStr">
        <is>
          <t>JÄMTLANDS LÄN</t>
        </is>
      </c>
      <c r="E1061" t="inlineStr">
        <is>
          <t>RAGUNDA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45253-2023</t>
        </is>
      </c>
      <c r="B1062" s="1" t="n">
        <v>45187</v>
      </c>
      <c r="C1062" s="1" t="n">
        <v>46033</v>
      </c>
      <c r="D1062" t="inlineStr">
        <is>
          <t>JÄMTLANDS LÄN</t>
        </is>
      </c>
      <c r="E1062" t="inlineStr">
        <is>
          <t>RAGUNDA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14369-2024</t>
        </is>
      </c>
      <c r="B1063" s="1" t="n">
        <v>45393.94459490741</v>
      </c>
      <c r="C1063" s="1" t="n">
        <v>46033</v>
      </c>
      <c r="D1063" t="inlineStr">
        <is>
          <t>JÄMTLANDS LÄN</t>
        </is>
      </c>
      <c r="E1063" t="inlineStr">
        <is>
          <t>RAGUNDA</t>
        </is>
      </c>
      <c r="F1063" t="inlineStr">
        <is>
          <t>Naturvårdsverket</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182-2023</t>
        </is>
      </c>
      <c r="B1064" s="1" t="n">
        <v>44922</v>
      </c>
      <c r="C1064" s="1" t="n">
        <v>46033</v>
      </c>
      <c r="D1064" t="inlineStr">
        <is>
          <t>JÄMTLANDS LÄN</t>
        </is>
      </c>
      <c r="E1064" t="inlineStr">
        <is>
          <t>RAGUNDA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6490-2022</t>
        </is>
      </c>
      <c r="B1065" s="1" t="n">
        <v>44601</v>
      </c>
      <c r="C1065" s="1" t="n">
        <v>46033</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6802-2021</t>
        </is>
      </c>
      <c r="B1066" s="1" t="n">
        <v>44236</v>
      </c>
      <c r="C1066" s="1" t="n">
        <v>46033</v>
      </c>
      <c r="D1066" t="inlineStr">
        <is>
          <t>JÄMTLANDS LÄN</t>
        </is>
      </c>
      <c r="E1066" t="inlineStr">
        <is>
          <t>RAGUNDA</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6477-2024</t>
        </is>
      </c>
      <c r="B1067" s="1" t="n">
        <v>45338.95405092592</v>
      </c>
      <c r="C1067" s="1" t="n">
        <v>46033</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18193-2022</t>
        </is>
      </c>
      <c r="B1068" s="1" t="n">
        <v>44684.94032407407</v>
      </c>
      <c r="C1068" s="1" t="n">
        <v>46033</v>
      </c>
      <c r="D1068" t="inlineStr">
        <is>
          <t>JÄMTLANDS LÄN</t>
        </is>
      </c>
      <c r="E1068" t="inlineStr">
        <is>
          <t>RAGUNDA</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11551-2024</t>
        </is>
      </c>
      <c r="B1069" s="1" t="n">
        <v>45372.95762731481</v>
      </c>
      <c r="C1069" s="1" t="n">
        <v>46033</v>
      </c>
      <c r="D1069" t="inlineStr">
        <is>
          <t>JÄMTLANDS LÄN</t>
        </is>
      </c>
      <c r="E1069" t="inlineStr">
        <is>
          <t>RAGUNDA</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49647-2024</t>
        </is>
      </c>
      <c r="B1070" s="1" t="n">
        <v>45596.61533564814</v>
      </c>
      <c r="C1070" s="1" t="n">
        <v>46033</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53264-2024</t>
        </is>
      </c>
      <c r="B1071" s="1" t="n">
        <v>45614.34545138889</v>
      </c>
      <c r="C1071" s="1" t="n">
        <v>46033</v>
      </c>
      <c r="D1071" t="inlineStr">
        <is>
          <t>JÄMTLANDS LÄN</t>
        </is>
      </c>
      <c r="E1071" t="inlineStr">
        <is>
          <t>RAGUNDA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13389-2025</t>
        </is>
      </c>
      <c r="B1072" s="1" t="n">
        <v>45735.69842592593</v>
      </c>
      <c r="C1072" s="1" t="n">
        <v>46033</v>
      </c>
      <c r="D1072" t="inlineStr">
        <is>
          <t>JÄMTLANDS LÄN</t>
        </is>
      </c>
      <c r="E1072" t="inlineStr">
        <is>
          <t>RAGUNDA</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45631-2024</t>
        </is>
      </c>
      <c r="B1073" s="1" t="n">
        <v>45579.47052083333</v>
      </c>
      <c r="C1073" s="1" t="n">
        <v>46033</v>
      </c>
      <c r="D1073" t="inlineStr">
        <is>
          <t>JÄMTLANDS LÄN</t>
        </is>
      </c>
      <c r="E1073" t="inlineStr">
        <is>
          <t>RAGUNDA</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55701-2021</t>
        </is>
      </c>
      <c r="B1074" s="1" t="n">
        <v>44475</v>
      </c>
      <c r="C1074" s="1" t="n">
        <v>46033</v>
      </c>
      <c r="D1074" t="inlineStr">
        <is>
          <t>JÄMTLANDS LÄN</t>
        </is>
      </c>
      <c r="E1074" t="inlineStr">
        <is>
          <t>RAGUNDA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30484-2024</t>
        </is>
      </c>
      <c r="B1075" s="1" t="n">
        <v>45491</v>
      </c>
      <c r="C1075" s="1" t="n">
        <v>46033</v>
      </c>
      <c r="D1075" t="inlineStr">
        <is>
          <t>JÄMTLANDS LÄN</t>
        </is>
      </c>
      <c r="E1075" t="inlineStr">
        <is>
          <t>RAGUNDA</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14513-2025</t>
        </is>
      </c>
      <c r="B1076" s="1" t="n">
        <v>45741.63675925926</v>
      </c>
      <c r="C1076" s="1" t="n">
        <v>46033</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55904-2022</t>
        </is>
      </c>
      <c r="B1077" s="1" t="n">
        <v>44888</v>
      </c>
      <c r="C1077" s="1" t="n">
        <v>46033</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7281-2025</t>
        </is>
      </c>
      <c r="B1078" s="1" t="n">
        <v>45702.63572916666</v>
      </c>
      <c r="C1078" s="1" t="n">
        <v>46033</v>
      </c>
      <c r="D1078" t="inlineStr">
        <is>
          <t>JÄMTLANDS LÄN</t>
        </is>
      </c>
      <c r="E1078" t="inlineStr">
        <is>
          <t>RAGUNDA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48192-2024</t>
        </is>
      </c>
      <c r="B1079" s="1" t="n">
        <v>45590</v>
      </c>
      <c r="C1079" s="1" t="n">
        <v>46033</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2599-2023</t>
        </is>
      </c>
      <c r="B1080" s="1" t="n">
        <v>44943.94802083333</v>
      </c>
      <c r="C1080" s="1" t="n">
        <v>46033</v>
      </c>
      <c r="D1080" t="inlineStr">
        <is>
          <t>JÄMTLANDS LÄN</t>
        </is>
      </c>
      <c r="E1080" t="inlineStr">
        <is>
          <t>RAGUNDA</t>
        </is>
      </c>
      <c r="F1080" t="inlineStr">
        <is>
          <t>SCA</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48249-2024</t>
        </is>
      </c>
      <c r="B1081" s="1" t="n">
        <v>45590.40675925926</v>
      </c>
      <c r="C1081" s="1" t="n">
        <v>46033</v>
      </c>
      <c r="D1081" t="inlineStr">
        <is>
          <t>JÄMTLANDS LÄN</t>
        </is>
      </c>
      <c r="E1081" t="inlineStr">
        <is>
          <t>RAGUNDA</t>
        </is>
      </c>
      <c r="F1081" t="inlineStr">
        <is>
          <t>SCA</t>
        </is>
      </c>
      <c r="G1081" t="n">
        <v>14.4</v>
      </c>
      <c r="H1081" t="n">
        <v>0</v>
      </c>
      <c r="I1081" t="n">
        <v>0</v>
      </c>
      <c r="J1081" t="n">
        <v>0</v>
      </c>
      <c r="K1081" t="n">
        <v>0</v>
      </c>
      <c r="L1081" t="n">
        <v>0</v>
      </c>
      <c r="M1081" t="n">
        <v>0</v>
      </c>
      <c r="N1081" t="n">
        <v>0</v>
      </c>
      <c r="O1081" t="n">
        <v>0</v>
      </c>
      <c r="P1081" t="n">
        <v>0</v>
      </c>
      <c r="Q1081" t="n">
        <v>0</v>
      </c>
      <c r="R1081" s="2" t="inlineStr"/>
    </row>
    <row r="1082" ht="15" customHeight="1">
      <c r="A1082" t="inlineStr">
        <is>
          <t>A 64265-2023</t>
        </is>
      </c>
      <c r="B1082" s="1" t="n">
        <v>45279.94572916667</v>
      </c>
      <c r="C1082" s="1" t="n">
        <v>46033</v>
      </c>
      <c r="D1082" t="inlineStr">
        <is>
          <t>JÄMTLANDS LÄN</t>
        </is>
      </c>
      <c r="E1082" t="inlineStr">
        <is>
          <t>RAGUNDA</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66706-2021</t>
        </is>
      </c>
      <c r="B1083" s="1" t="n">
        <v>44519.94440972222</v>
      </c>
      <c r="C1083" s="1" t="n">
        <v>46033</v>
      </c>
      <c r="D1083" t="inlineStr">
        <is>
          <t>JÄMTLANDS LÄN</t>
        </is>
      </c>
      <c r="E1083" t="inlineStr">
        <is>
          <t>RAGUNDA</t>
        </is>
      </c>
      <c r="F1083" t="inlineStr">
        <is>
          <t>SCA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55222-2024</t>
        </is>
      </c>
      <c r="B1084" s="1" t="n">
        <v>45621.57395833333</v>
      </c>
      <c r="C1084" s="1" t="n">
        <v>46033</v>
      </c>
      <c r="D1084" t="inlineStr">
        <is>
          <t>JÄMTLANDS LÄN</t>
        </is>
      </c>
      <c r="E1084" t="inlineStr">
        <is>
          <t>RAGUNDA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46211-2024</t>
        </is>
      </c>
      <c r="B1085" s="1" t="n">
        <v>45581.55260416667</v>
      </c>
      <c r="C1085" s="1" t="n">
        <v>46033</v>
      </c>
      <c r="D1085" t="inlineStr">
        <is>
          <t>JÄMTLANDS LÄN</t>
        </is>
      </c>
      <c r="E1085" t="inlineStr">
        <is>
          <t>RAGUNDA</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31435-2022</t>
        </is>
      </c>
      <c r="B1086" s="1" t="n">
        <v>44774</v>
      </c>
      <c r="C1086" s="1" t="n">
        <v>46033</v>
      </c>
      <c r="D1086" t="inlineStr">
        <is>
          <t>JÄMTLANDS LÄN</t>
        </is>
      </c>
      <c r="E1086" t="inlineStr">
        <is>
          <t>RAGUNDA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39608-2024</t>
        </is>
      </c>
      <c r="B1087" s="1" t="n">
        <v>45552.39113425926</v>
      </c>
      <c r="C1087" s="1" t="n">
        <v>46033</v>
      </c>
      <c r="D1087" t="inlineStr">
        <is>
          <t>JÄMTLANDS LÄN</t>
        </is>
      </c>
      <c r="E1087" t="inlineStr">
        <is>
          <t>RAGUNDA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39626-2024</t>
        </is>
      </c>
      <c r="B1088" s="1" t="n">
        <v>45552.44096064815</v>
      </c>
      <c r="C1088" s="1" t="n">
        <v>46033</v>
      </c>
      <c r="D1088" t="inlineStr">
        <is>
          <t>JÄMTLANDS LÄN</t>
        </is>
      </c>
      <c r="E1088" t="inlineStr">
        <is>
          <t>RAGUNDA</t>
        </is>
      </c>
      <c r="G1088" t="n">
        <v>23.5</v>
      </c>
      <c r="H1088" t="n">
        <v>0</v>
      </c>
      <c r="I1088" t="n">
        <v>0</v>
      </c>
      <c r="J1088" t="n">
        <v>0</v>
      </c>
      <c r="K1088" t="n">
        <v>0</v>
      </c>
      <c r="L1088" t="n">
        <v>0</v>
      </c>
      <c r="M1088" t="n">
        <v>0</v>
      </c>
      <c r="N1088" t="n">
        <v>0</v>
      </c>
      <c r="O1088" t="n">
        <v>0</v>
      </c>
      <c r="P1088" t="n">
        <v>0</v>
      </c>
      <c r="Q1088" t="n">
        <v>0</v>
      </c>
      <c r="R1088" s="2" t="inlineStr"/>
    </row>
    <row r="1089" ht="15" customHeight="1">
      <c r="A1089" t="inlineStr">
        <is>
          <t>A 56984-2022</t>
        </is>
      </c>
      <c r="B1089" s="1" t="n">
        <v>44894.79018518519</v>
      </c>
      <c r="C1089" s="1" t="n">
        <v>46033</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13264-2025</t>
        </is>
      </c>
      <c r="B1090" s="1" t="n">
        <v>45735</v>
      </c>
      <c r="C1090" s="1" t="n">
        <v>46033</v>
      </c>
      <c r="D1090" t="inlineStr">
        <is>
          <t>JÄMTLANDS LÄN</t>
        </is>
      </c>
      <c r="E1090" t="inlineStr">
        <is>
          <t>RAGUNDA</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5307-2025</t>
        </is>
      </c>
      <c r="B1091" s="1" t="n">
        <v>45692.48993055556</v>
      </c>
      <c r="C1091" s="1" t="n">
        <v>46033</v>
      </c>
      <c r="D1091" t="inlineStr">
        <is>
          <t>JÄMTLANDS LÄN</t>
        </is>
      </c>
      <c r="E1091" t="inlineStr">
        <is>
          <t>RAGUNDA</t>
        </is>
      </c>
      <c r="F1091" t="inlineStr">
        <is>
          <t>SCA</t>
        </is>
      </c>
      <c r="G1091" t="n">
        <v>20.9</v>
      </c>
      <c r="H1091" t="n">
        <v>0</v>
      </c>
      <c r="I1091" t="n">
        <v>0</v>
      </c>
      <c r="J1091" t="n">
        <v>0</v>
      </c>
      <c r="K1091" t="n">
        <v>0</v>
      </c>
      <c r="L1091" t="n">
        <v>0</v>
      </c>
      <c r="M1091" t="n">
        <v>0</v>
      </c>
      <c r="N1091" t="n">
        <v>0</v>
      </c>
      <c r="O1091" t="n">
        <v>0</v>
      </c>
      <c r="P1091" t="n">
        <v>0</v>
      </c>
      <c r="Q1091" t="n">
        <v>0</v>
      </c>
      <c r="R1091" s="2" t="inlineStr"/>
    </row>
    <row r="1092" ht="15" customHeight="1">
      <c r="A1092" t="inlineStr">
        <is>
          <t>A 38548-2024</t>
        </is>
      </c>
      <c r="B1092" s="1" t="n">
        <v>45546</v>
      </c>
      <c r="C1092" s="1" t="n">
        <v>46033</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2411-2023</t>
        </is>
      </c>
      <c r="B1093" s="1" t="n">
        <v>44942</v>
      </c>
      <c r="C1093" s="1" t="n">
        <v>46033</v>
      </c>
      <c r="D1093" t="inlineStr">
        <is>
          <t>JÄMTLANDS LÄN</t>
        </is>
      </c>
      <c r="E1093" t="inlineStr">
        <is>
          <t>RAGUNDA</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13935-2024</t>
        </is>
      </c>
      <c r="B1094" s="1" t="n">
        <v>45391.95329861111</v>
      </c>
      <c r="C1094" s="1" t="n">
        <v>46033</v>
      </c>
      <c r="D1094" t="inlineStr">
        <is>
          <t>JÄMTLANDS LÄN</t>
        </is>
      </c>
      <c r="E1094" t="inlineStr">
        <is>
          <t>RAGUNDA</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5308-2025</t>
        </is>
      </c>
      <c r="B1095" s="1" t="n">
        <v>45692.49008101852</v>
      </c>
      <c r="C1095" s="1" t="n">
        <v>46033</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58194-2022</t>
        </is>
      </c>
      <c r="B1096" s="1" t="n">
        <v>44900</v>
      </c>
      <c r="C1096" s="1" t="n">
        <v>46033</v>
      </c>
      <c r="D1096" t="inlineStr">
        <is>
          <t>JÄMTLANDS LÄN</t>
        </is>
      </c>
      <c r="E1096" t="inlineStr">
        <is>
          <t>RAGUNDA</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24171-2021</t>
        </is>
      </c>
      <c r="B1097" s="1" t="n">
        <v>44336</v>
      </c>
      <c r="C1097" s="1" t="n">
        <v>46033</v>
      </c>
      <c r="D1097" t="inlineStr">
        <is>
          <t>JÄMTLANDS LÄN</t>
        </is>
      </c>
      <c r="E1097" t="inlineStr">
        <is>
          <t>RAGUNDA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58843-2024</t>
        </is>
      </c>
      <c r="B1098" s="1" t="n">
        <v>45636.38599537037</v>
      </c>
      <c r="C1098" s="1" t="n">
        <v>46033</v>
      </c>
      <c r="D1098" t="inlineStr">
        <is>
          <t>JÄMTLANDS LÄN</t>
        </is>
      </c>
      <c r="E1098" t="inlineStr">
        <is>
          <t>RAGUNDA</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53287-2022</t>
        </is>
      </c>
      <c r="B1099" s="1" t="n">
        <v>44876</v>
      </c>
      <c r="C1099" s="1" t="n">
        <v>46033</v>
      </c>
      <c r="D1099" t="inlineStr">
        <is>
          <t>JÄMTLANDS LÄN</t>
        </is>
      </c>
      <c r="E1099" t="inlineStr">
        <is>
          <t>RAGUNDA</t>
        </is>
      </c>
      <c r="F1099" t="inlineStr">
        <is>
          <t>SCA</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16320-2025</t>
        </is>
      </c>
      <c r="B1100" s="1" t="n">
        <v>45751.34859953704</v>
      </c>
      <c r="C1100" s="1" t="n">
        <v>46033</v>
      </c>
      <c r="D1100" t="inlineStr">
        <is>
          <t>JÄMTLANDS LÄN</t>
        </is>
      </c>
      <c r="E1100" t="inlineStr">
        <is>
          <t>RAGUNDA</t>
        </is>
      </c>
      <c r="F1100" t="inlineStr">
        <is>
          <t>SCA</t>
        </is>
      </c>
      <c r="G1100" t="n">
        <v>16.2</v>
      </c>
      <c r="H1100" t="n">
        <v>0</v>
      </c>
      <c r="I1100" t="n">
        <v>0</v>
      </c>
      <c r="J1100" t="n">
        <v>0</v>
      </c>
      <c r="K1100" t="n">
        <v>0</v>
      </c>
      <c r="L1100" t="n">
        <v>0</v>
      </c>
      <c r="M1100" t="n">
        <v>0</v>
      </c>
      <c r="N1100" t="n">
        <v>0</v>
      </c>
      <c r="O1100" t="n">
        <v>0</v>
      </c>
      <c r="P1100" t="n">
        <v>0</v>
      </c>
      <c r="Q1100" t="n">
        <v>0</v>
      </c>
      <c r="R1100" s="2" t="inlineStr"/>
    </row>
    <row r="1101" ht="15" customHeight="1">
      <c r="A1101" t="inlineStr">
        <is>
          <t>A 16321-2025</t>
        </is>
      </c>
      <c r="B1101" s="1" t="n">
        <v>45751.34873842593</v>
      </c>
      <c r="C1101" s="1" t="n">
        <v>46033</v>
      </c>
      <c r="D1101" t="inlineStr">
        <is>
          <t>JÄMTLANDS LÄN</t>
        </is>
      </c>
      <c r="E1101" t="inlineStr">
        <is>
          <t>RAGUNDA</t>
        </is>
      </c>
      <c r="F1101" t="inlineStr">
        <is>
          <t>SCA</t>
        </is>
      </c>
      <c r="G1101" t="n">
        <v>63.3</v>
      </c>
      <c r="H1101" t="n">
        <v>0</v>
      </c>
      <c r="I1101" t="n">
        <v>0</v>
      </c>
      <c r="J1101" t="n">
        <v>0</v>
      </c>
      <c r="K1101" t="n">
        <v>0</v>
      </c>
      <c r="L1101" t="n">
        <v>0</v>
      </c>
      <c r="M1101" t="n">
        <v>0</v>
      </c>
      <c r="N1101" t="n">
        <v>0</v>
      </c>
      <c r="O1101" t="n">
        <v>0</v>
      </c>
      <c r="P1101" t="n">
        <v>0</v>
      </c>
      <c r="Q1101" t="n">
        <v>0</v>
      </c>
      <c r="R1101" s="2" t="inlineStr"/>
    </row>
    <row r="1102" ht="15" customHeight="1">
      <c r="A1102" t="inlineStr">
        <is>
          <t>A 14696-2022</t>
        </is>
      </c>
      <c r="B1102" s="1" t="n">
        <v>44655</v>
      </c>
      <c r="C1102" s="1" t="n">
        <v>46033</v>
      </c>
      <c r="D1102" t="inlineStr">
        <is>
          <t>JÄMTLANDS LÄN</t>
        </is>
      </c>
      <c r="E1102" t="inlineStr">
        <is>
          <t>RAGUNDA</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55514-2024</t>
        </is>
      </c>
      <c r="B1103" s="1" t="n">
        <v>45622.46910879629</v>
      </c>
      <c r="C1103" s="1" t="n">
        <v>46033</v>
      </c>
      <c r="D1103" t="inlineStr">
        <is>
          <t>JÄMTLANDS LÄN</t>
        </is>
      </c>
      <c r="E1103" t="inlineStr">
        <is>
          <t>RAGUNDA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18375-2022</t>
        </is>
      </c>
      <c r="B1104" s="1" t="n">
        <v>44685</v>
      </c>
      <c r="C1104" s="1" t="n">
        <v>46033</v>
      </c>
      <c r="D1104" t="inlineStr">
        <is>
          <t>JÄMTLANDS LÄN</t>
        </is>
      </c>
      <c r="E1104" t="inlineStr">
        <is>
          <t>RAGUNDA</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17248-2023</t>
        </is>
      </c>
      <c r="B1105" s="1" t="n">
        <v>45033</v>
      </c>
      <c r="C1105" s="1" t="n">
        <v>46033</v>
      </c>
      <c r="D1105" t="inlineStr">
        <is>
          <t>JÄMTLANDS LÄN</t>
        </is>
      </c>
      <c r="E1105" t="inlineStr">
        <is>
          <t>RAGUNDA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62011-2022</t>
        </is>
      </c>
      <c r="B1106" s="1" t="n">
        <v>44914</v>
      </c>
      <c r="C1106" s="1" t="n">
        <v>46033</v>
      </c>
      <c r="D1106" t="inlineStr">
        <is>
          <t>JÄMTLANDS LÄN</t>
        </is>
      </c>
      <c r="E1106" t="inlineStr">
        <is>
          <t>RAGUNDA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11557-2023</t>
        </is>
      </c>
      <c r="B1107" s="1" t="n">
        <v>44993.94950231481</v>
      </c>
      <c r="C1107" s="1" t="n">
        <v>46033</v>
      </c>
      <c r="D1107" t="inlineStr">
        <is>
          <t>JÄMTLANDS LÄN</t>
        </is>
      </c>
      <c r="E1107" t="inlineStr">
        <is>
          <t>RAGUNDA</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11562-2023</t>
        </is>
      </c>
      <c r="B1108" s="1" t="n">
        <v>44993</v>
      </c>
      <c r="C1108" s="1" t="n">
        <v>46033</v>
      </c>
      <c r="D1108" t="inlineStr">
        <is>
          <t>JÄMTLANDS LÄN</t>
        </is>
      </c>
      <c r="E1108" t="inlineStr">
        <is>
          <t>RAGUNDA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22131-2021</t>
        </is>
      </c>
      <c r="B1109" s="1" t="n">
        <v>44323</v>
      </c>
      <c r="C1109" s="1" t="n">
        <v>46033</v>
      </c>
      <c r="D1109" t="inlineStr">
        <is>
          <t>JÄMTLANDS LÄN</t>
        </is>
      </c>
      <c r="E1109" t="inlineStr">
        <is>
          <t>RAGUNDA</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5971-2025</t>
        </is>
      </c>
      <c r="B1110" s="1" t="n">
        <v>45695.51070601852</v>
      </c>
      <c r="C1110" s="1" t="n">
        <v>46033</v>
      </c>
      <c r="D1110" t="inlineStr">
        <is>
          <t>JÄMTLANDS LÄN</t>
        </is>
      </c>
      <c r="E1110" t="inlineStr">
        <is>
          <t>RAGUNDA</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30563-2023</t>
        </is>
      </c>
      <c r="B1111" s="1" t="n">
        <v>45111.92793981481</v>
      </c>
      <c r="C1111" s="1" t="n">
        <v>46033</v>
      </c>
      <c r="D1111" t="inlineStr">
        <is>
          <t>JÄMTLANDS LÄN</t>
        </is>
      </c>
      <c r="E1111" t="inlineStr">
        <is>
          <t>RAGUNDA</t>
        </is>
      </c>
      <c r="F1111" t="inlineStr">
        <is>
          <t>Övriga Aktiebolag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36212-2023</t>
        </is>
      </c>
      <c r="B1112" s="1" t="n">
        <v>45149.95241898148</v>
      </c>
      <c r="C1112" s="1" t="n">
        <v>46033</v>
      </c>
      <c r="D1112" t="inlineStr">
        <is>
          <t>JÄMTLANDS LÄN</t>
        </is>
      </c>
      <c r="E1112" t="inlineStr">
        <is>
          <t>RAGUNDA</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12768-2022</t>
        </is>
      </c>
      <c r="B1113" s="1" t="n">
        <v>44641</v>
      </c>
      <c r="C1113" s="1" t="n">
        <v>46033</v>
      </c>
      <c r="D1113" t="inlineStr">
        <is>
          <t>JÄMTLANDS LÄN</t>
        </is>
      </c>
      <c r="E1113" t="inlineStr">
        <is>
          <t>RAGUNDA</t>
        </is>
      </c>
      <c r="F1113" t="inlineStr">
        <is>
          <t>SCA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12773-2022</t>
        </is>
      </c>
      <c r="B1114" s="1" t="n">
        <v>44641</v>
      </c>
      <c r="C1114" s="1" t="n">
        <v>46033</v>
      </c>
      <c r="D1114" t="inlineStr">
        <is>
          <t>JÄMTLANDS LÄN</t>
        </is>
      </c>
      <c r="E1114" t="inlineStr">
        <is>
          <t>RAGUNDA</t>
        </is>
      </c>
      <c r="F1114" t="inlineStr">
        <is>
          <t>SCA</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5067-2024</t>
        </is>
      </c>
      <c r="B1115" s="1" t="n">
        <v>45329.95806712963</v>
      </c>
      <c r="C1115" s="1" t="n">
        <v>46033</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14905-2022</t>
        </is>
      </c>
      <c r="B1116" s="1" t="n">
        <v>44656.94708333333</v>
      </c>
      <c r="C1116" s="1" t="n">
        <v>46033</v>
      </c>
      <c r="D1116" t="inlineStr">
        <is>
          <t>JÄMTLANDS LÄN</t>
        </is>
      </c>
      <c r="E1116" t="inlineStr">
        <is>
          <t>RAGUNDA</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29766-2023</t>
        </is>
      </c>
      <c r="B1117" s="1" t="n">
        <v>45098</v>
      </c>
      <c r="C1117" s="1" t="n">
        <v>46033</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61107-2024</t>
        </is>
      </c>
      <c r="B1118" s="1" t="n">
        <v>45645.55665509259</v>
      </c>
      <c r="C1118" s="1" t="n">
        <v>46033</v>
      </c>
      <c r="D1118" t="inlineStr">
        <is>
          <t>JÄMTLANDS LÄN</t>
        </is>
      </c>
      <c r="E1118" t="inlineStr">
        <is>
          <t>RAGUNDA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23287-2024</t>
        </is>
      </c>
      <c r="B1119" s="1" t="n">
        <v>45453.42041666667</v>
      </c>
      <c r="C1119" s="1" t="n">
        <v>46033</v>
      </c>
      <c r="D1119" t="inlineStr">
        <is>
          <t>JÄMTLANDS LÄN</t>
        </is>
      </c>
      <c r="E1119" t="inlineStr">
        <is>
          <t>RAGUNDA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36922-2022</t>
        </is>
      </c>
      <c r="B1120" s="1" t="n">
        <v>44805.94592592592</v>
      </c>
      <c r="C1120" s="1" t="n">
        <v>46033</v>
      </c>
      <c r="D1120" t="inlineStr">
        <is>
          <t>JÄMTLANDS LÄN</t>
        </is>
      </c>
      <c r="E1120" t="inlineStr">
        <is>
          <t>RAGUNDA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26347-2023</t>
        </is>
      </c>
      <c r="B1121" s="1" t="n">
        <v>45091</v>
      </c>
      <c r="C1121" s="1" t="n">
        <v>46033</v>
      </c>
      <c r="D1121" t="inlineStr">
        <is>
          <t>JÄMTLANDS LÄN</t>
        </is>
      </c>
      <c r="E1121" t="inlineStr">
        <is>
          <t>RAGUNDA</t>
        </is>
      </c>
      <c r="F1121" t="inlineStr">
        <is>
          <t>SCA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34483-2023</t>
        </is>
      </c>
      <c r="B1122" s="1" t="n">
        <v>45139.94681712963</v>
      </c>
      <c r="C1122" s="1" t="n">
        <v>46033</v>
      </c>
      <c r="D1122" t="inlineStr">
        <is>
          <t>JÄMTLANDS LÄN</t>
        </is>
      </c>
      <c r="E1122" t="inlineStr">
        <is>
          <t>RAGUNDA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22948-2024</t>
        </is>
      </c>
      <c r="B1123" s="1" t="n">
        <v>45448.94600694445</v>
      </c>
      <c r="C1123" s="1" t="n">
        <v>46033</v>
      </c>
      <c r="D1123" t="inlineStr">
        <is>
          <t>JÄMTLANDS LÄN</t>
        </is>
      </c>
      <c r="E1123" t="inlineStr">
        <is>
          <t>RAGUNDA</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45075.945</v>
      </c>
      <c r="C1124" s="1" t="n">
        <v>46033</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36226-2023</t>
        </is>
      </c>
      <c r="B1125" s="1" t="n">
        <v>45149.95372685185</v>
      </c>
      <c r="C1125" s="1" t="n">
        <v>46033</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18615-2024</t>
        </is>
      </c>
      <c r="B1126" s="1" t="n">
        <v>45425.96275462963</v>
      </c>
      <c r="C1126" s="1" t="n">
        <v>46033</v>
      </c>
      <c r="D1126" t="inlineStr">
        <is>
          <t>JÄMTLANDS LÄN</t>
        </is>
      </c>
      <c r="E1126" t="inlineStr">
        <is>
          <t>RAGUNDA</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40269-2022</t>
        </is>
      </c>
      <c r="B1127" s="1" t="n">
        <v>44820</v>
      </c>
      <c r="C1127" s="1" t="n">
        <v>46033</v>
      </c>
      <c r="D1127" t="inlineStr">
        <is>
          <t>JÄMTLANDS LÄN</t>
        </is>
      </c>
      <c r="E1127" t="inlineStr">
        <is>
          <t>RAGUNDA</t>
        </is>
      </c>
      <c r="F1127" t="inlineStr">
        <is>
          <t>SCA</t>
        </is>
      </c>
      <c r="G1127" t="n">
        <v>77.8</v>
      </c>
      <c r="H1127" t="n">
        <v>0</v>
      </c>
      <c r="I1127" t="n">
        <v>0</v>
      </c>
      <c r="J1127" t="n">
        <v>0</v>
      </c>
      <c r="K1127" t="n">
        <v>0</v>
      </c>
      <c r="L1127" t="n">
        <v>0</v>
      </c>
      <c r="M1127" t="n">
        <v>0</v>
      </c>
      <c r="N1127" t="n">
        <v>0</v>
      </c>
      <c r="O1127" t="n">
        <v>0</v>
      </c>
      <c r="P1127" t="n">
        <v>0</v>
      </c>
      <c r="Q1127" t="n">
        <v>0</v>
      </c>
      <c r="R1127" s="2" t="inlineStr"/>
    </row>
    <row r="1128" ht="15" customHeight="1">
      <c r="A1128" t="inlineStr">
        <is>
          <t>A 37242-2024</t>
        </is>
      </c>
      <c r="B1128" s="1" t="n">
        <v>45540.34428240741</v>
      </c>
      <c r="C1128" s="1" t="n">
        <v>46033</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45438-2022</t>
        </is>
      </c>
      <c r="B1129" s="1" t="n">
        <v>44844.95368055555</v>
      </c>
      <c r="C1129" s="1" t="n">
        <v>46033</v>
      </c>
      <c r="D1129" t="inlineStr">
        <is>
          <t>JÄMTLANDS LÄN</t>
        </is>
      </c>
      <c r="E1129" t="inlineStr">
        <is>
          <t>RAGUNDA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56191-2022</t>
        </is>
      </c>
      <c r="B1130" s="1" t="n">
        <v>44889.95015046297</v>
      </c>
      <c r="C1130" s="1" t="n">
        <v>46033</v>
      </c>
      <c r="D1130" t="inlineStr">
        <is>
          <t>JÄMTLANDS LÄN</t>
        </is>
      </c>
      <c r="E1130" t="inlineStr">
        <is>
          <t>RAGUNDA</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30823-2023</t>
        </is>
      </c>
      <c r="B1131" s="1" t="n">
        <v>45112</v>
      </c>
      <c r="C1131" s="1" t="n">
        <v>46033</v>
      </c>
      <c r="D1131" t="inlineStr">
        <is>
          <t>JÄMTLANDS LÄN</t>
        </is>
      </c>
      <c r="E1131" t="inlineStr">
        <is>
          <t>RAGUNDA</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43339-2024</t>
        </is>
      </c>
      <c r="B1132" s="1" t="n">
        <v>45568.51075231482</v>
      </c>
      <c r="C1132" s="1" t="n">
        <v>46033</v>
      </c>
      <c r="D1132" t="inlineStr">
        <is>
          <t>JÄMTLANDS LÄN</t>
        </is>
      </c>
      <c r="E1132" t="inlineStr">
        <is>
          <t>RAGUNDA</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43102-2023</t>
        </is>
      </c>
      <c r="B1133" s="1" t="n">
        <v>45182</v>
      </c>
      <c r="C1133" s="1" t="n">
        <v>46033</v>
      </c>
      <c r="D1133" t="inlineStr">
        <is>
          <t>JÄMTLANDS LÄN</t>
        </is>
      </c>
      <c r="E1133" t="inlineStr">
        <is>
          <t>RAGUNDA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9823-2025</t>
        </is>
      </c>
      <c r="B1134" s="1" t="n">
        <v>45716</v>
      </c>
      <c r="C1134" s="1" t="n">
        <v>46033</v>
      </c>
      <c r="D1134" t="inlineStr">
        <is>
          <t>JÄMTLANDS LÄN</t>
        </is>
      </c>
      <c r="E1134" t="inlineStr">
        <is>
          <t>RAGUNDA</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13917-2023</t>
        </is>
      </c>
      <c r="B1135" s="1" t="n">
        <v>45007</v>
      </c>
      <c r="C1135" s="1" t="n">
        <v>46033</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53019-2023</t>
        </is>
      </c>
      <c r="B1136" s="1" t="n">
        <v>45222</v>
      </c>
      <c r="C1136" s="1" t="n">
        <v>46033</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14212-2023</t>
        </is>
      </c>
      <c r="B1137" s="1" t="n">
        <v>45009</v>
      </c>
      <c r="C1137" s="1" t="n">
        <v>46033</v>
      </c>
      <c r="D1137" t="inlineStr">
        <is>
          <t>JÄMTLANDS LÄN</t>
        </is>
      </c>
      <c r="E1137" t="inlineStr">
        <is>
          <t>RAGUNDA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59996-2023</t>
        </is>
      </c>
      <c r="B1138" s="1" t="n">
        <v>45257.92826388889</v>
      </c>
      <c r="C1138" s="1" t="n">
        <v>46033</v>
      </c>
      <c r="D1138" t="inlineStr">
        <is>
          <t>JÄMTLANDS LÄN</t>
        </is>
      </c>
      <c r="E1138" t="inlineStr">
        <is>
          <t>RAGUNDA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44980-2023</t>
        </is>
      </c>
      <c r="B1139" s="1" t="n">
        <v>45190</v>
      </c>
      <c r="C1139" s="1" t="n">
        <v>46033</v>
      </c>
      <c r="D1139" t="inlineStr">
        <is>
          <t>JÄMTLANDS LÄN</t>
        </is>
      </c>
      <c r="E1139" t="inlineStr">
        <is>
          <t>RAGUNDA</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14076-2023</t>
        </is>
      </c>
      <c r="B1140" s="1" t="n">
        <v>45009.0897337963</v>
      </c>
      <c r="C1140" s="1" t="n">
        <v>46033</v>
      </c>
      <c r="D1140" t="inlineStr">
        <is>
          <t>JÄMTLANDS LÄN</t>
        </is>
      </c>
      <c r="E1140" t="inlineStr">
        <is>
          <t>RAGUNDA</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12805-2025</t>
        </is>
      </c>
      <c r="B1141" s="1" t="n">
        <v>45733.61497685185</v>
      </c>
      <c r="C1141" s="1" t="n">
        <v>46033</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12808-2025</t>
        </is>
      </c>
      <c r="B1142" s="1" t="n">
        <v>45733.61554398148</v>
      </c>
      <c r="C1142" s="1" t="n">
        <v>46033</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4615-2023</t>
        </is>
      </c>
      <c r="B1143" s="1" t="n">
        <v>44956.93924768519</v>
      </c>
      <c r="C1143" s="1" t="n">
        <v>46033</v>
      </c>
      <c r="D1143" t="inlineStr">
        <is>
          <t>JÄMTLANDS LÄN</t>
        </is>
      </c>
      <c r="E1143" t="inlineStr">
        <is>
          <t>RAGUNDA</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5938-2025</t>
        </is>
      </c>
      <c r="B1144" s="1" t="n">
        <v>45695.45868055556</v>
      </c>
      <c r="C1144" s="1" t="n">
        <v>46033</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4125-2024</t>
        </is>
      </c>
      <c r="B1145" s="1" t="n">
        <v>45323</v>
      </c>
      <c r="C1145" s="1" t="n">
        <v>46033</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53549-2024</t>
        </is>
      </c>
      <c r="B1146" s="1" t="n">
        <v>45614.63869212963</v>
      </c>
      <c r="C1146" s="1" t="n">
        <v>46033</v>
      </c>
      <c r="D1146" t="inlineStr">
        <is>
          <t>JÄMTLANDS LÄN</t>
        </is>
      </c>
      <c r="E1146" t="inlineStr">
        <is>
          <t>RAGUNDA</t>
        </is>
      </c>
      <c r="F1146" t="inlineStr">
        <is>
          <t>Kyrkan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7284-2025</t>
        </is>
      </c>
      <c r="B1147" s="1" t="n">
        <v>45702.63604166666</v>
      </c>
      <c r="C1147" s="1" t="n">
        <v>46033</v>
      </c>
      <c r="D1147" t="inlineStr">
        <is>
          <t>JÄMTLANDS LÄN</t>
        </is>
      </c>
      <c r="E1147" t="inlineStr">
        <is>
          <t>RAGUNDA</t>
        </is>
      </c>
      <c r="F1147" t="inlineStr">
        <is>
          <t>SCA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31506-2024</t>
        </is>
      </c>
      <c r="B1148" s="1" t="n">
        <v>45505</v>
      </c>
      <c r="C1148" s="1" t="n">
        <v>46033</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19382-2025</t>
        </is>
      </c>
      <c r="B1149" s="1" t="n">
        <v>45769.65659722222</v>
      </c>
      <c r="C1149" s="1" t="n">
        <v>46033</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37479-2023</t>
        </is>
      </c>
      <c r="B1150" s="1" t="n">
        <v>45156</v>
      </c>
      <c r="C1150" s="1" t="n">
        <v>46033</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5958-2021</t>
        </is>
      </c>
      <c r="B1151" s="1" t="n">
        <v>44231</v>
      </c>
      <c r="C1151" s="1" t="n">
        <v>46033</v>
      </c>
      <c r="D1151" t="inlineStr">
        <is>
          <t>JÄMTLANDS LÄN</t>
        </is>
      </c>
      <c r="E1151" t="inlineStr">
        <is>
          <t>RAGUNDA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4866-2025</t>
        </is>
      </c>
      <c r="B1152" s="1" t="n">
        <v>45688.67542824074</v>
      </c>
      <c r="C1152" s="1" t="n">
        <v>46033</v>
      </c>
      <c r="D1152" t="inlineStr">
        <is>
          <t>JÄMTLANDS LÄN</t>
        </is>
      </c>
      <c r="E1152" t="inlineStr">
        <is>
          <t>RAGUNDA</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11780-2024</t>
        </is>
      </c>
      <c r="B1153" s="1" t="n">
        <v>45374</v>
      </c>
      <c r="C1153" s="1" t="n">
        <v>46033</v>
      </c>
      <c r="D1153" t="inlineStr">
        <is>
          <t>JÄMTLANDS LÄN</t>
        </is>
      </c>
      <c r="E1153" t="inlineStr">
        <is>
          <t>RAGUNDA</t>
        </is>
      </c>
      <c r="G1153" t="n">
        <v>14.6</v>
      </c>
      <c r="H1153" t="n">
        <v>0</v>
      </c>
      <c r="I1153" t="n">
        <v>0</v>
      </c>
      <c r="J1153" t="n">
        <v>0</v>
      </c>
      <c r="K1153" t="n">
        <v>0</v>
      </c>
      <c r="L1153" t="n">
        <v>0</v>
      </c>
      <c r="M1153" t="n">
        <v>0</v>
      </c>
      <c r="N1153" t="n">
        <v>0</v>
      </c>
      <c r="O1153" t="n">
        <v>0</v>
      </c>
      <c r="P1153" t="n">
        <v>0</v>
      </c>
      <c r="Q1153" t="n">
        <v>0</v>
      </c>
      <c r="R1153" s="2" t="inlineStr"/>
    </row>
    <row r="1154" ht="15" customHeight="1">
      <c r="A1154" t="inlineStr">
        <is>
          <t>A 11288-2022</t>
        </is>
      </c>
      <c r="B1154" s="1" t="n">
        <v>44629</v>
      </c>
      <c r="C1154" s="1" t="n">
        <v>46033</v>
      </c>
      <c r="D1154" t="inlineStr">
        <is>
          <t>JÄMTLANDS LÄN</t>
        </is>
      </c>
      <c r="E1154" t="inlineStr">
        <is>
          <t>RAGUNDA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18984-2023</t>
        </is>
      </c>
      <c r="B1155" s="1" t="n">
        <v>45044</v>
      </c>
      <c r="C1155" s="1" t="n">
        <v>46033</v>
      </c>
      <c r="D1155" t="inlineStr">
        <is>
          <t>JÄMTLANDS LÄN</t>
        </is>
      </c>
      <c r="E1155" t="inlineStr">
        <is>
          <t>RAGUNDA</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66011-2021</t>
        </is>
      </c>
      <c r="B1156" s="1" t="n">
        <v>44517.58137731482</v>
      </c>
      <c r="C1156" s="1" t="n">
        <v>46033</v>
      </c>
      <c r="D1156" t="inlineStr">
        <is>
          <t>JÄMTLANDS LÄN</t>
        </is>
      </c>
      <c r="E1156" t="inlineStr">
        <is>
          <t>RAGUNDA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42509-2023</t>
        </is>
      </c>
      <c r="B1157" s="1" t="n">
        <v>45180</v>
      </c>
      <c r="C1157" s="1" t="n">
        <v>46033</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46033</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42510-2023</t>
        </is>
      </c>
      <c r="B1159" s="1" t="n">
        <v>45180.95927083334</v>
      </c>
      <c r="C1159" s="1" t="n">
        <v>46033</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53860-2023</t>
        </is>
      </c>
      <c r="B1160" s="1" t="n">
        <v>45224</v>
      </c>
      <c r="C1160" s="1" t="n">
        <v>46033</v>
      </c>
      <c r="D1160" t="inlineStr">
        <is>
          <t>JÄMTLANDS LÄN</t>
        </is>
      </c>
      <c r="E1160" t="inlineStr">
        <is>
          <t>RAGUNDA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12039-2023</t>
        </is>
      </c>
      <c r="B1161" s="1" t="n">
        <v>44995.98341435185</v>
      </c>
      <c r="C1161" s="1" t="n">
        <v>46033</v>
      </c>
      <c r="D1161" t="inlineStr">
        <is>
          <t>JÄMTLANDS LÄN</t>
        </is>
      </c>
      <c r="E1161" t="inlineStr">
        <is>
          <t>RAGUNDA</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26991-2023</t>
        </is>
      </c>
      <c r="B1162" s="1" t="n">
        <v>45093.92207175926</v>
      </c>
      <c r="C1162" s="1" t="n">
        <v>46033</v>
      </c>
      <c r="D1162" t="inlineStr">
        <is>
          <t>JÄMTLANDS LÄN</t>
        </is>
      </c>
      <c r="E1162" t="inlineStr">
        <is>
          <t>RAGUNDA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13302-2022</t>
        </is>
      </c>
      <c r="B1163" s="1" t="n">
        <v>44644</v>
      </c>
      <c r="C1163" s="1" t="n">
        <v>46033</v>
      </c>
      <c r="D1163" t="inlineStr">
        <is>
          <t>JÄMTLANDS LÄN</t>
        </is>
      </c>
      <c r="E1163" t="inlineStr">
        <is>
          <t>RAGUNDA</t>
        </is>
      </c>
      <c r="F1163" t="inlineStr">
        <is>
          <t>SCA</t>
        </is>
      </c>
      <c r="G1163" t="n">
        <v>35.6</v>
      </c>
      <c r="H1163" t="n">
        <v>0</v>
      </c>
      <c r="I1163" t="n">
        <v>0</v>
      </c>
      <c r="J1163" t="n">
        <v>0</v>
      </c>
      <c r="K1163" t="n">
        <v>0</v>
      </c>
      <c r="L1163" t="n">
        <v>0</v>
      </c>
      <c r="M1163" t="n">
        <v>0</v>
      </c>
      <c r="N1163" t="n">
        <v>0</v>
      </c>
      <c r="O1163" t="n">
        <v>0</v>
      </c>
      <c r="P1163" t="n">
        <v>0</v>
      </c>
      <c r="Q1163" t="n">
        <v>0</v>
      </c>
      <c r="R1163" s="2" t="inlineStr"/>
    </row>
    <row r="1164" ht="15" customHeight="1">
      <c r="A1164" t="inlineStr">
        <is>
          <t>A 26651-2024</t>
        </is>
      </c>
      <c r="B1164" s="1" t="n">
        <v>45469.94876157407</v>
      </c>
      <c r="C1164" s="1" t="n">
        <v>46033</v>
      </c>
      <c r="D1164" t="inlineStr">
        <is>
          <t>JÄMTLANDS LÄN</t>
        </is>
      </c>
      <c r="E1164" t="inlineStr">
        <is>
          <t>RAGUNDA</t>
        </is>
      </c>
      <c r="F1164" t="inlineStr">
        <is>
          <t>SCA</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40919-2024</t>
        </is>
      </c>
      <c r="B1165" s="1" t="n">
        <v>45558.63575231482</v>
      </c>
      <c r="C1165" s="1" t="n">
        <v>46033</v>
      </c>
      <c r="D1165" t="inlineStr">
        <is>
          <t>JÄMTLANDS LÄN</t>
        </is>
      </c>
      <c r="E1165" t="inlineStr">
        <is>
          <t>RAGUNDA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3186-2025</t>
        </is>
      </c>
      <c r="B1166" s="1" t="n">
        <v>45679.40362268518</v>
      </c>
      <c r="C1166" s="1" t="n">
        <v>46033</v>
      </c>
      <c r="D1166" t="inlineStr">
        <is>
          <t>JÄMTLANDS LÄN</t>
        </is>
      </c>
      <c r="E1166" t="inlineStr">
        <is>
          <t>RAGUNDA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465-2023</t>
        </is>
      </c>
      <c r="B1167" s="1" t="n">
        <v>44929</v>
      </c>
      <c r="C1167" s="1" t="n">
        <v>46033</v>
      </c>
      <c r="D1167" t="inlineStr">
        <is>
          <t>JÄMTLANDS LÄN</t>
        </is>
      </c>
      <c r="E1167" t="inlineStr">
        <is>
          <t>RAGUNDA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26455-2023</t>
        </is>
      </c>
      <c r="B1168" s="1" t="n">
        <v>45092</v>
      </c>
      <c r="C1168" s="1" t="n">
        <v>46033</v>
      </c>
      <c r="D1168" t="inlineStr">
        <is>
          <t>JÄMTLANDS LÄN</t>
        </is>
      </c>
      <c r="E1168" t="inlineStr">
        <is>
          <t>RAGUNDA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10639-2024</t>
        </is>
      </c>
      <c r="B1169" s="1" t="n">
        <v>45367.67256944445</v>
      </c>
      <c r="C1169" s="1" t="n">
        <v>46033</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2751-2024</t>
        </is>
      </c>
      <c r="B1170" s="1" t="n">
        <v>45314</v>
      </c>
      <c r="C1170" s="1" t="n">
        <v>46033</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36317-2024</t>
        </is>
      </c>
      <c r="B1171" s="1" t="n">
        <v>45534.63537037037</v>
      </c>
      <c r="C1171" s="1" t="n">
        <v>46033</v>
      </c>
      <c r="D1171" t="inlineStr">
        <is>
          <t>JÄMTLANDS LÄN</t>
        </is>
      </c>
      <c r="E1171" t="inlineStr">
        <is>
          <t>RAGUNDA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18614-2024</t>
        </is>
      </c>
      <c r="B1172" s="1" t="n">
        <v>45425.96263888889</v>
      </c>
      <c r="C1172" s="1" t="n">
        <v>46033</v>
      </c>
      <c r="D1172" t="inlineStr">
        <is>
          <t>JÄMTLANDS LÄN</t>
        </is>
      </c>
      <c r="E1172" t="inlineStr">
        <is>
          <t>RAGUNDA</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8787-2022</t>
        </is>
      </c>
      <c r="B1173" s="1" t="n">
        <v>44614</v>
      </c>
      <c r="C1173" s="1" t="n">
        <v>46033</v>
      </c>
      <c r="D1173" t="inlineStr">
        <is>
          <t>JÄMTLANDS LÄN</t>
        </is>
      </c>
      <c r="E1173" t="inlineStr">
        <is>
          <t>RAGUNDA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5967-2021</t>
        </is>
      </c>
      <c r="B1174" s="1" t="n">
        <v>44231</v>
      </c>
      <c r="C1174" s="1" t="n">
        <v>46033</v>
      </c>
      <c r="D1174" t="inlineStr">
        <is>
          <t>JÄMTLANDS LÄN</t>
        </is>
      </c>
      <c r="E1174" t="inlineStr">
        <is>
          <t>RAGUNDA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50431-2024</t>
        </is>
      </c>
      <c r="B1175" s="1" t="n">
        <v>45601.40686342592</v>
      </c>
      <c r="C1175" s="1" t="n">
        <v>46033</v>
      </c>
      <c r="D1175" t="inlineStr">
        <is>
          <t>JÄMTLANDS LÄN</t>
        </is>
      </c>
      <c r="E1175" t="inlineStr">
        <is>
          <t>RAGUNDA</t>
        </is>
      </c>
      <c r="F1175" t="inlineStr">
        <is>
          <t>SCA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60936-2024</t>
        </is>
      </c>
      <c r="B1176" s="1" t="n">
        <v>45645.36743055555</v>
      </c>
      <c r="C1176" s="1" t="n">
        <v>46033</v>
      </c>
      <c r="D1176" t="inlineStr">
        <is>
          <t>JÄMTLANDS LÄN</t>
        </is>
      </c>
      <c r="E1176" t="inlineStr">
        <is>
          <t>RAGUNDA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4212-2024</t>
        </is>
      </c>
      <c r="B1177" s="1" t="n">
        <v>45324</v>
      </c>
      <c r="C1177" s="1" t="n">
        <v>46033</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9262-2025</t>
        </is>
      </c>
      <c r="B1178" s="1" t="n">
        <v>45714.60649305556</v>
      </c>
      <c r="C1178" s="1" t="n">
        <v>46033</v>
      </c>
      <c r="D1178" t="inlineStr">
        <is>
          <t>JÄMTLANDS LÄN</t>
        </is>
      </c>
      <c r="E1178" t="inlineStr">
        <is>
          <t>RAGUNDA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60012-2023</t>
        </is>
      </c>
      <c r="B1179" s="1" t="n">
        <v>45257</v>
      </c>
      <c r="C1179" s="1" t="n">
        <v>46033</v>
      </c>
      <c r="D1179" t="inlineStr">
        <is>
          <t>JÄMTLANDS LÄN</t>
        </is>
      </c>
      <c r="E1179" t="inlineStr">
        <is>
          <t>RAGUNDA</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53676-2022</t>
        </is>
      </c>
      <c r="B1180" s="1" t="n">
        <v>44879</v>
      </c>
      <c r="C1180" s="1" t="n">
        <v>46033</v>
      </c>
      <c r="D1180" t="inlineStr">
        <is>
          <t>JÄMTLANDS LÄN</t>
        </is>
      </c>
      <c r="E1180" t="inlineStr">
        <is>
          <t>RAGUNDA</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56504-2024</t>
        </is>
      </c>
      <c r="B1181" s="1" t="n">
        <v>45625.51068287037</v>
      </c>
      <c r="C1181" s="1" t="n">
        <v>46033</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934-2023</t>
        </is>
      </c>
      <c r="B1182" s="1" t="n">
        <v>44932.93927083333</v>
      </c>
      <c r="C1182" s="1" t="n">
        <v>46033</v>
      </c>
      <c r="D1182" t="inlineStr">
        <is>
          <t>JÄMTLANDS LÄN</t>
        </is>
      </c>
      <c r="E1182" t="inlineStr">
        <is>
          <t>RAGUNDA</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36106-2022</t>
        </is>
      </c>
      <c r="B1183" s="1" t="n">
        <v>44802.94811342593</v>
      </c>
      <c r="C1183" s="1" t="n">
        <v>46033</v>
      </c>
      <c r="D1183" t="inlineStr">
        <is>
          <t>JÄMTLANDS LÄN</t>
        </is>
      </c>
      <c r="E1183" t="inlineStr">
        <is>
          <t>RAGUNDA</t>
        </is>
      </c>
      <c r="F1183" t="inlineStr">
        <is>
          <t>SCA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57839-2022</t>
        </is>
      </c>
      <c r="B1184" s="1" t="n">
        <v>44897</v>
      </c>
      <c r="C1184" s="1" t="n">
        <v>46033</v>
      </c>
      <c r="D1184" t="inlineStr">
        <is>
          <t>JÄMTLANDS LÄN</t>
        </is>
      </c>
      <c r="E1184" t="inlineStr">
        <is>
          <t>RAGUNDA</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41693-2023</t>
        </is>
      </c>
      <c r="B1185" s="1" t="n">
        <v>45176</v>
      </c>
      <c r="C1185" s="1" t="n">
        <v>46033</v>
      </c>
      <c r="D1185" t="inlineStr">
        <is>
          <t>JÄMTLANDS LÄN</t>
        </is>
      </c>
      <c r="E1185" t="inlineStr">
        <is>
          <t>RAGUNDA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53678-2022</t>
        </is>
      </c>
      <c r="B1186" s="1" t="n">
        <v>44879.95768518518</v>
      </c>
      <c r="C1186" s="1" t="n">
        <v>46033</v>
      </c>
      <c r="D1186" t="inlineStr">
        <is>
          <t>JÄMTLANDS LÄN</t>
        </is>
      </c>
      <c r="E1186" t="inlineStr">
        <is>
          <t>RAGUNDA</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23305-2023</t>
        </is>
      </c>
      <c r="B1187" s="1" t="n">
        <v>45075.94506944445</v>
      </c>
      <c r="C1187" s="1" t="n">
        <v>46033</v>
      </c>
      <c r="D1187" t="inlineStr">
        <is>
          <t>JÄMTLANDS LÄN</t>
        </is>
      </c>
      <c r="E1187" t="inlineStr">
        <is>
          <t>RAGUNDA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18194-2025</t>
        </is>
      </c>
      <c r="B1188" s="1" t="n">
        <v>45761.67744212963</v>
      </c>
      <c r="C1188" s="1" t="n">
        <v>46033</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18225-2024</t>
        </is>
      </c>
      <c r="B1189" s="1" t="n">
        <v>45420</v>
      </c>
      <c r="C1189" s="1" t="n">
        <v>46033</v>
      </c>
      <c r="D1189" t="inlineStr">
        <is>
          <t>JÄMTLANDS LÄN</t>
        </is>
      </c>
      <c r="E1189" t="inlineStr">
        <is>
          <t>RAGUNDA</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54764-2024</t>
        </is>
      </c>
      <c r="B1190" s="1" t="n">
        <v>45618.46921296296</v>
      </c>
      <c r="C1190" s="1" t="n">
        <v>46033</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32904-2024</t>
        </is>
      </c>
      <c r="B1191" s="1" t="n">
        <v>45516.94732638889</v>
      </c>
      <c r="C1191" s="1" t="n">
        <v>46033</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12976-2025</t>
        </is>
      </c>
      <c r="B1192" s="1" t="n">
        <v>45734.45268518518</v>
      </c>
      <c r="C1192" s="1" t="n">
        <v>46033</v>
      </c>
      <c r="D1192" t="inlineStr">
        <is>
          <t>JÄMTLANDS LÄN</t>
        </is>
      </c>
      <c r="E1192" t="inlineStr">
        <is>
          <t>RAGUNDA</t>
        </is>
      </c>
      <c r="G1192" t="n">
        <v>24.2</v>
      </c>
      <c r="H1192" t="n">
        <v>0</v>
      </c>
      <c r="I1192" t="n">
        <v>0</v>
      </c>
      <c r="J1192" t="n">
        <v>0</v>
      </c>
      <c r="K1192" t="n">
        <v>0</v>
      </c>
      <c r="L1192" t="n">
        <v>0</v>
      </c>
      <c r="M1192" t="n">
        <v>0</v>
      </c>
      <c r="N1192" t="n">
        <v>0</v>
      </c>
      <c r="O1192" t="n">
        <v>0</v>
      </c>
      <c r="P1192" t="n">
        <v>0</v>
      </c>
      <c r="Q1192" t="n">
        <v>0</v>
      </c>
      <c r="R1192" s="2" t="inlineStr"/>
    </row>
    <row r="1193" ht="15" customHeight="1">
      <c r="A1193" t="inlineStr">
        <is>
          <t>A 59286-2023</t>
        </is>
      </c>
      <c r="B1193" s="1" t="n">
        <v>45253</v>
      </c>
      <c r="C1193" s="1" t="n">
        <v>46033</v>
      </c>
      <c r="D1193" t="inlineStr">
        <is>
          <t>JÄMTLANDS LÄN</t>
        </is>
      </c>
      <c r="E1193" t="inlineStr">
        <is>
          <t>RAGUNDA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15672-2021</t>
        </is>
      </c>
      <c r="B1194" s="1" t="n">
        <v>44286</v>
      </c>
      <c r="C1194" s="1" t="n">
        <v>46033</v>
      </c>
      <c r="D1194" t="inlineStr">
        <is>
          <t>JÄMTLANDS LÄN</t>
        </is>
      </c>
      <c r="E1194" t="inlineStr">
        <is>
          <t>RAGUNDA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6688-2024</t>
        </is>
      </c>
      <c r="B1195" s="1" t="n">
        <v>45341</v>
      </c>
      <c r="C1195" s="1" t="n">
        <v>46033</v>
      </c>
      <c r="D1195" t="inlineStr">
        <is>
          <t>JÄMTLANDS LÄN</t>
        </is>
      </c>
      <c r="E1195" t="inlineStr">
        <is>
          <t>RAGUNDA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50650-2023</t>
        </is>
      </c>
      <c r="B1196" s="1" t="n">
        <v>45210</v>
      </c>
      <c r="C1196" s="1" t="n">
        <v>46033</v>
      </c>
      <c r="D1196" t="inlineStr">
        <is>
          <t>JÄMTLANDS LÄN</t>
        </is>
      </c>
      <c r="E1196" t="inlineStr">
        <is>
          <t>RAGUNDA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41344-2024</t>
        </is>
      </c>
      <c r="B1197" s="1" t="n">
        <v>45559.67759259259</v>
      </c>
      <c r="C1197" s="1" t="n">
        <v>46033</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59670-2023</t>
        </is>
      </c>
      <c r="B1198" s="1" t="n">
        <v>45254.96516203704</v>
      </c>
      <c r="C1198" s="1" t="n">
        <v>46033</v>
      </c>
      <c r="D1198" t="inlineStr">
        <is>
          <t>JÄMTLANDS LÄN</t>
        </is>
      </c>
      <c r="E1198" t="inlineStr">
        <is>
          <t>RAGUNDA</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55508-2024</t>
        </is>
      </c>
      <c r="B1199" s="1" t="n">
        <v>45622.46200231482</v>
      </c>
      <c r="C1199" s="1" t="n">
        <v>46033</v>
      </c>
      <c r="D1199" t="inlineStr">
        <is>
          <t>JÄMTLANDS LÄN</t>
        </is>
      </c>
      <c r="E1199" t="inlineStr">
        <is>
          <t>RAGUNDA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59492-2024</t>
        </is>
      </c>
      <c r="B1200" s="1" t="n">
        <v>45638</v>
      </c>
      <c r="C1200" s="1" t="n">
        <v>46033</v>
      </c>
      <c r="D1200" t="inlineStr">
        <is>
          <t>JÄMTLANDS LÄN</t>
        </is>
      </c>
      <c r="E1200" t="inlineStr">
        <is>
          <t>RAGUNDA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20772-2024</t>
        </is>
      </c>
      <c r="B1201" s="1" t="n">
        <v>45436.94628472222</v>
      </c>
      <c r="C1201" s="1" t="n">
        <v>46033</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53757-2024</t>
        </is>
      </c>
      <c r="B1202" s="1" t="n">
        <v>45615.50034722222</v>
      </c>
      <c r="C1202" s="1" t="n">
        <v>46033</v>
      </c>
      <c r="D1202" t="inlineStr">
        <is>
          <t>JÄMTLANDS LÄN</t>
        </is>
      </c>
      <c r="E1202" t="inlineStr">
        <is>
          <t>RAGUNDA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6716-2025</t>
        </is>
      </c>
      <c r="B1203" s="1" t="n">
        <v>45700.57324074074</v>
      </c>
      <c r="C1203" s="1" t="n">
        <v>46033</v>
      </c>
      <c r="D1203" t="inlineStr">
        <is>
          <t>JÄMTLANDS LÄN</t>
        </is>
      </c>
      <c r="E1203" t="inlineStr">
        <is>
          <t>RAGUNDA</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19866-2023</t>
        </is>
      </c>
      <c r="B1204" s="1" t="n">
        <v>45053.94313657407</v>
      </c>
      <c r="C1204" s="1" t="n">
        <v>46033</v>
      </c>
      <c r="D1204" t="inlineStr">
        <is>
          <t>JÄMTLANDS LÄN</t>
        </is>
      </c>
      <c r="E1204" t="inlineStr">
        <is>
          <t>RAGUNDA</t>
        </is>
      </c>
      <c r="F1204" t="inlineStr">
        <is>
          <t>SCA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21853-2024</t>
        </is>
      </c>
      <c r="B1205" s="1" t="n">
        <v>45442.96296296296</v>
      </c>
      <c r="C1205" s="1" t="n">
        <v>46033</v>
      </c>
      <c r="D1205" t="inlineStr">
        <is>
          <t>JÄMTLANDS LÄN</t>
        </is>
      </c>
      <c r="E1205" t="inlineStr">
        <is>
          <t>RAGUNDA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8241-2024</t>
        </is>
      </c>
      <c r="B1206" s="1" t="n">
        <v>45351.98496527778</v>
      </c>
      <c r="C1206" s="1" t="n">
        <v>46033</v>
      </c>
      <c r="D1206" t="inlineStr">
        <is>
          <t>JÄMTLANDS LÄN</t>
        </is>
      </c>
      <c r="E1206" t="inlineStr">
        <is>
          <t>RAGUNDA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40365-2024</t>
        </is>
      </c>
      <c r="B1207" s="1" t="n">
        <v>45555.38509259259</v>
      </c>
      <c r="C1207" s="1" t="n">
        <v>46033</v>
      </c>
      <c r="D1207" t="inlineStr">
        <is>
          <t>JÄMTLANDS LÄN</t>
        </is>
      </c>
      <c r="E1207" t="inlineStr">
        <is>
          <t>RAGUNDA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20770-2024</t>
        </is>
      </c>
      <c r="B1208" s="1" t="n">
        <v>45436.94613425926</v>
      </c>
      <c r="C1208" s="1" t="n">
        <v>46033</v>
      </c>
      <c r="D1208" t="inlineStr">
        <is>
          <t>JÄMTLANDS LÄN</t>
        </is>
      </c>
      <c r="E1208" t="inlineStr">
        <is>
          <t>RAGUNDA</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7281-2024</t>
        </is>
      </c>
      <c r="B1209" s="1" t="n">
        <v>45344</v>
      </c>
      <c r="C1209" s="1" t="n">
        <v>46033</v>
      </c>
      <c r="D1209" t="inlineStr">
        <is>
          <t>JÄMTLANDS LÄN</t>
        </is>
      </c>
      <c r="E1209" t="inlineStr">
        <is>
          <t>RAGUNDA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7284-2024</t>
        </is>
      </c>
      <c r="B1210" s="1" t="n">
        <v>45344.92865740741</v>
      </c>
      <c r="C1210" s="1" t="n">
        <v>46033</v>
      </c>
      <c r="D1210" t="inlineStr">
        <is>
          <t>JÄMTLANDS LÄN</t>
        </is>
      </c>
      <c r="E1210" t="inlineStr">
        <is>
          <t>RAGUNDA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7285-2024</t>
        </is>
      </c>
      <c r="B1211" s="1" t="n">
        <v>45344.92873842592</v>
      </c>
      <c r="C1211" s="1" t="n">
        <v>46033</v>
      </c>
      <c r="D1211" t="inlineStr">
        <is>
          <t>JÄMTLANDS LÄN</t>
        </is>
      </c>
      <c r="E1211" t="inlineStr">
        <is>
          <t>RAGUNDA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53347-2023</t>
        </is>
      </c>
      <c r="B1212" s="1" t="n">
        <v>45223</v>
      </c>
      <c r="C1212" s="1" t="n">
        <v>46033</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60838-2023</t>
        </is>
      </c>
      <c r="B1213" s="1" t="n">
        <v>45260.92561342593</v>
      </c>
      <c r="C1213" s="1" t="n">
        <v>46033</v>
      </c>
      <c r="D1213" t="inlineStr">
        <is>
          <t>JÄMTLANDS LÄN</t>
        </is>
      </c>
      <c r="E1213" t="inlineStr">
        <is>
          <t>RAGUNDA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9548-2025</t>
        </is>
      </c>
      <c r="B1214" s="1" t="n">
        <v>45715.59405092592</v>
      </c>
      <c r="C1214" s="1" t="n">
        <v>46033</v>
      </c>
      <c r="D1214" t="inlineStr">
        <is>
          <t>JÄMTLANDS LÄN</t>
        </is>
      </c>
      <c r="E1214" t="inlineStr">
        <is>
          <t>RAGUNDA</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53989-2024</t>
        </is>
      </c>
      <c r="B1215" s="1" t="n">
        <v>45616.34479166667</v>
      </c>
      <c r="C1215" s="1" t="n">
        <v>46033</v>
      </c>
      <c r="D1215" t="inlineStr">
        <is>
          <t>JÄMTLANDS LÄN</t>
        </is>
      </c>
      <c r="E1215" t="inlineStr">
        <is>
          <t>RAGUNDA</t>
        </is>
      </c>
      <c r="F1215" t="inlineStr">
        <is>
          <t>SCA</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15581-2024</t>
        </is>
      </c>
      <c r="B1216" s="1" t="n">
        <v>45401</v>
      </c>
      <c r="C1216" s="1" t="n">
        <v>46033</v>
      </c>
      <c r="D1216" t="inlineStr">
        <is>
          <t>JÄMTLANDS LÄN</t>
        </is>
      </c>
      <c r="E1216" t="inlineStr">
        <is>
          <t>RAGUNDA</t>
        </is>
      </c>
      <c r="F1216" t="inlineStr">
        <is>
          <t>Kommuner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15611-2024</t>
        </is>
      </c>
      <c r="B1217" s="1" t="n">
        <v>45401</v>
      </c>
      <c r="C1217" s="1" t="n">
        <v>46033</v>
      </c>
      <c r="D1217" t="inlineStr">
        <is>
          <t>JÄMTLANDS LÄN</t>
        </is>
      </c>
      <c r="E1217" t="inlineStr">
        <is>
          <t>RAGUNDA</t>
        </is>
      </c>
      <c r="F1217" t="inlineStr">
        <is>
          <t>SCA</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23528-2024</t>
        </is>
      </c>
      <c r="B1218" s="1" t="n">
        <v>45453.95016203704</v>
      </c>
      <c r="C1218" s="1" t="n">
        <v>46033</v>
      </c>
      <c r="D1218" t="inlineStr">
        <is>
          <t>JÄMTLANDS LÄN</t>
        </is>
      </c>
      <c r="E1218" t="inlineStr">
        <is>
          <t>RAGUNDA</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4594-2024</t>
        </is>
      </c>
      <c r="B1219" s="1" t="n">
        <v>45327.94459490741</v>
      </c>
      <c r="C1219" s="1" t="n">
        <v>46033</v>
      </c>
      <c r="D1219" t="inlineStr">
        <is>
          <t>JÄMTLANDS LÄN</t>
        </is>
      </c>
      <c r="E1219" t="inlineStr">
        <is>
          <t>RAGUNDA</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30824-2023</t>
        </is>
      </c>
      <c r="B1220" s="1" t="n">
        <v>45112.94303240741</v>
      </c>
      <c r="C1220" s="1" t="n">
        <v>46033</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16635-2025</t>
        </is>
      </c>
      <c r="B1221" s="1" t="n">
        <v>45754</v>
      </c>
      <c r="C1221" s="1" t="n">
        <v>46033</v>
      </c>
      <c r="D1221" t="inlineStr">
        <is>
          <t>JÄMTLANDS LÄN</t>
        </is>
      </c>
      <c r="E1221" t="inlineStr">
        <is>
          <t>RAGUNDA</t>
        </is>
      </c>
      <c r="F1221" t="inlineStr">
        <is>
          <t>SCA</t>
        </is>
      </c>
      <c r="G1221" t="n">
        <v>55.4</v>
      </c>
      <c r="H1221" t="n">
        <v>0</v>
      </c>
      <c r="I1221" t="n">
        <v>0</v>
      </c>
      <c r="J1221" t="n">
        <v>0</v>
      </c>
      <c r="K1221" t="n">
        <v>0</v>
      </c>
      <c r="L1221" t="n">
        <v>0</v>
      </c>
      <c r="M1221" t="n">
        <v>0</v>
      </c>
      <c r="N1221" t="n">
        <v>0</v>
      </c>
      <c r="O1221" t="n">
        <v>0</v>
      </c>
      <c r="P1221" t="n">
        <v>0</v>
      </c>
      <c r="Q1221" t="n">
        <v>0</v>
      </c>
      <c r="R1221" s="2" t="inlineStr"/>
    </row>
    <row r="1222" ht="15" customHeight="1">
      <c r="A1222" t="inlineStr">
        <is>
          <t>A 4014-2022</t>
        </is>
      </c>
      <c r="B1222" s="1" t="n">
        <v>44587.92144675926</v>
      </c>
      <c r="C1222" s="1" t="n">
        <v>46033</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1554-2024</t>
        </is>
      </c>
      <c r="B1223" s="1" t="n">
        <v>45306</v>
      </c>
      <c r="C1223" s="1" t="n">
        <v>46033</v>
      </c>
      <c r="D1223" t="inlineStr">
        <is>
          <t>JÄMTLANDS LÄN</t>
        </is>
      </c>
      <c r="E1223" t="inlineStr">
        <is>
          <t>RAGUNDA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38782-2021</t>
        </is>
      </c>
      <c r="B1224" s="1" t="n">
        <v>44410</v>
      </c>
      <c r="C1224" s="1" t="n">
        <v>46033</v>
      </c>
      <c r="D1224" t="inlineStr">
        <is>
          <t>JÄMTLANDS LÄN</t>
        </is>
      </c>
      <c r="E1224" t="inlineStr">
        <is>
          <t>RAGUNDA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20728-2025</t>
        </is>
      </c>
      <c r="B1225" s="1" t="n">
        <v>45776.51130787037</v>
      </c>
      <c r="C1225" s="1" t="n">
        <v>46033</v>
      </c>
      <c r="D1225" t="inlineStr">
        <is>
          <t>JÄMTLANDS LÄN</t>
        </is>
      </c>
      <c r="E1225" t="inlineStr">
        <is>
          <t>RAGUNDA</t>
        </is>
      </c>
      <c r="F1225" t="inlineStr">
        <is>
          <t>Kommuner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20653-2025</t>
        </is>
      </c>
      <c r="B1226" s="1" t="n">
        <v>45776.40311342593</v>
      </c>
      <c r="C1226" s="1" t="n">
        <v>46033</v>
      </c>
      <c r="D1226" t="inlineStr">
        <is>
          <t>JÄMTLANDS LÄN</t>
        </is>
      </c>
      <c r="E1226" t="inlineStr">
        <is>
          <t>RAGUNDA</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20722-2025</t>
        </is>
      </c>
      <c r="B1227" s="1" t="n">
        <v>45776.50651620371</v>
      </c>
      <c r="C1227" s="1" t="n">
        <v>46033</v>
      </c>
      <c r="D1227" t="inlineStr">
        <is>
          <t>JÄMTLANDS LÄN</t>
        </is>
      </c>
      <c r="E1227" t="inlineStr">
        <is>
          <t>RAGUNDA</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20777-2025</t>
        </is>
      </c>
      <c r="B1228" s="1" t="n">
        <v>45776.59422453704</v>
      </c>
      <c r="C1228" s="1" t="n">
        <v>46033</v>
      </c>
      <c r="D1228" t="inlineStr">
        <is>
          <t>JÄMTLANDS LÄN</t>
        </is>
      </c>
      <c r="E1228" t="inlineStr">
        <is>
          <t>RAGUNDA</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21150-2025</t>
        </is>
      </c>
      <c r="B1229" s="1" t="n">
        <v>45779.34417824074</v>
      </c>
      <c r="C1229" s="1" t="n">
        <v>46033</v>
      </c>
      <c r="D1229" t="inlineStr">
        <is>
          <t>JÄMTLANDS LÄN</t>
        </is>
      </c>
      <c r="E1229" t="inlineStr">
        <is>
          <t>RAGUNDA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21214-2025</t>
        </is>
      </c>
      <c r="B1230" s="1" t="n">
        <v>45779.49025462963</v>
      </c>
      <c r="C1230" s="1" t="n">
        <v>46033</v>
      </c>
      <c r="D1230" t="inlineStr">
        <is>
          <t>JÄMTLANDS LÄN</t>
        </is>
      </c>
      <c r="E1230" t="inlineStr">
        <is>
          <t>RAGUNDA</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22941-2024</t>
        </is>
      </c>
      <c r="B1231" s="1" t="n">
        <v>45448.94520833333</v>
      </c>
      <c r="C1231" s="1" t="n">
        <v>46033</v>
      </c>
      <c r="D1231" t="inlineStr">
        <is>
          <t>JÄMTLANDS LÄN</t>
        </is>
      </c>
      <c r="E1231" t="inlineStr">
        <is>
          <t>RAGUNDA</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21430-2025</t>
        </is>
      </c>
      <c r="B1232" s="1" t="n">
        <v>45782.51099537037</v>
      </c>
      <c r="C1232" s="1" t="n">
        <v>46033</v>
      </c>
      <c r="D1232" t="inlineStr">
        <is>
          <t>JÄMTLANDS LÄN</t>
        </is>
      </c>
      <c r="E1232" t="inlineStr">
        <is>
          <t>RAGUNDA</t>
        </is>
      </c>
      <c r="F1232" t="inlineStr">
        <is>
          <t>SCA</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46033</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21451-2025</t>
        </is>
      </c>
      <c r="B1234" s="1" t="n">
        <v>45782.55287037037</v>
      </c>
      <c r="C1234" s="1" t="n">
        <v>46033</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21432-2025</t>
        </is>
      </c>
      <c r="B1235" s="1" t="n">
        <v>45782.51109953703</v>
      </c>
      <c r="C1235" s="1" t="n">
        <v>46033</v>
      </c>
      <c r="D1235" t="inlineStr">
        <is>
          <t>JÄMTLANDS LÄN</t>
        </is>
      </c>
      <c r="E1235" t="inlineStr">
        <is>
          <t>RAGUNDA</t>
        </is>
      </c>
      <c r="F1235" t="inlineStr">
        <is>
          <t>SCA</t>
        </is>
      </c>
      <c r="G1235" t="n">
        <v>4.6</v>
      </c>
      <c r="H1235" t="n">
        <v>0</v>
      </c>
      <c r="I1235" t="n">
        <v>0</v>
      </c>
      <c r="J1235" t="n">
        <v>0</v>
      </c>
      <c r="K1235" t="n">
        <v>0</v>
      </c>
      <c r="L1235" t="n">
        <v>0</v>
      </c>
      <c r="M1235" t="n">
        <v>0</v>
      </c>
      <c r="N1235" t="n">
        <v>0</v>
      </c>
      <c r="O1235" t="n">
        <v>0</v>
      </c>
      <c r="P1235" t="n">
        <v>0</v>
      </c>
      <c r="Q1235" t="n">
        <v>0</v>
      </c>
      <c r="R1235" s="2" t="inlineStr"/>
    </row>
    <row r="1236">
      <c r="A1236" t="inlineStr">
        <is>
          <t>A 21331-2025</t>
        </is>
      </c>
      <c r="B1236" s="1" t="n">
        <v>45782.36494212963</v>
      </c>
      <c r="C1236" s="1" t="n">
        <v>46033</v>
      </c>
      <c r="D1236" t="inlineStr">
        <is>
          <t>JÄMTLANDS LÄN</t>
        </is>
      </c>
      <c r="E1236" t="inlineStr">
        <is>
          <t>RAGUNDA</t>
        </is>
      </c>
      <c r="F1236" t="inlineStr">
        <is>
          <t>SCA</t>
        </is>
      </c>
      <c r="G1236" t="n">
        <v>23.1</v>
      </c>
      <c r="H1236" t="n">
        <v>0</v>
      </c>
      <c r="I1236" t="n">
        <v>0</v>
      </c>
      <c r="J1236" t="n">
        <v>0</v>
      </c>
      <c r="K1236" t="n">
        <v>0</v>
      </c>
      <c r="L1236" t="n">
        <v>0</v>
      </c>
      <c r="M1236" t="n">
        <v>0</v>
      </c>
      <c r="N1236" t="n">
        <v>0</v>
      </c>
      <c r="O1236" t="n">
        <v>0</v>
      </c>
      <c r="P1236" t="n">
        <v>0</v>
      </c>
      <c r="Q1236" t="n">
        <v>0</v>
      </c>
      <c r="R1236" s="2" t="inlineStr"/>
      <c r="U1236">
        <f>HYPERLINK("https://klasma.github.io/Logging_2303/knärot/A 21331-2025 karta knärot.png", "A 21331-2025")</f>
        <v/>
      </c>
      <c r="V1236">
        <f>HYPERLINK("https://klasma.github.io/Logging_2303/klagomål/A 21331-2025 FSC-klagomål.docx", "A 21331-2025")</f>
        <v/>
      </c>
      <c r="W1236">
        <f>HYPERLINK("https://klasma.github.io/Logging_2303/klagomålsmail/A 21331-2025 FSC-klagomål mail.docx", "A 21331-2025")</f>
        <v/>
      </c>
      <c r="X1236">
        <f>HYPERLINK("https://klasma.github.io/Logging_2303/tillsyn/A 21331-2025 tillsynsbegäran.docx", "A 21331-2025")</f>
        <v/>
      </c>
      <c r="Y1236">
        <f>HYPERLINK("https://klasma.github.io/Logging_2303/tillsynsmail/A 21331-2025 tillsynsbegäran mail.docx", "A 21331-2025")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2026-01-11T10:50:06Z</dcterms:created>
  <dcterms:modified xmlns:dcterms="http://purl.org/dc/terms/" xmlns:xsi="http://www.w3.org/2001/XMLSchema-instance" xsi:type="dcterms:W3CDTF">2026-01-11T10:50:07Z</dcterms:modified>
</cp:coreProperties>
</file>