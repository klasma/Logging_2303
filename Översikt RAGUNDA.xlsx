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45914</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45914</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45914</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45914</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45914</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45914</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45914</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45914</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45914</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45914</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45914</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45914</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45914</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45914</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45914</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45914</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45914</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45914</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45914</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45914</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45914</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29209-2024</t>
        </is>
      </c>
      <c r="B26" s="1" t="n">
        <v>45482.63819444444</v>
      </c>
      <c r="C26" s="1" t="n">
        <v>45914</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43107-2023</t>
        </is>
      </c>
      <c r="B27" s="1" t="n">
        <v>45182</v>
      </c>
      <c r="C27" s="1" t="n">
        <v>45914</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21213-2025</t>
        </is>
      </c>
      <c r="B28" s="1" t="n">
        <v>45779.49012731481</v>
      </c>
      <c r="C28" s="1" t="n">
        <v>45914</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25632-2025</t>
        </is>
      </c>
      <c r="B29" s="1" t="n">
        <v>45803.59474537037</v>
      </c>
      <c r="C29" s="1" t="n">
        <v>45914</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31839-2022</t>
        </is>
      </c>
      <c r="B30" s="1" t="n">
        <v>44776</v>
      </c>
      <c r="C30" s="1" t="n">
        <v>45914</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9347-2024</t>
        </is>
      </c>
      <c r="B31" s="1" t="n">
        <v>45358.99375</v>
      </c>
      <c r="C31" s="1" t="n">
        <v>45914</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32741-2025</t>
        </is>
      </c>
      <c r="B32" s="1" t="n">
        <v>45839.42482638889</v>
      </c>
      <c r="C32" s="1" t="n">
        <v>45914</v>
      </c>
      <c r="D32" t="inlineStr">
        <is>
          <t>JÄMTLANDS LÄN</t>
        </is>
      </c>
      <c r="E32" t="inlineStr">
        <is>
          <t>RAGUNDA</t>
        </is>
      </c>
      <c r="G32" t="n">
        <v>4.2</v>
      </c>
      <c r="H32" t="n">
        <v>4</v>
      </c>
      <c r="I32" t="n">
        <v>2</v>
      </c>
      <c r="J32" t="n">
        <v>8</v>
      </c>
      <c r="K32" t="n">
        <v>1</v>
      </c>
      <c r="L32" t="n">
        <v>0</v>
      </c>
      <c r="M32" t="n">
        <v>0</v>
      </c>
      <c r="N32" t="n">
        <v>0</v>
      </c>
      <c r="O32" t="n">
        <v>9</v>
      </c>
      <c r="P32" t="n">
        <v>1</v>
      </c>
      <c r="Q32" t="n">
        <v>11</v>
      </c>
      <c r="R32" s="2" t="inlineStr">
        <is>
          <t>Knärot
Garnlav
Kolflarnlav
Lunglav
Talltita
Tretåig hackspett
Ullticka
Vedtrappmossa
Vitgrynig nållav
Spindelblomster
Stuplav</t>
        </is>
      </c>
      <c r="S32">
        <f>HYPERLINK("https://klasma.github.io/Logging_2303/artfynd/A 32741-2025 artfynd.xlsx", "A 32741-2025")</f>
        <v/>
      </c>
      <c r="T32">
        <f>HYPERLINK("https://klasma.github.io/Logging_2303/kartor/A 32741-2025 karta.png", "A 32741-2025")</f>
        <v/>
      </c>
      <c r="U32">
        <f>HYPERLINK("https://klasma.github.io/Logging_2303/knärot/A 32741-2025 karta knärot.png", "A 32741-2025")</f>
        <v/>
      </c>
      <c r="V32">
        <f>HYPERLINK("https://klasma.github.io/Logging_2303/klagomål/A 32741-2025 FSC-klagomål.docx", "A 32741-2025")</f>
        <v/>
      </c>
      <c r="W32">
        <f>HYPERLINK("https://klasma.github.io/Logging_2303/klagomålsmail/A 32741-2025 FSC-klagomål mail.docx", "A 32741-2025")</f>
        <v/>
      </c>
      <c r="X32">
        <f>HYPERLINK("https://klasma.github.io/Logging_2303/tillsyn/A 32741-2025 tillsynsbegäran.docx", "A 32741-2025")</f>
        <v/>
      </c>
      <c r="Y32">
        <f>HYPERLINK("https://klasma.github.io/Logging_2303/tillsynsmail/A 32741-2025 tillsynsbegäran mail.docx", "A 32741-2025")</f>
        <v/>
      </c>
      <c r="Z32">
        <f>HYPERLINK("https://klasma.github.io/Logging_2303/fåglar/A 32741-2025 prioriterade fågelarter.docx", "A 32741-2025")</f>
        <v/>
      </c>
    </row>
    <row r="33" ht="15" customHeight="1">
      <c r="A33" t="inlineStr">
        <is>
          <t>A 22986-2025</t>
        </is>
      </c>
      <c r="B33" s="1" t="n">
        <v>45790.57349537037</v>
      </c>
      <c r="C33" s="1" t="n">
        <v>45914</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45914</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13483-2022</t>
        </is>
      </c>
      <c r="B35" s="1" t="n">
        <v>44645.99859953704</v>
      </c>
      <c r="C35" s="1" t="n">
        <v>45914</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4591-2024</t>
        </is>
      </c>
      <c r="B36" s="1" t="n">
        <v>45327</v>
      </c>
      <c r="C36" s="1" t="n">
        <v>45914</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55894-2022</t>
        </is>
      </c>
      <c r="B37" s="1" t="n">
        <v>44888</v>
      </c>
      <c r="C37" s="1" t="n">
        <v>45914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21244-2025</t>
        </is>
      </c>
      <c r="B38" s="1" t="n">
        <v>45779.57335648148</v>
      </c>
      <c r="C38" s="1" t="n">
        <v>45914</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12372-2024</t>
        </is>
      </c>
      <c r="B40" s="1" t="n">
        <v>45378</v>
      </c>
      <c r="C40" s="1" t="n">
        <v>45914</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4146-2025</t>
        </is>
      </c>
      <c r="B41" s="1" t="n">
        <v>45685.36501157407</v>
      </c>
      <c r="C41" s="1" t="n">
        <v>45914</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45914</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45914</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45914</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45914</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30876-2025</t>
        </is>
      </c>
      <c r="B46" s="1" t="n">
        <v>45832.34461805555</v>
      </c>
      <c r="C46" s="1" t="n">
        <v>45914</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62948-2021</t>
        </is>
      </c>
      <c r="B47" s="1" t="n">
        <v>44504</v>
      </c>
      <c r="C47" s="1" t="n">
        <v>45914</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45914</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19278-2025</t>
        </is>
      </c>
      <c r="B49" s="1" t="n">
        <v>45769.53180555555</v>
      </c>
      <c r="C49" s="1" t="n">
        <v>45914</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45008-2023</t>
        </is>
      </c>
      <c r="B50" s="1" t="n">
        <v>45190.96092592592</v>
      </c>
      <c r="C50" s="1" t="n">
        <v>45914</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56215-2020</t>
        </is>
      </c>
      <c r="B51" s="1" t="n">
        <v>44133</v>
      </c>
      <c r="C51" s="1" t="n">
        <v>45914</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45914</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45914</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32475-2023</t>
        </is>
      </c>
      <c r="B54" s="1" t="n">
        <v>45120</v>
      </c>
      <c r="C54" s="1" t="n">
        <v>45914</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45914</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10982-2025</t>
        </is>
      </c>
      <c r="B56" s="1" t="n">
        <v>45723.40688657408</v>
      </c>
      <c r="C56" s="1" t="n">
        <v>45914</v>
      </c>
      <c r="D56" t="inlineStr">
        <is>
          <t>JÄMTLANDS LÄN</t>
        </is>
      </c>
      <c r="E56" t="inlineStr">
        <is>
          <t>RAGUNDA</t>
        </is>
      </c>
      <c r="F56" t="inlineStr">
        <is>
          <t>SCA</t>
        </is>
      </c>
      <c r="G56" t="n">
        <v>6.4</v>
      </c>
      <c r="H56" t="n">
        <v>0</v>
      </c>
      <c r="I56" t="n">
        <v>6</v>
      </c>
      <c r="J56" t="n">
        <v>2</v>
      </c>
      <c r="K56" t="n">
        <v>0</v>
      </c>
      <c r="L56" t="n">
        <v>0</v>
      </c>
      <c r="M56" t="n">
        <v>0</v>
      </c>
      <c r="N56" t="n">
        <v>0</v>
      </c>
      <c r="O56" t="n">
        <v>2</v>
      </c>
      <c r="P56" t="n">
        <v>0</v>
      </c>
      <c r="Q56" t="n">
        <v>8</v>
      </c>
      <c r="R56" s="2" t="inlineStr">
        <is>
          <t>Orange taggsvamp
Skrovlig taggsvamp
Barrfagerspindling
Bårdlav
Dropptaggsvamp
Skarp dropptaggsvamp
Stuplav
Svart trolldruva</t>
        </is>
      </c>
      <c r="S56">
        <f>HYPERLINK("https://klasma.github.io/Logging_2303/artfynd/A 10982-2025 artfynd.xlsx", "A 10982-2025")</f>
        <v/>
      </c>
      <c r="T56">
        <f>HYPERLINK("https://klasma.github.io/Logging_2303/kartor/A 10982-2025 karta.png", "A 10982-2025")</f>
        <v/>
      </c>
      <c r="V56">
        <f>HYPERLINK("https://klasma.github.io/Logging_2303/klagomål/A 10982-2025 FSC-klagomål.docx", "A 10982-2025")</f>
        <v/>
      </c>
      <c r="W56">
        <f>HYPERLINK("https://klasma.github.io/Logging_2303/klagomålsmail/A 10982-2025 FSC-klagomål mail.docx", "A 10982-2025")</f>
        <v/>
      </c>
      <c r="X56">
        <f>HYPERLINK("https://klasma.github.io/Logging_2303/tillsyn/A 10982-2025 tillsynsbegäran.docx", "A 10982-2025")</f>
        <v/>
      </c>
      <c r="Y56">
        <f>HYPERLINK("https://klasma.github.io/Logging_2303/tillsynsmail/A 10982-2025 tillsynsbegäran mail.docx", "A 10982-2025")</f>
        <v/>
      </c>
    </row>
    <row r="57" ht="15" customHeight="1">
      <c r="A57" t="inlineStr">
        <is>
          <t>A 55465-2024</t>
        </is>
      </c>
      <c r="B57" s="1" t="n">
        <v>45622</v>
      </c>
      <c r="C57" s="1" t="n">
        <v>45914</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56211-2020</t>
        </is>
      </c>
      <c r="B58" s="1" t="n">
        <v>44133</v>
      </c>
      <c r="C58" s="1" t="n">
        <v>45914</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45914</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45914</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41929-2023</t>
        </is>
      </c>
      <c r="B61" s="1" t="n">
        <v>45176</v>
      </c>
      <c r="C61" s="1" t="n">
        <v>45914</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26750-2025</t>
        </is>
      </c>
      <c r="B62" s="1" t="n">
        <v>45810.55061342593</v>
      </c>
      <c r="C62" s="1" t="n">
        <v>45914</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19399-2025</t>
        </is>
      </c>
      <c r="B63" s="1" t="n">
        <v>45769.67740740741</v>
      </c>
      <c r="C63" s="1" t="n">
        <v>45914</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33806-2023</t>
        </is>
      </c>
      <c r="B64" s="1" t="n">
        <v>45121</v>
      </c>
      <c r="C64" s="1" t="n">
        <v>45914</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45914</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15977-2024</t>
        </is>
      </c>
      <c r="B66" s="1" t="n">
        <v>45405.57392361111</v>
      </c>
      <c r="C66" s="1" t="n">
        <v>45914</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45914</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61386-2022</t>
        </is>
      </c>
      <c r="B68" s="1" t="n">
        <v>44915</v>
      </c>
      <c r="C68" s="1" t="n">
        <v>45914</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45914</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22466-2025</t>
        </is>
      </c>
      <c r="B70" s="1" t="n">
        <v>45786.61517361111</v>
      </c>
      <c r="C70" s="1" t="n">
        <v>45914</v>
      </c>
      <c r="D70" t="inlineStr">
        <is>
          <t>JÄMTLANDS LÄN</t>
        </is>
      </c>
      <c r="E70" t="inlineStr">
        <is>
          <t>RAGUNDA</t>
        </is>
      </c>
      <c r="F70" t="inlineStr">
        <is>
          <t>SCA</t>
        </is>
      </c>
      <c r="G70" t="n">
        <v>3.2</v>
      </c>
      <c r="H70" t="n">
        <v>3</v>
      </c>
      <c r="I70" t="n">
        <v>1</v>
      </c>
      <c r="J70" t="n">
        <v>4</v>
      </c>
      <c r="K70" t="n">
        <v>0</v>
      </c>
      <c r="L70" t="n">
        <v>0</v>
      </c>
      <c r="M70" t="n">
        <v>0</v>
      </c>
      <c r="N70" t="n">
        <v>0</v>
      </c>
      <c r="O70" t="n">
        <v>4</v>
      </c>
      <c r="P70" t="n">
        <v>0</v>
      </c>
      <c r="Q70" t="n">
        <v>7</v>
      </c>
      <c r="R70" s="2" t="inlineStr">
        <is>
          <t>Gammelgransskål
Garnlav
Lunglav
Tretåig hackspett
Stuplav
Kungsfågel
Revlummer</t>
        </is>
      </c>
      <c r="S70">
        <f>HYPERLINK("https://klasma.github.io/Logging_2303/artfynd/A 22466-2025 artfynd.xlsx", "A 22466-2025")</f>
        <v/>
      </c>
      <c r="T70">
        <f>HYPERLINK("https://klasma.github.io/Logging_2303/kartor/A 22466-2025 karta.png", "A 22466-2025")</f>
        <v/>
      </c>
      <c r="V70">
        <f>HYPERLINK("https://klasma.github.io/Logging_2303/klagomål/A 22466-2025 FSC-klagomål.docx", "A 22466-2025")</f>
        <v/>
      </c>
      <c r="W70">
        <f>HYPERLINK("https://klasma.github.io/Logging_2303/klagomålsmail/A 22466-2025 FSC-klagomål mail.docx", "A 22466-2025")</f>
        <v/>
      </c>
      <c r="X70">
        <f>HYPERLINK("https://klasma.github.io/Logging_2303/tillsyn/A 22466-2025 tillsynsbegäran.docx", "A 22466-2025")</f>
        <v/>
      </c>
      <c r="Y70">
        <f>HYPERLINK("https://klasma.github.io/Logging_2303/tillsynsmail/A 22466-2025 tillsynsbegäran mail.docx", "A 22466-2025")</f>
        <v/>
      </c>
      <c r="Z70">
        <f>HYPERLINK("https://klasma.github.io/Logging_2303/fåglar/A 22466-2025 prioriterade fågelarter.docx", "A 22466-2025")</f>
        <v/>
      </c>
    </row>
    <row r="71" ht="15" customHeight="1">
      <c r="A71" t="inlineStr">
        <is>
          <t>A 20397-2024</t>
        </is>
      </c>
      <c r="B71" s="1" t="n">
        <v>45435.54734953704</v>
      </c>
      <c r="C71" s="1" t="n">
        <v>45914</v>
      </c>
      <c r="D71" t="inlineStr">
        <is>
          <t>JÄMTLANDS LÄN</t>
        </is>
      </c>
      <c r="E71" t="inlineStr">
        <is>
          <t>RAGUNDA</t>
        </is>
      </c>
      <c r="G71" t="n">
        <v>18.5</v>
      </c>
      <c r="H71" t="n">
        <v>1</v>
      </c>
      <c r="I71" t="n">
        <v>4</v>
      </c>
      <c r="J71" t="n">
        <v>2</v>
      </c>
      <c r="K71" t="n">
        <v>1</v>
      </c>
      <c r="L71" t="n">
        <v>0</v>
      </c>
      <c r="M71" t="n">
        <v>0</v>
      </c>
      <c r="N71" t="n">
        <v>0</v>
      </c>
      <c r="O71" t="n">
        <v>3</v>
      </c>
      <c r="P71" t="n">
        <v>1</v>
      </c>
      <c r="Q71" t="n">
        <v>7</v>
      </c>
      <c r="R71" s="2" t="inlineStr">
        <is>
          <t>Lateritticka
Lunglav
Tallticka
Dropptaggsvamp
Finbräken
Guckusko
Svart trolldruva</t>
        </is>
      </c>
      <c r="S71">
        <f>HYPERLINK("https://klasma.github.io/Logging_2303/artfynd/A 20397-2024 artfynd.xlsx", "A 20397-2024")</f>
        <v/>
      </c>
      <c r="T71">
        <f>HYPERLINK("https://klasma.github.io/Logging_2303/kartor/A 20397-2024 karta.png", "A 20397-2024")</f>
        <v/>
      </c>
      <c r="V71">
        <f>HYPERLINK("https://klasma.github.io/Logging_2303/klagomål/A 20397-2024 FSC-klagomål.docx", "A 20397-2024")</f>
        <v/>
      </c>
      <c r="W71">
        <f>HYPERLINK("https://klasma.github.io/Logging_2303/klagomålsmail/A 20397-2024 FSC-klagomål mail.docx", "A 20397-2024")</f>
        <v/>
      </c>
      <c r="X71">
        <f>HYPERLINK("https://klasma.github.io/Logging_2303/tillsyn/A 20397-2024 tillsynsbegäran.docx", "A 20397-2024")</f>
        <v/>
      </c>
      <c r="Y71">
        <f>HYPERLINK("https://klasma.github.io/Logging_2303/tillsynsmail/A 20397-2024 tillsynsbegäran mail.docx", "A 20397-2024")</f>
        <v/>
      </c>
    </row>
    <row r="72" ht="15" customHeight="1">
      <c r="A72" t="inlineStr">
        <is>
          <t>A 37237-2023</t>
        </is>
      </c>
      <c r="B72" s="1" t="n">
        <v>45155</v>
      </c>
      <c r="C72" s="1" t="n">
        <v>45914</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50987-2020</t>
        </is>
      </c>
      <c r="B73" s="1" t="n">
        <v>44111</v>
      </c>
      <c r="C73" s="1" t="n">
        <v>45914</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45914</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27322-2024</t>
        </is>
      </c>
      <c r="B75" s="1" t="n">
        <v>45471.94783564815</v>
      </c>
      <c r="C75" s="1" t="n">
        <v>45914</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53021-2022</t>
        </is>
      </c>
      <c r="B76" s="1" t="n">
        <v>44875</v>
      </c>
      <c r="C76" s="1" t="n">
        <v>45914</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30884-2025</t>
        </is>
      </c>
      <c r="B77" s="1" t="n">
        <v>45832.34564814815</v>
      </c>
      <c r="C77" s="1" t="n">
        <v>45914</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19402-2025</t>
        </is>
      </c>
      <c r="B78" s="1" t="n">
        <v>45769.67778935185</v>
      </c>
      <c r="C78" s="1" t="n">
        <v>45914</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11828-2023</t>
        </is>
      </c>
      <c r="B79" s="1" t="n">
        <v>44994</v>
      </c>
      <c r="C79" s="1" t="n">
        <v>45914</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45914</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45914</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55646-2023</t>
        </is>
      </c>
      <c r="B82" s="1" t="n">
        <v>45238</v>
      </c>
      <c r="C82" s="1" t="n">
        <v>45914</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39973-2025</t>
        </is>
      </c>
      <c r="B83" s="1" t="n">
        <v>45893.38584490741</v>
      </c>
      <c r="C83" s="1" t="n">
        <v>45914</v>
      </c>
      <c r="D83" t="inlineStr">
        <is>
          <t>JÄMTLANDS LÄN</t>
        </is>
      </c>
      <c r="E83" t="inlineStr">
        <is>
          <t>RAGUNDA</t>
        </is>
      </c>
      <c r="F83" t="inlineStr">
        <is>
          <t>Naturvårdsverket</t>
        </is>
      </c>
      <c r="G83" t="n">
        <v>8</v>
      </c>
      <c r="H83" t="n">
        <v>0</v>
      </c>
      <c r="I83" t="n">
        <v>1</v>
      </c>
      <c r="J83" t="n">
        <v>5</v>
      </c>
      <c r="K83" t="n">
        <v>0</v>
      </c>
      <c r="L83" t="n">
        <v>0</v>
      </c>
      <c r="M83" t="n">
        <v>0</v>
      </c>
      <c r="N83" t="n">
        <v>0</v>
      </c>
      <c r="O83" t="n">
        <v>5</v>
      </c>
      <c r="P83" t="n">
        <v>0</v>
      </c>
      <c r="Q83" t="n">
        <v>6</v>
      </c>
      <c r="R83" s="2" t="inlineStr">
        <is>
          <t>Granticka
Lunglav
Mörk kolflarnlav
Tallticka
Vedskivlav
Skinnlav</t>
        </is>
      </c>
      <c r="S83">
        <f>HYPERLINK("https://klasma.github.io/Logging_2303/artfynd/A 39973-2025 artfynd.xlsx", "A 39973-2025")</f>
        <v/>
      </c>
      <c r="T83">
        <f>HYPERLINK("https://klasma.github.io/Logging_2303/kartor/A 39973-2025 karta.png", "A 39973-2025")</f>
        <v/>
      </c>
      <c r="V83">
        <f>HYPERLINK("https://klasma.github.io/Logging_2303/klagomål/A 39973-2025 FSC-klagomål.docx", "A 39973-2025")</f>
        <v/>
      </c>
      <c r="W83">
        <f>HYPERLINK("https://klasma.github.io/Logging_2303/klagomålsmail/A 39973-2025 FSC-klagomål mail.docx", "A 39973-2025")</f>
        <v/>
      </c>
      <c r="X83">
        <f>HYPERLINK("https://klasma.github.io/Logging_2303/tillsyn/A 39973-2025 tillsynsbegäran.docx", "A 39973-2025")</f>
        <v/>
      </c>
      <c r="Y83">
        <f>HYPERLINK("https://klasma.github.io/Logging_2303/tillsynsmail/A 39973-2025 tillsynsbegäran mail.docx", "A 39973-2025")</f>
        <v/>
      </c>
    </row>
    <row r="84" ht="15" customHeight="1">
      <c r="A84" t="inlineStr">
        <is>
          <t>A 933-2023</t>
        </is>
      </c>
      <c r="B84" s="1" t="n">
        <v>44932</v>
      </c>
      <c r="C84" s="1" t="n">
        <v>45914</v>
      </c>
      <c r="D84" t="inlineStr">
        <is>
          <t>JÄMTLANDS LÄN</t>
        </is>
      </c>
      <c r="E84" t="inlineStr">
        <is>
          <t>RAGUNDA</t>
        </is>
      </c>
      <c r="F84" t="inlineStr">
        <is>
          <t>SCA</t>
        </is>
      </c>
      <c r="G84" t="n">
        <v>2</v>
      </c>
      <c r="H84" t="n">
        <v>3</v>
      </c>
      <c r="I84" t="n">
        <v>3</v>
      </c>
      <c r="J84" t="n">
        <v>0</v>
      </c>
      <c r="K84" t="n">
        <v>0</v>
      </c>
      <c r="L84" t="n">
        <v>1</v>
      </c>
      <c r="M84" t="n">
        <v>0</v>
      </c>
      <c r="N84" t="n">
        <v>0</v>
      </c>
      <c r="O84" t="n">
        <v>1</v>
      </c>
      <c r="P84" t="n">
        <v>1</v>
      </c>
      <c r="Q84" t="n">
        <v>6</v>
      </c>
      <c r="R84" s="2" t="inlineStr">
        <is>
          <t>Trolldruvemätare
Stor aspticka
Svart trolldruva
Tvåblad
Nattviol
Gullviva</t>
        </is>
      </c>
      <c r="S84">
        <f>HYPERLINK("https://klasma.github.io/Logging_2303/artfynd/A 933-2023 artfynd.xlsx", "A 933-2023")</f>
        <v/>
      </c>
      <c r="T84">
        <f>HYPERLINK("https://klasma.github.io/Logging_2303/kartor/A 933-2023 karta.png", "A 933-2023")</f>
        <v/>
      </c>
      <c r="V84">
        <f>HYPERLINK("https://klasma.github.io/Logging_2303/klagomål/A 933-2023 FSC-klagomål.docx", "A 933-2023")</f>
        <v/>
      </c>
      <c r="W84">
        <f>HYPERLINK("https://klasma.github.io/Logging_2303/klagomålsmail/A 933-2023 FSC-klagomål mail.docx", "A 933-2023")</f>
        <v/>
      </c>
      <c r="X84">
        <f>HYPERLINK("https://klasma.github.io/Logging_2303/tillsyn/A 933-2023 tillsynsbegäran.docx", "A 933-2023")</f>
        <v/>
      </c>
      <c r="Y84">
        <f>HYPERLINK("https://klasma.github.io/Logging_2303/tillsynsmail/A 933-2023 tillsynsbegäran mail.docx", "A 933-2023")</f>
        <v/>
      </c>
    </row>
    <row r="85" ht="15" customHeight="1">
      <c r="A85" t="inlineStr">
        <is>
          <t>A 34317-2025</t>
        </is>
      </c>
      <c r="B85" s="1" t="n">
        <v>45846.41361111111</v>
      </c>
      <c r="C85" s="1" t="n">
        <v>45914</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30637-2024</t>
        </is>
      </c>
      <c r="B86" s="1" t="n">
        <v>45495.56244212963</v>
      </c>
      <c r="C86" s="1" t="n">
        <v>45914</v>
      </c>
      <c r="D86" t="inlineStr">
        <is>
          <t>JÄMTLANDS LÄN</t>
        </is>
      </c>
      <c r="E86" t="inlineStr">
        <is>
          <t>RAGUNDA</t>
        </is>
      </c>
      <c r="G86" t="n">
        <v>4.1</v>
      </c>
      <c r="H86" t="n">
        <v>5</v>
      </c>
      <c r="I86" t="n">
        <v>0</v>
      </c>
      <c r="J86" t="n">
        <v>4</v>
      </c>
      <c r="K86" t="n">
        <v>1</v>
      </c>
      <c r="L86" t="n">
        <v>0</v>
      </c>
      <c r="M86" t="n">
        <v>0</v>
      </c>
      <c r="N86" t="n">
        <v>0</v>
      </c>
      <c r="O86" t="n">
        <v>5</v>
      </c>
      <c r="P86" t="n">
        <v>1</v>
      </c>
      <c r="Q86" t="n">
        <v>6</v>
      </c>
      <c r="R86" s="2" t="inlineStr">
        <is>
          <t>Knärot
Lunglav
Spillkråka
Talltita
Tretåig hackspett
Vanlig groda</t>
        </is>
      </c>
      <c r="S86">
        <f>HYPERLINK("https://klasma.github.io/Logging_2303/artfynd/A 30637-2024 artfynd.xlsx", "A 30637-2024")</f>
        <v/>
      </c>
      <c r="T86">
        <f>HYPERLINK("https://klasma.github.io/Logging_2303/kartor/A 30637-2024 karta.png", "A 30637-2024")</f>
        <v/>
      </c>
      <c r="U86">
        <f>HYPERLINK("https://klasma.github.io/Logging_2303/knärot/A 30637-2024 karta knärot.png", "A 30637-2024")</f>
        <v/>
      </c>
      <c r="V86">
        <f>HYPERLINK("https://klasma.github.io/Logging_2303/klagomål/A 30637-2024 FSC-klagomål.docx", "A 30637-2024")</f>
        <v/>
      </c>
      <c r="W86">
        <f>HYPERLINK("https://klasma.github.io/Logging_2303/klagomålsmail/A 30637-2024 FSC-klagomål mail.docx", "A 30637-2024")</f>
        <v/>
      </c>
      <c r="X86">
        <f>HYPERLINK("https://klasma.github.io/Logging_2303/tillsyn/A 30637-2024 tillsynsbegäran.docx", "A 30637-2024")</f>
        <v/>
      </c>
      <c r="Y86">
        <f>HYPERLINK("https://klasma.github.io/Logging_2303/tillsynsmail/A 30637-2024 tillsynsbegäran mail.docx", "A 30637-2024")</f>
        <v/>
      </c>
      <c r="Z86">
        <f>HYPERLINK("https://klasma.github.io/Logging_2303/fåglar/A 30637-2024 prioriterade fågelarter.docx", "A 30637-2024")</f>
        <v/>
      </c>
    </row>
    <row r="87" ht="15" customHeight="1">
      <c r="A87" t="inlineStr">
        <is>
          <t>A 49239-2024</t>
        </is>
      </c>
      <c r="B87" s="1" t="n">
        <v>45595.44886574074</v>
      </c>
      <c r="C87" s="1" t="n">
        <v>45914</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36276-2025</t>
        </is>
      </c>
      <c r="B88" s="1" t="n">
        <v>45867.63619212963</v>
      </c>
      <c r="C88" s="1" t="n">
        <v>45914</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12040-2025</t>
        </is>
      </c>
      <c r="B89" s="1" t="n">
        <v>45728.65684027778</v>
      </c>
      <c r="C89" s="1" t="n">
        <v>45914</v>
      </c>
      <c r="D89" t="inlineStr">
        <is>
          <t>JÄMTLANDS LÄN</t>
        </is>
      </c>
      <c r="E89" t="inlineStr">
        <is>
          <t>RAGUNDA</t>
        </is>
      </c>
      <c r="F89" t="inlineStr">
        <is>
          <t>SCA</t>
        </is>
      </c>
      <c r="G89" t="n">
        <v>28.5</v>
      </c>
      <c r="H89" t="n">
        <v>0</v>
      </c>
      <c r="I89" t="n">
        <v>2</v>
      </c>
      <c r="J89" t="n">
        <v>4</v>
      </c>
      <c r="K89" t="n">
        <v>0</v>
      </c>
      <c r="L89" t="n">
        <v>0</v>
      </c>
      <c r="M89" t="n">
        <v>0</v>
      </c>
      <c r="N89" t="n">
        <v>0</v>
      </c>
      <c r="O89" t="n">
        <v>4</v>
      </c>
      <c r="P89" t="n">
        <v>0</v>
      </c>
      <c r="Q89" t="n">
        <v>6</v>
      </c>
      <c r="R89" s="2" t="inlineStr">
        <is>
          <t>Blå taggsvamp
Skrovlig taggsvamp
Tallriska
Äggvaxskivling
Dropptaggsvamp
Skarp dropptaggsvamp</t>
        </is>
      </c>
      <c r="S89">
        <f>HYPERLINK("https://klasma.github.io/Logging_2303/artfynd/A 12040-2025 artfynd.xlsx", "A 12040-2025")</f>
        <v/>
      </c>
      <c r="T89">
        <f>HYPERLINK("https://klasma.github.io/Logging_2303/kartor/A 12040-2025 karta.png", "A 12040-2025")</f>
        <v/>
      </c>
      <c r="V89">
        <f>HYPERLINK("https://klasma.github.io/Logging_2303/klagomål/A 12040-2025 FSC-klagomål.docx", "A 12040-2025")</f>
        <v/>
      </c>
      <c r="W89">
        <f>HYPERLINK("https://klasma.github.io/Logging_2303/klagomålsmail/A 12040-2025 FSC-klagomål mail.docx", "A 12040-2025")</f>
        <v/>
      </c>
      <c r="X89">
        <f>HYPERLINK("https://klasma.github.io/Logging_2303/tillsyn/A 12040-2025 tillsynsbegäran.docx", "A 12040-2025")</f>
        <v/>
      </c>
      <c r="Y89">
        <f>HYPERLINK("https://klasma.github.io/Logging_2303/tillsynsmail/A 12040-2025 tillsynsbegäran mail.docx", "A 12040-2025")</f>
        <v/>
      </c>
    </row>
    <row r="90" ht="15" customHeight="1">
      <c r="A90" t="inlineStr">
        <is>
          <t>A 14908-2022</t>
        </is>
      </c>
      <c r="B90" s="1" t="n">
        <v>44656</v>
      </c>
      <c r="C90" s="1" t="n">
        <v>45914</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13266-2023</t>
        </is>
      </c>
      <c r="B91" s="1" t="n">
        <v>45002.94356481481</v>
      </c>
      <c r="C91" s="1" t="n">
        <v>45914</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22469-2024</t>
        </is>
      </c>
      <c r="B92" s="1" t="n">
        <v>45446.95087962963</v>
      </c>
      <c r="C92" s="1" t="n">
        <v>45914</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45969-2023</t>
        </is>
      </c>
      <c r="B93" s="1" t="n">
        <v>45195</v>
      </c>
      <c r="C93" s="1" t="n">
        <v>45914</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39365-2024</t>
        </is>
      </c>
      <c r="B94" s="1" t="n">
        <v>45551.46912037037</v>
      </c>
      <c r="C94" s="1" t="n">
        <v>45914</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57073-2023</t>
        </is>
      </c>
      <c r="B95" s="1" t="n">
        <v>45244</v>
      </c>
      <c r="C95" s="1" t="n">
        <v>45914</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30886-2025</t>
        </is>
      </c>
      <c r="B96" s="1" t="n">
        <v>45832.34578703704</v>
      </c>
      <c r="C96" s="1" t="n">
        <v>45914</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18629-2024</t>
        </is>
      </c>
      <c r="B97" s="1" t="n">
        <v>45425.96472222222</v>
      </c>
      <c r="C97" s="1" t="n">
        <v>45914</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43106-2023</t>
        </is>
      </c>
      <c r="B98" s="1" t="n">
        <v>45182</v>
      </c>
      <c r="C98" s="1" t="n">
        <v>45914</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45914</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60683-2022</t>
        </is>
      </c>
      <c r="B100" s="1" t="n">
        <v>44911</v>
      </c>
      <c r="C100" s="1" t="n">
        <v>45914</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15379-2024</t>
        </is>
      </c>
      <c r="B101" s="1" t="n">
        <v>45400.94002314815</v>
      </c>
      <c r="C101" s="1" t="n">
        <v>45914</v>
      </c>
      <c r="D101" t="inlineStr">
        <is>
          <t>JÄMTLANDS LÄN</t>
        </is>
      </c>
      <c r="E101" t="inlineStr">
        <is>
          <t>RAGUNDA</t>
        </is>
      </c>
      <c r="F101" t="inlineStr">
        <is>
          <t>SCA</t>
        </is>
      </c>
      <c r="G101" t="n">
        <v>4.2</v>
      </c>
      <c r="H101" t="n">
        <v>3</v>
      </c>
      <c r="I101" t="n">
        <v>3</v>
      </c>
      <c r="J101" t="n">
        <v>0</v>
      </c>
      <c r="K101" t="n">
        <v>1</v>
      </c>
      <c r="L101" t="n">
        <v>0</v>
      </c>
      <c r="M101" t="n">
        <v>0</v>
      </c>
      <c r="N101" t="n">
        <v>0</v>
      </c>
      <c r="O101" t="n">
        <v>1</v>
      </c>
      <c r="P101" t="n">
        <v>1</v>
      </c>
      <c r="Q101" t="n">
        <v>5</v>
      </c>
      <c r="R101" s="2" t="inlineStr">
        <is>
          <t>Knärot
Finbräken
Guckusko
Svavelriska
Blåsippa</t>
        </is>
      </c>
      <c r="S101">
        <f>HYPERLINK("https://klasma.github.io/Logging_2303/artfynd/A 15379-2024 artfynd.xlsx", "A 15379-2024")</f>
        <v/>
      </c>
      <c r="T101">
        <f>HYPERLINK("https://klasma.github.io/Logging_2303/kartor/A 15379-2024 karta.png", "A 15379-2024")</f>
        <v/>
      </c>
      <c r="U101">
        <f>HYPERLINK("https://klasma.github.io/Logging_2303/knärot/A 15379-2024 karta knärot.png", "A 15379-2024")</f>
        <v/>
      </c>
      <c r="V101">
        <f>HYPERLINK("https://klasma.github.io/Logging_2303/klagomål/A 15379-2024 FSC-klagomål.docx", "A 15379-2024")</f>
        <v/>
      </c>
      <c r="W101">
        <f>HYPERLINK("https://klasma.github.io/Logging_2303/klagomålsmail/A 15379-2024 FSC-klagomål mail.docx", "A 15379-2024")</f>
        <v/>
      </c>
      <c r="X101">
        <f>HYPERLINK("https://klasma.github.io/Logging_2303/tillsyn/A 15379-2024 tillsynsbegäran.docx", "A 15379-2024")</f>
        <v/>
      </c>
      <c r="Y101">
        <f>HYPERLINK("https://klasma.github.io/Logging_2303/tillsynsmail/A 15379-2024 tillsynsbegäran mail.docx", "A 15379-2024")</f>
        <v/>
      </c>
    </row>
    <row r="102" ht="15" customHeight="1">
      <c r="A102" t="inlineStr">
        <is>
          <t>A 39974-2025</t>
        </is>
      </c>
      <c r="B102" s="1" t="n">
        <v>45893.38599537037</v>
      </c>
      <c r="C102" s="1" t="n">
        <v>45914</v>
      </c>
      <c r="D102" t="inlineStr">
        <is>
          <t>JÄMTLANDS LÄN</t>
        </is>
      </c>
      <c r="E102" t="inlineStr">
        <is>
          <t>RAGUNDA</t>
        </is>
      </c>
      <c r="F102" t="inlineStr">
        <is>
          <t>SCA</t>
        </is>
      </c>
      <c r="G102" t="n">
        <v>2.5</v>
      </c>
      <c r="H102" t="n">
        <v>0</v>
      </c>
      <c r="I102" t="n">
        <v>2</v>
      </c>
      <c r="J102" t="n">
        <v>3</v>
      </c>
      <c r="K102" t="n">
        <v>0</v>
      </c>
      <c r="L102" t="n">
        <v>0</v>
      </c>
      <c r="M102" t="n">
        <v>0</v>
      </c>
      <c r="N102" t="n">
        <v>0</v>
      </c>
      <c r="O102" t="n">
        <v>3</v>
      </c>
      <c r="P102" t="n">
        <v>0</v>
      </c>
      <c r="Q102" t="n">
        <v>5</v>
      </c>
      <c r="R102" s="2" t="inlineStr">
        <is>
          <t>Garnlav
Lunglav
Skrovellav
Dropptaggsvamp
Luddlav</t>
        </is>
      </c>
      <c r="S102">
        <f>HYPERLINK("https://klasma.github.io/Logging_2303/artfynd/A 39974-2025 artfynd.xlsx", "A 39974-2025")</f>
        <v/>
      </c>
      <c r="T102">
        <f>HYPERLINK("https://klasma.github.io/Logging_2303/kartor/A 39974-2025 karta.png", "A 39974-2025")</f>
        <v/>
      </c>
      <c r="V102">
        <f>HYPERLINK("https://klasma.github.io/Logging_2303/klagomål/A 39974-2025 FSC-klagomål.docx", "A 39974-2025")</f>
        <v/>
      </c>
      <c r="W102">
        <f>HYPERLINK("https://klasma.github.io/Logging_2303/klagomålsmail/A 39974-2025 FSC-klagomål mail.docx", "A 39974-2025")</f>
        <v/>
      </c>
      <c r="X102">
        <f>HYPERLINK("https://klasma.github.io/Logging_2303/tillsyn/A 39974-2025 tillsynsbegäran.docx", "A 39974-2025")</f>
        <v/>
      </c>
      <c r="Y102">
        <f>HYPERLINK("https://klasma.github.io/Logging_2303/tillsynsmail/A 39974-2025 tillsynsbegäran mail.docx", "A 39974-2025")</f>
        <v/>
      </c>
    </row>
    <row r="103" ht="15" customHeight="1">
      <c r="A103" t="inlineStr">
        <is>
          <t>A 2579-2025</t>
        </is>
      </c>
      <c r="B103" s="1" t="n">
        <v>45674.67744212963</v>
      </c>
      <c r="C103" s="1" t="n">
        <v>45914</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38169-2024</t>
        </is>
      </c>
      <c r="B104" s="1" t="n">
        <v>45545.45748842593</v>
      </c>
      <c r="C104" s="1" t="n">
        <v>45914</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15244-2025</t>
        </is>
      </c>
      <c r="B105" s="1" t="n">
        <v>45744.61550925926</v>
      </c>
      <c r="C105" s="1" t="n">
        <v>45914</v>
      </c>
      <c r="D105" t="inlineStr">
        <is>
          <t>JÄMTLANDS LÄN</t>
        </is>
      </c>
      <c r="E105" t="inlineStr">
        <is>
          <t>RAGUNDA</t>
        </is>
      </c>
      <c r="F105" t="inlineStr">
        <is>
          <t>SCA</t>
        </is>
      </c>
      <c r="G105" t="n">
        <v>2.6</v>
      </c>
      <c r="H105" t="n">
        <v>0</v>
      </c>
      <c r="I105" t="n">
        <v>2</v>
      </c>
      <c r="J105" t="n">
        <v>3</v>
      </c>
      <c r="K105" t="n">
        <v>0</v>
      </c>
      <c r="L105" t="n">
        <v>0</v>
      </c>
      <c r="M105" t="n">
        <v>0</v>
      </c>
      <c r="N105" t="n">
        <v>0</v>
      </c>
      <c r="O105" t="n">
        <v>3</v>
      </c>
      <c r="P105" t="n">
        <v>0</v>
      </c>
      <c r="Q105" t="n">
        <v>5</v>
      </c>
      <c r="R105" s="2" t="inlineStr">
        <is>
          <t>Garnlav
Rosenticka
Ullticka
Stuplav
Vedticka</t>
        </is>
      </c>
      <c r="S105">
        <f>HYPERLINK("https://klasma.github.io/Logging_2303/artfynd/A 15244-2025 artfynd.xlsx", "A 15244-2025")</f>
        <v/>
      </c>
      <c r="T105">
        <f>HYPERLINK("https://klasma.github.io/Logging_2303/kartor/A 15244-2025 karta.png", "A 15244-2025")</f>
        <v/>
      </c>
      <c r="V105">
        <f>HYPERLINK("https://klasma.github.io/Logging_2303/klagomål/A 15244-2025 FSC-klagomål.docx", "A 15244-2025")</f>
        <v/>
      </c>
      <c r="W105">
        <f>HYPERLINK("https://klasma.github.io/Logging_2303/klagomålsmail/A 15244-2025 FSC-klagomål mail.docx", "A 15244-2025")</f>
        <v/>
      </c>
      <c r="X105">
        <f>HYPERLINK("https://klasma.github.io/Logging_2303/tillsyn/A 15244-2025 tillsynsbegäran.docx", "A 15244-2025")</f>
        <v/>
      </c>
      <c r="Y105">
        <f>HYPERLINK("https://klasma.github.io/Logging_2303/tillsynsmail/A 15244-2025 tillsynsbegäran mail.docx", "A 15244-2025")</f>
        <v/>
      </c>
    </row>
    <row r="106" ht="15" customHeight="1">
      <c r="A106" t="inlineStr">
        <is>
          <t>A 8636-2021</t>
        </is>
      </c>
      <c r="B106" s="1" t="n">
        <v>44245</v>
      </c>
      <c r="C106" s="1" t="n">
        <v>45914</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45914</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45914</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45914</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45914</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45914</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60670-2022</t>
        </is>
      </c>
      <c r="B112" s="1" t="n">
        <v>44911</v>
      </c>
      <c r="C112" s="1" t="n">
        <v>45914</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21372-2025</t>
        </is>
      </c>
      <c r="B113" s="1" t="n">
        <v>45782.44871527778</v>
      </c>
      <c r="C113" s="1" t="n">
        <v>45914</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45914</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45914</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23931-2024</t>
        </is>
      </c>
      <c r="B116" s="1" t="n">
        <v>45455.96195601852</v>
      </c>
      <c r="C116" s="1" t="n">
        <v>45914</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52644-2024</t>
        </is>
      </c>
      <c r="B117" s="1" t="n">
        <v>45610.34415509259</v>
      </c>
      <c r="C117" s="1" t="n">
        <v>45914</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45914</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32067-2024</t>
        </is>
      </c>
      <c r="B119" s="1" t="n">
        <v>45510</v>
      </c>
      <c r="C119" s="1" t="n">
        <v>45914</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51686-2020</t>
        </is>
      </c>
      <c r="B120" s="1" t="n">
        <v>44113</v>
      </c>
      <c r="C120" s="1" t="n">
        <v>45914</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15836-2024</t>
        </is>
      </c>
      <c r="B121" s="1" t="n">
        <v>45404</v>
      </c>
      <c r="C121" s="1" t="n">
        <v>45914</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17092-2022</t>
        </is>
      </c>
      <c r="B122" s="1" t="n">
        <v>44677</v>
      </c>
      <c r="C122" s="1" t="n">
        <v>45914</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30483-2024</t>
        </is>
      </c>
      <c r="B123" s="1" t="n">
        <v>45491</v>
      </c>
      <c r="C123" s="1" t="n">
        <v>45914</v>
      </c>
      <c r="D123" t="inlineStr">
        <is>
          <t>JÄMTLANDS LÄN</t>
        </is>
      </c>
      <c r="E123" t="inlineStr">
        <is>
          <t>RAGUNDA</t>
        </is>
      </c>
      <c r="F123" t="inlineStr">
        <is>
          <t>SCA</t>
        </is>
      </c>
      <c r="G123" t="n">
        <v>1.6</v>
      </c>
      <c r="H123" t="n">
        <v>1</v>
      </c>
      <c r="I123" t="n">
        <v>0</v>
      </c>
      <c r="J123" t="n">
        <v>4</v>
      </c>
      <c r="K123" t="n">
        <v>0</v>
      </c>
      <c r="L123" t="n">
        <v>0</v>
      </c>
      <c r="M123" t="n">
        <v>0</v>
      </c>
      <c r="N123" t="n">
        <v>0</v>
      </c>
      <c r="O123" t="n">
        <v>4</v>
      </c>
      <c r="P123" t="n">
        <v>0</v>
      </c>
      <c r="Q123" t="n">
        <v>4</v>
      </c>
      <c r="R123" s="2" t="inlineStr">
        <is>
          <t>Dvärgbägarlav
Järpe
Kolflarnlav
Vedskivlav</t>
        </is>
      </c>
      <c r="S123">
        <f>HYPERLINK("https://klasma.github.io/Logging_2303/artfynd/A 30483-2024 artfynd.xlsx", "A 30483-2024")</f>
        <v/>
      </c>
      <c r="T123">
        <f>HYPERLINK("https://klasma.github.io/Logging_2303/kartor/A 30483-2024 karta.png", "A 30483-2024")</f>
        <v/>
      </c>
      <c r="V123">
        <f>HYPERLINK("https://klasma.github.io/Logging_2303/klagomål/A 30483-2024 FSC-klagomål.docx", "A 30483-2024")</f>
        <v/>
      </c>
      <c r="W123">
        <f>HYPERLINK("https://klasma.github.io/Logging_2303/klagomålsmail/A 30483-2024 FSC-klagomål mail.docx", "A 30483-2024")</f>
        <v/>
      </c>
      <c r="X123">
        <f>HYPERLINK("https://klasma.github.io/Logging_2303/tillsyn/A 30483-2024 tillsynsbegäran.docx", "A 30483-2024")</f>
        <v/>
      </c>
      <c r="Y123">
        <f>HYPERLINK("https://klasma.github.io/Logging_2303/tillsynsmail/A 30483-2024 tillsynsbegäran mail.docx", "A 30483-2024")</f>
        <v/>
      </c>
      <c r="Z123">
        <f>HYPERLINK("https://klasma.github.io/Logging_2303/fåglar/A 30483-2024 prioriterade fågelarter.docx", "A 30483-2024")</f>
        <v/>
      </c>
    </row>
    <row r="124" ht="15" customHeight="1">
      <c r="A124" t="inlineStr">
        <is>
          <t>A 40653-2025</t>
        </is>
      </c>
      <c r="B124" s="1" t="n">
        <v>45896.63618055556</v>
      </c>
      <c r="C124" s="1" t="n">
        <v>45914</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30465-2024</t>
        </is>
      </c>
      <c r="B125" s="1" t="n">
        <v>45491</v>
      </c>
      <c r="C125" s="1" t="n">
        <v>45914</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22467-2025</t>
        </is>
      </c>
      <c r="B126" s="1" t="n">
        <v>45786.61534722222</v>
      </c>
      <c r="C126" s="1" t="n">
        <v>45914</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43960-2023</t>
        </is>
      </c>
      <c r="B127" s="1" t="n">
        <v>45187</v>
      </c>
      <c r="C127" s="1" t="n">
        <v>45914</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45914</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45914</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45914</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45914</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45914</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45914</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45914</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45914</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48054-2022</t>
        </is>
      </c>
      <c r="B136" s="1" t="n">
        <v>44855</v>
      </c>
      <c r="C136" s="1" t="n">
        <v>45914</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45914</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32903-2024</t>
        </is>
      </c>
      <c r="B138" s="1" t="n">
        <v>45516.94723379629</v>
      </c>
      <c r="C138" s="1" t="n">
        <v>45914</v>
      </c>
      <c r="D138" t="inlineStr">
        <is>
          <t>JÄMTLANDS LÄN</t>
        </is>
      </c>
      <c r="E138" t="inlineStr">
        <is>
          <t>RAGUNDA</t>
        </is>
      </c>
      <c r="F138" t="inlineStr">
        <is>
          <t>SCA</t>
        </is>
      </c>
      <c r="G138" t="n">
        <v>4.7</v>
      </c>
      <c r="H138" t="n">
        <v>0</v>
      </c>
      <c r="I138" t="n">
        <v>2</v>
      </c>
      <c r="J138" t="n">
        <v>1</v>
      </c>
      <c r="K138" t="n">
        <v>0</v>
      </c>
      <c r="L138" t="n">
        <v>0</v>
      </c>
      <c r="M138" t="n">
        <v>0</v>
      </c>
      <c r="N138" t="n">
        <v>0</v>
      </c>
      <c r="O138" t="n">
        <v>1</v>
      </c>
      <c r="P138" t="n">
        <v>0</v>
      </c>
      <c r="Q138" t="n">
        <v>3</v>
      </c>
      <c r="R138" s="2" t="inlineStr">
        <is>
          <t>Lunglav
Bollvitmossa
Luddlav</t>
        </is>
      </c>
      <c r="S138">
        <f>HYPERLINK("https://klasma.github.io/Logging_2303/artfynd/A 32903-2024 artfynd.xlsx", "A 32903-2024")</f>
        <v/>
      </c>
      <c r="T138">
        <f>HYPERLINK("https://klasma.github.io/Logging_2303/kartor/A 32903-2024 karta.png", "A 32903-2024")</f>
        <v/>
      </c>
      <c r="V138">
        <f>HYPERLINK("https://klasma.github.io/Logging_2303/klagomål/A 32903-2024 FSC-klagomål.docx", "A 32903-2024")</f>
        <v/>
      </c>
      <c r="W138">
        <f>HYPERLINK("https://klasma.github.io/Logging_2303/klagomålsmail/A 32903-2024 FSC-klagomål mail.docx", "A 32903-2024")</f>
        <v/>
      </c>
      <c r="X138">
        <f>HYPERLINK("https://klasma.github.io/Logging_2303/tillsyn/A 32903-2024 tillsynsbegäran.docx", "A 32903-2024")</f>
        <v/>
      </c>
      <c r="Y138">
        <f>HYPERLINK("https://klasma.github.io/Logging_2303/tillsynsmail/A 32903-2024 tillsynsbegäran mail.docx", "A 32903-2024")</f>
        <v/>
      </c>
    </row>
    <row r="139" ht="15" customHeight="1">
      <c r="A139" t="inlineStr">
        <is>
          <t>A 58737-2022</t>
        </is>
      </c>
      <c r="B139" s="1" t="n">
        <v>44902</v>
      </c>
      <c r="C139" s="1" t="n">
        <v>45914</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51010-2020</t>
        </is>
      </c>
      <c r="B140" s="1" t="n">
        <v>44111</v>
      </c>
      <c r="C140" s="1" t="n">
        <v>45914</v>
      </c>
      <c r="D140" t="inlineStr">
        <is>
          <t>JÄMTLANDS LÄN</t>
        </is>
      </c>
      <c r="E140" t="inlineStr">
        <is>
          <t>RAGUNDA</t>
        </is>
      </c>
      <c r="F140" t="inlineStr">
        <is>
          <t>SCA</t>
        </is>
      </c>
      <c r="G140" t="n">
        <v>4.1</v>
      </c>
      <c r="H140" t="n">
        <v>0</v>
      </c>
      <c r="I140" t="n">
        <v>0</v>
      </c>
      <c r="J140" t="n">
        <v>3</v>
      </c>
      <c r="K140" t="n">
        <v>0</v>
      </c>
      <c r="L140" t="n">
        <v>0</v>
      </c>
      <c r="M140" t="n">
        <v>0</v>
      </c>
      <c r="N140" t="n">
        <v>0</v>
      </c>
      <c r="O140" t="n">
        <v>3</v>
      </c>
      <c r="P140" t="n">
        <v>0</v>
      </c>
      <c r="Q140" t="n">
        <v>3</v>
      </c>
      <c r="R140" s="2" t="inlineStr">
        <is>
          <t>Garnlav
Lunglav
Ullticka</t>
        </is>
      </c>
      <c r="S140">
        <f>HYPERLINK("https://klasma.github.io/Logging_2303/artfynd/A 51010-2020 artfynd.xlsx", "A 51010-2020")</f>
        <v/>
      </c>
      <c r="T140">
        <f>HYPERLINK("https://klasma.github.io/Logging_2303/kartor/A 51010-2020 karta.png", "A 51010-2020")</f>
        <v/>
      </c>
      <c r="V140">
        <f>HYPERLINK("https://klasma.github.io/Logging_2303/klagomål/A 51010-2020 FSC-klagomål.docx", "A 51010-2020")</f>
        <v/>
      </c>
      <c r="W140">
        <f>HYPERLINK("https://klasma.github.io/Logging_2303/klagomålsmail/A 51010-2020 FSC-klagomål mail.docx", "A 51010-2020")</f>
        <v/>
      </c>
      <c r="X140">
        <f>HYPERLINK("https://klasma.github.io/Logging_2303/tillsyn/A 51010-2020 tillsynsbegäran.docx", "A 51010-2020")</f>
        <v/>
      </c>
      <c r="Y140">
        <f>HYPERLINK("https://klasma.github.io/Logging_2303/tillsynsmail/A 51010-2020 tillsynsbegäran mail.docx", "A 51010-2020")</f>
        <v/>
      </c>
    </row>
    <row r="141" ht="15" customHeight="1">
      <c r="A141" t="inlineStr">
        <is>
          <t>A 57941-2024</t>
        </is>
      </c>
      <c r="B141" s="1" t="n">
        <v>45631</v>
      </c>
      <c r="C141" s="1" t="n">
        <v>45914</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45914</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25769-2025</t>
        </is>
      </c>
      <c r="B143" s="1" t="n">
        <v>45804.34474537037</v>
      </c>
      <c r="C143" s="1" t="n">
        <v>45914</v>
      </c>
      <c r="D143" t="inlineStr">
        <is>
          <t>JÄMTLANDS LÄN</t>
        </is>
      </c>
      <c r="E143" t="inlineStr">
        <is>
          <t>RAGUNDA</t>
        </is>
      </c>
      <c r="F143" t="inlineStr">
        <is>
          <t>SCA</t>
        </is>
      </c>
      <c r="G143" t="n">
        <v>5.3</v>
      </c>
      <c r="H143" t="n">
        <v>2</v>
      </c>
      <c r="I143" t="n">
        <v>0</v>
      </c>
      <c r="J143" t="n">
        <v>3</v>
      </c>
      <c r="K143" t="n">
        <v>0</v>
      </c>
      <c r="L143" t="n">
        <v>0</v>
      </c>
      <c r="M143" t="n">
        <v>0</v>
      </c>
      <c r="N143" t="n">
        <v>0</v>
      </c>
      <c r="O143" t="n">
        <v>3</v>
      </c>
      <c r="P143" t="n">
        <v>0</v>
      </c>
      <c r="Q143" t="n">
        <v>3</v>
      </c>
      <c r="R143" s="2" t="inlineStr">
        <is>
          <t>Garnlav
Rödvingetrast
Tretåig hackspett</t>
        </is>
      </c>
      <c r="S143">
        <f>HYPERLINK("https://klasma.github.io/Logging_2303/artfynd/A 25769-2025 artfynd.xlsx", "A 25769-2025")</f>
        <v/>
      </c>
      <c r="T143">
        <f>HYPERLINK("https://klasma.github.io/Logging_2303/kartor/A 25769-2025 karta.png", "A 25769-2025")</f>
        <v/>
      </c>
      <c r="V143">
        <f>HYPERLINK("https://klasma.github.io/Logging_2303/klagomål/A 25769-2025 FSC-klagomål.docx", "A 25769-2025")</f>
        <v/>
      </c>
      <c r="W143">
        <f>HYPERLINK("https://klasma.github.io/Logging_2303/klagomålsmail/A 25769-2025 FSC-klagomål mail.docx", "A 25769-2025")</f>
        <v/>
      </c>
      <c r="X143">
        <f>HYPERLINK("https://klasma.github.io/Logging_2303/tillsyn/A 25769-2025 tillsynsbegäran.docx", "A 25769-2025")</f>
        <v/>
      </c>
      <c r="Y143">
        <f>HYPERLINK("https://klasma.github.io/Logging_2303/tillsynsmail/A 25769-2025 tillsynsbegäran mail.docx", "A 25769-2025")</f>
        <v/>
      </c>
      <c r="Z143">
        <f>HYPERLINK("https://klasma.github.io/Logging_2303/fåglar/A 25769-2025 prioriterade fågelarter.docx", "A 25769-2025")</f>
        <v/>
      </c>
    </row>
    <row r="144" ht="15" customHeight="1">
      <c r="A144" t="inlineStr">
        <is>
          <t>A 30470-2024</t>
        </is>
      </c>
      <c r="B144" s="1" t="n">
        <v>45491.94715277778</v>
      </c>
      <c r="C144" s="1" t="n">
        <v>45914</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49047-2023</t>
        </is>
      </c>
      <c r="B145" s="1" t="n">
        <v>45209</v>
      </c>
      <c r="C145" s="1" t="n">
        <v>45914</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45914</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7519-2023</t>
        </is>
      </c>
      <c r="B147" s="1" t="n">
        <v>44971</v>
      </c>
      <c r="C147" s="1" t="n">
        <v>45914</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58368-2024</t>
        </is>
      </c>
      <c r="B148" s="1" t="n">
        <v>45632.69822916666</v>
      </c>
      <c r="C148" s="1" t="n">
        <v>45914</v>
      </c>
      <c r="D148" t="inlineStr">
        <is>
          <t>JÄMTLANDS LÄN</t>
        </is>
      </c>
      <c r="E148" t="inlineStr">
        <is>
          <t>RAGUNDA</t>
        </is>
      </c>
      <c r="F148" t="inlineStr">
        <is>
          <t>SCA</t>
        </is>
      </c>
      <c r="G148" t="n">
        <v>4.1</v>
      </c>
      <c r="H148" t="n">
        <v>2</v>
      </c>
      <c r="I148" t="n">
        <v>0</v>
      </c>
      <c r="J148" t="n">
        <v>3</v>
      </c>
      <c r="K148" t="n">
        <v>0</v>
      </c>
      <c r="L148" t="n">
        <v>0</v>
      </c>
      <c r="M148" t="n">
        <v>0</v>
      </c>
      <c r="N148" t="n">
        <v>0</v>
      </c>
      <c r="O148" t="n">
        <v>3</v>
      </c>
      <c r="P148" t="n">
        <v>0</v>
      </c>
      <c r="Q148" t="n">
        <v>3</v>
      </c>
      <c r="R148" s="2" t="inlineStr">
        <is>
          <t>Järpe
Lunglav
Tretåig hackspett</t>
        </is>
      </c>
      <c r="S148">
        <f>HYPERLINK("https://klasma.github.io/Logging_2303/artfynd/A 58368-2024 artfynd.xlsx", "A 58368-2024")</f>
        <v/>
      </c>
      <c r="T148">
        <f>HYPERLINK("https://klasma.github.io/Logging_2303/kartor/A 58368-2024 karta.png", "A 58368-2024")</f>
        <v/>
      </c>
      <c r="V148">
        <f>HYPERLINK("https://klasma.github.io/Logging_2303/klagomål/A 58368-2024 FSC-klagomål.docx", "A 58368-2024")</f>
        <v/>
      </c>
      <c r="W148">
        <f>HYPERLINK("https://klasma.github.io/Logging_2303/klagomålsmail/A 58368-2024 FSC-klagomål mail.docx", "A 58368-2024")</f>
        <v/>
      </c>
      <c r="X148">
        <f>HYPERLINK("https://klasma.github.io/Logging_2303/tillsyn/A 58368-2024 tillsynsbegäran.docx", "A 58368-2024")</f>
        <v/>
      </c>
      <c r="Y148">
        <f>HYPERLINK("https://klasma.github.io/Logging_2303/tillsynsmail/A 58368-2024 tillsynsbegäran mail.docx", "A 58368-2024")</f>
        <v/>
      </c>
      <c r="Z148">
        <f>HYPERLINK("https://klasma.github.io/Logging_2303/fåglar/A 58368-2024 prioriterade fågelarter.docx", "A 58368-2024")</f>
        <v/>
      </c>
    </row>
    <row r="149" ht="15" customHeight="1">
      <c r="A149" t="inlineStr">
        <is>
          <t>A 22571-2025</t>
        </is>
      </c>
      <c r="B149" s="1" t="n">
        <v>45789.36503472222</v>
      </c>
      <c r="C149" s="1" t="n">
        <v>45914</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33278-2022</t>
        </is>
      </c>
      <c r="B150" s="1" t="n">
        <v>44788</v>
      </c>
      <c r="C150" s="1" t="n">
        <v>45914</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53022-2022</t>
        </is>
      </c>
      <c r="B151" s="1" t="n">
        <v>44875</v>
      </c>
      <c r="C151" s="1" t="n">
        <v>45914</v>
      </c>
      <c r="D151" t="inlineStr">
        <is>
          <t>JÄMTLANDS LÄN</t>
        </is>
      </c>
      <c r="E151" t="inlineStr">
        <is>
          <t>RAGUNDA</t>
        </is>
      </c>
      <c r="F151" t="inlineStr">
        <is>
          <t>SCA</t>
        </is>
      </c>
      <c r="G151" t="n">
        <v>2.7</v>
      </c>
      <c r="H151" t="n">
        <v>0</v>
      </c>
      <c r="I151" t="n">
        <v>1</v>
      </c>
      <c r="J151" t="n">
        <v>2</v>
      </c>
      <c r="K151" t="n">
        <v>0</v>
      </c>
      <c r="L151" t="n">
        <v>0</v>
      </c>
      <c r="M151" t="n">
        <v>0</v>
      </c>
      <c r="N151" t="n">
        <v>0</v>
      </c>
      <c r="O151" t="n">
        <v>2</v>
      </c>
      <c r="P151" t="n">
        <v>0</v>
      </c>
      <c r="Q151" t="n">
        <v>3</v>
      </c>
      <c r="R151" s="2" t="inlineStr">
        <is>
          <t>Garnlav
Lunglav
Dropptaggsvamp</t>
        </is>
      </c>
      <c r="S151">
        <f>HYPERLINK("https://klasma.github.io/Logging_2303/artfynd/A 53022-2022 artfynd.xlsx", "A 53022-2022")</f>
        <v/>
      </c>
      <c r="T151">
        <f>HYPERLINK("https://klasma.github.io/Logging_2303/kartor/A 53022-2022 karta.png", "A 53022-2022")</f>
        <v/>
      </c>
      <c r="V151">
        <f>HYPERLINK("https://klasma.github.io/Logging_2303/klagomål/A 53022-2022 FSC-klagomål.docx", "A 53022-2022")</f>
        <v/>
      </c>
      <c r="W151">
        <f>HYPERLINK("https://klasma.github.io/Logging_2303/klagomålsmail/A 53022-2022 FSC-klagomål mail.docx", "A 53022-2022")</f>
        <v/>
      </c>
      <c r="X151">
        <f>HYPERLINK("https://klasma.github.io/Logging_2303/tillsyn/A 53022-2022 tillsynsbegäran.docx", "A 53022-2022")</f>
        <v/>
      </c>
      <c r="Y151">
        <f>HYPERLINK("https://klasma.github.io/Logging_2303/tillsynsmail/A 53022-2022 tillsynsbegäran mail.docx", "A 53022-2022")</f>
        <v/>
      </c>
    </row>
    <row r="152" ht="15" customHeight="1">
      <c r="A152" t="inlineStr">
        <is>
          <t>A 18616-2024</t>
        </is>
      </c>
      <c r="B152" s="1" t="n">
        <v>45425.96285879629</v>
      </c>
      <c r="C152" s="1" t="n">
        <v>45914</v>
      </c>
      <c r="D152" t="inlineStr">
        <is>
          <t>JÄMTLANDS LÄN</t>
        </is>
      </c>
      <c r="E152" t="inlineStr">
        <is>
          <t>RAGUNDA</t>
        </is>
      </c>
      <c r="F152" t="inlineStr">
        <is>
          <t>SCA</t>
        </is>
      </c>
      <c r="G152" t="n">
        <v>3.4</v>
      </c>
      <c r="H152" t="n">
        <v>0</v>
      </c>
      <c r="I152" t="n">
        <v>0</v>
      </c>
      <c r="J152" t="n">
        <v>3</v>
      </c>
      <c r="K152" t="n">
        <v>0</v>
      </c>
      <c r="L152" t="n">
        <v>0</v>
      </c>
      <c r="M152" t="n">
        <v>0</v>
      </c>
      <c r="N152" t="n">
        <v>0</v>
      </c>
      <c r="O152" t="n">
        <v>3</v>
      </c>
      <c r="P152" t="n">
        <v>0</v>
      </c>
      <c r="Q152" t="n">
        <v>3</v>
      </c>
      <c r="R152" s="2" t="inlineStr">
        <is>
          <t>Granticka
Orange taggsvamp
Ullticka</t>
        </is>
      </c>
      <c r="S152">
        <f>HYPERLINK("https://klasma.github.io/Logging_2303/artfynd/A 18616-2024 artfynd.xlsx", "A 18616-2024")</f>
        <v/>
      </c>
      <c r="T152">
        <f>HYPERLINK("https://klasma.github.io/Logging_2303/kartor/A 18616-2024 karta.png", "A 18616-2024")</f>
        <v/>
      </c>
      <c r="V152">
        <f>HYPERLINK("https://klasma.github.io/Logging_2303/klagomål/A 18616-2024 FSC-klagomål.docx", "A 18616-2024")</f>
        <v/>
      </c>
      <c r="W152">
        <f>HYPERLINK("https://klasma.github.io/Logging_2303/klagomålsmail/A 18616-2024 FSC-klagomål mail.docx", "A 18616-2024")</f>
        <v/>
      </c>
      <c r="X152">
        <f>HYPERLINK("https://klasma.github.io/Logging_2303/tillsyn/A 18616-2024 tillsynsbegäran.docx", "A 18616-2024")</f>
        <v/>
      </c>
      <c r="Y152">
        <f>HYPERLINK("https://klasma.github.io/Logging_2303/tillsynsmail/A 18616-2024 tillsynsbegäran mail.docx", "A 18616-2024")</f>
        <v/>
      </c>
    </row>
    <row r="153" ht="15" customHeight="1">
      <c r="A153" t="inlineStr">
        <is>
          <t>A 34585-2025</t>
        </is>
      </c>
      <c r="B153" s="1" t="n">
        <v>45847.61498842593</v>
      </c>
      <c r="C153" s="1" t="n">
        <v>45914</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32416-2025</t>
        </is>
      </c>
      <c r="B154" s="1" t="n">
        <v>45838</v>
      </c>
      <c r="C154" s="1" t="n">
        <v>45914</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32416-2025 artfynd.xlsx", "A 32416-2025")</f>
        <v/>
      </c>
      <c r="T154">
        <f>HYPERLINK("https://klasma.github.io/Logging_2303/kartor/A 32416-2025 karta.png", "A 32416-2025")</f>
        <v/>
      </c>
      <c r="V154">
        <f>HYPERLINK("https://klasma.github.io/Logging_2303/klagomål/A 32416-2025 FSC-klagomål.docx", "A 32416-2025")</f>
        <v/>
      </c>
      <c r="W154">
        <f>HYPERLINK("https://klasma.github.io/Logging_2303/klagomålsmail/A 32416-2025 FSC-klagomål mail.docx", "A 32416-2025")</f>
        <v/>
      </c>
      <c r="X154">
        <f>HYPERLINK("https://klasma.github.io/Logging_2303/tillsyn/A 32416-2025 tillsynsbegäran.docx", "A 32416-2025")</f>
        <v/>
      </c>
      <c r="Y154">
        <f>HYPERLINK("https://klasma.github.io/Logging_2303/tillsynsmail/A 32416-2025 tillsynsbegäran mail.docx", "A 32416-2025")</f>
        <v/>
      </c>
    </row>
    <row r="155" ht="15" customHeight="1">
      <c r="A155" t="inlineStr">
        <is>
          <t>A 41877-2025</t>
        </is>
      </c>
      <c r="B155" s="1" t="n">
        <v>45903.345625</v>
      </c>
      <c r="C155" s="1" t="n">
        <v>45914</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5048-2025</t>
        </is>
      </c>
      <c r="B156" s="1" t="n">
        <v>45691.44769675926</v>
      </c>
      <c r="C156" s="1" t="n">
        <v>45914</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45914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45914</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45914</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45914</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45914</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39495-2024</t>
        </is>
      </c>
      <c r="B163" s="1" t="n">
        <v>45551.65726851852</v>
      </c>
      <c r="C163" s="1" t="n">
        <v>45914</v>
      </c>
      <c r="D163" t="inlineStr">
        <is>
          <t>JÄMTLANDS LÄN</t>
        </is>
      </c>
      <c r="E163" t="inlineStr">
        <is>
          <t>RAGUNDA</t>
        </is>
      </c>
      <c r="F163" t="inlineStr">
        <is>
          <t>SCA</t>
        </is>
      </c>
      <c r="G163" t="n">
        <v>6.6</v>
      </c>
      <c r="H163" t="n">
        <v>0</v>
      </c>
      <c r="I163" t="n">
        <v>0</v>
      </c>
      <c r="J163" t="n">
        <v>2</v>
      </c>
      <c r="K163" t="n">
        <v>0</v>
      </c>
      <c r="L163" t="n">
        <v>0</v>
      </c>
      <c r="M163" t="n">
        <v>0</v>
      </c>
      <c r="N163" t="n">
        <v>0</v>
      </c>
      <c r="O163" t="n">
        <v>2</v>
      </c>
      <c r="P163" t="n">
        <v>0</v>
      </c>
      <c r="Q163" t="n">
        <v>2</v>
      </c>
      <c r="R163" s="2" t="inlineStr">
        <is>
          <t>Garnlav
Ullticka</t>
        </is>
      </c>
      <c r="S163">
        <f>HYPERLINK("https://klasma.github.io/Logging_2303/artfynd/A 39495-2024 artfynd.xlsx", "A 39495-2024")</f>
        <v/>
      </c>
      <c r="T163">
        <f>HYPERLINK("https://klasma.github.io/Logging_2303/kartor/A 39495-2024 karta.png", "A 39495-2024")</f>
        <v/>
      </c>
      <c r="V163">
        <f>HYPERLINK("https://klasma.github.io/Logging_2303/klagomål/A 39495-2024 FSC-klagomål.docx", "A 39495-2024")</f>
        <v/>
      </c>
      <c r="W163">
        <f>HYPERLINK("https://klasma.github.io/Logging_2303/klagomålsmail/A 39495-2024 FSC-klagomål mail.docx", "A 39495-2024")</f>
        <v/>
      </c>
      <c r="X163">
        <f>HYPERLINK("https://klasma.github.io/Logging_2303/tillsyn/A 39495-2024 tillsynsbegäran.docx", "A 39495-2024")</f>
        <v/>
      </c>
      <c r="Y163">
        <f>HYPERLINK("https://klasma.github.io/Logging_2303/tillsynsmail/A 39495-2024 tillsynsbegäran mail.docx", "A 39495-2024")</f>
        <v/>
      </c>
    </row>
    <row r="164" ht="15" customHeight="1">
      <c r="A164" t="inlineStr">
        <is>
          <t>A 47267-2022</t>
        </is>
      </c>
      <c r="B164" s="1" t="n">
        <v>44852</v>
      </c>
      <c r="C164" s="1" t="n">
        <v>45914</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32736-2023</t>
        </is>
      </c>
      <c r="B165" s="1" t="n">
        <v>45121</v>
      </c>
      <c r="C165" s="1" t="n">
        <v>45914</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45021-2023</t>
        </is>
      </c>
      <c r="B166" s="1" t="n">
        <v>45190</v>
      </c>
      <c r="C166" s="1" t="n">
        <v>45914</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44409-2023</t>
        </is>
      </c>
      <c r="B167" s="1" t="n">
        <v>45188</v>
      </c>
      <c r="C167" s="1" t="n">
        <v>45914</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44409-2023 artfynd.xlsx", "A 44409-2023")</f>
        <v/>
      </c>
      <c r="T167">
        <f>HYPERLINK("https://klasma.github.io/Logging_2303/kartor/A 44409-2023 karta.png", "A 44409-2023")</f>
        <v/>
      </c>
      <c r="V167">
        <f>HYPERLINK("https://klasma.github.io/Logging_2303/klagomål/A 44409-2023 FSC-klagomål.docx", "A 44409-2023")</f>
        <v/>
      </c>
      <c r="W167">
        <f>HYPERLINK("https://klasma.github.io/Logging_2303/klagomålsmail/A 44409-2023 FSC-klagomål mail.docx", "A 44409-2023")</f>
        <v/>
      </c>
      <c r="X167">
        <f>HYPERLINK("https://klasma.github.io/Logging_2303/tillsyn/A 44409-2023 tillsynsbegäran.docx", "A 44409-2023")</f>
        <v/>
      </c>
      <c r="Y167">
        <f>HYPERLINK("https://klasma.github.io/Logging_2303/tillsynsmail/A 44409-2023 tillsynsbegäran mail.docx", "A 44409-2023")</f>
        <v/>
      </c>
    </row>
    <row r="168" ht="15" customHeight="1">
      <c r="A168" t="inlineStr">
        <is>
          <t>A 25155-2025</t>
        </is>
      </c>
      <c r="B168" s="1" t="n">
        <v>45800.42782407408</v>
      </c>
      <c r="C168" s="1" t="n">
        <v>45914</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17733-2022</t>
        </is>
      </c>
      <c r="B169" s="1" t="n">
        <v>44680</v>
      </c>
      <c r="C169" s="1" t="n">
        <v>45914</v>
      </c>
      <c r="D169" t="inlineStr">
        <is>
          <t>JÄMTLANDS LÄN</t>
        </is>
      </c>
      <c r="E169" t="inlineStr">
        <is>
          <t>RAGUNDA</t>
        </is>
      </c>
      <c r="G169" t="n">
        <v>2.2</v>
      </c>
      <c r="H169" t="n">
        <v>0</v>
      </c>
      <c r="I169" t="n">
        <v>0</v>
      </c>
      <c r="J169" t="n">
        <v>2</v>
      </c>
      <c r="K169" t="n">
        <v>0</v>
      </c>
      <c r="L169" t="n">
        <v>0</v>
      </c>
      <c r="M169" t="n">
        <v>0</v>
      </c>
      <c r="N169" t="n">
        <v>0</v>
      </c>
      <c r="O169" t="n">
        <v>2</v>
      </c>
      <c r="P169" t="n">
        <v>0</v>
      </c>
      <c r="Q169" t="n">
        <v>2</v>
      </c>
      <c r="R169" s="2" t="inlineStr">
        <is>
          <t>Lunglav
Skrovellav</t>
        </is>
      </c>
      <c r="S169">
        <f>HYPERLINK("https://klasma.github.io/Logging_2303/artfynd/A 17733-2022 artfynd.xlsx", "A 17733-2022")</f>
        <v/>
      </c>
      <c r="T169">
        <f>HYPERLINK("https://klasma.github.io/Logging_2303/kartor/A 17733-2022 karta.png", "A 17733-2022")</f>
        <v/>
      </c>
      <c r="V169">
        <f>HYPERLINK("https://klasma.github.io/Logging_2303/klagomål/A 17733-2022 FSC-klagomål.docx", "A 17733-2022")</f>
        <v/>
      </c>
      <c r="W169">
        <f>HYPERLINK("https://klasma.github.io/Logging_2303/klagomålsmail/A 17733-2022 FSC-klagomål mail.docx", "A 17733-2022")</f>
        <v/>
      </c>
      <c r="X169">
        <f>HYPERLINK("https://klasma.github.io/Logging_2303/tillsyn/A 17733-2022 tillsynsbegäran.docx", "A 17733-2022")</f>
        <v/>
      </c>
      <c r="Y169">
        <f>HYPERLINK("https://klasma.github.io/Logging_2303/tillsynsmail/A 17733-2022 tillsynsbegäran mail.docx", "A 17733-2022")</f>
        <v/>
      </c>
    </row>
    <row r="170" ht="15" customHeight="1">
      <c r="A170" t="inlineStr">
        <is>
          <t>A 40826-2023</t>
        </is>
      </c>
      <c r="B170" s="1" t="n">
        <v>45171</v>
      </c>
      <c r="C170" s="1" t="n">
        <v>45914</v>
      </c>
      <c r="D170" t="inlineStr">
        <is>
          <t>JÄMTLANDS LÄN</t>
        </is>
      </c>
      <c r="E170" t="inlineStr">
        <is>
          <t>RAGUNDA</t>
        </is>
      </c>
      <c r="F170" t="inlineStr">
        <is>
          <t>SCA</t>
        </is>
      </c>
      <c r="G170" t="n">
        <v>4.5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40826-2023 artfynd.xlsx", "A 40826-2023")</f>
        <v/>
      </c>
      <c r="T170">
        <f>HYPERLINK("https://klasma.github.io/Logging_2303/kartor/A 40826-2023 karta.png", "A 40826-2023")</f>
        <v/>
      </c>
      <c r="V170">
        <f>HYPERLINK("https://klasma.github.io/Logging_2303/klagomål/A 40826-2023 FSC-klagomål.docx", "A 40826-2023")</f>
        <v/>
      </c>
      <c r="W170">
        <f>HYPERLINK("https://klasma.github.io/Logging_2303/klagomålsmail/A 40826-2023 FSC-klagomål mail.docx", "A 40826-2023")</f>
        <v/>
      </c>
      <c r="X170">
        <f>HYPERLINK("https://klasma.github.io/Logging_2303/tillsyn/A 40826-2023 tillsynsbegäran.docx", "A 40826-2023")</f>
        <v/>
      </c>
      <c r="Y170">
        <f>HYPERLINK("https://klasma.github.io/Logging_2303/tillsynsmail/A 40826-2023 tillsynsbegäran mail.docx", "A 40826-2023")</f>
        <v/>
      </c>
    </row>
    <row r="171" ht="15" customHeight="1">
      <c r="A171" t="inlineStr">
        <is>
          <t>A 11544-2024</t>
        </is>
      </c>
      <c r="B171" s="1" t="n">
        <v>45372.95680555556</v>
      </c>
      <c r="C171" s="1" t="n">
        <v>45914</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48427-2023</t>
        </is>
      </c>
      <c r="B172" s="1" t="n">
        <v>45205</v>
      </c>
      <c r="C172" s="1" t="n">
        <v>45914</v>
      </c>
      <c r="D172" t="inlineStr">
        <is>
          <t>JÄMTLANDS LÄN</t>
        </is>
      </c>
      <c r="E172" t="inlineStr">
        <is>
          <t>RAGUNDA</t>
        </is>
      </c>
      <c r="F172" t="inlineStr">
        <is>
          <t>SCA</t>
        </is>
      </c>
      <c r="G172" t="n">
        <v>10.1</v>
      </c>
      <c r="H172" t="n">
        <v>0</v>
      </c>
      <c r="I172" t="n">
        <v>1</v>
      </c>
      <c r="J172" t="n">
        <v>1</v>
      </c>
      <c r="K172" t="n">
        <v>0</v>
      </c>
      <c r="L172" t="n">
        <v>0</v>
      </c>
      <c r="M172" t="n">
        <v>0</v>
      </c>
      <c r="N172" t="n">
        <v>0</v>
      </c>
      <c r="O172" t="n">
        <v>1</v>
      </c>
      <c r="P172" t="n">
        <v>0</v>
      </c>
      <c r="Q172" t="n">
        <v>2</v>
      </c>
      <c r="R172" s="2" t="inlineStr">
        <is>
          <t>Lunglav
Luddlav</t>
        </is>
      </c>
      <c r="S172">
        <f>HYPERLINK("https://klasma.github.io/Logging_2303/artfynd/A 48427-2023 artfynd.xlsx", "A 48427-2023")</f>
        <v/>
      </c>
      <c r="T172">
        <f>HYPERLINK("https://klasma.github.io/Logging_2303/kartor/A 48427-2023 karta.png", "A 48427-2023")</f>
        <v/>
      </c>
      <c r="V172">
        <f>HYPERLINK("https://klasma.github.io/Logging_2303/klagomål/A 48427-2023 FSC-klagomål.docx", "A 48427-2023")</f>
        <v/>
      </c>
      <c r="W172">
        <f>HYPERLINK("https://klasma.github.io/Logging_2303/klagomålsmail/A 48427-2023 FSC-klagomål mail.docx", "A 48427-2023")</f>
        <v/>
      </c>
      <c r="X172">
        <f>HYPERLINK("https://klasma.github.io/Logging_2303/tillsyn/A 48427-2023 tillsynsbegäran.docx", "A 48427-2023")</f>
        <v/>
      </c>
      <c r="Y172">
        <f>HYPERLINK("https://klasma.github.io/Logging_2303/tillsynsmail/A 48427-2023 tillsynsbegäran mail.docx", "A 48427-2023")</f>
        <v/>
      </c>
    </row>
    <row r="173" ht="15" customHeight="1">
      <c r="A173" t="inlineStr">
        <is>
          <t>A 14502-2024</t>
        </is>
      </c>
      <c r="B173" s="1" t="n">
        <v>45394</v>
      </c>
      <c r="C173" s="1" t="n">
        <v>45914</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45035-2023</t>
        </is>
      </c>
      <c r="B174" s="1" t="n">
        <v>45191</v>
      </c>
      <c r="C174" s="1" t="n">
        <v>45914</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45914</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31960-2025</t>
        </is>
      </c>
      <c r="B176" s="1" t="n">
        <v>45835.344375</v>
      </c>
      <c r="C176" s="1" t="n">
        <v>45914</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26482-2023</t>
        </is>
      </c>
      <c r="B177" s="1" t="n">
        <v>45089</v>
      </c>
      <c r="C177" s="1" t="n">
        <v>45914</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46771-2024</t>
        </is>
      </c>
      <c r="B178" s="1" t="n">
        <v>45583.49642361111</v>
      </c>
      <c r="C178" s="1" t="n">
        <v>45914</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10866-2025</t>
        </is>
      </c>
      <c r="B179" s="1" t="n">
        <v>45722.61543981481</v>
      </c>
      <c r="C179" s="1" t="n">
        <v>45914</v>
      </c>
      <c r="D179" t="inlineStr">
        <is>
          <t>JÄMTLANDS LÄN</t>
        </is>
      </c>
      <c r="E179" t="inlineStr">
        <is>
          <t>RAGUNDA</t>
        </is>
      </c>
      <c r="F179" t="inlineStr">
        <is>
          <t>SCA</t>
        </is>
      </c>
      <c r="G179" t="n">
        <v>15.9</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10866-2025 artfynd.xlsx", "A 10866-2025")</f>
        <v/>
      </c>
      <c r="T179">
        <f>HYPERLINK("https://klasma.github.io/Logging_2303/kartor/A 10866-2025 karta.png", "A 10866-2025")</f>
        <v/>
      </c>
      <c r="V179">
        <f>HYPERLINK("https://klasma.github.io/Logging_2303/klagomål/A 10866-2025 FSC-klagomål.docx", "A 10866-2025")</f>
        <v/>
      </c>
      <c r="W179">
        <f>HYPERLINK("https://klasma.github.io/Logging_2303/klagomålsmail/A 10866-2025 FSC-klagomål mail.docx", "A 10866-2025")</f>
        <v/>
      </c>
      <c r="X179">
        <f>HYPERLINK("https://klasma.github.io/Logging_2303/tillsyn/A 10866-2025 tillsynsbegäran.docx", "A 10866-2025")</f>
        <v/>
      </c>
      <c r="Y179">
        <f>HYPERLINK("https://klasma.github.io/Logging_2303/tillsynsmail/A 10866-2025 tillsynsbegäran mail.docx", "A 10866-2025")</f>
        <v/>
      </c>
    </row>
    <row r="180" ht="15" customHeight="1">
      <c r="A180" t="inlineStr">
        <is>
          <t>A 34715-2024</t>
        </is>
      </c>
      <c r="B180" s="1" t="n">
        <v>45526.56393518519</v>
      </c>
      <c r="C180" s="1" t="n">
        <v>45914</v>
      </c>
      <c r="D180" t="inlineStr">
        <is>
          <t>JÄMTLANDS LÄN</t>
        </is>
      </c>
      <c r="E180" t="inlineStr">
        <is>
          <t>RAGUNDA</t>
        </is>
      </c>
      <c r="F180" t="inlineStr">
        <is>
          <t>SCA</t>
        </is>
      </c>
      <c r="G180" t="n">
        <v>3</v>
      </c>
      <c r="H180" t="n">
        <v>0</v>
      </c>
      <c r="I180" t="n">
        <v>1</v>
      </c>
      <c r="J180" t="n">
        <v>1</v>
      </c>
      <c r="K180" t="n">
        <v>0</v>
      </c>
      <c r="L180" t="n">
        <v>0</v>
      </c>
      <c r="M180" t="n">
        <v>0</v>
      </c>
      <c r="N180" t="n">
        <v>0</v>
      </c>
      <c r="O180" t="n">
        <v>1</v>
      </c>
      <c r="P180" t="n">
        <v>0</v>
      </c>
      <c r="Q180" t="n">
        <v>2</v>
      </c>
      <c r="R180" s="2" t="inlineStr">
        <is>
          <t>Garnlav
Vedticka</t>
        </is>
      </c>
      <c r="S180">
        <f>HYPERLINK("https://klasma.github.io/Logging_2303/artfynd/A 34715-2024 artfynd.xlsx", "A 34715-2024")</f>
        <v/>
      </c>
      <c r="T180">
        <f>HYPERLINK("https://klasma.github.io/Logging_2303/kartor/A 34715-2024 karta.png", "A 34715-2024")</f>
        <v/>
      </c>
      <c r="V180">
        <f>HYPERLINK("https://klasma.github.io/Logging_2303/klagomål/A 34715-2024 FSC-klagomål.docx", "A 34715-2024")</f>
        <v/>
      </c>
      <c r="W180">
        <f>HYPERLINK("https://klasma.github.io/Logging_2303/klagomålsmail/A 34715-2024 FSC-klagomål mail.docx", "A 34715-2024")</f>
        <v/>
      </c>
      <c r="X180">
        <f>HYPERLINK("https://klasma.github.io/Logging_2303/tillsyn/A 34715-2024 tillsynsbegäran.docx", "A 34715-2024")</f>
        <v/>
      </c>
      <c r="Y180">
        <f>HYPERLINK("https://klasma.github.io/Logging_2303/tillsynsmail/A 34715-2024 tillsynsbegäran mail.docx", "A 34715-2024")</f>
        <v/>
      </c>
    </row>
    <row r="181" ht="15" customHeight="1">
      <c r="A181" t="inlineStr">
        <is>
          <t>A 48084-2022</t>
        </is>
      </c>
      <c r="B181" s="1" t="n">
        <v>44855</v>
      </c>
      <c r="C181" s="1" t="n">
        <v>45914</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57940-2024</t>
        </is>
      </c>
      <c r="B182" s="1" t="n">
        <v>45631</v>
      </c>
      <c r="C182" s="1" t="n">
        <v>45914</v>
      </c>
      <c r="D182" t="inlineStr">
        <is>
          <t>JÄMTLANDS LÄN</t>
        </is>
      </c>
      <c r="E182" t="inlineStr">
        <is>
          <t>RAGUNDA</t>
        </is>
      </c>
      <c r="F182" t="inlineStr">
        <is>
          <t>SCA</t>
        </is>
      </c>
      <c r="G182" t="n">
        <v>1.9</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HYPERLINK("https://klasma.github.io/Logging_2303/artfynd/A 57940-2024 artfynd.xlsx", "A 57940-2024")</f>
        <v/>
      </c>
      <c r="T182">
        <f>HYPERLINK("https://klasma.github.io/Logging_2303/kartor/A 57940-2024 karta.png", "A 57940-2024")</f>
        <v/>
      </c>
      <c r="V182">
        <f>HYPERLINK("https://klasma.github.io/Logging_2303/klagomål/A 57940-2024 FSC-klagomål.docx", "A 57940-2024")</f>
        <v/>
      </c>
      <c r="W182">
        <f>HYPERLINK("https://klasma.github.io/Logging_2303/klagomålsmail/A 57940-2024 FSC-klagomål mail.docx", "A 57940-2024")</f>
        <v/>
      </c>
      <c r="X182">
        <f>HYPERLINK("https://klasma.github.io/Logging_2303/tillsyn/A 57940-2024 tillsynsbegäran.docx", "A 57940-2024")</f>
        <v/>
      </c>
      <c r="Y182">
        <f>HYPERLINK("https://klasma.github.io/Logging_2303/tillsynsmail/A 57940-2024 tillsynsbegäran mail.docx", "A 57940-2024")</f>
        <v/>
      </c>
      <c r="Z182">
        <f>HYPERLINK("https://klasma.github.io/Logging_2303/fåglar/A 57940-2024 prioriterade fågelarter.docx", "A 57940-2024")</f>
        <v/>
      </c>
    </row>
    <row r="183" ht="15" customHeight="1">
      <c r="A183" t="inlineStr">
        <is>
          <t>A 19384-2025</t>
        </is>
      </c>
      <c r="B183" s="1" t="n">
        <v>45769.65692129629</v>
      </c>
      <c r="C183" s="1" t="n">
        <v>45914</v>
      </c>
      <c r="D183" t="inlineStr">
        <is>
          <t>JÄMTLANDS LÄN</t>
        </is>
      </c>
      <c r="E183" t="inlineStr">
        <is>
          <t>RAGUNDA</t>
        </is>
      </c>
      <c r="F183" t="inlineStr">
        <is>
          <t>SCA</t>
        </is>
      </c>
      <c r="G183" t="n">
        <v>2.8</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19384-2025 artfynd.xlsx", "A 19384-2025")</f>
        <v/>
      </c>
      <c r="T183">
        <f>HYPERLINK("https://klasma.github.io/Logging_2303/kartor/A 19384-2025 karta.png", "A 19384-2025")</f>
        <v/>
      </c>
      <c r="V183">
        <f>HYPERLINK("https://klasma.github.io/Logging_2303/klagomål/A 19384-2025 FSC-klagomål.docx", "A 19384-2025")</f>
        <v/>
      </c>
      <c r="W183">
        <f>HYPERLINK("https://klasma.github.io/Logging_2303/klagomålsmail/A 19384-2025 FSC-klagomål mail.docx", "A 19384-2025")</f>
        <v/>
      </c>
      <c r="X183">
        <f>HYPERLINK("https://klasma.github.io/Logging_2303/tillsyn/A 19384-2025 tillsynsbegäran.docx", "A 19384-2025")</f>
        <v/>
      </c>
      <c r="Y183">
        <f>HYPERLINK("https://klasma.github.io/Logging_2303/tillsynsmail/A 19384-2025 tillsynsbegäran mail.docx", "A 19384-2025")</f>
        <v/>
      </c>
      <c r="Z183">
        <f>HYPERLINK("https://klasma.github.io/Logging_2303/fåglar/A 19384-2025 prioriterade fågelarter.docx", "A 19384-2025")</f>
        <v/>
      </c>
    </row>
    <row r="184" ht="15" customHeight="1">
      <c r="A184" t="inlineStr">
        <is>
          <t>A 26324-2024</t>
        </is>
      </c>
      <c r="B184" s="1" t="n">
        <v>45468.97495370371</v>
      </c>
      <c r="C184" s="1" t="n">
        <v>45914</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55647-2023</t>
        </is>
      </c>
      <c r="B185" s="1" t="n">
        <v>45238</v>
      </c>
      <c r="C185" s="1" t="n">
        <v>45914</v>
      </c>
      <c r="D185" t="inlineStr">
        <is>
          <t>JÄMTLANDS LÄN</t>
        </is>
      </c>
      <c r="E185" t="inlineStr">
        <is>
          <t>RAGUNDA</t>
        </is>
      </c>
      <c r="F185" t="inlineStr">
        <is>
          <t>SCA</t>
        </is>
      </c>
      <c r="G185" t="n">
        <v>3.7</v>
      </c>
      <c r="H185" t="n">
        <v>0</v>
      </c>
      <c r="I185" t="n">
        <v>1</v>
      </c>
      <c r="J185" t="n">
        <v>1</v>
      </c>
      <c r="K185" t="n">
        <v>0</v>
      </c>
      <c r="L185" t="n">
        <v>0</v>
      </c>
      <c r="M185" t="n">
        <v>0</v>
      </c>
      <c r="N185" t="n">
        <v>0</v>
      </c>
      <c r="O185" t="n">
        <v>1</v>
      </c>
      <c r="P185" t="n">
        <v>0</v>
      </c>
      <c r="Q185" t="n">
        <v>2</v>
      </c>
      <c r="R185" s="2" t="inlineStr">
        <is>
          <t>Granticka
Trådticka</t>
        </is>
      </c>
      <c r="S185">
        <f>HYPERLINK("https://klasma.github.io/Logging_2303/artfynd/A 55647-2023 artfynd.xlsx", "A 55647-2023")</f>
        <v/>
      </c>
      <c r="T185">
        <f>HYPERLINK("https://klasma.github.io/Logging_2303/kartor/A 55647-2023 karta.png", "A 55647-2023")</f>
        <v/>
      </c>
      <c r="V185">
        <f>HYPERLINK("https://klasma.github.io/Logging_2303/klagomål/A 55647-2023 FSC-klagomål.docx", "A 55647-2023")</f>
        <v/>
      </c>
      <c r="W185">
        <f>HYPERLINK("https://klasma.github.io/Logging_2303/klagomålsmail/A 55647-2023 FSC-klagomål mail.docx", "A 55647-2023")</f>
        <v/>
      </c>
      <c r="X185">
        <f>HYPERLINK("https://klasma.github.io/Logging_2303/tillsyn/A 55647-2023 tillsynsbegäran.docx", "A 55647-2023")</f>
        <v/>
      </c>
      <c r="Y185">
        <f>HYPERLINK("https://klasma.github.io/Logging_2303/tillsynsmail/A 55647-2023 tillsynsbegäran mail.docx", "A 55647-2023")</f>
        <v/>
      </c>
    </row>
    <row r="186" ht="15" customHeight="1">
      <c r="A186" t="inlineStr">
        <is>
          <t>A 11843-2023</t>
        </is>
      </c>
      <c r="B186" s="1" t="n">
        <v>44993</v>
      </c>
      <c r="C186" s="1" t="n">
        <v>45914</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35131-2025</t>
        </is>
      </c>
      <c r="B187" s="1" t="n">
        <v>45852.63597222222</v>
      </c>
      <c r="C187" s="1" t="n">
        <v>45914</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35344-2025</t>
        </is>
      </c>
      <c r="B188" s="1" t="n">
        <v>45854.61494212963</v>
      </c>
      <c r="C188" s="1" t="n">
        <v>45914</v>
      </c>
      <c r="D188" t="inlineStr">
        <is>
          <t>JÄMTLANDS LÄN</t>
        </is>
      </c>
      <c r="E188" t="inlineStr">
        <is>
          <t>RAGUNDA</t>
        </is>
      </c>
      <c r="F188" t="inlineStr">
        <is>
          <t>SCA</t>
        </is>
      </c>
      <c r="G188" t="n">
        <v>6.1</v>
      </c>
      <c r="H188" t="n">
        <v>0</v>
      </c>
      <c r="I188" t="n">
        <v>0</v>
      </c>
      <c r="J188" t="n">
        <v>2</v>
      </c>
      <c r="K188" t="n">
        <v>0</v>
      </c>
      <c r="L188" t="n">
        <v>0</v>
      </c>
      <c r="M188" t="n">
        <v>0</v>
      </c>
      <c r="N188" t="n">
        <v>0</v>
      </c>
      <c r="O188" t="n">
        <v>2</v>
      </c>
      <c r="P188" t="n">
        <v>0</v>
      </c>
      <c r="Q188" t="n">
        <v>2</v>
      </c>
      <c r="R188" s="2" t="inlineStr">
        <is>
          <t>Svart taggsvamp
Vedtrappmossa</t>
        </is>
      </c>
      <c r="S188">
        <f>HYPERLINK("https://klasma.github.io/Logging_2303/artfynd/A 35344-2025 artfynd.xlsx", "A 35344-2025")</f>
        <v/>
      </c>
      <c r="T188">
        <f>HYPERLINK("https://klasma.github.io/Logging_2303/kartor/A 35344-2025 karta.png", "A 35344-2025")</f>
        <v/>
      </c>
      <c r="V188">
        <f>HYPERLINK("https://klasma.github.io/Logging_2303/klagomål/A 35344-2025 FSC-klagomål.docx", "A 35344-2025")</f>
        <v/>
      </c>
      <c r="W188">
        <f>HYPERLINK("https://klasma.github.io/Logging_2303/klagomålsmail/A 35344-2025 FSC-klagomål mail.docx", "A 35344-2025")</f>
        <v/>
      </c>
      <c r="X188">
        <f>HYPERLINK("https://klasma.github.io/Logging_2303/tillsyn/A 35344-2025 tillsynsbegäran.docx", "A 35344-2025")</f>
        <v/>
      </c>
      <c r="Y188">
        <f>HYPERLINK("https://klasma.github.io/Logging_2303/tillsynsmail/A 35344-2025 tillsynsbegäran mail.docx", "A 35344-2025")</f>
        <v/>
      </c>
    </row>
    <row r="189" ht="15" customHeight="1">
      <c r="A189" t="inlineStr">
        <is>
          <t>A 36756-2023</t>
        </is>
      </c>
      <c r="B189" s="1" t="n">
        <v>45153</v>
      </c>
      <c r="C189" s="1" t="n">
        <v>45914</v>
      </c>
      <c r="D189" t="inlineStr">
        <is>
          <t>JÄMTLANDS LÄN</t>
        </is>
      </c>
      <c r="E189" t="inlineStr">
        <is>
          <t>RAGUNDA</t>
        </is>
      </c>
      <c r="G189" t="n">
        <v>3.5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HYPERLINK("https://klasma.github.io/Logging_2303/artfynd/A 36756-2023 artfynd.xlsx", "A 36756-2023")</f>
        <v/>
      </c>
      <c r="T189">
        <f>HYPERLINK("https://klasma.github.io/Logging_2303/kartor/A 36756-2023 karta.png", "A 36756-2023")</f>
        <v/>
      </c>
      <c r="V189">
        <f>HYPERLINK("https://klasma.github.io/Logging_2303/klagomål/A 36756-2023 FSC-klagomål.docx", "A 36756-2023")</f>
        <v/>
      </c>
      <c r="W189">
        <f>HYPERLINK("https://klasma.github.io/Logging_2303/klagomålsmail/A 36756-2023 FSC-klagomål mail.docx", "A 36756-2023")</f>
        <v/>
      </c>
      <c r="X189">
        <f>HYPERLINK("https://klasma.github.io/Logging_2303/tillsyn/A 36756-2023 tillsynsbegäran.docx", "A 36756-2023")</f>
        <v/>
      </c>
      <c r="Y189">
        <f>HYPERLINK("https://klasma.github.io/Logging_2303/tillsynsmail/A 36756-2023 tillsynsbegäran mail.docx", "A 36756-2023")</f>
        <v/>
      </c>
      <c r="Z189">
        <f>HYPERLINK("https://klasma.github.io/Logging_2303/fåglar/A 36756-2023 prioriterade fågelarter.docx", "A 36756-2023")</f>
        <v/>
      </c>
    </row>
    <row r="190" ht="15" customHeight="1">
      <c r="A190" t="inlineStr">
        <is>
          <t>A 11086-2025</t>
        </is>
      </c>
      <c r="B190" s="1" t="n">
        <v>45723.57329861111</v>
      </c>
      <c r="C190" s="1" t="n">
        <v>45914</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45914</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51916-2021</t>
        </is>
      </c>
      <c r="B192" s="1" t="n">
        <v>44462</v>
      </c>
      <c r="C192" s="1" t="n">
        <v>45914</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45914</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45914</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45914</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45914</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45914</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45914</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16316-2025</t>
        </is>
      </c>
      <c r="B199" s="1" t="n">
        <v>45751.34795138889</v>
      </c>
      <c r="C199" s="1" t="n">
        <v>45914</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58846-2024</t>
        </is>
      </c>
      <c r="B200" s="1" t="n">
        <v>45636.3863425926</v>
      </c>
      <c r="C200" s="1" t="n">
        <v>45914</v>
      </c>
      <c r="D200" t="inlineStr">
        <is>
          <t>JÄMTLANDS LÄN</t>
        </is>
      </c>
      <c r="E200" t="inlineStr">
        <is>
          <t>RAGUNDA</t>
        </is>
      </c>
      <c r="F200" t="inlineStr">
        <is>
          <t>SCA</t>
        </is>
      </c>
      <c r="G200" t="n">
        <v>1.5</v>
      </c>
      <c r="H200" t="n">
        <v>0</v>
      </c>
      <c r="I200" t="n">
        <v>0</v>
      </c>
      <c r="J200" t="n">
        <v>0</v>
      </c>
      <c r="K200" t="n">
        <v>1</v>
      </c>
      <c r="L200" t="n">
        <v>0</v>
      </c>
      <c r="M200" t="n">
        <v>0</v>
      </c>
      <c r="N200" t="n">
        <v>0</v>
      </c>
      <c r="O200" t="n">
        <v>1</v>
      </c>
      <c r="P200" t="n">
        <v>1</v>
      </c>
      <c r="Q200" t="n">
        <v>1</v>
      </c>
      <c r="R200" s="2" t="inlineStr">
        <is>
          <t>Rynkskinn</t>
        </is>
      </c>
      <c r="S200">
        <f>HYPERLINK("https://klasma.github.io/Logging_2303/artfynd/A 58846-2024 artfynd.xlsx", "A 58846-2024")</f>
        <v/>
      </c>
      <c r="T200">
        <f>HYPERLINK("https://klasma.github.io/Logging_2303/kartor/A 58846-2024 karta.png", "A 58846-2024")</f>
        <v/>
      </c>
      <c r="V200">
        <f>HYPERLINK("https://klasma.github.io/Logging_2303/klagomål/A 58846-2024 FSC-klagomål.docx", "A 58846-2024")</f>
        <v/>
      </c>
      <c r="W200">
        <f>HYPERLINK("https://klasma.github.io/Logging_2303/klagomålsmail/A 58846-2024 FSC-klagomål mail.docx", "A 58846-2024")</f>
        <v/>
      </c>
      <c r="X200">
        <f>HYPERLINK("https://klasma.github.io/Logging_2303/tillsyn/A 58846-2024 tillsynsbegäran.docx", "A 58846-2024")</f>
        <v/>
      </c>
      <c r="Y200">
        <f>HYPERLINK("https://klasma.github.io/Logging_2303/tillsynsmail/A 58846-2024 tillsynsbegäran mail.docx", "A 58846-2024")</f>
        <v/>
      </c>
    </row>
    <row r="201" ht="15" customHeight="1">
      <c r="A201" t="inlineStr">
        <is>
          <t>A 26322-2024</t>
        </is>
      </c>
      <c r="B201" s="1" t="n">
        <v>45468.97461805555</v>
      </c>
      <c r="C201" s="1" t="n">
        <v>45914</v>
      </c>
      <c r="D201" t="inlineStr">
        <is>
          <t>JÄMTLANDS LÄN</t>
        </is>
      </c>
      <c r="E201" t="inlineStr">
        <is>
          <t>RAGUNDA</t>
        </is>
      </c>
      <c r="F201" t="inlineStr">
        <is>
          <t>SCA</t>
        </is>
      </c>
      <c r="G201" t="n">
        <v>9.6</v>
      </c>
      <c r="H201" t="n">
        <v>0</v>
      </c>
      <c r="I201" t="n">
        <v>0</v>
      </c>
      <c r="J201" t="n">
        <v>1</v>
      </c>
      <c r="K201" t="n">
        <v>0</v>
      </c>
      <c r="L201" t="n">
        <v>0</v>
      </c>
      <c r="M201" t="n">
        <v>0</v>
      </c>
      <c r="N201" t="n">
        <v>0</v>
      </c>
      <c r="O201" t="n">
        <v>1</v>
      </c>
      <c r="P201" t="n">
        <v>0</v>
      </c>
      <c r="Q201" t="n">
        <v>1</v>
      </c>
      <c r="R201" s="2" t="inlineStr">
        <is>
          <t>Rosenticka</t>
        </is>
      </c>
      <c r="S201">
        <f>HYPERLINK("https://klasma.github.io/Logging_2303/artfynd/A 26322-2024 artfynd.xlsx", "A 26322-2024")</f>
        <v/>
      </c>
      <c r="T201">
        <f>HYPERLINK("https://klasma.github.io/Logging_2303/kartor/A 26322-2024 karta.png", "A 26322-2024")</f>
        <v/>
      </c>
      <c r="U201">
        <f>HYPERLINK("https://klasma.github.io/Logging_2303/knärot/A 26322-2024 karta knärot.png", "A 26322-2024")</f>
        <v/>
      </c>
      <c r="V201">
        <f>HYPERLINK("https://klasma.github.io/Logging_2303/klagomål/A 26322-2024 FSC-klagomål.docx", "A 26322-2024")</f>
        <v/>
      </c>
      <c r="W201">
        <f>HYPERLINK("https://klasma.github.io/Logging_2303/klagomålsmail/A 26322-2024 FSC-klagomål mail.docx", "A 26322-2024")</f>
        <v/>
      </c>
      <c r="X201">
        <f>HYPERLINK("https://klasma.github.io/Logging_2303/tillsyn/A 26322-2024 tillsynsbegäran.docx", "A 26322-2024")</f>
        <v/>
      </c>
      <c r="Y201">
        <f>HYPERLINK("https://klasma.github.io/Logging_2303/tillsynsmail/A 26322-2024 tillsynsbegäran mail.docx", "A 26322-2024")</f>
        <v/>
      </c>
    </row>
    <row r="202" ht="15" customHeight="1">
      <c r="A202" t="inlineStr">
        <is>
          <t>A 1057-2024</t>
        </is>
      </c>
      <c r="B202" s="1" t="n">
        <v>45301</v>
      </c>
      <c r="C202" s="1" t="n">
        <v>45914</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45914</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19751-2025</t>
        </is>
      </c>
      <c r="B204" s="1" t="n">
        <v>45771.3859837963</v>
      </c>
      <c r="C204" s="1" t="n">
        <v>45914</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21212-2025</t>
        </is>
      </c>
      <c r="B205" s="1" t="n">
        <v>45779.48993055556</v>
      </c>
      <c r="C205" s="1" t="n">
        <v>45914</v>
      </c>
      <c r="D205" t="inlineStr">
        <is>
          <t>JÄMTLANDS LÄN</t>
        </is>
      </c>
      <c r="E205" t="inlineStr">
        <is>
          <t>RAGUNDA</t>
        </is>
      </c>
      <c r="F205" t="inlineStr">
        <is>
          <t>SCA</t>
        </is>
      </c>
      <c r="G205" t="n">
        <v>2.6</v>
      </c>
      <c r="H205" t="n">
        <v>0</v>
      </c>
      <c r="I205" t="n">
        <v>0</v>
      </c>
      <c r="J205" t="n">
        <v>1</v>
      </c>
      <c r="K205" t="n">
        <v>0</v>
      </c>
      <c r="L205" t="n">
        <v>0</v>
      </c>
      <c r="M205" t="n">
        <v>0</v>
      </c>
      <c r="N205" t="n">
        <v>0</v>
      </c>
      <c r="O205" t="n">
        <v>1</v>
      </c>
      <c r="P205" t="n">
        <v>0</v>
      </c>
      <c r="Q205" t="n">
        <v>1</v>
      </c>
      <c r="R205" s="2" t="inlineStr">
        <is>
          <t>Garnlav</t>
        </is>
      </c>
      <c r="S205">
        <f>HYPERLINK("https://klasma.github.io/Logging_2303/artfynd/A 21212-2025 artfynd.xlsx", "A 21212-2025")</f>
        <v/>
      </c>
      <c r="T205">
        <f>HYPERLINK("https://klasma.github.io/Logging_2303/kartor/A 21212-2025 karta.png", "A 21212-2025")</f>
        <v/>
      </c>
      <c r="V205">
        <f>HYPERLINK("https://klasma.github.io/Logging_2303/klagomål/A 21212-2025 FSC-klagomål.docx", "A 21212-2025")</f>
        <v/>
      </c>
      <c r="W205">
        <f>HYPERLINK("https://klasma.github.io/Logging_2303/klagomålsmail/A 21212-2025 FSC-klagomål mail.docx", "A 21212-2025")</f>
        <v/>
      </c>
      <c r="X205">
        <f>HYPERLINK("https://klasma.github.io/Logging_2303/tillsyn/A 21212-2025 tillsynsbegäran.docx", "A 21212-2025")</f>
        <v/>
      </c>
      <c r="Y205">
        <f>HYPERLINK("https://klasma.github.io/Logging_2303/tillsynsmail/A 21212-2025 tillsynsbegäran mail.docx", "A 21212-2025")</f>
        <v/>
      </c>
    </row>
    <row r="206" ht="15" customHeight="1">
      <c r="A206" t="inlineStr">
        <is>
          <t>A 59104-2023</t>
        </is>
      </c>
      <c r="B206" s="1" t="n">
        <v>45252</v>
      </c>
      <c r="C206" s="1" t="n">
        <v>45914</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36224-2023</t>
        </is>
      </c>
      <c r="B207" s="1" t="n">
        <v>45149</v>
      </c>
      <c r="C207" s="1" t="n">
        <v>45914</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17340-2023</t>
        </is>
      </c>
      <c r="B208" s="1" t="n">
        <v>45033</v>
      </c>
      <c r="C208" s="1" t="n">
        <v>45914</v>
      </c>
      <c r="D208" t="inlineStr">
        <is>
          <t>JÄMTLANDS LÄN</t>
        </is>
      </c>
      <c r="E208" t="inlineStr">
        <is>
          <t>RAGUNDA</t>
        </is>
      </c>
      <c r="G208" t="n">
        <v>1.6</v>
      </c>
      <c r="H208" t="n">
        <v>0</v>
      </c>
      <c r="I208" t="n">
        <v>0</v>
      </c>
      <c r="J208" t="n">
        <v>1</v>
      </c>
      <c r="K208" t="n">
        <v>0</v>
      </c>
      <c r="L208" t="n">
        <v>0</v>
      </c>
      <c r="M208" t="n">
        <v>0</v>
      </c>
      <c r="N208" t="n">
        <v>0</v>
      </c>
      <c r="O208" t="n">
        <v>1</v>
      </c>
      <c r="P208" t="n">
        <v>0</v>
      </c>
      <c r="Q208" t="n">
        <v>1</v>
      </c>
      <c r="R208" s="2" t="inlineStr">
        <is>
          <t>Vedtrappmossa</t>
        </is>
      </c>
      <c r="S208">
        <f>HYPERLINK("https://klasma.github.io/Logging_2303/artfynd/A 17340-2023 artfynd.xlsx", "A 17340-2023")</f>
        <v/>
      </c>
      <c r="T208">
        <f>HYPERLINK("https://klasma.github.io/Logging_2303/kartor/A 17340-2023 karta.png", "A 17340-2023")</f>
        <v/>
      </c>
      <c r="U208">
        <f>HYPERLINK("https://klasma.github.io/Logging_2303/knärot/A 17340-2023 karta knärot.png", "A 17340-2023")</f>
        <v/>
      </c>
      <c r="V208">
        <f>HYPERLINK("https://klasma.github.io/Logging_2303/klagomål/A 17340-2023 FSC-klagomål.docx", "A 17340-2023")</f>
        <v/>
      </c>
      <c r="W208">
        <f>HYPERLINK("https://klasma.github.io/Logging_2303/klagomålsmail/A 17340-2023 FSC-klagomål mail.docx", "A 17340-2023")</f>
        <v/>
      </c>
      <c r="X208">
        <f>HYPERLINK("https://klasma.github.io/Logging_2303/tillsyn/A 17340-2023 tillsynsbegäran.docx", "A 17340-2023")</f>
        <v/>
      </c>
      <c r="Y208">
        <f>HYPERLINK("https://klasma.github.io/Logging_2303/tillsynsmail/A 17340-2023 tillsynsbegäran mail.docx", "A 17340-2023")</f>
        <v/>
      </c>
    </row>
    <row r="209" ht="15" customHeight="1">
      <c r="A209" t="inlineStr">
        <is>
          <t>A 16724-2025</t>
        </is>
      </c>
      <c r="B209" s="1" t="n">
        <v>45754.51064814815</v>
      </c>
      <c r="C209" s="1" t="n">
        <v>45914</v>
      </c>
      <c r="D209" t="inlineStr">
        <is>
          <t>JÄMTLANDS LÄN</t>
        </is>
      </c>
      <c r="E209" t="inlineStr">
        <is>
          <t>RAGUNDA</t>
        </is>
      </c>
      <c r="G209" t="n">
        <v>3.5</v>
      </c>
      <c r="H209" t="n">
        <v>0</v>
      </c>
      <c r="I209" t="n">
        <v>0</v>
      </c>
      <c r="J209" t="n">
        <v>1</v>
      </c>
      <c r="K209" t="n">
        <v>0</v>
      </c>
      <c r="L209" t="n">
        <v>0</v>
      </c>
      <c r="M209" t="n">
        <v>0</v>
      </c>
      <c r="N209" t="n">
        <v>0</v>
      </c>
      <c r="O209" t="n">
        <v>1</v>
      </c>
      <c r="P209" t="n">
        <v>0</v>
      </c>
      <c r="Q209" t="n">
        <v>1</v>
      </c>
      <c r="R209" s="2" t="inlineStr">
        <is>
          <t>Kolflarnlav</t>
        </is>
      </c>
      <c r="S209">
        <f>HYPERLINK("https://klasma.github.io/Logging_2303/artfynd/A 16724-2025 artfynd.xlsx", "A 16724-2025")</f>
        <v/>
      </c>
      <c r="T209">
        <f>HYPERLINK("https://klasma.github.io/Logging_2303/kartor/A 16724-2025 karta.png", "A 16724-2025")</f>
        <v/>
      </c>
      <c r="V209">
        <f>HYPERLINK("https://klasma.github.io/Logging_2303/klagomål/A 16724-2025 FSC-klagomål.docx", "A 16724-2025")</f>
        <v/>
      </c>
      <c r="W209">
        <f>HYPERLINK("https://klasma.github.io/Logging_2303/klagomålsmail/A 16724-2025 FSC-klagomål mail.docx", "A 16724-2025")</f>
        <v/>
      </c>
      <c r="X209">
        <f>HYPERLINK("https://klasma.github.io/Logging_2303/tillsyn/A 16724-2025 tillsynsbegäran.docx", "A 16724-2025")</f>
        <v/>
      </c>
      <c r="Y209">
        <f>HYPERLINK("https://klasma.github.io/Logging_2303/tillsynsmail/A 16724-2025 tillsynsbegäran mail.docx", "A 16724-2025")</f>
        <v/>
      </c>
    </row>
    <row r="210" ht="15" customHeight="1">
      <c r="A210" t="inlineStr">
        <is>
          <t>A 23930-2024</t>
        </is>
      </c>
      <c r="B210" s="1" t="n">
        <v>45455.96184027778</v>
      </c>
      <c r="C210" s="1" t="n">
        <v>45914</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62072-2023</t>
        </is>
      </c>
      <c r="B211" s="1" t="n">
        <v>45266</v>
      </c>
      <c r="C211" s="1" t="n">
        <v>45914</v>
      </c>
      <c r="D211" t="inlineStr">
        <is>
          <t>JÄMTLANDS LÄN</t>
        </is>
      </c>
      <c r="E211" t="inlineStr">
        <is>
          <t>RAGUNDA</t>
        </is>
      </c>
      <c r="G211" t="n">
        <v>4.5</v>
      </c>
      <c r="H211" t="n">
        <v>1</v>
      </c>
      <c r="I211" t="n">
        <v>0</v>
      </c>
      <c r="J211" t="n">
        <v>0</v>
      </c>
      <c r="K211" t="n">
        <v>1</v>
      </c>
      <c r="L211" t="n">
        <v>0</v>
      </c>
      <c r="M211" t="n">
        <v>0</v>
      </c>
      <c r="N211" t="n">
        <v>0</v>
      </c>
      <c r="O211" t="n">
        <v>1</v>
      </c>
      <c r="P211" t="n">
        <v>1</v>
      </c>
      <c r="Q211" t="n">
        <v>1</v>
      </c>
      <c r="R211" s="2" t="inlineStr">
        <is>
          <t>Lappuggla</t>
        </is>
      </c>
      <c r="S211">
        <f>HYPERLINK("https://klasma.github.io/Logging_2303/artfynd/A 62072-2023 artfynd.xlsx", "A 62072-2023")</f>
        <v/>
      </c>
      <c r="T211">
        <f>HYPERLINK("https://klasma.github.io/Logging_2303/kartor/A 62072-2023 karta.png", "A 62072-2023")</f>
        <v/>
      </c>
      <c r="V211">
        <f>HYPERLINK("https://klasma.github.io/Logging_2303/klagomål/A 62072-2023 FSC-klagomål.docx", "A 62072-2023")</f>
        <v/>
      </c>
      <c r="W211">
        <f>HYPERLINK("https://klasma.github.io/Logging_2303/klagomålsmail/A 62072-2023 FSC-klagomål mail.docx", "A 62072-2023")</f>
        <v/>
      </c>
      <c r="X211">
        <f>HYPERLINK("https://klasma.github.io/Logging_2303/tillsyn/A 62072-2023 tillsynsbegäran.docx", "A 62072-2023")</f>
        <v/>
      </c>
      <c r="Y211">
        <f>HYPERLINK("https://klasma.github.io/Logging_2303/tillsynsmail/A 62072-2023 tillsynsbegäran mail.docx", "A 62072-2023")</f>
        <v/>
      </c>
      <c r="Z211">
        <f>HYPERLINK("https://klasma.github.io/Logging_2303/fåglar/A 62072-2023 prioriterade fågelarter.docx", "A 62072-2023")</f>
        <v/>
      </c>
    </row>
    <row r="212" ht="15" customHeight="1">
      <c r="A212" t="inlineStr">
        <is>
          <t>A 42899-2022</t>
        </is>
      </c>
      <c r="B212" s="1" t="n">
        <v>44832</v>
      </c>
      <c r="C212" s="1" t="n">
        <v>45914</v>
      </c>
      <c r="D212" t="inlineStr">
        <is>
          <t>JÄMTLANDS LÄN</t>
        </is>
      </c>
      <c r="E212" t="inlineStr">
        <is>
          <t>RAGUNDA</t>
        </is>
      </c>
      <c r="F212" t="inlineStr">
        <is>
          <t>SCA</t>
        </is>
      </c>
      <c r="G212" t="n">
        <v>2.3</v>
      </c>
      <c r="H212" t="n">
        <v>0</v>
      </c>
      <c r="I212" t="n">
        <v>0</v>
      </c>
      <c r="J212" t="n">
        <v>1</v>
      </c>
      <c r="K212" t="n">
        <v>0</v>
      </c>
      <c r="L212" t="n">
        <v>0</v>
      </c>
      <c r="M212" t="n">
        <v>0</v>
      </c>
      <c r="N212" t="n">
        <v>0</v>
      </c>
      <c r="O212" t="n">
        <v>1</v>
      </c>
      <c r="P212" t="n">
        <v>0</v>
      </c>
      <c r="Q212" t="n">
        <v>1</v>
      </c>
      <c r="R212" s="2" t="inlineStr">
        <is>
          <t>Ullticka</t>
        </is>
      </c>
      <c r="S212">
        <f>HYPERLINK("https://klasma.github.io/Logging_2303/artfynd/A 42899-2022 artfynd.xlsx", "A 42899-2022")</f>
        <v/>
      </c>
      <c r="T212">
        <f>HYPERLINK("https://klasma.github.io/Logging_2303/kartor/A 42899-2022 karta.png", "A 42899-2022")</f>
        <v/>
      </c>
      <c r="V212">
        <f>HYPERLINK("https://klasma.github.io/Logging_2303/klagomål/A 42899-2022 FSC-klagomål.docx", "A 42899-2022")</f>
        <v/>
      </c>
      <c r="W212">
        <f>HYPERLINK("https://klasma.github.io/Logging_2303/klagomålsmail/A 42899-2022 FSC-klagomål mail.docx", "A 42899-2022")</f>
        <v/>
      </c>
      <c r="X212">
        <f>HYPERLINK("https://klasma.github.io/Logging_2303/tillsyn/A 42899-2022 tillsynsbegäran.docx", "A 42899-2022")</f>
        <v/>
      </c>
      <c r="Y212">
        <f>HYPERLINK("https://klasma.github.io/Logging_2303/tillsynsmail/A 42899-2022 tillsynsbegäran mail.docx", "A 42899-2022")</f>
        <v/>
      </c>
    </row>
    <row r="213" ht="15" customHeight="1">
      <c r="A213" t="inlineStr">
        <is>
          <t>A 6703-2024</t>
        </is>
      </c>
      <c r="B213" s="1" t="n">
        <v>45341</v>
      </c>
      <c r="C213" s="1" t="n">
        <v>45914</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Vitgrynig nållav</t>
        </is>
      </c>
      <c r="S213">
        <f>HYPERLINK("https://klasma.github.io/Logging_2303/artfynd/A 6703-2024 artfynd.xlsx", "A 6703-2024")</f>
        <v/>
      </c>
      <c r="T213">
        <f>HYPERLINK("https://klasma.github.io/Logging_2303/kartor/A 6703-2024 karta.png", "A 6703-2024")</f>
        <v/>
      </c>
      <c r="V213">
        <f>HYPERLINK("https://klasma.github.io/Logging_2303/klagomål/A 6703-2024 FSC-klagomål.docx", "A 6703-2024")</f>
        <v/>
      </c>
      <c r="W213">
        <f>HYPERLINK("https://klasma.github.io/Logging_2303/klagomålsmail/A 6703-2024 FSC-klagomål mail.docx", "A 6703-2024")</f>
        <v/>
      </c>
      <c r="X213">
        <f>HYPERLINK("https://klasma.github.io/Logging_2303/tillsyn/A 6703-2024 tillsynsbegäran.docx", "A 6703-2024")</f>
        <v/>
      </c>
      <c r="Y213">
        <f>HYPERLINK("https://klasma.github.io/Logging_2303/tillsynsmail/A 6703-2024 tillsynsbegäran mail.docx", "A 6703-2024")</f>
        <v/>
      </c>
    </row>
    <row r="214" ht="15" customHeight="1">
      <c r="A214" t="inlineStr">
        <is>
          <t>A 25694-2023</t>
        </is>
      </c>
      <c r="B214" s="1" t="n">
        <v>45089</v>
      </c>
      <c r="C214" s="1" t="n">
        <v>45914</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24443-2024</t>
        </is>
      </c>
      <c r="B215" s="1" t="n">
        <v>45457.9640625</v>
      </c>
      <c r="C215" s="1" t="n">
        <v>45914</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49770-2024</t>
        </is>
      </c>
      <c r="B216" s="1" t="n">
        <v>45597.34461805555</v>
      </c>
      <c r="C216" s="1" t="n">
        <v>45914</v>
      </c>
      <c r="D216" t="inlineStr">
        <is>
          <t>JÄMTLANDS LÄN</t>
        </is>
      </c>
      <c r="E216" t="inlineStr">
        <is>
          <t>RAGUNDA</t>
        </is>
      </c>
      <c r="F216" t="inlineStr">
        <is>
          <t>Naturvårdsverket</t>
        </is>
      </c>
      <c r="G216" t="n">
        <v>8.9</v>
      </c>
      <c r="H216" t="n">
        <v>1</v>
      </c>
      <c r="I216" t="n">
        <v>0</v>
      </c>
      <c r="J216" t="n">
        <v>0</v>
      </c>
      <c r="K216" t="n">
        <v>1</v>
      </c>
      <c r="L216" t="n">
        <v>0</v>
      </c>
      <c r="M216" t="n">
        <v>0</v>
      </c>
      <c r="N216" t="n">
        <v>0</v>
      </c>
      <c r="O216" t="n">
        <v>1</v>
      </c>
      <c r="P216" t="n">
        <v>1</v>
      </c>
      <c r="Q216" t="n">
        <v>1</v>
      </c>
      <c r="R216" s="2" t="inlineStr">
        <is>
          <t>Doftticka</t>
        </is>
      </c>
      <c r="S216">
        <f>HYPERLINK("https://klasma.github.io/Logging_2303/artfynd/A 49770-2024 artfynd.xlsx", "A 49770-2024")</f>
        <v/>
      </c>
      <c r="T216">
        <f>HYPERLINK("https://klasma.github.io/Logging_2303/kartor/A 49770-2024 karta.png", "A 49770-2024")</f>
        <v/>
      </c>
      <c r="V216">
        <f>HYPERLINK("https://klasma.github.io/Logging_2303/klagomål/A 49770-2024 FSC-klagomål.docx", "A 49770-2024")</f>
        <v/>
      </c>
      <c r="W216">
        <f>HYPERLINK("https://klasma.github.io/Logging_2303/klagomålsmail/A 49770-2024 FSC-klagomål mail.docx", "A 49770-2024")</f>
        <v/>
      </c>
      <c r="X216">
        <f>HYPERLINK("https://klasma.github.io/Logging_2303/tillsyn/A 49770-2024 tillsynsbegäran.docx", "A 49770-2024")</f>
        <v/>
      </c>
      <c r="Y216">
        <f>HYPERLINK("https://klasma.github.io/Logging_2303/tillsynsmail/A 49770-2024 tillsynsbegäran mail.docx", "A 49770-2024")</f>
        <v/>
      </c>
    </row>
    <row r="217" ht="15" customHeight="1">
      <c r="A217" t="inlineStr">
        <is>
          <t>A 36757-2023</t>
        </is>
      </c>
      <c r="B217" s="1" t="n">
        <v>45153</v>
      </c>
      <c r="C217" s="1" t="n">
        <v>45914</v>
      </c>
      <c r="D217" t="inlineStr">
        <is>
          <t>JÄMTLANDS LÄN</t>
        </is>
      </c>
      <c r="E217" t="inlineStr">
        <is>
          <t>RAGUNDA</t>
        </is>
      </c>
      <c r="G217" t="n">
        <v>0.7</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36757-2023 artfynd.xlsx", "A 36757-2023")</f>
        <v/>
      </c>
      <c r="T217">
        <f>HYPERLINK("https://klasma.github.io/Logging_2303/kartor/A 36757-2023 karta.png", "A 36757-2023")</f>
        <v/>
      </c>
      <c r="V217">
        <f>HYPERLINK("https://klasma.github.io/Logging_2303/klagomål/A 36757-2023 FSC-klagomål.docx", "A 36757-2023")</f>
        <v/>
      </c>
      <c r="W217">
        <f>HYPERLINK("https://klasma.github.io/Logging_2303/klagomålsmail/A 36757-2023 FSC-klagomål mail.docx", "A 36757-2023")</f>
        <v/>
      </c>
      <c r="X217">
        <f>HYPERLINK("https://klasma.github.io/Logging_2303/tillsyn/A 36757-2023 tillsynsbegäran.docx", "A 36757-2023")</f>
        <v/>
      </c>
      <c r="Y217">
        <f>HYPERLINK("https://klasma.github.io/Logging_2303/tillsynsmail/A 36757-2023 tillsynsbegäran mail.docx", "A 36757-2023")</f>
        <v/>
      </c>
      <c r="Z217">
        <f>HYPERLINK("https://klasma.github.io/Logging_2303/fåglar/A 36757-2023 prioriterade fågelarter.docx", "A 36757-2023")</f>
        <v/>
      </c>
    </row>
    <row r="218" ht="15" customHeight="1">
      <c r="A218" t="inlineStr">
        <is>
          <t>A 48429-2023</t>
        </is>
      </c>
      <c r="B218" s="1" t="n">
        <v>45205</v>
      </c>
      <c r="C218" s="1" t="n">
        <v>45914</v>
      </c>
      <c r="D218" t="inlineStr">
        <is>
          <t>JÄMTLANDS LÄN</t>
        </is>
      </c>
      <c r="E218" t="inlineStr">
        <is>
          <t>RAGUNDA</t>
        </is>
      </c>
      <c r="F218" t="inlineStr">
        <is>
          <t>SCA</t>
        </is>
      </c>
      <c r="G218" t="n">
        <v>1.8</v>
      </c>
      <c r="H218" t="n">
        <v>0</v>
      </c>
      <c r="I218" t="n">
        <v>1</v>
      </c>
      <c r="J218" t="n">
        <v>0</v>
      </c>
      <c r="K218" t="n">
        <v>0</v>
      </c>
      <c r="L218" t="n">
        <v>0</v>
      </c>
      <c r="M218" t="n">
        <v>0</v>
      </c>
      <c r="N218" t="n">
        <v>0</v>
      </c>
      <c r="O218" t="n">
        <v>0</v>
      </c>
      <c r="P218" t="n">
        <v>0</v>
      </c>
      <c r="Q218" t="n">
        <v>1</v>
      </c>
      <c r="R218" s="2" t="inlineStr">
        <is>
          <t>Dropptaggsvamp</t>
        </is>
      </c>
      <c r="S218">
        <f>HYPERLINK("https://klasma.github.io/Logging_2303/artfynd/A 48429-2023 artfynd.xlsx", "A 48429-2023")</f>
        <v/>
      </c>
      <c r="T218">
        <f>HYPERLINK("https://klasma.github.io/Logging_2303/kartor/A 48429-2023 karta.png", "A 48429-2023")</f>
        <v/>
      </c>
      <c r="V218">
        <f>HYPERLINK("https://klasma.github.io/Logging_2303/klagomål/A 48429-2023 FSC-klagomål.docx", "A 48429-2023")</f>
        <v/>
      </c>
      <c r="W218">
        <f>HYPERLINK("https://klasma.github.io/Logging_2303/klagomålsmail/A 48429-2023 FSC-klagomål mail.docx", "A 48429-2023")</f>
        <v/>
      </c>
      <c r="X218">
        <f>HYPERLINK("https://klasma.github.io/Logging_2303/tillsyn/A 48429-2023 tillsynsbegäran.docx", "A 48429-2023")</f>
        <v/>
      </c>
      <c r="Y218">
        <f>HYPERLINK("https://klasma.github.io/Logging_2303/tillsynsmail/A 48429-2023 tillsynsbegäran mail.docx", "A 48429-2023")</f>
        <v/>
      </c>
    </row>
    <row r="219" ht="15" customHeight="1">
      <c r="A219" t="inlineStr">
        <is>
          <t>A 43404-2023</t>
        </is>
      </c>
      <c r="B219" s="1" t="n">
        <v>45183</v>
      </c>
      <c r="C219" s="1" t="n">
        <v>45914</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11040-2023</t>
        </is>
      </c>
      <c r="B220" s="1" t="n">
        <v>44991</v>
      </c>
      <c r="C220" s="1" t="n">
        <v>45914</v>
      </c>
      <c r="D220" t="inlineStr">
        <is>
          <t>JÄMTLANDS LÄN</t>
        </is>
      </c>
      <c r="E220" t="inlineStr">
        <is>
          <t>RAGUNDA</t>
        </is>
      </c>
      <c r="F220" t="inlineStr">
        <is>
          <t>SCA</t>
        </is>
      </c>
      <c r="G220" t="n">
        <v>10.2</v>
      </c>
      <c r="H220" t="n">
        <v>0</v>
      </c>
      <c r="I220" t="n">
        <v>0</v>
      </c>
      <c r="J220" t="n">
        <v>1</v>
      </c>
      <c r="K220" t="n">
        <v>0</v>
      </c>
      <c r="L220" t="n">
        <v>0</v>
      </c>
      <c r="M220" t="n">
        <v>0</v>
      </c>
      <c r="N220" t="n">
        <v>0</v>
      </c>
      <c r="O220" t="n">
        <v>1</v>
      </c>
      <c r="P220" t="n">
        <v>0</v>
      </c>
      <c r="Q220" t="n">
        <v>1</v>
      </c>
      <c r="R220" s="2" t="inlineStr">
        <is>
          <t>Lunglav</t>
        </is>
      </c>
      <c r="S220">
        <f>HYPERLINK("https://klasma.github.io/Logging_2303/artfynd/A 11040-2023 artfynd.xlsx", "A 11040-2023")</f>
        <v/>
      </c>
      <c r="T220">
        <f>HYPERLINK("https://klasma.github.io/Logging_2303/kartor/A 11040-2023 karta.png", "A 11040-2023")</f>
        <v/>
      </c>
      <c r="V220">
        <f>HYPERLINK("https://klasma.github.io/Logging_2303/klagomål/A 11040-2023 FSC-klagomål.docx", "A 11040-2023")</f>
        <v/>
      </c>
      <c r="W220">
        <f>HYPERLINK("https://klasma.github.io/Logging_2303/klagomålsmail/A 11040-2023 FSC-klagomål mail.docx", "A 11040-2023")</f>
        <v/>
      </c>
      <c r="X220">
        <f>HYPERLINK("https://klasma.github.io/Logging_2303/tillsyn/A 11040-2023 tillsynsbegäran.docx", "A 11040-2023")</f>
        <v/>
      </c>
      <c r="Y220">
        <f>HYPERLINK("https://klasma.github.io/Logging_2303/tillsynsmail/A 11040-2023 tillsynsbegäran mail.docx", "A 11040-2023")</f>
        <v/>
      </c>
    </row>
    <row r="221" ht="15" customHeight="1">
      <c r="A221" t="inlineStr">
        <is>
          <t>A 27573-2025</t>
        </is>
      </c>
      <c r="B221" s="1" t="n">
        <v>45813.49061342593</v>
      </c>
      <c r="C221" s="1" t="n">
        <v>45914</v>
      </c>
      <c r="D221" t="inlineStr">
        <is>
          <t>JÄMTLANDS LÄN</t>
        </is>
      </c>
      <c r="E221" t="inlineStr">
        <is>
          <t>RAGUNDA</t>
        </is>
      </c>
      <c r="F221" t="inlineStr">
        <is>
          <t>SCA</t>
        </is>
      </c>
      <c r="G221" t="n">
        <v>14.9</v>
      </c>
      <c r="H221" t="n">
        <v>0</v>
      </c>
      <c r="I221" t="n">
        <v>1</v>
      </c>
      <c r="J221" t="n">
        <v>0</v>
      </c>
      <c r="K221" t="n">
        <v>0</v>
      </c>
      <c r="L221" t="n">
        <v>0</v>
      </c>
      <c r="M221" t="n">
        <v>0</v>
      </c>
      <c r="N221" t="n">
        <v>0</v>
      </c>
      <c r="O221" t="n">
        <v>0</v>
      </c>
      <c r="P221" t="n">
        <v>0</v>
      </c>
      <c r="Q221" t="n">
        <v>1</v>
      </c>
      <c r="R221" s="2" t="inlineStr">
        <is>
          <t>Skinnlav</t>
        </is>
      </c>
      <c r="S221">
        <f>HYPERLINK("https://klasma.github.io/Logging_2303/artfynd/A 27573-2025 artfynd.xlsx", "A 27573-2025")</f>
        <v/>
      </c>
      <c r="T221">
        <f>HYPERLINK("https://klasma.github.io/Logging_2303/kartor/A 27573-2025 karta.png", "A 27573-2025")</f>
        <v/>
      </c>
      <c r="U221">
        <f>HYPERLINK("https://klasma.github.io/Logging_2303/knärot/A 27573-2025 karta knärot.png", "A 27573-2025")</f>
        <v/>
      </c>
      <c r="V221">
        <f>HYPERLINK("https://klasma.github.io/Logging_2303/klagomål/A 27573-2025 FSC-klagomål.docx", "A 27573-2025")</f>
        <v/>
      </c>
      <c r="W221">
        <f>HYPERLINK("https://klasma.github.io/Logging_2303/klagomålsmail/A 27573-2025 FSC-klagomål mail.docx", "A 27573-2025")</f>
        <v/>
      </c>
      <c r="X221">
        <f>HYPERLINK("https://klasma.github.io/Logging_2303/tillsyn/A 27573-2025 tillsynsbegäran.docx", "A 27573-2025")</f>
        <v/>
      </c>
      <c r="Y221">
        <f>HYPERLINK("https://klasma.github.io/Logging_2303/tillsynsmail/A 27573-2025 tillsynsbegäran mail.docx", "A 27573-2025")</f>
        <v/>
      </c>
    </row>
    <row r="222" ht="15" customHeight="1">
      <c r="A222" t="inlineStr">
        <is>
          <t>A 49091-2022</t>
        </is>
      </c>
      <c r="B222" s="1" t="n">
        <v>44860</v>
      </c>
      <c r="C222" s="1" t="n">
        <v>45914</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61324-2024</t>
        </is>
      </c>
      <c r="B223" s="1" t="n">
        <v>45646.34438657408</v>
      </c>
      <c r="C223" s="1" t="n">
        <v>45914</v>
      </c>
      <c r="D223" t="inlineStr">
        <is>
          <t>JÄMTLANDS LÄN</t>
        </is>
      </c>
      <c r="E223" t="inlineStr">
        <is>
          <t>RAGUNDA</t>
        </is>
      </c>
      <c r="F223" t="inlineStr">
        <is>
          <t>SCA</t>
        </is>
      </c>
      <c r="G223" t="n">
        <v>11.2</v>
      </c>
      <c r="H223" t="n">
        <v>1</v>
      </c>
      <c r="I223" t="n">
        <v>0</v>
      </c>
      <c r="J223" t="n">
        <v>0</v>
      </c>
      <c r="K223" t="n">
        <v>0</v>
      </c>
      <c r="L223" t="n">
        <v>0</v>
      </c>
      <c r="M223" t="n">
        <v>0</v>
      </c>
      <c r="N223" t="n">
        <v>0</v>
      </c>
      <c r="O223" t="n">
        <v>0</v>
      </c>
      <c r="P223" t="n">
        <v>0</v>
      </c>
      <c r="Q223" t="n">
        <v>1</v>
      </c>
      <c r="R223" s="2" t="inlineStr">
        <is>
          <t>Trana</t>
        </is>
      </c>
      <c r="S223">
        <f>HYPERLINK("https://klasma.github.io/Logging_2303/artfynd/A 61324-2024 artfynd.xlsx", "A 61324-2024")</f>
        <v/>
      </c>
      <c r="T223">
        <f>HYPERLINK("https://klasma.github.io/Logging_2303/kartor/A 61324-2024 karta.png", "A 61324-2024")</f>
        <v/>
      </c>
      <c r="V223">
        <f>HYPERLINK("https://klasma.github.io/Logging_2303/klagomål/A 61324-2024 FSC-klagomål.docx", "A 61324-2024")</f>
        <v/>
      </c>
      <c r="W223">
        <f>HYPERLINK("https://klasma.github.io/Logging_2303/klagomålsmail/A 61324-2024 FSC-klagomål mail.docx", "A 61324-2024")</f>
        <v/>
      </c>
      <c r="X223">
        <f>HYPERLINK("https://klasma.github.io/Logging_2303/tillsyn/A 61324-2024 tillsynsbegäran.docx", "A 61324-2024")</f>
        <v/>
      </c>
      <c r="Y223">
        <f>HYPERLINK("https://klasma.github.io/Logging_2303/tillsynsmail/A 61324-2024 tillsynsbegäran mail.docx", "A 61324-2024")</f>
        <v/>
      </c>
      <c r="Z223">
        <f>HYPERLINK("https://klasma.github.io/Logging_2303/fåglar/A 61324-2024 prioriterade fågelarter.docx", "A 61324-2024")</f>
        <v/>
      </c>
    </row>
    <row r="224" ht="15" customHeight="1">
      <c r="A224" t="inlineStr">
        <is>
          <t>A 19387-2025</t>
        </is>
      </c>
      <c r="B224" s="1" t="n">
        <v>45769.65736111111</v>
      </c>
      <c r="C224" s="1" t="n">
        <v>45914</v>
      </c>
      <c r="D224" t="inlineStr">
        <is>
          <t>JÄMTLANDS LÄN</t>
        </is>
      </c>
      <c r="E224" t="inlineStr">
        <is>
          <t>RAGUNDA</t>
        </is>
      </c>
      <c r="F224" t="inlineStr">
        <is>
          <t>SCA</t>
        </is>
      </c>
      <c r="G224" t="n">
        <v>16.4</v>
      </c>
      <c r="H224" t="n">
        <v>1</v>
      </c>
      <c r="I224" t="n">
        <v>0</v>
      </c>
      <c r="J224" t="n">
        <v>0</v>
      </c>
      <c r="K224" t="n">
        <v>1</v>
      </c>
      <c r="L224" t="n">
        <v>0</v>
      </c>
      <c r="M224" t="n">
        <v>0</v>
      </c>
      <c r="N224" t="n">
        <v>0</v>
      </c>
      <c r="O224" t="n">
        <v>1</v>
      </c>
      <c r="P224" t="n">
        <v>1</v>
      </c>
      <c r="Q224" t="n">
        <v>1</v>
      </c>
      <c r="R224" s="2" t="inlineStr">
        <is>
          <t>Norna</t>
        </is>
      </c>
      <c r="S224">
        <f>HYPERLINK("https://klasma.github.io/Logging_2303/artfynd/A 19387-2025 artfynd.xlsx", "A 19387-2025")</f>
        <v/>
      </c>
      <c r="T224">
        <f>HYPERLINK("https://klasma.github.io/Logging_2303/kartor/A 19387-2025 karta.png", "A 19387-2025")</f>
        <v/>
      </c>
      <c r="V224">
        <f>HYPERLINK("https://klasma.github.io/Logging_2303/klagomål/A 19387-2025 FSC-klagomål.docx", "A 19387-2025")</f>
        <v/>
      </c>
      <c r="W224">
        <f>HYPERLINK("https://klasma.github.io/Logging_2303/klagomålsmail/A 19387-2025 FSC-klagomål mail.docx", "A 19387-2025")</f>
        <v/>
      </c>
      <c r="X224">
        <f>HYPERLINK("https://klasma.github.io/Logging_2303/tillsyn/A 19387-2025 tillsynsbegäran.docx", "A 19387-2025")</f>
        <v/>
      </c>
      <c r="Y224">
        <f>HYPERLINK("https://klasma.github.io/Logging_2303/tillsynsmail/A 19387-2025 tillsynsbegäran mail.docx", "A 19387-2025")</f>
        <v/>
      </c>
    </row>
    <row r="225" ht="15" customHeight="1">
      <c r="A225" t="inlineStr">
        <is>
          <t>A 30390-2025</t>
        </is>
      </c>
      <c r="B225" s="1" t="n">
        <v>45827.57371527778</v>
      </c>
      <c r="C225" s="1" t="n">
        <v>45914</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20575-2025</t>
        </is>
      </c>
      <c r="B226" s="1" t="n">
        <v>45775.67769675926</v>
      </c>
      <c r="C226" s="1" t="n">
        <v>45914</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22054-2025</t>
        </is>
      </c>
      <c r="B227" s="1" t="n">
        <v>45785.36525462963</v>
      </c>
      <c r="C227" s="1" t="n">
        <v>45914</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19728-2025</t>
        </is>
      </c>
      <c r="B228" s="1" t="n">
        <v>45771.36548611111</v>
      </c>
      <c r="C228" s="1" t="n">
        <v>45914</v>
      </c>
      <c r="D228" t="inlineStr">
        <is>
          <t>JÄMTLANDS LÄN</t>
        </is>
      </c>
      <c r="E228" t="inlineStr">
        <is>
          <t>RAGUNDA</t>
        </is>
      </c>
      <c r="F228" t="inlineStr">
        <is>
          <t>SCA</t>
        </is>
      </c>
      <c r="G228" t="n">
        <v>6.2</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19728-2025 artfynd.xlsx", "A 19728-2025")</f>
        <v/>
      </c>
      <c r="T228">
        <f>HYPERLINK("https://klasma.github.io/Logging_2303/kartor/A 19728-2025 karta.png", "A 19728-2025")</f>
        <v/>
      </c>
      <c r="V228">
        <f>HYPERLINK("https://klasma.github.io/Logging_2303/klagomål/A 19728-2025 FSC-klagomål.docx", "A 19728-2025")</f>
        <v/>
      </c>
      <c r="W228">
        <f>HYPERLINK("https://klasma.github.io/Logging_2303/klagomålsmail/A 19728-2025 FSC-klagomål mail.docx", "A 19728-2025")</f>
        <v/>
      </c>
      <c r="X228">
        <f>HYPERLINK("https://klasma.github.io/Logging_2303/tillsyn/A 19728-2025 tillsynsbegäran.docx", "A 19728-2025")</f>
        <v/>
      </c>
      <c r="Y228">
        <f>HYPERLINK("https://klasma.github.io/Logging_2303/tillsynsmail/A 19728-2025 tillsynsbegäran mail.docx", "A 19728-2025")</f>
        <v/>
      </c>
      <c r="Z228">
        <f>HYPERLINK("https://klasma.github.io/Logging_2303/fåglar/A 19728-2025 prioriterade fågelarter.docx", "A 19728-2025")</f>
        <v/>
      </c>
    </row>
    <row r="229" ht="15" customHeight="1">
      <c r="A229" t="inlineStr">
        <is>
          <t>A 32445-2025</t>
        </is>
      </c>
      <c r="B229" s="1" t="n">
        <v>45838.38627314815</v>
      </c>
      <c r="C229" s="1" t="n">
        <v>45914</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32445-2025 artfynd.xlsx", "A 32445-2025")</f>
        <v/>
      </c>
      <c r="T229">
        <f>HYPERLINK("https://klasma.github.io/Logging_2303/kartor/A 32445-2025 karta.png", "A 32445-2025")</f>
        <v/>
      </c>
      <c r="V229">
        <f>HYPERLINK("https://klasma.github.io/Logging_2303/klagomål/A 32445-2025 FSC-klagomål.docx", "A 32445-2025")</f>
        <v/>
      </c>
      <c r="W229">
        <f>HYPERLINK("https://klasma.github.io/Logging_2303/klagomålsmail/A 32445-2025 FSC-klagomål mail.docx", "A 32445-2025")</f>
        <v/>
      </c>
      <c r="X229">
        <f>HYPERLINK("https://klasma.github.io/Logging_2303/tillsyn/A 32445-2025 tillsynsbegäran.docx", "A 32445-2025")</f>
        <v/>
      </c>
      <c r="Y229">
        <f>HYPERLINK("https://klasma.github.io/Logging_2303/tillsynsmail/A 32445-2025 tillsynsbegäran mail.docx", "A 32445-2025")</f>
        <v/>
      </c>
      <c r="Z229">
        <f>HYPERLINK("https://klasma.github.io/Logging_2303/fåglar/A 32445-2025 prioriterade fågelarter.docx", "A 32445-2025")</f>
        <v/>
      </c>
    </row>
    <row r="230" ht="15" customHeight="1">
      <c r="A230" t="inlineStr">
        <is>
          <t>A 33432-2023</t>
        </is>
      </c>
      <c r="B230" s="1" t="n">
        <v>45128</v>
      </c>
      <c r="C230" s="1" t="n">
        <v>45914</v>
      </c>
      <c r="D230" t="inlineStr">
        <is>
          <t>JÄMTLANDS LÄN</t>
        </is>
      </c>
      <c r="E230" t="inlineStr">
        <is>
          <t>RAGUNDA</t>
        </is>
      </c>
      <c r="F230" t="inlineStr">
        <is>
          <t>SCA</t>
        </is>
      </c>
      <c r="G230" t="n">
        <v>10</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33432-2023 artfynd.xlsx", "A 33432-2023")</f>
        <v/>
      </c>
      <c r="T230">
        <f>HYPERLINK("https://klasma.github.io/Logging_2303/kartor/A 33432-2023 karta.png", "A 33432-2023")</f>
        <v/>
      </c>
      <c r="V230">
        <f>HYPERLINK("https://klasma.github.io/Logging_2303/klagomål/A 33432-2023 FSC-klagomål.docx", "A 33432-2023")</f>
        <v/>
      </c>
      <c r="W230">
        <f>HYPERLINK("https://klasma.github.io/Logging_2303/klagomålsmail/A 33432-2023 FSC-klagomål mail.docx", "A 33432-2023")</f>
        <v/>
      </c>
      <c r="X230">
        <f>HYPERLINK("https://klasma.github.io/Logging_2303/tillsyn/A 33432-2023 tillsynsbegäran.docx", "A 33432-2023")</f>
        <v/>
      </c>
      <c r="Y230">
        <f>HYPERLINK("https://klasma.github.io/Logging_2303/tillsynsmail/A 33432-2023 tillsynsbegäran mail.docx", "A 33432-2023")</f>
        <v/>
      </c>
      <c r="Z230">
        <f>HYPERLINK("https://klasma.github.io/Logging_2303/fåglar/A 33432-2023 prioriterade fågelarter.docx", "A 33432-2023")</f>
        <v/>
      </c>
    </row>
    <row r="231" ht="15" customHeight="1">
      <c r="A231" t="inlineStr">
        <is>
          <t>A 20774-2024</t>
        </is>
      </c>
      <c r="B231" s="1" t="n">
        <v>45436.94644675926</v>
      </c>
      <c r="C231" s="1" t="n">
        <v>45914</v>
      </c>
      <c r="D231" t="inlineStr">
        <is>
          <t>JÄMTLANDS LÄN</t>
        </is>
      </c>
      <c r="E231" t="inlineStr">
        <is>
          <t>RAGUNDA</t>
        </is>
      </c>
      <c r="F231" t="inlineStr">
        <is>
          <t>SCA</t>
        </is>
      </c>
      <c r="G231" t="n">
        <v>2.3</v>
      </c>
      <c r="H231" t="n">
        <v>0</v>
      </c>
      <c r="I231" t="n">
        <v>1</v>
      </c>
      <c r="J231" t="n">
        <v>0</v>
      </c>
      <c r="K231" t="n">
        <v>0</v>
      </c>
      <c r="L231" t="n">
        <v>0</v>
      </c>
      <c r="M231" t="n">
        <v>0</v>
      </c>
      <c r="N231" t="n">
        <v>0</v>
      </c>
      <c r="O231" t="n">
        <v>0</v>
      </c>
      <c r="P231" t="n">
        <v>0</v>
      </c>
      <c r="Q231" t="n">
        <v>1</v>
      </c>
      <c r="R231" s="2" t="inlineStr">
        <is>
          <t>Fjällig taggsvamp s.str.</t>
        </is>
      </c>
      <c r="S231">
        <f>HYPERLINK("https://klasma.github.io/Logging_2303/artfynd/A 20774-2024 artfynd.xlsx", "A 20774-2024")</f>
        <v/>
      </c>
      <c r="T231">
        <f>HYPERLINK("https://klasma.github.io/Logging_2303/kartor/A 20774-2024 karta.png", "A 20774-2024")</f>
        <v/>
      </c>
      <c r="V231">
        <f>HYPERLINK("https://klasma.github.io/Logging_2303/klagomål/A 20774-2024 FSC-klagomål.docx", "A 20774-2024")</f>
        <v/>
      </c>
      <c r="W231">
        <f>HYPERLINK("https://klasma.github.io/Logging_2303/klagomålsmail/A 20774-2024 FSC-klagomål mail.docx", "A 20774-2024")</f>
        <v/>
      </c>
      <c r="X231">
        <f>HYPERLINK("https://klasma.github.io/Logging_2303/tillsyn/A 20774-2024 tillsynsbegäran.docx", "A 20774-2024")</f>
        <v/>
      </c>
      <c r="Y231">
        <f>HYPERLINK("https://klasma.github.io/Logging_2303/tillsynsmail/A 20774-2024 tillsynsbegäran mail.docx", "A 20774-2024")</f>
        <v/>
      </c>
    </row>
    <row r="232" ht="15" customHeight="1">
      <c r="A232" t="inlineStr">
        <is>
          <t>A 36854-2023</t>
        </is>
      </c>
      <c r="B232" s="1" t="n">
        <v>45153</v>
      </c>
      <c r="C232" s="1" t="n">
        <v>45914</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45914</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35750-2023</t>
        </is>
      </c>
      <c r="B234" s="1" t="n">
        <v>45147</v>
      </c>
      <c r="C234" s="1" t="n">
        <v>45914</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52898-2020</t>
        </is>
      </c>
      <c r="B235" s="1" t="n">
        <v>44119</v>
      </c>
      <c r="C235" s="1" t="n">
        <v>45914</v>
      </c>
      <c r="D235" t="inlineStr">
        <is>
          <t>JÄMTLANDS LÄN</t>
        </is>
      </c>
      <c r="E235" t="inlineStr">
        <is>
          <t>RAGUNDA</t>
        </is>
      </c>
      <c r="G235" t="n">
        <v>1.4</v>
      </c>
      <c r="H235" t="n">
        <v>1</v>
      </c>
      <c r="I235" t="n">
        <v>0</v>
      </c>
      <c r="J235" t="n">
        <v>0</v>
      </c>
      <c r="K235" t="n">
        <v>0</v>
      </c>
      <c r="L235" t="n">
        <v>0</v>
      </c>
      <c r="M235" t="n">
        <v>0</v>
      </c>
      <c r="N235" t="n">
        <v>0</v>
      </c>
      <c r="O235" t="n">
        <v>0</v>
      </c>
      <c r="P235" t="n">
        <v>0</v>
      </c>
      <c r="Q235" t="n">
        <v>1</v>
      </c>
      <c r="R235" s="2" t="inlineStr">
        <is>
          <t>Revlummer</t>
        </is>
      </c>
      <c r="S235">
        <f>HYPERLINK("https://klasma.github.io/Logging_2303/artfynd/A 52898-2020 artfynd.xlsx", "A 52898-2020")</f>
        <v/>
      </c>
      <c r="T235">
        <f>HYPERLINK("https://klasma.github.io/Logging_2303/kartor/A 52898-2020 karta.png", "A 52898-2020")</f>
        <v/>
      </c>
      <c r="V235">
        <f>HYPERLINK("https://klasma.github.io/Logging_2303/klagomål/A 52898-2020 FSC-klagomål.docx", "A 52898-2020")</f>
        <v/>
      </c>
      <c r="W235">
        <f>HYPERLINK("https://klasma.github.io/Logging_2303/klagomålsmail/A 52898-2020 FSC-klagomål mail.docx", "A 52898-2020")</f>
        <v/>
      </c>
      <c r="X235">
        <f>HYPERLINK("https://klasma.github.io/Logging_2303/tillsyn/A 52898-2020 tillsynsbegäran.docx", "A 52898-2020")</f>
        <v/>
      </c>
      <c r="Y235">
        <f>HYPERLINK("https://klasma.github.io/Logging_2303/tillsynsmail/A 52898-2020 tillsynsbegäran mail.docx", "A 52898-2020")</f>
        <v/>
      </c>
    </row>
    <row r="236" ht="15" customHeight="1">
      <c r="A236" t="inlineStr">
        <is>
          <t>A 10884-2025</t>
        </is>
      </c>
      <c r="B236" s="1" t="n">
        <v>45722.65670138889</v>
      </c>
      <c r="C236" s="1" t="n">
        <v>45914</v>
      </c>
      <c r="D236" t="inlineStr">
        <is>
          <t>JÄMTLANDS LÄN</t>
        </is>
      </c>
      <c r="E236" t="inlineStr">
        <is>
          <t>RAGUNDA</t>
        </is>
      </c>
      <c r="F236" t="inlineStr">
        <is>
          <t>SCA</t>
        </is>
      </c>
      <c r="G236" t="n">
        <v>5.4</v>
      </c>
      <c r="H236" t="n">
        <v>0</v>
      </c>
      <c r="I236" t="n">
        <v>1</v>
      </c>
      <c r="J236" t="n">
        <v>0</v>
      </c>
      <c r="K236" t="n">
        <v>0</v>
      </c>
      <c r="L236" t="n">
        <v>0</v>
      </c>
      <c r="M236" t="n">
        <v>0</v>
      </c>
      <c r="N236" t="n">
        <v>0</v>
      </c>
      <c r="O236" t="n">
        <v>0</v>
      </c>
      <c r="P236" t="n">
        <v>0</v>
      </c>
      <c r="Q236" t="n">
        <v>1</v>
      </c>
      <c r="R236" s="2" t="inlineStr">
        <is>
          <t>Dropptaggsvamp</t>
        </is>
      </c>
      <c r="S236">
        <f>HYPERLINK("https://klasma.github.io/Logging_2303/artfynd/A 10884-2025 artfynd.xlsx", "A 10884-2025")</f>
        <v/>
      </c>
      <c r="T236">
        <f>HYPERLINK("https://klasma.github.io/Logging_2303/kartor/A 10884-2025 karta.png", "A 10884-2025")</f>
        <v/>
      </c>
      <c r="V236">
        <f>HYPERLINK("https://klasma.github.io/Logging_2303/klagomål/A 10884-2025 FSC-klagomål.docx", "A 10884-2025")</f>
        <v/>
      </c>
      <c r="W236">
        <f>HYPERLINK("https://klasma.github.io/Logging_2303/klagomålsmail/A 10884-2025 FSC-klagomål mail.docx", "A 10884-2025")</f>
        <v/>
      </c>
      <c r="X236">
        <f>HYPERLINK("https://klasma.github.io/Logging_2303/tillsyn/A 10884-2025 tillsynsbegäran.docx", "A 10884-2025")</f>
        <v/>
      </c>
      <c r="Y236">
        <f>HYPERLINK("https://klasma.github.io/Logging_2303/tillsynsmail/A 10884-2025 tillsynsbegäran mail.docx", "A 10884-2025")</f>
        <v/>
      </c>
    </row>
    <row r="237" ht="15" customHeight="1">
      <c r="A237" t="inlineStr">
        <is>
          <t>A 26317-2024</t>
        </is>
      </c>
      <c r="B237" s="1" t="n">
        <v>45468</v>
      </c>
      <c r="C237" s="1" t="n">
        <v>45914</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32069-2024</t>
        </is>
      </c>
      <c r="B238" s="1" t="n">
        <v>45510</v>
      </c>
      <c r="C238" s="1" t="n">
        <v>45914</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29921-2024</t>
        </is>
      </c>
      <c r="B239" s="1" t="n">
        <v>45487.92863425926</v>
      </c>
      <c r="C239" s="1" t="n">
        <v>45914</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2929-2024</t>
        </is>
      </c>
      <c r="B240" s="1" t="n">
        <v>45315</v>
      </c>
      <c r="C240" s="1" t="n">
        <v>45914</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50233-2024</t>
        </is>
      </c>
      <c r="B241" s="1" t="n">
        <v>45600.55265046296</v>
      </c>
      <c r="C241" s="1" t="n">
        <v>45914</v>
      </c>
      <c r="D241" t="inlineStr">
        <is>
          <t>JÄMTLANDS LÄN</t>
        </is>
      </c>
      <c r="E241" t="inlineStr">
        <is>
          <t>RAGUNDA</t>
        </is>
      </c>
      <c r="F241" t="inlineStr">
        <is>
          <t>SCA</t>
        </is>
      </c>
      <c r="G241" t="n">
        <v>5.6</v>
      </c>
      <c r="H241" t="n">
        <v>0</v>
      </c>
      <c r="I241" t="n">
        <v>0</v>
      </c>
      <c r="J241" t="n">
        <v>1</v>
      </c>
      <c r="K241" t="n">
        <v>0</v>
      </c>
      <c r="L241" t="n">
        <v>0</v>
      </c>
      <c r="M241" t="n">
        <v>0</v>
      </c>
      <c r="N241" t="n">
        <v>0</v>
      </c>
      <c r="O241" t="n">
        <v>1</v>
      </c>
      <c r="P241" t="n">
        <v>0</v>
      </c>
      <c r="Q241" t="n">
        <v>1</v>
      </c>
      <c r="R241" s="2" t="inlineStr">
        <is>
          <t>Granticka</t>
        </is>
      </c>
      <c r="S241">
        <f>HYPERLINK("https://klasma.github.io/Logging_2303/artfynd/A 50233-2024 artfynd.xlsx", "A 50233-2024")</f>
        <v/>
      </c>
      <c r="T241">
        <f>HYPERLINK("https://klasma.github.io/Logging_2303/kartor/A 50233-2024 karta.png", "A 50233-2024")</f>
        <v/>
      </c>
      <c r="V241">
        <f>HYPERLINK("https://klasma.github.io/Logging_2303/klagomål/A 50233-2024 FSC-klagomål.docx", "A 50233-2024")</f>
        <v/>
      </c>
      <c r="W241">
        <f>HYPERLINK("https://klasma.github.io/Logging_2303/klagomålsmail/A 50233-2024 FSC-klagomål mail.docx", "A 50233-2024")</f>
        <v/>
      </c>
      <c r="X241">
        <f>HYPERLINK("https://klasma.github.io/Logging_2303/tillsyn/A 50233-2024 tillsynsbegäran.docx", "A 50233-2024")</f>
        <v/>
      </c>
      <c r="Y241">
        <f>HYPERLINK("https://klasma.github.io/Logging_2303/tillsynsmail/A 50233-2024 tillsynsbegäran mail.docx", "A 50233-2024")</f>
        <v/>
      </c>
    </row>
    <row r="242" ht="15" customHeight="1">
      <c r="A242" t="inlineStr">
        <is>
          <t>A 30485-2024</t>
        </is>
      </c>
      <c r="B242" s="1" t="n">
        <v>45491.95008101852</v>
      </c>
      <c r="C242" s="1" t="n">
        <v>45914</v>
      </c>
      <c r="D242" t="inlineStr">
        <is>
          <t>JÄMTLANDS LÄN</t>
        </is>
      </c>
      <c r="E242" t="inlineStr">
        <is>
          <t>RAGUNDA</t>
        </is>
      </c>
      <c r="F242" t="inlineStr">
        <is>
          <t>SCA</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HYPERLINK("https://klasma.github.io/Logging_2303/artfynd/A 30485-2024 artfynd.xlsx", "A 30485-2024")</f>
        <v/>
      </c>
      <c r="T242">
        <f>HYPERLINK("https://klasma.github.io/Logging_2303/kartor/A 30485-2024 karta.png", "A 30485-2024")</f>
        <v/>
      </c>
      <c r="V242">
        <f>HYPERLINK("https://klasma.github.io/Logging_2303/klagomål/A 30485-2024 FSC-klagomål.docx", "A 30485-2024")</f>
        <v/>
      </c>
      <c r="W242">
        <f>HYPERLINK("https://klasma.github.io/Logging_2303/klagomålsmail/A 30485-2024 FSC-klagomål mail.docx", "A 30485-2024")</f>
        <v/>
      </c>
      <c r="X242">
        <f>HYPERLINK("https://klasma.github.io/Logging_2303/tillsyn/A 30485-2024 tillsynsbegäran.docx", "A 30485-2024")</f>
        <v/>
      </c>
      <c r="Y242">
        <f>HYPERLINK("https://klasma.github.io/Logging_2303/tillsynsmail/A 30485-2024 tillsynsbegäran mail.docx", "A 30485-2024")</f>
        <v/>
      </c>
    </row>
    <row r="243" ht="15" customHeight="1">
      <c r="A243" t="inlineStr">
        <is>
          <t>A 34474-2025</t>
        </is>
      </c>
      <c r="B243" s="1" t="n">
        <v>45847.36528935185</v>
      </c>
      <c r="C243" s="1" t="n">
        <v>45914</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31773-2021</t>
        </is>
      </c>
      <c r="B244" s="1" t="n">
        <v>44369</v>
      </c>
      <c r="C244" s="1" t="n">
        <v>45914</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40841-2025</t>
        </is>
      </c>
      <c r="B245" s="1" t="n">
        <v>45897.531875</v>
      </c>
      <c r="C245" s="1" t="n">
        <v>45914</v>
      </c>
      <c r="D245" t="inlineStr">
        <is>
          <t>JÄMTLANDS LÄN</t>
        </is>
      </c>
      <c r="E245" t="inlineStr">
        <is>
          <t>RAGUNDA</t>
        </is>
      </c>
      <c r="F245" t="inlineStr">
        <is>
          <t>SCA</t>
        </is>
      </c>
      <c r="G245" t="n">
        <v>1.1</v>
      </c>
      <c r="H245" t="n">
        <v>0</v>
      </c>
      <c r="I245" t="n">
        <v>0</v>
      </c>
      <c r="J245" t="n">
        <v>1</v>
      </c>
      <c r="K245" t="n">
        <v>0</v>
      </c>
      <c r="L245" t="n">
        <v>0</v>
      </c>
      <c r="M245" t="n">
        <v>0</v>
      </c>
      <c r="N245" t="n">
        <v>0</v>
      </c>
      <c r="O245" t="n">
        <v>1</v>
      </c>
      <c r="P245" t="n">
        <v>0</v>
      </c>
      <c r="Q245" t="n">
        <v>1</v>
      </c>
      <c r="R245" s="2" t="inlineStr">
        <is>
          <t>Garnlav</t>
        </is>
      </c>
      <c r="S245">
        <f>HYPERLINK("https://klasma.github.io/Logging_2303/artfynd/A 40841-2025 artfynd.xlsx", "A 40841-2025")</f>
        <v/>
      </c>
      <c r="T245">
        <f>HYPERLINK("https://klasma.github.io/Logging_2303/kartor/A 40841-2025 karta.png", "A 40841-2025")</f>
        <v/>
      </c>
      <c r="V245">
        <f>HYPERLINK("https://klasma.github.io/Logging_2303/klagomål/A 40841-2025 FSC-klagomål.docx", "A 40841-2025")</f>
        <v/>
      </c>
      <c r="W245">
        <f>HYPERLINK("https://klasma.github.io/Logging_2303/klagomålsmail/A 40841-2025 FSC-klagomål mail.docx", "A 40841-2025")</f>
        <v/>
      </c>
      <c r="X245">
        <f>HYPERLINK("https://klasma.github.io/Logging_2303/tillsyn/A 40841-2025 tillsynsbegäran.docx", "A 40841-2025")</f>
        <v/>
      </c>
      <c r="Y245">
        <f>HYPERLINK("https://klasma.github.io/Logging_2303/tillsynsmail/A 40841-2025 tillsynsbegäran mail.docx", "A 40841-2025")</f>
        <v/>
      </c>
    </row>
    <row r="246" ht="15" customHeight="1">
      <c r="A246" t="inlineStr">
        <is>
          <t>A 48477-2023</t>
        </is>
      </c>
      <c r="B246" s="1" t="n">
        <v>45206</v>
      </c>
      <c r="C246" s="1" t="n">
        <v>45914</v>
      </c>
      <c r="D246" t="inlineStr">
        <is>
          <t>JÄMTLANDS LÄN</t>
        </is>
      </c>
      <c r="E246" t="inlineStr">
        <is>
          <t>RAGUNDA</t>
        </is>
      </c>
      <c r="F246" t="inlineStr">
        <is>
          <t>SCA</t>
        </is>
      </c>
      <c r="G246" t="n">
        <v>1.8</v>
      </c>
      <c r="H246" t="n">
        <v>0</v>
      </c>
      <c r="I246" t="n">
        <v>1</v>
      </c>
      <c r="J246" t="n">
        <v>0</v>
      </c>
      <c r="K246" t="n">
        <v>0</v>
      </c>
      <c r="L246" t="n">
        <v>0</v>
      </c>
      <c r="M246" t="n">
        <v>0</v>
      </c>
      <c r="N246" t="n">
        <v>0</v>
      </c>
      <c r="O246" t="n">
        <v>0</v>
      </c>
      <c r="P246" t="n">
        <v>0</v>
      </c>
      <c r="Q246" t="n">
        <v>1</v>
      </c>
      <c r="R246" s="2" t="inlineStr">
        <is>
          <t>Dropptaggsvamp</t>
        </is>
      </c>
      <c r="S246">
        <f>HYPERLINK("https://klasma.github.io/Logging_2303/artfynd/A 48477-2023 artfynd.xlsx", "A 48477-2023")</f>
        <v/>
      </c>
      <c r="T246">
        <f>HYPERLINK("https://klasma.github.io/Logging_2303/kartor/A 48477-2023 karta.png", "A 48477-2023")</f>
        <v/>
      </c>
      <c r="V246">
        <f>HYPERLINK("https://klasma.github.io/Logging_2303/klagomål/A 48477-2023 FSC-klagomål.docx", "A 48477-2023")</f>
        <v/>
      </c>
      <c r="W246">
        <f>HYPERLINK("https://klasma.github.io/Logging_2303/klagomålsmail/A 48477-2023 FSC-klagomål mail.docx", "A 48477-2023")</f>
        <v/>
      </c>
      <c r="X246">
        <f>HYPERLINK("https://klasma.github.io/Logging_2303/tillsyn/A 48477-2023 tillsynsbegäran.docx", "A 48477-2023")</f>
        <v/>
      </c>
      <c r="Y246">
        <f>HYPERLINK("https://klasma.github.io/Logging_2303/tillsynsmail/A 48477-2023 tillsynsbegäran mail.docx", "A 48477-2023")</f>
        <v/>
      </c>
    </row>
    <row r="247" ht="15" customHeight="1">
      <c r="A247" t="inlineStr">
        <is>
          <t>A 18985-2023</t>
        </is>
      </c>
      <c r="B247" s="1" t="n">
        <v>45044</v>
      </c>
      <c r="C247" s="1" t="n">
        <v>45914</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50164-2023</t>
        </is>
      </c>
      <c r="B248" s="1" t="n">
        <v>45208</v>
      </c>
      <c r="C248" s="1" t="n">
        <v>45914</v>
      </c>
      <c r="D248" t="inlineStr">
        <is>
          <t>JÄMTLANDS LÄN</t>
        </is>
      </c>
      <c r="E248" t="inlineStr">
        <is>
          <t>RAGUNDA</t>
        </is>
      </c>
      <c r="G248" t="n">
        <v>2.9</v>
      </c>
      <c r="H248" t="n">
        <v>0</v>
      </c>
      <c r="I248" t="n">
        <v>0</v>
      </c>
      <c r="J248" t="n">
        <v>0</v>
      </c>
      <c r="K248" t="n">
        <v>1</v>
      </c>
      <c r="L248" t="n">
        <v>0</v>
      </c>
      <c r="M248" t="n">
        <v>0</v>
      </c>
      <c r="N248" t="n">
        <v>0</v>
      </c>
      <c r="O248" t="n">
        <v>1</v>
      </c>
      <c r="P248" t="n">
        <v>1</v>
      </c>
      <c r="Q248" t="n">
        <v>1</v>
      </c>
      <c r="R248" s="2" t="inlineStr">
        <is>
          <t>Mindre barkplattbagge</t>
        </is>
      </c>
      <c r="S248">
        <f>HYPERLINK("https://klasma.github.io/Logging_2303/artfynd/A 50164-2023 artfynd.xlsx", "A 50164-2023")</f>
        <v/>
      </c>
      <c r="T248">
        <f>HYPERLINK("https://klasma.github.io/Logging_2303/kartor/A 50164-2023 karta.png", "A 50164-2023")</f>
        <v/>
      </c>
      <c r="V248">
        <f>HYPERLINK("https://klasma.github.io/Logging_2303/klagomål/A 50164-2023 FSC-klagomål.docx", "A 50164-2023")</f>
        <v/>
      </c>
      <c r="W248">
        <f>HYPERLINK("https://klasma.github.io/Logging_2303/klagomålsmail/A 50164-2023 FSC-klagomål mail.docx", "A 50164-2023")</f>
        <v/>
      </c>
      <c r="X248">
        <f>HYPERLINK("https://klasma.github.io/Logging_2303/tillsyn/A 50164-2023 tillsynsbegäran.docx", "A 50164-2023")</f>
        <v/>
      </c>
      <c r="Y248">
        <f>HYPERLINK("https://klasma.github.io/Logging_2303/tillsynsmail/A 50164-2023 tillsynsbegäran mail.docx", "A 50164-2023")</f>
        <v/>
      </c>
    </row>
    <row r="249" ht="15" customHeight="1">
      <c r="A249" t="inlineStr">
        <is>
          <t>A 57941-2020</t>
        </is>
      </c>
      <c r="B249" s="1" t="n">
        <v>44141</v>
      </c>
      <c r="C249" s="1" t="n">
        <v>45914</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45914</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45914</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45914</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45914</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45914</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46050-2022</t>
        </is>
      </c>
      <c r="B255" s="1" t="n">
        <v>44846</v>
      </c>
      <c r="C255" s="1" t="n">
        <v>45914</v>
      </c>
      <c r="D255" t="inlineStr">
        <is>
          <t>JÄMTLANDS LÄN</t>
        </is>
      </c>
      <c r="E255" t="inlineStr">
        <is>
          <t>RAGUNDA</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45914</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53951-2022</t>
        </is>
      </c>
      <c r="B257" s="1" t="n">
        <v>44880.95712962963</v>
      </c>
      <c r="C257" s="1" t="n">
        <v>45914</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53952-2022</t>
        </is>
      </c>
      <c r="B258" s="1" t="n">
        <v>44880.95719907407</v>
      </c>
      <c r="C258" s="1" t="n">
        <v>45914</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45914</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45914</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45914</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45914</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45914</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45914</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45914</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45914</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45914</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45914</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45914</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45914</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45914</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45914</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45914</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45914</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45914</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45914</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45914</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45914</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45914</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45914</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45914</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45914</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45914</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45914</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45914</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45914</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45914</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45914</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45914</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45914</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45914</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45914</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45914</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45914</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45914</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45914</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45914</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45914</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45914</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46401-2021</t>
        </is>
      </c>
      <c r="B300" s="1" t="n">
        <v>44443</v>
      </c>
      <c r="C300" s="1" t="n">
        <v>45914</v>
      </c>
      <c r="D300" t="inlineStr">
        <is>
          <t>JÄMTLANDS LÄN</t>
        </is>
      </c>
      <c r="E300" t="inlineStr">
        <is>
          <t>RAGUNDA</t>
        </is>
      </c>
      <c r="G300" t="n">
        <v>7</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45914</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45914</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45914</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45914</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45914</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45914</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47801-2022</t>
        </is>
      </c>
      <c r="B307" s="1" t="n">
        <v>44854</v>
      </c>
      <c r="C307" s="1" t="n">
        <v>45914</v>
      </c>
      <c r="D307" t="inlineStr">
        <is>
          <t>JÄMTLANDS LÄN</t>
        </is>
      </c>
      <c r="E307" t="inlineStr">
        <is>
          <t>RAGUNDA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45914</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45914</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45914</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45914</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45914</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45914</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45914</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45914</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45914</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10937-2021</t>
        </is>
      </c>
      <c r="B318" s="1" t="n">
        <v>44259</v>
      </c>
      <c r="C318" s="1" t="n">
        <v>45914</v>
      </c>
      <c r="D318" t="inlineStr">
        <is>
          <t>JÄMTLANDS LÄN</t>
        </is>
      </c>
      <c r="E318" t="inlineStr">
        <is>
          <t>RAGUNDA</t>
        </is>
      </c>
      <c r="G318" t="n">
        <v>10.8</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45914</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45914</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45914</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45914</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45914</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45914</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45914</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45914</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45914</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45914</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45914</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45914</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45914</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45914</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45914</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45914</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45914</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45914</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45914</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45914</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45914</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45914</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45914</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65017-2021</t>
        </is>
      </c>
      <c r="B342" s="1" t="n">
        <v>44512</v>
      </c>
      <c r="C342" s="1" t="n">
        <v>45914</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45914</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45914</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45914</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45914</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45914</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19600-2021</t>
        </is>
      </c>
      <c r="B348" s="1" t="n">
        <v>44308</v>
      </c>
      <c r="C348" s="1" t="n">
        <v>45914</v>
      </c>
      <c r="D348" t="inlineStr">
        <is>
          <t>JÄMTLANDS LÄN</t>
        </is>
      </c>
      <c r="E348" t="inlineStr">
        <is>
          <t>RAGUNDA</t>
        </is>
      </c>
      <c r="G348" t="n">
        <v>4.3</v>
      </c>
      <c r="H348" t="n">
        <v>0</v>
      </c>
      <c r="I348" t="n">
        <v>0</v>
      </c>
      <c r="J348" t="n">
        <v>0</v>
      </c>
      <c r="K348" t="n">
        <v>0</v>
      </c>
      <c r="L348" t="n">
        <v>0</v>
      </c>
      <c r="M348" t="n">
        <v>0</v>
      </c>
      <c r="N348" t="n">
        <v>0</v>
      </c>
      <c r="O348" t="n">
        <v>0</v>
      </c>
      <c r="P348" t="n">
        <v>0</v>
      </c>
      <c r="Q348" t="n">
        <v>0</v>
      </c>
      <c r="R348" s="2" t="inlineStr"/>
    </row>
    <row r="349" ht="15" customHeight="1">
      <c r="A349" t="inlineStr">
        <is>
          <t>A 9185-2022</t>
        </is>
      </c>
      <c r="B349" s="1" t="n">
        <v>44615</v>
      </c>
      <c r="C349" s="1" t="n">
        <v>45914</v>
      </c>
      <c r="D349" t="inlineStr">
        <is>
          <t>JÄMTLANDS LÄN</t>
        </is>
      </c>
      <c r="E349" t="inlineStr">
        <is>
          <t>RAGUNDA</t>
        </is>
      </c>
      <c r="G349" t="n">
        <v>1.1</v>
      </c>
      <c r="H349" t="n">
        <v>0</v>
      </c>
      <c r="I349" t="n">
        <v>0</v>
      </c>
      <c r="J349" t="n">
        <v>0</v>
      </c>
      <c r="K349" t="n">
        <v>0</v>
      </c>
      <c r="L349" t="n">
        <v>0</v>
      </c>
      <c r="M349" t="n">
        <v>0</v>
      </c>
      <c r="N349" t="n">
        <v>0</v>
      </c>
      <c r="O349" t="n">
        <v>0</v>
      </c>
      <c r="P349" t="n">
        <v>0</v>
      </c>
      <c r="Q349" t="n">
        <v>0</v>
      </c>
      <c r="R349" s="2" t="inlineStr"/>
    </row>
    <row r="350" ht="15" customHeight="1">
      <c r="A350" t="inlineStr">
        <is>
          <t>A 16460-2022</t>
        </is>
      </c>
      <c r="B350" s="1" t="n">
        <v>44671</v>
      </c>
      <c r="C350" s="1" t="n">
        <v>45914</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46992-2022</t>
        </is>
      </c>
      <c r="B351" s="1" t="n">
        <v>44851.95488425926</v>
      </c>
      <c r="C351" s="1" t="n">
        <v>45914</v>
      </c>
      <c r="D351" t="inlineStr">
        <is>
          <t>JÄMTLANDS LÄN</t>
        </is>
      </c>
      <c r="E351" t="inlineStr">
        <is>
          <t>RAGUNDA</t>
        </is>
      </c>
      <c r="F351" t="inlineStr">
        <is>
          <t>SCA</t>
        </is>
      </c>
      <c r="G351" t="n">
        <v>26.4</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45914</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21195-2022</t>
        </is>
      </c>
      <c r="B353" s="1" t="n">
        <v>44704.94229166667</v>
      </c>
      <c r="C353" s="1" t="n">
        <v>45914</v>
      </c>
      <c r="D353" t="inlineStr">
        <is>
          <t>JÄMTLANDS LÄN</t>
        </is>
      </c>
      <c r="E353" t="inlineStr">
        <is>
          <t>RAGUNDA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45914</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25253-2022</t>
        </is>
      </c>
      <c r="B355" s="1" t="n">
        <v>44729.94136574074</v>
      </c>
      <c r="C355" s="1" t="n">
        <v>45914</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45914</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45914</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26945-2021</t>
        </is>
      </c>
      <c r="B358" s="1" t="n">
        <v>44349.91995370371</v>
      </c>
      <c r="C358" s="1" t="n">
        <v>45914</v>
      </c>
      <c r="D358" t="inlineStr">
        <is>
          <t>JÄMTLANDS LÄN</t>
        </is>
      </c>
      <c r="E358" t="inlineStr">
        <is>
          <t>RAGUNDA</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48056-2020</t>
        </is>
      </c>
      <c r="B359" s="1" t="n">
        <v>44099</v>
      </c>
      <c r="C359" s="1" t="n">
        <v>45914</v>
      </c>
      <c r="D359" t="inlineStr">
        <is>
          <t>JÄMTLANDS LÄN</t>
        </is>
      </c>
      <c r="E359" t="inlineStr">
        <is>
          <t>RAGUNDA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45914</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45914</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10120-2022</t>
        </is>
      </c>
      <c r="B362" s="1" t="n">
        <v>44621</v>
      </c>
      <c r="C362" s="1" t="n">
        <v>45914</v>
      </c>
      <c r="D362" t="inlineStr">
        <is>
          <t>JÄMTLANDS LÄN</t>
        </is>
      </c>
      <c r="E362" t="inlineStr">
        <is>
          <t>RAGUNDA</t>
        </is>
      </c>
      <c r="G362" t="n">
        <v>0.4</v>
      </c>
      <c r="H362" t="n">
        <v>0</v>
      </c>
      <c r="I362" t="n">
        <v>0</v>
      </c>
      <c r="J362" t="n">
        <v>0</v>
      </c>
      <c r="K362" t="n">
        <v>0</v>
      </c>
      <c r="L362" t="n">
        <v>0</v>
      </c>
      <c r="M362" t="n">
        <v>0</v>
      </c>
      <c r="N362" t="n">
        <v>0</v>
      </c>
      <c r="O362" t="n">
        <v>0</v>
      </c>
      <c r="P362" t="n">
        <v>0</v>
      </c>
      <c r="Q362" t="n">
        <v>0</v>
      </c>
      <c r="R362" s="2" t="inlineStr"/>
    </row>
    <row r="363" ht="15" customHeight="1">
      <c r="A363" t="inlineStr">
        <is>
          <t>A 13964-2022</t>
        </is>
      </c>
      <c r="B363" s="1" t="n">
        <v>44650</v>
      </c>
      <c r="C363" s="1" t="n">
        <v>45914</v>
      </c>
      <c r="D363" t="inlineStr">
        <is>
          <t>JÄMTLANDS LÄN</t>
        </is>
      </c>
      <c r="E363" t="inlineStr">
        <is>
          <t>RAGUNDA</t>
        </is>
      </c>
      <c r="G363" t="n">
        <v>2.6</v>
      </c>
      <c r="H363" t="n">
        <v>0</v>
      </c>
      <c r="I363" t="n">
        <v>0</v>
      </c>
      <c r="J363" t="n">
        <v>0</v>
      </c>
      <c r="K363" t="n">
        <v>0</v>
      </c>
      <c r="L363" t="n">
        <v>0</v>
      </c>
      <c r="M363" t="n">
        <v>0</v>
      </c>
      <c r="N363" t="n">
        <v>0</v>
      </c>
      <c r="O363" t="n">
        <v>0</v>
      </c>
      <c r="P363" t="n">
        <v>0</v>
      </c>
      <c r="Q363" t="n">
        <v>0</v>
      </c>
      <c r="R363" s="2" t="inlineStr"/>
    </row>
    <row r="364" ht="15" customHeight="1">
      <c r="A364" t="inlineStr">
        <is>
          <t>A 57730-2020</t>
        </is>
      </c>
      <c r="B364" s="1" t="n">
        <v>44140</v>
      </c>
      <c r="C364" s="1" t="n">
        <v>45914</v>
      </c>
      <c r="D364" t="inlineStr">
        <is>
          <t>JÄMTLANDS LÄN</t>
        </is>
      </c>
      <c r="E364" t="inlineStr">
        <is>
          <t>RAGUNDA</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9187-2022</t>
        </is>
      </c>
      <c r="B365" s="1" t="n">
        <v>44615</v>
      </c>
      <c r="C365" s="1" t="n">
        <v>45914</v>
      </c>
      <c r="D365" t="inlineStr">
        <is>
          <t>JÄMTLANDS LÄN</t>
        </is>
      </c>
      <c r="E365" t="inlineStr">
        <is>
          <t>RAGUNDA</t>
        </is>
      </c>
      <c r="G365" t="n">
        <v>2</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45914</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45914</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44799.94394675926</v>
      </c>
      <c r="C368" s="1" t="n">
        <v>45914</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45914</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57713-2020</t>
        </is>
      </c>
      <c r="B370" s="1" t="n">
        <v>44140</v>
      </c>
      <c r="C370" s="1" t="n">
        <v>45914</v>
      </c>
      <c r="D370" t="inlineStr">
        <is>
          <t>JÄMTLANDS LÄN</t>
        </is>
      </c>
      <c r="E370" t="inlineStr">
        <is>
          <t>RAGUNDA</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54836-2022</t>
        </is>
      </c>
      <c r="B371" s="1" t="n">
        <v>44883.94918981481</v>
      </c>
      <c r="C371" s="1" t="n">
        <v>45914</v>
      </c>
      <c r="D371" t="inlineStr">
        <is>
          <t>JÄMTLANDS LÄN</t>
        </is>
      </c>
      <c r="E371" t="inlineStr">
        <is>
          <t>RAGUNDA</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53522-2020</t>
        </is>
      </c>
      <c r="B372" s="1" t="n">
        <v>44124</v>
      </c>
      <c r="C372" s="1" t="n">
        <v>45914</v>
      </c>
      <c r="D372" t="inlineStr">
        <is>
          <t>JÄMTLANDS LÄN</t>
        </is>
      </c>
      <c r="E372" t="inlineStr">
        <is>
          <t>RAGUNDA</t>
        </is>
      </c>
      <c r="G372" t="n">
        <v>1.3</v>
      </c>
      <c r="H372" t="n">
        <v>0</v>
      </c>
      <c r="I372" t="n">
        <v>0</v>
      </c>
      <c r="J372" t="n">
        <v>0</v>
      </c>
      <c r="K372" t="n">
        <v>0</v>
      </c>
      <c r="L372" t="n">
        <v>0</v>
      </c>
      <c r="M372" t="n">
        <v>0</v>
      </c>
      <c r="N372" t="n">
        <v>0</v>
      </c>
      <c r="O372" t="n">
        <v>0</v>
      </c>
      <c r="P372" t="n">
        <v>0</v>
      </c>
      <c r="Q372" t="n">
        <v>0</v>
      </c>
      <c r="R372" s="2" t="inlineStr"/>
    </row>
    <row r="373" ht="15" customHeight="1">
      <c r="A373" t="inlineStr">
        <is>
          <t>A 6177-2022</t>
        </is>
      </c>
      <c r="B373" s="1" t="n">
        <v>44599.98685185185</v>
      </c>
      <c r="C373" s="1" t="n">
        <v>45914</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43040-2021</t>
        </is>
      </c>
      <c r="B374" s="1" t="n">
        <v>44431</v>
      </c>
      <c r="C374" s="1" t="n">
        <v>45914</v>
      </c>
      <c r="D374" t="inlineStr">
        <is>
          <t>JÄMTLANDS LÄN</t>
        </is>
      </c>
      <c r="E374" t="inlineStr">
        <is>
          <t>RAGUNDA</t>
        </is>
      </c>
      <c r="G374" t="n">
        <v>4.9</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45914</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45914</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45914</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58984-2021</t>
        </is>
      </c>
      <c r="B378" s="1" t="n">
        <v>44489.94711805556</v>
      </c>
      <c r="C378" s="1" t="n">
        <v>45914</v>
      </c>
      <c r="D378" t="inlineStr">
        <is>
          <t>JÄMTLANDS LÄN</t>
        </is>
      </c>
      <c r="E378" t="inlineStr">
        <is>
          <t>RAGUNDA</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40978-2022</t>
        </is>
      </c>
      <c r="B379" s="1" t="n">
        <v>44823</v>
      </c>
      <c r="C379" s="1" t="n">
        <v>45914</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24741-2022</t>
        </is>
      </c>
      <c r="B380" s="1" t="n">
        <v>44727</v>
      </c>
      <c r="C380" s="1" t="n">
        <v>45914</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22655-2021</t>
        </is>
      </c>
      <c r="B381" s="1" t="n">
        <v>44322</v>
      </c>
      <c r="C381" s="1" t="n">
        <v>45914</v>
      </c>
      <c r="D381" t="inlineStr">
        <is>
          <t>JÄMTLANDS LÄN</t>
        </is>
      </c>
      <c r="E381" t="inlineStr">
        <is>
          <t>RAGUNDA</t>
        </is>
      </c>
      <c r="G381" t="n">
        <v>5.8</v>
      </c>
      <c r="H381" t="n">
        <v>0</v>
      </c>
      <c r="I381" t="n">
        <v>0</v>
      </c>
      <c r="J381" t="n">
        <v>0</v>
      </c>
      <c r="K381" t="n">
        <v>0</v>
      </c>
      <c r="L381" t="n">
        <v>0</v>
      </c>
      <c r="M381" t="n">
        <v>0</v>
      </c>
      <c r="N381" t="n">
        <v>0</v>
      </c>
      <c r="O381" t="n">
        <v>0</v>
      </c>
      <c r="P381" t="n">
        <v>0</v>
      </c>
      <c r="Q381" t="n">
        <v>0</v>
      </c>
      <c r="R381" s="2" t="inlineStr"/>
    </row>
    <row r="382" ht="15" customHeight="1">
      <c r="A382" t="inlineStr">
        <is>
          <t>A 48536-2022</t>
        </is>
      </c>
      <c r="B382" s="1" t="n">
        <v>44858</v>
      </c>
      <c r="C382" s="1" t="n">
        <v>45914</v>
      </c>
      <c r="D382" t="inlineStr">
        <is>
          <t>JÄMTLANDS LÄN</t>
        </is>
      </c>
      <c r="E382" t="inlineStr">
        <is>
          <t>RAGUNDA</t>
        </is>
      </c>
      <c r="F382" t="inlineStr">
        <is>
          <t>SCA</t>
        </is>
      </c>
      <c r="G382" t="n">
        <v>9.5</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45914</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46048-2022</t>
        </is>
      </c>
      <c r="B384" s="1" t="n">
        <v>44846</v>
      </c>
      <c r="C384" s="1" t="n">
        <v>45914</v>
      </c>
      <c r="D384" t="inlineStr">
        <is>
          <t>JÄMTLANDS LÄN</t>
        </is>
      </c>
      <c r="E384" t="inlineStr">
        <is>
          <t>RAGUNDA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44704.9422337963</v>
      </c>
      <c r="C385" s="1" t="n">
        <v>45914</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39698-2022</t>
        </is>
      </c>
      <c r="B386" s="1" t="n">
        <v>44818</v>
      </c>
      <c r="C386" s="1" t="n">
        <v>45914</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60313-2021</t>
        </is>
      </c>
      <c r="B387" s="1" t="n">
        <v>44495</v>
      </c>
      <c r="C387" s="1" t="n">
        <v>45914</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43147-2022</t>
        </is>
      </c>
      <c r="B388" s="1" t="n">
        <v>44833.9519212963</v>
      </c>
      <c r="C388" s="1" t="n">
        <v>45914</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32288-2022</t>
        </is>
      </c>
      <c r="B389" s="1" t="n">
        <v>44781</v>
      </c>
      <c r="C389" s="1" t="n">
        <v>45914</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47803-2022</t>
        </is>
      </c>
      <c r="B390" s="1" t="n">
        <v>44854.95390046296</v>
      </c>
      <c r="C390" s="1" t="n">
        <v>45914</v>
      </c>
      <c r="D390" t="inlineStr">
        <is>
          <t>JÄMTLANDS LÄN</t>
        </is>
      </c>
      <c r="E390" t="inlineStr">
        <is>
          <t>RAGUNDA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45914</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45914</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45914</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45914</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45914</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45914</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45914</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45914</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45914</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45914</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42882-2022</t>
        </is>
      </c>
      <c r="B401" s="1" t="n">
        <v>44832.95300925926</v>
      </c>
      <c r="C401" s="1" t="n">
        <v>45914</v>
      </c>
      <c r="D401" t="inlineStr">
        <is>
          <t>JÄMTLANDS LÄN</t>
        </is>
      </c>
      <c r="E401" t="inlineStr">
        <is>
          <t>RAGUNDA</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42267-2022</t>
        </is>
      </c>
      <c r="B402" s="1" t="n">
        <v>44830</v>
      </c>
      <c r="C402" s="1" t="n">
        <v>45914</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23304-2023</t>
        </is>
      </c>
      <c r="B403" s="1" t="n">
        <v>45075.945</v>
      </c>
      <c r="C403" s="1" t="n">
        <v>45914</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64492-2023</t>
        </is>
      </c>
      <c r="B404" s="1" t="n">
        <v>45280.92645833334</v>
      </c>
      <c r="C404" s="1" t="n">
        <v>45914</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28596-2021</t>
        </is>
      </c>
      <c r="B405" s="1" t="n">
        <v>44356</v>
      </c>
      <c r="C405" s="1" t="n">
        <v>45914</v>
      </c>
      <c r="D405" t="inlineStr">
        <is>
          <t>JÄMTLANDS LÄN</t>
        </is>
      </c>
      <c r="E405" t="inlineStr">
        <is>
          <t>RAGUNDA</t>
        </is>
      </c>
      <c r="G405" t="n">
        <v>5.4</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45914</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36106-2022</t>
        </is>
      </c>
      <c r="B407" s="1" t="n">
        <v>44802.94811342593</v>
      </c>
      <c r="C407" s="1" t="n">
        <v>45914</v>
      </c>
      <c r="D407" t="inlineStr">
        <is>
          <t>JÄMTLANDS LÄN</t>
        </is>
      </c>
      <c r="E407" t="inlineStr">
        <is>
          <t>RAGUNDA</t>
        </is>
      </c>
      <c r="F407" t="inlineStr">
        <is>
          <t>SCA</t>
        </is>
      </c>
      <c r="G407" t="n">
        <v>7.3</v>
      </c>
      <c r="H407" t="n">
        <v>0</v>
      </c>
      <c r="I407" t="n">
        <v>0</v>
      </c>
      <c r="J407" t="n">
        <v>0</v>
      </c>
      <c r="K407" t="n">
        <v>0</v>
      </c>
      <c r="L407" t="n">
        <v>0</v>
      </c>
      <c r="M407" t="n">
        <v>0</v>
      </c>
      <c r="N407" t="n">
        <v>0</v>
      </c>
      <c r="O407" t="n">
        <v>0</v>
      </c>
      <c r="P407" t="n">
        <v>0</v>
      </c>
      <c r="Q407" t="n">
        <v>0</v>
      </c>
      <c r="R407" s="2" t="inlineStr"/>
    </row>
    <row r="408" ht="15" customHeight="1">
      <c r="A408" t="inlineStr">
        <is>
          <t>A 13917-2023</t>
        </is>
      </c>
      <c r="B408" s="1" t="n">
        <v>45007</v>
      </c>
      <c r="C408" s="1" t="n">
        <v>45914</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18820-2023</t>
        </is>
      </c>
      <c r="B409" s="1" t="n">
        <v>45042</v>
      </c>
      <c r="C409" s="1" t="n">
        <v>45914</v>
      </c>
      <c r="D409" t="inlineStr">
        <is>
          <t>JÄMTLANDS LÄN</t>
        </is>
      </c>
      <c r="E409" t="inlineStr">
        <is>
          <t>RAGUNDA</t>
        </is>
      </c>
      <c r="G409" t="n">
        <v>18.8</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45914</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45914</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45914</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36941-2022</t>
        </is>
      </c>
      <c r="B413" s="1" t="n">
        <v>44805</v>
      </c>
      <c r="C413" s="1" t="n">
        <v>45914</v>
      </c>
      <c r="D413" t="inlineStr">
        <is>
          <t>JÄMTLANDS LÄN</t>
        </is>
      </c>
      <c r="E413" t="inlineStr">
        <is>
          <t>RAGUNDA</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20548-2021</t>
        </is>
      </c>
      <c r="B414" s="1" t="n">
        <v>44315</v>
      </c>
      <c r="C414" s="1" t="n">
        <v>45914</v>
      </c>
      <c r="D414" t="inlineStr">
        <is>
          <t>JÄMTLANDS LÄN</t>
        </is>
      </c>
      <c r="E414" t="inlineStr">
        <is>
          <t>RAGUNDA</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45914</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49530-2022</t>
        </is>
      </c>
      <c r="B416" s="1" t="n">
        <v>44861</v>
      </c>
      <c r="C416" s="1" t="n">
        <v>45914</v>
      </c>
      <c r="D416" t="inlineStr">
        <is>
          <t>JÄMTLANDS LÄN</t>
        </is>
      </c>
      <c r="E416" t="inlineStr">
        <is>
          <t>RAGUNDA</t>
        </is>
      </c>
      <c r="F416" t="inlineStr">
        <is>
          <t>SCA</t>
        </is>
      </c>
      <c r="G416" t="n">
        <v>13.4</v>
      </c>
      <c r="H416" t="n">
        <v>0</v>
      </c>
      <c r="I416" t="n">
        <v>0</v>
      </c>
      <c r="J416" t="n">
        <v>0</v>
      </c>
      <c r="K416" t="n">
        <v>0</v>
      </c>
      <c r="L416" t="n">
        <v>0</v>
      </c>
      <c r="M416" t="n">
        <v>0</v>
      </c>
      <c r="N416" t="n">
        <v>0</v>
      </c>
      <c r="O416" t="n">
        <v>0</v>
      </c>
      <c r="P416" t="n">
        <v>0</v>
      </c>
      <c r="Q416" t="n">
        <v>0</v>
      </c>
      <c r="R416" s="2" t="inlineStr"/>
    </row>
    <row r="417" ht="15" customHeight="1">
      <c r="A417" t="inlineStr">
        <is>
          <t>A 11147-2025</t>
        </is>
      </c>
      <c r="B417" s="1" t="n">
        <v>45723.67777777778</v>
      </c>
      <c r="C417" s="1" t="n">
        <v>45914</v>
      </c>
      <c r="D417" t="inlineStr">
        <is>
          <t>JÄMTLANDS LÄN</t>
        </is>
      </c>
      <c r="E417" t="inlineStr">
        <is>
          <t>RAGUNDA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24280-2021</t>
        </is>
      </c>
      <c r="B418" s="1" t="n">
        <v>44336</v>
      </c>
      <c r="C418" s="1" t="n">
        <v>45914</v>
      </c>
      <c r="D418" t="inlineStr">
        <is>
          <t>JÄMTLANDS LÄN</t>
        </is>
      </c>
      <c r="E418" t="inlineStr">
        <is>
          <t>RAGUNDA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52334-2021</t>
        </is>
      </c>
      <c r="B419" s="1" t="n">
        <v>44463.94077546296</v>
      </c>
      <c r="C419" s="1" t="n">
        <v>45914</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14821-2025</t>
        </is>
      </c>
      <c r="B420" s="1" t="n">
        <v>45743.36</v>
      </c>
      <c r="C420" s="1" t="n">
        <v>45914</v>
      </c>
      <c r="D420" t="inlineStr">
        <is>
          <t>JÄMTLANDS LÄN</t>
        </is>
      </c>
      <c r="E420" t="inlineStr">
        <is>
          <t>RAGUNDA</t>
        </is>
      </c>
      <c r="F420" t="inlineStr">
        <is>
          <t>Kyrkan</t>
        </is>
      </c>
      <c r="G420" t="n">
        <v>6.4</v>
      </c>
      <c r="H420" t="n">
        <v>0</v>
      </c>
      <c r="I420" t="n">
        <v>0</v>
      </c>
      <c r="J420" t="n">
        <v>0</v>
      </c>
      <c r="K420" t="n">
        <v>0</v>
      </c>
      <c r="L420" t="n">
        <v>0</v>
      </c>
      <c r="M420" t="n">
        <v>0</v>
      </c>
      <c r="N420" t="n">
        <v>0</v>
      </c>
      <c r="O420" t="n">
        <v>0</v>
      </c>
      <c r="P420" t="n">
        <v>0</v>
      </c>
      <c r="Q420" t="n">
        <v>0</v>
      </c>
      <c r="R420" s="2" t="inlineStr"/>
    </row>
    <row r="421" ht="15" customHeight="1">
      <c r="A421" t="inlineStr">
        <is>
          <t>A 22131-2021</t>
        </is>
      </c>
      <c r="B421" s="1" t="n">
        <v>44323</v>
      </c>
      <c r="C421" s="1" t="n">
        <v>45914</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45914</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50157-2023</t>
        </is>
      </c>
      <c r="B423" s="1" t="n">
        <v>45208</v>
      </c>
      <c r="C423" s="1" t="n">
        <v>45914</v>
      </c>
      <c r="D423" t="inlineStr">
        <is>
          <t>JÄMTLANDS LÄN</t>
        </is>
      </c>
      <c r="E423" t="inlineStr">
        <is>
          <t>RAGUNDA</t>
        </is>
      </c>
      <c r="G423" t="n">
        <v>0.9</v>
      </c>
      <c r="H423" t="n">
        <v>0</v>
      </c>
      <c r="I423" t="n">
        <v>0</v>
      </c>
      <c r="J423" t="n">
        <v>0</v>
      </c>
      <c r="K423" t="n">
        <v>0</v>
      </c>
      <c r="L423" t="n">
        <v>0</v>
      </c>
      <c r="M423" t="n">
        <v>0</v>
      </c>
      <c r="N423" t="n">
        <v>0</v>
      </c>
      <c r="O423" t="n">
        <v>0</v>
      </c>
      <c r="P423" t="n">
        <v>0</v>
      </c>
      <c r="Q423" t="n">
        <v>0</v>
      </c>
      <c r="R423" s="2" t="inlineStr"/>
    </row>
    <row r="424" ht="15" customHeight="1">
      <c r="A424" t="inlineStr">
        <is>
          <t>A 38664-2022</t>
        </is>
      </c>
      <c r="B424" s="1" t="n">
        <v>44813</v>
      </c>
      <c r="C424" s="1" t="n">
        <v>45914</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45914</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38425-2022</t>
        </is>
      </c>
      <c r="B426" s="1" t="n">
        <v>44812.94709490741</v>
      </c>
      <c r="C426" s="1" t="n">
        <v>45914</v>
      </c>
      <c r="D426" t="inlineStr">
        <is>
          <t>JÄMTLANDS LÄN</t>
        </is>
      </c>
      <c r="E426" t="inlineStr">
        <is>
          <t>RAGUNDA</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36922-2022</t>
        </is>
      </c>
      <c r="B427" s="1" t="n">
        <v>44805.94592592592</v>
      </c>
      <c r="C427" s="1" t="n">
        <v>45914</v>
      </c>
      <c r="D427" t="inlineStr">
        <is>
          <t>JÄMTLANDS LÄN</t>
        </is>
      </c>
      <c r="E427" t="inlineStr">
        <is>
          <t>RAGUNDA</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14513-2025</t>
        </is>
      </c>
      <c r="B428" s="1" t="n">
        <v>45741.63675925926</v>
      </c>
      <c r="C428" s="1" t="n">
        <v>45914</v>
      </c>
      <c r="D428" t="inlineStr">
        <is>
          <t>JÄMTLANDS LÄN</t>
        </is>
      </c>
      <c r="E428" t="inlineStr">
        <is>
          <t>RAGUNDA</t>
        </is>
      </c>
      <c r="F428" t="inlineStr">
        <is>
          <t>SCA</t>
        </is>
      </c>
      <c r="G428" t="n">
        <v>6.8</v>
      </c>
      <c r="H428" t="n">
        <v>0</v>
      </c>
      <c r="I428" t="n">
        <v>0</v>
      </c>
      <c r="J428" t="n">
        <v>0</v>
      </c>
      <c r="K428" t="n">
        <v>0</v>
      </c>
      <c r="L428" t="n">
        <v>0</v>
      </c>
      <c r="M428" t="n">
        <v>0</v>
      </c>
      <c r="N428" t="n">
        <v>0</v>
      </c>
      <c r="O428" t="n">
        <v>0</v>
      </c>
      <c r="P428" t="n">
        <v>0</v>
      </c>
      <c r="Q428" t="n">
        <v>0</v>
      </c>
      <c r="R428" s="2" t="inlineStr"/>
    </row>
    <row r="429" ht="15" customHeight="1">
      <c r="A429" t="inlineStr">
        <is>
          <t>A 62358-2023</t>
        </is>
      </c>
      <c r="B429" s="1" t="n">
        <v>45267</v>
      </c>
      <c r="C429" s="1" t="n">
        <v>45914</v>
      </c>
      <c r="D429" t="inlineStr">
        <is>
          <t>JÄMTLANDS LÄN</t>
        </is>
      </c>
      <c r="E429" t="inlineStr">
        <is>
          <t>RAGUNDA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19264-2025</t>
        </is>
      </c>
      <c r="B430" s="1" t="n">
        <v>45769.51087962963</v>
      </c>
      <c r="C430" s="1" t="n">
        <v>45914</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12660-2024</t>
        </is>
      </c>
      <c r="B431" s="1" t="n">
        <v>45384</v>
      </c>
      <c r="C431" s="1" t="n">
        <v>45914</v>
      </c>
      <c r="D431" t="inlineStr">
        <is>
          <t>JÄMTLANDS LÄN</t>
        </is>
      </c>
      <c r="E431" t="inlineStr">
        <is>
          <t>RAGUNDA</t>
        </is>
      </c>
      <c r="G431" t="n">
        <v>1.3</v>
      </c>
      <c r="H431" t="n">
        <v>0</v>
      </c>
      <c r="I431" t="n">
        <v>0</v>
      </c>
      <c r="J431" t="n">
        <v>0</v>
      </c>
      <c r="K431" t="n">
        <v>0</v>
      </c>
      <c r="L431" t="n">
        <v>0</v>
      </c>
      <c r="M431" t="n">
        <v>0</v>
      </c>
      <c r="N431" t="n">
        <v>0</v>
      </c>
      <c r="O431" t="n">
        <v>0</v>
      </c>
      <c r="P431" t="n">
        <v>0</v>
      </c>
      <c r="Q431" t="n">
        <v>0</v>
      </c>
      <c r="R431" s="2" t="inlineStr"/>
    </row>
    <row r="432" ht="15" customHeight="1">
      <c r="A432" t="inlineStr">
        <is>
          <t>A 9326-2024</t>
        </is>
      </c>
      <c r="B432" s="1" t="n">
        <v>45358.95818287037</v>
      </c>
      <c r="C432" s="1" t="n">
        <v>45914</v>
      </c>
      <c r="D432" t="inlineStr">
        <is>
          <t>JÄMTLANDS LÄN</t>
        </is>
      </c>
      <c r="E432" t="inlineStr">
        <is>
          <t>RAGUNDA</t>
        </is>
      </c>
      <c r="G432" t="n">
        <v>0.7</v>
      </c>
      <c r="H432" t="n">
        <v>0</v>
      </c>
      <c r="I432" t="n">
        <v>0</v>
      </c>
      <c r="J432" t="n">
        <v>0</v>
      </c>
      <c r="K432" t="n">
        <v>0</v>
      </c>
      <c r="L432" t="n">
        <v>0</v>
      </c>
      <c r="M432" t="n">
        <v>0</v>
      </c>
      <c r="N432" t="n">
        <v>0</v>
      </c>
      <c r="O432" t="n">
        <v>0</v>
      </c>
      <c r="P432" t="n">
        <v>0</v>
      </c>
      <c r="Q432" t="n">
        <v>0</v>
      </c>
      <c r="R432" s="2" t="inlineStr"/>
    </row>
    <row r="433" ht="15" customHeight="1">
      <c r="A433" t="inlineStr">
        <is>
          <t>A 25332-2023</t>
        </is>
      </c>
      <c r="B433" s="1" t="n">
        <v>45086.94010416666</v>
      </c>
      <c r="C433" s="1" t="n">
        <v>45914</v>
      </c>
      <c r="D433" t="inlineStr">
        <is>
          <t>JÄMTLANDS LÄN</t>
        </is>
      </c>
      <c r="E433" t="inlineStr">
        <is>
          <t>RAGUNDA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33615-2023</t>
        </is>
      </c>
      <c r="B434" s="1" t="n">
        <v>45119</v>
      </c>
      <c r="C434" s="1" t="n">
        <v>45914</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43132-2023</t>
        </is>
      </c>
      <c r="B435" s="1" t="n">
        <v>45182</v>
      </c>
      <c r="C435" s="1" t="n">
        <v>45914</v>
      </c>
      <c r="D435" t="inlineStr">
        <is>
          <t>JÄMTLANDS LÄN</t>
        </is>
      </c>
      <c r="E435" t="inlineStr">
        <is>
          <t>RAGUNDA</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60936-2024</t>
        </is>
      </c>
      <c r="B436" s="1" t="n">
        <v>45645.36743055555</v>
      </c>
      <c r="C436" s="1" t="n">
        <v>45914</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7281-2025</t>
        </is>
      </c>
      <c r="B437" s="1" t="n">
        <v>45702.63572916666</v>
      </c>
      <c r="C437" s="1" t="n">
        <v>45914</v>
      </c>
      <c r="D437" t="inlineStr">
        <is>
          <t>JÄMTLANDS LÄN</t>
        </is>
      </c>
      <c r="E437" t="inlineStr">
        <is>
          <t>RAGUNDA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19401-2025</t>
        </is>
      </c>
      <c r="B438" s="1" t="n">
        <v>45769.67767361111</v>
      </c>
      <c r="C438" s="1" t="n">
        <v>45914</v>
      </c>
      <c r="D438" t="inlineStr">
        <is>
          <t>JÄMTLANDS LÄN</t>
        </is>
      </c>
      <c r="E438" t="inlineStr">
        <is>
          <t>RAGUNDA</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8654-2024</t>
        </is>
      </c>
      <c r="B439" s="1" t="n">
        <v>45356.03784722222</v>
      </c>
      <c r="C439" s="1" t="n">
        <v>45914</v>
      </c>
      <c r="D439" t="inlineStr">
        <is>
          <t>JÄMTLANDS LÄN</t>
        </is>
      </c>
      <c r="E439" t="inlineStr">
        <is>
          <t>RAGUNDA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45914</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4348-2023</t>
        </is>
      </c>
      <c r="B441" s="1" t="n">
        <v>44953</v>
      </c>
      <c r="C441" s="1" t="n">
        <v>45914</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8678-2023</t>
        </is>
      </c>
      <c r="B442" s="1" t="n">
        <v>44977.98660879629</v>
      </c>
      <c r="C442" s="1" t="n">
        <v>45914</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13935-2024</t>
        </is>
      </c>
      <c r="B443" s="1" t="n">
        <v>45391.95329861111</v>
      </c>
      <c r="C443" s="1" t="n">
        <v>45914</v>
      </c>
      <c r="D443" t="inlineStr">
        <is>
          <t>JÄMTLANDS LÄN</t>
        </is>
      </c>
      <c r="E443" t="inlineStr">
        <is>
          <t>RAGUNDA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29766-2023</t>
        </is>
      </c>
      <c r="B444" s="1" t="n">
        <v>45098</v>
      </c>
      <c r="C444" s="1" t="n">
        <v>45914</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5930-2025</t>
        </is>
      </c>
      <c r="B445" s="1" t="n">
        <v>45695.44724537037</v>
      </c>
      <c r="C445" s="1" t="n">
        <v>45914</v>
      </c>
      <c r="D445" t="inlineStr">
        <is>
          <t>JÄMTLANDS LÄN</t>
        </is>
      </c>
      <c r="E445" t="inlineStr">
        <is>
          <t>RAGUNDA</t>
        </is>
      </c>
      <c r="G445" t="n">
        <v>0.7</v>
      </c>
      <c r="H445" t="n">
        <v>0</v>
      </c>
      <c r="I445" t="n">
        <v>0</v>
      </c>
      <c r="J445" t="n">
        <v>0</v>
      </c>
      <c r="K445" t="n">
        <v>0</v>
      </c>
      <c r="L445" t="n">
        <v>0</v>
      </c>
      <c r="M445" t="n">
        <v>0</v>
      </c>
      <c r="N445" t="n">
        <v>0</v>
      </c>
      <c r="O445" t="n">
        <v>0</v>
      </c>
      <c r="P445" t="n">
        <v>0</v>
      </c>
      <c r="Q445" t="n">
        <v>0</v>
      </c>
      <c r="R445" s="2" t="inlineStr"/>
    </row>
    <row r="446" ht="15" customHeight="1">
      <c r="A446" t="inlineStr">
        <is>
          <t>A 60935-2024</t>
        </is>
      </c>
      <c r="B446" s="1" t="n">
        <v>45645.36740740741</v>
      </c>
      <c r="C446" s="1" t="n">
        <v>45914</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58847-2024</t>
        </is>
      </c>
      <c r="B447" s="1" t="n">
        <v>45636.3864699074</v>
      </c>
      <c r="C447" s="1" t="n">
        <v>45914</v>
      </c>
      <c r="D447" t="inlineStr">
        <is>
          <t>JÄMTLANDS LÄN</t>
        </is>
      </c>
      <c r="E447" t="inlineStr">
        <is>
          <t>RAGUNDA</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18777-2024</t>
        </is>
      </c>
      <c r="B448" s="1" t="n">
        <v>45426</v>
      </c>
      <c r="C448" s="1" t="n">
        <v>45914</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14156-2024</t>
        </is>
      </c>
      <c r="B449" s="1" t="n">
        <v>45392</v>
      </c>
      <c r="C449" s="1" t="n">
        <v>45914</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14157-2024</t>
        </is>
      </c>
      <c r="B450" s="1" t="n">
        <v>45392.92903935185</v>
      </c>
      <c r="C450" s="1" t="n">
        <v>45914</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7722-2023</t>
        </is>
      </c>
      <c r="B451" s="1" t="n">
        <v>44972.94140046297</v>
      </c>
      <c r="C451" s="1" t="n">
        <v>45914</v>
      </c>
      <c r="D451" t="inlineStr">
        <is>
          <t>JÄMTLANDS LÄN</t>
        </is>
      </c>
      <c r="E451" t="inlineStr">
        <is>
          <t>RAGUNDA</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59670-2023</t>
        </is>
      </c>
      <c r="B452" s="1" t="n">
        <v>45254.96516203704</v>
      </c>
      <c r="C452" s="1" t="n">
        <v>45914</v>
      </c>
      <c r="D452" t="inlineStr">
        <is>
          <t>JÄMTLANDS LÄN</t>
        </is>
      </c>
      <c r="E452" t="inlineStr">
        <is>
          <t>RAGUNDA</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20653-2025</t>
        </is>
      </c>
      <c r="B453" s="1" t="n">
        <v>45776.40311342593</v>
      </c>
      <c r="C453" s="1" t="n">
        <v>45914</v>
      </c>
      <c r="D453" t="inlineStr">
        <is>
          <t>JÄMTLANDS LÄN</t>
        </is>
      </c>
      <c r="E453" t="inlineStr">
        <is>
          <t>RAGUNDA</t>
        </is>
      </c>
      <c r="G453" t="n">
        <v>10.8</v>
      </c>
      <c r="H453" t="n">
        <v>0</v>
      </c>
      <c r="I453" t="n">
        <v>0</v>
      </c>
      <c r="J453" t="n">
        <v>0</v>
      </c>
      <c r="K453" t="n">
        <v>0</v>
      </c>
      <c r="L453" t="n">
        <v>0</v>
      </c>
      <c r="M453" t="n">
        <v>0</v>
      </c>
      <c r="N453" t="n">
        <v>0</v>
      </c>
      <c r="O453" t="n">
        <v>0</v>
      </c>
      <c r="P453" t="n">
        <v>0</v>
      </c>
      <c r="Q453" t="n">
        <v>0</v>
      </c>
      <c r="R453" s="2" t="inlineStr"/>
    </row>
    <row r="454" ht="15" customHeight="1">
      <c r="A454" t="inlineStr">
        <is>
          <t>A 44727-2024</t>
        </is>
      </c>
      <c r="B454" s="1" t="n">
        <v>45574.57967592592</v>
      </c>
      <c r="C454" s="1" t="n">
        <v>45914</v>
      </c>
      <c r="D454" t="inlineStr">
        <is>
          <t>JÄMTLANDS LÄN</t>
        </is>
      </c>
      <c r="E454" t="inlineStr">
        <is>
          <t>RAGUNDA</t>
        </is>
      </c>
      <c r="G454" t="n">
        <v>4.7</v>
      </c>
      <c r="H454" t="n">
        <v>0</v>
      </c>
      <c r="I454" t="n">
        <v>0</v>
      </c>
      <c r="J454" t="n">
        <v>0</v>
      </c>
      <c r="K454" t="n">
        <v>0</v>
      </c>
      <c r="L454" t="n">
        <v>0</v>
      </c>
      <c r="M454" t="n">
        <v>0</v>
      </c>
      <c r="N454" t="n">
        <v>0</v>
      </c>
      <c r="O454" t="n">
        <v>0</v>
      </c>
      <c r="P454" t="n">
        <v>0</v>
      </c>
      <c r="Q454" t="n">
        <v>0</v>
      </c>
      <c r="R454" s="2" t="inlineStr"/>
    </row>
    <row r="455" ht="15" customHeight="1">
      <c r="A455" t="inlineStr">
        <is>
          <t>A 58193-2022</t>
        </is>
      </c>
      <c r="B455" s="1" t="n">
        <v>44900.95700231481</v>
      </c>
      <c r="C455" s="1" t="n">
        <v>45914</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20777-2025</t>
        </is>
      </c>
      <c r="B456" s="1" t="n">
        <v>45776.59422453704</v>
      </c>
      <c r="C456" s="1" t="n">
        <v>45914</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20722-2025</t>
        </is>
      </c>
      <c r="B457" s="1" t="n">
        <v>45776.50651620371</v>
      </c>
      <c r="C457" s="1" t="n">
        <v>45914</v>
      </c>
      <c r="D457" t="inlineStr">
        <is>
          <t>JÄMTLANDS LÄN</t>
        </is>
      </c>
      <c r="E457" t="inlineStr">
        <is>
          <t>RAGUNDA</t>
        </is>
      </c>
      <c r="F457" t="inlineStr">
        <is>
          <t>Kommuner</t>
        </is>
      </c>
      <c r="G457" t="n">
        <v>0.8</v>
      </c>
      <c r="H457" t="n">
        <v>0</v>
      </c>
      <c r="I457" t="n">
        <v>0</v>
      </c>
      <c r="J457" t="n">
        <v>0</v>
      </c>
      <c r="K457" t="n">
        <v>0</v>
      </c>
      <c r="L457" t="n">
        <v>0</v>
      </c>
      <c r="M457" t="n">
        <v>0</v>
      </c>
      <c r="N457" t="n">
        <v>0</v>
      </c>
      <c r="O457" t="n">
        <v>0</v>
      </c>
      <c r="P457" t="n">
        <v>0</v>
      </c>
      <c r="Q457" t="n">
        <v>0</v>
      </c>
      <c r="R457" s="2" t="inlineStr"/>
    </row>
    <row r="458" ht="15" customHeight="1">
      <c r="A458" t="inlineStr">
        <is>
          <t>A 18194-2025</t>
        </is>
      </c>
      <c r="B458" s="1" t="n">
        <v>45761.67744212963</v>
      </c>
      <c r="C458" s="1" t="n">
        <v>45914</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20728-2025</t>
        </is>
      </c>
      <c r="B459" s="1" t="n">
        <v>45776.51130787037</v>
      </c>
      <c r="C459" s="1" t="n">
        <v>45914</v>
      </c>
      <c r="D459" t="inlineStr">
        <is>
          <t>JÄMTLANDS LÄN</t>
        </is>
      </c>
      <c r="E459" t="inlineStr">
        <is>
          <t>RAGUNDA</t>
        </is>
      </c>
      <c r="F459" t="inlineStr">
        <is>
          <t>Kommuner</t>
        </is>
      </c>
      <c r="G459" t="n">
        <v>1.1</v>
      </c>
      <c r="H459" t="n">
        <v>0</v>
      </c>
      <c r="I459" t="n">
        <v>0</v>
      </c>
      <c r="J459" t="n">
        <v>0</v>
      </c>
      <c r="K459" t="n">
        <v>0</v>
      </c>
      <c r="L459" t="n">
        <v>0</v>
      </c>
      <c r="M459" t="n">
        <v>0</v>
      </c>
      <c r="N459" t="n">
        <v>0</v>
      </c>
      <c r="O459" t="n">
        <v>0</v>
      </c>
      <c r="P459" t="n">
        <v>0</v>
      </c>
      <c r="Q459" t="n">
        <v>0</v>
      </c>
      <c r="R459" s="2" t="inlineStr"/>
    </row>
    <row r="460" ht="15" customHeight="1">
      <c r="A460" t="inlineStr">
        <is>
          <t>A 26991-2023</t>
        </is>
      </c>
      <c r="B460" s="1" t="n">
        <v>45093.92207175926</v>
      </c>
      <c r="C460" s="1" t="n">
        <v>45914</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21661-2023</t>
        </is>
      </c>
      <c r="B461" s="1" t="n">
        <v>45063</v>
      </c>
      <c r="C461" s="1" t="n">
        <v>45914</v>
      </c>
      <c r="D461" t="inlineStr">
        <is>
          <t>JÄMTLANDS LÄN</t>
        </is>
      </c>
      <c r="E461" t="inlineStr">
        <is>
          <t>RAGUNDA</t>
        </is>
      </c>
      <c r="G461" t="n">
        <v>1.5</v>
      </c>
      <c r="H461" t="n">
        <v>0</v>
      </c>
      <c r="I461" t="n">
        <v>0</v>
      </c>
      <c r="J461" t="n">
        <v>0</v>
      </c>
      <c r="K461" t="n">
        <v>0</v>
      </c>
      <c r="L461" t="n">
        <v>0</v>
      </c>
      <c r="M461" t="n">
        <v>0</v>
      </c>
      <c r="N461" t="n">
        <v>0</v>
      </c>
      <c r="O461" t="n">
        <v>0</v>
      </c>
      <c r="P461" t="n">
        <v>0</v>
      </c>
      <c r="Q461" t="n">
        <v>0</v>
      </c>
      <c r="R461" s="2" t="inlineStr"/>
    </row>
    <row r="462" ht="15" customHeight="1">
      <c r="A462" t="inlineStr">
        <is>
          <t>A 13299-2024</t>
        </is>
      </c>
      <c r="B462" s="1" t="n">
        <v>45386.68003472222</v>
      </c>
      <c r="C462" s="1" t="n">
        <v>45914</v>
      </c>
      <c r="D462" t="inlineStr">
        <is>
          <t>JÄMTLANDS LÄN</t>
        </is>
      </c>
      <c r="E462" t="inlineStr">
        <is>
          <t>RAGUNDA</t>
        </is>
      </c>
      <c r="G462" t="n">
        <v>1.9</v>
      </c>
      <c r="H462" t="n">
        <v>0</v>
      </c>
      <c r="I462" t="n">
        <v>0</v>
      </c>
      <c r="J462" t="n">
        <v>0</v>
      </c>
      <c r="K462" t="n">
        <v>0</v>
      </c>
      <c r="L462" t="n">
        <v>0</v>
      </c>
      <c r="M462" t="n">
        <v>0</v>
      </c>
      <c r="N462" t="n">
        <v>0</v>
      </c>
      <c r="O462" t="n">
        <v>0</v>
      </c>
      <c r="P462" t="n">
        <v>0</v>
      </c>
      <c r="Q462" t="n">
        <v>0</v>
      </c>
      <c r="R462" s="2" t="inlineStr"/>
    </row>
    <row r="463" ht="15" customHeight="1">
      <c r="A463" t="inlineStr">
        <is>
          <t>A 58537-2022</t>
        </is>
      </c>
      <c r="B463" s="1" t="n">
        <v>44894</v>
      </c>
      <c r="C463" s="1" t="n">
        <v>45914</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53347-2023</t>
        </is>
      </c>
      <c r="B464" s="1" t="n">
        <v>45223</v>
      </c>
      <c r="C464" s="1" t="n">
        <v>45914</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7281-2024</t>
        </is>
      </c>
      <c r="B465" s="1" t="n">
        <v>45344</v>
      </c>
      <c r="C465" s="1" t="n">
        <v>45914</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19382-2025</t>
        </is>
      </c>
      <c r="B466" s="1" t="n">
        <v>45769.65659722222</v>
      </c>
      <c r="C466" s="1" t="n">
        <v>45914</v>
      </c>
      <c r="D466" t="inlineStr">
        <is>
          <t>JÄMTLANDS LÄN</t>
        </is>
      </c>
      <c r="E466" t="inlineStr">
        <is>
          <t>RAGUNDA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19403-2025</t>
        </is>
      </c>
      <c r="B467" s="1" t="n">
        <v>45769.67790509259</v>
      </c>
      <c r="C467" s="1" t="n">
        <v>45914</v>
      </c>
      <c r="D467" t="inlineStr">
        <is>
          <t>JÄMTLANDS LÄN</t>
        </is>
      </c>
      <c r="E467" t="inlineStr">
        <is>
          <t>RAGUNDA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60225-2022</t>
        </is>
      </c>
      <c r="B468" s="1" t="n">
        <v>44903</v>
      </c>
      <c r="C468" s="1" t="n">
        <v>45914</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22948-2024</t>
        </is>
      </c>
      <c r="B469" s="1" t="n">
        <v>45448.94600694445</v>
      </c>
      <c r="C469" s="1" t="n">
        <v>45914</v>
      </c>
      <c r="D469" t="inlineStr">
        <is>
          <t>JÄMTLANDS LÄN</t>
        </is>
      </c>
      <c r="E469" t="inlineStr">
        <is>
          <t>RAGUNDA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61045-2022</t>
        </is>
      </c>
      <c r="B470" s="1" t="n">
        <v>44914</v>
      </c>
      <c r="C470" s="1" t="n">
        <v>45914</v>
      </c>
      <c r="D470" t="inlineStr">
        <is>
          <t>JÄMTLANDS LÄN</t>
        </is>
      </c>
      <c r="E470" t="inlineStr">
        <is>
          <t>RAGUNDA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21332-2025</t>
        </is>
      </c>
      <c r="B471" s="1" t="n">
        <v>45782.36506944444</v>
      </c>
      <c r="C471" s="1" t="n">
        <v>45914</v>
      </c>
      <c r="D471" t="inlineStr">
        <is>
          <t>JÄMTLANDS LÄN</t>
        </is>
      </c>
      <c r="E471" t="inlineStr">
        <is>
          <t>RAGUNDA</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21430-2025</t>
        </is>
      </c>
      <c r="B472" s="1" t="n">
        <v>45782.51099537037</v>
      </c>
      <c r="C472" s="1" t="n">
        <v>45914</v>
      </c>
      <c r="D472" t="inlineStr">
        <is>
          <t>JÄMTLANDS LÄN</t>
        </is>
      </c>
      <c r="E472" t="inlineStr">
        <is>
          <t>RAGUNDA</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21432-2025</t>
        </is>
      </c>
      <c r="B473" s="1" t="n">
        <v>45782.51109953703</v>
      </c>
      <c r="C473" s="1" t="n">
        <v>45914</v>
      </c>
      <c r="D473" t="inlineStr">
        <is>
          <t>JÄMTLANDS LÄN</t>
        </is>
      </c>
      <c r="E473" t="inlineStr">
        <is>
          <t>RAGUNDA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21550-2025</t>
        </is>
      </c>
      <c r="B474" s="1" t="n">
        <v>45782.67758101852</v>
      </c>
      <c r="C474" s="1" t="n">
        <v>45914</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59996-2021</t>
        </is>
      </c>
      <c r="B475" s="1" t="n">
        <v>44494.93930555556</v>
      </c>
      <c r="C475" s="1" t="n">
        <v>45914</v>
      </c>
      <c r="D475" t="inlineStr">
        <is>
          <t>JÄMTLANDS LÄN</t>
        </is>
      </c>
      <c r="E475" t="inlineStr">
        <is>
          <t>RAGUNDA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21451-2025</t>
        </is>
      </c>
      <c r="B476" s="1" t="n">
        <v>45782.55287037037</v>
      </c>
      <c r="C476" s="1" t="n">
        <v>45914</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21150-2025</t>
        </is>
      </c>
      <c r="B477" s="1" t="n">
        <v>45779.34417824074</v>
      </c>
      <c r="C477" s="1" t="n">
        <v>45914</v>
      </c>
      <c r="D477" t="inlineStr">
        <is>
          <t>JÄMTLANDS LÄN</t>
        </is>
      </c>
      <c r="E477" t="inlineStr">
        <is>
          <t>RAGUNDA</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21177-2025</t>
        </is>
      </c>
      <c r="B478" s="1" t="n">
        <v>45779.4281712963</v>
      </c>
      <c r="C478" s="1" t="n">
        <v>45914</v>
      </c>
      <c r="D478" t="inlineStr">
        <is>
          <t>JÄMTLANDS LÄN</t>
        </is>
      </c>
      <c r="E478" t="inlineStr">
        <is>
          <t>RAGUNDA</t>
        </is>
      </c>
      <c r="F478" t="inlineStr">
        <is>
          <t>SCA</t>
        </is>
      </c>
      <c r="G478" t="n">
        <v>16.1</v>
      </c>
      <c r="H478" t="n">
        <v>0</v>
      </c>
      <c r="I478" t="n">
        <v>0</v>
      </c>
      <c r="J478" t="n">
        <v>0</v>
      </c>
      <c r="K478" t="n">
        <v>0</v>
      </c>
      <c r="L478" t="n">
        <v>0</v>
      </c>
      <c r="M478" t="n">
        <v>0</v>
      </c>
      <c r="N478" t="n">
        <v>0</v>
      </c>
      <c r="O478" t="n">
        <v>0</v>
      </c>
      <c r="P478" t="n">
        <v>0</v>
      </c>
      <c r="Q478" t="n">
        <v>0</v>
      </c>
      <c r="R478" s="2" t="inlineStr"/>
    </row>
    <row r="479" ht="15" customHeight="1">
      <c r="A479" t="inlineStr">
        <is>
          <t>A 21331-2025</t>
        </is>
      </c>
      <c r="B479" s="1" t="n">
        <v>45782.36494212963</v>
      </c>
      <c r="C479" s="1" t="n">
        <v>45914</v>
      </c>
      <c r="D479" t="inlineStr">
        <is>
          <t>JÄMTLANDS LÄN</t>
        </is>
      </c>
      <c r="E479" t="inlineStr">
        <is>
          <t>RAGUNDA</t>
        </is>
      </c>
      <c r="F479" t="inlineStr">
        <is>
          <t>SCA</t>
        </is>
      </c>
      <c r="G479" t="n">
        <v>23.1</v>
      </c>
      <c r="H479" t="n">
        <v>0</v>
      </c>
      <c r="I479" t="n">
        <v>0</v>
      </c>
      <c r="J479" t="n">
        <v>0</v>
      </c>
      <c r="K479" t="n">
        <v>0</v>
      </c>
      <c r="L479" t="n">
        <v>0</v>
      </c>
      <c r="M479" t="n">
        <v>0</v>
      </c>
      <c r="N479" t="n">
        <v>0</v>
      </c>
      <c r="O479" t="n">
        <v>0</v>
      </c>
      <c r="P479" t="n">
        <v>0</v>
      </c>
      <c r="Q479" t="n">
        <v>0</v>
      </c>
      <c r="R479" s="2" t="inlineStr"/>
    </row>
    <row r="480" ht="15" customHeight="1">
      <c r="A480" t="inlineStr">
        <is>
          <t>A 21214-2025</t>
        </is>
      </c>
      <c r="B480" s="1" t="n">
        <v>45779.49025462963</v>
      </c>
      <c r="C480" s="1" t="n">
        <v>45914</v>
      </c>
      <c r="D480" t="inlineStr">
        <is>
          <t>JÄMTLANDS LÄN</t>
        </is>
      </c>
      <c r="E480" t="inlineStr">
        <is>
          <t>RAGUNDA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22941-2024</t>
        </is>
      </c>
      <c r="B481" s="1" t="n">
        <v>45448.94520833333</v>
      </c>
      <c r="C481" s="1" t="n">
        <v>45914</v>
      </c>
      <c r="D481" t="inlineStr">
        <is>
          <t>JÄMTLANDS LÄN</t>
        </is>
      </c>
      <c r="E481" t="inlineStr">
        <is>
          <t>RAGUNDA</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53678-2022</t>
        </is>
      </c>
      <c r="B482" s="1" t="n">
        <v>44879.95768518518</v>
      </c>
      <c r="C482" s="1" t="n">
        <v>45914</v>
      </c>
      <c r="D482" t="inlineStr">
        <is>
          <t>JÄMTLANDS LÄN</t>
        </is>
      </c>
      <c r="E482" t="inlineStr">
        <is>
          <t>RAGUNDA</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14369-2024</t>
        </is>
      </c>
      <c r="B483" s="1" t="n">
        <v>45393.94459490741</v>
      </c>
      <c r="C483" s="1" t="n">
        <v>45914</v>
      </c>
      <c r="D483" t="inlineStr">
        <is>
          <t>JÄMTLANDS LÄN</t>
        </is>
      </c>
      <c r="E483" t="inlineStr">
        <is>
          <t>RAGUNDA</t>
        </is>
      </c>
      <c r="F483" t="inlineStr">
        <is>
          <t>Naturvårdsverket</t>
        </is>
      </c>
      <c r="G483" t="n">
        <v>1.8</v>
      </c>
      <c r="H483" t="n">
        <v>0</v>
      </c>
      <c r="I483" t="n">
        <v>0</v>
      </c>
      <c r="J483" t="n">
        <v>0</v>
      </c>
      <c r="K483" t="n">
        <v>0</v>
      </c>
      <c r="L483" t="n">
        <v>0</v>
      </c>
      <c r="M483" t="n">
        <v>0</v>
      </c>
      <c r="N483" t="n">
        <v>0</v>
      </c>
      <c r="O483" t="n">
        <v>0</v>
      </c>
      <c r="P483" t="n">
        <v>0</v>
      </c>
      <c r="Q483" t="n">
        <v>0</v>
      </c>
      <c r="R483" s="2" t="inlineStr"/>
    </row>
    <row r="484" ht="15" customHeight="1">
      <c r="A484" t="inlineStr">
        <is>
          <t>A 10639-2024</t>
        </is>
      </c>
      <c r="B484" s="1" t="n">
        <v>45367.67256944445</v>
      </c>
      <c r="C484" s="1" t="n">
        <v>45914</v>
      </c>
      <c r="D484" t="inlineStr">
        <is>
          <t>JÄMTLANDS LÄN</t>
        </is>
      </c>
      <c r="E484" t="inlineStr">
        <is>
          <t>RAGUNDA</t>
        </is>
      </c>
      <c r="G484" t="n">
        <v>2</v>
      </c>
      <c r="H484" t="n">
        <v>0</v>
      </c>
      <c r="I484" t="n">
        <v>0</v>
      </c>
      <c r="J484" t="n">
        <v>0</v>
      </c>
      <c r="K484" t="n">
        <v>0</v>
      </c>
      <c r="L484" t="n">
        <v>0</v>
      </c>
      <c r="M484" t="n">
        <v>0</v>
      </c>
      <c r="N484" t="n">
        <v>0</v>
      </c>
      <c r="O484" t="n">
        <v>0</v>
      </c>
      <c r="P484" t="n">
        <v>0</v>
      </c>
      <c r="Q484" t="n">
        <v>0</v>
      </c>
      <c r="R484" s="2" t="inlineStr"/>
    </row>
    <row r="485" ht="15" customHeight="1">
      <c r="A485" t="inlineStr">
        <is>
          <t>A 16320-2025</t>
        </is>
      </c>
      <c r="B485" s="1" t="n">
        <v>45751.34859953704</v>
      </c>
      <c r="C485" s="1" t="n">
        <v>45914</v>
      </c>
      <c r="D485" t="inlineStr">
        <is>
          <t>JÄMTLANDS LÄN</t>
        </is>
      </c>
      <c r="E485" t="inlineStr">
        <is>
          <t>RAGUNDA</t>
        </is>
      </c>
      <c r="F485" t="inlineStr">
        <is>
          <t>SCA</t>
        </is>
      </c>
      <c r="G485" t="n">
        <v>16.2</v>
      </c>
      <c r="H485" t="n">
        <v>0</v>
      </c>
      <c r="I485" t="n">
        <v>0</v>
      </c>
      <c r="J485" t="n">
        <v>0</v>
      </c>
      <c r="K485" t="n">
        <v>0</v>
      </c>
      <c r="L485" t="n">
        <v>0</v>
      </c>
      <c r="M485" t="n">
        <v>0</v>
      </c>
      <c r="N485" t="n">
        <v>0</v>
      </c>
      <c r="O485" t="n">
        <v>0</v>
      </c>
      <c r="P485" t="n">
        <v>0</v>
      </c>
      <c r="Q485" t="n">
        <v>0</v>
      </c>
      <c r="R485" s="2" t="inlineStr"/>
    </row>
    <row r="486" ht="15" customHeight="1">
      <c r="A486" t="inlineStr">
        <is>
          <t>A 44881-2023</t>
        </is>
      </c>
      <c r="B486" s="1" t="n">
        <v>45187</v>
      </c>
      <c r="C486" s="1" t="n">
        <v>45914</v>
      </c>
      <c r="D486" t="inlineStr">
        <is>
          <t>JÄMTLANDS LÄN</t>
        </is>
      </c>
      <c r="E486" t="inlineStr">
        <is>
          <t>RAGUNDA</t>
        </is>
      </c>
      <c r="G486" t="n">
        <v>2.4</v>
      </c>
      <c r="H486" t="n">
        <v>0</v>
      </c>
      <c r="I486" t="n">
        <v>0</v>
      </c>
      <c r="J486" t="n">
        <v>0</v>
      </c>
      <c r="K486" t="n">
        <v>0</v>
      </c>
      <c r="L486" t="n">
        <v>0</v>
      </c>
      <c r="M486" t="n">
        <v>0</v>
      </c>
      <c r="N486" t="n">
        <v>0</v>
      </c>
      <c r="O486" t="n">
        <v>0</v>
      </c>
      <c r="P486" t="n">
        <v>0</v>
      </c>
      <c r="Q486" t="n">
        <v>0</v>
      </c>
      <c r="R486" s="2" t="inlineStr"/>
    </row>
    <row r="487" ht="15" customHeight="1">
      <c r="A487" t="inlineStr">
        <is>
          <t>A 11557-2023</t>
        </is>
      </c>
      <c r="B487" s="1" t="n">
        <v>44993.94950231481</v>
      </c>
      <c r="C487" s="1" t="n">
        <v>45914</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11562-2023</t>
        </is>
      </c>
      <c r="B488" s="1" t="n">
        <v>44993</v>
      </c>
      <c r="C488" s="1" t="n">
        <v>45914</v>
      </c>
      <c r="D488" t="inlineStr">
        <is>
          <t>JÄMTLANDS LÄN</t>
        </is>
      </c>
      <c r="E488" t="inlineStr">
        <is>
          <t>RAGUNDA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5175-2023</t>
        </is>
      </c>
      <c r="B489" s="1" t="n">
        <v>44958.94298611111</v>
      </c>
      <c r="C489" s="1" t="n">
        <v>45914</v>
      </c>
      <c r="D489" t="inlineStr">
        <is>
          <t>JÄMTLANDS LÄN</t>
        </is>
      </c>
      <c r="E489" t="inlineStr">
        <is>
          <t>RAGUNDA</t>
        </is>
      </c>
      <c r="F489" t="inlineStr">
        <is>
          <t>SCA</t>
        </is>
      </c>
      <c r="G489" t="n">
        <v>17.9</v>
      </c>
      <c r="H489" t="n">
        <v>0</v>
      </c>
      <c r="I489" t="n">
        <v>0</v>
      </c>
      <c r="J489" t="n">
        <v>0</v>
      </c>
      <c r="K489" t="n">
        <v>0</v>
      </c>
      <c r="L489" t="n">
        <v>0</v>
      </c>
      <c r="M489" t="n">
        <v>0</v>
      </c>
      <c r="N489" t="n">
        <v>0</v>
      </c>
      <c r="O489" t="n">
        <v>0</v>
      </c>
      <c r="P489" t="n">
        <v>0</v>
      </c>
      <c r="Q489" t="n">
        <v>0</v>
      </c>
      <c r="R489" s="2" t="inlineStr"/>
    </row>
    <row r="490" ht="15" customHeight="1">
      <c r="A490" t="inlineStr">
        <is>
          <t>A 52345-2024</t>
        </is>
      </c>
      <c r="B490" s="1" t="n">
        <v>45609.34412037037</v>
      </c>
      <c r="C490" s="1" t="n">
        <v>45914</v>
      </c>
      <c r="D490" t="inlineStr">
        <is>
          <t>JÄMTLANDS LÄN</t>
        </is>
      </c>
      <c r="E490" t="inlineStr">
        <is>
          <t>RAGUNDA</t>
        </is>
      </c>
      <c r="F490" t="inlineStr">
        <is>
          <t>SCA</t>
        </is>
      </c>
      <c r="G490" t="n">
        <v>10.3</v>
      </c>
      <c r="H490" t="n">
        <v>0</v>
      </c>
      <c r="I490" t="n">
        <v>0</v>
      </c>
      <c r="J490" t="n">
        <v>0</v>
      </c>
      <c r="K490" t="n">
        <v>0</v>
      </c>
      <c r="L490" t="n">
        <v>0</v>
      </c>
      <c r="M490" t="n">
        <v>0</v>
      </c>
      <c r="N490" t="n">
        <v>0</v>
      </c>
      <c r="O490" t="n">
        <v>0</v>
      </c>
      <c r="P490" t="n">
        <v>0</v>
      </c>
      <c r="Q490" t="n">
        <v>0</v>
      </c>
      <c r="R490" s="2" t="inlineStr"/>
    </row>
    <row r="491" ht="15" customHeight="1">
      <c r="A491" t="inlineStr">
        <is>
          <t>A 50649-2022</t>
        </is>
      </c>
      <c r="B491" s="1" t="n">
        <v>44866</v>
      </c>
      <c r="C491" s="1" t="n">
        <v>45914</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41343-2024</t>
        </is>
      </c>
      <c r="B492" s="1" t="n">
        <v>45559.67745370371</v>
      </c>
      <c r="C492" s="1" t="n">
        <v>45914</v>
      </c>
      <c r="D492" t="inlineStr">
        <is>
          <t>JÄMTLANDS LÄN</t>
        </is>
      </c>
      <c r="E492" t="inlineStr">
        <is>
          <t>RAGUNDA</t>
        </is>
      </c>
      <c r="F492" t="inlineStr">
        <is>
          <t>SCA</t>
        </is>
      </c>
      <c r="G492" t="n">
        <v>25.1</v>
      </c>
      <c r="H492" t="n">
        <v>0</v>
      </c>
      <c r="I492" t="n">
        <v>0</v>
      </c>
      <c r="J492" t="n">
        <v>0</v>
      </c>
      <c r="K492" t="n">
        <v>0</v>
      </c>
      <c r="L492" t="n">
        <v>0</v>
      </c>
      <c r="M492" t="n">
        <v>0</v>
      </c>
      <c r="N492" t="n">
        <v>0</v>
      </c>
      <c r="O492" t="n">
        <v>0</v>
      </c>
      <c r="P492" t="n">
        <v>0</v>
      </c>
      <c r="Q492" t="n">
        <v>0</v>
      </c>
      <c r="R492" s="2" t="inlineStr"/>
    </row>
    <row r="493" ht="15" customHeight="1">
      <c r="A493" t="inlineStr">
        <is>
          <t>A 60629-2023</t>
        </is>
      </c>
      <c r="B493" s="1" t="n">
        <v>45259</v>
      </c>
      <c r="C493" s="1" t="n">
        <v>45914</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12039-2023</t>
        </is>
      </c>
      <c r="B494" s="1" t="n">
        <v>44995.98341435185</v>
      </c>
      <c r="C494" s="1" t="n">
        <v>45914</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12050-2023</t>
        </is>
      </c>
      <c r="B495" s="1" t="n">
        <v>44995.98644675926</v>
      </c>
      <c r="C495" s="1" t="n">
        <v>45914</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44066-2024</t>
        </is>
      </c>
      <c r="B496" s="1" t="n">
        <v>45572.60363425926</v>
      </c>
      <c r="C496" s="1" t="n">
        <v>45914</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2751-2024</t>
        </is>
      </c>
      <c r="B497" s="1" t="n">
        <v>45314</v>
      </c>
      <c r="C497" s="1" t="n">
        <v>45914</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36986-2023</t>
        </is>
      </c>
      <c r="B498" s="1" t="n">
        <v>45154.95525462963</v>
      </c>
      <c r="C498" s="1" t="n">
        <v>45914</v>
      </c>
      <c r="D498" t="inlineStr">
        <is>
          <t>JÄMTLANDS LÄN</t>
        </is>
      </c>
      <c r="E498" t="inlineStr">
        <is>
          <t>RAGUNDA</t>
        </is>
      </c>
      <c r="F498" t="inlineStr">
        <is>
          <t>SCA</t>
        </is>
      </c>
      <c r="G498" t="n">
        <v>0.2</v>
      </c>
      <c r="H498" t="n">
        <v>0</v>
      </c>
      <c r="I498" t="n">
        <v>0</v>
      </c>
      <c r="J498" t="n">
        <v>0</v>
      </c>
      <c r="K498" t="n">
        <v>0</v>
      </c>
      <c r="L498" t="n">
        <v>0</v>
      </c>
      <c r="M498" t="n">
        <v>0</v>
      </c>
      <c r="N498" t="n">
        <v>0</v>
      </c>
      <c r="O498" t="n">
        <v>0</v>
      </c>
      <c r="P498" t="n">
        <v>0</v>
      </c>
      <c r="Q498" t="n">
        <v>0</v>
      </c>
      <c r="R498" s="2" t="inlineStr"/>
    </row>
    <row r="499" ht="15" customHeight="1">
      <c r="A499" t="inlineStr">
        <is>
          <t>A 57889-2024</t>
        </is>
      </c>
      <c r="B499" s="1" t="n">
        <v>45631.46665509259</v>
      </c>
      <c r="C499" s="1" t="n">
        <v>45914</v>
      </c>
      <c r="D499" t="inlineStr">
        <is>
          <t>JÄMTLANDS LÄN</t>
        </is>
      </c>
      <c r="E499" t="inlineStr">
        <is>
          <t>RAGUNDA</t>
        </is>
      </c>
      <c r="G499" t="n">
        <v>11.1</v>
      </c>
      <c r="H499" t="n">
        <v>0</v>
      </c>
      <c r="I499" t="n">
        <v>0</v>
      </c>
      <c r="J499" t="n">
        <v>0</v>
      </c>
      <c r="K499" t="n">
        <v>0</v>
      </c>
      <c r="L499" t="n">
        <v>0</v>
      </c>
      <c r="M499" t="n">
        <v>0</v>
      </c>
      <c r="N499" t="n">
        <v>0</v>
      </c>
      <c r="O499" t="n">
        <v>0</v>
      </c>
      <c r="P499" t="n">
        <v>0</v>
      </c>
      <c r="Q499" t="n">
        <v>0</v>
      </c>
      <c r="R499" s="2" t="inlineStr"/>
    </row>
    <row r="500" ht="15" customHeight="1">
      <c r="A500" t="inlineStr">
        <is>
          <t>A 14368-2024</t>
        </is>
      </c>
      <c r="B500" s="1" t="n">
        <v>45393.94431712963</v>
      </c>
      <c r="C500" s="1" t="n">
        <v>45914</v>
      </c>
      <c r="D500" t="inlineStr">
        <is>
          <t>JÄMTLANDS LÄN</t>
        </is>
      </c>
      <c r="E500" t="inlineStr">
        <is>
          <t>RAGUNDA</t>
        </is>
      </c>
      <c r="F500" t="inlineStr">
        <is>
          <t>Naturvårdsverket</t>
        </is>
      </c>
      <c r="G500" t="n">
        <v>1.6</v>
      </c>
      <c r="H500" t="n">
        <v>0</v>
      </c>
      <c r="I500" t="n">
        <v>0</v>
      </c>
      <c r="J500" t="n">
        <v>0</v>
      </c>
      <c r="K500" t="n">
        <v>0</v>
      </c>
      <c r="L500" t="n">
        <v>0</v>
      </c>
      <c r="M500" t="n">
        <v>0</v>
      </c>
      <c r="N500" t="n">
        <v>0</v>
      </c>
      <c r="O500" t="n">
        <v>0</v>
      </c>
      <c r="P500" t="n">
        <v>0</v>
      </c>
      <c r="Q500" t="n">
        <v>0</v>
      </c>
      <c r="R500" s="2" t="inlineStr"/>
    </row>
    <row r="501" ht="15" customHeight="1">
      <c r="A501" t="inlineStr">
        <is>
          <t>A 60195-2023</t>
        </is>
      </c>
      <c r="B501" s="1" t="n">
        <v>45257</v>
      </c>
      <c r="C501" s="1" t="n">
        <v>45914</v>
      </c>
      <c r="D501" t="inlineStr">
        <is>
          <t>JÄMTLANDS LÄN</t>
        </is>
      </c>
      <c r="E501" t="inlineStr">
        <is>
          <t>RAGUNDA</t>
        </is>
      </c>
      <c r="G501" t="n">
        <v>1.7</v>
      </c>
      <c r="H501" t="n">
        <v>0</v>
      </c>
      <c r="I501" t="n">
        <v>0</v>
      </c>
      <c r="J501" t="n">
        <v>0</v>
      </c>
      <c r="K501" t="n">
        <v>0</v>
      </c>
      <c r="L501" t="n">
        <v>0</v>
      </c>
      <c r="M501" t="n">
        <v>0</v>
      </c>
      <c r="N501" t="n">
        <v>0</v>
      </c>
      <c r="O501" t="n">
        <v>0</v>
      </c>
      <c r="P501" t="n">
        <v>0</v>
      </c>
      <c r="Q501" t="n">
        <v>0</v>
      </c>
      <c r="R501" s="2" t="inlineStr"/>
    </row>
    <row r="502" ht="15" customHeight="1">
      <c r="A502" t="inlineStr">
        <is>
          <t>A 18159-2023</t>
        </is>
      </c>
      <c r="B502" s="1" t="n">
        <v>45040.94277777777</v>
      </c>
      <c r="C502" s="1" t="n">
        <v>45914</v>
      </c>
      <c r="D502" t="inlineStr">
        <is>
          <t>JÄMTLANDS LÄN</t>
        </is>
      </c>
      <c r="E502" t="inlineStr">
        <is>
          <t>RAGUNDA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22388-2025</t>
        </is>
      </c>
      <c r="B503" s="1" t="n">
        <v>45786.51077546296</v>
      </c>
      <c r="C503" s="1" t="n">
        <v>45914</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2819-2023</t>
        </is>
      </c>
      <c r="B504" s="1" t="n">
        <v>44944</v>
      </c>
      <c r="C504" s="1" t="n">
        <v>45914</v>
      </c>
      <c r="D504" t="inlineStr">
        <is>
          <t>JÄMTLANDS LÄN</t>
        </is>
      </c>
      <c r="E504" t="inlineStr">
        <is>
          <t>RAGUNDA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182-2023</t>
        </is>
      </c>
      <c r="B505" s="1" t="n">
        <v>44922</v>
      </c>
      <c r="C505" s="1" t="n">
        <v>45914</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66011-2021</t>
        </is>
      </c>
      <c r="B506" s="1" t="n">
        <v>44517.58137731482</v>
      </c>
      <c r="C506" s="1" t="n">
        <v>45914</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32904-2024</t>
        </is>
      </c>
      <c r="B507" s="1" t="n">
        <v>45516.94732638889</v>
      </c>
      <c r="C507" s="1" t="n">
        <v>45914</v>
      </c>
      <c r="D507" t="inlineStr">
        <is>
          <t>JÄMTLANDS LÄN</t>
        </is>
      </c>
      <c r="E507" t="inlineStr">
        <is>
          <t>RAGUNDA</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13700-2023</t>
        </is>
      </c>
      <c r="B508" s="1" t="n">
        <v>45006</v>
      </c>
      <c r="C508" s="1" t="n">
        <v>45914</v>
      </c>
      <c r="D508" t="inlineStr">
        <is>
          <t>JÄMTLANDS LÄN</t>
        </is>
      </c>
      <c r="E508" t="inlineStr">
        <is>
          <t>RAGUNDA</t>
        </is>
      </c>
      <c r="F508" t="inlineStr">
        <is>
          <t>SCA</t>
        </is>
      </c>
      <c r="G508" t="n">
        <v>50.3</v>
      </c>
      <c r="H508" t="n">
        <v>0</v>
      </c>
      <c r="I508" t="n">
        <v>0</v>
      </c>
      <c r="J508" t="n">
        <v>0</v>
      </c>
      <c r="K508" t="n">
        <v>0</v>
      </c>
      <c r="L508" t="n">
        <v>0</v>
      </c>
      <c r="M508" t="n">
        <v>0</v>
      </c>
      <c r="N508" t="n">
        <v>0</v>
      </c>
      <c r="O508" t="n">
        <v>0</v>
      </c>
      <c r="P508" t="n">
        <v>0</v>
      </c>
      <c r="Q508" t="n">
        <v>0</v>
      </c>
      <c r="R508" s="2" t="inlineStr"/>
    </row>
    <row r="509" ht="15" customHeight="1">
      <c r="A509" t="inlineStr">
        <is>
          <t>A 37543-2023</t>
        </is>
      </c>
      <c r="B509" s="1" t="n">
        <v>45158.94231481481</v>
      </c>
      <c r="C509" s="1" t="n">
        <v>45914</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53171-2024</t>
        </is>
      </c>
      <c r="B510" s="1" t="n">
        <v>45611.65679398148</v>
      </c>
      <c r="C510" s="1" t="n">
        <v>45914</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1523-2024</t>
        </is>
      </c>
      <c r="B511" s="1" t="n">
        <v>45306</v>
      </c>
      <c r="C511" s="1" t="n">
        <v>45914</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64265-2023</t>
        </is>
      </c>
      <c r="B512" s="1" t="n">
        <v>45279.94572916667</v>
      </c>
      <c r="C512" s="1" t="n">
        <v>45914</v>
      </c>
      <c r="D512" t="inlineStr">
        <is>
          <t>JÄMTLANDS LÄN</t>
        </is>
      </c>
      <c r="E512" t="inlineStr">
        <is>
          <t>RAGUNDA</t>
        </is>
      </c>
      <c r="F512" t="inlineStr">
        <is>
          <t>SCA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44605-2024</t>
        </is>
      </c>
      <c r="B513" s="1" t="n">
        <v>45574.51185185185</v>
      </c>
      <c r="C513" s="1" t="n">
        <v>45914</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19438-2023</t>
        </is>
      </c>
      <c r="B514" s="1" t="n">
        <v>45049</v>
      </c>
      <c r="C514" s="1" t="n">
        <v>45914</v>
      </c>
      <c r="D514" t="inlineStr">
        <is>
          <t>JÄMTLANDS LÄN</t>
        </is>
      </c>
      <c r="E514" t="inlineStr">
        <is>
          <t>RAGUNDA</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23528-2024</t>
        </is>
      </c>
      <c r="B515" s="1" t="n">
        <v>45453.95016203704</v>
      </c>
      <c r="C515" s="1" t="n">
        <v>45914</v>
      </c>
      <c r="D515" t="inlineStr">
        <is>
          <t>JÄMTLANDS LÄN</t>
        </is>
      </c>
      <c r="E515" t="inlineStr">
        <is>
          <t>RAGUNDA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22898-2025</t>
        </is>
      </c>
      <c r="B516" s="1" t="n">
        <v>45790.40670138889</v>
      </c>
      <c r="C516" s="1" t="n">
        <v>45914</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22412-2024</t>
        </is>
      </c>
      <c r="B517" s="1" t="n">
        <v>45446.68947916666</v>
      </c>
      <c r="C517" s="1" t="n">
        <v>45914</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24196-2024</t>
        </is>
      </c>
      <c r="B518" s="1" t="n">
        <v>45456.96569444444</v>
      </c>
      <c r="C518" s="1" t="n">
        <v>45914</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53136-2024</t>
        </is>
      </c>
      <c r="B519" s="1" t="n">
        <v>45611.5953125</v>
      </c>
      <c r="C519" s="1" t="n">
        <v>45914</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52228-2024</t>
        </is>
      </c>
      <c r="B520" s="1" t="n">
        <v>45608.6078587963</v>
      </c>
      <c r="C520" s="1" t="n">
        <v>45914</v>
      </c>
      <c r="D520" t="inlineStr">
        <is>
          <t>JÄMTLANDS LÄN</t>
        </is>
      </c>
      <c r="E520" t="inlineStr">
        <is>
          <t>RAGUNDA</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59372-2024</t>
        </is>
      </c>
      <c r="B521" s="1" t="n">
        <v>45638.34431712963</v>
      </c>
      <c r="C521" s="1" t="n">
        <v>45914</v>
      </c>
      <c r="D521" t="inlineStr">
        <is>
          <t>JÄMTLANDS LÄN</t>
        </is>
      </c>
      <c r="E521" t="inlineStr">
        <is>
          <t>RAGUNDA</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55701-2021</t>
        </is>
      </c>
      <c r="B522" s="1" t="n">
        <v>44475</v>
      </c>
      <c r="C522" s="1" t="n">
        <v>45914</v>
      </c>
      <c r="D522" t="inlineStr">
        <is>
          <t>JÄMTLANDS LÄN</t>
        </is>
      </c>
      <c r="E522" t="inlineStr">
        <is>
          <t>RAGUNDA</t>
        </is>
      </c>
      <c r="G522" t="n">
        <v>5.6</v>
      </c>
      <c r="H522" t="n">
        <v>0</v>
      </c>
      <c r="I522" t="n">
        <v>0</v>
      </c>
      <c r="J522" t="n">
        <v>0</v>
      </c>
      <c r="K522" t="n">
        <v>0</v>
      </c>
      <c r="L522" t="n">
        <v>0</v>
      </c>
      <c r="M522" t="n">
        <v>0</v>
      </c>
      <c r="N522" t="n">
        <v>0</v>
      </c>
      <c r="O522" t="n">
        <v>0</v>
      </c>
      <c r="P522" t="n">
        <v>0</v>
      </c>
      <c r="Q522" t="n">
        <v>0</v>
      </c>
      <c r="R522" s="2" t="inlineStr"/>
    </row>
    <row r="523" ht="15" customHeight="1">
      <c r="A523" t="inlineStr">
        <is>
          <t>A 62115-2024</t>
        </is>
      </c>
      <c r="B523" s="1" t="n">
        <v>45656</v>
      </c>
      <c r="C523" s="1" t="n">
        <v>45914</v>
      </c>
      <c r="D523" t="inlineStr">
        <is>
          <t>JÄMTLANDS LÄN</t>
        </is>
      </c>
      <c r="E523" t="inlineStr">
        <is>
          <t>RAGUNDA</t>
        </is>
      </c>
      <c r="G523" t="n">
        <v>3.3</v>
      </c>
      <c r="H523" t="n">
        <v>0</v>
      </c>
      <c r="I523" t="n">
        <v>0</v>
      </c>
      <c r="J523" t="n">
        <v>0</v>
      </c>
      <c r="K523" t="n">
        <v>0</v>
      </c>
      <c r="L523" t="n">
        <v>0</v>
      </c>
      <c r="M523" t="n">
        <v>0</v>
      </c>
      <c r="N523" t="n">
        <v>0</v>
      </c>
      <c r="O523" t="n">
        <v>0</v>
      </c>
      <c r="P523" t="n">
        <v>0</v>
      </c>
      <c r="Q523" t="n">
        <v>0</v>
      </c>
      <c r="R523" s="2" t="inlineStr"/>
    </row>
    <row r="524" ht="15" customHeight="1">
      <c r="A524" t="inlineStr">
        <is>
          <t>A 4594-2024</t>
        </is>
      </c>
      <c r="B524" s="1" t="n">
        <v>45327.94459490741</v>
      </c>
      <c r="C524" s="1" t="n">
        <v>45914</v>
      </c>
      <c r="D524" t="inlineStr">
        <is>
          <t>JÄMTLANDS LÄN</t>
        </is>
      </c>
      <c r="E524" t="inlineStr">
        <is>
          <t>RAGUNDA</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3018-2024</t>
        </is>
      </c>
      <c r="B525" s="1" t="n">
        <v>45315.9492824074</v>
      </c>
      <c r="C525" s="1" t="n">
        <v>45914</v>
      </c>
      <c r="D525" t="inlineStr">
        <is>
          <t>JÄMTLANDS LÄN</t>
        </is>
      </c>
      <c r="E525" t="inlineStr">
        <is>
          <t>RAGUNDA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24171-2021</t>
        </is>
      </c>
      <c r="B526" s="1" t="n">
        <v>44336</v>
      </c>
      <c r="C526" s="1" t="n">
        <v>45914</v>
      </c>
      <c r="D526" t="inlineStr">
        <is>
          <t>JÄMTLANDS LÄN</t>
        </is>
      </c>
      <c r="E526" t="inlineStr">
        <is>
          <t>RAGUNDA</t>
        </is>
      </c>
      <c r="G526" t="n">
        <v>3.6</v>
      </c>
      <c r="H526" t="n">
        <v>0</v>
      </c>
      <c r="I526" t="n">
        <v>0</v>
      </c>
      <c r="J526" t="n">
        <v>0</v>
      </c>
      <c r="K526" t="n">
        <v>0</v>
      </c>
      <c r="L526" t="n">
        <v>0</v>
      </c>
      <c r="M526" t="n">
        <v>0</v>
      </c>
      <c r="N526" t="n">
        <v>0</v>
      </c>
      <c r="O526" t="n">
        <v>0</v>
      </c>
      <c r="P526" t="n">
        <v>0</v>
      </c>
      <c r="Q526" t="n">
        <v>0</v>
      </c>
      <c r="R526" s="2" t="inlineStr"/>
    </row>
    <row r="527" ht="15" customHeight="1">
      <c r="A527" t="inlineStr">
        <is>
          <t>A 48065-2023</t>
        </is>
      </c>
      <c r="B527" s="1" t="n">
        <v>45204.94399305555</v>
      </c>
      <c r="C527" s="1" t="n">
        <v>45914</v>
      </c>
      <c r="D527" t="inlineStr">
        <is>
          <t>JÄMTLANDS LÄN</t>
        </is>
      </c>
      <c r="E527" t="inlineStr">
        <is>
          <t>RAGUNDA</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44597-2024</t>
        </is>
      </c>
      <c r="B528" s="1" t="n">
        <v>45574.51087962963</v>
      </c>
      <c r="C528" s="1" t="n">
        <v>45914</v>
      </c>
      <c r="D528" t="inlineStr">
        <is>
          <t>JÄMTLANDS LÄN</t>
        </is>
      </c>
      <c r="E528" t="inlineStr">
        <is>
          <t>RAGUNDA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44598-2024</t>
        </is>
      </c>
      <c r="B529" s="1" t="n">
        <v>45574.51090277778</v>
      </c>
      <c r="C529" s="1" t="n">
        <v>45914</v>
      </c>
      <c r="D529" t="inlineStr">
        <is>
          <t>JÄMTLANDS LÄN</t>
        </is>
      </c>
      <c r="E529" t="inlineStr">
        <is>
          <t>RAGUNDA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45914</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23734-2024</t>
        </is>
      </c>
      <c r="B531" s="1" t="n">
        <v>45454.95960648148</v>
      </c>
      <c r="C531" s="1" t="n">
        <v>45914</v>
      </c>
      <c r="D531" t="inlineStr">
        <is>
          <t>JÄMTLANDS LÄN</t>
        </is>
      </c>
      <c r="E531" t="inlineStr">
        <is>
          <t>RAGUNDA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12653-2024</t>
        </is>
      </c>
      <c r="B532" s="1" t="n">
        <v>45384</v>
      </c>
      <c r="C532" s="1" t="n">
        <v>45914</v>
      </c>
      <c r="D532" t="inlineStr">
        <is>
          <t>JÄMTLANDS LÄN</t>
        </is>
      </c>
      <c r="E532" t="inlineStr">
        <is>
          <t>RAGUNDA</t>
        </is>
      </c>
      <c r="G532" t="n">
        <v>1.1</v>
      </c>
      <c r="H532" t="n">
        <v>0</v>
      </c>
      <c r="I532" t="n">
        <v>0</v>
      </c>
      <c r="J532" t="n">
        <v>0</v>
      </c>
      <c r="K532" t="n">
        <v>0</v>
      </c>
      <c r="L532" t="n">
        <v>0</v>
      </c>
      <c r="M532" t="n">
        <v>0</v>
      </c>
      <c r="N532" t="n">
        <v>0</v>
      </c>
      <c r="O532" t="n">
        <v>0</v>
      </c>
      <c r="P532" t="n">
        <v>0</v>
      </c>
      <c r="Q532" t="n">
        <v>0</v>
      </c>
      <c r="R532" s="2" t="inlineStr"/>
    </row>
    <row r="533" ht="15" customHeight="1">
      <c r="A533" t="inlineStr">
        <is>
          <t>A 23405-2025</t>
        </is>
      </c>
      <c r="B533" s="1" t="n">
        <v>45792.34527777778</v>
      </c>
      <c r="C533" s="1" t="n">
        <v>45914</v>
      </c>
      <c r="D533" t="inlineStr">
        <is>
          <t>JÄMTLANDS LÄN</t>
        </is>
      </c>
      <c r="E533" t="inlineStr">
        <is>
          <t>RAGUNDA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2224-2024</t>
        </is>
      </c>
      <c r="B534" s="1" t="n">
        <v>45309.92524305556</v>
      </c>
      <c r="C534" s="1" t="n">
        <v>45914</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34483-2023</t>
        </is>
      </c>
      <c r="B535" s="1" t="n">
        <v>45139.94681712963</v>
      </c>
      <c r="C535" s="1" t="n">
        <v>45914</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23567-2024</t>
        </is>
      </c>
      <c r="B536" s="1" t="n">
        <v>45453.95538194444</v>
      </c>
      <c r="C536" s="1" t="n">
        <v>45914</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57116-2024</t>
        </is>
      </c>
      <c r="B537" s="1" t="n">
        <v>45629.36513888889</v>
      </c>
      <c r="C537" s="1" t="n">
        <v>45914</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23654-2025</t>
        </is>
      </c>
      <c r="B538" s="1" t="n">
        <v>45792.71905092592</v>
      </c>
      <c r="C538" s="1" t="n">
        <v>45914</v>
      </c>
      <c r="D538" t="inlineStr">
        <is>
          <t>JÄMTLANDS LÄN</t>
        </is>
      </c>
      <c r="E538" t="inlineStr">
        <is>
          <t>RAGUNDA</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23507-2025</t>
        </is>
      </c>
      <c r="B539" s="1" t="n">
        <v>45792.49023148148</v>
      </c>
      <c r="C539" s="1" t="n">
        <v>45914</v>
      </c>
      <c r="D539" t="inlineStr">
        <is>
          <t>JÄMTLANDS LÄN</t>
        </is>
      </c>
      <c r="E539" t="inlineStr">
        <is>
          <t>RAGUNDA</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38312-2024</t>
        </is>
      </c>
      <c r="B540" s="1" t="n">
        <v>45545.64957175926</v>
      </c>
      <c r="C540" s="1" t="n">
        <v>45914</v>
      </c>
      <c r="D540" t="inlineStr">
        <is>
          <t>JÄMTLANDS LÄN</t>
        </is>
      </c>
      <c r="E540" t="inlineStr">
        <is>
          <t>RAGUNDA</t>
        </is>
      </c>
      <c r="G540" t="n">
        <v>1.2</v>
      </c>
      <c r="H540" t="n">
        <v>0</v>
      </c>
      <c r="I540" t="n">
        <v>0</v>
      </c>
      <c r="J540" t="n">
        <v>0</v>
      </c>
      <c r="K540" t="n">
        <v>0</v>
      </c>
      <c r="L540" t="n">
        <v>0</v>
      </c>
      <c r="M540" t="n">
        <v>0</v>
      </c>
      <c r="N540" t="n">
        <v>0</v>
      </c>
      <c r="O540" t="n">
        <v>0</v>
      </c>
      <c r="P540" t="n">
        <v>0</v>
      </c>
      <c r="Q540" t="n">
        <v>0</v>
      </c>
      <c r="R540" s="2" t="inlineStr"/>
    </row>
    <row r="541" ht="15" customHeight="1">
      <c r="A541" t="inlineStr">
        <is>
          <t>A 9262-2025</t>
        </is>
      </c>
      <c r="B541" s="1" t="n">
        <v>45714.60649305556</v>
      </c>
      <c r="C541" s="1" t="n">
        <v>45914</v>
      </c>
      <c r="D541" t="inlineStr">
        <is>
          <t>JÄMTLANDS LÄN</t>
        </is>
      </c>
      <c r="E541" t="inlineStr">
        <is>
          <t>RAGUNDA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16982-2024</t>
        </is>
      </c>
      <c r="B542" s="1" t="n">
        <v>45412.02506944445</v>
      </c>
      <c r="C542" s="1" t="n">
        <v>45914</v>
      </c>
      <c r="D542" t="inlineStr">
        <is>
          <t>JÄMTLANDS LÄN</t>
        </is>
      </c>
      <c r="E542" t="inlineStr">
        <is>
          <t>RAGUNDA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23586-2025</t>
        </is>
      </c>
      <c r="B543" s="1" t="n">
        <v>45792.63584490741</v>
      </c>
      <c r="C543" s="1" t="n">
        <v>45914</v>
      </c>
      <c r="D543" t="inlineStr">
        <is>
          <t>JÄMTLANDS LÄN</t>
        </is>
      </c>
      <c r="E543" t="inlineStr">
        <is>
          <t>RAGUNDA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23413-2025</t>
        </is>
      </c>
      <c r="B544" s="1" t="n">
        <v>45792.34606481482</v>
      </c>
      <c r="C544" s="1" t="n">
        <v>45914</v>
      </c>
      <c r="D544" t="inlineStr">
        <is>
          <t>JÄMTLANDS LÄN</t>
        </is>
      </c>
      <c r="E544" t="inlineStr">
        <is>
          <t>RAGUNDA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23253-2025</t>
        </is>
      </c>
      <c r="B545" s="1" t="n">
        <v>45791.53238425926</v>
      </c>
      <c r="C545" s="1" t="n">
        <v>45914</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56702-2023</t>
        </is>
      </c>
      <c r="B546" s="1" t="n">
        <v>45243</v>
      </c>
      <c r="C546" s="1" t="n">
        <v>45914</v>
      </c>
      <c r="D546" t="inlineStr">
        <is>
          <t>JÄMTLANDS LÄN</t>
        </is>
      </c>
      <c r="E546" t="inlineStr">
        <is>
          <t>RAGUNDA</t>
        </is>
      </c>
      <c r="F546" t="inlineStr">
        <is>
          <t>SCA</t>
        </is>
      </c>
      <c r="G546" t="n">
        <v>10.3</v>
      </c>
      <c r="H546" t="n">
        <v>0</v>
      </c>
      <c r="I546" t="n">
        <v>0</v>
      </c>
      <c r="J546" t="n">
        <v>0</v>
      </c>
      <c r="K546" t="n">
        <v>0</v>
      </c>
      <c r="L546" t="n">
        <v>0</v>
      </c>
      <c r="M546" t="n">
        <v>0</v>
      </c>
      <c r="N546" t="n">
        <v>0</v>
      </c>
      <c r="O546" t="n">
        <v>0</v>
      </c>
      <c r="P546" t="n">
        <v>0</v>
      </c>
      <c r="Q546" t="n">
        <v>0</v>
      </c>
      <c r="R546" s="2" t="inlineStr"/>
    </row>
    <row r="547" ht="15" customHeight="1">
      <c r="A547" t="inlineStr">
        <is>
          <t>A 58564-2024</t>
        </is>
      </c>
      <c r="B547" s="1" t="n">
        <v>45635.47243055556</v>
      </c>
      <c r="C547" s="1" t="n">
        <v>45914</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53144-2024</t>
        </is>
      </c>
      <c r="B548" s="1" t="n">
        <v>45611</v>
      </c>
      <c r="C548" s="1" t="n">
        <v>45914</v>
      </c>
      <c r="D548" t="inlineStr">
        <is>
          <t>JÄMTLANDS LÄN</t>
        </is>
      </c>
      <c r="E548" t="inlineStr">
        <is>
          <t>RAGUNDA</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63708-2023</t>
        </is>
      </c>
      <c r="B549" s="1" t="n">
        <v>45275.95060185185</v>
      </c>
      <c r="C549" s="1" t="n">
        <v>45914</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26651-2024</t>
        </is>
      </c>
      <c r="B550" s="1" t="n">
        <v>45469.94876157407</v>
      </c>
      <c r="C550" s="1" t="n">
        <v>45914</v>
      </c>
      <c r="D550" t="inlineStr">
        <is>
          <t>JÄMTLANDS LÄN</t>
        </is>
      </c>
      <c r="E550" t="inlineStr">
        <is>
          <t>RAGUNDA</t>
        </is>
      </c>
      <c r="F550" t="inlineStr">
        <is>
          <t>SCA</t>
        </is>
      </c>
      <c r="G550" t="n">
        <v>10.4</v>
      </c>
      <c r="H550" t="n">
        <v>0</v>
      </c>
      <c r="I550" t="n">
        <v>0</v>
      </c>
      <c r="J550" t="n">
        <v>0</v>
      </c>
      <c r="K550" t="n">
        <v>0</v>
      </c>
      <c r="L550" t="n">
        <v>0</v>
      </c>
      <c r="M550" t="n">
        <v>0</v>
      </c>
      <c r="N550" t="n">
        <v>0</v>
      </c>
      <c r="O550" t="n">
        <v>0</v>
      </c>
      <c r="P550" t="n">
        <v>0</v>
      </c>
      <c r="Q550" t="n">
        <v>0</v>
      </c>
      <c r="R550" s="2" t="inlineStr"/>
    </row>
    <row r="551" ht="15" customHeight="1">
      <c r="A551" t="inlineStr">
        <is>
          <t>A 5806-2025</t>
        </is>
      </c>
      <c r="B551" s="1" t="n">
        <v>45694.69826388889</v>
      </c>
      <c r="C551" s="1" t="n">
        <v>45914</v>
      </c>
      <c r="D551" t="inlineStr">
        <is>
          <t>JÄMTLANDS LÄN</t>
        </is>
      </c>
      <c r="E551" t="inlineStr">
        <is>
          <t>RAGUNDA</t>
        </is>
      </c>
      <c r="F551" t="inlineStr">
        <is>
          <t>SCA</t>
        </is>
      </c>
      <c r="G551" t="n">
        <v>5.8</v>
      </c>
      <c r="H551" t="n">
        <v>0</v>
      </c>
      <c r="I551" t="n">
        <v>0</v>
      </c>
      <c r="J551" t="n">
        <v>0</v>
      </c>
      <c r="K551" t="n">
        <v>0</v>
      </c>
      <c r="L551" t="n">
        <v>0</v>
      </c>
      <c r="M551" t="n">
        <v>0</v>
      </c>
      <c r="N551" t="n">
        <v>0</v>
      </c>
      <c r="O551" t="n">
        <v>0</v>
      </c>
      <c r="P551" t="n">
        <v>0</v>
      </c>
      <c r="Q551" t="n">
        <v>0</v>
      </c>
      <c r="R551" s="2" t="inlineStr"/>
    </row>
    <row r="552" ht="15" customHeight="1">
      <c r="A552" t="inlineStr">
        <is>
          <t>A 20773-2024</t>
        </is>
      </c>
      <c r="B552" s="1" t="n">
        <v>45436.94636574074</v>
      </c>
      <c r="C552" s="1" t="n">
        <v>45914</v>
      </c>
      <c r="D552" t="inlineStr">
        <is>
          <t>JÄMTLANDS LÄN</t>
        </is>
      </c>
      <c r="E552" t="inlineStr">
        <is>
          <t>RAGUNDA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45914</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37806-2021</t>
        </is>
      </c>
      <c r="B554" s="1" t="n">
        <v>44402.42243055555</v>
      </c>
      <c r="C554" s="1" t="n">
        <v>45914</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19263-2025</t>
        </is>
      </c>
      <c r="B555" s="1" t="n">
        <v>45769.51075231482</v>
      </c>
      <c r="C555" s="1" t="n">
        <v>45914</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23840-2025</t>
        </is>
      </c>
      <c r="B556" s="1" t="n">
        <v>45793</v>
      </c>
      <c r="C556" s="1" t="n">
        <v>45914</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14076-2023</t>
        </is>
      </c>
      <c r="B557" s="1" t="n">
        <v>45009.0897337963</v>
      </c>
      <c r="C557" s="1" t="n">
        <v>45914</v>
      </c>
      <c r="D557" t="inlineStr">
        <is>
          <t>JÄMTLANDS LÄN</t>
        </is>
      </c>
      <c r="E557" t="inlineStr">
        <is>
          <t>RAGUNDA</t>
        </is>
      </c>
      <c r="F557" t="inlineStr">
        <is>
          <t>SCA</t>
        </is>
      </c>
      <c r="G557" t="n">
        <v>6.4</v>
      </c>
      <c r="H557" t="n">
        <v>0</v>
      </c>
      <c r="I557" t="n">
        <v>0</v>
      </c>
      <c r="J557" t="n">
        <v>0</v>
      </c>
      <c r="K557" t="n">
        <v>0</v>
      </c>
      <c r="L557" t="n">
        <v>0</v>
      </c>
      <c r="M557" t="n">
        <v>0</v>
      </c>
      <c r="N557" t="n">
        <v>0</v>
      </c>
      <c r="O557" t="n">
        <v>0</v>
      </c>
      <c r="P557" t="n">
        <v>0</v>
      </c>
      <c r="Q557" t="n">
        <v>0</v>
      </c>
      <c r="R557" s="2" t="inlineStr"/>
    </row>
    <row r="558" ht="15" customHeight="1">
      <c r="A558" t="inlineStr">
        <is>
          <t>A 45335-2023</t>
        </is>
      </c>
      <c r="B558" s="1" t="n">
        <v>45191</v>
      </c>
      <c r="C558" s="1" t="n">
        <v>45914</v>
      </c>
      <c r="D558" t="inlineStr">
        <is>
          <t>JÄMTLANDS LÄN</t>
        </is>
      </c>
      <c r="E558" t="inlineStr">
        <is>
          <t>RAGUNDA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45914</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45914</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50486-2023</t>
        </is>
      </c>
      <c r="B561" s="1" t="n">
        <v>45216.92424768519</v>
      </c>
      <c r="C561" s="1" t="n">
        <v>45914</v>
      </c>
      <c r="D561" t="inlineStr">
        <is>
          <t>JÄMTLANDS LÄN</t>
        </is>
      </c>
      <c r="E561" t="inlineStr">
        <is>
          <t>RAGUNDA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10972-2022</t>
        </is>
      </c>
      <c r="B562" s="1" t="n">
        <v>44628</v>
      </c>
      <c r="C562" s="1" t="n">
        <v>45914</v>
      </c>
      <c r="D562" t="inlineStr">
        <is>
          <t>JÄMTLANDS LÄN</t>
        </is>
      </c>
      <c r="E562" t="inlineStr">
        <is>
          <t>RAGUNDA</t>
        </is>
      </c>
      <c r="G562" t="n">
        <v>9.5</v>
      </c>
      <c r="H562" t="n">
        <v>0</v>
      </c>
      <c r="I562" t="n">
        <v>0</v>
      </c>
      <c r="J562" t="n">
        <v>0</v>
      </c>
      <c r="K562" t="n">
        <v>0</v>
      </c>
      <c r="L562" t="n">
        <v>0</v>
      </c>
      <c r="M562" t="n">
        <v>0</v>
      </c>
      <c r="N562" t="n">
        <v>0</v>
      </c>
      <c r="O562" t="n">
        <v>0</v>
      </c>
      <c r="P562" t="n">
        <v>0</v>
      </c>
      <c r="Q562" t="n">
        <v>0</v>
      </c>
      <c r="R562" s="2" t="inlineStr"/>
    </row>
    <row r="563" ht="15" customHeight="1">
      <c r="A563" t="inlineStr">
        <is>
          <t>A 23841-2025</t>
        </is>
      </c>
      <c r="B563" s="1" t="n">
        <v>45793.61523148148</v>
      </c>
      <c r="C563" s="1" t="n">
        <v>45914</v>
      </c>
      <c r="D563" t="inlineStr">
        <is>
          <t>JÄMTLANDS LÄN</t>
        </is>
      </c>
      <c r="E563" t="inlineStr">
        <is>
          <t>RAGUNDA</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43102-2023</t>
        </is>
      </c>
      <c r="B564" s="1" t="n">
        <v>45182</v>
      </c>
      <c r="C564" s="1" t="n">
        <v>45914</v>
      </c>
      <c r="D564" t="inlineStr">
        <is>
          <t>JÄMTLANDS LÄN</t>
        </is>
      </c>
      <c r="E564" t="inlineStr">
        <is>
          <t>RAGUNDA</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9084-2023</t>
        </is>
      </c>
      <c r="B565" s="1" t="n">
        <v>44979</v>
      </c>
      <c r="C565" s="1" t="n">
        <v>45914</v>
      </c>
      <c r="D565" t="inlineStr">
        <is>
          <t>JÄMTLANDS LÄN</t>
        </is>
      </c>
      <c r="E565" t="inlineStr">
        <is>
          <t>RAGUNDA</t>
        </is>
      </c>
      <c r="G565" t="n">
        <v>1.9</v>
      </c>
      <c r="H565" t="n">
        <v>0</v>
      </c>
      <c r="I565" t="n">
        <v>0</v>
      </c>
      <c r="J565" t="n">
        <v>0</v>
      </c>
      <c r="K565" t="n">
        <v>0</v>
      </c>
      <c r="L565" t="n">
        <v>0</v>
      </c>
      <c r="M565" t="n">
        <v>0</v>
      </c>
      <c r="N565" t="n">
        <v>0</v>
      </c>
      <c r="O565" t="n">
        <v>0</v>
      </c>
      <c r="P565" t="n">
        <v>0</v>
      </c>
      <c r="Q565" t="n">
        <v>0</v>
      </c>
      <c r="R565" s="2" t="inlineStr"/>
    </row>
    <row r="566" ht="15" customHeight="1">
      <c r="A566" t="inlineStr">
        <is>
          <t>A 9360-2023</t>
        </is>
      </c>
      <c r="B566" s="1" t="n">
        <v>44980.93865740741</v>
      </c>
      <c r="C566" s="1" t="n">
        <v>45914</v>
      </c>
      <c r="D566" t="inlineStr">
        <is>
          <t>JÄMTLANDS LÄN</t>
        </is>
      </c>
      <c r="E566" t="inlineStr">
        <is>
          <t>RAGUNDA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66706-2021</t>
        </is>
      </c>
      <c r="B567" s="1" t="n">
        <v>44519.94440972222</v>
      </c>
      <c r="C567" s="1" t="n">
        <v>45914</v>
      </c>
      <c r="D567" t="inlineStr">
        <is>
          <t>JÄMTLANDS LÄN</t>
        </is>
      </c>
      <c r="E567" t="inlineStr">
        <is>
          <t>RAGUNDA</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45914</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45914</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45914</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21083-2024</t>
        </is>
      </c>
      <c r="B571" s="1" t="n">
        <v>45439.92752314815</v>
      </c>
      <c r="C571" s="1" t="n">
        <v>45914</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32259-2024</t>
        </is>
      </c>
      <c r="B572" s="1" t="n">
        <v>45511</v>
      </c>
      <c r="C572" s="1" t="n">
        <v>45914</v>
      </c>
      <c r="D572" t="inlineStr">
        <is>
          <t>JÄMTLANDS LÄN</t>
        </is>
      </c>
      <c r="E572" t="inlineStr">
        <is>
          <t>RAGUNDA</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59759-2024</t>
        </is>
      </c>
      <c r="B573" s="1" t="n">
        <v>45639.55240740741</v>
      </c>
      <c r="C573" s="1" t="n">
        <v>45914</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12204-2025</t>
        </is>
      </c>
      <c r="B574" s="1" t="n">
        <v>45729.51074074074</v>
      </c>
      <c r="C574" s="1" t="n">
        <v>45914</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18778-2024</t>
        </is>
      </c>
      <c r="B575" s="1" t="n">
        <v>45426</v>
      </c>
      <c r="C575" s="1" t="n">
        <v>45914</v>
      </c>
      <c r="D575" t="inlineStr">
        <is>
          <t>JÄMTLANDS LÄN</t>
        </is>
      </c>
      <c r="E575" t="inlineStr">
        <is>
          <t>RAGUNDA</t>
        </is>
      </c>
      <c r="G575" t="n">
        <v>0.9</v>
      </c>
      <c r="H575" t="n">
        <v>0</v>
      </c>
      <c r="I575" t="n">
        <v>0</v>
      </c>
      <c r="J575" t="n">
        <v>0</v>
      </c>
      <c r="K575" t="n">
        <v>0</v>
      </c>
      <c r="L575" t="n">
        <v>0</v>
      </c>
      <c r="M575" t="n">
        <v>0</v>
      </c>
      <c r="N575" t="n">
        <v>0</v>
      </c>
      <c r="O575" t="n">
        <v>0</v>
      </c>
      <c r="P575" t="n">
        <v>0</v>
      </c>
      <c r="Q575" t="n">
        <v>0</v>
      </c>
      <c r="R575" s="2" t="inlineStr"/>
    </row>
    <row r="576" ht="15" customHeight="1">
      <c r="A576" t="inlineStr">
        <is>
          <t>A 62407-2023</t>
        </is>
      </c>
      <c r="B576" s="1" t="n">
        <v>45266</v>
      </c>
      <c r="C576" s="1" t="n">
        <v>45914</v>
      </c>
      <c r="D576" t="inlineStr">
        <is>
          <t>JÄMTLANDS LÄN</t>
        </is>
      </c>
      <c r="E576" t="inlineStr">
        <is>
          <t>RAGUNDA</t>
        </is>
      </c>
      <c r="G576" t="n">
        <v>1.6</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45914</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18781-2024</t>
        </is>
      </c>
      <c r="B578" s="1" t="n">
        <v>45426</v>
      </c>
      <c r="C578" s="1" t="n">
        <v>45914</v>
      </c>
      <c r="D578" t="inlineStr">
        <is>
          <t>JÄMTLANDS LÄN</t>
        </is>
      </c>
      <c r="E578" t="inlineStr">
        <is>
          <t>RAGUNDA</t>
        </is>
      </c>
      <c r="G578" t="n">
        <v>0.9</v>
      </c>
      <c r="H578" t="n">
        <v>0</v>
      </c>
      <c r="I578" t="n">
        <v>0</v>
      </c>
      <c r="J578" t="n">
        <v>0</v>
      </c>
      <c r="K578" t="n">
        <v>0</v>
      </c>
      <c r="L578" t="n">
        <v>0</v>
      </c>
      <c r="M578" t="n">
        <v>0</v>
      </c>
      <c r="N578" t="n">
        <v>0</v>
      </c>
      <c r="O578" t="n">
        <v>0</v>
      </c>
      <c r="P578" t="n">
        <v>0</v>
      </c>
      <c r="Q578" t="n">
        <v>0</v>
      </c>
      <c r="R578" s="2" t="inlineStr"/>
    </row>
    <row r="579" ht="15" customHeight="1">
      <c r="A579" t="inlineStr">
        <is>
          <t>A 11245-2025</t>
        </is>
      </c>
      <c r="B579" s="1" t="n">
        <v>45726.38575231482</v>
      </c>
      <c r="C579" s="1" t="n">
        <v>45914</v>
      </c>
      <c r="D579" t="inlineStr">
        <is>
          <t>JÄMTLANDS LÄN</t>
        </is>
      </c>
      <c r="E579" t="inlineStr">
        <is>
          <t>RAGUNDA</t>
        </is>
      </c>
      <c r="G579" t="n">
        <v>2.3</v>
      </c>
      <c r="H579" t="n">
        <v>0</v>
      </c>
      <c r="I579" t="n">
        <v>0</v>
      </c>
      <c r="J579" t="n">
        <v>0</v>
      </c>
      <c r="K579" t="n">
        <v>0</v>
      </c>
      <c r="L579" t="n">
        <v>0</v>
      </c>
      <c r="M579" t="n">
        <v>0</v>
      </c>
      <c r="N579" t="n">
        <v>0</v>
      </c>
      <c r="O579" t="n">
        <v>0</v>
      </c>
      <c r="P579" t="n">
        <v>0</v>
      </c>
      <c r="Q579" t="n">
        <v>0</v>
      </c>
      <c r="R579" s="2" t="inlineStr"/>
    </row>
    <row r="580" ht="15" customHeight="1">
      <c r="A580" t="inlineStr">
        <is>
          <t>A 13905-2025</t>
        </is>
      </c>
      <c r="B580" s="1" t="n">
        <v>45737.63574074074</v>
      </c>
      <c r="C580" s="1" t="n">
        <v>45914</v>
      </c>
      <c r="D580" t="inlineStr">
        <is>
          <t>JÄMTLANDS LÄN</t>
        </is>
      </c>
      <c r="E580" t="inlineStr">
        <is>
          <t>RAGUNDA</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17248-2023</t>
        </is>
      </c>
      <c r="B581" s="1" t="n">
        <v>45033</v>
      </c>
      <c r="C581" s="1" t="n">
        <v>45914</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53263-2024</t>
        </is>
      </c>
      <c r="B582" s="1" t="n">
        <v>45614.34541666666</v>
      </c>
      <c r="C582" s="1" t="n">
        <v>45914</v>
      </c>
      <c r="D582" t="inlineStr">
        <is>
          <t>JÄMTLANDS LÄN</t>
        </is>
      </c>
      <c r="E582" t="inlineStr">
        <is>
          <t>RAGUNDA</t>
        </is>
      </c>
      <c r="G582" t="n">
        <v>1.9</v>
      </c>
      <c r="H582" t="n">
        <v>0</v>
      </c>
      <c r="I582" t="n">
        <v>0</v>
      </c>
      <c r="J582" t="n">
        <v>0</v>
      </c>
      <c r="K582" t="n">
        <v>0</v>
      </c>
      <c r="L582" t="n">
        <v>0</v>
      </c>
      <c r="M582" t="n">
        <v>0</v>
      </c>
      <c r="N582" t="n">
        <v>0</v>
      </c>
      <c r="O582" t="n">
        <v>0</v>
      </c>
      <c r="P582" t="n">
        <v>0</v>
      </c>
      <c r="Q582" t="n">
        <v>0</v>
      </c>
      <c r="R582" s="2" t="inlineStr"/>
    </row>
    <row r="583" ht="15" customHeight="1">
      <c r="A583" t="inlineStr">
        <is>
          <t>A 24391-2025</t>
        </is>
      </c>
      <c r="B583" s="1" t="n">
        <v>45797.63627314815</v>
      </c>
      <c r="C583" s="1" t="n">
        <v>45914</v>
      </c>
      <c r="D583" t="inlineStr">
        <is>
          <t>JÄMTLANDS LÄN</t>
        </is>
      </c>
      <c r="E583" t="inlineStr">
        <is>
          <t>RAGUNDA</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25376-2025</t>
        </is>
      </c>
      <c r="B584" s="1" t="n">
        <v>45800.63619212963</v>
      </c>
      <c r="C584" s="1" t="n">
        <v>45914</v>
      </c>
      <c r="D584" t="inlineStr">
        <is>
          <t>JÄMTLANDS LÄN</t>
        </is>
      </c>
      <c r="E584" t="inlineStr">
        <is>
          <t>RAGUNDA</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58630-2024</t>
        </is>
      </c>
      <c r="B585" s="1" t="n">
        <v>45635.57331018519</v>
      </c>
      <c r="C585" s="1" t="n">
        <v>45914</v>
      </c>
      <c r="D585" t="inlineStr">
        <is>
          <t>JÄMTLANDS LÄN</t>
        </is>
      </c>
      <c r="E585" t="inlineStr">
        <is>
          <t>RAGUNDA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31854-2022</t>
        </is>
      </c>
      <c r="B586" s="1" t="n">
        <v>44776</v>
      </c>
      <c r="C586" s="1" t="n">
        <v>45914</v>
      </c>
      <c r="D586" t="inlineStr">
        <is>
          <t>JÄMTLANDS LÄN</t>
        </is>
      </c>
      <c r="E586" t="inlineStr">
        <is>
          <t>RAGUNDA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14896-2022</t>
        </is>
      </c>
      <c r="B587" s="1" t="n">
        <v>44656</v>
      </c>
      <c r="C587" s="1" t="n">
        <v>45914</v>
      </c>
      <c r="D587" t="inlineStr">
        <is>
          <t>JÄMTLANDS LÄN</t>
        </is>
      </c>
      <c r="E587" t="inlineStr">
        <is>
          <t>RAGUNDA</t>
        </is>
      </c>
      <c r="F587" t="inlineStr">
        <is>
          <t>SCA</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11551-2024</t>
        </is>
      </c>
      <c r="B588" s="1" t="n">
        <v>45372.95762731481</v>
      </c>
      <c r="C588" s="1" t="n">
        <v>45914</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24732-2025</t>
        </is>
      </c>
      <c r="B589" s="1" t="n">
        <v>45799.34421296296</v>
      </c>
      <c r="C589" s="1" t="n">
        <v>45914</v>
      </c>
      <c r="D589" t="inlineStr">
        <is>
          <t>JÄMTLANDS LÄN</t>
        </is>
      </c>
      <c r="E589" t="inlineStr">
        <is>
          <t>RAGUNDA</t>
        </is>
      </c>
      <c r="F589" t="inlineStr">
        <is>
          <t>SCA</t>
        </is>
      </c>
      <c r="G589" t="n">
        <v>16.2</v>
      </c>
      <c r="H589" t="n">
        <v>0</v>
      </c>
      <c r="I589" t="n">
        <v>0</v>
      </c>
      <c r="J589" t="n">
        <v>0</v>
      </c>
      <c r="K589" t="n">
        <v>0</v>
      </c>
      <c r="L589" t="n">
        <v>0</v>
      </c>
      <c r="M589" t="n">
        <v>0</v>
      </c>
      <c r="N589" t="n">
        <v>0</v>
      </c>
      <c r="O589" t="n">
        <v>0</v>
      </c>
      <c r="P589" t="n">
        <v>0</v>
      </c>
      <c r="Q589" t="n">
        <v>0</v>
      </c>
      <c r="R589" s="2" t="inlineStr"/>
    </row>
    <row r="590" ht="15" customHeight="1">
      <c r="A590" t="inlineStr">
        <is>
          <t>A 4125-2024</t>
        </is>
      </c>
      <c r="B590" s="1" t="n">
        <v>45323</v>
      </c>
      <c r="C590" s="1" t="n">
        <v>45914</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44980-2023</t>
        </is>
      </c>
      <c r="B591" s="1" t="n">
        <v>45190</v>
      </c>
      <c r="C591" s="1" t="n">
        <v>45914</v>
      </c>
      <c r="D591" t="inlineStr">
        <is>
          <t>JÄMTLANDS LÄN</t>
        </is>
      </c>
      <c r="E591" t="inlineStr">
        <is>
          <t>RAGUNDA</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45914</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25350-2025</t>
        </is>
      </c>
      <c r="B593" s="1" t="n">
        <v>45800</v>
      </c>
      <c r="C593" s="1" t="n">
        <v>45914</v>
      </c>
      <c r="D593" t="inlineStr">
        <is>
          <t>JÄMTLANDS LÄN</t>
        </is>
      </c>
      <c r="E593" t="inlineStr">
        <is>
          <t>RAGUNDA</t>
        </is>
      </c>
      <c r="G593" t="n">
        <v>2.4</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45914</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27777-2022</t>
        </is>
      </c>
      <c r="B595" s="1" t="n">
        <v>44743</v>
      </c>
      <c r="C595" s="1" t="n">
        <v>45914</v>
      </c>
      <c r="D595" t="inlineStr">
        <is>
          <t>JÄMTLANDS LÄN</t>
        </is>
      </c>
      <c r="E595" t="inlineStr">
        <is>
          <t>RAGUNDA</t>
        </is>
      </c>
      <c r="G595" t="n">
        <v>1.5</v>
      </c>
      <c r="H595" t="n">
        <v>0</v>
      </c>
      <c r="I595" t="n">
        <v>0</v>
      </c>
      <c r="J595" t="n">
        <v>0</v>
      </c>
      <c r="K595" t="n">
        <v>0</v>
      </c>
      <c r="L595" t="n">
        <v>0</v>
      </c>
      <c r="M595" t="n">
        <v>0</v>
      </c>
      <c r="N595" t="n">
        <v>0</v>
      </c>
      <c r="O595" t="n">
        <v>0</v>
      </c>
      <c r="P595" t="n">
        <v>0</v>
      </c>
      <c r="Q595" t="n">
        <v>0</v>
      </c>
      <c r="R595" s="2" t="inlineStr"/>
    </row>
    <row r="596" ht="15" customHeight="1">
      <c r="A596" t="inlineStr">
        <is>
          <t>A 51245-2024</t>
        </is>
      </c>
      <c r="B596" s="1" t="n">
        <v>45603.67850694444</v>
      </c>
      <c r="C596" s="1" t="n">
        <v>45914</v>
      </c>
      <c r="D596" t="inlineStr">
        <is>
          <t>JÄMTLANDS LÄN</t>
        </is>
      </c>
      <c r="E596" t="inlineStr">
        <is>
          <t>RAGUNDA</t>
        </is>
      </c>
      <c r="G596" t="n">
        <v>0.9</v>
      </c>
      <c r="H596" t="n">
        <v>0</v>
      </c>
      <c r="I596" t="n">
        <v>0</v>
      </c>
      <c r="J596" t="n">
        <v>0</v>
      </c>
      <c r="K596" t="n">
        <v>0</v>
      </c>
      <c r="L596" t="n">
        <v>0</v>
      </c>
      <c r="M596" t="n">
        <v>0</v>
      </c>
      <c r="N596" t="n">
        <v>0</v>
      </c>
      <c r="O596" t="n">
        <v>0</v>
      </c>
      <c r="P596" t="n">
        <v>0</v>
      </c>
      <c r="Q596" t="n">
        <v>0</v>
      </c>
      <c r="R596" s="2" t="inlineStr"/>
    </row>
    <row r="597" ht="15" customHeight="1">
      <c r="A597" t="inlineStr">
        <is>
          <t>A 25152-2025</t>
        </is>
      </c>
      <c r="B597" s="1" t="n">
        <v>45800.42743055556</v>
      </c>
      <c r="C597" s="1" t="n">
        <v>45914</v>
      </c>
      <c r="D597" t="inlineStr">
        <is>
          <t>JÄMTLANDS LÄN</t>
        </is>
      </c>
      <c r="E597" t="inlineStr">
        <is>
          <t>RAGUNDA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45914</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45914</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61923-2024</t>
        </is>
      </c>
      <c r="B600" s="1" t="n">
        <v>45653.44836805556</v>
      </c>
      <c r="C600" s="1" t="n">
        <v>45914</v>
      </c>
      <c r="D600" t="inlineStr">
        <is>
          <t>JÄMTLANDS LÄN</t>
        </is>
      </c>
      <c r="E600" t="inlineStr">
        <is>
          <t>RAGUNDA</t>
        </is>
      </c>
      <c r="F600" t="inlineStr">
        <is>
          <t>SCA</t>
        </is>
      </c>
      <c r="G600" t="n">
        <v>11.1</v>
      </c>
      <c r="H600" t="n">
        <v>0</v>
      </c>
      <c r="I600" t="n">
        <v>0</v>
      </c>
      <c r="J600" t="n">
        <v>0</v>
      </c>
      <c r="K600" t="n">
        <v>0</v>
      </c>
      <c r="L600" t="n">
        <v>0</v>
      </c>
      <c r="M600" t="n">
        <v>0</v>
      </c>
      <c r="N600" t="n">
        <v>0</v>
      </c>
      <c r="O600" t="n">
        <v>0</v>
      </c>
      <c r="P600" t="n">
        <v>0</v>
      </c>
      <c r="Q600" t="n">
        <v>0</v>
      </c>
      <c r="R600" s="2" t="inlineStr"/>
    </row>
    <row r="601" ht="15" customHeight="1">
      <c r="A601" t="inlineStr">
        <is>
          <t>A 50503-2024</t>
        </is>
      </c>
      <c r="B601" s="1" t="n">
        <v>45601.5315625</v>
      </c>
      <c r="C601" s="1" t="n">
        <v>45914</v>
      </c>
      <c r="D601" t="inlineStr">
        <is>
          <t>JÄMTLANDS LÄN</t>
        </is>
      </c>
      <c r="E601" t="inlineStr">
        <is>
          <t>RAGUNDA</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59556-2024</t>
        </is>
      </c>
      <c r="B602" s="1" t="n">
        <v>45638.63600694444</v>
      </c>
      <c r="C602" s="1" t="n">
        <v>45914</v>
      </c>
      <c r="D602" t="inlineStr">
        <is>
          <t>JÄMTLANDS LÄN</t>
        </is>
      </c>
      <c r="E602" t="inlineStr">
        <is>
          <t>RAGUNDA</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13302-2022</t>
        </is>
      </c>
      <c r="B603" s="1" t="n">
        <v>44644</v>
      </c>
      <c r="C603" s="1" t="n">
        <v>45914</v>
      </c>
      <c r="D603" t="inlineStr">
        <is>
          <t>JÄMTLANDS LÄN</t>
        </is>
      </c>
      <c r="E603" t="inlineStr">
        <is>
          <t>RAGUNDA</t>
        </is>
      </c>
      <c r="F603" t="inlineStr">
        <is>
          <t>SCA</t>
        </is>
      </c>
      <c r="G603" t="n">
        <v>35.6</v>
      </c>
      <c r="H603" t="n">
        <v>0</v>
      </c>
      <c r="I603" t="n">
        <v>0</v>
      </c>
      <c r="J603" t="n">
        <v>0</v>
      </c>
      <c r="K603" t="n">
        <v>0</v>
      </c>
      <c r="L603" t="n">
        <v>0</v>
      </c>
      <c r="M603" t="n">
        <v>0</v>
      </c>
      <c r="N603" t="n">
        <v>0</v>
      </c>
      <c r="O603" t="n">
        <v>0</v>
      </c>
      <c r="P603" t="n">
        <v>0</v>
      </c>
      <c r="Q603" t="n">
        <v>0</v>
      </c>
      <c r="R603" s="2" t="inlineStr"/>
    </row>
    <row r="604" ht="15" customHeight="1">
      <c r="A604" t="inlineStr">
        <is>
          <t>A 18225-2024</t>
        </is>
      </c>
      <c r="B604" s="1" t="n">
        <v>45420</v>
      </c>
      <c r="C604" s="1" t="n">
        <v>45914</v>
      </c>
      <c r="D604" t="inlineStr">
        <is>
          <t>JÄMTLANDS LÄN</t>
        </is>
      </c>
      <c r="E604" t="inlineStr">
        <is>
          <t>RAGUNDA</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25631-2025</t>
        </is>
      </c>
      <c r="B605" s="1" t="n">
        <v>45803.5946875</v>
      </c>
      <c r="C605" s="1" t="n">
        <v>45914</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25659-2025</t>
        </is>
      </c>
      <c r="B606" s="1" t="n">
        <v>45803.61552083334</v>
      </c>
      <c r="C606" s="1" t="n">
        <v>45914</v>
      </c>
      <c r="D606" t="inlineStr">
        <is>
          <t>JÄMTLANDS LÄN</t>
        </is>
      </c>
      <c r="E606" t="inlineStr">
        <is>
          <t>RAGUNDA</t>
        </is>
      </c>
      <c r="G606" t="n">
        <v>1.5</v>
      </c>
      <c r="H606" t="n">
        <v>0</v>
      </c>
      <c r="I606" t="n">
        <v>0</v>
      </c>
      <c r="J606" t="n">
        <v>0</v>
      </c>
      <c r="K606" t="n">
        <v>0</v>
      </c>
      <c r="L606" t="n">
        <v>0</v>
      </c>
      <c r="M606" t="n">
        <v>0</v>
      </c>
      <c r="N606" t="n">
        <v>0</v>
      </c>
      <c r="O606" t="n">
        <v>0</v>
      </c>
      <c r="P606" t="n">
        <v>0</v>
      </c>
      <c r="Q606" t="n">
        <v>0</v>
      </c>
      <c r="R606" s="2" t="inlineStr"/>
    </row>
    <row r="607" ht="15" customHeight="1">
      <c r="A607" t="inlineStr">
        <is>
          <t>A 25661-2025</t>
        </is>
      </c>
      <c r="B607" s="1" t="n">
        <v>45803.61557870371</v>
      </c>
      <c r="C607" s="1" t="n">
        <v>45914</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25944-2025</t>
        </is>
      </c>
      <c r="B608" s="1" t="n">
        <v>45804.59487268519</v>
      </c>
      <c r="C608" s="1" t="n">
        <v>45914</v>
      </c>
      <c r="D608" t="inlineStr">
        <is>
          <t>JÄMTLANDS LÄN</t>
        </is>
      </c>
      <c r="E608" t="inlineStr">
        <is>
          <t>RAGUNDA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25814-2025</t>
        </is>
      </c>
      <c r="B609" s="1" t="n">
        <v>45804.42642361111</v>
      </c>
      <c r="C609" s="1" t="n">
        <v>45914</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61598-2024</t>
        </is>
      </c>
      <c r="B610" s="1" t="n">
        <v>45646.63605324074</v>
      </c>
      <c r="C610" s="1" t="n">
        <v>45914</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30053-2024</t>
        </is>
      </c>
      <c r="B611" s="1" t="n">
        <v>45488.94747685185</v>
      </c>
      <c r="C611" s="1" t="n">
        <v>45914</v>
      </c>
      <c r="D611" t="inlineStr">
        <is>
          <t>JÄMTLANDS LÄN</t>
        </is>
      </c>
      <c r="E611" t="inlineStr">
        <is>
          <t>RAGUNDA</t>
        </is>
      </c>
      <c r="F611" t="inlineStr">
        <is>
          <t>SCA</t>
        </is>
      </c>
      <c r="G611" t="n">
        <v>9.6</v>
      </c>
      <c r="H611" t="n">
        <v>0</v>
      </c>
      <c r="I611" t="n">
        <v>0</v>
      </c>
      <c r="J611" t="n">
        <v>0</v>
      </c>
      <c r="K611" t="n">
        <v>0</v>
      </c>
      <c r="L611" t="n">
        <v>0</v>
      </c>
      <c r="M611" t="n">
        <v>0</v>
      </c>
      <c r="N611" t="n">
        <v>0</v>
      </c>
      <c r="O611" t="n">
        <v>0</v>
      </c>
      <c r="P611" t="n">
        <v>0</v>
      </c>
      <c r="Q611" t="n">
        <v>0</v>
      </c>
      <c r="R611" s="2" t="inlineStr"/>
    </row>
    <row r="612" ht="15" customHeight="1">
      <c r="A612" t="inlineStr">
        <is>
          <t>A 7280-2024</t>
        </is>
      </c>
      <c r="B612" s="1" t="n">
        <v>45344</v>
      </c>
      <c r="C612" s="1" t="n">
        <v>45914</v>
      </c>
      <c r="D612" t="inlineStr">
        <is>
          <t>JÄMTLANDS LÄN</t>
        </is>
      </c>
      <c r="E612" t="inlineStr">
        <is>
          <t>RAGUNDA</t>
        </is>
      </c>
      <c r="G612" t="n">
        <v>1.6</v>
      </c>
      <c r="H612" t="n">
        <v>0</v>
      </c>
      <c r="I612" t="n">
        <v>0</v>
      </c>
      <c r="J612" t="n">
        <v>0</v>
      </c>
      <c r="K612" t="n">
        <v>0</v>
      </c>
      <c r="L612" t="n">
        <v>0</v>
      </c>
      <c r="M612" t="n">
        <v>0</v>
      </c>
      <c r="N612" t="n">
        <v>0</v>
      </c>
      <c r="O612" t="n">
        <v>0</v>
      </c>
      <c r="P612" t="n">
        <v>0</v>
      </c>
      <c r="Q612" t="n">
        <v>0</v>
      </c>
      <c r="R612" s="2" t="inlineStr"/>
    </row>
    <row r="613" ht="15" customHeight="1">
      <c r="A613" t="inlineStr">
        <is>
          <t>A 21662-2023</t>
        </is>
      </c>
      <c r="B613" s="1" t="n">
        <v>45063</v>
      </c>
      <c r="C613" s="1" t="n">
        <v>45914</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61107-2024</t>
        </is>
      </c>
      <c r="B614" s="1" t="n">
        <v>45645.55665509259</v>
      </c>
      <c r="C614" s="1" t="n">
        <v>45914</v>
      </c>
      <c r="D614" t="inlineStr">
        <is>
          <t>JÄMTLANDS LÄN</t>
        </is>
      </c>
      <c r="E614" t="inlineStr">
        <is>
          <t>RAGUNDA</t>
        </is>
      </c>
      <c r="G614" t="n">
        <v>3.2</v>
      </c>
      <c r="H614" t="n">
        <v>0</v>
      </c>
      <c r="I614" t="n">
        <v>0</v>
      </c>
      <c r="J614" t="n">
        <v>0</v>
      </c>
      <c r="K614" t="n">
        <v>0</v>
      </c>
      <c r="L614" t="n">
        <v>0</v>
      </c>
      <c r="M614" t="n">
        <v>0</v>
      </c>
      <c r="N614" t="n">
        <v>0</v>
      </c>
      <c r="O614" t="n">
        <v>0</v>
      </c>
      <c r="P614" t="n">
        <v>0</v>
      </c>
      <c r="Q614" t="n">
        <v>0</v>
      </c>
      <c r="R614" s="2" t="inlineStr"/>
    </row>
    <row r="615" ht="15" customHeight="1">
      <c r="A615" t="inlineStr">
        <is>
          <t>A 59496-2024</t>
        </is>
      </c>
      <c r="B615" s="1" t="n">
        <v>45638</v>
      </c>
      <c r="C615" s="1" t="n">
        <v>45914</v>
      </c>
      <c r="D615" t="inlineStr">
        <is>
          <t>JÄMTLANDS LÄN</t>
        </is>
      </c>
      <c r="E615" t="inlineStr">
        <is>
          <t>RAGUNDA</t>
        </is>
      </c>
      <c r="G615" t="n">
        <v>13.1</v>
      </c>
      <c r="H615" t="n">
        <v>0</v>
      </c>
      <c r="I615" t="n">
        <v>0</v>
      </c>
      <c r="J615" t="n">
        <v>0</v>
      </c>
      <c r="K615" t="n">
        <v>0</v>
      </c>
      <c r="L615" t="n">
        <v>0</v>
      </c>
      <c r="M615" t="n">
        <v>0</v>
      </c>
      <c r="N615" t="n">
        <v>0</v>
      </c>
      <c r="O615" t="n">
        <v>0</v>
      </c>
      <c r="P615" t="n">
        <v>0</v>
      </c>
      <c r="Q615" t="n">
        <v>0</v>
      </c>
      <c r="R615" s="2" t="inlineStr"/>
    </row>
    <row r="616" ht="15" customHeight="1">
      <c r="A616" t="inlineStr">
        <is>
          <t>A 25630-2025</t>
        </is>
      </c>
      <c r="B616" s="1" t="n">
        <v>45803.59417824074</v>
      </c>
      <c r="C616" s="1" t="n">
        <v>45914</v>
      </c>
      <c r="D616" t="inlineStr">
        <is>
          <t>JÄMTLANDS LÄN</t>
        </is>
      </c>
      <c r="E616" t="inlineStr">
        <is>
          <t>RAGUNDA</t>
        </is>
      </c>
      <c r="G616" t="n">
        <v>6.9</v>
      </c>
      <c r="H616" t="n">
        <v>0</v>
      </c>
      <c r="I616" t="n">
        <v>0</v>
      </c>
      <c r="J616" t="n">
        <v>0</v>
      </c>
      <c r="K616" t="n">
        <v>0</v>
      </c>
      <c r="L616" t="n">
        <v>0</v>
      </c>
      <c r="M616" t="n">
        <v>0</v>
      </c>
      <c r="N616" t="n">
        <v>0</v>
      </c>
      <c r="O616" t="n">
        <v>0</v>
      </c>
      <c r="P616" t="n">
        <v>0</v>
      </c>
      <c r="Q616" t="n">
        <v>0</v>
      </c>
      <c r="R616" s="2" t="inlineStr"/>
    </row>
    <row r="617" ht="15" customHeight="1">
      <c r="A617" t="inlineStr">
        <is>
          <t>A 5313-2025</t>
        </is>
      </c>
      <c r="B617" s="1" t="n">
        <v>45692.51069444444</v>
      </c>
      <c r="C617" s="1" t="n">
        <v>45914</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5357-2025</t>
        </is>
      </c>
      <c r="B618" s="1" t="n">
        <v>45692.57326388889</v>
      </c>
      <c r="C618" s="1" t="n">
        <v>45914</v>
      </c>
      <c r="D618" t="inlineStr">
        <is>
          <t>JÄMTLANDS LÄN</t>
        </is>
      </c>
      <c r="E618" t="inlineStr">
        <is>
          <t>RAGUNDA</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37265-2024</t>
        </is>
      </c>
      <c r="B619" s="1" t="n">
        <v>45540.38564814815</v>
      </c>
      <c r="C619" s="1" t="n">
        <v>45914</v>
      </c>
      <c r="D619" t="inlineStr">
        <is>
          <t>JÄMTLANDS LÄN</t>
        </is>
      </c>
      <c r="E619" t="inlineStr">
        <is>
          <t>RAGUNDA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19613-2023</t>
        </is>
      </c>
      <c r="B620" s="1" t="n">
        <v>45050.94020833333</v>
      </c>
      <c r="C620" s="1" t="n">
        <v>45914</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25994-2025</t>
        </is>
      </c>
      <c r="B621" s="1" t="n">
        <v>45804.65672453704</v>
      </c>
      <c r="C621" s="1" t="n">
        <v>45914</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18612-2024</t>
        </is>
      </c>
      <c r="B622" s="1" t="n">
        <v>45425.96239583333</v>
      </c>
      <c r="C622" s="1" t="n">
        <v>45914</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48249-2024</t>
        </is>
      </c>
      <c r="B623" s="1" t="n">
        <v>45590.40675925926</v>
      </c>
      <c r="C623" s="1" t="n">
        <v>45914</v>
      </c>
      <c r="D623" t="inlineStr">
        <is>
          <t>JÄMTLANDS LÄN</t>
        </is>
      </c>
      <c r="E623" t="inlineStr">
        <is>
          <t>RAGUNDA</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44494-2024</t>
        </is>
      </c>
      <c r="B624" s="1" t="n">
        <v>45574.39081018518</v>
      </c>
      <c r="C624" s="1" t="n">
        <v>45914</v>
      </c>
      <c r="D624" t="inlineStr">
        <is>
          <t>JÄMTLANDS LÄN</t>
        </is>
      </c>
      <c r="E624" t="inlineStr">
        <is>
          <t>RAGUNDA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26283-2025</t>
        </is>
      </c>
      <c r="B625" s="1" t="n">
        <v>45805.61495370371</v>
      </c>
      <c r="C625" s="1" t="n">
        <v>45914</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12983-2025</t>
        </is>
      </c>
      <c r="B626" s="1" t="n">
        <v>45734.4633912037</v>
      </c>
      <c r="C626" s="1" t="n">
        <v>45914</v>
      </c>
      <c r="D626" t="inlineStr">
        <is>
          <t>JÄMTLANDS LÄN</t>
        </is>
      </c>
      <c r="E626" t="inlineStr">
        <is>
          <t>RAGUNDA</t>
        </is>
      </c>
      <c r="G626" t="n">
        <v>5.2</v>
      </c>
      <c r="H626" t="n">
        <v>0</v>
      </c>
      <c r="I626" t="n">
        <v>0</v>
      </c>
      <c r="J626" t="n">
        <v>0</v>
      </c>
      <c r="K626" t="n">
        <v>0</v>
      </c>
      <c r="L626" t="n">
        <v>0</v>
      </c>
      <c r="M626" t="n">
        <v>0</v>
      </c>
      <c r="N626" t="n">
        <v>0</v>
      </c>
      <c r="O626" t="n">
        <v>0</v>
      </c>
      <c r="P626" t="n">
        <v>0</v>
      </c>
      <c r="Q626" t="n">
        <v>0</v>
      </c>
      <c r="R626" s="2" t="inlineStr"/>
    </row>
    <row r="627" ht="15" customHeight="1">
      <c r="A627" t="inlineStr">
        <is>
          <t>A 39626-2024</t>
        </is>
      </c>
      <c r="B627" s="1" t="n">
        <v>45552.44096064815</v>
      </c>
      <c r="C627" s="1" t="n">
        <v>45914</v>
      </c>
      <c r="D627" t="inlineStr">
        <is>
          <t>JÄMTLANDS LÄN</t>
        </is>
      </c>
      <c r="E627" t="inlineStr">
        <is>
          <t>RAGUNDA</t>
        </is>
      </c>
      <c r="G627" t="n">
        <v>23.5</v>
      </c>
      <c r="H627" t="n">
        <v>0</v>
      </c>
      <c r="I627" t="n">
        <v>0</v>
      </c>
      <c r="J627" t="n">
        <v>0</v>
      </c>
      <c r="K627" t="n">
        <v>0</v>
      </c>
      <c r="L627" t="n">
        <v>0</v>
      </c>
      <c r="M627" t="n">
        <v>0</v>
      </c>
      <c r="N627" t="n">
        <v>0</v>
      </c>
      <c r="O627" t="n">
        <v>0</v>
      </c>
      <c r="P627" t="n">
        <v>0</v>
      </c>
      <c r="Q627" t="n">
        <v>0</v>
      </c>
      <c r="R627" s="2" t="inlineStr"/>
    </row>
    <row r="628" ht="15" customHeight="1">
      <c r="A628" t="inlineStr">
        <is>
          <t>A 45631-2024</t>
        </is>
      </c>
      <c r="B628" s="1" t="n">
        <v>45579.47052083333</v>
      </c>
      <c r="C628" s="1" t="n">
        <v>45914</v>
      </c>
      <c r="D628" t="inlineStr">
        <is>
          <t>JÄMTLANDS LÄN</t>
        </is>
      </c>
      <c r="E628" t="inlineStr">
        <is>
          <t>RAGUNDA</t>
        </is>
      </c>
      <c r="G628" t="n">
        <v>15.1</v>
      </c>
      <c r="H628" t="n">
        <v>0</v>
      </c>
      <c r="I628" t="n">
        <v>0</v>
      </c>
      <c r="J628" t="n">
        <v>0</v>
      </c>
      <c r="K628" t="n">
        <v>0</v>
      </c>
      <c r="L628" t="n">
        <v>0</v>
      </c>
      <c r="M628" t="n">
        <v>0</v>
      </c>
      <c r="N628" t="n">
        <v>0</v>
      </c>
      <c r="O628" t="n">
        <v>0</v>
      </c>
      <c r="P628" t="n">
        <v>0</v>
      </c>
      <c r="Q628" t="n">
        <v>0</v>
      </c>
      <c r="R628" s="2" t="inlineStr"/>
    </row>
    <row r="629" ht="15" customHeight="1">
      <c r="A629" t="inlineStr">
        <is>
          <t>A 61934-2022</t>
        </is>
      </c>
      <c r="B629" s="1" t="n">
        <v>44917</v>
      </c>
      <c r="C629" s="1" t="n">
        <v>45914</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62135-2024</t>
        </is>
      </c>
      <c r="B630" s="1" t="n">
        <v>45656.64223379629</v>
      </c>
      <c r="C630" s="1" t="n">
        <v>45914</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11558-2023</t>
        </is>
      </c>
      <c r="B631" s="1" t="n">
        <v>44993.94958333333</v>
      </c>
      <c r="C631" s="1" t="n">
        <v>45914</v>
      </c>
      <c r="D631" t="inlineStr">
        <is>
          <t>JÄMTLANDS LÄN</t>
        </is>
      </c>
      <c r="E631" t="inlineStr">
        <is>
          <t>RAGUNDA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8802-2022</t>
        </is>
      </c>
      <c r="B632" s="1" t="n">
        <v>44614</v>
      </c>
      <c r="C632" s="1" t="n">
        <v>45914</v>
      </c>
      <c r="D632" t="inlineStr">
        <is>
          <t>JÄMTLANDS LÄN</t>
        </is>
      </c>
      <c r="E632" t="inlineStr">
        <is>
          <t>RAGUNDA</t>
        </is>
      </c>
      <c r="G632" t="n">
        <v>2.8</v>
      </c>
      <c r="H632" t="n">
        <v>0</v>
      </c>
      <c r="I632" t="n">
        <v>0</v>
      </c>
      <c r="J632" t="n">
        <v>0</v>
      </c>
      <c r="K632" t="n">
        <v>0</v>
      </c>
      <c r="L632" t="n">
        <v>0</v>
      </c>
      <c r="M632" t="n">
        <v>0</v>
      </c>
      <c r="N632" t="n">
        <v>0</v>
      </c>
      <c r="O632" t="n">
        <v>0</v>
      </c>
      <c r="P632" t="n">
        <v>0</v>
      </c>
      <c r="Q632" t="n">
        <v>0</v>
      </c>
      <c r="R632" s="2" t="inlineStr"/>
    </row>
    <row r="633" ht="15" customHeight="1">
      <c r="A633" t="inlineStr">
        <is>
          <t>A 9823-2025</t>
        </is>
      </c>
      <c r="B633" s="1" t="n">
        <v>45716</v>
      </c>
      <c r="C633" s="1" t="n">
        <v>45914</v>
      </c>
      <c r="D633" t="inlineStr">
        <is>
          <t>JÄMTLANDS LÄN</t>
        </is>
      </c>
      <c r="E633" t="inlineStr">
        <is>
          <t>RAGUNDA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9847-2025</t>
        </is>
      </c>
      <c r="B634" s="1" t="n">
        <v>45716.61487268518</v>
      </c>
      <c r="C634" s="1" t="n">
        <v>45914</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20987-2023</t>
        </is>
      </c>
      <c r="B635" s="1" t="n">
        <v>45056</v>
      </c>
      <c r="C635" s="1" t="n">
        <v>45914</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20994-2023</t>
        </is>
      </c>
      <c r="B636" s="1" t="n">
        <v>45056</v>
      </c>
      <c r="C636" s="1" t="n">
        <v>45914</v>
      </c>
      <c r="D636" t="inlineStr">
        <is>
          <t>JÄMTLANDS LÄN</t>
        </is>
      </c>
      <c r="E636" t="inlineStr">
        <is>
          <t>RAGUNDA</t>
        </is>
      </c>
      <c r="G636" t="n">
        <v>1.3</v>
      </c>
      <c r="H636" t="n">
        <v>0</v>
      </c>
      <c r="I636" t="n">
        <v>0</v>
      </c>
      <c r="J636" t="n">
        <v>0</v>
      </c>
      <c r="K636" t="n">
        <v>0</v>
      </c>
      <c r="L636" t="n">
        <v>0</v>
      </c>
      <c r="M636" t="n">
        <v>0</v>
      </c>
      <c r="N636" t="n">
        <v>0</v>
      </c>
      <c r="O636" t="n">
        <v>0</v>
      </c>
      <c r="P636" t="n">
        <v>0</v>
      </c>
      <c r="Q636" t="n">
        <v>0</v>
      </c>
      <c r="R636" s="2" t="inlineStr"/>
    </row>
    <row r="637" ht="15" customHeight="1">
      <c r="A637" t="inlineStr">
        <is>
          <t>A 24258-2025</t>
        </is>
      </c>
      <c r="B637" s="1" t="n">
        <v>45797.40800925926</v>
      </c>
      <c r="C637" s="1" t="n">
        <v>45914</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26172-2025</t>
        </is>
      </c>
      <c r="B638" s="1" t="n">
        <v>45805.46613425926</v>
      </c>
      <c r="C638" s="1" t="n">
        <v>45914</v>
      </c>
      <c r="D638" t="inlineStr">
        <is>
          <t>JÄMTLANDS LÄN</t>
        </is>
      </c>
      <c r="E638" t="inlineStr">
        <is>
          <t>RAGUNDA</t>
        </is>
      </c>
      <c r="G638" t="n">
        <v>2.1</v>
      </c>
      <c r="H638" t="n">
        <v>0</v>
      </c>
      <c r="I638" t="n">
        <v>0</v>
      </c>
      <c r="J638" t="n">
        <v>0</v>
      </c>
      <c r="K638" t="n">
        <v>0</v>
      </c>
      <c r="L638" t="n">
        <v>0</v>
      </c>
      <c r="M638" t="n">
        <v>0</v>
      </c>
      <c r="N638" t="n">
        <v>0</v>
      </c>
      <c r="O638" t="n">
        <v>0</v>
      </c>
      <c r="P638" t="n">
        <v>0</v>
      </c>
      <c r="Q638" t="n">
        <v>0</v>
      </c>
      <c r="R638" s="2" t="inlineStr"/>
    </row>
    <row r="639" ht="15" customHeight="1">
      <c r="A639" t="inlineStr">
        <is>
          <t>A 55309-2020</t>
        </is>
      </c>
      <c r="B639" s="1" t="n">
        <v>44130.9416550926</v>
      </c>
      <c r="C639" s="1" t="n">
        <v>45914</v>
      </c>
      <c r="D639" t="inlineStr">
        <is>
          <t>JÄMTLANDS LÄN</t>
        </is>
      </c>
      <c r="E639" t="inlineStr">
        <is>
          <t>RAGUNDA</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10788-2025</t>
        </is>
      </c>
      <c r="B640" s="1" t="n">
        <v>45722.48982638889</v>
      </c>
      <c r="C640" s="1" t="n">
        <v>45914</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45914</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49648-2023</t>
        </is>
      </c>
      <c r="B642" s="1" t="n">
        <v>45211.95061342593</v>
      </c>
      <c r="C642" s="1" t="n">
        <v>45914</v>
      </c>
      <c r="D642" t="inlineStr">
        <is>
          <t>JÄMTLANDS LÄN</t>
        </is>
      </c>
      <c r="E642" t="inlineStr">
        <is>
          <t>RAGUNDA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45914</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45914</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45914</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45914</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26246-2025</t>
        </is>
      </c>
      <c r="B647" s="1" t="n">
        <v>45805.57390046296</v>
      </c>
      <c r="C647" s="1" t="n">
        <v>45914</v>
      </c>
      <c r="D647" t="inlineStr">
        <is>
          <t>JÄMTLANDS LÄN</t>
        </is>
      </c>
      <c r="E647" t="inlineStr">
        <is>
          <t>RAGUNDA</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2001-2025</t>
        </is>
      </c>
      <c r="B648" s="1" t="n">
        <v>45672.44898148148</v>
      </c>
      <c r="C648" s="1" t="n">
        <v>45914</v>
      </c>
      <c r="D648" t="inlineStr">
        <is>
          <t>JÄMTLANDS LÄN</t>
        </is>
      </c>
      <c r="E648" t="inlineStr">
        <is>
          <t>RAGUNDA</t>
        </is>
      </c>
      <c r="F648" t="inlineStr">
        <is>
          <t>SCA</t>
        </is>
      </c>
      <c r="G648" t="n">
        <v>16.2</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45914</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58194-2022</t>
        </is>
      </c>
      <c r="B650" s="1" t="n">
        <v>44900</v>
      </c>
      <c r="C650" s="1" t="n">
        <v>45914</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42875-2024</t>
        </is>
      </c>
      <c r="B651" s="1" t="n">
        <v>45566.68125</v>
      </c>
      <c r="C651" s="1" t="n">
        <v>45914</v>
      </c>
      <c r="D651" t="inlineStr">
        <is>
          <t>JÄMTLANDS LÄN</t>
        </is>
      </c>
      <c r="E651" t="inlineStr">
        <is>
          <t>RAGUNDA</t>
        </is>
      </c>
      <c r="G651" t="n">
        <v>0.5</v>
      </c>
      <c r="H651" t="n">
        <v>0</v>
      </c>
      <c r="I651" t="n">
        <v>0</v>
      </c>
      <c r="J651" t="n">
        <v>0</v>
      </c>
      <c r="K651" t="n">
        <v>0</v>
      </c>
      <c r="L651" t="n">
        <v>0</v>
      </c>
      <c r="M651" t="n">
        <v>0</v>
      </c>
      <c r="N651" t="n">
        <v>0</v>
      </c>
      <c r="O651" t="n">
        <v>0</v>
      </c>
      <c r="P651" t="n">
        <v>0</v>
      </c>
      <c r="Q651" t="n">
        <v>0</v>
      </c>
      <c r="R651" s="2" t="inlineStr"/>
    </row>
    <row r="652" ht="15" customHeight="1">
      <c r="A652" t="inlineStr">
        <is>
          <t>A 15864-2024</t>
        </is>
      </c>
      <c r="B652" s="1" t="n">
        <v>45404.99792824074</v>
      </c>
      <c r="C652" s="1" t="n">
        <v>45914</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c r="U652">
        <f>HYPERLINK("https://klasma.github.io/Logging_2303/knärot/A 15864-2024 karta knärot.png", "A 15864-2024")</f>
        <v/>
      </c>
      <c r="V652">
        <f>HYPERLINK("https://klasma.github.io/Logging_2303/klagomål/A 15864-2024 FSC-klagomål.docx", "A 15864-2024")</f>
        <v/>
      </c>
      <c r="W652">
        <f>HYPERLINK("https://klasma.github.io/Logging_2303/klagomålsmail/A 15864-2024 FSC-klagomål mail.docx", "A 15864-2024")</f>
        <v/>
      </c>
      <c r="X652">
        <f>HYPERLINK("https://klasma.github.io/Logging_2303/tillsyn/A 15864-2024 tillsynsbegäran.docx", "A 15864-2024")</f>
        <v/>
      </c>
      <c r="Y652">
        <f>HYPERLINK("https://klasma.github.io/Logging_2303/tillsynsmail/A 15864-2024 tillsynsbegäran mail.docx", "A 15864-2024")</f>
        <v/>
      </c>
    </row>
    <row r="653" ht="15" customHeight="1">
      <c r="A653" t="inlineStr">
        <is>
          <t>A 4015-2022</t>
        </is>
      </c>
      <c r="B653" s="1" t="n">
        <v>44587.92149305555</v>
      </c>
      <c r="C653" s="1" t="n">
        <v>45914</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45914</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2599-2023</t>
        </is>
      </c>
      <c r="B655" s="1" t="n">
        <v>44943.94802083333</v>
      </c>
      <c r="C655" s="1" t="n">
        <v>45914</v>
      </c>
      <c r="D655" t="inlineStr">
        <is>
          <t>JÄMTLANDS LÄN</t>
        </is>
      </c>
      <c r="E655" t="inlineStr">
        <is>
          <t>RAGUNDA</t>
        </is>
      </c>
      <c r="F655" t="inlineStr">
        <is>
          <t>SCA</t>
        </is>
      </c>
      <c r="G655" t="n">
        <v>5.9</v>
      </c>
      <c r="H655" t="n">
        <v>0</v>
      </c>
      <c r="I655" t="n">
        <v>0</v>
      </c>
      <c r="J655" t="n">
        <v>0</v>
      </c>
      <c r="K655" t="n">
        <v>0</v>
      </c>
      <c r="L655" t="n">
        <v>0</v>
      </c>
      <c r="M655" t="n">
        <v>0</v>
      </c>
      <c r="N655" t="n">
        <v>0</v>
      </c>
      <c r="O655" t="n">
        <v>0</v>
      </c>
      <c r="P655" t="n">
        <v>0</v>
      </c>
      <c r="Q655" t="n">
        <v>0</v>
      </c>
      <c r="R655" s="2" t="inlineStr"/>
    </row>
    <row r="656" ht="15" customHeight="1">
      <c r="A656" t="inlineStr">
        <is>
          <t>A 59044-2022</t>
        </is>
      </c>
      <c r="B656" s="1" t="n">
        <v>44903</v>
      </c>
      <c r="C656" s="1" t="n">
        <v>45914</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45952-2023</t>
        </is>
      </c>
      <c r="B657" s="1" t="n">
        <v>45195</v>
      </c>
      <c r="C657" s="1" t="n">
        <v>45914</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45954-2023</t>
        </is>
      </c>
      <c r="B658" s="1" t="n">
        <v>45195.94679398148</v>
      </c>
      <c r="C658" s="1" t="n">
        <v>45914</v>
      </c>
      <c r="D658" t="inlineStr">
        <is>
          <t>JÄMTLANDS LÄN</t>
        </is>
      </c>
      <c r="E658" t="inlineStr">
        <is>
          <t>RAGUNDA</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45955-2023</t>
        </is>
      </c>
      <c r="B659" s="1" t="n">
        <v>45195.94685185186</v>
      </c>
      <c r="C659" s="1" t="n">
        <v>45914</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4014-2022</t>
        </is>
      </c>
      <c r="B660" s="1" t="n">
        <v>44587.92144675926</v>
      </c>
      <c r="C660" s="1" t="n">
        <v>45914</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8243-2024</t>
        </is>
      </c>
      <c r="B661" s="1" t="n">
        <v>45351.98532407408</v>
      </c>
      <c r="C661" s="1" t="n">
        <v>45914</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8787-2022</t>
        </is>
      </c>
      <c r="B662" s="1" t="n">
        <v>44614</v>
      </c>
      <c r="C662" s="1" t="n">
        <v>45914</v>
      </c>
      <c r="D662" t="inlineStr">
        <is>
          <t>JÄMTLANDS LÄN</t>
        </is>
      </c>
      <c r="E662" t="inlineStr">
        <is>
          <t>RAGUNDA</t>
        </is>
      </c>
      <c r="G662" t="n">
        <v>6.4</v>
      </c>
      <c r="H662" t="n">
        <v>0</v>
      </c>
      <c r="I662" t="n">
        <v>0</v>
      </c>
      <c r="J662" t="n">
        <v>0</v>
      </c>
      <c r="K662" t="n">
        <v>0</v>
      </c>
      <c r="L662" t="n">
        <v>0</v>
      </c>
      <c r="M662" t="n">
        <v>0</v>
      </c>
      <c r="N662" t="n">
        <v>0</v>
      </c>
      <c r="O662" t="n">
        <v>0</v>
      </c>
      <c r="P662" t="n">
        <v>0</v>
      </c>
      <c r="Q662" t="n">
        <v>0</v>
      </c>
      <c r="R662" s="2" t="inlineStr"/>
    </row>
    <row r="663" ht="15" customHeight="1">
      <c r="A663" t="inlineStr">
        <is>
          <t>A 6902-2024</t>
        </is>
      </c>
      <c r="B663" s="1" t="n">
        <v>45342</v>
      </c>
      <c r="C663" s="1" t="n">
        <v>45914</v>
      </c>
      <c r="D663" t="inlineStr">
        <is>
          <t>JÄMTLANDS LÄN</t>
        </is>
      </c>
      <c r="E663" t="inlineStr">
        <is>
          <t>RAGUNDA</t>
        </is>
      </c>
      <c r="F663" t="inlineStr">
        <is>
          <t>SCA</t>
        </is>
      </c>
      <c r="G663" t="n">
        <v>18.7</v>
      </c>
      <c r="H663" t="n">
        <v>0</v>
      </c>
      <c r="I663" t="n">
        <v>0</v>
      </c>
      <c r="J663" t="n">
        <v>0</v>
      </c>
      <c r="K663" t="n">
        <v>0</v>
      </c>
      <c r="L663" t="n">
        <v>0</v>
      </c>
      <c r="M663" t="n">
        <v>0</v>
      </c>
      <c r="N663" t="n">
        <v>0</v>
      </c>
      <c r="O663" t="n">
        <v>0</v>
      </c>
      <c r="P663" t="n">
        <v>0</v>
      </c>
      <c r="Q663" t="n">
        <v>0</v>
      </c>
      <c r="R663" s="2" t="inlineStr"/>
    </row>
    <row r="664" ht="15" customHeight="1">
      <c r="A664" t="inlineStr">
        <is>
          <t>A 5308-2025</t>
        </is>
      </c>
      <c r="B664" s="1" t="n">
        <v>45692.49008101852</v>
      </c>
      <c r="C664" s="1" t="n">
        <v>45914</v>
      </c>
      <c r="D664" t="inlineStr">
        <is>
          <t>JÄMTLANDS LÄN</t>
        </is>
      </c>
      <c r="E664" t="inlineStr">
        <is>
          <t>RAGUNDA</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6905-2024</t>
        </is>
      </c>
      <c r="B665" s="1" t="n">
        <v>45342.9462037037</v>
      </c>
      <c r="C665" s="1" t="n">
        <v>45914</v>
      </c>
      <c r="D665" t="inlineStr">
        <is>
          <t>JÄMTLANDS LÄN</t>
        </is>
      </c>
      <c r="E665" t="inlineStr">
        <is>
          <t>RAGUNDA</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51685-2020</t>
        </is>
      </c>
      <c r="B666" s="1" t="n">
        <v>44113</v>
      </c>
      <c r="C666" s="1" t="n">
        <v>45914</v>
      </c>
      <c r="D666" t="inlineStr">
        <is>
          <t>JÄMTLANDS LÄN</t>
        </is>
      </c>
      <c r="E666" t="inlineStr">
        <is>
          <t>RAGUNDA</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45253-2023</t>
        </is>
      </c>
      <c r="B667" s="1" t="n">
        <v>45187</v>
      </c>
      <c r="C667" s="1" t="n">
        <v>45914</v>
      </c>
      <c r="D667" t="inlineStr">
        <is>
          <t>JÄMTLANDS LÄN</t>
        </is>
      </c>
      <c r="E667" t="inlineStr">
        <is>
          <t>RAGUNDA</t>
        </is>
      </c>
      <c r="G667" t="n">
        <v>3.3</v>
      </c>
      <c r="H667" t="n">
        <v>0</v>
      </c>
      <c r="I667" t="n">
        <v>0</v>
      </c>
      <c r="J667" t="n">
        <v>0</v>
      </c>
      <c r="K667" t="n">
        <v>0</v>
      </c>
      <c r="L667" t="n">
        <v>0</v>
      </c>
      <c r="M667" t="n">
        <v>0</v>
      </c>
      <c r="N667" t="n">
        <v>0</v>
      </c>
      <c r="O667" t="n">
        <v>0</v>
      </c>
      <c r="P667" t="n">
        <v>0</v>
      </c>
      <c r="Q667" t="n">
        <v>0</v>
      </c>
      <c r="R667" s="2" t="inlineStr"/>
    </row>
    <row r="668" ht="15" customHeight="1">
      <c r="A668" t="inlineStr">
        <is>
          <t>A 53989-2024</t>
        </is>
      </c>
      <c r="B668" s="1" t="n">
        <v>45616.34479166667</v>
      </c>
      <c r="C668" s="1" t="n">
        <v>45914</v>
      </c>
      <c r="D668" t="inlineStr">
        <is>
          <t>JÄMTLANDS LÄN</t>
        </is>
      </c>
      <c r="E668" t="inlineStr">
        <is>
          <t>RAGUNDA</t>
        </is>
      </c>
      <c r="F668" t="inlineStr">
        <is>
          <t>SCA</t>
        </is>
      </c>
      <c r="G668" t="n">
        <v>7.2</v>
      </c>
      <c r="H668" t="n">
        <v>0</v>
      </c>
      <c r="I668" t="n">
        <v>0</v>
      </c>
      <c r="J668" t="n">
        <v>0</v>
      </c>
      <c r="K668" t="n">
        <v>0</v>
      </c>
      <c r="L668" t="n">
        <v>0</v>
      </c>
      <c r="M668" t="n">
        <v>0</v>
      </c>
      <c r="N668" t="n">
        <v>0</v>
      </c>
      <c r="O668" t="n">
        <v>0</v>
      </c>
      <c r="P668" t="n">
        <v>0</v>
      </c>
      <c r="Q668" t="n">
        <v>0</v>
      </c>
      <c r="R668" s="2" t="inlineStr"/>
    </row>
    <row r="669" ht="15" customHeight="1">
      <c r="A669" t="inlineStr">
        <is>
          <t>A 3104-2025</t>
        </is>
      </c>
      <c r="B669" s="1" t="n">
        <v>45678.67761574074</v>
      </c>
      <c r="C669" s="1" t="n">
        <v>45914</v>
      </c>
      <c r="D669" t="inlineStr">
        <is>
          <t>JÄMTLANDS LÄN</t>
        </is>
      </c>
      <c r="E669" t="inlineStr">
        <is>
          <t>RAGUNDA</t>
        </is>
      </c>
      <c r="F669" t="inlineStr">
        <is>
          <t>SCA</t>
        </is>
      </c>
      <c r="G669" t="n">
        <v>46.2</v>
      </c>
      <c r="H669" t="n">
        <v>0</v>
      </c>
      <c r="I669" t="n">
        <v>0</v>
      </c>
      <c r="J669" t="n">
        <v>0</v>
      </c>
      <c r="K669" t="n">
        <v>0</v>
      </c>
      <c r="L669" t="n">
        <v>0</v>
      </c>
      <c r="M669" t="n">
        <v>0</v>
      </c>
      <c r="N669" t="n">
        <v>0</v>
      </c>
      <c r="O669" t="n">
        <v>0</v>
      </c>
      <c r="P669" t="n">
        <v>0</v>
      </c>
      <c r="Q669" t="n">
        <v>0</v>
      </c>
      <c r="R669" s="2" t="inlineStr"/>
    </row>
    <row r="670" ht="15" customHeight="1">
      <c r="A670" t="inlineStr">
        <is>
          <t>A 42509-2023</t>
        </is>
      </c>
      <c r="B670" s="1" t="n">
        <v>45180</v>
      </c>
      <c r="C670" s="1" t="n">
        <v>45914</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42510-2023</t>
        </is>
      </c>
      <c r="B671" s="1" t="n">
        <v>45180.95927083334</v>
      </c>
      <c r="C671" s="1" t="n">
        <v>45914</v>
      </c>
      <c r="D671" t="inlineStr">
        <is>
          <t>JÄMTLANDS LÄN</t>
        </is>
      </c>
      <c r="E671" t="inlineStr">
        <is>
          <t>RAGUNDA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11048-2023</t>
        </is>
      </c>
      <c r="B672" s="1" t="n">
        <v>44991</v>
      </c>
      <c r="C672" s="1" t="n">
        <v>45914</v>
      </c>
      <c r="D672" t="inlineStr">
        <is>
          <t>JÄMTLANDS LÄN</t>
        </is>
      </c>
      <c r="E672" t="inlineStr">
        <is>
          <t>RAGUNDA</t>
        </is>
      </c>
      <c r="F672" t="inlineStr">
        <is>
          <t>SCA</t>
        </is>
      </c>
      <c r="G672" t="n">
        <v>13.5</v>
      </c>
      <c r="H672" t="n">
        <v>0</v>
      </c>
      <c r="I672" t="n">
        <v>0</v>
      </c>
      <c r="J672" t="n">
        <v>0</v>
      </c>
      <c r="K672" t="n">
        <v>0</v>
      </c>
      <c r="L672" t="n">
        <v>0</v>
      </c>
      <c r="M672" t="n">
        <v>0</v>
      </c>
      <c r="N672" t="n">
        <v>0</v>
      </c>
      <c r="O672" t="n">
        <v>0</v>
      </c>
      <c r="P672" t="n">
        <v>0</v>
      </c>
      <c r="Q672" t="n">
        <v>0</v>
      </c>
      <c r="R672" s="2" t="inlineStr"/>
    </row>
    <row r="673" ht="15" customHeight="1">
      <c r="A673" t="inlineStr">
        <is>
          <t>A 51396-2024</t>
        </is>
      </c>
      <c r="B673" s="1" t="n">
        <v>45604.4190625</v>
      </c>
      <c r="C673" s="1" t="n">
        <v>45914</v>
      </c>
      <c r="D673" t="inlineStr">
        <is>
          <t>JÄMTLANDS LÄN</t>
        </is>
      </c>
      <c r="E673" t="inlineStr">
        <is>
          <t>RAGUNDA</t>
        </is>
      </c>
      <c r="G673" t="n">
        <v>0.8</v>
      </c>
      <c r="H673" t="n">
        <v>0</v>
      </c>
      <c r="I673" t="n">
        <v>0</v>
      </c>
      <c r="J673" t="n">
        <v>0</v>
      </c>
      <c r="K673" t="n">
        <v>0</v>
      </c>
      <c r="L673" t="n">
        <v>0</v>
      </c>
      <c r="M673" t="n">
        <v>0</v>
      </c>
      <c r="N673" t="n">
        <v>0</v>
      </c>
      <c r="O673" t="n">
        <v>0</v>
      </c>
      <c r="P673" t="n">
        <v>0</v>
      </c>
      <c r="Q673" t="n">
        <v>0</v>
      </c>
      <c r="R673" s="2" t="inlineStr"/>
    </row>
    <row r="674" ht="15" customHeight="1">
      <c r="A674" t="inlineStr">
        <is>
          <t>A 26640-2025</t>
        </is>
      </c>
      <c r="B674" s="1" t="n">
        <v>45810.36495370371</v>
      </c>
      <c r="C674" s="1" t="n">
        <v>45914</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53762-2023</t>
        </is>
      </c>
      <c r="B675" s="1" t="n">
        <v>45230.96376157407</v>
      </c>
      <c r="C675" s="1" t="n">
        <v>45914</v>
      </c>
      <c r="D675" t="inlineStr">
        <is>
          <t>JÄMTLANDS LÄN</t>
        </is>
      </c>
      <c r="E675" t="inlineStr">
        <is>
          <t>RAGUNDA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19089-2024</t>
        </is>
      </c>
      <c r="B676" s="1" t="n">
        <v>45428.00471064815</v>
      </c>
      <c r="C676" s="1" t="n">
        <v>45914</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61088-2020</t>
        </is>
      </c>
      <c r="B677" s="1" t="n">
        <v>44153</v>
      </c>
      <c r="C677" s="1" t="n">
        <v>45914</v>
      </c>
      <c r="D677" t="inlineStr">
        <is>
          <t>JÄMTLANDS LÄN</t>
        </is>
      </c>
      <c r="E677" t="inlineStr">
        <is>
          <t>RAGUNDA</t>
        </is>
      </c>
      <c r="G677" t="n">
        <v>1.2</v>
      </c>
      <c r="H677" t="n">
        <v>0</v>
      </c>
      <c r="I677" t="n">
        <v>0</v>
      </c>
      <c r="J677" t="n">
        <v>0</v>
      </c>
      <c r="K677" t="n">
        <v>0</v>
      </c>
      <c r="L677" t="n">
        <v>0</v>
      </c>
      <c r="M677" t="n">
        <v>0</v>
      </c>
      <c r="N677" t="n">
        <v>0</v>
      </c>
      <c r="O677" t="n">
        <v>0</v>
      </c>
      <c r="P677" t="n">
        <v>0</v>
      </c>
      <c r="Q677" t="n">
        <v>0</v>
      </c>
      <c r="R677" s="2" t="inlineStr"/>
    </row>
    <row r="678" ht="15" customHeight="1">
      <c r="A678" t="inlineStr">
        <is>
          <t>A 16364-2023</t>
        </is>
      </c>
      <c r="B678" s="1" t="n">
        <v>45028</v>
      </c>
      <c r="C678" s="1" t="n">
        <v>45914</v>
      </c>
      <c r="D678" t="inlineStr">
        <is>
          <t>JÄMTLANDS LÄN</t>
        </is>
      </c>
      <c r="E678" t="inlineStr">
        <is>
          <t>RAGUNDA</t>
        </is>
      </c>
      <c r="G678" t="n">
        <v>0.5</v>
      </c>
      <c r="H678" t="n">
        <v>0</v>
      </c>
      <c r="I678" t="n">
        <v>0</v>
      </c>
      <c r="J678" t="n">
        <v>0</v>
      </c>
      <c r="K678" t="n">
        <v>0</v>
      </c>
      <c r="L678" t="n">
        <v>0</v>
      </c>
      <c r="M678" t="n">
        <v>0</v>
      </c>
      <c r="N678" t="n">
        <v>0</v>
      </c>
      <c r="O678" t="n">
        <v>0</v>
      </c>
      <c r="P678" t="n">
        <v>0</v>
      </c>
      <c r="Q678" t="n">
        <v>0</v>
      </c>
      <c r="R678" s="2" t="inlineStr"/>
    </row>
    <row r="679" ht="15" customHeight="1">
      <c r="A679" t="inlineStr">
        <is>
          <t>A 36046-2023</t>
        </is>
      </c>
      <c r="B679" s="1" t="n">
        <v>45148</v>
      </c>
      <c r="C679" s="1" t="n">
        <v>45914</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18193-2022</t>
        </is>
      </c>
      <c r="B680" s="1" t="n">
        <v>44684.94032407407</v>
      </c>
      <c r="C680" s="1" t="n">
        <v>45914</v>
      </c>
      <c r="D680" t="inlineStr">
        <is>
          <t>JÄMTLANDS LÄN</t>
        </is>
      </c>
      <c r="E680" t="inlineStr">
        <is>
          <t>RAGUNDA</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34323-2023</t>
        </is>
      </c>
      <c r="B681" s="1" t="n">
        <v>45138.94925925926</v>
      </c>
      <c r="C681" s="1" t="n">
        <v>45914</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58843-2024</t>
        </is>
      </c>
      <c r="B682" s="1" t="n">
        <v>45636.38599537037</v>
      </c>
      <c r="C682" s="1" t="n">
        <v>45914</v>
      </c>
      <c r="D682" t="inlineStr">
        <is>
          <t>JÄMTLANDS LÄN</t>
        </is>
      </c>
      <c r="E682" t="inlineStr">
        <is>
          <t>RAGUNDA</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45953-2023</t>
        </is>
      </c>
      <c r="B683" s="1" t="n">
        <v>45195.94672453704</v>
      </c>
      <c r="C683" s="1" t="n">
        <v>45914</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46549-2023</t>
        </is>
      </c>
      <c r="B684" s="1" t="n">
        <v>45197.94171296297</v>
      </c>
      <c r="C684" s="1" t="n">
        <v>45914</v>
      </c>
      <c r="D684" t="inlineStr">
        <is>
          <t>JÄMTLANDS LÄN</t>
        </is>
      </c>
      <c r="E684" t="inlineStr">
        <is>
          <t>RAGUNDA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30824-2023</t>
        </is>
      </c>
      <c r="B685" s="1" t="n">
        <v>45112.94303240741</v>
      </c>
      <c r="C685" s="1" t="n">
        <v>45914</v>
      </c>
      <c r="D685" t="inlineStr">
        <is>
          <t>JÄMTLANDS LÄN</t>
        </is>
      </c>
      <c r="E685" t="inlineStr">
        <is>
          <t>RAGUNDA</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30825-2023</t>
        </is>
      </c>
      <c r="B686" s="1" t="n">
        <v>45112.94310185185</v>
      </c>
      <c r="C686" s="1" t="n">
        <v>45914</v>
      </c>
      <c r="D686" t="inlineStr">
        <is>
          <t>JÄMTLANDS LÄN</t>
        </is>
      </c>
      <c r="E686" t="inlineStr">
        <is>
          <t>RAGUNDA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19404-2025</t>
        </is>
      </c>
      <c r="B687" s="1" t="n">
        <v>45769.67802083334</v>
      </c>
      <c r="C687" s="1" t="n">
        <v>45914</v>
      </c>
      <c r="D687" t="inlineStr">
        <is>
          <t>JÄMTLANDS LÄN</t>
        </is>
      </c>
      <c r="E687" t="inlineStr">
        <is>
          <t>RAGUNDA</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27510-2025</t>
        </is>
      </c>
      <c r="B688" s="1" t="n">
        <v>45813.42790509259</v>
      </c>
      <c r="C688" s="1" t="n">
        <v>45914</v>
      </c>
      <c r="D688" t="inlineStr">
        <is>
          <t>JÄMTLANDS LÄN</t>
        </is>
      </c>
      <c r="E688" t="inlineStr">
        <is>
          <t>RAGUNDA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31506-2024</t>
        </is>
      </c>
      <c r="B689" s="1" t="n">
        <v>45505</v>
      </c>
      <c r="C689" s="1" t="n">
        <v>45914</v>
      </c>
      <c r="D689" t="inlineStr">
        <is>
          <t>JÄMTLANDS LÄN</t>
        </is>
      </c>
      <c r="E689" t="inlineStr">
        <is>
          <t>RAGUNDA</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55222-2024</t>
        </is>
      </c>
      <c r="B690" s="1" t="n">
        <v>45621.57395833333</v>
      </c>
      <c r="C690" s="1" t="n">
        <v>45914</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55214-2022</t>
        </is>
      </c>
      <c r="B691" s="1" t="n">
        <v>44886</v>
      </c>
      <c r="C691" s="1" t="n">
        <v>45914</v>
      </c>
      <c r="D691" t="inlineStr">
        <is>
          <t>JÄMTLANDS LÄN</t>
        </is>
      </c>
      <c r="E691" t="inlineStr">
        <is>
          <t>RAGUNDA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44755-2024</t>
        </is>
      </c>
      <c r="B692" s="1" t="n">
        <v>45574.61184027778</v>
      </c>
      <c r="C692" s="1" t="n">
        <v>45914</v>
      </c>
      <c r="D692" t="inlineStr">
        <is>
          <t>JÄMTLANDS LÄN</t>
        </is>
      </c>
      <c r="E692" t="inlineStr">
        <is>
          <t>RAGUNDA</t>
        </is>
      </c>
      <c r="G692" t="n">
        <v>4.4</v>
      </c>
      <c r="H692" t="n">
        <v>0</v>
      </c>
      <c r="I692" t="n">
        <v>0</v>
      </c>
      <c r="J692" t="n">
        <v>0</v>
      </c>
      <c r="K692" t="n">
        <v>0</v>
      </c>
      <c r="L692" t="n">
        <v>0</v>
      </c>
      <c r="M692" t="n">
        <v>0</v>
      </c>
      <c r="N692" t="n">
        <v>0</v>
      </c>
      <c r="O692" t="n">
        <v>0</v>
      </c>
      <c r="P692" t="n">
        <v>0</v>
      </c>
      <c r="Q692" t="n">
        <v>0</v>
      </c>
      <c r="R692" s="2" t="inlineStr"/>
    </row>
    <row r="693" ht="15" customHeight="1">
      <c r="A693" t="inlineStr">
        <is>
          <t>A 44766-2024</t>
        </is>
      </c>
      <c r="B693" s="1" t="n">
        <v>45574.62297453704</v>
      </c>
      <c r="C693" s="1" t="n">
        <v>45914</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40246-2024</t>
        </is>
      </c>
      <c r="B694" s="1" t="n">
        <v>45554.61583333334</v>
      </c>
      <c r="C694" s="1" t="n">
        <v>45914</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44778-2024</t>
        </is>
      </c>
      <c r="B695" s="1" t="n">
        <v>45574.63355324074</v>
      </c>
      <c r="C695" s="1" t="n">
        <v>45914</v>
      </c>
      <c r="D695" t="inlineStr">
        <is>
          <t>JÄMTLANDS LÄN</t>
        </is>
      </c>
      <c r="E695" t="inlineStr">
        <is>
          <t>RAGUNDA</t>
        </is>
      </c>
      <c r="G695" t="n">
        <v>5.5</v>
      </c>
      <c r="H695" t="n">
        <v>0</v>
      </c>
      <c r="I695" t="n">
        <v>0</v>
      </c>
      <c r="J695" t="n">
        <v>0</v>
      </c>
      <c r="K695" t="n">
        <v>0</v>
      </c>
      <c r="L695" t="n">
        <v>0</v>
      </c>
      <c r="M695" t="n">
        <v>0</v>
      </c>
      <c r="N695" t="n">
        <v>0</v>
      </c>
      <c r="O695" t="n">
        <v>0</v>
      </c>
      <c r="P695" t="n">
        <v>0</v>
      </c>
      <c r="Q695" t="n">
        <v>0</v>
      </c>
      <c r="R695" s="2" t="inlineStr"/>
    </row>
    <row r="696" ht="15" customHeight="1">
      <c r="A696" t="inlineStr">
        <is>
          <t>A 18989-2025</t>
        </is>
      </c>
      <c r="B696" s="1" t="n">
        <v>45764</v>
      </c>
      <c r="C696" s="1" t="n">
        <v>45914</v>
      </c>
      <c r="D696" t="inlineStr">
        <is>
          <t>JÄMTLANDS LÄN</t>
        </is>
      </c>
      <c r="E696" t="inlineStr">
        <is>
          <t>RAGUNDA</t>
        </is>
      </c>
      <c r="G696" t="n">
        <v>0.9</v>
      </c>
      <c r="H696" t="n">
        <v>0</v>
      </c>
      <c r="I696" t="n">
        <v>0</v>
      </c>
      <c r="J696" t="n">
        <v>0</v>
      </c>
      <c r="K696" t="n">
        <v>0</v>
      </c>
      <c r="L696" t="n">
        <v>0</v>
      </c>
      <c r="M696" t="n">
        <v>0</v>
      </c>
      <c r="N696" t="n">
        <v>0</v>
      </c>
      <c r="O696" t="n">
        <v>0</v>
      </c>
      <c r="P696" t="n">
        <v>0</v>
      </c>
      <c r="Q696" t="n">
        <v>0</v>
      </c>
      <c r="R696" s="2" t="inlineStr"/>
    </row>
    <row r="697" ht="15" customHeight="1">
      <c r="A697" t="inlineStr">
        <is>
          <t>A 8795-2022</t>
        </is>
      </c>
      <c r="B697" s="1" t="n">
        <v>44614</v>
      </c>
      <c r="C697" s="1" t="n">
        <v>45914</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14905-2022</t>
        </is>
      </c>
      <c r="B698" s="1" t="n">
        <v>44656.94708333333</v>
      </c>
      <c r="C698" s="1" t="n">
        <v>45914</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6257-2025</t>
        </is>
      </c>
      <c r="B699" s="1" t="n">
        <v>45698.59409722222</v>
      </c>
      <c r="C699" s="1" t="n">
        <v>45914</v>
      </c>
      <c r="D699" t="inlineStr">
        <is>
          <t>JÄMTLANDS LÄN</t>
        </is>
      </c>
      <c r="E699" t="inlineStr">
        <is>
          <t>RAGUNDA</t>
        </is>
      </c>
      <c r="F699" t="inlineStr">
        <is>
          <t>SCA</t>
        </is>
      </c>
      <c r="G699" t="n">
        <v>7</v>
      </c>
      <c r="H699" t="n">
        <v>0</v>
      </c>
      <c r="I699" t="n">
        <v>0</v>
      </c>
      <c r="J699" t="n">
        <v>0</v>
      </c>
      <c r="K699" t="n">
        <v>0</v>
      </c>
      <c r="L699" t="n">
        <v>0</v>
      </c>
      <c r="M699" t="n">
        <v>0</v>
      </c>
      <c r="N699" t="n">
        <v>0</v>
      </c>
      <c r="O699" t="n">
        <v>0</v>
      </c>
      <c r="P699" t="n">
        <v>0</v>
      </c>
      <c r="Q699" t="n">
        <v>0</v>
      </c>
      <c r="R699" s="2" t="inlineStr"/>
    </row>
    <row r="700" ht="15" customHeight="1">
      <c r="A700" t="inlineStr">
        <is>
          <t>A 42508-2023</t>
        </is>
      </c>
      <c r="B700" s="1" t="n">
        <v>45180.95907407408</v>
      </c>
      <c r="C700" s="1" t="n">
        <v>45914</v>
      </c>
      <c r="D700" t="inlineStr">
        <is>
          <t>JÄMTLANDS LÄN</t>
        </is>
      </c>
      <c r="E700" t="inlineStr">
        <is>
          <t>RAGUNDA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28216-2025</t>
        </is>
      </c>
      <c r="B701" s="1" t="n">
        <v>45818.46898148148</v>
      </c>
      <c r="C701" s="1" t="n">
        <v>45914</v>
      </c>
      <c r="D701" t="inlineStr">
        <is>
          <t>JÄMTLANDS LÄN</t>
        </is>
      </c>
      <c r="E701" t="inlineStr">
        <is>
          <t>RAGUNDA</t>
        </is>
      </c>
      <c r="G701" t="n">
        <v>6.6</v>
      </c>
      <c r="H701" t="n">
        <v>0</v>
      </c>
      <c r="I701" t="n">
        <v>0</v>
      </c>
      <c r="J701" t="n">
        <v>0</v>
      </c>
      <c r="K701" t="n">
        <v>0</v>
      </c>
      <c r="L701" t="n">
        <v>0</v>
      </c>
      <c r="M701" t="n">
        <v>0</v>
      </c>
      <c r="N701" t="n">
        <v>0</v>
      </c>
      <c r="O701" t="n">
        <v>0</v>
      </c>
      <c r="P701" t="n">
        <v>0</v>
      </c>
      <c r="Q701" t="n">
        <v>0</v>
      </c>
      <c r="R701" s="2" t="inlineStr"/>
    </row>
    <row r="702" ht="15" customHeight="1">
      <c r="A702" t="inlineStr">
        <is>
          <t>A 21853-2024</t>
        </is>
      </c>
      <c r="B702" s="1" t="n">
        <v>45442.96296296296</v>
      </c>
      <c r="C702" s="1" t="n">
        <v>45914</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50160-2023</t>
        </is>
      </c>
      <c r="B703" s="1" t="n">
        <v>45208</v>
      </c>
      <c r="C703" s="1" t="n">
        <v>45914</v>
      </c>
      <c r="D703" t="inlineStr">
        <is>
          <t>JÄMTLANDS LÄN</t>
        </is>
      </c>
      <c r="E703" t="inlineStr">
        <is>
          <t>RAGUNDA</t>
        </is>
      </c>
      <c r="G703" t="n">
        <v>4.6</v>
      </c>
      <c r="H703" t="n">
        <v>0</v>
      </c>
      <c r="I703" t="n">
        <v>0</v>
      </c>
      <c r="J703" t="n">
        <v>0</v>
      </c>
      <c r="K703" t="n">
        <v>0</v>
      </c>
      <c r="L703" t="n">
        <v>0</v>
      </c>
      <c r="M703" t="n">
        <v>0</v>
      </c>
      <c r="N703" t="n">
        <v>0</v>
      </c>
      <c r="O703" t="n">
        <v>0</v>
      </c>
      <c r="P703" t="n">
        <v>0</v>
      </c>
      <c r="Q703" t="n">
        <v>0</v>
      </c>
      <c r="R703" s="2" t="inlineStr"/>
    </row>
    <row r="704" ht="15" customHeight="1">
      <c r="A704" t="inlineStr">
        <is>
          <t>A 29775-2023</t>
        </is>
      </c>
      <c r="B704" s="1" t="n">
        <v>45098</v>
      </c>
      <c r="C704" s="1" t="n">
        <v>45914</v>
      </c>
      <c r="D704" t="inlineStr">
        <is>
          <t>JÄMTLANDS LÄN</t>
        </is>
      </c>
      <c r="E704" t="inlineStr">
        <is>
          <t>RAGUNDA</t>
        </is>
      </c>
      <c r="G704" t="n">
        <v>3.6</v>
      </c>
      <c r="H704" t="n">
        <v>0</v>
      </c>
      <c r="I704" t="n">
        <v>0</v>
      </c>
      <c r="J704" t="n">
        <v>0</v>
      </c>
      <c r="K704" t="n">
        <v>0</v>
      </c>
      <c r="L704" t="n">
        <v>0</v>
      </c>
      <c r="M704" t="n">
        <v>0</v>
      </c>
      <c r="N704" t="n">
        <v>0</v>
      </c>
      <c r="O704" t="n">
        <v>0</v>
      </c>
      <c r="P704" t="n">
        <v>0</v>
      </c>
      <c r="Q704" t="n">
        <v>0</v>
      </c>
      <c r="R704" s="2" t="inlineStr"/>
    </row>
    <row r="705" ht="15" customHeight="1">
      <c r="A705" t="inlineStr">
        <is>
          <t>A 40365-2024</t>
        </is>
      </c>
      <c r="B705" s="1" t="n">
        <v>45555.38509259259</v>
      </c>
      <c r="C705" s="1" t="n">
        <v>45914</v>
      </c>
      <c r="D705" t="inlineStr">
        <is>
          <t>JÄMTLANDS LÄN</t>
        </is>
      </c>
      <c r="E705" t="inlineStr">
        <is>
          <t>RAGUNDA</t>
        </is>
      </c>
      <c r="G705" t="n">
        <v>7.8</v>
      </c>
      <c r="H705" t="n">
        <v>0</v>
      </c>
      <c r="I705" t="n">
        <v>0</v>
      </c>
      <c r="J705" t="n">
        <v>0</v>
      </c>
      <c r="K705" t="n">
        <v>0</v>
      </c>
      <c r="L705" t="n">
        <v>0</v>
      </c>
      <c r="M705" t="n">
        <v>0</v>
      </c>
      <c r="N705" t="n">
        <v>0</v>
      </c>
      <c r="O705" t="n">
        <v>0</v>
      </c>
      <c r="P705" t="n">
        <v>0</v>
      </c>
      <c r="Q705" t="n">
        <v>0</v>
      </c>
      <c r="R705" s="2" t="inlineStr"/>
    </row>
    <row r="706" ht="15" customHeight="1">
      <c r="A706" t="inlineStr">
        <is>
          <t>A 28637-2025</t>
        </is>
      </c>
      <c r="B706" s="1" t="n">
        <v>45819.6359375</v>
      </c>
      <c r="C706" s="1" t="n">
        <v>45914</v>
      </c>
      <c r="D706" t="inlineStr">
        <is>
          <t>JÄMTLANDS LÄN</t>
        </is>
      </c>
      <c r="E706" t="inlineStr">
        <is>
          <t>RAGUNDA</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59286-2023</t>
        </is>
      </c>
      <c r="B707" s="1" t="n">
        <v>45253</v>
      </c>
      <c r="C707" s="1" t="n">
        <v>45914</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7284-2025</t>
        </is>
      </c>
      <c r="B708" s="1" t="n">
        <v>45702.63604166666</v>
      </c>
      <c r="C708" s="1" t="n">
        <v>45914</v>
      </c>
      <c r="D708" t="inlineStr">
        <is>
          <t>JÄMTLANDS LÄN</t>
        </is>
      </c>
      <c r="E708" t="inlineStr">
        <is>
          <t>RAGUNDA</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60456-2023</t>
        </is>
      </c>
      <c r="B709" s="1" t="n">
        <v>45258</v>
      </c>
      <c r="C709" s="1" t="n">
        <v>45914</v>
      </c>
      <c r="D709" t="inlineStr">
        <is>
          <t>JÄMTLANDS LÄN</t>
        </is>
      </c>
      <c r="E709" t="inlineStr">
        <is>
          <t>RAGUNDA</t>
        </is>
      </c>
      <c r="G709" t="n">
        <v>1.8</v>
      </c>
      <c r="H709" t="n">
        <v>0</v>
      </c>
      <c r="I709" t="n">
        <v>0</v>
      </c>
      <c r="J709" t="n">
        <v>0</v>
      </c>
      <c r="K709" t="n">
        <v>0</v>
      </c>
      <c r="L709" t="n">
        <v>0</v>
      </c>
      <c r="M709" t="n">
        <v>0</v>
      </c>
      <c r="N709" t="n">
        <v>0</v>
      </c>
      <c r="O709" t="n">
        <v>0</v>
      </c>
      <c r="P709" t="n">
        <v>0</v>
      </c>
      <c r="Q709" t="n">
        <v>0</v>
      </c>
      <c r="R709" s="2" t="inlineStr"/>
    </row>
    <row r="710" ht="15" customHeight="1">
      <c r="A710" t="inlineStr">
        <is>
          <t>A 60012-2023</t>
        </is>
      </c>
      <c r="B710" s="1" t="n">
        <v>45257</v>
      </c>
      <c r="C710" s="1" t="n">
        <v>45914</v>
      </c>
      <c r="D710" t="inlineStr">
        <is>
          <t>JÄMTLANDS LÄN</t>
        </is>
      </c>
      <c r="E710" t="inlineStr">
        <is>
          <t>RAGUNDA</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20221-2025</t>
        </is>
      </c>
      <c r="B711" s="1" t="n">
        <v>45772.6565625</v>
      </c>
      <c r="C711" s="1" t="n">
        <v>45914</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28973-2025</t>
        </is>
      </c>
      <c r="B712" s="1" t="n">
        <v>45821.34513888889</v>
      </c>
      <c r="C712" s="1" t="n">
        <v>45914</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58438-2022</t>
        </is>
      </c>
      <c r="B713" s="1" t="n">
        <v>44901</v>
      </c>
      <c r="C713" s="1" t="n">
        <v>45914</v>
      </c>
      <c r="D713" t="inlineStr">
        <is>
          <t>JÄMTLANDS LÄN</t>
        </is>
      </c>
      <c r="E713" t="inlineStr">
        <is>
          <t>RAGUNDA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58442-2022</t>
        </is>
      </c>
      <c r="B714" s="1" t="n">
        <v>44901</v>
      </c>
      <c r="C714" s="1" t="n">
        <v>45914</v>
      </c>
      <c r="D714" t="inlineStr">
        <is>
          <t>JÄMTLANDS LÄN</t>
        </is>
      </c>
      <c r="E714" t="inlineStr">
        <is>
          <t>RAGUNDA</t>
        </is>
      </c>
      <c r="F714" t="inlineStr">
        <is>
          <t>SCA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35265-2023</t>
        </is>
      </c>
      <c r="B715" s="1" t="n">
        <v>45145.95326388889</v>
      </c>
      <c r="C715" s="1" t="n">
        <v>45914</v>
      </c>
      <c r="D715" t="inlineStr">
        <is>
          <t>JÄMTLANDS LÄN</t>
        </is>
      </c>
      <c r="E715" t="inlineStr">
        <is>
          <t>RAGUNDA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31435-2022</t>
        </is>
      </c>
      <c r="B716" s="1" t="n">
        <v>44774</v>
      </c>
      <c r="C716" s="1" t="n">
        <v>45914</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50211-2023</t>
        </is>
      </c>
      <c r="B717" s="1" t="n">
        <v>45215.94657407407</v>
      </c>
      <c r="C717" s="1" t="n">
        <v>45914</v>
      </c>
      <c r="D717" t="inlineStr">
        <is>
          <t>JÄMTLANDS LÄN</t>
        </is>
      </c>
      <c r="E717" t="inlineStr">
        <is>
          <t>RAGUNDA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29723-2025</t>
        </is>
      </c>
      <c r="B718" s="1" t="n">
        <v>45825.57675925926</v>
      </c>
      <c r="C718" s="1" t="n">
        <v>45914</v>
      </c>
      <c r="D718" t="inlineStr">
        <is>
          <t>JÄMTLANDS LÄN</t>
        </is>
      </c>
      <c r="E718" t="inlineStr">
        <is>
          <t>RAGUNDA</t>
        </is>
      </c>
      <c r="G718" t="n">
        <v>3.1</v>
      </c>
      <c r="H718" t="n">
        <v>0</v>
      </c>
      <c r="I718" t="n">
        <v>0</v>
      </c>
      <c r="J718" t="n">
        <v>0</v>
      </c>
      <c r="K718" t="n">
        <v>0</v>
      </c>
      <c r="L718" t="n">
        <v>0</v>
      </c>
      <c r="M718" t="n">
        <v>0</v>
      </c>
      <c r="N718" t="n">
        <v>0</v>
      </c>
      <c r="O718" t="n">
        <v>0</v>
      </c>
      <c r="P718" t="n">
        <v>0</v>
      </c>
      <c r="Q718" t="n">
        <v>0</v>
      </c>
      <c r="R718" s="2" t="inlineStr"/>
    </row>
    <row r="719" ht="15" customHeight="1">
      <c r="A719" t="inlineStr">
        <is>
          <t>A 29731-2025</t>
        </is>
      </c>
      <c r="B719" s="1" t="n">
        <v>45825.58252314815</v>
      </c>
      <c r="C719" s="1" t="n">
        <v>45914</v>
      </c>
      <c r="D719" t="inlineStr">
        <is>
          <t>JÄMTLANDS LÄN</t>
        </is>
      </c>
      <c r="E719" t="inlineStr">
        <is>
          <t>RAGUNDA</t>
        </is>
      </c>
      <c r="G719" t="n">
        <v>2.3</v>
      </c>
      <c r="H719" t="n">
        <v>0</v>
      </c>
      <c r="I719" t="n">
        <v>0</v>
      </c>
      <c r="J719" t="n">
        <v>0</v>
      </c>
      <c r="K719" t="n">
        <v>0</v>
      </c>
      <c r="L719" t="n">
        <v>0</v>
      </c>
      <c r="M719" t="n">
        <v>0</v>
      </c>
      <c r="N719" t="n">
        <v>0</v>
      </c>
      <c r="O719" t="n">
        <v>0</v>
      </c>
      <c r="P719" t="n">
        <v>0</v>
      </c>
      <c r="Q719" t="n">
        <v>0</v>
      </c>
      <c r="R719" s="2" t="inlineStr"/>
    </row>
    <row r="720" ht="15" customHeight="1">
      <c r="A720" t="inlineStr">
        <is>
          <t>A 49229-2024</t>
        </is>
      </c>
      <c r="B720" s="1" t="n">
        <v>45595.42738425926</v>
      </c>
      <c r="C720" s="1" t="n">
        <v>45914</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16529-2022</t>
        </is>
      </c>
      <c r="B721" s="1" t="n">
        <v>44671</v>
      </c>
      <c r="C721" s="1" t="n">
        <v>45914</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40269-2022</t>
        </is>
      </c>
      <c r="B722" s="1" t="n">
        <v>44820</v>
      </c>
      <c r="C722" s="1" t="n">
        <v>45914</v>
      </c>
      <c r="D722" t="inlineStr">
        <is>
          <t>JÄMTLANDS LÄN</t>
        </is>
      </c>
      <c r="E722" t="inlineStr">
        <is>
          <t>RAGUNDA</t>
        </is>
      </c>
      <c r="F722" t="inlineStr">
        <is>
          <t>SCA</t>
        </is>
      </c>
      <c r="G722" t="n">
        <v>77.8</v>
      </c>
      <c r="H722" t="n">
        <v>0</v>
      </c>
      <c r="I722" t="n">
        <v>0</v>
      </c>
      <c r="J722" t="n">
        <v>0</v>
      </c>
      <c r="K722" t="n">
        <v>0</v>
      </c>
      <c r="L722" t="n">
        <v>0</v>
      </c>
      <c r="M722" t="n">
        <v>0</v>
      </c>
      <c r="N722" t="n">
        <v>0</v>
      </c>
      <c r="O722" t="n">
        <v>0</v>
      </c>
      <c r="P722" t="n">
        <v>0</v>
      </c>
      <c r="Q722" t="n">
        <v>0</v>
      </c>
      <c r="R722" s="2" t="inlineStr"/>
    </row>
    <row r="723" ht="15" customHeight="1">
      <c r="A723" t="inlineStr">
        <is>
          <t>A 55524-2024</t>
        </is>
      </c>
      <c r="B723" s="1" t="n">
        <v>45622.47435185185</v>
      </c>
      <c r="C723" s="1" t="n">
        <v>45914</v>
      </c>
      <c r="D723" t="inlineStr">
        <is>
          <t>JÄMTLANDS LÄN</t>
        </is>
      </c>
      <c r="E723" t="inlineStr">
        <is>
          <t>RAGUNDA</t>
        </is>
      </c>
      <c r="G723" t="n">
        <v>1.4</v>
      </c>
      <c r="H723" t="n">
        <v>0</v>
      </c>
      <c r="I723" t="n">
        <v>0</v>
      </c>
      <c r="J723" t="n">
        <v>0</v>
      </c>
      <c r="K723" t="n">
        <v>0</v>
      </c>
      <c r="L723" t="n">
        <v>0</v>
      </c>
      <c r="M723" t="n">
        <v>0</v>
      </c>
      <c r="N723" t="n">
        <v>0</v>
      </c>
      <c r="O723" t="n">
        <v>0</v>
      </c>
      <c r="P723" t="n">
        <v>0</v>
      </c>
      <c r="Q723" t="n">
        <v>0</v>
      </c>
      <c r="R723" s="2" t="inlineStr"/>
    </row>
    <row r="724" ht="15" customHeight="1">
      <c r="A724" t="inlineStr">
        <is>
          <t>A 19419-2024</t>
        </is>
      </c>
      <c r="B724" s="1" t="n">
        <v>45429</v>
      </c>
      <c r="C724" s="1" t="n">
        <v>45914</v>
      </c>
      <c r="D724" t="inlineStr">
        <is>
          <t>JÄMTLANDS LÄN</t>
        </is>
      </c>
      <c r="E724" t="inlineStr">
        <is>
          <t>RAGUNDA</t>
        </is>
      </c>
      <c r="G724" t="n">
        <v>3.5</v>
      </c>
      <c r="H724" t="n">
        <v>0</v>
      </c>
      <c r="I724" t="n">
        <v>0</v>
      </c>
      <c r="J724" t="n">
        <v>0</v>
      </c>
      <c r="K724" t="n">
        <v>0</v>
      </c>
      <c r="L724" t="n">
        <v>0</v>
      </c>
      <c r="M724" t="n">
        <v>0</v>
      </c>
      <c r="N724" t="n">
        <v>0</v>
      </c>
      <c r="O724" t="n">
        <v>0</v>
      </c>
      <c r="P724" t="n">
        <v>0</v>
      </c>
      <c r="Q724" t="n">
        <v>0</v>
      </c>
      <c r="R724" s="2" t="inlineStr"/>
    </row>
    <row r="725" ht="15" customHeight="1">
      <c r="A725" t="inlineStr">
        <is>
          <t>A 29714-2025</t>
        </is>
      </c>
      <c r="B725" s="1" t="n">
        <v>45825.56762731481</v>
      </c>
      <c r="C725" s="1" t="n">
        <v>45914</v>
      </c>
      <c r="D725" t="inlineStr">
        <is>
          <t>JÄMTLANDS LÄN</t>
        </is>
      </c>
      <c r="E725" t="inlineStr">
        <is>
          <t>RAGUNDA</t>
        </is>
      </c>
      <c r="G725" t="n">
        <v>2.7</v>
      </c>
      <c r="H725" t="n">
        <v>0</v>
      </c>
      <c r="I725" t="n">
        <v>0</v>
      </c>
      <c r="J725" t="n">
        <v>0</v>
      </c>
      <c r="K725" t="n">
        <v>0</v>
      </c>
      <c r="L725" t="n">
        <v>0</v>
      </c>
      <c r="M725" t="n">
        <v>0</v>
      </c>
      <c r="N725" t="n">
        <v>0</v>
      </c>
      <c r="O725" t="n">
        <v>0</v>
      </c>
      <c r="P725" t="n">
        <v>0</v>
      </c>
      <c r="Q725" t="n">
        <v>0</v>
      </c>
      <c r="R725" s="2" t="inlineStr"/>
    </row>
    <row r="726" ht="15" customHeight="1">
      <c r="A726" t="inlineStr">
        <is>
          <t>A 30088-2025</t>
        </is>
      </c>
      <c r="B726" s="1" t="n">
        <v>45826.65759259259</v>
      </c>
      <c r="C726" s="1" t="n">
        <v>45914</v>
      </c>
      <c r="D726" t="inlineStr">
        <is>
          <t>JÄMTLANDS LÄN</t>
        </is>
      </c>
      <c r="E726" t="inlineStr">
        <is>
          <t>RAGUNDA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44536-2022</t>
        </is>
      </c>
      <c r="B727" s="1" t="n">
        <v>44839</v>
      </c>
      <c r="C727" s="1" t="n">
        <v>45914</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36212-2023</t>
        </is>
      </c>
      <c r="B728" s="1" t="n">
        <v>45149.95241898148</v>
      </c>
      <c r="C728" s="1" t="n">
        <v>45914</v>
      </c>
      <c r="D728" t="inlineStr">
        <is>
          <t>JÄMTLANDS LÄN</t>
        </is>
      </c>
      <c r="E728" t="inlineStr">
        <is>
          <t>RAGUNDA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31463-2024</t>
        </is>
      </c>
      <c r="B729" s="1" t="n">
        <v>45505</v>
      </c>
      <c r="C729" s="1" t="n">
        <v>45914</v>
      </c>
      <c r="D729" t="inlineStr">
        <is>
          <t>JÄMTLANDS LÄN</t>
        </is>
      </c>
      <c r="E729" t="inlineStr">
        <is>
          <t>RAGUNDA</t>
        </is>
      </c>
      <c r="F729" t="inlineStr">
        <is>
          <t>SCA</t>
        </is>
      </c>
      <c r="G729" t="n">
        <v>20.3</v>
      </c>
      <c r="H729" t="n">
        <v>0</v>
      </c>
      <c r="I729" t="n">
        <v>0</v>
      </c>
      <c r="J729" t="n">
        <v>0</v>
      </c>
      <c r="K729" t="n">
        <v>0</v>
      </c>
      <c r="L729" t="n">
        <v>0</v>
      </c>
      <c r="M729" t="n">
        <v>0</v>
      </c>
      <c r="N729" t="n">
        <v>0</v>
      </c>
      <c r="O729" t="n">
        <v>0</v>
      </c>
      <c r="P729" t="n">
        <v>0</v>
      </c>
      <c r="Q729" t="n">
        <v>0</v>
      </c>
      <c r="R729" s="2" t="inlineStr"/>
    </row>
    <row r="730" ht="15" customHeight="1">
      <c r="A730" t="inlineStr">
        <is>
          <t>A 30348-2025</t>
        </is>
      </c>
      <c r="B730" s="1" t="n">
        <v>45827.53178240741</v>
      </c>
      <c r="C730" s="1" t="n">
        <v>45914</v>
      </c>
      <c r="D730" t="inlineStr">
        <is>
          <t>JÄMTLANDS LÄN</t>
        </is>
      </c>
      <c r="E730" t="inlineStr">
        <is>
          <t>RAGUNDA</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30434-2025</t>
        </is>
      </c>
      <c r="B731" s="1" t="n">
        <v>45827.63582175926</v>
      </c>
      <c r="C731" s="1" t="n">
        <v>45914</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53860-2023</t>
        </is>
      </c>
      <c r="B732" s="1" t="n">
        <v>45224</v>
      </c>
      <c r="C732" s="1" t="n">
        <v>45914</v>
      </c>
      <c r="D732" t="inlineStr">
        <is>
          <t>JÄMTLANDS LÄN</t>
        </is>
      </c>
      <c r="E732" t="inlineStr">
        <is>
          <t>RAGUNDA</t>
        </is>
      </c>
      <c r="G732" t="n">
        <v>3.3</v>
      </c>
      <c r="H732" t="n">
        <v>0</v>
      </c>
      <c r="I732" t="n">
        <v>0</v>
      </c>
      <c r="J732" t="n">
        <v>0</v>
      </c>
      <c r="K732" t="n">
        <v>0</v>
      </c>
      <c r="L732" t="n">
        <v>0</v>
      </c>
      <c r="M732" t="n">
        <v>0</v>
      </c>
      <c r="N732" t="n">
        <v>0</v>
      </c>
      <c r="O732" t="n">
        <v>0</v>
      </c>
      <c r="P732" t="n">
        <v>0</v>
      </c>
      <c r="Q732" t="n">
        <v>0</v>
      </c>
      <c r="R732" s="2" t="inlineStr"/>
    </row>
    <row r="733" ht="15" customHeight="1">
      <c r="A733" t="inlineStr">
        <is>
          <t>A 54599-2023</t>
        </is>
      </c>
      <c r="B733" s="1" t="n">
        <v>45233.92591435185</v>
      </c>
      <c r="C733" s="1" t="n">
        <v>45914</v>
      </c>
      <c r="D733" t="inlineStr">
        <is>
          <t>JÄMTLANDS LÄN</t>
        </is>
      </c>
      <c r="E733" t="inlineStr">
        <is>
          <t>RAGUNDA</t>
        </is>
      </c>
      <c r="G733" t="n">
        <v>3.7</v>
      </c>
      <c r="H733" t="n">
        <v>0</v>
      </c>
      <c r="I733" t="n">
        <v>0</v>
      </c>
      <c r="J733" t="n">
        <v>0</v>
      </c>
      <c r="K733" t="n">
        <v>0</v>
      </c>
      <c r="L733" t="n">
        <v>0</v>
      </c>
      <c r="M733" t="n">
        <v>0</v>
      </c>
      <c r="N733" t="n">
        <v>0</v>
      </c>
      <c r="O733" t="n">
        <v>0</v>
      </c>
      <c r="P733" t="n">
        <v>0</v>
      </c>
      <c r="Q733" t="n">
        <v>0</v>
      </c>
      <c r="R733" s="2" t="inlineStr"/>
    </row>
    <row r="734" ht="15" customHeight="1">
      <c r="A734" t="inlineStr">
        <is>
          <t>A 37008-2025</t>
        </is>
      </c>
      <c r="B734" s="1" t="n">
        <v>45874.69844907407</v>
      </c>
      <c r="C734" s="1" t="n">
        <v>45914</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30883-2025</t>
        </is>
      </c>
      <c r="B735" s="1" t="n">
        <v>45832.34552083333</v>
      </c>
      <c r="C735" s="1" t="n">
        <v>45914</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10610-2024</t>
        </is>
      </c>
      <c r="B736" s="1" t="n">
        <v>45367.04693287037</v>
      </c>
      <c r="C736" s="1" t="n">
        <v>45914</v>
      </c>
      <c r="D736" t="inlineStr">
        <is>
          <t>JÄMTLANDS LÄN</t>
        </is>
      </c>
      <c r="E736" t="inlineStr">
        <is>
          <t>RAGUNDA</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46211-2024</t>
        </is>
      </c>
      <c r="B737" s="1" t="n">
        <v>45581.55260416667</v>
      </c>
      <c r="C737" s="1" t="n">
        <v>45914</v>
      </c>
      <c r="D737" t="inlineStr">
        <is>
          <t>JÄMTLANDS LÄN</t>
        </is>
      </c>
      <c r="E737" t="inlineStr">
        <is>
          <t>RAGUNDA</t>
        </is>
      </c>
      <c r="G737" t="n">
        <v>7.3</v>
      </c>
      <c r="H737" t="n">
        <v>0</v>
      </c>
      <c r="I737" t="n">
        <v>0</v>
      </c>
      <c r="J737" t="n">
        <v>0</v>
      </c>
      <c r="K737" t="n">
        <v>0</v>
      </c>
      <c r="L737" t="n">
        <v>0</v>
      </c>
      <c r="M737" t="n">
        <v>0</v>
      </c>
      <c r="N737" t="n">
        <v>0</v>
      </c>
      <c r="O737" t="n">
        <v>0</v>
      </c>
      <c r="P737" t="n">
        <v>0</v>
      </c>
      <c r="Q737" t="n">
        <v>0</v>
      </c>
      <c r="R737" s="2" t="inlineStr"/>
    </row>
    <row r="738" ht="15" customHeight="1">
      <c r="A738" t="inlineStr">
        <is>
          <t>A 8779-2025</t>
        </is>
      </c>
      <c r="B738" s="1" t="n">
        <v>45712.61552083334</v>
      </c>
      <c r="C738" s="1" t="n">
        <v>45914</v>
      </c>
      <c r="D738" t="inlineStr">
        <is>
          <t>JÄMTLANDS LÄN</t>
        </is>
      </c>
      <c r="E738" t="inlineStr">
        <is>
          <t>RAGUNDA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20574-2025</t>
        </is>
      </c>
      <c r="B739" s="1" t="n">
        <v>45775.67747685185</v>
      </c>
      <c r="C739" s="1" t="n">
        <v>45914</v>
      </c>
      <c r="D739" t="inlineStr">
        <is>
          <t>JÄMTLANDS LÄN</t>
        </is>
      </c>
      <c r="E739" t="inlineStr">
        <is>
          <t>RAGUNDA</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16676-2022</t>
        </is>
      </c>
      <c r="B740" s="1" t="n">
        <v>44672.94018518519</v>
      </c>
      <c r="C740" s="1" t="n">
        <v>45914</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8679-2023</t>
        </is>
      </c>
      <c r="B741" s="1" t="n">
        <v>44977.98670138889</v>
      </c>
      <c r="C741" s="1" t="n">
        <v>45914</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14158-2024</t>
        </is>
      </c>
      <c r="B742" s="1" t="n">
        <v>45392</v>
      </c>
      <c r="C742" s="1" t="n">
        <v>45914</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57078-2023</t>
        </is>
      </c>
      <c r="B743" s="1" t="n">
        <v>45244.96774305555</v>
      </c>
      <c r="C743" s="1" t="n">
        <v>45914</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55649-2023</t>
        </is>
      </c>
      <c r="B744" s="1" t="n">
        <v>45238</v>
      </c>
      <c r="C744" s="1" t="n">
        <v>45914</v>
      </c>
      <c r="D744" t="inlineStr">
        <is>
          <t>JÄMTLANDS LÄN</t>
        </is>
      </c>
      <c r="E744" t="inlineStr">
        <is>
          <t>RAGUNDA</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36994-2025</t>
        </is>
      </c>
      <c r="B745" s="1" t="n">
        <v>45874.67746527777</v>
      </c>
      <c r="C745" s="1" t="n">
        <v>45914</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12976-2025</t>
        </is>
      </c>
      <c r="B746" s="1" t="n">
        <v>45734.45268518518</v>
      </c>
      <c r="C746" s="1" t="n">
        <v>45914</v>
      </c>
      <c r="D746" t="inlineStr">
        <is>
          <t>JÄMTLANDS LÄN</t>
        </is>
      </c>
      <c r="E746" t="inlineStr">
        <is>
          <t>RAGUNDA</t>
        </is>
      </c>
      <c r="G746" t="n">
        <v>24.2</v>
      </c>
      <c r="H746" t="n">
        <v>0</v>
      </c>
      <c r="I746" t="n">
        <v>0</v>
      </c>
      <c r="J746" t="n">
        <v>0</v>
      </c>
      <c r="K746" t="n">
        <v>0</v>
      </c>
      <c r="L746" t="n">
        <v>0</v>
      </c>
      <c r="M746" t="n">
        <v>0</v>
      </c>
      <c r="N746" t="n">
        <v>0</v>
      </c>
      <c r="O746" t="n">
        <v>0</v>
      </c>
      <c r="P746" t="n">
        <v>0</v>
      </c>
      <c r="Q746" t="n">
        <v>0</v>
      </c>
      <c r="R746" s="2" t="inlineStr"/>
    </row>
    <row r="747" ht="15" customHeight="1">
      <c r="A747" t="inlineStr">
        <is>
          <t>A 53769-2023</t>
        </is>
      </c>
      <c r="B747" s="1" t="n">
        <v>45230</v>
      </c>
      <c r="C747" s="1" t="n">
        <v>45914</v>
      </c>
      <c r="D747" t="inlineStr">
        <is>
          <t>JÄMTLANDS LÄN</t>
        </is>
      </c>
      <c r="E747" t="inlineStr">
        <is>
          <t>RAGUNDA</t>
        </is>
      </c>
      <c r="F747" t="inlineStr">
        <is>
          <t>SCA</t>
        </is>
      </c>
      <c r="G747" t="n">
        <v>11.6</v>
      </c>
      <c r="H747" t="n">
        <v>0</v>
      </c>
      <c r="I747" t="n">
        <v>0</v>
      </c>
      <c r="J747" t="n">
        <v>0</v>
      </c>
      <c r="K747" t="n">
        <v>0</v>
      </c>
      <c r="L747" t="n">
        <v>0</v>
      </c>
      <c r="M747" t="n">
        <v>0</v>
      </c>
      <c r="N747" t="n">
        <v>0</v>
      </c>
      <c r="O747" t="n">
        <v>0</v>
      </c>
      <c r="P747" t="n">
        <v>0</v>
      </c>
      <c r="Q747" t="n">
        <v>0</v>
      </c>
      <c r="R747" s="2" t="inlineStr"/>
    </row>
    <row r="748" ht="15" customHeight="1">
      <c r="A748" t="inlineStr">
        <is>
          <t>A 30880-2025</t>
        </is>
      </c>
      <c r="B748" s="1" t="n">
        <v>45832.34524305556</v>
      </c>
      <c r="C748" s="1" t="n">
        <v>45914</v>
      </c>
      <c r="D748" t="inlineStr">
        <is>
          <t>JÄMTLANDS LÄN</t>
        </is>
      </c>
      <c r="E748" t="inlineStr">
        <is>
          <t>RAGUNDA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30887-2025</t>
        </is>
      </c>
      <c r="B749" s="1" t="n">
        <v>45832.3459375</v>
      </c>
      <c r="C749" s="1" t="n">
        <v>45914</v>
      </c>
      <c r="D749" t="inlineStr">
        <is>
          <t>JÄMTLANDS LÄN</t>
        </is>
      </c>
      <c r="E749" t="inlineStr">
        <is>
          <t>RAGUNDA</t>
        </is>
      </c>
      <c r="F749" t="inlineStr">
        <is>
          <t>SCA</t>
        </is>
      </c>
      <c r="G749" t="n">
        <v>10.1</v>
      </c>
      <c r="H749" t="n">
        <v>0</v>
      </c>
      <c r="I749" t="n">
        <v>0</v>
      </c>
      <c r="J749" t="n">
        <v>0</v>
      </c>
      <c r="K749" t="n">
        <v>0</v>
      </c>
      <c r="L749" t="n">
        <v>0</v>
      </c>
      <c r="M749" t="n">
        <v>0</v>
      </c>
      <c r="N749" t="n">
        <v>0</v>
      </c>
      <c r="O749" t="n">
        <v>0</v>
      </c>
      <c r="P749" t="n">
        <v>0</v>
      </c>
      <c r="Q749" t="n">
        <v>0</v>
      </c>
      <c r="R749" s="2" t="inlineStr"/>
    </row>
    <row r="750" ht="15" customHeight="1">
      <c r="A750" t="inlineStr">
        <is>
          <t>A 56286-2023</t>
        </is>
      </c>
      <c r="B750" s="1" t="n">
        <v>45241.95741898148</v>
      </c>
      <c r="C750" s="1" t="n">
        <v>45914</v>
      </c>
      <c r="D750" t="inlineStr">
        <is>
          <t>JÄMTLANDS LÄN</t>
        </is>
      </c>
      <c r="E750" t="inlineStr">
        <is>
          <t>RAGUNDA</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56287-2023</t>
        </is>
      </c>
      <c r="B751" s="1" t="n">
        <v>45241</v>
      </c>
      <c r="C751" s="1" t="n">
        <v>45914</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59658-2023</t>
        </is>
      </c>
      <c r="B752" s="1" t="n">
        <v>45254.96402777778</v>
      </c>
      <c r="C752" s="1" t="n">
        <v>45914</v>
      </c>
      <c r="D752" t="inlineStr">
        <is>
          <t>JÄMTLANDS LÄN</t>
        </is>
      </c>
      <c r="E752" t="inlineStr">
        <is>
          <t>RAGUNDA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36947-2025</t>
        </is>
      </c>
      <c r="B753" s="1" t="n">
        <v>45874.59496527778</v>
      </c>
      <c r="C753" s="1" t="n">
        <v>45914</v>
      </c>
      <c r="D753" t="inlineStr">
        <is>
          <t>JÄMTLANDS LÄN</t>
        </is>
      </c>
      <c r="E753" t="inlineStr">
        <is>
          <t>RAGUNDA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32874-2025</t>
        </is>
      </c>
      <c r="B754" s="1" t="n">
        <v>45839</v>
      </c>
      <c r="C754" s="1" t="n">
        <v>45914</v>
      </c>
      <c r="D754" t="inlineStr">
        <is>
          <t>JÄMTLANDS LÄN</t>
        </is>
      </c>
      <c r="E754" t="inlineStr">
        <is>
          <t>RAGUNDA</t>
        </is>
      </c>
      <c r="G754" t="n">
        <v>2.3</v>
      </c>
      <c r="H754" t="n">
        <v>0</v>
      </c>
      <c r="I754" t="n">
        <v>0</v>
      </c>
      <c r="J754" t="n">
        <v>0</v>
      </c>
      <c r="K754" t="n">
        <v>0</v>
      </c>
      <c r="L754" t="n">
        <v>0</v>
      </c>
      <c r="M754" t="n">
        <v>0</v>
      </c>
      <c r="N754" t="n">
        <v>0</v>
      </c>
      <c r="O754" t="n">
        <v>0</v>
      </c>
      <c r="P754" t="n">
        <v>0</v>
      </c>
      <c r="Q754" t="n">
        <v>0</v>
      </c>
      <c r="R754" s="2" t="inlineStr"/>
    </row>
    <row r="755" ht="15" customHeight="1">
      <c r="A755" t="inlineStr">
        <is>
          <t>A 40919-2024</t>
        </is>
      </c>
      <c r="B755" s="1" t="n">
        <v>45558.63575231482</v>
      </c>
      <c r="C755" s="1" t="n">
        <v>45914</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28081-2022</t>
        </is>
      </c>
      <c r="B756" s="1" t="n">
        <v>44746</v>
      </c>
      <c r="C756" s="1" t="n">
        <v>45914</v>
      </c>
      <c r="D756" t="inlineStr">
        <is>
          <t>JÄMTLANDS LÄN</t>
        </is>
      </c>
      <c r="E756" t="inlineStr">
        <is>
          <t>RAGUNDA</t>
        </is>
      </c>
      <c r="G756" t="n">
        <v>7.2</v>
      </c>
      <c r="H756" t="n">
        <v>0</v>
      </c>
      <c r="I756" t="n">
        <v>0</v>
      </c>
      <c r="J756" t="n">
        <v>0</v>
      </c>
      <c r="K756" t="n">
        <v>0</v>
      </c>
      <c r="L756" t="n">
        <v>0</v>
      </c>
      <c r="M756" t="n">
        <v>0</v>
      </c>
      <c r="N756" t="n">
        <v>0</v>
      </c>
      <c r="O756" t="n">
        <v>0</v>
      </c>
      <c r="P756" t="n">
        <v>0</v>
      </c>
      <c r="Q756" t="n">
        <v>0</v>
      </c>
      <c r="R756" s="2" t="inlineStr"/>
    </row>
    <row r="757" ht="15" customHeight="1">
      <c r="A757" t="inlineStr">
        <is>
          <t>A 15024-2022</t>
        </is>
      </c>
      <c r="B757" s="1" t="n">
        <v>44657</v>
      </c>
      <c r="C757" s="1" t="n">
        <v>45914</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37292-2025</t>
        </is>
      </c>
      <c r="B758" s="1" t="n">
        <v>45876.53188657408</v>
      </c>
      <c r="C758" s="1" t="n">
        <v>45914</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31882-2025</t>
        </is>
      </c>
      <c r="B759" s="1" t="n">
        <v>45834.65662037037</v>
      </c>
      <c r="C759" s="1" t="n">
        <v>45914</v>
      </c>
      <c r="D759" t="inlineStr">
        <is>
          <t>JÄMTLANDS LÄN</t>
        </is>
      </c>
      <c r="E759" t="inlineStr">
        <is>
          <t>RAGUNDA</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48192-2024</t>
        </is>
      </c>
      <c r="B760" s="1" t="n">
        <v>45590</v>
      </c>
      <c r="C760" s="1" t="n">
        <v>45914</v>
      </c>
      <c r="D760" t="inlineStr">
        <is>
          <t>JÄMTLANDS LÄN</t>
        </is>
      </c>
      <c r="E760" t="inlineStr">
        <is>
          <t>RAGUNDA</t>
        </is>
      </c>
      <c r="G760" t="n">
        <v>2.3</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45914</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12768-2022</t>
        </is>
      </c>
      <c r="B762" s="1" t="n">
        <v>44641</v>
      </c>
      <c r="C762" s="1" t="n">
        <v>45914</v>
      </c>
      <c r="D762" t="inlineStr">
        <is>
          <t>JÄMTLANDS LÄN</t>
        </is>
      </c>
      <c r="E762" t="inlineStr">
        <is>
          <t>RAGUNDA</t>
        </is>
      </c>
      <c r="F762" t="inlineStr">
        <is>
          <t>SCA</t>
        </is>
      </c>
      <c r="G762" t="n">
        <v>8</v>
      </c>
      <c r="H762" t="n">
        <v>0</v>
      </c>
      <c r="I762" t="n">
        <v>0</v>
      </c>
      <c r="J762" t="n">
        <v>0</v>
      </c>
      <c r="K762" t="n">
        <v>0</v>
      </c>
      <c r="L762" t="n">
        <v>0</v>
      </c>
      <c r="M762" t="n">
        <v>0</v>
      </c>
      <c r="N762" t="n">
        <v>0</v>
      </c>
      <c r="O762" t="n">
        <v>0</v>
      </c>
      <c r="P762" t="n">
        <v>0</v>
      </c>
      <c r="Q762" t="n">
        <v>0</v>
      </c>
      <c r="R762" s="2" t="inlineStr"/>
    </row>
    <row r="763" ht="15" customHeight="1">
      <c r="A763" t="inlineStr">
        <is>
          <t>A 12773-2022</t>
        </is>
      </c>
      <c r="B763" s="1" t="n">
        <v>44641</v>
      </c>
      <c r="C763" s="1" t="n">
        <v>45914</v>
      </c>
      <c r="D763" t="inlineStr">
        <is>
          <t>JÄMTLANDS LÄN</t>
        </is>
      </c>
      <c r="E763" t="inlineStr">
        <is>
          <t>RAGUNDA</t>
        </is>
      </c>
      <c r="F763" t="inlineStr">
        <is>
          <t>SCA</t>
        </is>
      </c>
      <c r="G763" t="n">
        <v>14.7</v>
      </c>
      <c r="H763" t="n">
        <v>0</v>
      </c>
      <c r="I763" t="n">
        <v>0</v>
      </c>
      <c r="J763" t="n">
        <v>0</v>
      </c>
      <c r="K763" t="n">
        <v>0</v>
      </c>
      <c r="L763" t="n">
        <v>0</v>
      </c>
      <c r="M763" t="n">
        <v>0</v>
      </c>
      <c r="N763" t="n">
        <v>0</v>
      </c>
      <c r="O763" t="n">
        <v>0</v>
      </c>
      <c r="P763" t="n">
        <v>0</v>
      </c>
      <c r="Q763" t="n">
        <v>0</v>
      </c>
      <c r="R763" s="2" t="inlineStr"/>
    </row>
    <row r="764" ht="15" customHeight="1">
      <c r="A764" t="inlineStr">
        <is>
          <t>A 19727-2025</t>
        </is>
      </c>
      <c r="B764" s="1" t="n">
        <v>45771.36538194444</v>
      </c>
      <c r="C764" s="1" t="n">
        <v>45914</v>
      </c>
      <c r="D764" t="inlineStr">
        <is>
          <t>JÄMTLANDS LÄN</t>
        </is>
      </c>
      <c r="E764" t="inlineStr">
        <is>
          <t>RAGUNDA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32075-2025</t>
        </is>
      </c>
      <c r="B765" s="1" t="n">
        <v>45835.4506712963</v>
      </c>
      <c r="C765" s="1" t="n">
        <v>45914</v>
      </c>
      <c r="D765" t="inlineStr">
        <is>
          <t>JÄMTLANDS LÄN</t>
        </is>
      </c>
      <c r="E765" t="inlineStr">
        <is>
          <t>RAGUNDA</t>
        </is>
      </c>
      <c r="G765" t="n">
        <v>1.1</v>
      </c>
      <c r="H765" t="n">
        <v>0</v>
      </c>
      <c r="I765" t="n">
        <v>0</v>
      </c>
      <c r="J765" t="n">
        <v>0</v>
      </c>
      <c r="K765" t="n">
        <v>0</v>
      </c>
      <c r="L765" t="n">
        <v>0</v>
      </c>
      <c r="M765" t="n">
        <v>0</v>
      </c>
      <c r="N765" t="n">
        <v>0</v>
      </c>
      <c r="O765" t="n">
        <v>0</v>
      </c>
      <c r="P765" t="n">
        <v>0</v>
      </c>
      <c r="Q765" t="n">
        <v>0</v>
      </c>
      <c r="R765" s="2" t="inlineStr"/>
    </row>
    <row r="766" ht="15" customHeight="1">
      <c r="A766" t="inlineStr">
        <is>
          <t>A 32762-2025</t>
        </is>
      </c>
      <c r="B766" s="1" t="n">
        <v>45838</v>
      </c>
      <c r="C766" s="1" t="n">
        <v>45914</v>
      </c>
      <c r="D766" t="inlineStr">
        <is>
          <t>JÄMTLANDS LÄN</t>
        </is>
      </c>
      <c r="E766" t="inlineStr">
        <is>
          <t>RAGUNDA</t>
        </is>
      </c>
      <c r="G766" t="n">
        <v>0.6</v>
      </c>
      <c r="H766" t="n">
        <v>0</v>
      </c>
      <c r="I766" t="n">
        <v>0</v>
      </c>
      <c r="J766" t="n">
        <v>0</v>
      </c>
      <c r="K766" t="n">
        <v>0</v>
      </c>
      <c r="L766" t="n">
        <v>0</v>
      </c>
      <c r="M766" t="n">
        <v>0</v>
      </c>
      <c r="N766" t="n">
        <v>0</v>
      </c>
      <c r="O766" t="n">
        <v>0</v>
      </c>
      <c r="P766" t="n">
        <v>0</v>
      </c>
      <c r="Q766" t="n">
        <v>0</v>
      </c>
      <c r="R766" s="2" t="inlineStr"/>
    </row>
    <row r="767" ht="15" customHeight="1">
      <c r="A767" t="inlineStr">
        <is>
          <t>A 18375-2022</t>
        </is>
      </c>
      <c r="B767" s="1" t="n">
        <v>44685</v>
      </c>
      <c r="C767" s="1" t="n">
        <v>45914</v>
      </c>
      <c r="D767" t="inlineStr">
        <is>
          <t>JÄMTLANDS LÄN</t>
        </is>
      </c>
      <c r="E767" t="inlineStr">
        <is>
          <t>RAGUNDA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55536-2024</t>
        </is>
      </c>
      <c r="B768" s="1" t="n">
        <v>45622</v>
      </c>
      <c r="C768" s="1" t="n">
        <v>45914</v>
      </c>
      <c r="D768" t="inlineStr">
        <is>
          <t>JÄMTLANDS LÄN</t>
        </is>
      </c>
      <c r="E768" t="inlineStr">
        <is>
          <t>RAGUNDA</t>
        </is>
      </c>
      <c r="G768" t="n">
        <v>0.8</v>
      </c>
      <c r="H768" t="n">
        <v>0</v>
      </c>
      <c r="I768" t="n">
        <v>0</v>
      </c>
      <c r="J768" t="n">
        <v>0</v>
      </c>
      <c r="K768" t="n">
        <v>0</v>
      </c>
      <c r="L768" t="n">
        <v>0</v>
      </c>
      <c r="M768" t="n">
        <v>0</v>
      </c>
      <c r="N768" t="n">
        <v>0</v>
      </c>
      <c r="O768" t="n">
        <v>0</v>
      </c>
      <c r="P768" t="n">
        <v>0</v>
      </c>
      <c r="Q768" t="n">
        <v>0</v>
      </c>
      <c r="R768" s="2" t="inlineStr"/>
    </row>
    <row r="769" ht="15" customHeight="1">
      <c r="A769" t="inlineStr">
        <is>
          <t>A 2411-2023</t>
        </is>
      </c>
      <c r="B769" s="1" t="n">
        <v>44942</v>
      </c>
      <c r="C769" s="1" t="n">
        <v>45914</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11834-2023</t>
        </is>
      </c>
      <c r="B770" s="1" t="n">
        <v>44994.94296296296</v>
      </c>
      <c r="C770" s="1" t="n">
        <v>45914</v>
      </c>
      <c r="D770" t="inlineStr">
        <is>
          <t>JÄMTLANDS LÄN</t>
        </is>
      </c>
      <c r="E770" t="inlineStr">
        <is>
          <t>RAGUNDA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53264-2024</t>
        </is>
      </c>
      <c r="B771" s="1" t="n">
        <v>45614.34545138889</v>
      </c>
      <c r="C771" s="1" t="n">
        <v>45914</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50431-2024</t>
        </is>
      </c>
      <c r="B772" s="1" t="n">
        <v>45601.40686342592</v>
      </c>
      <c r="C772" s="1" t="n">
        <v>45914</v>
      </c>
      <c r="D772" t="inlineStr">
        <is>
          <t>JÄMTLANDS LÄN</t>
        </is>
      </c>
      <c r="E772" t="inlineStr">
        <is>
          <t>RAGUNDA</t>
        </is>
      </c>
      <c r="F772" t="inlineStr">
        <is>
          <t>SCA</t>
        </is>
      </c>
      <c r="G772" t="n">
        <v>8.5</v>
      </c>
      <c r="H772" t="n">
        <v>0</v>
      </c>
      <c r="I772" t="n">
        <v>0</v>
      </c>
      <c r="J772" t="n">
        <v>0</v>
      </c>
      <c r="K772" t="n">
        <v>0</v>
      </c>
      <c r="L772" t="n">
        <v>0</v>
      </c>
      <c r="M772" t="n">
        <v>0</v>
      </c>
      <c r="N772" t="n">
        <v>0</v>
      </c>
      <c r="O772" t="n">
        <v>0</v>
      </c>
      <c r="P772" t="n">
        <v>0</v>
      </c>
      <c r="Q772" t="n">
        <v>0</v>
      </c>
      <c r="R772" s="2" t="inlineStr"/>
    </row>
    <row r="773" ht="15" customHeight="1">
      <c r="A773" t="inlineStr">
        <is>
          <t>A 62106-2023</t>
        </is>
      </c>
      <c r="B773" s="1" t="n">
        <v>45266.95082175926</v>
      </c>
      <c r="C773" s="1" t="n">
        <v>45914</v>
      </c>
      <c r="D773" t="inlineStr">
        <is>
          <t>JÄMTLANDS LÄN</t>
        </is>
      </c>
      <c r="E773" t="inlineStr">
        <is>
          <t>RAGUNDA</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16334-2025</t>
        </is>
      </c>
      <c r="B774" s="1" t="n">
        <v>45751.36490740741</v>
      </c>
      <c r="C774" s="1" t="n">
        <v>45914</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7284-2024</t>
        </is>
      </c>
      <c r="B775" s="1" t="n">
        <v>45344.92865740741</v>
      </c>
      <c r="C775" s="1" t="n">
        <v>45914</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7285-2024</t>
        </is>
      </c>
      <c r="B776" s="1" t="n">
        <v>45344.92873842592</v>
      </c>
      <c r="C776" s="1" t="n">
        <v>45914</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2242-2024</t>
        </is>
      </c>
      <c r="B777" s="1" t="n">
        <v>45309</v>
      </c>
      <c r="C777" s="1" t="n">
        <v>45914</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2248-2024</t>
        </is>
      </c>
      <c r="B778" s="1" t="n">
        <v>45309</v>
      </c>
      <c r="C778" s="1" t="n">
        <v>45914</v>
      </c>
      <c r="D778" t="inlineStr">
        <is>
          <t>JÄMTLANDS LÄN</t>
        </is>
      </c>
      <c r="E778" t="inlineStr">
        <is>
          <t>RAGUNDA</t>
        </is>
      </c>
      <c r="G778" t="n">
        <v>4.2</v>
      </c>
      <c r="H778" t="n">
        <v>0</v>
      </c>
      <c r="I778" t="n">
        <v>0</v>
      </c>
      <c r="J778" t="n">
        <v>0</v>
      </c>
      <c r="K778" t="n">
        <v>0</v>
      </c>
      <c r="L778" t="n">
        <v>0</v>
      </c>
      <c r="M778" t="n">
        <v>0</v>
      </c>
      <c r="N778" t="n">
        <v>0</v>
      </c>
      <c r="O778" t="n">
        <v>0</v>
      </c>
      <c r="P778" t="n">
        <v>0</v>
      </c>
      <c r="Q778" t="n">
        <v>0</v>
      </c>
      <c r="R778" s="2" t="inlineStr"/>
    </row>
    <row r="779" ht="15" customHeight="1">
      <c r="A779" t="inlineStr">
        <is>
          <t>A 5958-2021</t>
        </is>
      </c>
      <c r="B779" s="1" t="n">
        <v>44231</v>
      </c>
      <c r="C779" s="1" t="n">
        <v>45914</v>
      </c>
      <c r="D779" t="inlineStr">
        <is>
          <t>JÄMTLANDS LÄN</t>
        </is>
      </c>
      <c r="E779" t="inlineStr">
        <is>
          <t>RAGUNDA</t>
        </is>
      </c>
      <c r="G779" t="n">
        <v>3.1</v>
      </c>
      <c r="H779" t="n">
        <v>0</v>
      </c>
      <c r="I779" t="n">
        <v>0</v>
      </c>
      <c r="J779" t="n">
        <v>0</v>
      </c>
      <c r="K779" t="n">
        <v>0</v>
      </c>
      <c r="L779" t="n">
        <v>0</v>
      </c>
      <c r="M779" t="n">
        <v>0</v>
      </c>
      <c r="N779" t="n">
        <v>0</v>
      </c>
      <c r="O779" t="n">
        <v>0</v>
      </c>
      <c r="P779" t="n">
        <v>0</v>
      </c>
      <c r="Q779" t="n">
        <v>0</v>
      </c>
      <c r="R779" s="2" t="inlineStr"/>
    </row>
    <row r="780" ht="15" customHeight="1">
      <c r="A780" t="inlineStr">
        <is>
          <t>A 24197-2024</t>
        </is>
      </c>
      <c r="B780" s="1" t="n">
        <v>45456.96601851852</v>
      </c>
      <c r="C780" s="1" t="n">
        <v>45914</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4916-2025</t>
        </is>
      </c>
      <c r="B781" s="1" t="n">
        <v>45688.68196759259</v>
      </c>
      <c r="C781" s="1" t="n">
        <v>45914</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4592-2024</t>
        </is>
      </c>
      <c r="B782" s="1" t="n">
        <v>45327.94443287037</v>
      </c>
      <c r="C782" s="1" t="n">
        <v>45914</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32306-2025</t>
        </is>
      </c>
      <c r="B783" s="1" t="n">
        <v>45835.72046296296</v>
      </c>
      <c r="C783" s="1" t="n">
        <v>45914</v>
      </c>
      <c r="D783" t="inlineStr">
        <is>
          <t>JÄMTLANDS LÄN</t>
        </is>
      </c>
      <c r="E783" t="inlineStr">
        <is>
          <t>RAGUNDA</t>
        </is>
      </c>
      <c r="G783" t="n">
        <v>10.2</v>
      </c>
      <c r="H783" t="n">
        <v>0</v>
      </c>
      <c r="I783" t="n">
        <v>0</v>
      </c>
      <c r="J783" t="n">
        <v>0</v>
      </c>
      <c r="K783" t="n">
        <v>0</v>
      </c>
      <c r="L783" t="n">
        <v>0</v>
      </c>
      <c r="M783" t="n">
        <v>0</v>
      </c>
      <c r="N783" t="n">
        <v>0</v>
      </c>
      <c r="O783" t="n">
        <v>0</v>
      </c>
      <c r="P783" t="n">
        <v>0</v>
      </c>
      <c r="Q783" t="n">
        <v>0</v>
      </c>
      <c r="R783" s="2" t="inlineStr"/>
    </row>
    <row r="784" ht="15" customHeight="1">
      <c r="A784" t="inlineStr">
        <is>
          <t>A 32757-2025</t>
        </is>
      </c>
      <c r="B784" s="1" t="n">
        <v>45838</v>
      </c>
      <c r="C784" s="1" t="n">
        <v>45914</v>
      </c>
      <c r="D784" t="inlineStr">
        <is>
          <t>JÄMTLANDS LÄN</t>
        </is>
      </c>
      <c r="E784" t="inlineStr">
        <is>
          <t>RAGUNDA</t>
        </is>
      </c>
      <c r="G784" t="n">
        <v>4.5</v>
      </c>
      <c r="H784" t="n">
        <v>0</v>
      </c>
      <c r="I784" t="n">
        <v>0</v>
      </c>
      <c r="J784" t="n">
        <v>0</v>
      </c>
      <c r="K784" t="n">
        <v>0</v>
      </c>
      <c r="L784" t="n">
        <v>0</v>
      </c>
      <c r="M784" t="n">
        <v>0</v>
      </c>
      <c r="N784" t="n">
        <v>0</v>
      </c>
      <c r="O784" t="n">
        <v>0</v>
      </c>
      <c r="P784" t="n">
        <v>0</v>
      </c>
      <c r="Q784" t="n">
        <v>0</v>
      </c>
      <c r="R784" s="2" t="inlineStr"/>
    </row>
    <row r="785" ht="15" customHeight="1">
      <c r="A785" t="inlineStr">
        <is>
          <t>A 18984-2023</t>
        </is>
      </c>
      <c r="B785" s="1" t="n">
        <v>45044</v>
      </c>
      <c r="C785" s="1" t="n">
        <v>45914</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32660-2025</t>
        </is>
      </c>
      <c r="B786" s="1" t="n">
        <v>45838.67887731481</v>
      </c>
      <c r="C786" s="1" t="n">
        <v>45914</v>
      </c>
      <c r="D786" t="inlineStr">
        <is>
          <t>JÄMTLANDS LÄN</t>
        </is>
      </c>
      <c r="E786" t="inlineStr">
        <is>
          <t>RAGUNDA</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45914</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45914</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32527-2025</t>
        </is>
      </c>
      <c r="B789" s="1" t="n">
        <v>45838.48996527777</v>
      </c>
      <c r="C789" s="1" t="n">
        <v>45914</v>
      </c>
      <c r="D789" t="inlineStr">
        <is>
          <t>JÄMTLANDS LÄN</t>
        </is>
      </c>
      <c r="E789" t="inlineStr">
        <is>
          <t>RAGUNDA</t>
        </is>
      </c>
      <c r="G789" t="n">
        <v>5</v>
      </c>
      <c r="H789" t="n">
        <v>0</v>
      </c>
      <c r="I789" t="n">
        <v>0</v>
      </c>
      <c r="J789" t="n">
        <v>0</v>
      </c>
      <c r="K789" t="n">
        <v>0</v>
      </c>
      <c r="L789" t="n">
        <v>0</v>
      </c>
      <c r="M789" t="n">
        <v>0</v>
      </c>
      <c r="N789" t="n">
        <v>0</v>
      </c>
      <c r="O789" t="n">
        <v>0</v>
      </c>
      <c r="P789" t="n">
        <v>0</v>
      </c>
      <c r="Q789" t="n">
        <v>0</v>
      </c>
      <c r="R789" s="2" t="inlineStr"/>
    </row>
    <row r="790" ht="15" customHeight="1">
      <c r="A790" t="inlineStr">
        <is>
          <t>A 32021-2025</t>
        </is>
      </c>
      <c r="B790" s="1" t="n">
        <v>45835.40668981482</v>
      </c>
      <c r="C790" s="1" t="n">
        <v>45914</v>
      </c>
      <c r="D790" t="inlineStr">
        <is>
          <t>JÄMTLANDS LÄN</t>
        </is>
      </c>
      <c r="E790" t="inlineStr">
        <is>
          <t>RAGUNDA</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45914</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32655-2025</t>
        </is>
      </c>
      <c r="B792" s="1" t="n">
        <v>45838.67800925926</v>
      </c>
      <c r="C792" s="1" t="n">
        <v>45914</v>
      </c>
      <c r="D792" t="inlineStr">
        <is>
          <t>JÄMTLANDS LÄN</t>
        </is>
      </c>
      <c r="E792" t="inlineStr">
        <is>
          <t>RAGUNDA</t>
        </is>
      </c>
      <c r="G792" t="n">
        <v>2.8</v>
      </c>
      <c r="H792" t="n">
        <v>0</v>
      </c>
      <c r="I792" t="n">
        <v>0</v>
      </c>
      <c r="J792" t="n">
        <v>0</v>
      </c>
      <c r="K792" t="n">
        <v>0</v>
      </c>
      <c r="L792" t="n">
        <v>0</v>
      </c>
      <c r="M792" t="n">
        <v>0</v>
      </c>
      <c r="N792" t="n">
        <v>0</v>
      </c>
      <c r="O792" t="n">
        <v>0</v>
      </c>
      <c r="P792" t="n">
        <v>0</v>
      </c>
      <c r="Q792" t="n">
        <v>0</v>
      </c>
      <c r="R792" s="2" t="inlineStr"/>
    </row>
    <row r="793" ht="15" customHeight="1">
      <c r="A793" t="inlineStr">
        <is>
          <t>A 32151-2025</t>
        </is>
      </c>
      <c r="B793" s="1" t="n">
        <v>45835.53166666667</v>
      </c>
      <c r="C793" s="1" t="n">
        <v>45914</v>
      </c>
      <c r="D793" t="inlineStr">
        <is>
          <t>JÄMTLANDS LÄN</t>
        </is>
      </c>
      <c r="E793" t="inlineStr">
        <is>
          <t>RAGUNDA</t>
        </is>
      </c>
      <c r="F793" t="inlineStr">
        <is>
          <t>SCA</t>
        </is>
      </c>
      <c r="G793" t="n">
        <v>12.3</v>
      </c>
      <c r="H793" t="n">
        <v>0</v>
      </c>
      <c r="I793" t="n">
        <v>0</v>
      </c>
      <c r="J793" t="n">
        <v>0</v>
      </c>
      <c r="K793" t="n">
        <v>0</v>
      </c>
      <c r="L793" t="n">
        <v>0</v>
      </c>
      <c r="M793" t="n">
        <v>0</v>
      </c>
      <c r="N793" t="n">
        <v>0</v>
      </c>
      <c r="O793" t="n">
        <v>0</v>
      </c>
      <c r="P793" t="n">
        <v>0</v>
      </c>
      <c r="Q793" t="n">
        <v>0</v>
      </c>
      <c r="R793" s="2" t="inlineStr"/>
    </row>
    <row r="794" ht="15" customHeight="1">
      <c r="A794" t="inlineStr">
        <is>
          <t>A 53019-2023</t>
        </is>
      </c>
      <c r="B794" s="1" t="n">
        <v>45222</v>
      </c>
      <c r="C794" s="1" t="n">
        <v>45914</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59996-2023</t>
        </is>
      </c>
      <c r="B795" s="1" t="n">
        <v>45257.92826388889</v>
      </c>
      <c r="C795" s="1" t="n">
        <v>45914</v>
      </c>
      <c r="D795" t="inlineStr">
        <is>
          <t>JÄMTLANDS LÄN</t>
        </is>
      </c>
      <c r="E795" t="inlineStr">
        <is>
          <t>RAGUNDA</t>
        </is>
      </c>
      <c r="G795" t="n">
        <v>2.7</v>
      </c>
      <c r="H795" t="n">
        <v>0</v>
      </c>
      <c r="I795" t="n">
        <v>0</v>
      </c>
      <c r="J795" t="n">
        <v>0</v>
      </c>
      <c r="K795" t="n">
        <v>0</v>
      </c>
      <c r="L795" t="n">
        <v>0</v>
      </c>
      <c r="M795" t="n">
        <v>0</v>
      </c>
      <c r="N795" t="n">
        <v>0</v>
      </c>
      <c r="O795" t="n">
        <v>0</v>
      </c>
      <c r="P795" t="n">
        <v>0</v>
      </c>
      <c r="Q795" t="n">
        <v>0</v>
      </c>
      <c r="R795" s="2" t="inlineStr"/>
    </row>
    <row r="796" ht="15" customHeight="1">
      <c r="A796" t="inlineStr">
        <is>
          <t>A 1537-2024</t>
        </is>
      </c>
      <c r="B796" s="1" t="n">
        <v>45306</v>
      </c>
      <c r="C796" s="1" t="n">
        <v>45914</v>
      </c>
      <c r="D796" t="inlineStr">
        <is>
          <t>JÄMTLANDS LÄN</t>
        </is>
      </c>
      <c r="E796" t="inlineStr">
        <is>
          <t>RAGUNDA</t>
        </is>
      </c>
      <c r="G796" t="n">
        <v>0.2</v>
      </c>
      <c r="H796" t="n">
        <v>0</v>
      </c>
      <c r="I796" t="n">
        <v>0</v>
      </c>
      <c r="J796" t="n">
        <v>0</v>
      </c>
      <c r="K796" t="n">
        <v>0</v>
      </c>
      <c r="L796" t="n">
        <v>0</v>
      </c>
      <c r="M796" t="n">
        <v>0</v>
      </c>
      <c r="N796" t="n">
        <v>0</v>
      </c>
      <c r="O796" t="n">
        <v>0</v>
      </c>
      <c r="P796" t="n">
        <v>0</v>
      </c>
      <c r="Q796" t="n">
        <v>0</v>
      </c>
      <c r="R796" s="2" t="inlineStr"/>
    </row>
    <row r="797" ht="15" customHeight="1">
      <c r="A797" t="inlineStr">
        <is>
          <t>A 4615-2023</t>
        </is>
      </c>
      <c r="B797" s="1" t="n">
        <v>44956.93924768519</v>
      </c>
      <c r="C797" s="1" t="n">
        <v>45914</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32096-2025</t>
        </is>
      </c>
      <c r="B798" s="1" t="n">
        <v>45835.46334490741</v>
      </c>
      <c r="C798" s="1" t="n">
        <v>45914</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2673-2024</t>
        </is>
      </c>
      <c r="B799" s="1" t="n">
        <v>45314</v>
      </c>
      <c r="C799" s="1" t="n">
        <v>45914</v>
      </c>
      <c r="D799" t="inlineStr">
        <is>
          <t>JÄMTLANDS LÄN</t>
        </is>
      </c>
      <c r="E799" t="inlineStr">
        <is>
          <t>RAGUNDA</t>
        </is>
      </c>
      <c r="G799" t="n">
        <v>0.9</v>
      </c>
      <c r="H799" t="n">
        <v>0</v>
      </c>
      <c r="I799" t="n">
        <v>0</v>
      </c>
      <c r="J799" t="n">
        <v>0</v>
      </c>
      <c r="K799" t="n">
        <v>0</v>
      </c>
      <c r="L799" t="n">
        <v>0</v>
      </c>
      <c r="M799" t="n">
        <v>0</v>
      </c>
      <c r="N799" t="n">
        <v>0</v>
      </c>
      <c r="O799" t="n">
        <v>0</v>
      </c>
      <c r="P799" t="n">
        <v>0</v>
      </c>
      <c r="Q799" t="n">
        <v>0</v>
      </c>
      <c r="R799" s="2" t="inlineStr"/>
    </row>
    <row r="800" ht="15" customHeight="1">
      <c r="A800" t="inlineStr">
        <is>
          <t>A 57112-2024</t>
        </is>
      </c>
      <c r="B800" s="1" t="n">
        <v>45629.36486111111</v>
      </c>
      <c r="C800" s="1" t="n">
        <v>45914</v>
      </c>
      <c r="D800" t="inlineStr">
        <is>
          <t>JÄMTLANDS LÄN</t>
        </is>
      </c>
      <c r="E800" t="inlineStr">
        <is>
          <t>RAGUNDA</t>
        </is>
      </c>
      <c r="G800" t="n">
        <v>0.7</v>
      </c>
      <c r="H800" t="n">
        <v>0</v>
      </c>
      <c r="I800" t="n">
        <v>0</v>
      </c>
      <c r="J800" t="n">
        <v>0</v>
      </c>
      <c r="K800" t="n">
        <v>0</v>
      </c>
      <c r="L800" t="n">
        <v>0</v>
      </c>
      <c r="M800" t="n">
        <v>0</v>
      </c>
      <c r="N800" t="n">
        <v>0</v>
      </c>
      <c r="O800" t="n">
        <v>0</v>
      </c>
      <c r="P800" t="n">
        <v>0</v>
      </c>
      <c r="Q800" t="n">
        <v>0</v>
      </c>
      <c r="R800" s="2" t="inlineStr"/>
    </row>
    <row r="801" ht="15" customHeight="1">
      <c r="A801" t="inlineStr">
        <is>
          <t>A 36375-2022</t>
        </is>
      </c>
      <c r="B801" s="1" t="n">
        <v>44803.94351851852</v>
      </c>
      <c r="C801" s="1" t="n">
        <v>45914</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17667-2025</t>
        </is>
      </c>
      <c r="B802" s="1" t="n">
        <v>45758.36487268518</v>
      </c>
      <c r="C802" s="1" t="n">
        <v>45914</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5148-2023</t>
        </is>
      </c>
      <c r="B803" s="1" t="n">
        <v>44958</v>
      </c>
      <c r="C803" s="1" t="n">
        <v>45914</v>
      </c>
      <c r="D803" t="inlineStr">
        <is>
          <t>JÄMTLANDS LÄN</t>
        </is>
      </c>
      <c r="E803" t="inlineStr">
        <is>
          <t>RAGUNDA</t>
        </is>
      </c>
      <c r="G803" t="n">
        <v>2.9</v>
      </c>
      <c r="H803" t="n">
        <v>0</v>
      </c>
      <c r="I803" t="n">
        <v>0</v>
      </c>
      <c r="J803" t="n">
        <v>0</v>
      </c>
      <c r="K803" t="n">
        <v>0</v>
      </c>
      <c r="L803" t="n">
        <v>0</v>
      </c>
      <c r="M803" t="n">
        <v>0</v>
      </c>
      <c r="N803" t="n">
        <v>0</v>
      </c>
      <c r="O803" t="n">
        <v>0</v>
      </c>
      <c r="P803" t="n">
        <v>0</v>
      </c>
      <c r="Q803" t="n">
        <v>0</v>
      </c>
      <c r="R803" s="2" t="inlineStr"/>
    </row>
    <row r="804" ht="15" customHeight="1">
      <c r="A804" t="inlineStr">
        <is>
          <t>A 32088-2025</t>
        </is>
      </c>
      <c r="B804" s="1" t="n">
        <v>45835.45686342593</v>
      </c>
      <c r="C804" s="1" t="n">
        <v>45914</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51049-2024</t>
        </is>
      </c>
      <c r="B805" s="1" t="n">
        <v>45603.44644675926</v>
      </c>
      <c r="C805" s="1" t="n">
        <v>45914</v>
      </c>
      <c r="D805" t="inlineStr">
        <is>
          <t>JÄMTLANDS LÄN</t>
        </is>
      </c>
      <c r="E805" t="inlineStr">
        <is>
          <t>RAGUNDA</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55489-2024</t>
        </is>
      </c>
      <c r="B806" s="1" t="n">
        <v>45622.44774305556</v>
      </c>
      <c r="C806" s="1" t="n">
        <v>45914</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32748-2025</t>
        </is>
      </c>
      <c r="B807" s="1" t="n">
        <v>45839.42822916667</v>
      </c>
      <c r="C807" s="1" t="n">
        <v>45914</v>
      </c>
      <c r="D807" t="inlineStr">
        <is>
          <t>JÄMTLANDS LÄN</t>
        </is>
      </c>
      <c r="E807" t="inlineStr">
        <is>
          <t>RAGUNDA</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14074-2023</t>
        </is>
      </c>
      <c r="B808" s="1" t="n">
        <v>45009.089375</v>
      </c>
      <c r="C808" s="1" t="n">
        <v>45914</v>
      </c>
      <c r="D808" t="inlineStr">
        <is>
          <t>JÄMTLANDS LÄN</t>
        </is>
      </c>
      <c r="E808" t="inlineStr">
        <is>
          <t>RAGUNDA</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54764-2024</t>
        </is>
      </c>
      <c r="B809" s="1" t="n">
        <v>45618.46921296296</v>
      </c>
      <c r="C809" s="1" t="n">
        <v>45914</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32777-2025</t>
        </is>
      </c>
      <c r="B810" s="1" t="n">
        <v>45839.46915509259</v>
      </c>
      <c r="C810" s="1" t="n">
        <v>45914</v>
      </c>
      <c r="D810" t="inlineStr">
        <is>
          <t>JÄMTLANDS LÄN</t>
        </is>
      </c>
      <c r="E810" t="inlineStr">
        <is>
          <t>RAGUNDA</t>
        </is>
      </c>
      <c r="F810" t="inlineStr">
        <is>
          <t>SCA</t>
        </is>
      </c>
      <c r="G810" t="n">
        <v>21.7</v>
      </c>
      <c r="H810" t="n">
        <v>0</v>
      </c>
      <c r="I810" t="n">
        <v>0</v>
      </c>
      <c r="J810" t="n">
        <v>0</v>
      </c>
      <c r="K810" t="n">
        <v>0</v>
      </c>
      <c r="L810" t="n">
        <v>0</v>
      </c>
      <c r="M810" t="n">
        <v>0</v>
      </c>
      <c r="N810" t="n">
        <v>0</v>
      </c>
      <c r="O810" t="n">
        <v>0</v>
      </c>
      <c r="P810" t="n">
        <v>0</v>
      </c>
      <c r="Q810" t="n">
        <v>0</v>
      </c>
      <c r="R810" s="2" t="inlineStr"/>
    </row>
    <row r="811" ht="15" customHeight="1">
      <c r="A811" t="inlineStr">
        <is>
          <t>A 29257-2024</t>
        </is>
      </c>
      <c r="B811" s="1" t="n">
        <v>45482.94815972223</v>
      </c>
      <c r="C811" s="1" t="n">
        <v>45914</v>
      </c>
      <c r="D811" t="inlineStr">
        <is>
          <t>JÄMTLANDS LÄN</t>
        </is>
      </c>
      <c r="E811" t="inlineStr">
        <is>
          <t>RAGUNDA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7279-2024</t>
        </is>
      </c>
      <c r="B812" s="1" t="n">
        <v>45344.92822916667</v>
      </c>
      <c r="C812" s="1" t="n">
        <v>45914</v>
      </c>
      <c r="D812" t="inlineStr">
        <is>
          <t>JÄMTLANDS LÄN</t>
        </is>
      </c>
      <c r="E812" t="inlineStr">
        <is>
          <t>RAGUNDA</t>
        </is>
      </c>
      <c r="G812" t="n">
        <v>2.1</v>
      </c>
      <c r="H812" t="n">
        <v>0</v>
      </c>
      <c r="I812" t="n">
        <v>0</v>
      </c>
      <c r="J812" t="n">
        <v>0</v>
      </c>
      <c r="K812" t="n">
        <v>0</v>
      </c>
      <c r="L812" t="n">
        <v>0</v>
      </c>
      <c r="M812" t="n">
        <v>0</v>
      </c>
      <c r="N812" t="n">
        <v>0</v>
      </c>
      <c r="O812" t="n">
        <v>0</v>
      </c>
      <c r="P812" t="n">
        <v>0</v>
      </c>
      <c r="Q812" t="n">
        <v>0</v>
      </c>
      <c r="R812" s="2" t="inlineStr"/>
    </row>
    <row r="813" ht="15" customHeight="1">
      <c r="A813" t="inlineStr">
        <is>
          <t>A 1809-2025</t>
        </is>
      </c>
      <c r="B813" s="1" t="n">
        <v>45671.48989583334</v>
      </c>
      <c r="C813" s="1" t="n">
        <v>45914</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55487-2023</t>
        </is>
      </c>
      <c r="B814" s="1" t="n">
        <v>45238</v>
      </c>
      <c r="C814" s="1" t="n">
        <v>45914</v>
      </c>
      <c r="D814" t="inlineStr">
        <is>
          <t>JÄMTLANDS LÄN</t>
        </is>
      </c>
      <c r="E814" t="inlineStr">
        <is>
          <t>RAGUNDA</t>
        </is>
      </c>
      <c r="G814" t="n">
        <v>3</v>
      </c>
      <c r="H814" t="n">
        <v>0</v>
      </c>
      <c r="I814" t="n">
        <v>0</v>
      </c>
      <c r="J814" t="n">
        <v>0</v>
      </c>
      <c r="K814" t="n">
        <v>0</v>
      </c>
      <c r="L814" t="n">
        <v>0</v>
      </c>
      <c r="M814" t="n">
        <v>0</v>
      </c>
      <c r="N814" t="n">
        <v>0</v>
      </c>
      <c r="O814" t="n">
        <v>0</v>
      </c>
      <c r="P814" t="n">
        <v>0</v>
      </c>
      <c r="Q814" t="n">
        <v>0</v>
      </c>
      <c r="R814" s="2" t="inlineStr"/>
    </row>
    <row r="815" ht="15" customHeight="1">
      <c r="A815" t="inlineStr">
        <is>
          <t>A 10706-2023</t>
        </is>
      </c>
      <c r="B815" s="1" t="n">
        <v>44984</v>
      </c>
      <c r="C815" s="1" t="n">
        <v>45914</v>
      </c>
      <c r="D815" t="inlineStr">
        <is>
          <t>JÄMTLANDS LÄN</t>
        </is>
      </c>
      <c r="E815" t="inlineStr">
        <is>
          <t>RAGUNDA</t>
        </is>
      </c>
      <c r="G815" t="n">
        <v>7.7</v>
      </c>
      <c r="H815" t="n">
        <v>0</v>
      </c>
      <c r="I815" t="n">
        <v>0</v>
      </c>
      <c r="J815" t="n">
        <v>0</v>
      </c>
      <c r="K815" t="n">
        <v>0</v>
      </c>
      <c r="L815" t="n">
        <v>0</v>
      </c>
      <c r="M815" t="n">
        <v>0</v>
      </c>
      <c r="N815" t="n">
        <v>0</v>
      </c>
      <c r="O815" t="n">
        <v>0</v>
      </c>
      <c r="P815" t="n">
        <v>0</v>
      </c>
      <c r="Q815" t="n">
        <v>0</v>
      </c>
      <c r="R815" s="2" t="inlineStr"/>
    </row>
    <row r="816" ht="15" customHeight="1">
      <c r="A816" t="inlineStr">
        <is>
          <t>A 32430-2025</t>
        </is>
      </c>
      <c r="B816" s="1" t="n">
        <v>45838.36532407408</v>
      </c>
      <c r="C816" s="1" t="n">
        <v>45914</v>
      </c>
      <c r="D816" t="inlineStr">
        <is>
          <t>JÄMTLANDS LÄN</t>
        </is>
      </c>
      <c r="E816" t="inlineStr">
        <is>
          <t>RAGUNDA</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891-2022</t>
        </is>
      </c>
      <c r="B817" s="1" t="n">
        <v>44571</v>
      </c>
      <c r="C817" s="1" t="n">
        <v>45914</v>
      </c>
      <c r="D817" t="inlineStr">
        <is>
          <t>JÄMTLANDS LÄN</t>
        </is>
      </c>
      <c r="E817" t="inlineStr">
        <is>
          <t>RAGUNDA</t>
        </is>
      </c>
      <c r="G817" t="n">
        <v>1.7</v>
      </c>
      <c r="H817" t="n">
        <v>0</v>
      </c>
      <c r="I817" t="n">
        <v>0</v>
      </c>
      <c r="J817" t="n">
        <v>0</v>
      </c>
      <c r="K817" t="n">
        <v>0</v>
      </c>
      <c r="L817" t="n">
        <v>0</v>
      </c>
      <c r="M817" t="n">
        <v>0</v>
      </c>
      <c r="N817" t="n">
        <v>0</v>
      </c>
      <c r="O817" t="n">
        <v>0</v>
      </c>
      <c r="P817" t="n">
        <v>0</v>
      </c>
      <c r="Q817" t="n">
        <v>0</v>
      </c>
      <c r="R817" s="2" t="inlineStr"/>
    </row>
    <row r="818" ht="15" customHeight="1">
      <c r="A818" t="inlineStr">
        <is>
          <t>A 20770-2024</t>
        </is>
      </c>
      <c r="B818" s="1" t="n">
        <v>45436.94613425926</v>
      </c>
      <c r="C818" s="1" t="n">
        <v>45914</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32796-2025</t>
        </is>
      </c>
      <c r="B819" s="1" t="n">
        <v>45839.49082175926</v>
      </c>
      <c r="C819" s="1" t="n">
        <v>45914</v>
      </c>
      <c r="D819" t="inlineStr">
        <is>
          <t>JÄMTLANDS LÄN</t>
        </is>
      </c>
      <c r="E819" t="inlineStr">
        <is>
          <t>RAGUNDA</t>
        </is>
      </c>
      <c r="G819" t="n">
        <v>1.7</v>
      </c>
      <c r="H819" t="n">
        <v>0</v>
      </c>
      <c r="I819" t="n">
        <v>0</v>
      </c>
      <c r="J819" t="n">
        <v>0</v>
      </c>
      <c r="K819" t="n">
        <v>0</v>
      </c>
      <c r="L819" t="n">
        <v>0</v>
      </c>
      <c r="M819" t="n">
        <v>0</v>
      </c>
      <c r="N819" t="n">
        <v>0</v>
      </c>
      <c r="O819" t="n">
        <v>0</v>
      </c>
      <c r="P819" t="n">
        <v>0</v>
      </c>
      <c r="Q819" t="n">
        <v>0</v>
      </c>
      <c r="R819" s="2" t="inlineStr"/>
    </row>
    <row r="820" ht="15" customHeight="1">
      <c r="A820" t="inlineStr">
        <is>
          <t>A 19383-2025</t>
        </is>
      </c>
      <c r="B820" s="1" t="n">
        <v>45769.65688657408</v>
      </c>
      <c r="C820" s="1" t="n">
        <v>45914</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32747-2025</t>
        </is>
      </c>
      <c r="B821" s="1" t="n">
        <v>45839.42810185185</v>
      </c>
      <c r="C821" s="1" t="n">
        <v>45914</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8416-2023</t>
        </is>
      </c>
      <c r="B822" s="1" t="n">
        <v>44977.44373842593</v>
      </c>
      <c r="C822" s="1" t="n">
        <v>45914</v>
      </c>
      <c r="D822" t="inlineStr">
        <is>
          <t>JÄMTLANDS LÄN</t>
        </is>
      </c>
      <c r="E822" t="inlineStr">
        <is>
          <t>RAGUNDA</t>
        </is>
      </c>
      <c r="G822" t="n">
        <v>0.7</v>
      </c>
      <c r="H822" t="n">
        <v>0</v>
      </c>
      <c r="I822" t="n">
        <v>0</v>
      </c>
      <c r="J822" t="n">
        <v>0</v>
      </c>
      <c r="K822" t="n">
        <v>0</v>
      </c>
      <c r="L822" t="n">
        <v>0</v>
      </c>
      <c r="M822" t="n">
        <v>0</v>
      </c>
      <c r="N822" t="n">
        <v>0</v>
      </c>
      <c r="O822" t="n">
        <v>0</v>
      </c>
      <c r="P822" t="n">
        <v>0</v>
      </c>
      <c r="Q822" t="n">
        <v>0</v>
      </c>
      <c r="R822" s="2" t="inlineStr"/>
    </row>
    <row r="823" ht="15" customHeight="1">
      <c r="A823" t="inlineStr">
        <is>
          <t>A 40801-2023</t>
        </is>
      </c>
      <c r="B823" s="1" t="n">
        <v>45170</v>
      </c>
      <c r="C823" s="1" t="n">
        <v>45914</v>
      </c>
      <c r="D823" t="inlineStr">
        <is>
          <t>JÄMTLANDS LÄN</t>
        </is>
      </c>
      <c r="E823" t="inlineStr">
        <is>
          <t>RAGUNDA</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27499-2024</t>
        </is>
      </c>
      <c r="B824" s="1" t="n">
        <v>45474.50608796296</v>
      </c>
      <c r="C824" s="1" t="n">
        <v>45914</v>
      </c>
      <c r="D824" t="inlineStr">
        <is>
          <t>JÄMTLANDS LÄN</t>
        </is>
      </c>
      <c r="E824" t="inlineStr">
        <is>
          <t>RAGUNDA</t>
        </is>
      </c>
      <c r="G824" t="n">
        <v>1.3</v>
      </c>
      <c r="H824" t="n">
        <v>0</v>
      </c>
      <c r="I824" t="n">
        <v>0</v>
      </c>
      <c r="J824" t="n">
        <v>0</v>
      </c>
      <c r="K824" t="n">
        <v>0</v>
      </c>
      <c r="L824" t="n">
        <v>0</v>
      </c>
      <c r="M824" t="n">
        <v>0</v>
      </c>
      <c r="N824" t="n">
        <v>0</v>
      </c>
      <c r="O824" t="n">
        <v>0</v>
      </c>
      <c r="P824" t="n">
        <v>0</v>
      </c>
      <c r="Q824" t="n">
        <v>0</v>
      </c>
      <c r="R824" s="2" t="inlineStr"/>
    </row>
    <row r="825" ht="15" customHeight="1">
      <c r="A825" t="inlineStr">
        <is>
          <t>A 52148-2024</t>
        </is>
      </c>
      <c r="B825" s="1" t="n">
        <v>45608.52354166667</v>
      </c>
      <c r="C825" s="1" t="n">
        <v>45914</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462-2023</t>
        </is>
      </c>
      <c r="B826" s="1" t="n">
        <v>44929</v>
      </c>
      <c r="C826" s="1" t="n">
        <v>45914</v>
      </c>
      <c r="D826" t="inlineStr">
        <is>
          <t>JÄMTLANDS LÄN</t>
        </is>
      </c>
      <c r="E826" t="inlineStr">
        <is>
          <t>RAGUNDA</t>
        </is>
      </c>
      <c r="G826" t="n">
        <v>4.5</v>
      </c>
      <c r="H826" t="n">
        <v>0</v>
      </c>
      <c r="I826" t="n">
        <v>0</v>
      </c>
      <c r="J826" t="n">
        <v>0</v>
      </c>
      <c r="K826" t="n">
        <v>0</v>
      </c>
      <c r="L826" t="n">
        <v>0</v>
      </c>
      <c r="M826" t="n">
        <v>0</v>
      </c>
      <c r="N826" t="n">
        <v>0</v>
      </c>
      <c r="O826" t="n">
        <v>0</v>
      </c>
      <c r="P826" t="n">
        <v>0</v>
      </c>
      <c r="Q826" t="n">
        <v>0</v>
      </c>
      <c r="R826" s="2" t="inlineStr"/>
    </row>
    <row r="827" ht="15" customHeight="1">
      <c r="A827" t="inlineStr">
        <is>
          <t>A 12783-2023</t>
        </is>
      </c>
      <c r="B827" s="1" t="n">
        <v>45000</v>
      </c>
      <c r="C827" s="1" t="n">
        <v>45914</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35153-2024</t>
        </is>
      </c>
      <c r="B828" s="1" t="n">
        <v>45530</v>
      </c>
      <c r="C828" s="1" t="n">
        <v>45914</v>
      </c>
      <c r="D828" t="inlineStr">
        <is>
          <t>JÄMTLANDS LÄN</t>
        </is>
      </c>
      <c r="E828" t="inlineStr">
        <is>
          <t>RAGUNDA</t>
        </is>
      </c>
      <c r="G828" t="n">
        <v>2.7</v>
      </c>
      <c r="H828" t="n">
        <v>0</v>
      </c>
      <c r="I828" t="n">
        <v>0</v>
      </c>
      <c r="J828" t="n">
        <v>0</v>
      </c>
      <c r="K828" t="n">
        <v>0</v>
      </c>
      <c r="L828" t="n">
        <v>0</v>
      </c>
      <c r="M828" t="n">
        <v>0</v>
      </c>
      <c r="N828" t="n">
        <v>0</v>
      </c>
      <c r="O828" t="n">
        <v>0</v>
      </c>
      <c r="P828" t="n">
        <v>0</v>
      </c>
      <c r="Q828" t="n">
        <v>0</v>
      </c>
      <c r="R828" s="2" t="inlineStr"/>
    </row>
    <row r="829" ht="15" customHeight="1">
      <c r="A829" t="inlineStr">
        <is>
          <t>A 26645-2024</t>
        </is>
      </c>
      <c r="B829" s="1" t="n">
        <v>45469.94667824074</v>
      </c>
      <c r="C829" s="1" t="n">
        <v>45914</v>
      </c>
      <c r="D829" t="inlineStr">
        <is>
          <t>JÄMTLANDS LÄN</t>
        </is>
      </c>
      <c r="E829" t="inlineStr">
        <is>
          <t>RAGUNDA</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32258-2024</t>
        </is>
      </c>
      <c r="B830" s="1" t="n">
        <v>45511</v>
      </c>
      <c r="C830" s="1" t="n">
        <v>45914</v>
      </c>
      <c r="D830" t="inlineStr">
        <is>
          <t>JÄMTLANDS LÄN</t>
        </is>
      </c>
      <c r="E830" t="inlineStr">
        <is>
          <t>RAGUNDA</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15672-2021</t>
        </is>
      </c>
      <c r="B831" s="1" t="n">
        <v>44286</v>
      </c>
      <c r="C831" s="1" t="n">
        <v>45914</v>
      </c>
      <c r="D831" t="inlineStr">
        <is>
          <t>JÄMTLANDS LÄN</t>
        </is>
      </c>
      <c r="E831" t="inlineStr">
        <is>
          <t>RAGUNDA</t>
        </is>
      </c>
      <c r="G831" t="n">
        <v>1.7</v>
      </c>
      <c r="H831" t="n">
        <v>0</v>
      </c>
      <c r="I831" t="n">
        <v>0</v>
      </c>
      <c r="J831" t="n">
        <v>0</v>
      </c>
      <c r="K831" t="n">
        <v>0</v>
      </c>
      <c r="L831" t="n">
        <v>0</v>
      </c>
      <c r="M831" t="n">
        <v>0</v>
      </c>
      <c r="N831" t="n">
        <v>0</v>
      </c>
      <c r="O831" t="n">
        <v>0</v>
      </c>
      <c r="P831" t="n">
        <v>0</v>
      </c>
      <c r="Q831" t="n">
        <v>0</v>
      </c>
      <c r="R831" s="2" t="inlineStr"/>
    </row>
    <row r="832" ht="15" customHeight="1">
      <c r="A832" t="inlineStr">
        <is>
          <t>A 50650-2023</t>
        </is>
      </c>
      <c r="B832" s="1" t="n">
        <v>45210</v>
      </c>
      <c r="C832" s="1" t="n">
        <v>45914</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564-2025</t>
        </is>
      </c>
      <c r="B833" s="1" t="n">
        <v>45664.55241898148</v>
      </c>
      <c r="C833" s="1" t="n">
        <v>45914</v>
      </c>
      <c r="D833" t="inlineStr">
        <is>
          <t>JÄMTLANDS LÄN</t>
        </is>
      </c>
      <c r="E833" t="inlineStr">
        <is>
          <t>RAGUNDA</t>
        </is>
      </c>
      <c r="F833" t="inlineStr">
        <is>
          <t>SCA</t>
        </is>
      </c>
      <c r="G833" t="n">
        <v>7</v>
      </c>
      <c r="H833" t="n">
        <v>0</v>
      </c>
      <c r="I833" t="n">
        <v>0</v>
      </c>
      <c r="J833" t="n">
        <v>0</v>
      </c>
      <c r="K833" t="n">
        <v>0</v>
      </c>
      <c r="L833" t="n">
        <v>0</v>
      </c>
      <c r="M833" t="n">
        <v>0</v>
      </c>
      <c r="N833" t="n">
        <v>0</v>
      </c>
      <c r="O833" t="n">
        <v>0</v>
      </c>
      <c r="P833" t="n">
        <v>0</v>
      </c>
      <c r="Q833" t="n">
        <v>0</v>
      </c>
      <c r="R833" s="2" t="inlineStr"/>
    </row>
    <row r="834" ht="15" customHeight="1">
      <c r="A834" t="inlineStr">
        <is>
          <t>A 32751-2025</t>
        </is>
      </c>
      <c r="B834" s="1" t="n">
        <v>45839.42864583333</v>
      </c>
      <c r="C834" s="1" t="n">
        <v>45914</v>
      </c>
      <c r="D834" t="inlineStr">
        <is>
          <t>JÄMTLANDS LÄN</t>
        </is>
      </c>
      <c r="E834" t="inlineStr">
        <is>
          <t>RAGUNDA</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3767-2025</t>
        </is>
      </c>
      <c r="B835" s="1" t="n">
        <v>45681.60203703704</v>
      </c>
      <c r="C835" s="1" t="n">
        <v>45914</v>
      </c>
      <c r="D835" t="inlineStr">
        <is>
          <t>JÄMTLANDS LÄN</t>
        </is>
      </c>
      <c r="E835" t="inlineStr">
        <is>
          <t>RAGUNDA</t>
        </is>
      </c>
      <c r="G835" t="n">
        <v>4.9</v>
      </c>
      <c r="H835" t="n">
        <v>0</v>
      </c>
      <c r="I835" t="n">
        <v>0</v>
      </c>
      <c r="J835" t="n">
        <v>0</v>
      </c>
      <c r="K835" t="n">
        <v>0</v>
      </c>
      <c r="L835" t="n">
        <v>0</v>
      </c>
      <c r="M835" t="n">
        <v>0</v>
      </c>
      <c r="N835" t="n">
        <v>0</v>
      </c>
      <c r="O835" t="n">
        <v>0</v>
      </c>
      <c r="P835" t="n">
        <v>0</v>
      </c>
      <c r="Q835" t="n">
        <v>0</v>
      </c>
      <c r="R835" s="2" t="inlineStr"/>
    </row>
    <row r="836" ht="15" customHeight="1">
      <c r="A836" t="inlineStr">
        <is>
          <t>A 3186-2025</t>
        </is>
      </c>
      <c r="B836" s="1" t="n">
        <v>45679.40362268518</v>
      </c>
      <c r="C836" s="1" t="n">
        <v>45914</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1308-2025</t>
        </is>
      </c>
      <c r="B837" s="1" t="n">
        <v>45667.55239583334</v>
      </c>
      <c r="C837" s="1" t="n">
        <v>45914</v>
      </c>
      <c r="D837" t="inlineStr">
        <is>
          <t>JÄMTLANDS LÄN</t>
        </is>
      </c>
      <c r="E837" t="inlineStr">
        <is>
          <t>RAGUNDA</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32846-2025</t>
        </is>
      </c>
      <c r="B838" s="1" t="n">
        <v>45839.57331018519</v>
      </c>
      <c r="C838" s="1" t="n">
        <v>45914</v>
      </c>
      <c r="D838" t="inlineStr">
        <is>
          <t>JÄMTLANDS LÄN</t>
        </is>
      </c>
      <c r="E838" t="inlineStr">
        <is>
          <t>RAGUNDA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61197-2023</t>
        </is>
      </c>
      <c r="B839" s="1" t="n">
        <v>45260</v>
      </c>
      <c r="C839" s="1" t="n">
        <v>45914</v>
      </c>
      <c r="D839" t="inlineStr">
        <is>
          <t>JÄMTLANDS LÄN</t>
        </is>
      </c>
      <c r="E839" t="inlineStr">
        <is>
          <t>RAGUNDA</t>
        </is>
      </c>
      <c r="G839" t="n">
        <v>2.5</v>
      </c>
      <c r="H839" t="n">
        <v>0</v>
      </c>
      <c r="I839" t="n">
        <v>0</v>
      </c>
      <c r="J839" t="n">
        <v>0</v>
      </c>
      <c r="K839" t="n">
        <v>0</v>
      </c>
      <c r="L839" t="n">
        <v>0</v>
      </c>
      <c r="M839" t="n">
        <v>0</v>
      </c>
      <c r="N839" t="n">
        <v>0</v>
      </c>
      <c r="O839" t="n">
        <v>0</v>
      </c>
      <c r="P839" t="n">
        <v>0</v>
      </c>
      <c r="Q839" t="n">
        <v>0</v>
      </c>
      <c r="R839" s="2" t="inlineStr"/>
    </row>
    <row r="840" ht="15" customHeight="1">
      <c r="A840" t="inlineStr">
        <is>
          <t>A 41262-2021</t>
        </is>
      </c>
      <c r="B840" s="1" t="n">
        <v>44424</v>
      </c>
      <c r="C840" s="1" t="n">
        <v>45914</v>
      </c>
      <c r="D840" t="inlineStr">
        <is>
          <t>JÄMTLANDS LÄN</t>
        </is>
      </c>
      <c r="E840" t="inlineStr">
        <is>
          <t>RAGUNDA</t>
        </is>
      </c>
      <c r="G840" t="n">
        <v>2.6</v>
      </c>
      <c r="H840" t="n">
        <v>0</v>
      </c>
      <c r="I840" t="n">
        <v>0</v>
      </c>
      <c r="J840" t="n">
        <v>0</v>
      </c>
      <c r="K840" t="n">
        <v>0</v>
      </c>
      <c r="L840" t="n">
        <v>0</v>
      </c>
      <c r="M840" t="n">
        <v>0</v>
      </c>
      <c r="N840" t="n">
        <v>0</v>
      </c>
      <c r="O840" t="n">
        <v>0</v>
      </c>
      <c r="P840" t="n">
        <v>0</v>
      </c>
      <c r="Q840" t="n">
        <v>0</v>
      </c>
      <c r="R840" s="2" t="inlineStr"/>
    </row>
    <row r="841" ht="15" customHeight="1">
      <c r="A841" t="inlineStr">
        <is>
          <t>A 36371-2023</t>
        </is>
      </c>
      <c r="B841" s="1" t="n">
        <v>45149</v>
      </c>
      <c r="C841" s="1" t="n">
        <v>45914</v>
      </c>
      <c r="D841" t="inlineStr">
        <is>
          <t>JÄMTLANDS LÄN</t>
        </is>
      </c>
      <c r="E841" t="inlineStr">
        <is>
          <t>RAGUNDA</t>
        </is>
      </c>
      <c r="G841" t="n">
        <v>25.7</v>
      </c>
      <c r="H841" t="n">
        <v>0</v>
      </c>
      <c r="I841" t="n">
        <v>0</v>
      </c>
      <c r="J841" t="n">
        <v>0</v>
      </c>
      <c r="K841" t="n">
        <v>0</v>
      </c>
      <c r="L841" t="n">
        <v>0</v>
      </c>
      <c r="M841" t="n">
        <v>0</v>
      </c>
      <c r="N841" t="n">
        <v>0</v>
      </c>
      <c r="O841" t="n">
        <v>0</v>
      </c>
      <c r="P841" t="n">
        <v>0</v>
      </c>
      <c r="Q841" t="n">
        <v>0</v>
      </c>
      <c r="R841" s="2" t="inlineStr"/>
    </row>
    <row r="842" ht="15" customHeight="1">
      <c r="A842" t="inlineStr">
        <is>
          <t>A 31135-2023</t>
        </is>
      </c>
      <c r="B842" s="1" t="n">
        <v>45103</v>
      </c>
      <c r="C842" s="1" t="n">
        <v>45914</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51579-2024</t>
        </is>
      </c>
      <c r="B843" s="1" t="n">
        <v>45604.63575231482</v>
      </c>
      <c r="C843" s="1" t="n">
        <v>45914</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13767-2022</t>
        </is>
      </c>
      <c r="B844" s="1" t="n">
        <v>44649.47048611111</v>
      </c>
      <c r="C844" s="1" t="n">
        <v>45914</v>
      </c>
      <c r="D844" t="inlineStr">
        <is>
          <t>JÄMTLANDS LÄN</t>
        </is>
      </c>
      <c r="E844" t="inlineStr">
        <is>
          <t>RAGUNDA</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45914</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22569-2023</t>
        </is>
      </c>
      <c r="B846" s="1" t="n">
        <v>45069</v>
      </c>
      <c r="C846" s="1" t="n">
        <v>45914</v>
      </c>
      <c r="D846" t="inlineStr">
        <is>
          <t>JÄMTLANDS LÄN</t>
        </is>
      </c>
      <c r="E846" t="inlineStr">
        <is>
          <t>RAGUNDA</t>
        </is>
      </c>
      <c r="G846" t="n">
        <v>6.6</v>
      </c>
      <c r="H846" t="n">
        <v>0</v>
      </c>
      <c r="I846" t="n">
        <v>0</v>
      </c>
      <c r="J846" t="n">
        <v>0</v>
      </c>
      <c r="K846" t="n">
        <v>0</v>
      </c>
      <c r="L846" t="n">
        <v>0</v>
      </c>
      <c r="M846" t="n">
        <v>0</v>
      </c>
      <c r="N846" t="n">
        <v>0</v>
      </c>
      <c r="O846" t="n">
        <v>0</v>
      </c>
      <c r="P846" t="n">
        <v>0</v>
      </c>
      <c r="Q846" t="n">
        <v>0</v>
      </c>
      <c r="R846" s="2" t="inlineStr"/>
    </row>
    <row r="847" ht="15" customHeight="1">
      <c r="A847" t="inlineStr">
        <is>
          <t>A 44630-2023</t>
        </is>
      </c>
      <c r="B847" s="1" t="n">
        <v>45184</v>
      </c>
      <c r="C847" s="1" t="n">
        <v>45914</v>
      </c>
      <c r="D847" t="inlineStr">
        <is>
          <t>JÄMTLANDS LÄN</t>
        </is>
      </c>
      <c r="E847" t="inlineStr">
        <is>
          <t>RAGUNDA</t>
        </is>
      </c>
      <c r="G847" t="n">
        <v>3.4</v>
      </c>
      <c r="H847" t="n">
        <v>0</v>
      </c>
      <c r="I847" t="n">
        <v>0</v>
      </c>
      <c r="J847" t="n">
        <v>0</v>
      </c>
      <c r="K847" t="n">
        <v>0</v>
      </c>
      <c r="L847" t="n">
        <v>0</v>
      </c>
      <c r="M847" t="n">
        <v>0</v>
      </c>
      <c r="N847" t="n">
        <v>0</v>
      </c>
      <c r="O847" t="n">
        <v>0</v>
      </c>
      <c r="P847" t="n">
        <v>0</v>
      </c>
      <c r="Q847" t="n">
        <v>0</v>
      </c>
      <c r="R847" s="2" t="inlineStr"/>
    </row>
    <row r="848" ht="15" customHeight="1">
      <c r="A848" t="inlineStr">
        <is>
          <t>A 4212-2024</t>
        </is>
      </c>
      <c r="B848" s="1" t="n">
        <v>45324</v>
      </c>
      <c r="C848" s="1" t="n">
        <v>45914</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12522-2023</t>
        </is>
      </c>
      <c r="B849" s="1" t="n">
        <v>45000</v>
      </c>
      <c r="C849" s="1" t="n">
        <v>45914</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12523-2023</t>
        </is>
      </c>
      <c r="B850" s="1" t="n">
        <v>45000</v>
      </c>
      <c r="C850" s="1" t="n">
        <v>45914</v>
      </c>
      <c r="D850" t="inlineStr">
        <is>
          <t>JÄMTLANDS LÄN</t>
        </is>
      </c>
      <c r="E850" t="inlineStr">
        <is>
          <t>RAGUNDA</t>
        </is>
      </c>
      <c r="F850" t="inlineStr">
        <is>
          <t>SCA</t>
        </is>
      </c>
      <c r="G850" t="n">
        <v>14.3</v>
      </c>
      <c r="H850" t="n">
        <v>0</v>
      </c>
      <c r="I850" t="n">
        <v>0</v>
      </c>
      <c r="J850" t="n">
        <v>0</v>
      </c>
      <c r="K850" t="n">
        <v>0</v>
      </c>
      <c r="L850" t="n">
        <v>0</v>
      </c>
      <c r="M850" t="n">
        <v>0</v>
      </c>
      <c r="N850" t="n">
        <v>0</v>
      </c>
      <c r="O850" t="n">
        <v>0</v>
      </c>
      <c r="P850" t="n">
        <v>0</v>
      </c>
      <c r="Q850" t="n">
        <v>0</v>
      </c>
      <c r="R850" s="2" t="inlineStr"/>
    </row>
    <row r="851" ht="15" customHeight="1">
      <c r="A851" t="inlineStr">
        <is>
          <t>A 43405-2023</t>
        </is>
      </c>
      <c r="B851" s="1" t="n">
        <v>45183.95563657407</v>
      </c>
      <c r="C851" s="1" t="n">
        <v>45914</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36246-2024</t>
        </is>
      </c>
      <c r="B852" s="1" t="n">
        <v>45534</v>
      </c>
      <c r="C852" s="1" t="n">
        <v>45914</v>
      </c>
      <c r="D852" t="inlineStr">
        <is>
          <t>JÄMTLANDS LÄN</t>
        </is>
      </c>
      <c r="E852" t="inlineStr">
        <is>
          <t>RAGUNDA</t>
        </is>
      </c>
      <c r="G852" t="n">
        <v>1.6</v>
      </c>
      <c r="H852" t="n">
        <v>0</v>
      </c>
      <c r="I852" t="n">
        <v>0</v>
      </c>
      <c r="J852" t="n">
        <v>0</v>
      </c>
      <c r="K852" t="n">
        <v>0</v>
      </c>
      <c r="L852" t="n">
        <v>0</v>
      </c>
      <c r="M852" t="n">
        <v>0</v>
      </c>
      <c r="N852" t="n">
        <v>0</v>
      </c>
      <c r="O852" t="n">
        <v>0</v>
      </c>
      <c r="P852" t="n">
        <v>0</v>
      </c>
      <c r="Q852" t="n">
        <v>0</v>
      </c>
      <c r="R852" s="2" t="inlineStr"/>
    </row>
    <row r="853" ht="15" customHeight="1">
      <c r="A853" t="inlineStr">
        <is>
          <t>A 32063-2024</t>
        </is>
      </c>
      <c r="B853" s="1" t="n">
        <v>45510</v>
      </c>
      <c r="C853" s="1" t="n">
        <v>45914</v>
      </c>
      <c r="D853" t="inlineStr">
        <is>
          <t>JÄMTLANDS LÄN</t>
        </is>
      </c>
      <c r="E853" t="inlineStr">
        <is>
          <t>RAGUNDA</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56984-2022</t>
        </is>
      </c>
      <c r="B854" s="1" t="n">
        <v>44894.79018518519</v>
      </c>
      <c r="C854" s="1" t="n">
        <v>45914</v>
      </c>
      <c r="D854" t="inlineStr">
        <is>
          <t>JÄMTLANDS LÄN</t>
        </is>
      </c>
      <c r="E854" t="inlineStr">
        <is>
          <t>RAGUNDA</t>
        </is>
      </c>
      <c r="G854" t="n">
        <v>1.4</v>
      </c>
      <c r="H854" t="n">
        <v>0</v>
      </c>
      <c r="I854" t="n">
        <v>0</v>
      </c>
      <c r="J854" t="n">
        <v>0</v>
      </c>
      <c r="K854" t="n">
        <v>0</v>
      </c>
      <c r="L854" t="n">
        <v>0</v>
      </c>
      <c r="M854" t="n">
        <v>0</v>
      </c>
      <c r="N854" t="n">
        <v>0</v>
      </c>
      <c r="O854" t="n">
        <v>0</v>
      </c>
      <c r="P854" t="n">
        <v>0</v>
      </c>
      <c r="Q854" t="n">
        <v>0</v>
      </c>
      <c r="R854" s="2" t="inlineStr"/>
    </row>
    <row r="855" ht="15" customHeight="1">
      <c r="A855" t="inlineStr">
        <is>
          <t>A 5307-2025</t>
        </is>
      </c>
      <c r="B855" s="1" t="n">
        <v>45692.48993055556</v>
      </c>
      <c r="C855" s="1" t="n">
        <v>45914</v>
      </c>
      <c r="D855" t="inlineStr">
        <is>
          <t>JÄMTLANDS LÄN</t>
        </is>
      </c>
      <c r="E855" t="inlineStr">
        <is>
          <t>RAGUNDA</t>
        </is>
      </c>
      <c r="F855" t="inlineStr">
        <is>
          <t>SCA</t>
        </is>
      </c>
      <c r="G855" t="n">
        <v>20.9</v>
      </c>
      <c r="H855" t="n">
        <v>0</v>
      </c>
      <c r="I855" t="n">
        <v>0</v>
      </c>
      <c r="J855" t="n">
        <v>0</v>
      </c>
      <c r="K855" t="n">
        <v>0</v>
      </c>
      <c r="L855" t="n">
        <v>0</v>
      </c>
      <c r="M855" t="n">
        <v>0</v>
      </c>
      <c r="N855" t="n">
        <v>0</v>
      </c>
      <c r="O855" t="n">
        <v>0</v>
      </c>
      <c r="P855" t="n">
        <v>0</v>
      </c>
      <c r="Q855" t="n">
        <v>0</v>
      </c>
      <c r="R855" s="2" t="inlineStr"/>
    </row>
    <row r="856" ht="15" customHeight="1">
      <c r="A856" t="inlineStr">
        <is>
          <t>A 33763-2025</t>
        </is>
      </c>
      <c r="B856" s="1" t="n">
        <v>45842.38579861111</v>
      </c>
      <c r="C856" s="1" t="n">
        <v>45914</v>
      </c>
      <c r="D856" t="inlineStr">
        <is>
          <t>JÄMTLANDS LÄN</t>
        </is>
      </c>
      <c r="E856" t="inlineStr">
        <is>
          <t>RAGUNDA</t>
        </is>
      </c>
      <c r="F856" t="inlineStr">
        <is>
          <t>SCA</t>
        </is>
      </c>
      <c r="G856" t="n">
        <v>13.4</v>
      </c>
      <c r="H856" t="n">
        <v>0</v>
      </c>
      <c r="I856" t="n">
        <v>0</v>
      </c>
      <c r="J856" t="n">
        <v>0</v>
      </c>
      <c r="K856" t="n">
        <v>0</v>
      </c>
      <c r="L856" t="n">
        <v>0</v>
      </c>
      <c r="M856" t="n">
        <v>0</v>
      </c>
      <c r="N856" t="n">
        <v>0</v>
      </c>
      <c r="O856" t="n">
        <v>0</v>
      </c>
      <c r="P856" t="n">
        <v>0</v>
      </c>
      <c r="Q856" t="n">
        <v>0</v>
      </c>
      <c r="R856" s="2" t="inlineStr"/>
    </row>
    <row r="857" ht="15" customHeight="1">
      <c r="A857" t="inlineStr">
        <is>
          <t>A 48066-2022</t>
        </is>
      </c>
      <c r="B857" s="1" t="n">
        <v>44855</v>
      </c>
      <c r="C857" s="1" t="n">
        <v>45914</v>
      </c>
      <c r="D857" t="inlineStr">
        <is>
          <t>JÄMTLANDS LÄN</t>
        </is>
      </c>
      <c r="E857" t="inlineStr">
        <is>
          <t>RAGUNDA</t>
        </is>
      </c>
      <c r="F857" t="inlineStr">
        <is>
          <t>SCA</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26942-2021</t>
        </is>
      </c>
      <c r="B858" s="1" t="n">
        <v>44349.91978009259</v>
      </c>
      <c r="C858" s="1" t="n">
        <v>45914</v>
      </c>
      <c r="D858" t="inlineStr">
        <is>
          <t>JÄMTLANDS LÄN</t>
        </is>
      </c>
      <c r="E858" t="inlineStr">
        <is>
          <t>RAGUNDA</t>
        </is>
      </c>
      <c r="G858" t="n">
        <v>6.2</v>
      </c>
      <c r="H858" t="n">
        <v>0</v>
      </c>
      <c r="I858" t="n">
        <v>0</v>
      </c>
      <c r="J858" t="n">
        <v>0</v>
      </c>
      <c r="K858" t="n">
        <v>0</v>
      </c>
      <c r="L858" t="n">
        <v>0</v>
      </c>
      <c r="M858" t="n">
        <v>0</v>
      </c>
      <c r="N858" t="n">
        <v>0</v>
      </c>
      <c r="O858" t="n">
        <v>0</v>
      </c>
      <c r="P858" t="n">
        <v>0</v>
      </c>
      <c r="Q858" t="n">
        <v>0</v>
      </c>
      <c r="R858" s="2" t="inlineStr"/>
    </row>
    <row r="859" ht="15" customHeight="1">
      <c r="A859" t="inlineStr">
        <is>
          <t>A 33556-2025</t>
        </is>
      </c>
      <c r="B859" s="1" t="n">
        <v>45841.57427083333</v>
      </c>
      <c r="C859" s="1" t="n">
        <v>45914</v>
      </c>
      <c r="D859" t="inlineStr">
        <is>
          <t>JÄMTLANDS LÄN</t>
        </is>
      </c>
      <c r="E859" t="inlineStr">
        <is>
          <t>RAGUNDA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56504-2024</t>
        </is>
      </c>
      <c r="B860" s="1" t="n">
        <v>45625.51068287037</v>
      </c>
      <c r="C860" s="1" t="n">
        <v>45914</v>
      </c>
      <c r="D860" t="inlineStr">
        <is>
          <t>JÄMTLANDS LÄN</t>
        </is>
      </c>
      <c r="E860" t="inlineStr">
        <is>
          <t>RAGUNDA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5958-2023</t>
        </is>
      </c>
      <c r="B861" s="1" t="n">
        <v>44963</v>
      </c>
      <c r="C861" s="1" t="n">
        <v>45914</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5938-2025</t>
        </is>
      </c>
      <c r="B862" s="1" t="n">
        <v>45695.45868055556</v>
      </c>
      <c r="C862" s="1" t="n">
        <v>45914</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28173-2024</t>
        </is>
      </c>
      <c r="B863" s="1" t="n">
        <v>45476.94533564815</v>
      </c>
      <c r="C863" s="1" t="n">
        <v>45914</v>
      </c>
      <c r="D863" t="inlineStr">
        <is>
          <t>JÄMTLANDS LÄN</t>
        </is>
      </c>
      <c r="E863" t="inlineStr">
        <is>
          <t>RAGUNDA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35537-2021</t>
        </is>
      </c>
      <c r="B864" s="1" t="n">
        <v>44384</v>
      </c>
      <c r="C864" s="1" t="n">
        <v>45914</v>
      </c>
      <c r="D864" t="inlineStr">
        <is>
          <t>JÄMTLANDS LÄN</t>
        </is>
      </c>
      <c r="E864" t="inlineStr">
        <is>
          <t>RAGUNDA</t>
        </is>
      </c>
      <c r="G864" t="n">
        <v>3.1</v>
      </c>
      <c r="H864" t="n">
        <v>0</v>
      </c>
      <c r="I864" t="n">
        <v>0</v>
      </c>
      <c r="J864" t="n">
        <v>0</v>
      </c>
      <c r="K864" t="n">
        <v>0</v>
      </c>
      <c r="L864" t="n">
        <v>0</v>
      </c>
      <c r="M864" t="n">
        <v>0</v>
      </c>
      <c r="N864" t="n">
        <v>0</v>
      </c>
      <c r="O864" t="n">
        <v>0</v>
      </c>
      <c r="P864" t="n">
        <v>0</v>
      </c>
      <c r="Q864" t="n">
        <v>0</v>
      </c>
      <c r="R864" s="2" t="inlineStr"/>
    </row>
    <row r="865" ht="15" customHeight="1">
      <c r="A865" t="inlineStr">
        <is>
          <t>A 50521-2024</t>
        </is>
      </c>
      <c r="B865" s="1" t="n">
        <v>45601.55331018518</v>
      </c>
      <c r="C865" s="1" t="n">
        <v>45914</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29920-2024</t>
        </is>
      </c>
      <c r="B866" s="1" t="n">
        <v>45487.92856481481</v>
      </c>
      <c r="C866" s="1" t="n">
        <v>45914</v>
      </c>
      <c r="D866" t="inlineStr">
        <is>
          <t>JÄMTLANDS LÄN</t>
        </is>
      </c>
      <c r="E866" t="inlineStr">
        <is>
          <t>RAGUNDA</t>
        </is>
      </c>
      <c r="G866" t="n">
        <v>3.4</v>
      </c>
      <c r="H866" t="n">
        <v>0</v>
      </c>
      <c r="I866" t="n">
        <v>0</v>
      </c>
      <c r="J866" t="n">
        <v>0</v>
      </c>
      <c r="K866" t="n">
        <v>0</v>
      </c>
      <c r="L866" t="n">
        <v>0</v>
      </c>
      <c r="M866" t="n">
        <v>0</v>
      </c>
      <c r="N866" t="n">
        <v>0</v>
      </c>
      <c r="O866" t="n">
        <v>0</v>
      </c>
      <c r="P866" t="n">
        <v>0</v>
      </c>
      <c r="Q866" t="n">
        <v>0</v>
      </c>
      <c r="R866" s="2" t="inlineStr"/>
    </row>
    <row r="867" ht="15" customHeight="1">
      <c r="A867" t="inlineStr">
        <is>
          <t>A 18248-2023</t>
        </is>
      </c>
      <c r="B867" s="1" t="n">
        <v>45040</v>
      </c>
      <c r="C867" s="1" t="n">
        <v>45914</v>
      </c>
      <c r="D867" t="inlineStr">
        <is>
          <t>JÄMTLANDS LÄN</t>
        </is>
      </c>
      <c r="E867" t="inlineStr">
        <is>
          <t>RAGUNDA</t>
        </is>
      </c>
      <c r="G867" t="n">
        <v>4.3</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44844.95368055555</v>
      </c>
      <c r="C868" s="1" t="n">
        <v>45914</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30459-2021</t>
        </is>
      </c>
      <c r="B869" s="1" t="n">
        <v>44362</v>
      </c>
      <c r="C869" s="1" t="n">
        <v>45914</v>
      </c>
      <c r="D869" t="inlineStr">
        <is>
          <t>JÄMTLANDS LÄN</t>
        </is>
      </c>
      <c r="E869" t="inlineStr">
        <is>
          <t>RAGUNDA</t>
        </is>
      </c>
      <c r="G869" t="n">
        <v>1</v>
      </c>
      <c r="H869" t="n">
        <v>0</v>
      </c>
      <c r="I869" t="n">
        <v>0</v>
      </c>
      <c r="J869" t="n">
        <v>0</v>
      </c>
      <c r="K869" t="n">
        <v>0</v>
      </c>
      <c r="L869" t="n">
        <v>0</v>
      </c>
      <c r="M869" t="n">
        <v>0</v>
      </c>
      <c r="N869" t="n">
        <v>0</v>
      </c>
      <c r="O869" t="n">
        <v>0</v>
      </c>
      <c r="P869" t="n">
        <v>0</v>
      </c>
      <c r="Q869" t="n">
        <v>0</v>
      </c>
      <c r="R869" s="2" t="inlineStr"/>
    </row>
    <row r="870" ht="15" customHeight="1">
      <c r="A870" t="inlineStr">
        <is>
          <t>A 29263-2024</t>
        </is>
      </c>
      <c r="B870" s="1" t="n">
        <v>45482.94891203703</v>
      </c>
      <c r="C870" s="1" t="n">
        <v>45914</v>
      </c>
      <c r="D870" t="inlineStr">
        <is>
          <t>JÄMTLANDS LÄN</t>
        </is>
      </c>
      <c r="E870" t="inlineStr">
        <is>
          <t>RAGUNDA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29265-2024</t>
        </is>
      </c>
      <c r="B871" s="1" t="n">
        <v>45482.9491087963</v>
      </c>
      <c r="C871" s="1" t="n">
        <v>45914</v>
      </c>
      <c r="D871" t="inlineStr">
        <is>
          <t>JÄMTLANDS LÄN</t>
        </is>
      </c>
      <c r="E871" t="inlineStr">
        <is>
          <t>RAGUNDA</t>
        </is>
      </c>
      <c r="F871" t="inlineStr">
        <is>
          <t>SCA</t>
        </is>
      </c>
      <c r="G871" t="n">
        <v>11.6</v>
      </c>
      <c r="H871" t="n">
        <v>0</v>
      </c>
      <c r="I871" t="n">
        <v>0</v>
      </c>
      <c r="J871" t="n">
        <v>0</v>
      </c>
      <c r="K871" t="n">
        <v>0</v>
      </c>
      <c r="L871" t="n">
        <v>0</v>
      </c>
      <c r="M871" t="n">
        <v>0</v>
      </c>
      <c r="N871" t="n">
        <v>0</v>
      </c>
      <c r="O871" t="n">
        <v>0</v>
      </c>
      <c r="P871" t="n">
        <v>0</v>
      </c>
      <c r="Q871" t="n">
        <v>0</v>
      </c>
      <c r="R871" s="2" t="inlineStr"/>
    </row>
    <row r="872" ht="15" customHeight="1">
      <c r="A872" t="inlineStr">
        <is>
          <t>A 13898-2023</t>
        </is>
      </c>
      <c r="B872" s="1" t="n">
        <v>45008.01408564814</v>
      </c>
      <c r="C872" s="1" t="n">
        <v>45914</v>
      </c>
      <c r="D872" t="inlineStr">
        <is>
          <t>JÄMTLANDS LÄN</t>
        </is>
      </c>
      <c r="E872" t="inlineStr">
        <is>
          <t>RAGUNDA</t>
        </is>
      </c>
      <c r="F872" t="inlineStr">
        <is>
          <t>SCA</t>
        </is>
      </c>
      <c r="G872" t="n">
        <v>5</v>
      </c>
      <c r="H872" t="n">
        <v>0</v>
      </c>
      <c r="I872" t="n">
        <v>0</v>
      </c>
      <c r="J872" t="n">
        <v>0</v>
      </c>
      <c r="K872" t="n">
        <v>0</v>
      </c>
      <c r="L872" t="n">
        <v>0</v>
      </c>
      <c r="M872" t="n">
        <v>0</v>
      </c>
      <c r="N872" t="n">
        <v>0</v>
      </c>
      <c r="O872" t="n">
        <v>0</v>
      </c>
      <c r="P872" t="n">
        <v>0</v>
      </c>
      <c r="Q872" t="n">
        <v>0</v>
      </c>
      <c r="R872" s="2" t="inlineStr"/>
    </row>
    <row r="873" ht="15" customHeight="1">
      <c r="A873" t="inlineStr">
        <is>
          <t>A 41693-2023</t>
        </is>
      </c>
      <c r="B873" s="1" t="n">
        <v>45176</v>
      </c>
      <c r="C873" s="1" t="n">
        <v>45914</v>
      </c>
      <c r="D873" t="inlineStr">
        <is>
          <t>JÄMTLANDS LÄN</t>
        </is>
      </c>
      <c r="E873" t="inlineStr">
        <is>
          <t>RAGUNDA</t>
        </is>
      </c>
      <c r="G873" t="n">
        <v>5.5</v>
      </c>
      <c r="H873" t="n">
        <v>0</v>
      </c>
      <c r="I873" t="n">
        <v>0</v>
      </c>
      <c r="J873" t="n">
        <v>0</v>
      </c>
      <c r="K873" t="n">
        <v>0</v>
      </c>
      <c r="L873" t="n">
        <v>0</v>
      </c>
      <c r="M873" t="n">
        <v>0</v>
      </c>
      <c r="N873" t="n">
        <v>0</v>
      </c>
      <c r="O873" t="n">
        <v>0</v>
      </c>
      <c r="P873" t="n">
        <v>0</v>
      </c>
      <c r="Q873" t="n">
        <v>0</v>
      </c>
      <c r="R873" s="2" t="inlineStr"/>
    </row>
    <row r="874" ht="15" customHeight="1">
      <c r="A874" t="inlineStr">
        <is>
          <t>A 3770-2025</t>
        </is>
      </c>
      <c r="B874" s="1" t="n">
        <v>45681.6050925926</v>
      </c>
      <c r="C874" s="1" t="n">
        <v>45914</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33790-2025</t>
        </is>
      </c>
      <c r="B875" s="1" t="n">
        <v>45842.42608796297</v>
      </c>
      <c r="C875" s="1" t="n">
        <v>45914</v>
      </c>
      <c r="D875" t="inlineStr">
        <is>
          <t>JÄMTLANDS LÄN</t>
        </is>
      </c>
      <c r="E875" t="inlineStr">
        <is>
          <t>RAGUNDA</t>
        </is>
      </c>
      <c r="G875" t="n">
        <v>0.3</v>
      </c>
      <c r="H875" t="n">
        <v>0</v>
      </c>
      <c r="I875" t="n">
        <v>0</v>
      </c>
      <c r="J875" t="n">
        <v>0</v>
      </c>
      <c r="K875" t="n">
        <v>0</v>
      </c>
      <c r="L875" t="n">
        <v>0</v>
      </c>
      <c r="M875" t="n">
        <v>0</v>
      </c>
      <c r="N875" t="n">
        <v>0</v>
      </c>
      <c r="O875" t="n">
        <v>0</v>
      </c>
      <c r="P875" t="n">
        <v>0</v>
      </c>
      <c r="Q875" t="n">
        <v>0</v>
      </c>
      <c r="R875" s="2" t="inlineStr"/>
    </row>
    <row r="876" ht="15" customHeight="1">
      <c r="A876" t="inlineStr">
        <is>
          <t>A 11252-2025</t>
        </is>
      </c>
      <c r="B876" s="1" t="n">
        <v>45726.38615740741</v>
      </c>
      <c r="C876" s="1" t="n">
        <v>45914</v>
      </c>
      <c r="D876" t="inlineStr">
        <is>
          <t>JÄMTLANDS LÄN</t>
        </is>
      </c>
      <c r="E876" t="inlineStr">
        <is>
          <t>RAGUNDA</t>
        </is>
      </c>
      <c r="G876" t="n">
        <v>1.9</v>
      </c>
      <c r="H876" t="n">
        <v>0</v>
      </c>
      <c r="I876" t="n">
        <v>0</v>
      </c>
      <c r="J876" t="n">
        <v>0</v>
      </c>
      <c r="K876" t="n">
        <v>0</v>
      </c>
      <c r="L876" t="n">
        <v>0</v>
      </c>
      <c r="M876" t="n">
        <v>0</v>
      </c>
      <c r="N876" t="n">
        <v>0</v>
      </c>
      <c r="O876" t="n">
        <v>0</v>
      </c>
      <c r="P876" t="n">
        <v>0</v>
      </c>
      <c r="Q876" t="n">
        <v>0</v>
      </c>
      <c r="R876" s="2" t="inlineStr"/>
    </row>
    <row r="877" ht="15" customHeight="1">
      <c r="A877" t="inlineStr">
        <is>
          <t>A 7668-2025</t>
        </is>
      </c>
      <c r="B877" s="1" t="n">
        <v>45706.34450231482</v>
      </c>
      <c r="C877" s="1" t="n">
        <v>45914</v>
      </c>
      <c r="D877" t="inlineStr">
        <is>
          <t>JÄMTLANDS LÄN</t>
        </is>
      </c>
      <c r="E877" t="inlineStr">
        <is>
          <t>RAGUNDA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9548-2025</t>
        </is>
      </c>
      <c r="B878" s="1" t="n">
        <v>45715.59405092592</v>
      </c>
      <c r="C878" s="1" t="n">
        <v>45914</v>
      </c>
      <c r="D878" t="inlineStr">
        <is>
          <t>JÄMTLANDS LÄN</t>
        </is>
      </c>
      <c r="E878" t="inlineStr">
        <is>
          <t>RAGUNDA</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62011-2022</t>
        </is>
      </c>
      <c r="B879" s="1" t="n">
        <v>44914</v>
      </c>
      <c r="C879" s="1" t="n">
        <v>45914</v>
      </c>
      <c r="D879" t="inlineStr">
        <is>
          <t>JÄMTLANDS LÄN</t>
        </is>
      </c>
      <c r="E879" t="inlineStr">
        <is>
          <t>RAGUNDA</t>
        </is>
      </c>
      <c r="G879" t="n">
        <v>0.3</v>
      </c>
      <c r="H879" t="n">
        <v>0</v>
      </c>
      <c r="I879" t="n">
        <v>0</v>
      </c>
      <c r="J879" t="n">
        <v>0</v>
      </c>
      <c r="K879" t="n">
        <v>0</v>
      </c>
      <c r="L879" t="n">
        <v>0</v>
      </c>
      <c r="M879" t="n">
        <v>0</v>
      </c>
      <c r="N879" t="n">
        <v>0</v>
      </c>
      <c r="O879" t="n">
        <v>0</v>
      </c>
      <c r="P879" t="n">
        <v>0</v>
      </c>
      <c r="Q879" t="n">
        <v>0</v>
      </c>
      <c r="R879" s="2" t="inlineStr"/>
    </row>
    <row r="880" ht="15" customHeight="1">
      <c r="A880" t="inlineStr">
        <is>
          <t>A 57237-2022</t>
        </is>
      </c>
      <c r="B880" s="1" t="n">
        <v>44889</v>
      </c>
      <c r="C880" s="1" t="n">
        <v>45914</v>
      </c>
      <c r="D880" t="inlineStr">
        <is>
          <t>JÄMTLANDS LÄN</t>
        </is>
      </c>
      <c r="E880" t="inlineStr">
        <is>
          <t>RAGUNDA</t>
        </is>
      </c>
      <c r="G880" t="n">
        <v>2.2</v>
      </c>
      <c r="H880" t="n">
        <v>0</v>
      </c>
      <c r="I880" t="n">
        <v>0</v>
      </c>
      <c r="J880" t="n">
        <v>0</v>
      </c>
      <c r="K880" t="n">
        <v>0</v>
      </c>
      <c r="L880" t="n">
        <v>0</v>
      </c>
      <c r="M880" t="n">
        <v>0</v>
      </c>
      <c r="N880" t="n">
        <v>0</v>
      </c>
      <c r="O880" t="n">
        <v>0</v>
      </c>
      <c r="P880" t="n">
        <v>0</v>
      </c>
      <c r="Q880" t="n">
        <v>0</v>
      </c>
      <c r="R880" s="2" t="inlineStr"/>
    </row>
    <row r="881" ht="15" customHeight="1">
      <c r="A881" t="inlineStr">
        <is>
          <t>A 13263-2025</t>
        </is>
      </c>
      <c r="B881" s="1" t="n">
        <v>45735.53177083333</v>
      </c>
      <c r="C881" s="1" t="n">
        <v>45914</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13276-2025</t>
        </is>
      </c>
      <c r="B882" s="1" t="n">
        <v>45735.5517824074</v>
      </c>
      <c r="C882" s="1" t="n">
        <v>45914</v>
      </c>
      <c r="D882" t="inlineStr">
        <is>
          <t>JÄMTLANDS LÄN</t>
        </is>
      </c>
      <c r="E882" t="inlineStr">
        <is>
          <t>RAGUNDA</t>
        </is>
      </c>
      <c r="G882" t="n">
        <v>16.6</v>
      </c>
      <c r="H882" t="n">
        <v>0</v>
      </c>
      <c r="I882" t="n">
        <v>0</v>
      </c>
      <c r="J882" t="n">
        <v>0</v>
      </c>
      <c r="K882" t="n">
        <v>0</v>
      </c>
      <c r="L882" t="n">
        <v>0</v>
      </c>
      <c r="M882" t="n">
        <v>0</v>
      </c>
      <c r="N882" t="n">
        <v>0</v>
      </c>
      <c r="O882" t="n">
        <v>0</v>
      </c>
      <c r="P882" t="n">
        <v>0</v>
      </c>
      <c r="Q882" t="n">
        <v>0</v>
      </c>
      <c r="R882" s="2" t="inlineStr"/>
    </row>
    <row r="883" ht="15" customHeight="1">
      <c r="A883" t="inlineStr">
        <is>
          <t>A 12405-2025</t>
        </is>
      </c>
      <c r="B883" s="1" t="n">
        <v>45730.42738425926</v>
      </c>
      <c r="C883" s="1" t="n">
        <v>45914</v>
      </c>
      <c r="D883" t="inlineStr">
        <is>
          <t>JÄMTLANDS LÄN</t>
        </is>
      </c>
      <c r="E883" t="inlineStr">
        <is>
          <t>RAGUNDA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12808-2025</t>
        </is>
      </c>
      <c r="B884" s="1" t="n">
        <v>45733.61554398148</v>
      </c>
      <c r="C884" s="1" t="n">
        <v>45914</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46546-2023</t>
        </is>
      </c>
      <c r="B885" s="1" t="n">
        <v>45197.94152777778</v>
      </c>
      <c r="C885" s="1" t="n">
        <v>45914</v>
      </c>
      <c r="D885" t="inlineStr">
        <is>
          <t>JÄMTLANDS LÄN</t>
        </is>
      </c>
      <c r="E885" t="inlineStr">
        <is>
          <t>RAGUNDA</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6716-2025</t>
        </is>
      </c>
      <c r="B886" s="1" t="n">
        <v>45700.57324074074</v>
      </c>
      <c r="C886" s="1" t="n">
        <v>45914</v>
      </c>
      <c r="D886" t="inlineStr">
        <is>
          <t>JÄMTLANDS LÄN</t>
        </is>
      </c>
      <c r="E886" t="inlineStr">
        <is>
          <t>RAGUNDA</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30823-2023</t>
        </is>
      </c>
      <c r="B887" s="1" t="n">
        <v>45112</v>
      </c>
      <c r="C887" s="1" t="n">
        <v>45914</v>
      </c>
      <c r="D887" t="inlineStr">
        <is>
          <t>JÄMTLANDS LÄN</t>
        </is>
      </c>
      <c r="E887" t="inlineStr">
        <is>
          <t>RAGUNDA</t>
        </is>
      </c>
      <c r="F887" t="inlineStr">
        <is>
          <t>SCA</t>
        </is>
      </c>
      <c r="G887" t="n">
        <v>9</v>
      </c>
      <c r="H887" t="n">
        <v>0</v>
      </c>
      <c r="I887" t="n">
        <v>0</v>
      </c>
      <c r="J887" t="n">
        <v>0</v>
      </c>
      <c r="K887" t="n">
        <v>0</v>
      </c>
      <c r="L887" t="n">
        <v>0</v>
      </c>
      <c r="M887" t="n">
        <v>0</v>
      </c>
      <c r="N887" t="n">
        <v>0</v>
      </c>
      <c r="O887" t="n">
        <v>0</v>
      </c>
      <c r="P887" t="n">
        <v>0</v>
      </c>
      <c r="Q887" t="n">
        <v>0</v>
      </c>
      <c r="R887" s="2" t="inlineStr"/>
    </row>
    <row r="888" ht="15" customHeight="1">
      <c r="A888" t="inlineStr">
        <is>
          <t>A 30484-2024</t>
        </is>
      </c>
      <c r="B888" s="1" t="n">
        <v>45491</v>
      </c>
      <c r="C888" s="1" t="n">
        <v>45914</v>
      </c>
      <c r="D888" t="inlineStr">
        <is>
          <t>JÄMTLANDS LÄN</t>
        </is>
      </c>
      <c r="E888" t="inlineStr">
        <is>
          <t>RAGUNDA</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22311-2024</t>
        </is>
      </c>
      <c r="B889" s="1" t="n">
        <v>45446.57052083333</v>
      </c>
      <c r="C889" s="1" t="n">
        <v>45914</v>
      </c>
      <c r="D889" t="inlineStr">
        <is>
          <t>JÄMTLANDS LÄN</t>
        </is>
      </c>
      <c r="E889" t="inlineStr">
        <is>
          <t>RAGUNDA</t>
        </is>
      </c>
      <c r="G889" t="n">
        <v>1.3</v>
      </c>
      <c r="H889" t="n">
        <v>0</v>
      </c>
      <c r="I889" t="n">
        <v>0</v>
      </c>
      <c r="J889" t="n">
        <v>0</v>
      </c>
      <c r="K889" t="n">
        <v>0</v>
      </c>
      <c r="L889" t="n">
        <v>0</v>
      </c>
      <c r="M889" t="n">
        <v>0</v>
      </c>
      <c r="N889" t="n">
        <v>0</v>
      </c>
      <c r="O889" t="n">
        <v>0</v>
      </c>
      <c r="P889" t="n">
        <v>0</v>
      </c>
      <c r="Q889" t="n">
        <v>0</v>
      </c>
      <c r="R889" s="2" t="inlineStr"/>
    </row>
    <row r="890" ht="15" customHeight="1">
      <c r="A890" t="inlineStr">
        <is>
          <t>A 19866-2023</t>
        </is>
      </c>
      <c r="B890" s="1" t="n">
        <v>45053.94313657407</v>
      </c>
      <c r="C890" s="1" t="n">
        <v>45914</v>
      </c>
      <c r="D890" t="inlineStr">
        <is>
          <t>JÄMTLANDS LÄN</t>
        </is>
      </c>
      <c r="E890" t="inlineStr">
        <is>
          <t>RAGUNDA</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11288-2022</t>
        </is>
      </c>
      <c r="B891" s="1" t="n">
        <v>44629</v>
      </c>
      <c r="C891" s="1" t="n">
        <v>45914</v>
      </c>
      <c r="D891" t="inlineStr">
        <is>
          <t>JÄMTLANDS LÄN</t>
        </is>
      </c>
      <c r="E891" t="inlineStr">
        <is>
          <t>RAGUNDA</t>
        </is>
      </c>
      <c r="G891" t="n">
        <v>4.9</v>
      </c>
      <c r="H891" t="n">
        <v>0</v>
      </c>
      <c r="I891" t="n">
        <v>0</v>
      </c>
      <c r="J891" t="n">
        <v>0</v>
      </c>
      <c r="K891" t="n">
        <v>0</v>
      </c>
      <c r="L891" t="n">
        <v>0</v>
      </c>
      <c r="M891" t="n">
        <v>0</v>
      </c>
      <c r="N891" t="n">
        <v>0</v>
      </c>
      <c r="O891" t="n">
        <v>0</v>
      </c>
      <c r="P891" t="n">
        <v>0</v>
      </c>
      <c r="Q891" t="n">
        <v>0</v>
      </c>
      <c r="R891" s="2" t="inlineStr"/>
    </row>
    <row r="892" ht="15" customHeight="1">
      <c r="A892" t="inlineStr">
        <is>
          <t>A 19865-2023</t>
        </is>
      </c>
      <c r="B892" s="1" t="n">
        <v>45053.94305555556</v>
      </c>
      <c r="C892" s="1" t="n">
        <v>45914</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1554-2024</t>
        </is>
      </c>
      <c r="B893" s="1" t="n">
        <v>45306</v>
      </c>
      <c r="C893" s="1" t="n">
        <v>45914</v>
      </c>
      <c r="D893" t="inlineStr">
        <is>
          <t>JÄMTLANDS LÄN</t>
        </is>
      </c>
      <c r="E893" t="inlineStr">
        <is>
          <t>RAGUNDA</t>
        </is>
      </c>
      <c r="G893" t="n">
        <v>4.3</v>
      </c>
      <c r="H893" t="n">
        <v>0</v>
      </c>
      <c r="I893" t="n">
        <v>0</v>
      </c>
      <c r="J893" t="n">
        <v>0</v>
      </c>
      <c r="K893" t="n">
        <v>0</v>
      </c>
      <c r="L893" t="n">
        <v>0</v>
      </c>
      <c r="M893" t="n">
        <v>0</v>
      </c>
      <c r="N893" t="n">
        <v>0</v>
      </c>
      <c r="O893" t="n">
        <v>0</v>
      </c>
      <c r="P893" t="n">
        <v>0</v>
      </c>
      <c r="Q893" t="n">
        <v>0</v>
      </c>
      <c r="R893" s="2" t="inlineStr"/>
    </row>
    <row r="894" ht="15" customHeight="1">
      <c r="A894" t="inlineStr">
        <is>
          <t>A 22011-2023</t>
        </is>
      </c>
      <c r="B894" s="1" t="n">
        <v>45068</v>
      </c>
      <c r="C894" s="1" t="n">
        <v>45914</v>
      </c>
      <c r="D894" t="inlineStr">
        <is>
          <t>JÄMTLANDS LÄN</t>
        </is>
      </c>
      <c r="E894" t="inlineStr">
        <is>
          <t>RAGUNDA</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13389-2025</t>
        </is>
      </c>
      <c r="B895" s="1" t="n">
        <v>45735.69842592593</v>
      </c>
      <c r="C895" s="1" t="n">
        <v>45914</v>
      </c>
      <c r="D895" t="inlineStr">
        <is>
          <t>JÄMTLANDS LÄN</t>
        </is>
      </c>
      <c r="E895" t="inlineStr">
        <is>
          <t>RAGUNDA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2831-2024</t>
        </is>
      </c>
      <c r="B896" s="1" t="n">
        <v>45314.92758101852</v>
      </c>
      <c r="C896" s="1" t="n">
        <v>45914</v>
      </c>
      <c r="D896" t="inlineStr">
        <is>
          <t>JÄMTLANDS LÄN</t>
        </is>
      </c>
      <c r="E896" t="inlineStr">
        <is>
          <t>RAGUNDA</t>
        </is>
      </c>
      <c r="G896" t="n">
        <v>0.6</v>
      </c>
      <c r="H896" t="n">
        <v>0</v>
      </c>
      <c r="I896" t="n">
        <v>0</v>
      </c>
      <c r="J896" t="n">
        <v>0</v>
      </c>
      <c r="K896" t="n">
        <v>0</v>
      </c>
      <c r="L896" t="n">
        <v>0</v>
      </c>
      <c r="M896" t="n">
        <v>0</v>
      </c>
      <c r="N896" t="n">
        <v>0</v>
      </c>
      <c r="O896" t="n">
        <v>0</v>
      </c>
      <c r="P896" t="n">
        <v>0</v>
      </c>
      <c r="Q896" t="n">
        <v>0</v>
      </c>
      <c r="R896" s="2" t="inlineStr"/>
    </row>
    <row r="897" ht="15" customHeight="1">
      <c r="A897" t="inlineStr">
        <is>
          <t>A 53935-2022</t>
        </is>
      </c>
      <c r="B897" s="1" t="n">
        <v>44880</v>
      </c>
      <c r="C897" s="1" t="n">
        <v>45914</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9504-2025</t>
        </is>
      </c>
      <c r="B898" s="1" t="n">
        <v>45714</v>
      </c>
      <c r="C898" s="1" t="n">
        <v>45914</v>
      </c>
      <c r="D898" t="inlineStr">
        <is>
          <t>JÄMTLANDS LÄN</t>
        </is>
      </c>
      <c r="E898" t="inlineStr">
        <is>
          <t>RAGUNDA</t>
        </is>
      </c>
      <c r="G898" t="n">
        <v>6</v>
      </c>
      <c r="H898" t="n">
        <v>0</v>
      </c>
      <c r="I898" t="n">
        <v>0</v>
      </c>
      <c r="J898" t="n">
        <v>0</v>
      </c>
      <c r="K898" t="n">
        <v>0</v>
      </c>
      <c r="L898" t="n">
        <v>0</v>
      </c>
      <c r="M898" t="n">
        <v>0</v>
      </c>
      <c r="N898" t="n">
        <v>0</v>
      </c>
      <c r="O898" t="n">
        <v>0</v>
      </c>
      <c r="P898" t="n">
        <v>0</v>
      </c>
      <c r="Q898" t="n">
        <v>0</v>
      </c>
      <c r="R898" s="2" t="inlineStr"/>
    </row>
    <row r="899" ht="15" customHeight="1">
      <c r="A899" t="inlineStr">
        <is>
          <t>A 18631-2024</t>
        </is>
      </c>
      <c r="B899" s="1" t="n">
        <v>45425.96494212963</v>
      </c>
      <c r="C899" s="1" t="n">
        <v>45914</v>
      </c>
      <c r="D899" t="inlineStr">
        <is>
          <t>JÄMTLANDS LÄN</t>
        </is>
      </c>
      <c r="E899" t="inlineStr">
        <is>
          <t>RAGUNDA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33650-2025</t>
        </is>
      </c>
      <c r="B900" s="1" t="n">
        <v>45841.6571412037</v>
      </c>
      <c r="C900" s="1" t="n">
        <v>45914</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13264-2025</t>
        </is>
      </c>
      <c r="B901" s="1" t="n">
        <v>45735</v>
      </c>
      <c r="C901" s="1" t="n">
        <v>45914</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37268-2024</t>
        </is>
      </c>
      <c r="B902" s="1" t="n">
        <v>45540.38586805556</v>
      </c>
      <c r="C902" s="1" t="n">
        <v>45914</v>
      </c>
      <c r="D902" t="inlineStr">
        <is>
          <t>JÄMTLANDS LÄN</t>
        </is>
      </c>
      <c r="E902" t="inlineStr">
        <is>
          <t>RAGUNDA</t>
        </is>
      </c>
      <c r="F902" t="inlineStr">
        <is>
          <t>SCA</t>
        </is>
      </c>
      <c r="G902" t="n">
        <v>6.3</v>
      </c>
      <c r="H902" t="n">
        <v>0</v>
      </c>
      <c r="I902" t="n">
        <v>0</v>
      </c>
      <c r="J902" t="n">
        <v>0</v>
      </c>
      <c r="K902" t="n">
        <v>0</v>
      </c>
      <c r="L902" t="n">
        <v>0</v>
      </c>
      <c r="M902" t="n">
        <v>0</v>
      </c>
      <c r="N902" t="n">
        <v>0</v>
      </c>
      <c r="O902" t="n">
        <v>0</v>
      </c>
      <c r="P902" t="n">
        <v>0</v>
      </c>
      <c r="Q902" t="n">
        <v>0</v>
      </c>
      <c r="R902" s="2" t="inlineStr"/>
    </row>
    <row r="903" ht="15" customHeight="1">
      <c r="A903" t="inlineStr">
        <is>
          <t>A 41179-2022</t>
        </is>
      </c>
      <c r="B903" s="1" t="n">
        <v>44825</v>
      </c>
      <c r="C903" s="1" t="n">
        <v>45914</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17598-2021</t>
        </is>
      </c>
      <c r="B904" s="1" t="n">
        <v>44299</v>
      </c>
      <c r="C904" s="1" t="n">
        <v>45914</v>
      </c>
      <c r="D904" t="inlineStr">
        <is>
          <t>JÄMTLANDS LÄN</t>
        </is>
      </c>
      <c r="E904" t="inlineStr">
        <is>
          <t>RAGUNDA</t>
        </is>
      </c>
      <c r="G904" t="n">
        <v>4.6</v>
      </c>
      <c r="H904" t="n">
        <v>0</v>
      </c>
      <c r="I904" t="n">
        <v>0</v>
      </c>
      <c r="J904" t="n">
        <v>0</v>
      </c>
      <c r="K904" t="n">
        <v>0</v>
      </c>
      <c r="L904" t="n">
        <v>0</v>
      </c>
      <c r="M904" t="n">
        <v>0</v>
      </c>
      <c r="N904" t="n">
        <v>0</v>
      </c>
      <c r="O904" t="n">
        <v>0</v>
      </c>
      <c r="P904" t="n">
        <v>0</v>
      </c>
      <c r="Q904" t="n">
        <v>0</v>
      </c>
      <c r="R904" s="2" t="inlineStr"/>
    </row>
    <row r="905" ht="15" customHeight="1">
      <c r="A905" t="inlineStr">
        <is>
          <t>A 62541-2022</t>
        </is>
      </c>
      <c r="B905" s="1" t="n">
        <v>44917</v>
      </c>
      <c r="C905" s="1" t="n">
        <v>45914</v>
      </c>
      <c r="D905" t="inlineStr">
        <is>
          <t>JÄMTLANDS LÄN</t>
        </is>
      </c>
      <c r="E905" t="inlineStr">
        <is>
          <t>RAGUNDA</t>
        </is>
      </c>
      <c r="G905" t="n">
        <v>2.6</v>
      </c>
      <c r="H905" t="n">
        <v>0</v>
      </c>
      <c r="I905" t="n">
        <v>0</v>
      </c>
      <c r="J905" t="n">
        <v>0</v>
      </c>
      <c r="K905" t="n">
        <v>0</v>
      </c>
      <c r="L905" t="n">
        <v>0</v>
      </c>
      <c r="M905" t="n">
        <v>0</v>
      </c>
      <c r="N905" t="n">
        <v>0</v>
      </c>
      <c r="O905" t="n">
        <v>0</v>
      </c>
      <c r="P905" t="n">
        <v>0</v>
      </c>
      <c r="Q905" t="n">
        <v>0</v>
      </c>
      <c r="R905" s="2" t="inlineStr"/>
    </row>
    <row r="906" ht="15" customHeight="1">
      <c r="A906" t="inlineStr">
        <is>
          <t>A 61400-2022</t>
        </is>
      </c>
      <c r="B906" s="1" t="n">
        <v>44915</v>
      </c>
      <c r="C906" s="1" t="n">
        <v>45914</v>
      </c>
      <c r="D906" t="inlineStr">
        <is>
          <t>JÄMTLANDS LÄN</t>
        </is>
      </c>
      <c r="E906" t="inlineStr">
        <is>
          <t>RAGUNDA</t>
        </is>
      </c>
      <c r="F906" t="inlineStr">
        <is>
          <t>SCA</t>
        </is>
      </c>
      <c r="G906" t="n">
        <v>3.9</v>
      </c>
      <c r="H906" t="n">
        <v>0</v>
      </c>
      <c r="I906" t="n">
        <v>0</v>
      </c>
      <c r="J906" t="n">
        <v>0</v>
      </c>
      <c r="K906" t="n">
        <v>0</v>
      </c>
      <c r="L906" t="n">
        <v>0</v>
      </c>
      <c r="M906" t="n">
        <v>0</v>
      </c>
      <c r="N906" t="n">
        <v>0</v>
      </c>
      <c r="O906" t="n">
        <v>0</v>
      </c>
      <c r="P906" t="n">
        <v>0</v>
      </c>
      <c r="Q906" t="n">
        <v>0</v>
      </c>
      <c r="R906" s="2" t="inlineStr"/>
    </row>
    <row r="907" ht="15" customHeight="1">
      <c r="A907" t="inlineStr">
        <is>
          <t>A 24861-2023</t>
        </is>
      </c>
      <c r="B907" s="1" t="n">
        <v>45078</v>
      </c>
      <c r="C907" s="1" t="n">
        <v>45914</v>
      </c>
      <c r="D907" t="inlineStr">
        <is>
          <t>JÄMTLANDS LÄN</t>
        </is>
      </c>
      <c r="E907" t="inlineStr">
        <is>
          <t>RAGUNDA</t>
        </is>
      </c>
      <c r="G907" t="n">
        <v>1.3</v>
      </c>
      <c r="H907" t="n">
        <v>0</v>
      </c>
      <c r="I907" t="n">
        <v>0</v>
      </c>
      <c r="J907" t="n">
        <v>0</v>
      </c>
      <c r="K907" t="n">
        <v>0</v>
      </c>
      <c r="L907" t="n">
        <v>0</v>
      </c>
      <c r="M907" t="n">
        <v>0</v>
      </c>
      <c r="N907" t="n">
        <v>0</v>
      </c>
      <c r="O907" t="n">
        <v>0</v>
      </c>
      <c r="P907" t="n">
        <v>0</v>
      </c>
      <c r="Q907" t="n">
        <v>0</v>
      </c>
      <c r="R907" s="2" t="inlineStr"/>
    </row>
    <row r="908" ht="15" customHeight="1">
      <c r="A908" t="inlineStr">
        <is>
          <t>A 38270-2021</t>
        </is>
      </c>
      <c r="B908" s="1" t="n">
        <v>44405.92065972222</v>
      </c>
      <c r="C908" s="1" t="n">
        <v>45914</v>
      </c>
      <c r="D908" t="inlineStr">
        <is>
          <t>JÄMTLANDS LÄN</t>
        </is>
      </c>
      <c r="E908" t="inlineStr">
        <is>
          <t>RAGUNDA</t>
        </is>
      </c>
      <c r="G908" t="n">
        <v>1.3</v>
      </c>
      <c r="H908" t="n">
        <v>0</v>
      </c>
      <c r="I908" t="n">
        <v>0</v>
      </c>
      <c r="J908" t="n">
        <v>0</v>
      </c>
      <c r="K908" t="n">
        <v>0</v>
      </c>
      <c r="L908" t="n">
        <v>0</v>
      </c>
      <c r="M908" t="n">
        <v>0</v>
      </c>
      <c r="N908" t="n">
        <v>0</v>
      </c>
      <c r="O908" t="n">
        <v>0</v>
      </c>
      <c r="P908" t="n">
        <v>0</v>
      </c>
      <c r="Q908" t="n">
        <v>0</v>
      </c>
      <c r="R908" s="2" t="inlineStr"/>
    </row>
    <row r="909" ht="15" customHeight="1">
      <c r="A909" t="inlineStr">
        <is>
          <t>A 4866-2025</t>
        </is>
      </c>
      <c r="B909" s="1" t="n">
        <v>45688.67542824074</v>
      </c>
      <c r="C909" s="1" t="n">
        <v>45914</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39192-2025</t>
        </is>
      </c>
      <c r="B910" s="1" t="n">
        <v>45888.6775</v>
      </c>
      <c r="C910" s="1" t="n">
        <v>45914</v>
      </c>
      <c r="D910" t="inlineStr">
        <is>
          <t>JÄMTLANDS LÄN</t>
        </is>
      </c>
      <c r="E910" t="inlineStr">
        <is>
          <t>RAGUNDA</t>
        </is>
      </c>
      <c r="F910" t="inlineStr">
        <is>
          <t>Naturvårdsverket</t>
        </is>
      </c>
      <c r="G910" t="n">
        <v>2.3</v>
      </c>
      <c r="H910" t="n">
        <v>0</v>
      </c>
      <c r="I910" t="n">
        <v>0</v>
      </c>
      <c r="J910" t="n">
        <v>0</v>
      </c>
      <c r="K910" t="n">
        <v>0</v>
      </c>
      <c r="L910" t="n">
        <v>0</v>
      </c>
      <c r="M910" t="n">
        <v>0</v>
      </c>
      <c r="N910" t="n">
        <v>0</v>
      </c>
      <c r="O910" t="n">
        <v>0</v>
      </c>
      <c r="P910" t="n">
        <v>0</v>
      </c>
      <c r="Q910" t="n">
        <v>0</v>
      </c>
      <c r="R910" s="2" t="inlineStr"/>
    </row>
    <row r="911" ht="15" customHeight="1">
      <c r="A911" t="inlineStr">
        <is>
          <t>A 179-2025</t>
        </is>
      </c>
      <c r="B911" s="1" t="n">
        <v>45659.69822916666</v>
      </c>
      <c r="C911" s="1" t="n">
        <v>45914</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12805-2025</t>
        </is>
      </c>
      <c r="B912" s="1" t="n">
        <v>45733.61497685185</v>
      </c>
      <c r="C912" s="1" t="n">
        <v>45914</v>
      </c>
      <c r="D912" t="inlineStr">
        <is>
          <t>JÄMTLANDS LÄN</t>
        </is>
      </c>
      <c r="E912" t="inlineStr">
        <is>
          <t>RAGUNDA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20088-2023</t>
        </is>
      </c>
      <c r="B913" s="1" t="n">
        <v>45054</v>
      </c>
      <c r="C913" s="1" t="n">
        <v>45914</v>
      </c>
      <c r="D913" t="inlineStr">
        <is>
          <t>JÄMTLANDS LÄN</t>
        </is>
      </c>
      <c r="E913" t="inlineStr">
        <is>
          <t>RAGUNDA</t>
        </is>
      </c>
      <c r="F913" t="inlineStr">
        <is>
          <t>SCA</t>
        </is>
      </c>
      <c r="G913" t="n">
        <v>23.4</v>
      </c>
      <c r="H913" t="n">
        <v>0</v>
      </c>
      <c r="I913" t="n">
        <v>0</v>
      </c>
      <c r="J913" t="n">
        <v>0</v>
      </c>
      <c r="K913" t="n">
        <v>0</v>
      </c>
      <c r="L913" t="n">
        <v>0</v>
      </c>
      <c r="M913" t="n">
        <v>0</v>
      </c>
      <c r="N913" t="n">
        <v>0</v>
      </c>
      <c r="O913" t="n">
        <v>0</v>
      </c>
      <c r="P913" t="n">
        <v>0</v>
      </c>
      <c r="Q913" t="n">
        <v>0</v>
      </c>
      <c r="R913" s="2" t="inlineStr"/>
    </row>
    <row r="914" ht="15" customHeight="1">
      <c r="A914" t="inlineStr">
        <is>
          <t>A 59136-2023</t>
        </is>
      </c>
      <c r="B914" s="1" t="n">
        <v>45251</v>
      </c>
      <c r="C914" s="1" t="n">
        <v>45914</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35274-2023</t>
        </is>
      </c>
      <c r="B915" s="1" t="n">
        <v>45145</v>
      </c>
      <c r="C915" s="1" t="n">
        <v>45914</v>
      </c>
      <c r="D915" t="inlineStr">
        <is>
          <t>JÄMTLANDS LÄN</t>
        </is>
      </c>
      <c r="E915" t="inlineStr">
        <is>
          <t>RAGUNDA</t>
        </is>
      </c>
      <c r="F915" t="inlineStr">
        <is>
          <t>SCA</t>
        </is>
      </c>
      <c r="G915" t="n">
        <v>6.1</v>
      </c>
      <c r="H915" t="n">
        <v>0</v>
      </c>
      <c r="I915" t="n">
        <v>0</v>
      </c>
      <c r="J915" t="n">
        <v>0</v>
      </c>
      <c r="K915" t="n">
        <v>0</v>
      </c>
      <c r="L915" t="n">
        <v>0</v>
      </c>
      <c r="M915" t="n">
        <v>0</v>
      </c>
      <c r="N915" t="n">
        <v>0</v>
      </c>
      <c r="O915" t="n">
        <v>0</v>
      </c>
      <c r="P915" t="n">
        <v>0</v>
      </c>
      <c r="Q915" t="n">
        <v>0</v>
      </c>
      <c r="R915" s="2" t="inlineStr"/>
    </row>
    <row r="916" ht="15" customHeight="1">
      <c r="A916" t="inlineStr">
        <is>
          <t>A 64264-2023</t>
        </is>
      </c>
      <c r="B916" s="1" t="n">
        <v>45279.94564814815</v>
      </c>
      <c r="C916" s="1" t="n">
        <v>45914</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26347-2023</t>
        </is>
      </c>
      <c r="B917" s="1" t="n">
        <v>45091</v>
      </c>
      <c r="C917" s="1" t="n">
        <v>45914</v>
      </c>
      <c r="D917" t="inlineStr">
        <is>
          <t>JÄMTLANDS LÄN</t>
        </is>
      </c>
      <c r="E917" t="inlineStr">
        <is>
          <t>RAGUNDA</t>
        </is>
      </c>
      <c r="F917" t="inlineStr">
        <is>
          <t>SCA</t>
        </is>
      </c>
      <c r="G917" t="n">
        <v>6.6</v>
      </c>
      <c r="H917" t="n">
        <v>0</v>
      </c>
      <c r="I917" t="n">
        <v>0</v>
      </c>
      <c r="J917" t="n">
        <v>0</v>
      </c>
      <c r="K917" t="n">
        <v>0</v>
      </c>
      <c r="L917" t="n">
        <v>0</v>
      </c>
      <c r="M917" t="n">
        <v>0</v>
      </c>
      <c r="N917" t="n">
        <v>0</v>
      </c>
      <c r="O917" t="n">
        <v>0</v>
      </c>
      <c r="P917" t="n">
        <v>0</v>
      </c>
      <c r="Q917" t="n">
        <v>0</v>
      </c>
      <c r="R917" s="2" t="inlineStr"/>
    </row>
    <row r="918" ht="15" customHeight="1">
      <c r="A918" t="inlineStr">
        <is>
          <t>A 11062-2023</t>
        </is>
      </c>
      <c r="B918" s="1" t="n">
        <v>44991</v>
      </c>
      <c r="C918" s="1" t="n">
        <v>45914</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34296-2025</t>
        </is>
      </c>
      <c r="B919" s="1" t="n">
        <v>45846.34454861111</v>
      </c>
      <c r="C919" s="1" t="n">
        <v>45914</v>
      </c>
      <c r="D919" t="inlineStr">
        <is>
          <t>JÄMTLANDS LÄN</t>
        </is>
      </c>
      <c r="E919" t="inlineStr">
        <is>
          <t>RAGUNDA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51538-2022</t>
        </is>
      </c>
      <c r="B920" s="1" t="n">
        <v>44869</v>
      </c>
      <c r="C920" s="1" t="n">
        <v>45914</v>
      </c>
      <c r="D920" t="inlineStr">
        <is>
          <t>JÄMTLANDS LÄN</t>
        </is>
      </c>
      <c r="E920" t="inlineStr">
        <is>
          <t>RAGUNDA</t>
        </is>
      </c>
      <c r="G920" t="n">
        <v>6.8</v>
      </c>
      <c r="H920" t="n">
        <v>0</v>
      </c>
      <c r="I920" t="n">
        <v>0</v>
      </c>
      <c r="J920" t="n">
        <v>0</v>
      </c>
      <c r="K920" t="n">
        <v>0</v>
      </c>
      <c r="L920" t="n">
        <v>0</v>
      </c>
      <c r="M920" t="n">
        <v>0</v>
      </c>
      <c r="N920" t="n">
        <v>0</v>
      </c>
      <c r="O920" t="n">
        <v>0</v>
      </c>
      <c r="P920" t="n">
        <v>0</v>
      </c>
      <c r="Q920" t="n">
        <v>0</v>
      </c>
      <c r="R920" s="2" t="inlineStr"/>
    </row>
    <row r="921" ht="15" customHeight="1">
      <c r="A921" t="inlineStr">
        <is>
          <t>A 59492-2024</t>
        </is>
      </c>
      <c r="B921" s="1" t="n">
        <v>45638</v>
      </c>
      <c r="C921" s="1" t="n">
        <v>45914</v>
      </c>
      <c r="D921" t="inlineStr">
        <is>
          <t>JÄMTLANDS LÄN</t>
        </is>
      </c>
      <c r="E921" t="inlineStr">
        <is>
          <t>RAGUNDA</t>
        </is>
      </c>
      <c r="G921" t="n">
        <v>1.2</v>
      </c>
      <c r="H921" t="n">
        <v>0</v>
      </c>
      <c r="I921" t="n">
        <v>0</v>
      </c>
      <c r="J921" t="n">
        <v>0</v>
      </c>
      <c r="K921" t="n">
        <v>0</v>
      </c>
      <c r="L921" t="n">
        <v>0</v>
      </c>
      <c r="M921" t="n">
        <v>0</v>
      </c>
      <c r="N921" t="n">
        <v>0</v>
      </c>
      <c r="O921" t="n">
        <v>0</v>
      </c>
      <c r="P921" t="n">
        <v>0</v>
      </c>
      <c r="Q921" t="n">
        <v>0</v>
      </c>
      <c r="R921" s="2" t="inlineStr"/>
    </row>
    <row r="922" ht="15" customHeight="1">
      <c r="A922" t="inlineStr">
        <is>
          <t>A 12024-2022</t>
        </is>
      </c>
      <c r="B922" s="1" t="n">
        <v>44635</v>
      </c>
      <c r="C922" s="1" t="n">
        <v>45914</v>
      </c>
      <c r="D922" t="inlineStr">
        <is>
          <t>JÄMTLANDS LÄN</t>
        </is>
      </c>
      <c r="E922" t="inlineStr">
        <is>
          <t>RAGUNDA</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61109-2024</t>
        </is>
      </c>
      <c r="B923" s="1" t="n">
        <v>45645.55672453704</v>
      </c>
      <c r="C923" s="1" t="n">
        <v>45914</v>
      </c>
      <c r="D923" t="inlineStr">
        <is>
          <t>JÄMTLANDS LÄN</t>
        </is>
      </c>
      <c r="E923" t="inlineStr">
        <is>
          <t>RAGUNDA</t>
        </is>
      </c>
      <c r="G923" t="n">
        <v>4</v>
      </c>
      <c r="H923" t="n">
        <v>0</v>
      </c>
      <c r="I923" t="n">
        <v>0</v>
      </c>
      <c r="J923" t="n">
        <v>0</v>
      </c>
      <c r="K923" t="n">
        <v>0</v>
      </c>
      <c r="L923" t="n">
        <v>0</v>
      </c>
      <c r="M923" t="n">
        <v>0</v>
      </c>
      <c r="N923" t="n">
        <v>0</v>
      </c>
      <c r="O923" t="n">
        <v>0</v>
      </c>
      <c r="P923" t="n">
        <v>0</v>
      </c>
      <c r="Q923" t="n">
        <v>0</v>
      </c>
      <c r="R923" s="2" t="inlineStr"/>
    </row>
    <row r="924" ht="15" customHeight="1">
      <c r="A924" t="inlineStr">
        <is>
          <t>A 27373-2023</t>
        </is>
      </c>
      <c r="B924" s="1" t="n">
        <v>45096.93866898148</v>
      </c>
      <c r="C924" s="1" t="n">
        <v>45914</v>
      </c>
      <c r="D924" t="inlineStr">
        <is>
          <t>JÄMTLANDS LÄN</t>
        </is>
      </c>
      <c r="E924" t="inlineStr">
        <is>
          <t>RAGUNDA</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65341-2020</t>
        </is>
      </c>
      <c r="B925" s="1" t="n">
        <v>44173</v>
      </c>
      <c r="C925" s="1" t="n">
        <v>45914</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16321-2025</t>
        </is>
      </c>
      <c r="B926" s="1" t="n">
        <v>45751.34873842593</v>
      </c>
      <c r="C926" s="1" t="n">
        <v>45914</v>
      </c>
      <c r="D926" t="inlineStr">
        <is>
          <t>JÄMTLANDS LÄN</t>
        </is>
      </c>
      <c r="E926" t="inlineStr">
        <is>
          <t>RAGUNDA</t>
        </is>
      </c>
      <c r="F926" t="inlineStr">
        <is>
          <t>SCA</t>
        </is>
      </c>
      <c r="G926" t="n">
        <v>63.3</v>
      </c>
      <c r="H926" t="n">
        <v>0</v>
      </c>
      <c r="I926" t="n">
        <v>0</v>
      </c>
      <c r="J926" t="n">
        <v>0</v>
      </c>
      <c r="K926" t="n">
        <v>0</v>
      </c>
      <c r="L926" t="n">
        <v>0</v>
      </c>
      <c r="M926" t="n">
        <v>0</v>
      </c>
      <c r="N926" t="n">
        <v>0</v>
      </c>
      <c r="O926" t="n">
        <v>0</v>
      </c>
      <c r="P926" t="n">
        <v>0</v>
      </c>
      <c r="Q926" t="n">
        <v>0</v>
      </c>
      <c r="R926" s="2" t="inlineStr"/>
    </row>
    <row r="927" ht="15" customHeight="1">
      <c r="A927" t="inlineStr">
        <is>
          <t>A 55904-2022</t>
        </is>
      </c>
      <c r="B927" s="1" t="n">
        <v>44888</v>
      </c>
      <c r="C927" s="1" t="n">
        <v>45914</v>
      </c>
      <c r="D927" t="inlineStr">
        <is>
          <t>JÄMTLANDS LÄN</t>
        </is>
      </c>
      <c r="E927" t="inlineStr">
        <is>
          <t>RAGUNDA</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65898-2020</t>
        </is>
      </c>
      <c r="B928" s="1" t="n">
        <v>44174</v>
      </c>
      <c r="C928" s="1" t="n">
        <v>45914</v>
      </c>
      <c r="D928" t="inlineStr">
        <is>
          <t>JÄMTLANDS LÄN</t>
        </is>
      </c>
      <c r="E928" t="inlineStr">
        <is>
          <t>RAGUNDA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19854-2025</t>
        </is>
      </c>
      <c r="B929" s="1" t="n">
        <v>45771.51074074074</v>
      </c>
      <c r="C929" s="1" t="n">
        <v>45914</v>
      </c>
      <c r="D929" t="inlineStr">
        <is>
          <t>JÄMTLANDS LÄN</t>
        </is>
      </c>
      <c r="E929" t="inlineStr">
        <is>
          <t>RAGUNDA</t>
        </is>
      </c>
      <c r="F929" t="inlineStr">
        <is>
          <t>SCA</t>
        </is>
      </c>
      <c r="G929" t="n">
        <v>8.4</v>
      </c>
      <c r="H929" t="n">
        <v>0</v>
      </c>
      <c r="I929" t="n">
        <v>0</v>
      </c>
      <c r="J929" t="n">
        <v>0</v>
      </c>
      <c r="K929" t="n">
        <v>0</v>
      </c>
      <c r="L929" t="n">
        <v>0</v>
      </c>
      <c r="M929" t="n">
        <v>0</v>
      </c>
      <c r="N929" t="n">
        <v>0</v>
      </c>
      <c r="O929" t="n">
        <v>0</v>
      </c>
      <c r="P929" t="n">
        <v>0</v>
      </c>
      <c r="Q929" t="n">
        <v>0</v>
      </c>
      <c r="R929" s="2" t="inlineStr"/>
    </row>
    <row r="930" ht="15" customHeight="1">
      <c r="A930" t="inlineStr">
        <is>
          <t>A 6688-2024</t>
        </is>
      </c>
      <c r="B930" s="1" t="n">
        <v>45341</v>
      </c>
      <c r="C930" s="1" t="n">
        <v>45914</v>
      </c>
      <c r="D930" t="inlineStr">
        <is>
          <t>JÄMTLANDS LÄN</t>
        </is>
      </c>
      <c r="E930" t="inlineStr">
        <is>
          <t>RAGUNDA</t>
        </is>
      </c>
      <c r="G930" t="n">
        <v>2</v>
      </c>
      <c r="H930" t="n">
        <v>0</v>
      </c>
      <c r="I930" t="n">
        <v>0</v>
      </c>
      <c r="J930" t="n">
        <v>0</v>
      </c>
      <c r="K930" t="n">
        <v>0</v>
      </c>
      <c r="L930" t="n">
        <v>0</v>
      </c>
      <c r="M930" t="n">
        <v>0</v>
      </c>
      <c r="N930" t="n">
        <v>0</v>
      </c>
      <c r="O930" t="n">
        <v>0</v>
      </c>
      <c r="P930" t="n">
        <v>0</v>
      </c>
      <c r="Q930" t="n">
        <v>0</v>
      </c>
      <c r="R930" s="2" t="inlineStr"/>
    </row>
    <row r="931" ht="15" customHeight="1">
      <c r="A931" t="inlineStr">
        <is>
          <t>A 30642-2024</t>
        </is>
      </c>
      <c r="B931" s="1" t="n">
        <v>45495.57677083334</v>
      </c>
      <c r="C931" s="1" t="n">
        <v>45914</v>
      </c>
      <c r="D931" t="inlineStr">
        <is>
          <t>JÄMTLANDS LÄN</t>
        </is>
      </c>
      <c r="E931" t="inlineStr">
        <is>
          <t>RAGUNDA</t>
        </is>
      </c>
      <c r="G931" t="n">
        <v>2.7</v>
      </c>
      <c r="H931" t="n">
        <v>0</v>
      </c>
      <c r="I931" t="n">
        <v>0</v>
      </c>
      <c r="J931" t="n">
        <v>0</v>
      </c>
      <c r="K931" t="n">
        <v>0</v>
      </c>
      <c r="L931" t="n">
        <v>0</v>
      </c>
      <c r="M931" t="n">
        <v>0</v>
      </c>
      <c r="N931" t="n">
        <v>0</v>
      </c>
      <c r="O931" t="n">
        <v>0</v>
      </c>
      <c r="P931" t="n">
        <v>0</v>
      </c>
      <c r="Q931" t="n">
        <v>0</v>
      </c>
      <c r="R931" s="2" t="inlineStr"/>
    </row>
    <row r="932" ht="15" customHeight="1">
      <c r="A932" t="inlineStr">
        <is>
          <t>A 69153-2021</t>
        </is>
      </c>
      <c r="B932" s="1" t="n">
        <v>44530.94694444445</v>
      </c>
      <c r="C932" s="1" t="n">
        <v>45914</v>
      </c>
      <c r="D932" t="inlineStr">
        <is>
          <t>JÄMTLANDS LÄN</t>
        </is>
      </c>
      <c r="E932" t="inlineStr">
        <is>
          <t>RAGUNDA</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44957.94075231482</v>
      </c>
      <c r="C933" s="1" t="n">
        <v>45914</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39608-2024</t>
        </is>
      </c>
      <c r="B934" s="1" t="n">
        <v>45552.39113425926</v>
      </c>
      <c r="C934" s="1" t="n">
        <v>45914</v>
      </c>
      <c r="D934" t="inlineStr">
        <is>
          <t>JÄMTLANDS LÄN</t>
        </is>
      </c>
      <c r="E934" t="inlineStr">
        <is>
          <t>RAGUNDA</t>
        </is>
      </c>
      <c r="G934" t="n">
        <v>3.2</v>
      </c>
      <c r="H934" t="n">
        <v>0</v>
      </c>
      <c r="I934" t="n">
        <v>0</v>
      </c>
      <c r="J934" t="n">
        <v>0</v>
      </c>
      <c r="K934" t="n">
        <v>0</v>
      </c>
      <c r="L934" t="n">
        <v>0</v>
      </c>
      <c r="M934" t="n">
        <v>0</v>
      </c>
      <c r="N934" t="n">
        <v>0</v>
      </c>
      <c r="O934" t="n">
        <v>0</v>
      </c>
      <c r="P934" t="n">
        <v>0</v>
      </c>
      <c r="Q934" t="n">
        <v>0</v>
      </c>
      <c r="R934" s="2" t="inlineStr"/>
    </row>
    <row r="935" ht="15" customHeight="1">
      <c r="A935" t="inlineStr">
        <is>
          <t>A 18454-2021</t>
        </is>
      </c>
      <c r="B935" s="1" t="n">
        <v>44305.92047453704</v>
      </c>
      <c r="C935" s="1" t="n">
        <v>45914</v>
      </c>
      <c r="D935" t="inlineStr">
        <is>
          <t>JÄMTLANDS LÄN</t>
        </is>
      </c>
      <c r="E935" t="inlineStr">
        <is>
          <t>RAGUNDA</t>
        </is>
      </c>
      <c r="G935" t="n">
        <v>1.3</v>
      </c>
      <c r="H935" t="n">
        <v>0</v>
      </c>
      <c r="I935" t="n">
        <v>0</v>
      </c>
      <c r="J935" t="n">
        <v>0</v>
      </c>
      <c r="K935" t="n">
        <v>0</v>
      </c>
      <c r="L935" t="n">
        <v>0</v>
      </c>
      <c r="M935" t="n">
        <v>0</v>
      </c>
      <c r="N935" t="n">
        <v>0</v>
      </c>
      <c r="O935" t="n">
        <v>0</v>
      </c>
      <c r="P935" t="n">
        <v>0</v>
      </c>
      <c r="Q935" t="n">
        <v>0</v>
      </c>
      <c r="R935" s="2" t="inlineStr"/>
    </row>
    <row r="936" ht="15" customHeight="1">
      <c r="A936" t="inlineStr">
        <is>
          <t>A 34461-2025</t>
        </is>
      </c>
      <c r="B936" s="1" t="n">
        <v>45847.34474537037</v>
      </c>
      <c r="C936" s="1" t="n">
        <v>45914</v>
      </c>
      <c r="D936" t="inlineStr">
        <is>
          <t>JÄMTLANDS LÄN</t>
        </is>
      </c>
      <c r="E936" t="inlineStr">
        <is>
          <t>RAGUNDA</t>
        </is>
      </c>
      <c r="F936" t="inlineStr">
        <is>
          <t>SCA</t>
        </is>
      </c>
      <c r="G936" t="n">
        <v>44.8</v>
      </c>
      <c r="H936" t="n">
        <v>0</v>
      </c>
      <c r="I936" t="n">
        <v>0</v>
      </c>
      <c r="J936" t="n">
        <v>0</v>
      </c>
      <c r="K936" t="n">
        <v>0</v>
      </c>
      <c r="L936" t="n">
        <v>0</v>
      </c>
      <c r="M936" t="n">
        <v>0</v>
      </c>
      <c r="N936" t="n">
        <v>0</v>
      </c>
      <c r="O936" t="n">
        <v>0</v>
      </c>
      <c r="P936" t="n">
        <v>0</v>
      </c>
      <c r="Q936" t="n">
        <v>0</v>
      </c>
      <c r="R936" s="2" t="inlineStr"/>
    </row>
    <row r="937" ht="15" customHeight="1">
      <c r="A937" t="inlineStr">
        <is>
          <t>A 34464-2025</t>
        </is>
      </c>
      <c r="B937" s="1" t="n">
        <v>45847.34528935186</v>
      </c>
      <c r="C937" s="1" t="n">
        <v>45914</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16635-2025</t>
        </is>
      </c>
      <c r="B938" s="1" t="n">
        <v>45754</v>
      </c>
      <c r="C938" s="1" t="n">
        <v>45914</v>
      </c>
      <c r="D938" t="inlineStr">
        <is>
          <t>JÄMTLANDS LÄN</t>
        </is>
      </c>
      <c r="E938" t="inlineStr">
        <is>
          <t>RAGUNDA</t>
        </is>
      </c>
      <c r="F938" t="inlineStr">
        <is>
          <t>SCA</t>
        </is>
      </c>
      <c r="G938" t="n">
        <v>55.4</v>
      </c>
      <c r="H938" t="n">
        <v>0</v>
      </c>
      <c r="I938" t="n">
        <v>0</v>
      </c>
      <c r="J938" t="n">
        <v>0</v>
      </c>
      <c r="K938" t="n">
        <v>0</v>
      </c>
      <c r="L938" t="n">
        <v>0</v>
      </c>
      <c r="M938" t="n">
        <v>0</v>
      </c>
      <c r="N938" t="n">
        <v>0</v>
      </c>
      <c r="O938" t="n">
        <v>0</v>
      </c>
      <c r="P938" t="n">
        <v>0</v>
      </c>
      <c r="Q938" t="n">
        <v>0</v>
      </c>
      <c r="R938" s="2" t="inlineStr"/>
    </row>
    <row r="939" ht="15" customHeight="1">
      <c r="A939" t="inlineStr">
        <is>
          <t>A 37479-2023</t>
        </is>
      </c>
      <c r="B939" s="1" t="n">
        <v>45156</v>
      </c>
      <c r="C939" s="1" t="n">
        <v>45914</v>
      </c>
      <c r="D939" t="inlineStr">
        <is>
          <t>JÄMTLANDS LÄN</t>
        </is>
      </c>
      <c r="E939" t="inlineStr">
        <is>
          <t>RAGUNDA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26455-2023</t>
        </is>
      </c>
      <c r="B940" s="1" t="n">
        <v>45092</v>
      </c>
      <c r="C940" s="1" t="n">
        <v>45914</v>
      </c>
      <c r="D940" t="inlineStr">
        <is>
          <t>JÄMTLANDS LÄN</t>
        </is>
      </c>
      <c r="E940" t="inlineStr">
        <is>
          <t>RAGUNDA</t>
        </is>
      </c>
      <c r="G940" t="n">
        <v>3.8</v>
      </c>
      <c r="H940" t="n">
        <v>0</v>
      </c>
      <c r="I940" t="n">
        <v>0</v>
      </c>
      <c r="J940" t="n">
        <v>0</v>
      </c>
      <c r="K940" t="n">
        <v>0</v>
      </c>
      <c r="L940" t="n">
        <v>0</v>
      </c>
      <c r="M940" t="n">
        <v>0</v>
      </c>
      <c r="N940" t="n">
        <v>0</v>
      </c>
      <c r="O940" t="n">
        <v>0</v>
      </c>
      <c r="P940" t="n">
        <v>0</v>
      </c>
      <c r="Q940" t="n">
        <v>0</v>
      </c>
      <c r="R940" s="2" t="inlineStr"/>
    </row>
    <row r="941" ht="15" customHeight="1">
      <c r="A941" t="inlineStr">
        <is>
          <t>A 34468-2025</t>
        </is>
      </c>
      <c r="B941" s="1" t="n">
        <v>45847.34597222223</v>
      </c>
      <c r="C941" s="1" t="n">
        <v>45914</v>
      </c>
      <c r="D941" t="inlineStr">
        <is>
          <t>JÄMTLANDS LÄN</t>
        </is>
      </c>
      <c r="E941" t="inlineStr">
        <is>
          <t>RAGUNDA</t>
        </is>
      </c>
      <c r="F941" t="inlineStr">
        <is>
          <t>SCA</t>
        </is>
      </c>
      <c r="G941" t="n">
        <v>10</v>
      </c>
      <c r="H941" t="n">
        <v>0</v>
      </c>
      <c r="I941" t="n">
        <v>0</v>
      </c>
      <c r="J941" t="n">
        <v>0</v>
      </c>
      <c r="K941" t="n">
        <v>0</v>
      </c>
      <c r="L941" t="n">
        <v>0</v>
      </c>
      <c r="M941" t="n">
        <v>0</v>
      </c>
      <c r="N941" t="n">
        <v>0</v>
      </c>
      <c r="O941" t="n">
        <v>0</v>
      </c>
      <c r="P941" t="n">
        <v>0</v>
      </c>
      <c r="Q941" t="n">
        <v>0</v>
      </c>
      <c r="R941" s="2" t="inlineStr"/>
    </row>
    <row r="942" ht="15" customHeight="1">
      <c r="A942" t="inlineStr">
        <is>
          <t>A 34586-2025</t>
        </is>
      </c>
      <c r="B942" s="1" t="n">
        <v>45847.61513888889</v>
      </c>
      <c r="C942" s="1" t="n">
        <v>45914</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34607-2025</t>
        </is>
      </c>
      <c r="B943" s="1" t="n">
        <v>45847.65703703704</v>
      </c>
      <c r="C943" s="1" t="n">
        <v>45914</v>
      </c>
      <c r="D943" t="inlineStr">
        <is>
          <t>JÄMTLANDS LÄN</t>
        </is>
      </c>
      <c r="E943" t="inlineStr">
        <is>
          <t>RAGUNDA</t>
        </is>
      </c>
      <c r="F943" t="inlineStr">
        <is>
          <t>SCA</t>
        </is>
      </c>
      <c r="G943" t="n">
        <v>31.4</v>
      </c>
      <c r="H943" t="n">
        <v>0</v>
      </c>
      <c r="I943" t="n">
        <v>0</v>
      </c>
      <c r="J943" t="n">
        <v>0</v>
      </c>
      <c r="K943" t="n">
        <v>0</v>
      </c>
      <c r="L943" t="n">
        <v>0</v>
      </c>
      <c r="M943" t="n">
        <v>0</v>
      </c>
      <c r="N943" t="n">
        <v>0</v>
      </c>
      <c r="O943" t="n">
        <v>0</v>
      </c>
      <c r="P943" t="n">
        <v>0</v>
      </c>
      <c r="Q943" t="n">
        <v>0</v>
      </c>
      <c r="R943" s="2" t="inlineStr"/>
    </row>
    <row r="944" ht="15" customHeight="1">
      <c r="A944" t="inlineStr">
        <is>
          <t>A 34772-2025</t>
        </is>
      </c>
      <c r="B944" s="1" t="n">
        <v>45848.65658564815</v>
      </c>
      <c r="C944" s="1" t="n">
        <v>45914</v>
      </c>
      <c r="D944" t="inlineStr">
        <is>
          <t>JÄMTLANDS LÄN</t>
        </is>
      </c>
      <c r="E944" t="inlineStr">
        <is>
          <t>RAGUNDA</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34466-2025</t>
        </is>
      </c>
      <c r="B945" s="1" t="n">
        <v>45847.34565972222</v>
      </c>
      <c r="C945" s="1" t="n">
        <v>45914</v>
      </c>
      <c r="D945" t="inlineStr">
        <is>
          <t>JÄMTLANDS LÄN</t>
        </is>
      </c>
      <c r="E945" t="inlineStr">
        <is>
          <t>RAGUNDA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34588-2025</t>
        </is>
      </c>
      <c r="B946" s="1" t="n">
        <v>45847.61548611111</v>
      </c>
      <c r="C946" s="1" t="n">
        <v>45914</v>
      </c>
      <c r="D946" t="inlineStr">
        <is>
          <t>JÄMTLANDS LÄN</t>
        </is>
      </c>
      <c r="E946" t="inlineStr">
        <is>
          <t>RAGUNDA</t>
        </is>
      </c>
      <c r="G946" t="n">
        <v>32.3</v>
      </c>
      <c r="H946" t="n">
        <v>0</v>
      </c>
      <c r="I946" t="n">
        <v>0</v>
      </c>
      <c r="J946" t="n">
        <v>0</v>
      </c>
      <c r="K946" t="n">
        <v>0</v>
      </c>
      <c r="L946" t="n">
        <v>0</v>
      </c>
      <c r="M946" t="n">
        <v>0</v>
      </c>
      <c r="N946" t="n">
        <v>0</v>
      </c>
      <c r="O946" t="n">
        <v>0</v>
      </c>
      <c r="P946" t="n">
        <v>0</v>
      </c>
      <c r="Q946" t="n">
        <v>0</v>
      </c>
      <c r="R946" s="2" t="inlineStr"/>
    </row>
    <row r="947" ht="15" customHeight="1">
      <c r="A947" t="inlineStr">
        <is>
          <t>A 39384-2025</t>
        </is>
      </c>
      <c r="B947" s="1" t="n">
        <v>45889.61517361111</v>
      </c>
      <c r="C947" s="1" t="n">
        <v>45914</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41772-2024</t>
        </is>
      </c>
      <c r="B948" s="1" t="n">
        <v>45561.34663194444</v>
      </c>
      <c r="C948" s="1" t="n">
        <v>45914</v>
      </c>
      <c r="D948" t="inlineStr">
        <is>
          <t>JÄMTLANDS LÄN</t>
        </is>
      </c>
      <c r="E948" t="inlineStr">
        <is>
          <t>RAGUNDA</t>
        </is>
      </c>
      <c r="F948" t="inlineStr">
        <is>
          <t>SCA</t>
        </is>
      </c>
      <c r="G948" t="n">
        <v>0.4</v>
      </c>
      <c r="H948" t="n">
        <v>0</v>
      </c>
      <c r="I948" t="n">
        <v>0</v>
      </c>
      <c r="J948" t="n">
        <v>0</v>
      </c>
      <c r="K948" t="n">
        <v>0</v>
      </c>
      <c r="L948" t="n">
        <v>0</v>
      </c>
      <c r="M948" t="n">
        <v>0</v>
      </c>
      <c r="N948" t="n">
        <v>0</v>
      </c>
      <c r="O948" t="n">
        <v>0</v>
      </c>
      <c r="P948" t="n">
        <v>0</v>
      </c>
      <c r="Q948" t="n">
        <v>0</v>
      </c>
      <c r="R948" s="2" t="inlineStr"/>
    </row>
    <row r="949" ht="15" customHeight="1">
      <c r="A949" t="inlineStr">
        <is>
          <t>A 34463-2025</t>
        </is>
      </c>
      <c r="B949" s="1" t="n">
        <v>45847.34515046296</v>
      </c>
      <c r="C949" s="1" t="n">
        <v>45914</v>
      </c>
      <c r="D949" t="inlineStr">
        <is>
          <t>JÄMTLANDS LÄN</t>
        </is>
      </c>
      <c r="E949" t="inlineStr">
        <is>
          <t>RAGUNDA</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6801-2023</t>
        </is>
      </c>
      <c r="B950" s="1" t="n">
        <v>44966.95328703704</v>
      </c>
      <c r="C950" s="1" t="n">
        <v>45914</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34710-2025</t>
        </is>
      </c>
      <c r="B951" s="1" t="n">
        <v>45848.49774305556</v>
      </c>
      <c r="C951" s="1" t="n">
        <v>45914</v>
      </c>
      <c r="D951" t="inlineStr">
        <is>
          <t>JÄMTLANDS LÄN</t>
        </is>
      </c>
      <c r="E951" t="inlineStr">
        <is>
          <t>RAGUNDA</t>
        </is>
      </c>
      <c r="G951" t="n">
        <v>4.1</v>
      </c>
      <c r="H951" t="n">
        <v>0</v>
      </c>
      <c r="I951" t="n">
        <v>0</v>
      </c>
      <c r="J951" t="n">
        <v>0</v>
      </c>
      <c r="K951" t="n">
        <v>0</v>
      </c>
      <c r="L951" t="n">
        <v>0</v>
      </c>
      <c r="M951" t="n">
        <v>0</v>
      </c>
      <c r="N951" t="n">
        <v>0</v>
      </c>
      <c r="O951" t="n">
        <v>0</v>
      </c>
      <c r="P951" t="n">
        <v>0</v>
      </c>
      <c r="Q951" t="n">
        <v>0</v>
      </c>
      <c r="R951" s="2" t="inlineStr"/>
    </row>
    <row r="952" ht="15" customHeight="1">
      <c r="A952" t="inlineStr">
        <is>
          <t>A 5967-2021</t>
        </is>
      </c>
      <c r="B952" s="1" t="n">
        <v>44231</v>
      </c>
      <c r="C952" s="1" t="n">
        <v>45914</v>
      </c>
      <c r="D952" t="inlineStr">
        <is>
          <t>JÄMTLANDS LÄN</t>
        </is>
      </c>
      <c r="E952" t="inlineStr">
        <is>
          <t>RAGUNDA</t>
        </is>
      </c>
      <c r="G952" t="n">
        <v>3.6</v>
      </c>
      <c r="H952" t="n">
        <v>0</v>
      </c>
      <c r="I952" t="n">
        <v>0</v>
      </c>
      <c r="J952" t="n">
        <v>0</v>
      </c>
      <c r="K952" t="n">
        <v>0</v>
      </c>
      <c r="L952" t="n">
        <v>0</v>
      </c>
      <c r="M952" t="n">
        <v>0</v>
      </c>
      <c r="N952" t="n">
        <v>0</v>
      </c>
      <c r="O952" t="n">
        <v>0</v>
      </c>
      <c r="P952" t="n">
        <v>0</v>
      </c>
      <c r="Q952" t="n">
        <v>0</v>
      </c>
      <c r="R952" s="2" t="inlineStr"/>
    </row>
    <row r="953" ht="15" customHeight="1">
      <c r="A953" t="inlineStr">
        <is>
          <t>A 39947-2025</t>
        </is>
      </c>
      <c r="B953" s="1" t="n">
        <v>45892.34438657408</v>
      </c>
      <c r="C953" s="1" t="n">
        <v>45914</v>
      </c>
      <c r="D953" t="inlineStr">
        <is>
          <t>JÄMTLANDS LÄN</t>
        </is>
      </c>
      <c r="E953" t="inlineStr">
        <is>
          <t>RAGUNDA</t>
        </is>
      </c>
      <c r="G953" t="n">
        <v>6.6</v>
      </c>
      <c r="H953" t="n">
        <v>0</v>
      </c>
      <c r="I953" t="n">
        <v>0</v>
      </c>
      <c r="J953" t="n">
        <v>0</v>
      </c>
      <c r="K953" t="n">
        <v>0</v>
      </c>
      <c r="L953" t="n">
        <v>0</v>
      </c>
      <c r="M953" t="n">
        <v>0</v>
      </c>
      <c r="N953" t="n">
        <v>0</v>
      </c>
      <c r="O953" t="n">
        <v>0</v>
      </c>
      <c r="P953" t="n">
        <v>0</v>
      </c>
      <c r="Q953" t="n">
        <v>0</v>
      </c>
      <c r="R953" s="2" t="inlineStr"/>
    </row>
    <row r="954" ht="15" customHeight="1">
      <c r="A954" t="inlineStr">
        <is>
          <t>A 39950-2025</t>
        </is>
      </c>
      <c r="B954" s="1" t="n">
        <v>45892.38641203703</v>
      </c>
      <c r="C954" s="1" t="n">
        <v>45914</v>
      </c>
      <c r="D954" t="inlineStr">
        <is>
          <t>JÄMTLANDS LÄN</t>
        </is>
      </c>
      <c r="E954" t="inlineStr">
        <is>
          <t>RAGUNDA</t>
        </is>
      </c>
      <c r="G954" t="n">
        <v>1.1</v>
      </c>
      <c r="H954" t="n">
        <v>0</v>
      </c>
      <c r="I954" t="n">
        <v>0</v>
      </c>
      <c r="J954" t="n">
        <v>0</v>
      </c>
      <c r="K954" t="n">
        <v>0</v>
      </c>
      <c r="L954" t="n">
        <v>0</v>
      </c>
      <c r="M954" t="n">
        <v>0</v>
      </c>
      <c r="N954" t="n">
        <v>0</v>
      </c>
      <c r="O954" t="n">
        <v>0</v>
      </c>
      <c r="P954" t="n">
        <v>0</v>
      </c>
      <c r="Q954" t="n">
        <v>0</v>
      </c>
      <c r="R954" s="2" t="inlineStr"/>
    </row>
    <row r="955" ht="15" customHeight="1">
      <c r="A955" t="inlineStr">
        <is>
          <t>A 39946-2025</t>
        </is>
      </c>
      <c r="B955" s="1" t="n">
        <v>45892.34423611111</v>
      </c>
      <c r="C955" s="1" t="n">
        <v>45914</v>
      </c>
      <c r="D955" t="inlineStr">
        <is>
          <t>JÄMTLANDS LÄN</t>
        </is>
      </c>
      <c r="E955" t="inlineStr">
        <is>
          <t>RAGUNDA</t>
        </is>
      </c>
      <c r="G955" t="n">
        <v>4.7</v>
      </c>
      <c r="H955" t="n">
        <v>0</v>
      </c>
      <c r="I955" t="n">
        <v>0</v>
      </c>
      <c r="J955" t="n">
        <v>0</v>
      </c>
      <c r="K955" t="n">
        <v>0</v>
      </c>
      <c r="L955" t="n">
        <v>0</v>
      </c>
      <c r="M955" t="n">
        <v>0</v>
      </c>
      <c r="N955" t="n">
        <v>0</v>
      </c>
      <c r="O955" t="n">
        <v>0</v>
      </c>
      <c r="P955" t="n">
        <v>0</v>
      </c>
      <c r="Q955" t="n">
        <v>0</v>
      </c>
      <c r="R955" s="2" t="inlineStr"/>
    </row>
    <row r="956" ht="15" customHeight="1">
      <c r="A956" t="inlineStr">
        <is>
          <t>A 39948-2025</t>
        </is>
      </c>
      <c r="B956" s="1" t="n">
        <v>45892.38591435185</v>
      </c>
      <c r="C956" s="1" t="n">
        <v>45914</v>
      </c>
      <c r="D956" t="inlineStr">
        <is>
          <t>JÄMTLANDS LÄN</t>
        </is>
      </c>
      <c r="E956" t="inlineStr">
        <is>
          <t>RAGUNDA</t>
        </is>
      </c>
      <c r="G956" t="n">
        <v>5</v>
      </c>
      <c r="H956" t="n">
        <v>0</v>
      </c>
      <c r="I956" t="n">
        <v>0</v>
      </c>
      <c r="J956" t="n">
        <v>0</v>
      </c>
      <c r="K956" t="n">
        <v>0</v>
      </c>
      <c r="L956" t="n">
        <v>0</v>
      </c>
      <c r="M956" t="n">
        <v>0</v>
      </c>
      <c r="N956" t="n">
        <v>0</v>
      </c>
      <c r="O956" t="n">
        <v>0</v>
      </c>
      <c r="P956" t="n">
        <v>0</v>
      </c>
      <c r="Q956" t="n">
        <v>0</v>
      </c>
      <c r="R956" s="2" t="inlineStr"/>
    </row>
    <row r="957" ht="15" customHeight="1">
      <c r="A957" t="inlineStr">
        <is>
          <t>A 39951-2025</t>
        </is>
      </c>
      <c r="B957" s="1" t="n">
        <v>45892.38657407407</v>
      </c>
      <c r="C957" s="1" t="n">
        <v>45914</v>
      </c>
      <c r="D957" t="inlineStr">
        <is>
          <t>JÄMTLANDS LÄN</t>
        </is>
      </c>
      <c r="E957" t="inlineStr">
        <is>
          <t>RAGUNDA</t>
        </is>
      </c>
      <c r="G957" t="n">
        <v>2.3</v>
      </c>
      <c r="H957" t="n">
        <v>0</v>
      </c>
      <c r="I957" t="n">
        <v>0</v>
      </c>
      <c r="J957" t="n">
        <v>0</v>
      </c>
      <c r="K957" t="n">
        <v>0</v>
      </c>
      <c r="L957" t="n">
        <v>0</v>
      </c>
      <c r="M957" t="n">
        <v>0</v>
      </c>
      <c r="N957" t="n">
        <v>0</v>
      </c>
      <c r="O957" t="n">
        <v>0</v>
      </c>
      <c r="P957" t="n">
        <v>0</v>
      </c>
      <c r="Q957" t="n">
        <v>0</v>
      </c>
      <c r="R957" s="2" t="inlineStr"/>
    </row>
    <row r="958" ht="15" customHeight="1">
      <c r="A958" t="inlineStr">
        <is>
          <t>A 34709-2025</t>
        </is>
      </c>
      <c r="B958" s="1" t="n">
        <v>45848.49761574074</v>
      </c>
      <c r="C958" s="1" t="n">
        <v>45914</v>
      </c>
      <c r="D958" t="inlineStr">
        <is>
          <t>JÄMTLANDS LÄN</t>
        </is>
      </c>
      <c r="E958" t="inlineStr">
        <is>
          <t>RAGUNDA</t>
        </is>
      </c>
      <c r="G958" t="n">
        <v>3.1</v>
      </c>
      <c r="H958" t="n">
        <v>0</v>
      </c>
      <c r="I958" t="n">
        <v>0</v>
      </c>
      <c r="J958" t="n">
        <v>0</v>
      </c>
      <c r="K958" t="n">
        <v>0</v>
      </c>
      <c r="L958" t="n">
        <v>0</v>
      </c>
      <c r="M958" t="n">
        <v>0</v>
      </c>
      <c r="N958" t="n">
        <v>0</v>
      </c>
      <c r="O958" t="n">
        <v>0</v>
      </c>
      <c r="P958" t="n">
        <v>0</v>
      </c>
      <c r="Q958" t="n">
        <v>0</v>
      </c>
      <c r="R958" s="2" t="inlineStr"/>
    </row>
    <row r="959" ht="15" customHeight="1">
      <c r="A959" t="inlineStr">
        <is>
          <t>A 10641-2024</t>
        </is>
      </c>
      <c r="B959" s="1" t="n">
        <v>45367.69850694444</v>
      </c>
      <c r="C959" s="1" t="n">
        <v>45914</v>
      </c>
      <c r="D959" t="inlineStr">
        <is>
          <t>JÄMTLANDS LÄN</t>
        </is>
      </c>
      <c r="E959" t="inlineStr">
        <is>
          <t>RAGUNDA</t>
        </is>
      </c>
      <c r="G959" t="n">
        <v>0.9</v>
      </c>
      <c r="H959" t="n">
        <v>0</v>
      </c>
      <c r="I959" t="n">
        <v>0</v>
      </c>
      <c r="J959" t="n">
        <v>0</v>
      </c>
      <c r="K959" t="n">
        <v>0</v>
      </c>
      <c r="L959" t="n">
        <v>0</v>
      </c>
      <c r="M959" t="n">
        <v>0</v>
      </c>
      <c r="N959" t="n">
        <v>0</v>
      </c>
      <c r="O959" t="n">
        <v>0</v>
      </c>
      <c r="P959" t="n">
        <v>0</v>
      </c>
      <c r="Q959" t="n">
        <v>0</v>
      </c>
      <c r="R959" s="2" t="inlineStr"/>
    </row>
    <row r="960" ht="15" customHeight="1">
      <c r="A960" t="inlineStr">
        <is>
          <t>A 10644-2024</t>
        </is>
      </c>
      <c r="B960" s="1" t="n">
        <v>45367.71348379629</v>
      </c>
      <c r="C960" s="1" t="n">
        <v>45914</v>
      </c>
      <c r="D960" t="inlineStr">
        <is>
          <t>JÄMTLANDS LÄN</t>
        </is>
      </c>
      <c r="E960" t="inlineStr">
        <is>
          <t>RAGUNDA</t>
        </is>
      </c>
      <c r="G960" t="n">
        <v>2</v>
      </c>
      <c r="H960" t="n">
        <v>0</v>
      </c>
      <c r="I960" t="n">
        <v>0</v>
      </c>
      <c r="J960" t="n">
        <v>0</v>
      </c>
      <c r="K960" t="n">
        <v>0</v>
      </c>
      <c r="L960" t="n">
        <v>0</v>
      </c>
      <c r="M960" t="n">
        <v>0</v>
      </c>
      <c r="N960" t="n">
        <v>0</v>
      </c>
      <c r="O960" t="n">
        <v>0</v>
      </c>
      <c r="P960" t="n">
        <v>0</v>
      </c>
      <c r="Q960" t="n">
        <v>0</v>
      </c>
      <c r="R960" s="2" t="inlineStr"/>
    </row>
    <row r="961" ht="15" customHeight="1">
      <c r="A961" t="inlineStr">
        <is>
          <t>A 35092-2025</t>
        </is>
      </c>
      <c r="B961" s="1" t="n">
        <v>45852.53185185185</v>
      </c>
      <c r="C961" s="1" t="n">
        <v>45914</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17559-2023</t>
        </is>
      </c>
      <c r="B962" s="1" t="n">
        <v>45034</v>
      </c>
      <c r="C962" s="1" t="n">
        <v>45914</v>
      </c>
      <c r="D962" t="inlineStr">
        <is>
          <t>JÄMTLANDS LÄN</t>
        </is>
      </c>
      <c r="E962" t="inlineStr">
        <is>
          <t>RAGUNDA</t>
        </is>
      </c>
      <c r="G962" t="n">
        <v>7.5</v>
      </c>
      <c r="H962" t="n">
        <v>0</v>
      </c>
      <c r="I962" t="n">
        <v>0</v>
      </c>
      <c r="J962" t="n">
        <v>0</v>
      </c>
      <c r="K962" t="n">
        <v>0</v>
      </c>
      <c r="L962" t="n">
        <v>0</v>
      </c>
      <c r="M962" t="n">
        <v>0</v>
      </c>
      <c r="N962" t="n">
        <v>0</v>
      </c>
      <c r="O962" t="n">
        <v>0</v>
      </c>
      <c r="P962" t="n">
        <v>0</v>
      </c>
      <c r="Q962" t="n">
        <v>0</v>
      </c>
      <c r="R962" s="2" t="inlineStr"/>
    </row>
    <row r="963" ht="15" customHeight="1">
      <c r="A963" t="inlineStr">
        <is>
          <t>A 39956-2025</t>
        </is>
      </c>
      <c r="B963" s="1" t="n">
        <v>45892.44840277778</v>
      </c>
      <c r="C963" s="1" t="n">
        <v>45914</v>
      </c>
      <c r="D963" t="inlineStr">
        <is>
          <t>JÄMTLANDS LÄN</t>
        </is>
      </c>
      <c r="E963" t="inlineStr">
        <is>
          <t>RAGUNDA</t>
        </is>
      </c>
      <c r="G963" t="n">
        <v>3.6</v>
      </c>
      <c r="H963" t="n">
        <v>0</v>
      </c>
      <c r="I963" t="n">
        <v>0</v>
      </c>
      <c r="J963" t="n">
        <v>0</v>
      </c>
      <c r="K963" t="n">
        <v>0</v>
      </c>
      <c r="L963" t="n">
        <v>0</v>
      </c>
      <c r="M963" t="n">
        <v>0</v>
      </c>
      <c r="N963" t="n">
        <v>0</v>
      </c>
      <c r="O963" t="n">
        <v>0</v>
      </c>
      <c r="P963" t="n">
        <v>0</v>
      </c>
      <c r="Q963" t="n">
        <v>0</v>
      </c>
      <c r="R963" s="2" t="inlineStr"/>
    </row>
    <row r="964" ht="15" customHeight="1">
      <c r="A964" t="inlineStr">
        <is>
          <t>A 34998-2025</t>
        </is>
      </c>
      <c r="B964" s="1" t="n">
        <v>45850.34434027778</v>
      </c>
      <c r="C964" s="1" t="n">
        <v>45914</v>
      </c>
      <c r="D964" t="inlineStr">
        <is>
          <t>JÄMTLANDS LÄN</t>
        </is>
      </c>
      <c r="E964" t="inlineStr">
        <is>
          <t>RAGUNDA</t>
        </is>
      </c>
      <c r="G964" t="n">
        <v>1.4</v>
      </c>
      <c r="H964" t="n">
        <v>0</v>
      </c>
      <c r="I964" t="n">
        <v>0</v>
      </c>
      <c r="J964" t="n">
        <v>0</v>
      </c>
      <c r="K964" t="n">
        <v>0</v>
      </c>
      <c r="L964" t="n">
        <v>0</v>
      </c>
      <c r="M964" t="n">
        <v>0</v>
      </c>
      <c r="N964" t="n">
        <v>0</v>
      </c>
      <c r="O964" t="n">
        <v>0</v>
      </c>
      <c r="P964" t="n">
        <v>0</v>
      </c>
      <c r="Q964" t="n">
        <v>0</v>
      </c>
      <c r="R964" s="2" t="inlineStr"/>
    </row>
    <row r="965" ht="15" customHeight="1">
      <c r="A965" t="inlineStr">
        <is>
          <t>A 34968-2025</t>
        </is>
      </c>
      <c r="B965" s="1" t="n">
        <v>45849.65663194445</v>
      </c>
      <c r="C965" s="1" t="n">
        <v>45914</v>
      </c>
      <c r="D965" t="inlineStr">
        <is>
          <t>JÄMTLANDS LÄN</t>
        </is>
      </c>
      <c r="E965" t="inlineStr">
        <is>
          <t>RAGUNDA</t>
        </is>
      </c>
      <c r="F965" t="inlineStr">
        <is>
          <t>SCA</t>
        </is>
      </c>
      <c r="G965" t="n">
        <v>20.2</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45914</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39949-2025</t>
        </is>
      </c>
      <c r="B967" s="1" t="n">
        <v>45892.38619212963</v>
      </c>
      <c r="C967" s="1" t="n">
        <v>45914</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39955-2025</t>
        </is>
      </c>
      <c r="B968" s="1" t="n">
        <v>45892.44824074074</v>
      </c>
      <c r="C968" s="1" t="n">
        <v>45914</v>
      </c>
      <c r="D968" t="inlineStr">
        <is>
          <t>JÄMTLANDS LÄN</t>
        </is>
      </c>
      <c r="E968" t="inlineStr">
        <is>
          <t>RAGUNDA</t>
        </is>
      </c>
      <c r="G968" t="n">
        <v>1.4</v>
      </c>
      <c r="H968" t="n">
        <v>0</v>
      </c>
      <c r="I968" t="n">
        <v>0</v>
      </c>
      <c r="J968" t="n">
        <v>0</v>
      </c>
      <c r="K968" t="n">
        <v>0</v>
      </c>
      <c r="L968" t="n">
        <v>0</v>
      </c>
      <c r="M968" t="n">
        <v>0</v>
      </c>
      <c r="N968" t="n">
        <v>0</v>
      </c>
      <c r="O968" t="n">
        <v>0</v>
      </c>
      <c r="P968" t="n">
        <v>0</v>
      </c>
      <c r="Q968" t="n">
        <v>0</v>
      </c>
      <c r="R968" s="2" t="inlineStr"/>
    </row>
    <row r="969" ht="15" customHeight="1">
      <c r="A969" t="inlineStr">
        <is>
          <t>A 34999-2025</t>
        </is>
      </c>
      <c r="B969" s="1" t="n">
        <v>45850.34450231482</v>
      </c>
      <c r="C969" s="1" t="n">
        <v>45914</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35091-2025</t>
        </is>
      </c>
      <c r="B970" s="1" t="n">
        <v>45852.53168981482</v>
      </c>
      <c r="C970" s="1" t="n">
        <v>45914</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56191-2022</t>
        </is>
      </c>
      <c r="B971" s="1" t="n">
        <v>44889.95015046297</v>
      </c>
      <c r="C971" s="1" t="n">
        <v>45914</v>
      </c>
      <c r="D971" t="inlineStr">
        <is>
          <t>JÄMTLANDS LÄN</t>
        </is>
      </c>
      <c r="E971" t="inlineStr">
        <is>
          <t>RAGUNDA</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33621-2023</t>
        </is>
      </c>
      <c r="B972" s="1" t="n">
        <v>45119</v>
      </c>
      <c r="C972" s="1" t="n">
        <v>45914</v>
      </c>
      <c r="D972" t="inlineStr">
        <is>
          <t>JÄMTLANDS LÄN</t>
        </is>
      </c>
      <c r="E972" t="inlineStr">
        <is>
          <t>RAGUNDA</t>
        </is>
      </c>
      <c r="G972" t="n">
        <v>0.5</v>
      </c>
      <c r="H972" t="n">
        <v>0</v>
      </c>
      <c r="I972" t="n">
        <v>0</v>
      </c>
      <c r="J972" t="n">
        <v>0</v>
      </c>
      <c r="K972" t="n">
        <v>0</v>
      </c>
      <c r="L972" t="n">
        <v>0</v>
      </c>
      <c r="M972" t="n">
        <v>0</v>
      </c>
      <c r="N972" t="n">
        <v>0</v>
      </c>
      <c r="O972" t="n">
        <v>0</v>
      </c>
      <c r="P972" t="n">
        <v>0</v>
      </c>
      <c r="Q972" t="n">
        <v>0</v>
      </c>
      <c r="R972" s="2" t="inlineStr"/>
    </row>
    <row r="973" ht="15" customHeight="1">
      <c r="A973" t="inlineStr">
        <is>
          <t>A 65216-2023</t>
        </is>
      </c>
      <c r="B973" s="1" t="n">
        <v>45289</v>
      </c>
      <c r="C973" s="1" t="n">
        <v>45914</v>
      </c>
      <c r="D973" t="inlineStr">
        <is>
          <t>JÄMTLANDS LÄN</t>
        </is>
      </c>
      <c r="E973" t="inlineStr">
        <is>
          <t>RAGUNDA</t>
        </is>
      </c>
      <c r="G973" t="n">
        <v>2.9</v>
      </c>
      <c r="H973" t="n">
        <v>0</v>
      </c>
      <c r="I973" t="n">
        <v>0</v>
      </c>
      <c r="J973" t="n">
        <v>0</v>
      </c>
      <c r="K973" t="n">
        <v>0</v>
      </c>
      <c r="L973" t="n">
        <v>0</v>
      </c>
      <c r="M973" t="n">
        <v>0</v>
      </c>
      <c r="N973" t="n">
        <v>0</v>
      </c>
      <c r="O973" t="n">
        <v>0</v>
      </c>
      <c r="P973" t="n">
        <v>0</v>
      </c>
      <c r="Q973" t="n">
        <v>0</v>
      </c>
      <c r="R973" s="2" t="inlineStr"/>
    </row>
    <row r="974" ht="15" customHeight="1">
      <c r="A974" t="inlineStr">
        <is>
          <t>A 60838-2023</t>
        </is>
      </c>
      <c r="B974" s="1" t="n">
        <v>45260.92561342593</v>
      </c>
      <c r="C974" s="1" t="n">
        <v>45914</v>
      </c>
      <c r="D974" t="inlineStr">
        <is>
          <t>JÄMTLANDS LÄN</t>
        </is>
      </c>
      <c r="E974" t="inlineStr">
        <is>
          <t>RAGUNDA</t>
        </is>
      </c>
      <c r="G974" t="n">
        <v>2.7</v>
      </c>
      <c r="H974" t="n">
        <v>0</v>
      </c>
      <c r="I974" t="n">
        <v>0</v>
      </c>
      <c r="J974" t="n">
        <v>0</v>
      </c>
      <c r="K974" t="n">
        <v>0</v>
      </c>
      <c r="L974" t="n">
        <v>0</v>
      </c>
      <c r="M974" t="n">
        <v>0</v>
      </c>
      <c r="N974" t="n">
        <v>0</v>
      </c>
      <c r="O974" t="n">
        <v>0</v>
      </c>
      <c r="P974" t="n">
        <v>0</v>
      </c>
      <c r="Q974" t="n">
        <v>0</v>
      </c>
      <c r="R974" s="2" t="inlineStr"/>
    </row>
    <row r="975" ht="15" customHeight="1">
      <c r="A975" t="inlineStr">
        <is>
          <t>A 2133-2023</t>
        </is>
      </c>
      <c r="B975" s="1" t="n">
        <v>44939</v>
      </c>
      <c r="C975" s="1" t="n">
        <v>45914</v>
      </c>
      <c r="D975" t="inlineStr">
        <is>
          <t>JÄMTLANDS LÄN</t>
        </is>
      </c>
      <c r="E975" t="inlineStr">
        <is>
          <t>RAGUNDA</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35355-2025</t>
        </is>
      </c>
      <c r="B976" s="1" t="n">
        <v>45854.65663194445</v>
      </c>
      <c r="C976" s="1" t="n">
        <v>45914</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40586-2025</t>
        </is>
      </c>
      <c r="B977" s="1" t="n">
        <v>45896.52478009259</v>
      </c>
      <c r="C977" s="1" t="n">
        <v>45914</v>
      </c>
      <c r="D977" t="inlineStr">
        <is>
          <t>JÄMTLANDS LÄN</t>
        </is>
      </c>
      <c r="E977" t="inlineStr">
        <is>
          <t>RAGUNDA</t>
        </is>
      </c>
      <c r="G977" t="n">
        <v>1.2</v>
      </c>
      <c r="H977" t="n">
        <v>0</v>
      </c>
      <c r="I977" t="n">
        <v>0</v>
      </c>
      <c r="J977" t="n">
        <v>0</v>
      </c>
      <c r="K977" t="n">
        <v>0</v>
      </c>
      <c r="L977" t="n">
        <v>0</v>
      </c>
      <c r="M977" t="n">
        <v>0</v>
      </c>
      <c r="N977" t="n">
        <v>0</v>
      </c>
      <c r="O977" t="n">
        <v>0</v>
      </c>
      <c r="P977" t="n">
        <v>0</v>
      </c>
      <c r="Q977" t="n">
        <v>0</v>
      </c>
      <c r="R977" s="2" t="inlineStr"/>
    </row>
    <row r="978" ht="15" customHeight="1">
      <c r="A978" t="inlineStr">
        <is>
          <t>A 49647-2024</t>
        </is>
      </c>
      <c r="B978" s="1" t="n">
        <v>45596.61533564814</v>
      </c>
      <c r="C978" s="1" t="n">
        <v>45914</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41161-2025</t>
        </is>
      </c>
      <c r="B979" s="1" t="n">
        <v>45898.53193287037</v>
      </c>
      <c r="C979" s="1" t="n">
        <v>45914</v>
      </c>
      <c r="D979" t="inlineStr">
        <is>
          <t>JÄMTLANDS LÄN</t>
        </is>
      </c>
      <c r="E979" t="inlineStr">
        <is>
          <t>RAGUNDA</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41262-2025</t>
        </is>
      </c>
      <c r="B980" s="1" t="n">
        <v>45898.61502314815</v>
      </c>
      <c r="C980" s="1" t="n">
        <v>45914</v>
      </c>
      <c r="D980" t="inlineStr">
        <is>
          <t>JÄMTLANDS LÄN</t>
        </is>
      </c>
      <c r="E980" t="inlineStr">
        <is>
          <t>RAGUNDA</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35477-2025</t>
        </is>
      </c>
      <c r="B981" s="1" t="n">
        <v>45855.67899305555</v>
      </c>
      <c r="C981" s="1" t="n">
        <v>45914</v>
      </c>
      <c r="D981" t="inlineStr">
        <is>
          <t>JÄMTLANDS LÄN</t>
        </is>
      </c>
      <c r="E981" t="inlineStr">
        <is>
          <t>RAGUNDA</t>
        </is>
      </c>
      <c r="G981" t="n">
        <v>3.6</v>
      </c>
      <c r="H981" t="n">
        <v>0</v>
      </c>
      <c r="I981" t="n">
        <v>0</v>
      </c>
      <c r="J981" t="n">
        <v>0</v>
      </c>
      <c r="K981" t="n">
        <v>0</v>
      </c>
      <c r="L981" t="n">
        <v>0</v>
      </c>
      <c r="M981" t="n">
        <v>0</v>
      </c>
      <c r="N981" t="n">
        <v>0</v>
      </c>
      <c r="O981" t="n">
        <v>0</v>
      </c>
      <c r="P981" t="n">
        <v>0</v>
      </c>
      <c r="Q981" t="n">
        <v>0</v>
      </c>
      <c r="R981" s="2" t="inlineStr"/>
    </row>
    <row r="982" ht="15" customHeight="1">
      <c r="A982" t="inlineStr">
        <is>
          <t>A 35541-2025</t>
        </is>
      </c>
      <c r="B982" s="1" t="n">
        <v>45856.46931712963</v>
      </c>
      <c r="C982" s="1" t="n">
        <v>45914</v>
      </c>
      <c r="D982" t="inlineStr">
        <is>
          <t>JÄMTLANDS LÄN</t>
        </is>
      </c>
      <c r="E982" t="inlineStr">
        <is>
          <t>RAGUNDA</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35462-2025</t>
        </is>
      </c>
      <c r="B983" s="1" t="n">
        <v>45855.61523148148</v>
      </c>
      <c r="C983" s="1" t="n">
        <v>45914</v>
      </c>
      <c r="D983" t="inlineStr">
        <is>
          <t>JÄMTLANDS LÄN</t>
        </is>
      </c>
      <c r="E983" t="inlineStr">
        <is>
          <t>RAGUNDA</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41140-2025</t>
        </is>
      </c>
      <c r="B984" s="1" t="n">
        <v>45898.49012731481</v>
      </c>
      <c r="C984" s="1" t="n">
        <v>45914</v>
      </c>
      <c r="D984" t="inlineStr">
        <is>
          <t>JÄMTLANDS LÄN</t>
        </is>
      </c>
      <c r="E984" t="inlineStr">
        <is>
          <t>RAGUNDA</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6802-2021</t>
        </is>
      </c>
      <c r="B985" s="1" t="n">
        <v>44236</v>
      </c>
      <c r="C985" s="1" t="n">
        <v>45914</v>
      </c>
      <c r="D985" t="inlineStr">
        <is>
          <t>JÄMTLANDS LÄN</t>
        </is>
      </c>
      <c r="E985" t="inlineStr">
        <is>
          <t>RAGUNDA</t>
        </is>
      </c>
      <c r="G985" t="n">
        <v>11.2</v>
      </c>
      <c r="H985" t="n">
        <v>0</v>
      </c>
      <c r="I985" t="n">
        <v>0</v>
      </c>
      <c r="J985" t="n">
        <v>0</v>
      </c>
      <c r="K985" t="n">
        <v>0</v>
      </c>
      <c r="L985" t="n">
        <v>0</v>
      </c>
      <c r="M985" t="n">
        <v>0</v>
      </c>
      <c r="N985" t="n">
        <v>0</v>
      </c>
      <c r="O985" t="n">
        <v>0</v>
      </c>
      <c r="P985" t="n">
        <v>0</v>
      </c>
      <c r="Q985" t="n">
        <v>0</v>
      </c>
      <c r="R985" s="2" t="inlineStr"/>
    </row>
    <row r="986" ht="15" customHeight="1">
      <c r="A986" t="inlineStr">
        <is>
          <t>A 64415-2023</t>
        </is>
      </c>
      <c r="B986" s="1" t="n">
        <v>45280</v>
      </c>
      <c r="C986" s="1" t="n">
        <v>45914</v>
      </c>
      <c r="D986" t="inlineStr">
        <is>
          <t>JÄMTLANDS LÄN</t>
        </is>
      </c>
      <c r="E986" t="inlineStr">
        <is>
          <t>RAGUNDA</t>
        </is>
      </c>
      <c r="G986" t="n">
        <v>5.1</v>
      </c>
      <c r="H986" t="n">
        <v>0</v>
      </c>
      <c r="I986" t="n">
        <v>0</v>
      </c>
      <c r="J986" t="n">
        <v>0</v>
      </c>
      <c r="K986" t="n">
        <v>0</v>
      </c>
      <c r="L986" t="n">
        <v>0</v>
      </c>
      <c r="M986" t="n">
        <v>0</v>
      </c>
      <c r="N986" t="n">
        <v>0</v>
      </c>
      <c r="O986" t="n">
        <v>0</v>
      </c>
      <c r="P986" t="n">
        <v>0</v>
      </c>
      <c r="Q986" t="n">
        <v>0</v>
      </c>
      <c r="R986" s="2" t="inlineStr"/>
    </row>
    <row r="987" ht="15" customHeight="1">
      <c r="A987" t="inlineStr">
        <is>
          <t>A 41233-2025</t>
        </is>
      </c>
      <c r="B987" s="1" t="n">
        <v>45898.59295138889</v>
      </c>
      <c r="C987" s="1" t="n">
        <v>45914</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38782-2021</t>
        </is>
      </c>
      <c r="B988" s="1" t="n">
        <v>44410</v>
      </c>
      <c r="C988" s="1" t="n">
        <v>45914</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16250-2022</t>
        </is>
      </c>
      <c r="B989" s="1" t="n">
        <v>44670</v>
      </c>
      <c r="C989" s="1" t="n">
        <v>45914</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13334-2024</t>
        </is>
      </c>
      <c r="B990" s="1" t="n">
        <v>45386</v>
      </c>
      <c r="C990" s="1" t="n">
        <v>45914</v>
      </c>
      <c r="D990" t="inlineStr">
        <is>
          <t>JÄMTLANDS LÄN</t>
        </is>
      </c>
      <c r="E990" t="inlineStr">
        <is>
          <t>RAGUNDA</t>
        </is>
      </c>
      <c r="G990" t="n">
        <v>8.6</v>
      </c>
      <c r="H990" t="n">
        <v>0</v>
      </c>
      <c r="I990" t="n">
        <v>0</v>
      </c>
      <c r="J990" t="n">
        <v>0</v>
      </c>
      <c r="K990" t="n">
        <v>0</v>
      </c>
      <c r="L990" t="n">
        <v>0</v>
      </c>
      <c r="M990" t="n">
        <v>0</v>
      </c>
      <c r="N990" t="n">
        <v>0</v>
      </c>
      <c r="O990" t="n">
        <v>0</v>
      </c>
      <c r="P990" t="n">
        <v>0</v>
      </c>
      <c r="Q990" t="n">
        <v>0</v>
      </c>
      <c r="R990" s="2" t="inlineStr"/>
    </row>
    <row r="991" ht="15" customHeight="1">
      <c r="A991" t="inlineStr">
        <is>
          <t>A 35689-2025</t>
        </is>
      </c>
      <c r="B991" s="1" t="n">
        <v>45860.30229166667</v>
      </c>
      <c r="C991" s="1" t="n">
        <v>45914</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41656-2025</t>
        </is>
      </c>
      <c r="B992" s="1" t="n">
        <v>45902.34423611111</v>
      </c>
      <c r="C992" s="1" t="n">
        <v>45914</v>
      </c>
      <c r="D992" t="inlineStr">
        <is>
          <t>JÄMTLANDS LÄN</t>
        </is>
      </c>
      <c r="E992" t="inlineStr">
        <is>
          <t>RAGUNDA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41422-2025</t>
        </is>
      </c>
      <c r="B993" s="1" t="n">
        <v>45901.38572916666</v>
      </c>
      <c r="C993" s="1" t="n">
        <v>45914</v>
      </c>
      <c r="D993" t="inlineStr">
        <is>
          <t>JÄMTLANDS LÄN</t>
        </is>
      </c>
      <c r="E993" t="inlineStr">
        <is>
          <t>RAGUNDA</t>
        </is>
      </c>
      <c r="G993" t="n">
        <v>4.3</v>
      </c>
      <c r="H993" t="n">
        <v>0</v>
      </c>
      <c r="I993" t="n">
        <v>0</v>
      </c>
      <c r="J993" t="n">
        <v>0</v>
      </c>
      <c r="K993" t="n">
        <v>0</v>
      </c>
      <c r="L993" t="n">
        <v>0</v>
      </c>
      <c r="M993" t="n">
        <v>0</v>
      </c>
      <c r="N993" t="n">
        <v>0</v>
      </c>
      <c r="O993" t="n">
        <v>0</v>
      </c>
      <c r="P993" t="n">
        <v>0</v>
      </c>
      <c r="Q993" t="n">
        <v>0</v>
      </c>
      <c r="R993" s="2" t="inlineStr"/>
    </row>
    <row r="994" ht="15" customHeight="1">
      <c r="A994" t="inlineStr">
        <is>
          <t>A 41424-2025</t>
        </is>
      </c>
      <c r="B994" s="1" t="n">
        <v>45901.38584490741</v>
      </c>
      <c r="C994" s="1" t="n">
        <v>45914</v>
      </c>
      <c r="D994" t="inlineStr">
        <is>
          <t>JÄMTLANDS LÄN</t>
        </is>
      </c>
      <c r="E994" t="inlineStr">
        <is>
          <t>RAGUNDA</t>
        </is>
      </c>
      <c r="G994" t="n">
        <v>3</v>
      </c>
      <c r="H994" t="n">
        <v>0</v>
      </c>
      <c r="I994" t="n">
        <v>0</v>
      </c>
      <c r="J994" t="n">
        <v>0</v>
      </c>
      <c r="K994" t="n">
        <v>0</v>
      </c>
      <c r="L994" t="n">
        <v>0</v>
      </c>
      <c r="M994" t="n">
        <v>0</v>
      </c>
      <c r="N994" t="n">
        <v>0</v>
      </c>
      <c r="O994" t="n">
        <v>0</v>
      </c>
      <c r="P994" t="n">
        <v>0</v>
      </c>
      <c r="Q994" t="n">
        <v>0</v>
      </c>
      <c r="R994" s="2" t="inlineStr"/>
    </row>
    <row r="995" ht="15" customHeight="1">
      <c r="A995" t="inlineStr">
        <is>
          <t>A 35658-2025</t>
        </is>
      </c>
      <c r="B995" s="1" t="n">
        <v>45859.594375</v>
      </c>
      <c r="C995" s="1" t="n">
        <v>45914</v>
      </c>
      <c r="D995" t="inlineStr">
        <is>
          <t>JÄMTLANDS LÄN</t>
        </is>
      </c>
      <c r="E995" t="inlineStr">
        <is>
          <t>RAGUNDA</t>
        </is>
      </c>
      <c r="F995" t="inlineStr">
        <is>
          <t>SCA</t>
        </is>
      </c>
      <c r="G995" t="n">
        <v>6</v>
      </c>
      <c r="H995" t="n">
        <v>0</v>
      </c>
      <c r="I995" t="n">
        <v>0</v>
      </c>
      <c r="J995" t="n">
        <v>0</v>
      </c>
      <c r="K995" t="n">
        <v>0</v>
      </c>
      <c r="L995" t="n">
        <v>0</v>
      </c>
      <c r="M995" t="n">
        <v>0</v>
      </c>
      <c r="N995" t="n">
        <v>0</v>
      </c>
      <c r="O995" t="n">
        <v>0</v>
      </c>
      <c r="P995" t="n">
        <v>0</v>
      </c>
      <c r="Q995" t="n">
        <v>0</v>
      </c>
      <c r="R995" s="2" t="inlineStr"/>
    </row>
    <row r="996" ht="15" customHeight="1">
      <c r="A996" t="inlineStr">
        <is>
          <t>A 55669-2023</t>
        </is>
      </c>
      <c r="B996" s="1" t="n">
        <v>45238.96797453704</v>
      </c>
      <c r="C996" s="1" t="n">
        <v>45914</v>
      </c>
      <c r="D996" t="inlineStr">
        <is>
          <t>JÄMTLANDS LÄN</t>
        </is>
      </c>
      <c r="E996" t="inlineStr">
        <is>
          <t>RAGUNDA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51389-2024</t>
        </is>
      </c>
      <c r="B997" s="1" t="n">
        <v>45604.40540509259</v>
      </c>
      <c r="C997" s="1" t="n">
        <v>45914</v>
      </c>
      <c r="D997" t="inlineStr">
        <is>
          <t>JÄMTLANDS LÄN</t>
        </is>
      </c>
      <c r="E997" t="inlineStr">
        <is>
          <t>RAGUNDA</t>
        </is>
      </c>
      <c r="G997" t="n">
        <v>1.7</v>
      </c>
      <c r="H997" t="n">
        <v>0</v>
      </c>
      <c r="I997" t="n">
        <v>0</v>
      </c>
      <c r="J997" t="n">
        <v>0</v>
      </c>
      <c r="K997" t="n">
        <v>0</v>
      </c>
      <c r="L997" t="n">
        <v>0</v>
      </c>
      <c r="M997" t="n">
        <v>0</v>
      </c>
      <c r="N997" t="n">
        <v>0</v>
      </c>
      <c r="O997" t="n">
        <v>0</v>
      </c>
      <c r="P997" t="n">
        <v>0</v>
      </c>
      <c r="Q997" t="n">
        <v>0</v>
      </c>
      <c r="R997" s="2" t="inlineStr"/>
    </row>
    <row r="998" ht="15" customHeight="1">
      <c r="A998" t="inlineStr">
        <is>
          <t>A 51393-2024</t>
        </is>
      </c>
      <c r="B998" s="1" t="n">
        <v>45604.41625</v>
      </c>
      <c r="C998" s="1" t="n">
        <v>45914</v>
      </c>
      <c r="D998" t="inlineStr">
        <is>
          <t>JÄMTLANDS LÄN</t>
        </is>
      </c>
      <c r="E998" t="inlineStr">
        <is>
          <t>RAGUNDA</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43339-2024</t>
        </is>
      </c>
      <c r="B999" s="1" t="n">
        <v>45568.51075231482</v>
      </c>
      <c r="C999" s="1" t="n">
        <v>45914</v>
      </c>
      <c r="D999" t="inlineStr">
        <is>
          <t>JÄMTLANDS LÄN</t>
        </is>
      </c>
      <c r="E999" t="inlineStr">
        <is>
          <t>RAGUNDA</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41423-2025</t>
        </is>
      </c>
      <c r="B1000" s="1" t="n">
        <v>45901.38578703703</v>
      </c>
      <c r="C1000" s="1" t="n">
        <v>45914</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38548-2024</t>
        </is>
      </c>
      <c r="B1001" s="1" t="n">
        <v>45546</v>
      </c>
      <c r="C1001" s="1" t="n">
        <v>45914</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25304-2023</t>
        </is>
      </c>
      <c r="B1002" s="1" t="n">
        <v>45086</v>
      </c>
      <c r="C1002" s="1" t="n">
        <v>45914</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41876-2025</t>
        </is>
      </c>
      <c r="B1003" s="1" t="n">
        <v>45903.34555555556</v>
      </c>
      <c r="C1003" s="1" t="n">
        <v>45914</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42269-2025</t>
        </is>
      </c>
      <c r="B1004" s="1" t="n">
        <v>45904.60431712963</v>
      </c>
      <c r="C1004" s="1" t="n">
        <v>45914</v>
      </c>
      <c r="D1004" t="inlineStr">
        <is>
          <t>JÄMTLANDS LÄN</t>
        </is>
      </c>
      <c r="E1004" t="inlineStr">
        <is>
          <t>RAGUNDA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26026-2024</t>
        </is>
      </c>
      <c r="B1005" s="1" t="n">
        <v>45467.96207175926</v>
      </c>
      <c r="C1005" s="1" t="n">
        <v>45914</v>
      </c>
      <c r="D1005" t="inlineStr">
        <is>
          <t>JÄMTLANDS LÄN</t>
        </is>
      </c>
      <c r="E1005" t="inlineStr">
        <is>
          <t>RAGUNDA</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5971-2025</t>
        </is>
      </c>
      <c r="B1006" s="1" t="n">
        <v>45695.51070601852</v>
      </c>
      <c r="C1006" s="1" t="n">
        <v>45914</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21401-2024</t>
        </is>
      </c>
      <c r="B1007" s="1" t="n">
        <v>45441.33313657407</v>
      </c>
      <c r="C1007" s="1" t="n">
        <v>45914</v>
      </c>
      <c r="D1007" t="inlineStr">
        <is>
          <t>JÄMTLANDS LÄN</t>
        </is>
      </c>
      <c r="E1007" t="inlineStr">
        <is>
          <t>RAGUNDA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51537-2022</t>
        </is>
      </c>
      <c r="B1008" s="1" t="n">
        <v>44869</v>
      </c>
      <c r="C1008" s="1" t="n">
        <v>45914</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12995-2023</t>
        </is>
      </c>
      <c r="B1009" s="1" t="n">
        <v>45002.0328125</v>
      </c>
      <c r="C1009" s="1" t="n">
        <v>45914</v>
      </c>
      <c r="D1009" t="inlineStr">
        <is>
          <t>JÄMTLANDS LÄN</t>
        </is>
      </c>
      <c r="E1009" t="inlineStr">
        <is>
          <t>RAGUNDA</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42393-2025</t>
        </is>
      </c>
      <c r="B1010" s="1" t="n">
        <v>45905</v>
      </c>
      <c r="C1010" s="1" t="n">
        <v>45914</v>
      </c>
      <c r="D1010" t="inlineStr">
        <is>
          <t>JÄMTLANDS LÄN</t>
        </is>
      </c>
      <c r="E1010" t="inlineStr">
        <is>
          <t>RAGUNDA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8800-2025</t>
        </is>
      </c>
      <c r="B1011" s="1" t="n">
        <v>45712.65671296296</v>
      </c>
      <c r="C1011" s="1" t="n">
        <v>45914</v>
      </c>
      <c r="D1011" t="inlineStr">
        <is>
          <t>JÄMTLANDS LÄN</t>
        </is>
      </c>
      <c r="E1011" t="inlineStr">
        <is>
          <t>RAGUNDA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42776-2025</t>
        </is>
      </c>
      <c r="B1012" s="1" t="n">
        <v>45908.48993055556</v>
      </c>
      <c r="C1012" s="1" t="n">
        <v>45914</v>
      </c>
      <c r="D1012" t="inlineStr">
        <is>
          <t>JÄMTLANDS LÄN</t>
        </is>
      </c>
      <c r="E1012" t="inlineStr">
        <is>
          <t>RAGUNDA</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54092-2024</t>
        </is>
      </c>
      <c r="B1013" s="1" t="n">
        <v>45616.5108912037</v>
      </c>
      <c r="C1013" s="1" t="n">
        <v>45914</v>
      </c>
      <c r="D1013" t="inlineStr">
        <is>
          <t>JÄMTLANDS LÄN</t>
        </is>
      </c>
      <c r="E1013" t="inlineStr">
        <is>
          <t>RAGUNDA</t>
        </is>
      </c>
      <c r="F1013" t="inlineStr">
        <is>
          <t>Naturvårdsverket</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56284-2023</t>
        </is>
      </c>
      <c r="B1014" s="1" t="n">
        <v>45241.95724537037</v>
      </c>
      <c r="C1014" s="1" t="n">
        <v>45914</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18610-2024</t>
        </is>
      </c>
      <c r="B1015" s="1" t="n">
        <v>45425.96230324074</v>
      </c>
      <c r="C1015" s="1" t="n">
        <v>45914</v>
      </c>
      <c r="D1015" t="inlineStr">
        <is>
          <t>JÄMTLANDS LÄN</t>
        </is>
      </c>
      <c r="E1015" t="inlineStr">
        <is>
          <t>RAGUNDA</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43177-2025</t>
        </is>
      </c>
      <c r="B1016" s="1" t="n">
        <v>45910.40667824074</v>
      </c>
      <c r="C1016" s="1" t="n">
        <v>45914</v>
      </c>
      <c r="D1016" t="inlineStr">
        <is>
          <t>JÄMTLANDS LÄN</t>
        </is>
      </c>
      <c r="E1016" t="inlineStr">
        <is>
          <t>RAGUNDA</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30563-2023</t>
        </is>
      </c>
      <c r="B1017" s="1" t="n">
        <v>45111.92793981481</v>
      </c>
      <c r="C1017" s="1" t="n">
        <v>45914</v>
      </c>
      <c r="D1017" t="inlineStr">
        <is>
          <t>JÄMTLANDS LÄN</t>
        </is>
      </c>
      <c r="E1017" t="inlineStr">
        <is>
          <t>RAGUNDA</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43181-2025</t>
        </is>
      </c>
      <c r="B1018" s="1" t="n">
        <v>45910.40721064815</v>
      </c>
      <c r="C1018" s="1" t="n">
        <v>45914</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43330-2025</t>
        </is>
      </c>
      <c r="B1019" s="1" t="n">
        <v>45910.67766203704</v>
      </c>
      <c r="C1019" s="1" t="n">
        <v>45914</v>
      </c>
      <c r="D1019" t="inlineStr">
        <is>
          <t>JÄMTLANDS LÄN</t>
        </is>
      </c>
      <c r="E1019" t="inlineStr">
        <is>
          <t>RAGUNDA</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43812-2025</t>
        </is>
      </c>
      <c r="B1020" s="1" t="n">
        <v>45912.59417824074</v>
      </c>
      <c r="C1020" s="1" t="n">
        <v>45914</v>
      </c>
      <c r="D1020" t="inlineStr">
        <is>
          <t>JÄMTLANDS LÄN</t>
        </is>
      </c>
      <c r="E1020" t="inlineStr">
        <is>
          <t>RAGUNDA</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8886-2024</t>
        </is>
      </c>
      <c r="B1021" s="1" t="n">
        <v>45357.05300925926</v>
      </c>
      <c r="C1021" s="1" t="n">
        <v>45914</v>
      </c>
      <c r="D1021" t="inlineStr">
        <is>
          <t>JÄMTLANDS LÄN</t>
        </is>
      </c>
      <c r="E1021" t="inlineStr">
        <is>
          <t>RAGUNDA</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18615-2024</t>
        </is>
      </c>
      <c r="B1022" s="1" t="n">
        <v>45425.96275462963</v>
      </c>
      <c r="C1022" s="1" t="n">
        <v>45914</v>
      </c>
      <c r="D1022" t="inlineStr">
        <is>
          <t>JÄMTLANDS LÄN</t>
        </is>
      </c>
      <c r="E1022" t="inlineStr">
        <is>
          <t>RAGUNDA</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43776-2025</t>
        </is>
      </c>
      <c r="B1023" s="1" t="n">
        <v>45912.51086805556</v>
      </c>
      <c r="C1023" s="1" t="n">
        <v>45914</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36541-2025</t>
        </is>
      </c>
      <c r="B1024" s="1" t="n">
        <v>45869.65666666667</v>
      </c>
      <c r="C1024" s="1" t="n">
        <v>45914</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36544-2025</t>
        </is>
      </c>
      <c r="B1025" s="1" t="n">
        <v>45869.67744212963</v>
      </c>
      <c r="C1025" s="1" t="n">
        <v>45914</v>
      </c>
      <c r="D1025" t="inlineStr">
        <is>
          <t>JÄMTLANDS LÄN</t>
        </is>
      </c>
      <c r="E1025" t="inlineStr">
        <is>
          <t>RAGUNDA</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36553-2025</t>
        </is>
      </c>
      <c r="B1026" s="1" t="n">
        <v>45870.34439814815</v>
      </c>
      <c r="C1026" s="1" t="n">
        <v>45914</v>
      </c>
      <c r="D1026" t="inlineStr">
        <is>
          <t>JÄMTLANDS LÄN</t>
        </is>
      </c>
      <c r="E1026" t="inlineStr">
        <is>
          <t>RAGUNDA</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23303-2024</t>
        </is>
      </c>
      <c r="B1027" s="1" t="n">
        <v>45453.4444212963</v>
      </c>
      <c r="C1027" s="1" t="n">
        <v>45914</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465-2023</t>
        </is>
      </c>
      <c r="B1028" s="1" t="n">
        <v>44929</v>
      </c>
      <c r="C1028" s="1" t="n">
        <v>45914</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32832-2021</t>
        </is>
      </c>
      <c r="B1029" s="1" t="n">
        <v>44375</v>
      </c>
      <c r="C1029" s="1" t="n">
        <v>45914</v>
      </c>
      <c r="D1029" t="inlineStr">
        <is>
          <t>JÄMTLANDS LÄN</t>
        </is>
      </c>
      <c r="E1029" t="inlineStr">
        <is>
          <t>RAGUNDA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3938-2024</t>
        </is>
      </c>
      <c r="B1030" s="1" t="n">
        <v>45322</v>
      </c>
      <c r="C1030" s="1" t="n">
        <v>45914</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62081-2022</t>
        </is>
      </c>
      <c r="B1031" s="1" t="n">
        <v>44918</v>
      </c>
      <c r="C1031" s="1" t="n">
        <v>45914</v>
      </c>
      <c r="D1031" t="inlineStr">
        <is>
          <t>JÄMTLANDS LÄN</t>
        </is>
      </c>
      <c r="E1031" t="inlineStr">
        <is>
          <t>RAGUNDA</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43804-2025</t>
        </is>
      </c>
      <c r="B1032" s="1" t="n">
        <v>45912.57373842593</v>
      </c>
      <c r="C1032" s="1" t="n">
        <v>45914</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55508-2024</t>
        </is>
      </c>
      <c r="B1033" s="1" t="n">
        <v>45622.46200231482</v>
      </c>
      <c r="C1033" s="1" t="n">
        <v>45914</v>
      </c>
      <c r="D1033" t="inlineStr">
        <is>
          <t>JÄMTLANDS LÄN</t>
        </is>
      </c>
      <c r="E1033" t="inlineStr">
        <is>
          <t>RAGUNDA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12521-2023</t>
        </is>
      </c>
      <c r="B1034" s="1" t="n">
        <v>45000</v>
      </c>
      <c r="C1034" s="1" t="n">
        <v>45914</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3720-2025</t>
        </is>
      </c>
      <c r="B1035" s="1" t="n">
        <v>45681.5315625</v>
      </c>
      <c r="C1035" s="1" t="n">
        <v>45914</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2339-2025</t>
        </is>
      </c>
      <c r="B1036" s="1" t="n">
        <v>45673.66358796296</v>
      </c>
      <c r="C1036" s="1" t="n">
        <v>45914</v>
      </c>
      <c r="D1036" t="inlineStr">
        <is>
          <t>JÄMTLANDS LÄN</t>
        </is>
      </c>
      <c r="E1036" t="inlineStr">
        <is>
          <t>RAGUNDA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17742-2022</t>
        </is>
      </c>
      <c r="B1037" s="1" t="n">
        <v>44680.95246527778</v>
      </c>
      <c r="C1037" s="1" t="n">
        <v>45914</v>
      </c>
      <c r="D1037" t="inlineStr">
        <is>
          <t>JÄMTLANDS LÄN</t>
        </is>
      </c>
      <c r="E1037" t="inlineStr">
        <is>
          <t>RAGUNDA</t>
        </is>
      </c>
      <c r="F1037" t="inlineStr">
        <is>
          <t>SCA</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50555-2024</t>
        </is>
      </c>
      <c r="B1038" s="1" t="n">
        <v>45601.59518518519</v>
      </c>
      <c r="C1038" s="1" t="n">
        <v>45914</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53676-2022</t>
        </is>
      </c>
      <c r="B1039" s="1" t="n">
        <v>44879</v>
      </c>
      <c r="C1039" s="1" t="n">
        <v>45914</v>
      </c>
      <c r="D1039" t="inlineStr">
        <is>
          <t>JÄMTLANDS LÄN</t>
        </is>
      </c>
      <c r="E1039" t="inlineStr">
        <is>
          <t>RAGUNDA</t>
        </is>
      </c>
      <c r="F1039" t="inlineStr">
        <is>
          <t>Sveaskog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45914</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45914</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45914</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45914</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45914</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45914</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45914</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45914</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45914</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58955-2024</t>
        </is>
      </c>
      <c r="B1049" s="1" t="n">
        <v>45636.57329861111</v>
      </c>
      <c r="C1049" s="1" t="n">
        <v>45914</v>
      </c>
      <c r="D1049" t="inlineStr">
        <is>
          <t>JÄMTLANDS LÄN</t>
        </is>
      </c>
      <c r="E1049" t="inlineStr">
        <is>
          <t>RAGUNDA</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4878-2022</t>
        </is>
      </c>
      <c r="B1050" s="1" t="n">
        <v>44593</v>
      </c>
      <c r="C1050" s="1" t="n">
        <v>45914</v>
      </c>
      <c r="D1050" t="inlineStr">
        <is>
          <t>JÄMTLANDS LÄN</t>
        </is>
      </c>
      <c r="E1050" t="inlineStr">
        <is>
          <t>RAGUNDA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45914</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11058-2025</t>
        </is>
      </c>
      <c r="B1052" s="1" t="n">
        <v>45723.51079861111</v>
      </c>
      <c r="C1052" s="1" t="n">
        <v>45914</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15554-2025</t>
        </is>
      </c>
      <c r="B1053" s="1" t="n">
        <v>45747.67739583334</v>
      </c>
      <c r="C1053" s="1" t="n">
        <v>45914</v>
      </c>
      <c r="D1053" t="inlineStr">
        <is>
          <t>JÄMTLANDS LÄN</t>
        </is>
      </c>
      <c r="E1053" t="inlineStr">
        <is>
          <t>RAGUNDA</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45914</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45914</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45914</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45914</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45914</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45914</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8776-2025</t>
        </is>
      </c>
      <c r="B1060" s="1" t="n">
        <v>45712.61510416667</v>
      </c>
      <c r="C1060" s="1" t="n">
        <v>45914</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57749-2024</t>
        </is>
      </c>
      <c r="B1061" s="1" t="n">
        <v>45630.7862037037</v>
      </c>
      <c r="C1061" s="1" t="n">
        <v>45914</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5067-2024</t>
        </is>
      </c>
      <c r="B1062" s="1" t="n">
        <v>45329.95806712963</v>
      </c>
      <c r="C1062" s="1" t="n">
        <v>45914</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5429-2024</t>
        </is>
      </c>
      <c r="B1063" s="1" t="n">
        <v>45331.92746527777</v>
      </c>
      <c r="C1063" s="1" t="n">
        <v>45914</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28742-2023</t>
        </is>
      </c>
      <c r="B1064" s="1" t="n">
        <v>45103</v>
      </c>
      <c r="C1064" s="1" t="n">
        <v>45914</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22981-2023</t>
        </is>
      </c>
      <c r="B1065" s="1" t="n">
        <v>45072.92737268518</v>
      </c>
      <c r="C1065" s="1" t="n">
        <v>45914</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45065.42894675926</v>
      </c>
      <c r="C1066" s="1" t="n">
        <v>45914</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55514-2024</t>
        </is>
      </c>
      <c r="B1067" s="1" t="n">
        <v>45622.46910879629</v>
      </c>
      <c r="C1067" s="1" t="n">
        <v>45914</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24441-2024</t>
        </is>
      </c>
      <c r="B1068" s="1" t="n">
        <v>45457.96372685185</v>
      </c>
      <c r="C1068" s="1" t="n">
        <v>45914</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45914</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37242-2024</t>
        </is>
      </c>
      <c r="B1070" s="1" t="n">
        <v>45540.34428240741</v>
      </c>
      <c r="C1070" s="1" t="n">
        <v>45914</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9232-2025</t>
        </is>
      </c>
      <c r="B1071" s="1" t="n">
        <v>45714.55064814815</v>
      </c>
      <c r="C1071" s="1" t="n">
        <v>45914</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41656-2023</t>
        </is>
      </c>
      <c r="B1072" s="1" t="n">
        <v>45175</v>
      </c>
      <c r="C1072" s="1" t="n">
        <v>45914</v>
      </c>
      <c r="D1072" t="inlineStr">
        <is>
          <t>JÄMTLANDS LÄN</t>
        </is>
      </c>
      <c r="E1072" t="inlineStr">
        <is>
          <t>RAGUNDA</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36317-2024</t>
        </is>
      </c>
      <c r="B1073" s="1" t="n">
        <v>45534.63537037037</v>
      </c>
      <c r="C1073" s="1" t="n">
        <v>45914</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36226-2023</t>
        </is>
      </c>
      <c r="B1074" s="1" t="n">
        <v>45149.95372685185</v>
      </c>
      <c r="C1074" s="1" t="n">
        <v>45914</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59368-2022</t>
        </is>
      </c>
      <c r="B1075" s="1" t="n">
        <v>44904.94824074074</v>
      </c>
      <c r="C1075" s="1" t="n">
        <v>45914</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893-2025</t>
        </is>
      </c>
      <c r="B1076" s="1" t="n">
        <v>45665.65684027778</v>
      </c>
      <c r="C1076" s="1" t="n">
        <v>45914</v>
      </c>
      <c r="D1076" t="inlineStr">
        <is>
          <t>JÄMTLANDS LÄN</t>
        </is>
      </c>
      <c r="E1076" t="inlineStr">
        <is>
          <t>RAGUNDA</t>
        </is>
      </c>
      <c r="F1076" t="inlineStr">
        <is>
          <t>SCA</t>
        </is>
      </c>
      <c r="G1076" t="n">
        <v>45.1</v>
      </c>
      <c r="H1076" t="n">
        <v>0</v>
      </c>
      <c r="I1076" t="n">
        <v>0</v>
      </c>
      <c r="J1076" t="n">
        <v>0</v>
      </c>
      <c r="K1076" t="n">
        <v>0</v>
      </c>
      <c r="L1076" t="n">
        <v>0</v>
      </c>
      <c r="M1076" t="n">
        <v>0</v>
      </c>
      <c r="N1076" t="n">
        <v>0</v>
      </c>
      <c r="O1076" t="n">
        <v>0</v>
      </c>
      <c r="P1076" t="n">
        <v>0</v>
      </c>
      <c r="Q1076" t="n">
        <v>0</v>
      </c>
      <c r="R1076" s="2" t="inlineStr"/>
    </row>
    <row r="1077" ht="15" customHeight="1">
      <c r="A1077" t="inlineStr">
        <is>
          <t>A 7520-2023</t>
        </is>
      </c>
      <c r="B1077" s="1" t="n">
        <v>44971</v>
      </c>
      <c r="C1077" s="1" t="n">
        <v>45914</v>
      </c>
      <c r="D1077" t="inlineStr">
        <is>
          <t>JÄMTLANDS LÄN</t>
        </is>
      </c>
      <c r="E1077" t="inlineStr">
        <is>
          <t>RAGUNDA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53549-2024</t>
        </is>
      </c>
      <c r="B1078" s="1" t="n">
        <v>45614.63869212963</v>
      </c>
      <c r="C1078" s="1" t="n">
        <v>45914</v>
      </c>
      <c r="D1078" t="inlineStr">
        <is>
          <t>JÄMTLANDS LÄN</t>
        </is>
      </c>
      <c r="E1078" t="inlineStr">
        <is>
          <t>RAGUNDA</t>
        </is>
      </c>
      <c r="F1078" t="inlineStr">
        <is>
          <t>Kyrkan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53955-2022</t>
        </is>
      </c>
      <c r="B1079" s="1" t="n">
        <v>44880.95741898148</v>
      </c>
      <c r="C1079" s="1" t="n">
        <v>45914</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9567-2025</t>
        </is>
      </c>
      <c r="B1080" s="1" t="n">
        <v>45715.61523148148</v>
      </c>
      <c r="C1080" s="1" t="n">
        <v>45914</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45914</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51646-2023</t>
        </is>
      </c>
      <c r="B1082" s="1" t="n">
        <v>45215</v>
      </c>
      <c r="C1082" s="1" t="n">
        <v>45914</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29319-2023</t>
        </is>
      </c>
      <c r="B1083" s="1" t="n">
        <v>45105</v>
      </c>
      <c r="C1083" s="1" t="n">
        <v>45914</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17323-2025</t>
        </is>
      </c>
      <c r="B1084" s="1" t="n">
        <v>45756.63601851852</v>
      </c>
      <c r="C1084" s="1" t="n">
        <v>45914</v>
      </c>
      <c r="D1084" t="inlineStr">
        <is>
          <t>JÄMTLANDS LÄN</t>
        </is>
      </c>
      <c r="E1084" t="inlineStr">
        <is>
          <t>RAGUNDA</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19486-2024</t>
        </is>
      </c>
      <c r="B1085" s="1" t="n">
        <v>45429</v>
      </c>
      <c r="C1085" s="1" t="n">
        <v>45914</v>
      </c>
      <c r="D1085" t="inlineStr">
        <is>
          <t>JÄMTLANDS LÄN</t>
        </is>
      </c>
      <c r="E1085" t="inlineStr">
        <is>
          <t>RAGUNDA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13941-2025</t>
        </is>
      </c>
      <c r="B1086" s="1" t="n">
        <v>45737.69822916666</v>
      </c>
      <c r="C1086" s="1" t="n">
        <v>45914</v>
      </c>
      <c r="D1086" t="inlineStr">
        <is>
          <t>JÄMTLANDS LÄN</t>
        </is>
      </c>
      <c r="E1086" t="inlineStr">
        <is>
          <t>RAGUNDA</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26646-2023</t>
        </is>
      </c>
      <c r="B1087" s="1" t="n">
        <v>45092</v>
      </c>
      <c r="C1087" s="1" t="n">
        <v>45914</v>
      </c>
      <c r="D1087" t="inlineStr">
        <is>
          <t>JÄMTLANDS LÄN</t>
        </is>
      </c>
      <c r="E1087" t="inlineStr">
        <is>
          <t>RAGUNDA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27291-2022</t>
        </is>
      </c>
      <c r="B1088" s="1" t="n">
        <v>44741.94070601852</v>
      </c>
      <c r="C1088" s="1" t="n">
        <v>45914</v>
      </c>
      <c r="D1088" t="inlineStr">
        <is>
          <t>JÄMTLANDS LÄN</t>
        </is>
      </c>
      <c r="E1088" t="inlineStr">
        <is>
          <t>RAGUNDA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49650-2024</t>
        </is>
      </c>
      <c r="B1089" s="1" t="n">
        <v>45596.61569444444</v>
      </c>
      <c r="C1089" s="1" t="n">
        <v>45914</v>
      </c>
      <c r="D1089" t="inlineStr">
        <is>
          <t>JÄMTLANDS LÄN</t>
        </is>
      </c>
      <c r="E1089" t="inlineStr">
        <is>
          <t>RAGUNDA</t>
        </is>
      </c>
      <c r="F1089" t="inlineStr">
        <is>
          <t>Naturvårdsverket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49651-2024</t>
        </is>
      </c>
      <c r="B1090" s="1" t="n">
        <v>45596.61582175926</v>
      </c>
      <c r="C1090" s="1" t="n">
        <v>45914</v>
      </c>
      <c r="D1090" t="inlineStr">
        <is>
          <t>JÄMTLANDS LÄN</t>
        </is>
      </c>
      <c r="E1090" t="inlineStr">
        <is>
          <t>RAGUNDA</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6477-2024</t>
        </is>
      </c>
      <c r="B1091" s="1" t="n">
        <v>45338.95405092592</v>
      </c>
      <c r="C1091" s="1" t="n">
        <v>45914</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60443-2023</t>
        </is>
      </c>
      <c r="B1092" s="1" t="n">
        <v>45258</v>
      </c>
      <c r="C1092" s="1" t="n">
        <v>45914</v>
      </c>
      <c r="D1092" t="inlineStr">
        <is>
          <t>JÄMTLANDS LÄN</t>
        </is>
      </c>
      <c r="E1092" t="inlineStr">
        <is>
          <t>RAGUNDA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44759-2024</t>
        </is>
      </c>
      <c r="B1093" s="1" t="n">
        <v>45574.61634259259</v>
      </c>
      <c r="C1093" s="1" t="n">
        <v>45914</v>
      </c>
      <c r="D1093" t="inlineStr">
        <is>
          <t>JÄMTLANDS LÄN</t>
        </is>
      </c>
      <c r="E1093" t="inlineStr">
        <is>
          <t>RAGUNDA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993-2025</t>
        </is>
      </c>
      <c r="B1094" s="1" t="n">
        <v>45666.44943287037</v>
      </c>
      <c r="C1094" s="1" t="n">
        <v>45914</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c r="A1095" t="inlineStr">
        <is>
          <t>A 57064-2024</t>
        </is>
      </c>
      <c r="B1095" s="1" t="n">
        <v>45629.35326388889</v>
      </c>
      <c r="C1095" s="1" t="n">
        <v>45914</v>
      </c>
      <c r="D1095" t="inlineStr">
        <is>
          <t>JÄMTLANDS LÄN</t>
        </is>
      </c>
      <c r="E1095" t="inlineStr">
        <is>
          <t>RAGUNDA</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2025-09-14T13:23:57Z</dcterms:created>
  <dcterms:modified xmlns:dcterms="http://purl.org/dc/terms/" xmlns:xsi="http://www.w3.org/2001/XMLSchema-instance" xsi:type="dcterms:W3CDTF">2025-09-14T13:23:57Z</dcterms:modified>
</cp:coreProperties>
</file>